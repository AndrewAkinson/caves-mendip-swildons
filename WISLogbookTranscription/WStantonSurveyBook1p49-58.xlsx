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480" yWindow="45" windowWidth="22995" windowHeight="10035" activeTab="3"/>
  </bookViews>
  <sheets>
    <sheet name="Raw Data" sheetId="1" r:id="rId1"/>
    <sheet name="Interpreted Data" sheetId="2" r:id="rId2"/>
    <sheet name="Survex Formatted" sheetId="3" r:id="rId3"/>
    <sheet name="Therion Formatted" sheetId="4" r:id="rId4"/>
  </sheets>
  <calcPr calcId="145621"/>
</workbook>
</file>

<file path=xl/calcChain.xml><?xml version="1.0" encoding="utf-8"?>
<calcChain xmlns="http://schemas.openxmlformats.org/spreadsheetml/2006/main">
  <c r="P24" i="2" l="1"/>
  <c r="P25" i="2"/>
  <c r="H24" i="4"/>
  <c r="P31" i="4" s="1"/>
  <c r="H25" i="4"/>
  <c r="P32" i="4" s="1"/>
  <c r="P6" i="2"/>
  <c r="H6" i="4" s="1"/>
  <c r="P6" i="4" s="1"/>
  <c r="P7" i="2"/>
  <c r="H7" i="4" s="1"/>
  <c r="P8" i="4" s="1"/>
  <c r="P8" i="2"/>
  <c r="H8" i="4" s="1"/>
  <c r="P10" i="4" s="1"/>
  <c r="P9" i="2"/>
  <c r="H9" i="4" s="1"/>
  <c r="P11" i="4" s="1"/>
  <c r="P10" i="2"/>
  <c r="P11" i="2"/>
  <c r="P12" i="2"/>
  <c r="H12" i="4" s="1"/>
  <c r="P16" i="4" s="1"/>
  <c r="P13" i="2"/>
  <c r="H13" i="4" s="1"/>
  <c r="P17" i="4" s="1"/>
  <c r="P14" i="2"/>
  <c r="P15" i="2"/>
  <c r="P16" i="2"/>
  <c r="H16" i="4" s="1"/>
  <c r="P20" i="4" s="1"/>
  <c r="P17" i="2"/>
  <c r="H17" i="4" s="1"/>
  <c r="P21" i="4" s="1"/>
  <c r="P18" i="2"/>
  <c r="P19" i="2"/>
  <c r="H19" i="4" s="1"/>
  <c r="P23" i="4" s="1"/>
  <c r="P20" i="2"/>
  <c r="H20" i="4" s="1"/>
  <c r="P24" i="4" s="1"/>
  <c r="P21" i="2"/>
  <c r="H21" i="4" s="1"/>
  <c r="P26" i="4" s="1"/>
  <c r="P22" i="2"/>
  <c r="H22" i="4" s="1"/>
  <c r="P27" i="4" s="1"/>
  <c r="P23" i="2"/>
  <c r="H23" i="4" s="1"/>
  <c r="P29" i="4" s="1"/>
  <c r="H10" i="4"/>
  <c r="P13" i="4" s="1"/>
  <c r="H11" i="4"/>
  <c r="H14" i="4"/>
  <c r="P18" i="4" s="1"/>
  <c r="H15" i="4"/>
  <c r="P19" i="4" s="1"/>
  <c r="H18" i="4"/>
  <c r="P22" i="4" s="1"/>
  <c r="P5" i="2"/>
  <c r="H5" i="4" s="1"/>
  <c r="P5" i="4" s="1"/>
  <c r="P14" i="4"/>
  <c r="F6" i="4"/>
  <c r="F7" i="4"/>
  <c r="F8" i="4"/>
  <c r="O10" i="4" s="1"/>
  <c r="F9" i="4"/>
  <c r="O11" i="4" s="1"/>
  <c r="F10" i="4"/>
  <c r="F11" i="4"/>
  <c r="F12" i="4"/>
  <c r="F13" i="4"/>
  <c r="O17" i="4" s="1"/>
  <c r="F14" i="4"/>
  <c r="F15" i="4"/>
  <c r="F16" i="4"/>
  <c r="O20" i="4" s="1"/>
  <c r="F17" i="4"/>
  <c r="O21" i="4" s="1"/>
  <c r="F18" i="4"/>
  <c r="F19" i="4"/>
  <c r="F20" i="4"/>
  <c r="O24" i="4" s="1"/>
  <c r="F21" i="4"/>
  <c r="F22" i="4"/>
  <c r="F23" i="4"/>
  <c r="F24" i="4"/>
  <c r="F5" i="4"/>
  <c r="O5" i="4" s="1"/>
  <c r="O6" i="4"/>
  <c r="O18" i="4"/>
  <c r="O22" i="4"/>
  <c r="O16" i="4"/>
  <c r="O19" i="4"/>
  <c r="O23" i="4"/>
  <c r="O8" i="4"/>
  <c r="G6" i="4"/>
  <c r="G7" i="4"/>
  <c r="G8" i="4"/>
  <c r="G9" i="4"/>
  <c r="G10" i="4"/>
  <c r="O13" i="4" s="1"/>
  <c r="G11" i="4"/>
  <c r="O14" i="4" s="1"/>
  <c r="G12" i="4"/>
  <c r="G13" i="4"/>
  <c r="G14" i="4"/>
  <c r="G15" i="4"/>
  <c r="G16" i="4"/>
  <c r="G17" i="4"/>
  <c r="G18" i="4"/>
  <c r="G19" i="4"/>
  <c r="G20" i="4"/>
  <c r="G21" i="4"/>
  <c r="O26" i="4" s="1"/>
  <c r="G22" i="4"/>
  <c r="O27" i="4" s="1"/>
  <c r="G23" i="4"/>
  <c r="G24" i="4"/>
  <c r="O31" i="4" s="1"/>
  <c r="G5" i="4"/>
  <c r="J28" i="4"/>
  <c r="J15" i="4"/>
  <c r="J9" i="4"/>
  <c r="J30" i="4"/>
  <c r="J25" i="4"/>
  <c r="J12" i="4"/>
  <c r="J7" i="4"/>
  <c r="J4" i="4"/>
  <c r="G6" i="2"/>
  <c r="H6" i="2"/>
  <c r="I6" i="2"/>
  <c r="G7" i="2"/>
  <c r="D7" i="4" s="1"/>
  <c r="M8" i="4" s="1"/>
  <c r="H7" i="2"/>
  <c r="E7" i="4" s="1"/>
  <c r="N8" i="4" s="1"/>
  <c r="I7" i="2"/>
  <c r="G8" i="2"/>
  <c r="D8" i="4" s="1"/>
  <c r="M10" i="4" s="1"/>
  <c r="H8" i="2"/>
  <c r="E8" i="4" s="1"/>
  <c r="N10" i="4" s="1"/>
  <c r="I8" i="2"/>
  <c r="G9" i="2"/>
  <c r="H9" i="2"/>
  <c r="E9" i="4" s="1"/>
  <c r="N11" i="4" s="1"/>
  <c r="I9" i="2"/>
  <c r="G10" i="2"/>
  <c r="D10" i="4" s="1"/>
  <c r="M13" i="4" s="1"/>
  <c r="H10" i="2"/>
  <c r="I10" i="2"/>
  <c r="G11" i="2"/>
  <c r="D11" i="4" s="1"/>
  <c r="M14" i="4" s="1"/>
  <c r="H11" i="2"/>
  <c r="E11" i="4" s="1"/>
  <c r="N14" i="4" s="1"/>
  <c r="I11" i="2"/>
  <c r="G12" i="2"/>
  <c r="D12" i="4" s="1"/>
  <c r="M16" i="4" s="1"/>
  <c r="H12" i="2"/>
  <c r="I12" i="2"/>
  <c r="G13" i="2"/>
  <c r="H13" i="2"/>
  <c r="E13" i="4" s="1"/>
  <c r="N17" i="4" s="1"/>
  <c r="I13" i="2"/>
  <c r="G14" i="2"/>
  <c r="D14" i="4" s="1"/>
  <c r="M18" i="4" s="1"/>
  <c r="H14" i="2"/>
  <c r="I14" i="2"/>
  <c r="G15" i="2"/>
  <c r="D15" i="4" s="1"/>
  <c r="M19" i="4" s="1"/>
  <c r="H15" i="2"/>
  <c r="I15" i="2"/>
  <c r="G16" i="2"/>
  <c r="D16" i="4" s="1"/>
  <c r="M20" i="4" s="1"/>
  <c r="H16" i="2"/>
  <c r="I16" i="2"/>
  <c r="G17" i="2"/>
  <c r="H17" i="2"/>
  <c r="E17" i="4" s="1"/>
  <c r="N21" i="4" s="1"/>
  <c r="I17" i="2"/>
  <c r="G18" i="2"/>
  <c r="D18" i="4" s="1"/>
  <c r="M22" i="4" s="1"/>
  <c r="H18" i="2"/>
  <c r="I18" i="2"/>
  <c r="G19" i="2"/>
  <c r="D19" i="4" s="1"/>
  <c r="M23" i="4" s="1"/>
  <c r="H19" i="2"/>
  <c r="E19" i="4" s="1"/>
  <c r="N23" i="4" s="1"/>
  <c r="I19" i="2"/>
  <c r="G20" i="2"/>
  <c r="D20" i="4" s="1"/>
  <c r="M24" i="4" s="1"/>
  <c r="H20" i="2"/>
  <c r="E20" i="4" s="1"/>
  <c r="N24" i="4" s="1"/>
  <c r="I20" i="2"/>
  <c r="G21" i="2"/>
  <c r="H21" i="2"/>
  <c r="E21" i="4" s="1"/>
  <c r="N26" i="4" s="1"/>
  <c r="I21" i="2"/>
  <c r="G22" i="2"/>
  <c r="H22" i="2"/>
  <c r="E22" i="4" s="1"/>
  <c r="N27" i="4" s="1"/>
  <c r="I22" i="2"/>
  <c r="G23" i="2"/>
  <c r="D23" i="4" s="1"/>
  <c r="M29" i="4" s="1"/>
  <c r="H23" i="2"/>
  <c r="E23" i="4" s="1"/>
  <c r="N29" i="4" s="1"/>
  <c r="I23" i="2"/>
  <c r="G24" i="2"/>
  <c r="D24" i="4" s="1"/>
  <c r="M31" i="4" s="1"/>
  <c r="H24" i="2"/>
  <c r="E24" i="4" s="1"/>
  <c r="N31" i="4" s="1"/>
  <c r="I24" i="2"/>
  <c r="G5" i="2"/>
  <c r="H5" i="2"/>
  <c r="E5" i="4" s="1"/>
  <c r="N5" i="4" s="1"/>
  <c r="D22" i="4"/>
  <c r="M27" i="4" s="1"/>
  <c r="D21" i="4"/>
  <c r="M26" i="4" s="1"/>
  <c r="E18" i="4"/>
  <c r="N22" i="4" s="1"/>
  <c r="D17" i="4"/>
  <c r="M21" i="4" s="1"/>
  <c r="E16" i="4"/>
  <c r="N20" i="4" s="1"/>
  <c r="E15" i="4"/>
  <c r="N19" i="4" s="1"/>
  <c r="E14" i="4"/>
  <c r="N18" i="4" s="1"/>
  <c r="D13" i="4"/>
  <c r="M17" i="4" s="1"/>
  <c r="E12" i="4"/>
  <c r="N16" i="4" s="1"/>
  <c r="E10" i="4"/>
  <c r="N13" i="4" s="1"/>
  <c r="D9" i="4"/>
  <c r="M11" i="4" s="1"/>
  <c r="E6" i="4"/>
  <c r="N6" i="4" s="1"/>
  <c r="D6" i="4"/>
  <c r="M6" i="4" s="1"/>
  <c r="D5" i="4"/>
  <c r="M5" i="4" s="1"/>
  <c r="I5" i="2"/>
  <c r="A6" i="4"/>
  <c r="J6" i="4" s="1"/>
  <c r="B6" i="4"/>
  <c r="K6" i="4" s="1"/>
  <c r="C6" i="4"/>
  <c r="L6" i="4" s="1"/>
  <c r="A7" i="4"/>
  <c r="J8" i="4" s="1"/>
  <c r="B7" i="4"/>
  <c r="K8" i="4" s="1"/>
  <c r="C7" i="4"/>
  <c r="L8" i="4" s="1"/>
  <c r="A8" i="4"/>
  <c r="J10" i="4" s="1"/>
  <c r="B8" i="4"/>
  <c r="K10" i="4" s="1"/>
  <c r="C8" i="4"/>
  <c r="L10" i="4" s="1"/>
  <c r="A9" i="4"/>
  <c r="J11" i="4" s="1"/>
  <c r="B9" i="4"/>
  <c r="K11" i="4" s="1"/>
  <c r="C9" i="4"/>
  <c r="L11" i="4" s="1"/>
  <c r="A10" i="4"/>
  <c r="J13" i="4" s="1"/>
  <c r="B10" i="4"/>
  <c r="K13" i="4" s="1"/>
  <c r="C10" i="4"/>
  <c r="L13" i="4" s="1"/>
  <c r="A11" i="4"/>
  <c r="J14" i="4" s="1"/>
  <c r="B11" i="4"/>
  <c r="K14" i="4" s="1"/>
  <c r="C11" i="4"/>
  <c r="L14" i="4" s="1"/>
  <c r="A12" i="4"/>
  <c r="J16" i="4" s="1"/>
  <c r="B12" i="4"/>
  <c r="K16" i="4" s="1"/>
  <c r="C12" i="4"/>
  <c r="L16" i="4" s="1"/>
  <c r="A13" i="4"/>
  <c r="J17" i="4" s="1"/>
  <c r="B13" i="4"/>
  <c r="K17" i="4" s="1"/>
  <c r="C13" i="4"/>
  <c r="L17" i="4" s="1"/>
  <c r="A14" i="4"/>
  <c r="J18" i="4" s="1"/>
  <c r="B14" i="4"/>
  <c r="K18" i="4" s="1"/>
  <c r="C14" i="4"/>
  <c r="L18" i="4" s="1"/>
  <c r="A15" i="4"/>
  <c r="J19" i="4" s="1"/>
  <c r="B15" i="4"/>
  <c r="K19" i="4" s="1"/>
  <c r="C15" i="4"/>
  <c r="L19" i="4" s="1"/>
  <c r="A16" i="4"/>
  <c r="J20" i="4" s="1"/>
  <c r="B16" i="4"/>
  <c r="K20" i="4" s="1"/>
  <c r="C16" i="4"/>
  <c r="L20" i="4" s="1"/>
  <c r="A17" i="4"/>
  <c r="J21" i="4" s="1"/>
  <c r="B17" i="4"/>
  <c r="K21" i="4" s="1"/>
  <c r="C17" i="4"/>
  <c r="L21" i="4" s="1"/>
  <c r="A18" i="4"/>
  <c r="J22" i="4" s="1"/>
  <c r="B18" i="4"/>
  <c r="K22" i="4" s="1"/>
  <c r="C18" i="4"/>
  <c r="L22" i="4" s="1"/>
  <c r="A19" i="4"/>
  <c r="J23" i="4" s="1"/>
  <c r="B19" i="4"/>
  <c r="K23" i="4" s="1"/>
  <c r="C19" i="4"/>
  <c r="L23" i="4" s="1"/>
  <c r="A20" i="4"/>
  <c r="J24" i="4" s="1"/>
  <c r="B20" i="4"/>
  <c r="K24" i="4" s="1"/>
  <c r="C20" i="4"/>
  <c r="L24" i="4" s="1"/>
  <c r="A21" i="4"/>
  <c r="J26" i="4" s="1"/>
  <c r="B21" i="4"/>
  <c r="K26" i="4" s="1"/>
  <c r="C21" i="4"/>
  <c r="L26" i="4" s="1"/>
  <c r="A22" i="4"/>
  <c r="J27" i="4" s="1"/>
  <c r="B22" i="4"/>
  <c r="K27" i="4" s="1"/>
  <c r="C22" i="4"/>
  <c r="L27" i="4" s="1"/>
  <c r="A23" i="4"/>
  <c r="J29" i="4" s="1"/>
  <c r="B23" i="4"/>
  <c r="K29" i="4" s="1"/>
  <c r="C23" i="4"/>
  <c r="L29" i="4" s="1"/>
  <c r="O29" i="4"/>
  <c r="A24" i="4"/>
  <c r="J31" i="4" s="1"/>
  <c r="B24" i="4"/>
  <c r="K31" i="4" s="1"/>
  <c r="C24" i="4"/>
  <c r="L31" i="4" s="1"/>
  <c r="C5" i="4"/>
  <c r="L5" i="4" s="1"/>
  <c r="B5" i="4"/>
  <c r="K5" i="4" s="1"/>
  <c r="A5" i="4"/>
  <c r="J5" i="4" s="1"/>
  <c r="K5" i="2" l="1"/>
  <c r="K6" i="2"/>
  <c r="K8" i="2"/>
  <c r="K9" i="2"/>
  <c r="K12" i="2"/>
  <c r="K13" i="2"/>
  <c r="K14" i="2"/>
  <c r="K15" i="2"/>
  <c r="K16" i="2"/>
  <c r="K17" i="2"/>
  <c r="K18" i="2"/>
  <c r="K19" i="2"/>
  <c r="K20" i="2"/>
  <c r="K23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C6" i="3" l="1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5" i="3"/>
  <c r="D6" i="3"/>
  <c r="E6" i="3"/>
  <c r="D7" i="3"/>
  <c r="D8" i="3"/>
  <c r="E8" i="3"/>
  <c r="D9" i="3"/>
  <c r="E9" i="3"/>
  <c r="D10" i="3"/>
  <c r="D11" i="3"/>
  <c r="E11" i="3"/>
  <c r="D12" i="3"/>
  <c r="E12" i="3"/>
  <c r="D13" i="3"/>
  <c r="E13" i="3"/>
  <c r="D14" i="3"/>
  <c r="E14" i="3"/>
  <c r="D15" i="3"/>
  <c r="E15" i="3"/>
  <c r="D16" i="3"/>
  <c r="E16" i="3"/>
  <c r="D17" i="3"/>
  <c r="E17" i="3"/>
  <c r="D18" i="3"/>
  <c r="E18" i="3"/>
  <c r="D19" i="3"/>
  <c r="E19" i="3"/>
  <c r="D20" i="3"/>
  <c r="E20" i="3"/>
  <c r="D21" i="3"/>
  <c r="D22" i="3"/>
  <c r="D23" i="3"/>
  <c r="E23" i="3"/>
  <c r="D24" i="3"/>
  <c r="E5" i="3"/>
  <c r="D5" i="3"/>
  <c r="A6" i="2"/>
  <c r="A6" i="3" s="1"/>
  <c r="B6" i="2"/>
  <c r="B6" i="3" s="1"/>
  <c r="C6" i="2"/>
  <c r="D6" i="2"/>
  <c r="E6" i="2"/>
  <c r="Q6" i="2"/>
  <c r="L6" i="2"/>
  <c r="M6" i="2"/>
  <c r="N6" i="2"/>
  <c r="O6" i="2"/>
  <c r="A7" i="2"/>
  <c r="A7" i="3" s="1"/>
  <c r="B7" i="2"/>
  <c r="B7" i="3" s="1"/>
  <c r="C7" i="2"/>
  <c r="D7" i="2"/>
  <c r="E7" i="2"/>
  <c r="L7" i="2"/>
  <c r="M7" i="2"/>
  <c r="N7" i="2"/>
  <c r="K7" i="2" s="1"/>
  <c r="Q7" i="2" s="1"/>
  <c r="O7" i="2"/>
  <c r="A8" i="2"/>
  <c r="A8" i="3" s="1"/>
  <c r="B8" i="2"/>
  <c r="B8" i="3" s="1"/>
  <c r="C8" i="2"/>
  <c r="D8" i="2"/>
  <c r="E8" i="2"/>
  <c r="Q8" i="2"/>
  <c r="L8" i="2"/>
  <c r="M8" i="2"/>
  <c r="N8" i="2"/>
  <c r="O8" i="2"/>
  <c r="A9" i="2"/>
  <c r="A9" i="3" s="1"/>
  <c r="B9" i="2"/>
  <c r="B9" i="3" s="1"/>
  <c r="C9" i="2"/>
  <c r="D9" i="2"/>
  <c r="E9" i="2"/>
  <c r="Q9" i="2"/>
  <c r="L9" i="2"/>
  <c r="M9" i="2"/>
  <c r="N9" i="2"/>
  <c r="O9" i="2"/>
  <c r="A10" i="2"/>
  <c r="A10" i="3" s="1"/>
  <c r="B10" i="2"/>
  <c r="B10" i="3" s="1"/>
  <c r="C10" i="2"/>
  <c r="D10" i="2"/>
  <c r="E10" i="2"/>
  <c r="L10" i="2"/>
  <c r="M10" i="2"/>
  <c r="N10" i="2"/>
  <c r="K10" i="2" s="1"/>
  <c r="Q10" i="2" s="1"/>
  <c r="O10" i="2"/>
  <c r="A11" i="2"/>
  <c r="A11" i="3" s="1"/>
  <c r="B11" i="2"/>
  <c r="B11" i="3" s="1"/>
  <c r="C11" i="2"/>
  <c r="D11" i="2"/>
  <c r="E11" i="2"/>
  <c r="Q11" i="2"/>
  <c r="L11" i="2"/>
  <c r="M11" i="2"/>
  <c r="N11" i="2"/>
  <c r="O11" i="2"/>
  <c r="A12" i="2"/>
  <c r="A12" i="3" s="1"/>
  <c r="B12" i="2"/>
  <c r="B12" i="3" s="1"/>
  <c r="C12" i="2"/>
  <c r="D12" i="2"/>
  <c r="E12" i="2"/>
  <c r="Q12" i="2"/>
  <c r="L12" i="2"/>
  <c r="M12" i="2"/>
  <c r="N12" i="2"/>
  <c r="O12" i="2"/>
  <c r="A13" i="2"/>
  <c r="A13" i="3" s="1"/>
  <c r="B13" i="2"/>
  <c r="B13" i="3" s="1"/>
  <c r="C13" i="2"/>
  <c r="D13" i="2"/>
  <c r="E13" i="2"/>
  <c r="Q13" i="2"/>
  <c r="R13" i="2"/>
  <c r="L13" i="2"/>
  <c r="M13" i="2"/>
  <c r="N13" i="2"/>
  <c r="O13" i="2"/>
  <c r="A14" i="2"/>
  <c r="A14" i="3" s="1"/>
  <c r="B14" i="2"/>
  <c r="B14" i="3" s="1"/>
  <c r="C14" i="2"/>
  <c r="D14" i="2"/>
  <c r="E14" i="2"/>
  <c r="Q14" i="2"/>
  <c r="L14" i="2"/>
  <c r="M14" i="2"/>
  <c r="N14" i="2"/>
  <c r="O14" i="2"/>
  <c r="A15" i="2"/>
  <c r="A15" i="3" s="1"/>
  <c r="B15" i="2"/>
  <c r="B15" i="3" s="1"/>
  <c r="C15" i="2"/>
  <c r="D15" i="2"/>
  <c r="E15" i="2"/>
  <c r="Q15" i="2"/>
  <c r="R15" i="2"/>
  <c r="L15" i="2"/>
  <c r="M15" i="2"/>
  <c r="N15" i="2"/>
  <c r="O15" i="2"/>
  <c r="A16" i="2"/>
  <c r="A16" i="3" s="1"/>
  <c r="B16" i="2"/>
  <c r="B16" i="3" s="1"/>
  <c r="C16" i="2"/>
  <c r="D16" i="2"/>
  <c r="E16" i="2"/>
  <c r="Q16" i="2"/>
  <c r="R16" i="2"/>
  <c r="L16" i="2"/>
  <c r="M16" i="2"/>
  <c r="N16" i="2"/>
  <c r="O16" i="2"/>
  <c r="A17" i="2"/>
  <c r="A17" i="3" s="1"/>
  <c r="B17" i="2"/>
  <c r="B17" i="3" s="1"/>
  <c r="C17" i="2"/>
  <c r="D17" i="2"/>
  <c r="E17" i="2"/>
  <c r="Q17" i="2"/>
  <c r="R17" i="2"/>
  <c r="L17" i="2"/>
  <c r="M17" i="2"/>
  <c r="N17" i="2"/>
  <c r="O17" i="2"/>
  <c r="A18" i="2"/>
  <c r="A18" i="3" s="1"/>
  <c r="B18" i="2"/>
  <c r="B18" i="3" s="1"/>
  <c r="C18" i="2"/>
  <c r="D18" i="2"/>
  <c r="E18" i="2"/>
  <c r="Q18" i="2"/>
  <c r="R18" i="2"/>
  <c r="L18" i="2"/>
  <c r="M18" i="2"/>
  <c r="N18" i="2"/>
  <c r="O18" i="2"/>
  <c r="A19" i="2"/>
  <c r="A19" i="3" s="1"/>
  <c r="B19" i="2"/>
  <c r="B19" i="3" s="1"/>
  <c r="C19" i="2"/>
  <c r="D19" i="2"/>
  <c r="E19" i="2"/>
  <c r="Q19" i="2"/>
  <c r="R19" i="2"/>
  <c r="L19" i="2"/>
  <c r="M19" i="2"/>
  <c r="N19" i="2"/>
  <c r="O19" i="2"/>
  <c r="A20" i="2"/>
  <c r="A20" i="3" s="1"/>
  <c r="B20" i="2"/>
  <c r="B20" i="3" s="1"/>
  <c r="C20" i="2"/>
  <c r="D20" i="2"/>
  <c r="E20" i="2"/>
  <c r="Q20" i="2"/>
  <c r="R20" i="2"/>
  <c r="L20" i="2"/>
  <c r="M20" i="2"/>
  <c r="N20" i="2"/>
  <c r="O20" i="2"/>
  <c r="A21" i="2"/>
  <c r="A21" i="3" s="1"/>
  <c r="B21" i="2"/>
  <c r="B21" i="3" s="1"/>
  <c r="C21" i="2"/>
  <c r="D21" i="2"/>
  <c r="E21" i="2"/>
  <c r="L21" i="2"/>
  <c r="M21" i="2"/>
  <c r="N21" i="2"/>
  <c r="K21" i="2" s="1"/>
  <c r="E21" i="3" s="1"/>
  <c r="O21" i="2"/>
  <c r="A22" i="2"/>
  <c r="A22" i="3" s="1"/>
  <c r="B22" i="2"/>
  <c r="B22" i="3" s="1"/>
  <c r="C22" i="2"/>
  <c r="D22" i="2"/>
  <c r="E22" i="2"/>
  <c r="L22" i="2"/>
  <c r="M22" i="2"/>
  <c r="N22" i="2"/>
  <c r="K22" i="2" s="1"/>
  <c r="E22" i="3" s="1"/>
  <c r="O22" i="2"/>
  <c r="A23" i="2"/>
  <c r="A23" i="3" s="1"/>
  <c r="B23" i="2"/>
  <c r="B23" i="3" s="1"/>
  <c r="C23" i="2"/>
  <c r="D23" i="2"/>
  <c r="E23" i="2"/>
  <c r="Q23" i="2"/>
  <c r="R23" i="2"/>
  <c r="L23" i="2"/>
  <c r="M23" i="2"/>
  <c r="N23" i="2"/>
  <c r="O23" i="2"/>
  <c r="A24" i="2"/>
  <c r="A24" i="3" s="1"/>
  <c r="B24" i="2"/>
  <c r="B24" i="3" s="1"/>
  <c r="C24" i="2"/>
  <c r="D24" i="2"/>
  <c r="E24" i="2"/>
  <c r="L24" i="2"/>
  <c r="M24" i="2"/>
  <c r="N24" i="2"/>
  <c r="K24" i="2" s="1"/>
  <c r="R24" i="2" s="1"/>
  <c r="O24" i="2"/>
  <c r="A25" i="2"/>
  <c r="B25" i="2"/>
  <c r="C25" i="2"/>
  <c r="D25" i="2"/>
  <c r="E25" i="2"/>
  <c r="G25" i="2"/>
  <c r="H25" i="2"/>
  <c r="I25" i="2"/>
  <c r="J25" i="2"/>
  <c r="K25" i="2"/>
  <c r="L25" i="2"/>
  <c r="M25" i="2"/>
  <c r="N25" i="2"/>
  <c r="O25" i="2"/>
  <c r="L5" i="2"/>
  <c r="M5" i="2"/>
  <c r="N5" i="2"/>
  <c r="O5" i="2"/>
  <c r="L4" i="2"/>
  <c r="M4" i="2"/>
  <c r="N4" i="2"/>
  <c r="O4" i="2"/>
  <c r="R5" i="2"/>
  <c r="K1" i="2"/>
  <c r="K3" i="2"/>
  <c r="K4" i="2"/>
  <c r="I1" i="2"/>
  <c r="J1" i="2"/>
  <c r="H3" i="2"/>
  <c r="I3" i="2"/>
  <c r="J3" i="2"/>
  <c r="H4" i="2"/>
  <c r="I4" i="2"/>
  <c r="J4" i="2"/>
  <c r="Q5" i="2"/>
  <c r="A3" i="2"/>
  <c r="B3" i="2"/>
  <c r="C3" i="2"/>
  <c r="D3" i="2"/>
  <c r="E3" i="2"/>
  <c r="G3" i="2"/>
  <c r="A4" i="2"/>
  <c r="B4" i="2"/>
  <c r="C4" i="2"/>
  <c r="D4" i="2"/>
  <c r="E4" i="2"/>
  <c r="F4" i="2"/>
  <c r="G4" i="2"/>
  <c r="A5" i="2"/>
  <c r="A5" i="3" s="1"/>
  <c r="B5" i="2"/>
  <c r="B5" i="3" s="1"/>
  <c r="C5" i="2"/>
  <c r="D5" i="2"/>
  <c r="E5" i="2"/>
  <c r="B1" i="2"/>
  <c r="C1" i="2"/>
  <c r="D1" i="2"/>
  <c r="E1" i="2"/>
  <c r="F1" i="2"/>
  <c r="A1" i="2"/>
  <c r="R21" i="2" l="1"/>
  <c r="E10" i="3"/>
  <c r="Q24" i="2"/>
  <c r="Q21" i="2"/>
  <c r="R22" i="2"/>
  <c r="Q22" i="2"/>
  <c r="E7" i="3"/>
  <c r="E24" i="3"/>
  <c r="R14" i="2"/>
  <c r="R12" i="2"/>
  <c r="R11" i="2"/>
  <c r="R10" i="2"/>
  <c r="R9" i="2"/>
  <c r="R8" i="2"/>
  <c r="R7" i="2"/>
  <c r="R6" i="2"/>
</calcChain>
</file>

<file path=xl/sharedStrings.xml><?xml version="1.0" encoding="utf-8"?>
<sst xmlns="http://schemas.openxmlformats.org/spreadsheetml/2006/main" count="142" uniqueCount="82">
  <si>
    <t>21st July 1951</t>
  </si>
  <si>
    <t>W.I.Stanton</t>
  </si>
  <si>
    <t>SWILDONS HOLE</t>
  </si>
  <si>
    <t>Sta.</t>
  </si>
  <si>
    <t>Ht Rf</t>
  </si>
  <si>
    <t>Dp Fl</t>
  </si>
  <si>
    <t>Width L</t>
  </si>
  <si>
    <t>Width R</t>
  </si>
  <si>
    <t>Looking Forward</t>
  </si>
  <si>
    <t>FS</t>
  </si>
  <si>
    <t>BS</t>
  </si>
  <si>
    <t>Bearing</t>
  </si>
  <si>
    <t>Distance</t>
  </si>
  <si>
    <t>Fore Clino</t>
  </si>
  <si>
    <t>A</t>
  </si>
  <si>
    <t>B</t>
  </si>
  <si>
    <t>-</t>
  </si>
  <si>
    <t>4(19' in aven)</t>
  </si>
  <si>
    <t>C</t>
  </si>
  <si>
    <t>322 30</t>
  </si>
  <si>
    <t>Horz. Dist.</t>
  </si>
  <si>
    <t>Vert. Dist.</t>
  </si>
  <si>
    <t>Calc.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</si>
  <si>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</si>
  <si>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</si>
  <si>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</si>
  <si>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</si>
  <si>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</si>
  <si>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</si>
  <si>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</si>
  <si>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</si>
  <si>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</si>
  <si>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</si>
  <si>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</si>
  <si>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</si>
  <si>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</si>
  <si>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</si>
  <si>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R</t>
  </si>
  <si>
    <t>T</t>
  </si>
  <si>
    <t>U</t>
  </si>
  <si>
    <t>S</t>
  </si>
  <si>
    <t>3 (30 in B.Place(?))</t>
  </si>
  <si>
    <t>192 30</t>
  </si>
  <si>
    <t>rise of 1.5 feet</t>
  </si>
  <si>
    <t>level</t>
  </si>
  <si>
    <t>fall of 4 feet</t>
  </si>
  <si>
    <t>rise of 4 feet</t>
  </si>
  <si>
    <t>fall of 1.7 feet</t>
  </si>
  <si>
    <t>Hor Dist.</t>
  </si>
  <si>
    <t>Vert Dist.</t>
  </si>
  <si>
    <t>Dp. Below sump I</t>
  </si>
  <si>
    <t>Notes</t>
  </si>
  <si>
    <t>PDF p.49-50</t>
  </si>
  <si>
    <t>fall of 2.5 feet</t>
  </si>
  <si>
    <t>To</t>
  </si>
  <si>
    <t>Tape</t>
  </si>
  <si>
    <t>Compass</t>
  </si>
  <si>
    <t>Clino</t>
  </si>
  <si>
    <t>ft per m</t>
  </si>
  <si>
    <t>;From</t>
  </si>
  <si>
    <t>Keeping Forwards and Back Bearings</t>
  </si>
  <si>
    <t>Foresight</t>
  </si>
  <si>
    <t>Backsight</t>
  </si>
  <si>
    <t>From</t>
  </si>
  <si>
    <t>Depth Change</t>
  </si>
  <si>
    <t>8 30</t>
  </si>
  <si>
    <t>Copy and Paste data from column J-P into Therion Centreline data block</t>
  </si>
  <si>
    <t>A is at the base of the cable spike on the downstream side of Sump I</t>
  </si>
  <si>
    <t>B is on a rock at upstream end of pool</t>
  </si>
  <si>
    <t>C is on edge of pool 10' before Duck I</t>
  </si>
  <si>
    <t>D is in stream. Big rock (start of New Series survey) 10' away at 350 (deg). Big passage starts as continuation of Howards Dig.</t>
  </si>
  <si>
    <t>At 40' the roof lowers suddenly to Creep I. The big Bedding Plane passage comes in on the right, from -5' to 40'</t>
  </si>
  <si>
    <t>Pots</t>
  </si>
  <si>
    <t>L is at foot of climb to Approach passage. Clay fill remains 6' up on left wall.</t>
  </si>
  <si>
    <t>Pots. Very pretty coral on left wall</t>
  </si>
  <si>
    <t>1.5 foot deep pool starts at P.</t>
  </si>
  <si>
    <t>Pool 2.5' deep at R, ends 15' on. Scalloping as in Goughs 1st Sandy Chamber.</t>
  </si>
  <si>
    <t>S is marked on wall. At 20' there is a muddy chamber overhead.</t>
  </si>
  <si>
    <t>Bearls (sp.?) seen here.    Total = 650'</t>
  </si>
  <si>
    <t>#</t>
  </si>
  <si>
    <t>data normal from to tape compass backcompass clino ignoreall</t>
  </si>
  <si>
    <t>data diving from to tape compass backcompass depthchange ignoreall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</si>
</sst>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2" fontId="0" fillId="0" borderId="0" xfId="0" applyNumberFormat="1"/>
    <xf numFmtId="0" fontId="2" fillId="0" borderId="0" xfId="0" applyFont="1"/>
    <xf numFmtId="164" fontId="2" fillId="0" borderId="0" xfId="0" applyNumberFormat="1" applyFont="1"/>
    <xf numFmtId="0" fontId="0" fillId="0" borderId="0" xfId="0" applyFont="1"/>
    <xf numFmtId="0" fontId="0" fillId="0" borderId="0" xfId="0" applyFont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164" fontId="0" fillId="0" borderId="0" xfId="0" applyNumberFormat="1"/>
    <xf numFmtId="0" fontId="1" fillId="0" borderId="0" xfId="0" applyFont="1" applyAlignment="1">
      <alignment horizontal="center"/>
    </xf>
    <xf numFmtId="0" fontId="3" fillId="0" borderId="0" xfId="0" applyFont="1"/>
    <xf numFmtId="0" fontId="0" fillId="0" borderId="0" xfId="0" applyAlignment="1">
      <alignment horizontal="center"/>
    </xf>
  </cellXfs>
  <cellStyles count="1">
    <cellStyle name="Normal" xfId="0" builtinId="0"/>
  </cellStyles>
  <dxfs count="2"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6"/>
  <sheetViews>
    <sheetView workbookViewId="0">
      <selection activeCell="P26" sqref="P26"/>
    </sheetView>
  </sheetViews>
  <sheetFormatPr defaultRowHeight="15" x14ac:dyDescent="0.25"/>
  <cols>
    <col min="1" max="1" width="14.5703125" customWidth="1"/>
    <col min="2" max="2" width="11.42578125" bestFit="1" customWidth="1"/>
    <col min="6" max="6" width="17.5703125" bestFit="1" customWidth="1"/>
    <col min="11" max="11" width="13.85546875" bestFit="1" customWidth="1"/>
    <col min="12" max="12" width="1.85546875" customWidth="1"/>
  </cols>
  <sheetData>
    <row r="1" spans="1:16" x14ac:dyDescent="0.25">
      <c r="A1" s="1" t="s">
        <v>0</v>
      </c>
      <c r="B1" s="1" t="s">
        <v>1</v>
      </c>
      <c r="C1" s="1" t="s">
        <v>2</v>
      </c>
      <c r="D1" s="1"/>
      <c r="E1" s="1" t="s">
        <v>52</v>
      </c>
      <c r="F1" s="1"/>
      <c r="G1" s="1"/>
      <c r="H1" s="1"/>
      <c r="I1" s="1"/>
      <c r="J1" s="1"/>
      <c r="K1" s="1"/>
    </row>
    <row r="2" spans="1:16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</row>
    <row r="3" spans="1:16" x14ac:dyDescent="0.25">
      <c r="A3" s="1"/>
      <c r="B3" s="1"/>
      <c r="C3" s="1"/>
      <c r="D3" s="1"/>
      <c r="E3" s="10" t="s">
        <v>8</v>
      </c>
      <c r="F3" s="10"/>
      <c r="G3" s="1"/>
      <c r="H3" s="1"/>
      <c r="I3" s="1"/>
      <c r="J3" s="1"/>
      <c r="K3" s="1"/>
    </row>
    <row r="4" spans="1:16" x14ac:dyDescent="0.25">
      <c r="A4" s="1" t="s">
        <v>3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9</v>
      </c>
      <c r="H4" s="1" t="s">
        <v>10</v>
      </c>
      <c r="I4" s="1" t="s">
        <v>11</v>
      </c>
      <c r="J4" s="1" t="s">
        <v>12</v>
      </c>
      <c r="K4" s="1" t="s">
        <v>13</v>
      </c>
      <c r="M4" s="1" t="s">
        <v>48</v>
      </c>
      <c r="N4" s="1" t="s">
        <v>49</v>
      </c>
      <c r="O4" s="1" t="s">
        <v>50</v>
      </c>
      <c r="P4" s="1" t="s">
        <v>51</v>
      </c>
    </row>
    <row r="5" spans="1:16" x14ac:dyDescent="0.25">
      <c r="A5" s="1" t="s">
        <v>14</v>
      </c>
      <c r="B5" s="5" t="s">
        <v>15</v>
      </c>
      <c r="C5" s="6">
        <v>20</v>
      </c>
      <c r="D5" s="6" t="s">
        <v>16</v>
      </c>
      <c r="E5" s="6">
        <v>4</v>
      </c>
      <c r="F5" s="6" t="s">
        <v>17</v>
      </c>
      <c r="G5" s="6" t="s">
        <v>16</v>
      </c>
      <c r="H5" s="6">
        <v>103</v>
      </c>
      <c r="I5" s="6">
        <v>283</v>
      </c>
      <c r="J5" s="6">
        <v>21</v>
      </c>
      <c r="K5" s="6" t="s">
        <v>65</v>
      </c>
      <c r="M5" s="6">
        <v>20.8</v>
      </c>
      <c r="N5" s="6">
        <v>3.1</v>
      </c>
      <c r="P5" t="s">
        <v>67</v>
      </c>
    </row>
    <row r="6" spans="1:16" x14ac:dyDescent="0.25">
      <c r="A6" s="1" t="s">
        <v>15</v>
      </c>
      <c r="B6" s="5" t="s">
        <v>18</v>
      </c>
      <c r="C6" s="6">
        <v>6</v>
      </c>
      <c r="D6" s="6">
        <v>3.5</v>
      </c>
      <c r="E6" s="6">
        <v>3</v>
      </c>
      <c r="F6" s="6">
        <v>6</v>
      </c>
      <c r="G6" s="6" t="s">
        <v>19</v>
      </c>
      <c r="H6" s="6" t="s">
        <v>16</v>
      </c>
      <c r="I6" s="6" t="s">
        <v>19</v>
      </c>
      <c r="J6" s="6">
        <v>27</v>
      </c>
      <c r="K6" s="6">
        <v>-9.5</v>
      </c>
      <c r="M6">
        <v>26.7</v>
      </c>
      <c r="N6" s="6">
        <v>-4.5</v>
      </c>
      <c r="O6" s="6">
        <v>3.1</v>
      </c>
      <c r="P6" t="s">
        <v>68</v>
      </c>
    </row>
    <row r="7" spans="1:16" x14ac:dyDescent="0.25">
      <c r="A7" s="1" t="s">
        <v>18</v>
      </c>
      <c r="B7" s="5" t="s">
        <v>23</v>
      </c>
      <c r="C7" s="6">
        <v>7</v>
      </c>
      <c r="D7" s="6" t="s">
        <v>16</v>
      </c>
      <c r="E7" s="6">
        <v>4</v>
      </c>
      <c r="F7" s="6">
        <v>2</v>
      </c>
      <c r="G7" s="6" t="s">
        <v>16</v>
      </c>
      <c r="H7" s="6">
        <v>83</v>
      </c>
      <c r="I7" s="6">
        <v>263</v>
      </c>
      <c r="J7" s="6">
        <v>37</v>
      </c>
      <c r="K7" s="6" t="s">
        <v>43</v>
      </c>
      <c r="M7" s="6">
        <v>37</v>
      </c>
      <c r="N7" s="6">
        <v>1.5</v>
      </c>
      <c r="O7" s="6">
        <v>-1.4</v>
      </c>
      <c r="P7" t="s">
        <v>69</v>
      </c>
    </row>
    <row r="8" spans="1:16" x14ac:dyDescent="0.25">
      <c r="A8" s="1" t="s">
        <v>23</v>
      </c>
      <c r="B8" s="5" t="s">
        <v>24</v>
      </c>
      <c r="C8" s="6">
        <v>25</v>
      </c>
      <c r="D8" s="6">
        <v>2</v>
      </c>
      <c r="E8" s="6" t="s">
        <v>16</v>
      </c>
      <c r="F8" s="6">
        <v>10</v>
      </c>
      <c r="G8" s="6" t="s">
        <v>42</v>
      </c>
      <c r="H8" s="6" t="s">
        <v>16</v>
      </c>
      <c r="I8" s="6" t="s">
        <v>42</v>
      </c>
      <c r="J8" s="6">
        <v>16.2</v>
      </c>
      <c r="K8" s="6">
        <v>4.3</v>
      </c>
      <c r="M8">
        <v>16.100000000000001</v>
      </c>
      <c r="N8" s="6">
        <v>1.3</v>
      </c>
      <c r="O8" s="6">
        <v>0.1</v>
      </c>
      <c r="P8" t="s">
        <v>70</v>
      </c>
    </row>
    <row r="9" spans="1:16" x14ac:dyDescent="0.25">
      <c r="A9" s="1" t="s">
        <v>24</v>
      </c>
      <c r="B9" s="5" t="s">
        <v>25</v>
      </c>
      <c r="C9" s="6">
        <v>25</v>
      </c>
      <c r="D9" s="6">
        <v>4.5</v>
      </c>
      <c r="E9" s="6">
        <v>6</v>
      </c>
      <c r="F9" s="6" t="s">
        <v>16</v>
      </c>
      <c r="G9" s="6" t="s">
        <v>16</v>
      </c>
      <c r="H9" s="6">
        <v>78</v>
      </c>
      <c r="I9" s="6">
        <v>258</v>
      </c>
      <c r="J9" s="6">
        <v>47</v>
      </c>
      <c r="K9" s="6">
        <v>-5.3</v>
      </c>
      <c r="M9" s="6">
        <v>46.8</v>
      </c>
      <c r="N9" s="6">
        <v>-4.5</v>
      </c>
      <c r="O9" s="6">
        <v>1.4</v>
      </c>
    </row>
    <row r="10" spans="1:16" x14ac:dyDescent="0.25">
      <c r="A10" s="1" t="s">
        <v>25</v>
      </c>
      <c r="B10" s="5" t="s">
        <v>26</v>
      </c>
      <c r="C10" s="6">
        <v>4</v>
      </c>
      <c r="D10" s="6">
        <v>2</v>
      </c>
      <c r="E10" s="6">
        <v>0.5</v>
      </c>
      <c r="F10" s="6" t="s">
        <v>41</v>
      </c>
      <c r="G10" s="6">
        <v>292</v>
      </c>
      <c r="H10" s="6" t="s">
        <v>16</v>
      </c>
      <c r="I10" s="6">
        <v>292</v>
      </c>
      <c r="J10" s="6">
        <v>48</v>
      </c>
      <c r="K10" s="6" t="s">
        <v>53</v>
      </c>
      <c r="M10">
        <v>48</v>
      </c>
      <c r="N10" s="6">
        <v>-2.5</v>
      </c>
      <c r="O10" s="6">
        <v>-3.1</v>
      </c>
      <c r="P10" t="s">
        <v>71</v>
      </c>
    </row>
    <row r="11" spans="1:16" x14ac:dyDescent="0.25">
      <c r="A11" s="1" t="s">
        <v>26</v>
      </c>
      <c r="B11" s="5" t="s">
        <v>27</v>
      </c>
      <c r="C11" s="6">
        <v>2.5</v>
      </c>
      <c r="D11" s="6">
        <v>0.5</v>
      </c>
      <c r="E11" s="6">
        <v>3.5</v>
      </c>
      <c r="F11" s="6">
        <v>7</v>
      </c>
      <c r="G11" s="6" t="s">
        <v>16</v>
      </c>
      <c r="H11" s="6">
        <v>159</v>
      </c>
      <c r="I11" s="6">
        <v>339</v>
      </c>
      <c r="J11" s="6">
        <v>36</v>
      </c>
      <c r="K11" s="6" t="s">
        <v>44</v>
      </c>
      <c r="M11" s="6">
        <v>36</v>
      </c>
      <c r="N11">
        <v>0</v>
      </c>
      <c r="O11" s="6">
        <v>-5.6</v>
      </c>
    </row>
    <row r="12" spans="1:16" x14ac:dyDescent="0.25">
      <c r="A12" s="1" t="s">
        <v>27</v>
      </c>
      <c r="B12" s="5" t="s">
        <v>28</v>
      </c>
      <c r="C12" s="6">
        <v>15</v>
      </c>
      <c r="D12" s="6">
        <v>1</v>
      </c>
      <c r="E12" s="6">
        <v>10</v>
      </c>
      <c r="F12" s="6">
        <v>3</v>
      </c>
      <c r="G12" s="6">
        <v>247</v>
      </c>
      <c r="H12" s="6" t="s">
        <v>16</v>
      </c>
      <c r="I12" s="6">
        <v>247</v>
      </c>
      <c r="J12" s="6">
        <v>31</v>
      </c>
      <c r="K12" s="6">
        <v>-2.2999999999999998</v>
      </c>
      <c r="M12" s="6">
        <v>31</v>
      </c>
      <c r="N12" s="6">
        <v>-1.3</v>
      </c>
      <c r="O12" s="6">
        <v>-5.6</v>
      </c>
    </row>
    <row r="13" spans="1:16" x14ac:dyDescent="0.25">
      <c r="A13" s="1" t="s">
        <v>28</v>
      </c>
      <c r="B13" s="5" t="s">
        <v>29</v>
      </c>
      <c r="C13" s="6">
        <v>15</v>
      </c>
      <c r="D13" s="6">
        <v>1</v>
      </c>
      <c r="E13" s="6">
        <v>8</v>
      </c>
      <c r="F13" s="6">
        <v>2</v>
      </c>
      <c r="G13" s="6" t="s">
        <v>16</v>
      </c>
      <c r="H13" s="6">
        <v>95</v>
      </c>
      <c r="I13" s="6">
        <v>275</v>
      </c>
      <c r="J13" s="6">
        <v>26</v>
      </c>
      <c r="K13" s="6">
        <v>2</v>
      </c>
      <c r="M13" s="6">
        <v>26</v>
      </c>
      <c r="N13" s="6">
        <v>0.9</v>
      </c>
      <c r="O13" s="6">
        <v>-6.9</v>
      </c>
    </row>
    <row r="14" spans="1:16" x14ac:dyDescent="0.25">
      <c r="A14" s="1" t="s">
        <v>29</v>
      </c>
      <c r="B14" s="5" t="s">
        <v>30</v>
      </c>
      <c r="C14" s="6">
        <v>8</v>
      </c>
      <c r="D14" s="6">
        <v>3</v>
      </c>
      <c r="E14" s="6">
        <v>1</v>
      </c>
      <c r="F14" s="6">
        <v>2</v>
      </c>
      <c r="G14" s="6">
        <v>320</v>
      </c>
      <c r="H14" s="6" t="s">
        <v>16</v>
      </c>
      <c r="I14" s="6">
        <v>320</v>
      </c>
      <c r="J14" s="6">
        <v>26.5</v>
      </c>
      <c r="K14" s="6">
        <v>1</v>
      </c>
      <c r="M14" s="6">
        <v>26.5</v>
      </c>
      <c r="N14" s="6">
        <v>0.5</v>
      </c>
      <c r="O14" s="6">
        <v>-6</v>
      </c>
      <c r="P14" t="s">
        <v>72</v>
      </c>
    </row>
    <row r="15" spans="1:16" x14ac:dyDescent="0.25">
      <c r="A15" s="1" t="s">
        <v>30</v>
      </c>
      <c r="B15" s="5" t="s">
        <v>31</v>
      </c>
      <c r="C15" s="6">
        <v>25</v>
      </c>
      <c r="D15" s="6">
        <v>4.5</v>
      </c>
      <c r="E15" s="6" t="s">
        <v>16</v>
      </c>
      <c r="F15" s="6">
        <v>4</v>
      </c>
      <c r="G15" s="6" t="s">
        <v>16</v>
      </c>
      <c r="H15" s="6">
        <v>193</v>
      </c>
      <c r="I15" s="6">
        <v>13</v>
      </c>
      <c r="J15" s="6">
        <v>17.5</v>
      </c>
      <c r="K15" s="6">
        <v>-9</v>
      </c>
      <c r="M15" s="6">
        <v>17.3</v>
      </c>
      <c r="N15" s="6">
        <v>-2.7</v>
      </c>
      <c r="O15" s="6">
        <v>-5.5</v>
      </c>
      <c r="P15" t="s">
        <v>72</v>
      </c>
    </row>
    <row r="16" spans="1:16" x14ac:dyDescent="0.25">
      <c r="A16" s="1" t="s">
        <v>31</v>
      </c>
      <c r="B16" s="5" t="s">
        <v>32</v>
      </c>
      <c r="C16" s="6">
        <v>20</v>
      </c>
      <c r="D16" s="6">
        <v>3</v>
      </c>
      <c r="E16" s="6">
        <v>2</v>
      </c>
      <c r="F16" s="6">
        <v>2</v>
      </c>
      <c r="G16" s="6">
        <v>299</v>
      </c>
      <c r="H16" s="6" t="s">
        <v>16</v>
      </c>
      <c r="I16" s="6">
        <v>299</v>
      </c>
      <c r="J16" s="6">
        <v>33</v>
      </c>
      <c r="K16" s="6">
        <v>-3</v>
      </c>
      <c r="M16" s="6">
        <v>33</v>
      </c>
      <c r="N16" s="6">
        <v>-1.7</v>
      </c>
      <c r="O16" s="6">
        <v>-8.1999999999999993</v>
      </c>
      <c r="P16" t="s">
        <v>73</v>
      </c>
    </row>
    <row r="17" spans="1:16" x14ac:dyDescent="0.25">
      <c r="A17" s="1" t="s">
        <v>32</v>
      </c>
      <c r="B17" s="5" t="s">
        <v>33</v>
      </c>
      <c r="C17" s="6">
        <v>15</v>
      </c>
      <c r="D17" s="6">
        <v>7</v>
      </c>
      <c r="E17" s="6">
        <v>4</v>
      </c>
      <c r="F17" s="6" t="s">
        <v>16</v>
      </c>
      <c r="G17" s="6" t="s">
        <v>16</v>
      </c>
      <c r="H17" s="6">
        <v>142</v>
      </c>
      <c r="I17" s="6">
        <v>322</v>
      </c>
      <c r="J17" s="6">
        <v>43</v>
      </c>
      <c r="K17" s="6">
        <v>-7.3</v>
      </c>
      <c r="M17" s="6">
        <v>42.7</v>
      </c>
      <c r="N17" s="6">
        <v>-5.6</v>
      </c>
      <c r="O17" s="6">
        <v>-9.9</v>
      </c>
      <c r="P17" t="s">
        <v>72</v>
      </c>
    </row>
    <row r="18" spans="1:16" x14ac:dyDescent="0.25">
      <c r="A18" s="1" t="s">
        <v>33</v>
      </c>
      <c r="B18" s="5" t="s">
        <v>34</v>
      </c>
      <c r="C18" s="6">
        <v>25</v>
      </c>
      <c r="D18" s="6">
        <v>3</v>
      </c>
      <c r="E18" s="6">
        <v>2</v>
      </c>
      <c r="F18" s="6">
        <v>1</v>
      </c>
      <c r="G18" s="6">
        <v>281</v>
      </c>
      <c r="H18" s="6" t="s">
        <v>16</v>
      </c>
      <c r="I18" s="6">
        <v>281</v>
      </c>
      <c r="J18" s="6">
        <v>15.5</v>
      </c>
      <c r="K18" s="6">
        <v>-2</v>
      </c>
      <c r="M18" s="6">
        <v>15.5</v>
      </c>
      <c r="N18" s="6">
        <v>-0.5</v>
      </c>
      <c r="O18" s="6">
        <v>-15.5</v>
      </c>
      <c r="P18" t="s">
        <v>72</v>
      </c>
    </row>
    <row r="19" spans="1:16" x14ac:dyDescent="0.25">
      <c r="A19" s="1" t="s">
        <v>34</v>
      </c>
      <c r="B19" s="5" t="s">
        <v>35</v>
      </c>
      <c r="C19" s="6">
        <v>40</v>
      </c>
      <c r="D19" s="6">
        <v>4.5</v>
      </c>
      <c r="E19" s="6">
        <v>2</v>
      </c>
      <c r="F19" s="6">
        <v>2</v>
      </c>
      <c r="G19" s="6" t="s">
        <v>16</v>
      </c>
      <c r="H19" s="6">
        <v>127</v>
      </c>
      <c r="I19" s="6">
        <v>307</v>
      </c>
      <c r="J19" s="6">
        <v>56</v>
      </c>
      <c r="K19" s="6">
        <v>-5</v>
      </c>
      <c r="M19" s="6">
        <v>55.8</v>
      </c>
      <c r="N19" s="6">
        <v>-4.9000000000000004</v>
      </c>
      <c r="O19" s="6">
        <v>-16</v>
      </c>
      <c r="P19" t="s">
        <v>74</v>
      </c>
    </row>
    <row r="20" spans="1:16" x14ac:dyDescent="0.25">
      <c r="A20" s="1" t="s">
        <v>35</v>
      </c>
      <c r="B20" s="5" t="s">
        <v>36</v>
      </c>
      <c r="C20" s="6">
        <v>40</v>
      </c>
      <c r="D20" s="6">
        <v>3</v>
      </c>
      <c r="E20" s="6">
        <v>2</v>
      </c>
      <c r="F20" s="6">
        <v>3</v>
      </c>
      <c r="G20" s="6">
        <v>283</v>
      </c>
      <c r="H20" s="6" t="s">
        <v>16</v>
      </c>
      <c r="I20" s="6">
        <v>283</v>
      </c>
      <c r="J20" s="6">
        <v>15.8</v>
      </c>
      <c r="K20" s="6">
        <v>-0.15</v>
      </c>
      <c r="M20" s="6">
        <v>15.8</v>
      </c>
      <c r="N20" s="6">
        <v>-0.1</v>
      </c>
      <c r="O20" s="6">
        <v>-20.9</v>
      </c>
    </row>
    <row r="21" spans="1:16" x14ac:dyDescent="0.25">
      <c r="A21" s="1" t="s">
        <v>36</v>
      </c>
      <c r="B21" s="5" t="s">
        <v>37</v>
      </c>
      <c r="C21" s="6">
        <v>40</v>
      </c>
      <c r="D21" s="6">
        <v>4</v>
      </c>
      <c r="E21" s="6">
        <v>4</v>
      </c>
      <c r="F21" s="6" t="s">
        <v>16</v>
      </c>
      <c r="G21" s="6" t="s">
        <v>16</v>
      </c>
      <c r="H21" s="6">
        <v>37</v>
      </c>
      <c r="I21" s="6">
        <v>217</v>
      </c>
      <c r="J21" s="6">
        <v>15.3</v>
      </c>
      <c r="K21" s="6" t="s">
        <v>45</v>
      </c>
      <c r="M21" s="6">
        <v>15.3</v>
      </c>
      <c r="N21" s="6">
        <v>-4</v>
      </c>
      <c r="O21" s="6">
        <v>-21</v>
      </c>
      <c r="P21" t="s">
        <v>75</v>
      </c>
    </row>
    <row r="22" spans="1:16" x14ac:dyDescent="0.25">
      <c r="A22" s="1" t="s">
        <v>37</v>
      </c>
      <c r="B22" s="5" t="s">
        <v>40</v>
      </c>
      <c r="C22" s="6">
        <v>40</v>
      </c>
      <c r="D22" s="6" t="s">
        <v>16</v>
      </c>
      <c r="E22" s="6" t="s">
        <v>16</v>
      </c>
      <c r="F22" s="6">
        <v>4</v>
      </c>
      <c r="G22" s="6">
        <v>310</v>
      </c>
      <c r="H22" s="6" t="s">
        <v>16</v>
      </c>
      <c r="I22" s="6">
        <v>310</v>
      </c>
      <c r="J22" s="6">
        <v>39.5</v>
      </c>
      <c r="K22" s="6" t="s">
        <v>46</v>
      </c>
      <c r="M22" s="6">
        <v>39.5</v>
      </c>
      <c r="N22" s="6">
        <v>4</v>
      </c>
      <c r="O22" s="6">
        <v>-25</v>
      </c>
      <c r="P22" t="s">
        <v>76</v>
      </c>
    </row>
    <row r="23" spans="1:16" x14ac:dyDescent="0.25">
      <c r="A23" s="1" t="s">
        <v>40</v>
      </c>
      <c r="B23" s="5" t="s">
        <v>38</v>
      </c>
      <c r="C23" s="6">
        <v>12</v>
      </c>
      <c r="D23" s="6">
        <v>4.5</v>
      </c>
      <c r="E23" s="6">
        <v>8</v>
      </c>
      <c r="F23" s="6" t="s">
        <v>16</v>
      </c>
      <c r="G23" s="6" t="s">
        <v>16</v>
      </c>
      <c r="H23" s="6">
        <v>58</v>
      </c>
      <c r="I23" s="6">
        <v>238</v>
      </c>
      <c r="J23" s="6">
        <v>39.6</v>
      </c>
      <c r="K23" s="6">
        <v>-2.7</v>
      </c>
      <c r="M23" s="6">
        <v>39.6</v>
      </c>
      <c r="N23" s="6">
        <v>-1.9</v>
      </c>
      <c r="O23" s="6">
        <v>-21</v>
      </c>
      <c r="P23" t="s">
        <v>77</v>
      </c>
    </row>
    <row r="24" spans="1:16" x14ac:dyDescent="0.25">
      <c r="A24" s="1" t="s">
        <v>38</v>
      </c>
      <c r="B24" s="5" t="s">
        <v>39</v>
      </c>
      <c r="C24" s="6">
        <v>2</v>
      </c>
      <c r="D24" s="6">
        <v>2.5</v>
      </c>
      <c r="E24" s="6">
        <v>15</v>
      </c>
      <c r="F24" s="6">
        <v>6</v>
      </c>
      <c r="G24" s="6">
        <v>148</v>
      </c>
      <c r="H24" s="6" t="s">
        <v>16</v>
      </c>
      <c r="I24" s="6">
        <v>148</v>
      </c>
      <c r="J24" s="6">
        <v>49</v>
      </c>
      <c r="K24" s="6" t="s">
        <v>47</v>
      </c>
      <c r="M24" s="6">
        <v>49</v>
      </c>
      <c r="N24" s="6">
        <v>-1.7</v>
      </c>
      <c r="O24" s="6">
        <v>-22.9</v>
      </c>
    </row>
    <row r="25" spans="1:16" x14ac:dyDescent="0.25">
      <c r="A25" s="1" t="s">
        <v>39</v>
      </c>
      <c r="B25" s="5"/>
      <c r="C25" s="6">
        <v>1.5</v>
      </c>
      <c r="D25" s="6">
        <v>1.5</v>
      </c>
      <c r="E25" s="6"/>
      <c r="F25" s="6"/>
      <c r="G25" s="6"/>
      <c r="H25" s="6"/>
      <c r="I25" s="6"/>
      <c r="J25" s="6"/>
      <c r="K25" s="6"/>
      <c r="O25" s="6">
        <v>-24.6</v>
      </c>
      <c r="P25" t="s">
        <v>78</v>
      </c>
    </row>
    <row r="26" spans="1:16" x14ac:dyDescent="0.25">
      <c r="C26" s="7"/>
      <c r="D26" s="7"/>
      <c r="E26" s="7"/>
      <c r="F26" s="7"/>
      <c r="G26" s="7"/>
      <c r="H26" s="7"/>
      <c r="I26" s="7"/>
      <c r="J26" s="7"/>
      <c r="K26" s="7"/>
    </row>
  </sheetData>
  <mergeCells count="1">
    <mergeCell ref="E3:F3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36"/>
  <sheetViews>
    <sheetView workbookViewId="0">
      <selection activeCell="P23" sqref="P23:P25"/>
    </sheetView>
  </sheetViews>
  <sheetFormatPr defaultRowHeight="15" x14ac:dyDescent="0.25"/>
  <cols>
    <col min="11" max="11" width="10.5703125" bestFit="1" customWidth="1"/>
    <col min="12" max="15" width="10" customWidth="1"/>
  </cols>
  <sheetData>
    <row r="1" spans="1:18" x14ac:dyDescent="0.25">
      <c r="A1" t="str">
        <f>IF('Raw Data'!A1="","",'Raw Data'!A1)</f>
        <v>21st July 1951</v>
      </c>
      <c r="B1" t="str">
        <f>IF('Raw Data'!B1="","",'Raw Data'!B1)</f>
        <v>W.I.Stanton</v>
      </c>
      <c r="C1" t="str">
        <f>IF('Raw Data'!C1="","",'Raw Data'!C1)</f>
        <v>SWILDONS HOLE</v>
      </c>
      <c r="D1" t="str">
        <f>IF('Raw Data'!D1="","",'Raw Data'!D1)</f>
        <v/>
      </c>
      <c r="E1" t="str">
        <f>IF('Raw Data'!E1="","",'Raw Data'!E1)</f>
        <v>PDF p.49-50</v>
      </c>
      <c r="F1" t="str">
        <f>IF('Raw Data'!F1="","",'Raw Data'!F1)</f>
        <v/>
      </c>
      <c r="G1" t="s">
        <v>58</v>
      </c>
      <c r="H1">
        <v>3.28</v>
      </c>
      <c r="I1" t="str">
        <f>IF('Raw Data'!I1="","",'Raw Data'!I1)</f>
        <v/>
      </c>
      <c r="J1" t="str">
        <f>IF('Raw Data'!J1="","",'Raw Data'!J1)</f>
        <v/>
      </c>
      <c r="K1" t="str">
        <f>IF('Raw Data'!K1="","",'Raw Data'!K1)</f>
        <v/>
      </c>
      <c r="Q1" s="3" t="s">
        <v>22</v>
      </c>
    </row>
    <row r="2" spans="1:18" x14ac:dyDescent="0.25">
      <c r="Q2" s="3"/>
    </row>
    <row r="3" spans="1:18" x14ac:dyDescent="0.25">
      <c r="A3" t="str">
        <f>IF('Raw Data'!A3="","",'Raw Data'!A3)</f>
        <v/>
      </c>
      <c r="B3" t="str">
        <f>IF('Raw Data'!B3="","",'Raw Data'!B3)</f>
        <v/>
      </c>
      <c r="C3" t="str">
        <f>IF('Raw Data'!C3="","",'Raw Data'!C3)</f>
        <v/>
      </c>
      <c r="D3" t="str">
        <f>IF('Raw Data'!D3="","",'Raw Data'!D3)</f>
        <v/>
      </c>
      <c r="E3" s="12" t="str">
        <f>IF('Raw Data'!E3="","",'Raw Data'!E3)</f>
        <v>Looking Forward</v>
      </c>
      <c r="F3" s="12"/>
      <c r="G3" t="str">
        <f>IF('Raw Data'!G3="","",'Raw Data'!G3)</f>
        <v/>
      </c>
      <c r="H3" t="str">
        <f>IF('Raw Data'!H3="","",'Raw Data'!H3)</f>
        <v/>
      </c>
      <c r="I3" t="str">
        <f>IF('Raw Data'!I3="","",'Raw Data'!I3)</f>
        <v/>
      </c>
      <c r="J3" t="str">
        <f>IF('Raw Data'!J3="","",'Raw Data'!J3)</f>
        <v/>
      </c>
      <c r="K3" t="str">
        <f>IF('Raw Data'!K3="","",'Raw Data'!K3)</f>
        <v/>
      </c>
    </row>
    <row r="4" spans="1:18" x14ac:dyDescent="0.25">
      <c r="A4" t="str">
        <f>IF('Raw Data'!A4="","",'Raw Data'!A4)</f>
        <v>Sta.</v>
      </c>
      <c r="B4" t="str">
        <f>IF('Raw Data'!B4="","",'Raw Data'!B4)</f>
        <v>Sta.</v>
      </c>
      <c r="C4" t="str">
        <f>IF('Raw Data'!C4="","",'Raw Data'!C4)</f>
        <v>Ht Rf</v>
      </c>
      <c r="D4" t="str">
        <f>IF('Raw Data'!D4="","",'Raw Data'!D4)</f>
        <v>Dp Fl</v>
      </c>
      <c r="E4" t="str">
        <f>IF('Raw Data'!E4="","",'Raw Data'!E4)</f>
        <v>Width L</v>
      </c>
      <c r="F4" t="str">
        <f>IF('Raw Data'!F4="","",'Raw Data'!F4)</f>
        <v>Width R</v>
      </c>
      <c r="G4" t="str">
        <f>IF('Raw Data'!G4="","",'Raw Data'!G4)</f>
        <v>FS</v>
      </c>
      <c r="H4" t="str">
        <f>IF('Raw Data'!H4="","",'Raw Data'!H4)</f>
        <v>BS</v>
      </c>
      <c r="I4" t="str">
        <f>IF('Raw Data'!I4="","",'Raw Data'!I4)</f>
        <v>Bearing</v>
      </c>
      <c r="J4" t="str">
        <f>IF('Raw Data'!J4="","",'Raw Data'!J4)</f>
        <v>Distance</v>
      </c>
      <c r="K4" t="str">
        <f>IF('Raw Data'!K4="","",'Raw Data'!K4)</f>
        <v>Fore Clino</v>
      </c>
      <c r="L4" t="str">
        <f>IF('Raw Data'!L4="","",'Raw Data'!L4)</f>
        <v/>
      </c>
      <c r="M4" t="str">
        <f>IF('Raw Data'!M4="","",'Raw Data'!M4)</f>
        <v>Hor Dist.</v>
      </c>
      <c r="N4" t="str">
        <f>IF('Raw Data'!N4="","",'Raw Data'!N4)</f>
        <v>Vert Dist.</v>
      </c>
      <c r="O4" t="str">
        <f>IF('Raw Data'!O4="","",'Raw Data'!O4)</f>
        <v>Dp. Below sump I</v>
      </c>
      <c r="Q4" s="3" t="s">
        <v>20</v>
      </c>
      <c r="R4" s="3" t="s">
        <v>21</v>
      </c>
    </row>
    <row r="5" spans="1:18" x14ac:dyDescent="0.25">
      <c r="A5" t="str">
        <f>IF('Raw Data'!A5="","",'Raw Data'!A5)</f>
        <v>A</v>
      </c>
      <c r="B5" t="str">
        <f>IF('Raw Data'!B5="","",'Raw Data'!B5)</f>
        <v>B</v>
      </c>
      <c r="C5">
        <f>IF('Raw Data'!C5="","",'Raw Data'!C5)</f>
        <v>20</v>
      </c>
      <c r="D5" t="str">
        <f>IF('Raw Data'!D5="","",'Raw Data'!D5)</f>
        <v>-</v>
      </c>
      <c r="E5">
        <f>IF('Raw Data'!E5="","",'Raw Data'!E5)</f>
        <v>4</v>
      </c>
      <c r="F5">
        <v>4</v>
      </c>
      <c r="G5" s="7" t="str">
        <f>IF('Raw Data'!G5="","",SUBSTITUTE('Raw Data'!G5," ",":",1))</f>
        <v>-</v>
      </c>
      <c r="H5" s="7" t="str">
        <f>IF('Raw Data'!H5="","",SUBSTITUTE('Raw Data'!H5," ",":",1))</f>
        <v>103</v>
      </c>
      <c r="I5" s="7" t="str">
        <f>IF('Raw Data'!I5="","",SUBSTITUTE('Raw Data'!I5," ",":",1))</f>
        <v>283</v>
      </c>
      <c r="J5">
        <f>IF('Raw Data'!J5="","",'Raw Data'!J5)</f>
        <v>21</v>
      </c>
      <c r="K5" t="str">
        <f>IF('Raw Data'!K5="","",'Raw Data'!K5)</f>
        <v>8 30</v>
      </c>
      <c r="L5" t="str">
        <f>IF('Raw Data'!L5="","",'Raw Data'!L5)</f>
        <v/>
      </c>
      <c r="M5">
        <f>IF('Raw Data'!M5="","",'Raw Data'!M5)</f>
        <v>20.8</v>
      </c>
      <c r="N5">
        <f>IF('Raw Data'!N5="","",'Raw Data'!N5)</f>
        <v>3.1</v>
      </c>
      <c r="O5" t="str">
        <f>IF('Raw Data'!O5="","",'Raw Data'!O5)</f>
        <v/>
      </c>
      <c r="P5" t="str">
        <f>IF('Raw Data'!P5="","",'Raw Data'!P5)</f>
        <v>A is at the base of the cable spike on the downstream side of Sump I</v>
      </c>
      <c r="Q5" s="4" t="e">
        <f t="shared" ref="Q5" si="0">J5*COS(K5*PI()/180)</f>
        <v>#VALUE!</v>
      </c>
      <c r="R5" s="4" t="e">
        <f t="shared" ref="R5" si="1">J5*SIN(K5*PI()/180)</f>
        <v>#VALUE!</v>
      </c>
    </row>
    <row r="6" spans="1:18" x14ac:dyDescent="0.25">
      <c r="A6" t="str">
        <f>IF('Raw Data'!A6="","",'Raw Data'!A6)</f>
        <v>B</v>
      </c>
      <c r="B6" t="str">
        <f>IF('Raw Data'!B6="","",'Raw Data'!B6)</f>
        <v>C</v>
      </c>
      <c r="C6">
        <f>IF('Raw Data'!C6="","",'Raw Data'!C6)</f>
        <v>6</v>
      </c>
      <c r="D6">
        <f>IF('Raw Data'!D6="","",'Raw Data'!D6)</f>
        <v>3.5</v>
      </c>
      <c r="E6">
        <f>IF('Raw Data'!E6="","",'Raw Data'!E6)</f>
        <v>3</v>
      </c>
      <c r="F6">
        <v>5</v>
      </c>
      <c r="G6" s="7" t="str">
        <f>IF('Raw Data'!G6="","",SUBSTITUTE('Raw Data'!G6," ",":",1))</f>
        <v>322:30</v>
      </c>
      <c r="H6" s="7" t="str">
        <f>IF('Raw Data'!H6="","",SUBSTITUTE('Raw Data'!H6," ",":",1))</f>
        <v>-</v>
      </c>
      <c r="I6" s="7" t="str">
        <f>IF('Raw Data'!I6="","",SUBSTITUTE('Raw Data'!I6," ",":",1))</f>
        <v>322:30</v>
      </c>
      <c r="J6">
        <f>IF('Raw Data'!J6="","",'Raw Data'!J6)</f>
        <v>27</v>
      </c>
      <c r="K6">
        <f>IF('Raw Data'!K6="","",'Raw Data'!K6)</f>
        <v>-9.5</v>
      </c>
      <c r="L6" t="str">
        <f>IF('Raw Data'!L6="","",'Raw Data'!L6)</f>
        <v/>
      </c>
      <c r="M6">
        <f>IF('Raw Data'!M6="","",'Raw Data'!M6)</f>
        <v>26.7</v>
      </c>
      <c r="N6">
        <f>IF('Raw Data'!N6="","",'Raw Data'!N6)</f>
        <v>-4.5</v>
      </c>
      <c r="O6">
        <f>IF('Raw Data'!O6="","",'Raw Data'!O6)</f>
        <v>3.1</v>
      </c>
      <c r="P6" t="str">
        <f>IF('Raw Data'!P6="","",'Raw Data'!P6)</f>
        <v>B is on a rock at upstream end of pool</v>
      </c>
      <c r="Q6" s="4">
        <f t="shared" ref="Q6:Q24" si="2">J6*COS(K6*PI()/180)</f>
        <v>26.629711241505248</v>
      </c>
      <c r="R6" s="4">
        <f t="shared" ref="R6:R24" si="3">J6*SIN(K6*PI()/180)</f>
        <v>-4.4562853582382962</v>
      </c>
    </row>
    <row r="7" spans="1:18" x14ac:dyDescent="0.25">
      <c r="A7" t="str">
        <f>IF('Raw Data'!A7="","",'Raw Data'!A7)</f>
        <v>C</v>
      </c>
      <c r="B7" t="str">
        <f>IF('Raw Data'!B7="","",'Raw Data'!B7)</f>
        <v>D</v>
      </c>
      <c r="C7">
        <f>IF('Raw Data'!C7="","",'Raw Data'!C7)</f>
        <v>7</v>
      </c>
      <c r="D7" t="str">
        <f>IF('Raw Data'!D7="","",'Raw Data'!D7)</f>
        <v>-</v>
      </c>
      <c r="E7">
        <f>IF('Raw Data'!E7="","",'Raw Data'!E7)</f>
        <v>4</v>
      </c>
      <c r="F7">
        <v>6</v>
      </c>
      <c r="G7" s="7" t="str">
        <f>IF('Raw Data'!G7="","",SUBSTITUTE('Raw Data'!G7," ",":",1))</f>
        <v>-</v>
      </c>
      <c r="H7" s="7" t="str">
        <f>IF('Raw Data'!H7="","",SUBSTITUTE('Raw Data'!H7," ",":",1))</f>
        <v>83</v>
      </c>
      <c r="I7" s="7" t="str">
        <f>IF('Raw Data'!I7="","",SUBSTITUTE('Raw Data'!I7," ",":",1))</f>
        <v>263</v>
      </c>
      <c r="J7">
        <f>IF('Raw Data'!J7="","",'Raw Data'!J7)</f>
        <v>37</v>
      </c>
      <c r="K7" s="2">
        <f>ASIN(N7/J7)*180/PI()</f>
        <v>2.3234386110520671</v>
      </c>
      <c r="L7" t="str">
        <f>IF('Raw Data'!L7="","",'Raw Data'!L7)</f>
        <v/>
      </c>
      <c r="M7">
        <f>IF('Raw Data'!M7="","",'Raw Data'!M7)</f>
        <v>37</v>
      </c>
      <c r="N7">
        <f>IF('Raw Data'!N7="","",'Raw Data'!N7)</f>
        <v>1.5</v>
      </c>
      <c r="O7">
        <f>IF('Raw Data'!O7="","",'Raw Data'!O7)</f>
        <v>-1.4</v>
      </c>
      <c r="P7" t="str">
        <f>IF('Raw Data'!P7="","",'Raw Data'!P7)</f>
        <v>C is on edge of pool 10' before Duck I</v>
      </c>
      <c r="Q7" s="4">
        <f t="shared" si="2"/>
        <v>36.96958209122738</v>
      </c>
      <c r="R7" s="4">
        <f t="shared" si="3"/>
        <v>1.5</v>
      </c>
    </row>
    <row r="8" spans="1:18" x14ac:dyDescent="0.25">
      <c r="A8" t="str">
        <f>IF('Raw Data'!A8="","",'Raw Data'!A8)</f>
        <v>D</v>
      </c>
      <c r="B8" t="str">
        <f>IF('Raw Data'!B8="","",'Raw Data'!B8)</f>
        <v>E</v>
      </c>
      <c r="C8">
        <f>IF('Raw Data'!C8="","",'Raw Data'!C8)</f>
        <v>25</v>
      </c>
      <c r="D8">
        <f>IF('Raw Data'!D8="","",'Raw Data'!D8)</f>
        <v>2</v>
      </c>
      <c r="E8" t="str">
        <f>IF('Raw Data'!E8="","",'Raw Data'!E8)</f>
        <v>-</v>
      </c>
      <c r="F8">
        <v>7</v>
      </c>
      <c r="G8" s="7" t="str">
        <f>IF('Raw Data'!G8="","",SUBSTITUTE('Raw Data'!G8," ",":",1))</f>
        <v>192:30</v>
      </c>
      <c r="H8" s="7" t="str">
        <f>IF('Raw Data'!H8="","",SUBSTITUTE('Raw Data'!H8," ",":",1))</f>
        <v>-</v>
      </c>
      <c r="I8" s="7" t="str">
        <f>IF('Raw Data'!I8="","",SUBSTITUTE('Raw Data'!I8," ",":",1))</f>
        <v>192:30</v>
      </c>
      <c r="J8">
        <f>IF('Raw Data'!J8="","",'Raw Data'!J8)</f>
        <v>16.2</v>
      </c>
      <c r="K8">
        <f>IF('Raw Data'!K8="","",'Raw Data'!K8)</f>
        <v>4.3</v>
      </c>
      <c r="L8" t="str">
        <f>IF('Raw Data'!L8="","",'Raw Data'!L8)</f>
        <v/>
      </c>
      <c r="M8">
        <f>IF('Raw Data'!M8="","",'Raw Data'!M8)</f>
        <v>16.100000000000001</v>
      </c>
      <c r="N8">
        <f>IF('Raw Data'!N8="","",'Raw Data'!N8)</f>
        <v>1.3</v>
      </c>
      <c r="O8">
        <f>IF('Raw Data'!O8="","",'Raw Data'!O8)</f>
        <v>0.1</v>
      </c>
      <c r="P8" t="str">
        <f>IF('Raw Data'!P8="","",'Raw Data'!P8)</f>
        <v>D is in stream. Big rock (start of New Series survey) 10' away at 350 (deg). Big passage starts as continuation of Howards Dig.</v>
      </c>
      <c r="Q8" s="4">
        <f t="shared" si="2"/>
        <v>16.154399163106874</v>
      </c>
      <c r="R8" s="4">
        <f t="shared" si="3"/>
        <v>1.2146553745865085</v>
      </c>
    </row>
    <row r="9" spans="1:18" x14ac:dyDescent="0.25">
      <c r="A9" t="str">
        <f>IF('Raw Data'!A9="","",'Raw Data'!A9)</f>
        <v>E</v>
      </c>
      <c r="B9" t="str">
        <f>IF('Raw Data'!B9="","",'Raw Data'!B9)</f>
        <v>F</v>
      </c>
      <c r="C9">
        <f>IF('Raw Data'!C9="","",'Raw Data'!C9)</f>
        <v>25</v>
      </c>
      <c r="D9">
        <f>IF('Raw Data'!D9="","",'Raw Data'!D9)</f>
        <v>4.5</v>
      </c>
      <c r="E9">
        <f>IF('Raw Data'!E9="","",'Raw Data'!E9)</f>
        <v>6</v>
      </c>
      <c r="F9">
        <v>8</v>
      </c>
      <c r="G9" s="7" t="str">
        <f>IF('Raw Data'!G9="","",SUBSTITUTE('Raw Data'!G9," ",":",1))</f>
        <v>-</v>
      </c>
      <c r="H9" s="7" t="str">
        <f>IF('Raw Data'!H9="","",SUBSTITUTE('Raw Data'!H9," ",":",1))</f>
        <v>78</v>
      </c>
      <c r="I9" s="7" t="str">
        <f>IF('Raw Data'!I9="","",SUBSTITUTE('Raw Data'!I9," ",":",1))</f>
        <v>258</v>
      </c>
      <c r="J9">
        <f>IF('Raw Data'!J9="","",'Raw Data'!J9)</f>
        <v>47</v>
      </c>
      <c r="K9">
        <f>IF('Raw Data'!K9="","",'Raw Data'!K9)</f>
        <v>-5.3</v>
      </c>
      <c r="L9" t="str">
        <f>IF('Raw Data'!L9="","",'Raw Data'!L9)</f>
        <v/>
      </c>
      <c r="M9">
        <f>IF('Raw Data'!M9="","",'Raw Data'!M9)</f>
        <v>46.8</v>
      </c>
      <c r="N9">
        <f>IF('Raw Data'!N9="","",'Raw Data'!N9)</f>
        <v>-4.5</v>
      </c>
      <c r="O9">
        <f>IF('Raw Data'!O9="","",'Raw Data'!O9)</f>
        <v>1.4</v>
      </c>
      <c r="P9" t="str">
        <f>IF('Raw Data'!P9="","",'Raw Data'!P9)</f>
        <v/>
      </c>
      <c r="Q9" s="4">
        <f t="shared" si="2"/>
        <v>46.799060814675357</v>
      </c>
      <c r="R9" s="4">
        <f t="shared" si="3"/>
        <v>-4.3414176099883939</v>
      </c>
    </row>
    <row r="10" spans="1:18" x14ac:dyDescent="0.25">
      <c r="A10" t="str">
        <f>IF('Raw Data'!A10="","",'Raw Data'!A10)</f>
        <v>F</v>
      </c>
      <c r="B10" t="str">
        <f>IF('Raw Data'!B10="","",'Raw Data'!B10)</f>
        <v>G</v>
      </c>
      <c r="C10">
        <f>IF('Raw Data'!C10="","",'Raw Data'!C10)</f>
        <v>4</v>
      </c>
      <c r="D10">
        <f>IF('Raw Data'!D10="","",'Raw Data'!D10)</f>
        <v>2</v>
      </c>
      <c r="E10">
        <f>IF('Raw Data'!E10="","",'Raw Data'!E10)</f>
        <v>0.5</v>
      </c>
      <c r="F10">
        <v>9</v>
      </c>
      <c r="G10" s="7" t="str">
        <f>IF('Raw Data'!G10="","",SUBSTITUTE('Raw Data'!G10," ",":",1))</f>
        <v>292</v>
      </c>
      <c r="H10" s="7" t="str">
        <f>IF('Raw Data'!H10="","",SUBSTITUTE('Raw Data'!H10," ",":",1))</f>
        <v>-</v>
      </c>
      <c r="I10" s="7" t="str">
        <f>IF('Raw Data'!I10="","",SUBSTITUTE('Raw Data'!I10," ",":",1))</f>
        <v>292</v>
      </c>
      <c r="J10">
        <f>IF('Raw Data'!J10="","",'Raw Data'!J10)</f>
        <v>48</v>
      </c>
      <c r="K10" s="2">
        <f>ASIN(N10/J10)*180/PI()</f>
        <v>-2.9855060057465379</v>
      </c>
      <c r="L10" t="str">
        <f>IF('Raw Data'!L10="","",'Raw Data'!L10)</f>
        <v/>
      </c>
      <c r="M10">
        <f>IF('Raw Data'!M10="","",'Raw Data'!M10)</f>
        <v>48</v>
      </c>
      <c r="N10">
        <f>IF('Raw Data'!N10="","",'Raw Data'!N10)</f>
        <v>-2.5</v>
      </c>
      <c r="O10">
        <f>IF('Raw Data'!O10="","",'Raw Data'!O10)</f>
        <v>-3.1</v>
      </c>
      <c r="P10" t="str">
        <f>IF('Raw Data'!P10="","",'Raw Data'!P10)</f>
        <v>At 40' the roof lowers suddenly to Creep I. The big Bedding Plane passage comes in on the right, from -5' to 40'</v>
      </c>
      <c r="Q10" s="4">
        <f t="shared" si="2"/>
        <v>47.934851621758462</v>
      </c>
      <c r="R10" s="4">
        <f t="shared" si="3"/>
        <v>-2.5</v>
      </c>
    </row>
    <row r="11" spans="1:18" x14ac:dyDescent="0.25">
      <c r="A11" t="str">
        <f>IF('Raw Data'!A11="","",'Raw Data'!A11)</f>
        <v>G</v>
      </c>
      <c r="B11" t="str">
        <f>IF('Raw Data'!B11="","",'Raw Data'!B11)</f>
        <v>H</v>
      </c>
      <c r="C11">
        <f>IF('Raw Data'!C11="","",'Raw Data'!C11)</f>
        <v>2.5</v>
      </c>
      <c r="D11">
        <f>IF('Raw Data'!D11="","",'Raw Data'!D11)</f>
        <v>0.5</v>
      </c>
      <c r="E11">
        <f>IF('Raw Data'!E11="","",'Raw Data'!E11)</f>
        <v>3.5</v>
      </c>
      <c r="F11">
        <v>10</v>
      </c>
      <c r="G11" s="7" t="str">
        <f>IF('Raw Data'!G11="","",SUBSTITUTE('Raw Data'!G11," ",":",1))</f>
        <v>-</v>
      </c>
      <c r="H11" s="7" t="str">
        <f>IF('Raw Data'!H11="","",SUBSTITUTE('Raw Data'!H11," ",":",1))</f>
        <v>159</v>
      </c>
      <c r="I11" s="7" t="str">
        <f>IF('Raw Data'!I11="","",SUBSTITUTE('Raw Data'!I11," ",":",1))</f>
        <v>339</v>
      </c>
      <c r="J11">
        <f>IF('Raw Data'!J11="","",'Raw Data'!J11)</f>
        <v>36</v>
      </c>
      <c r="K11">
        <v>0</v>
      </c>
      <c r="L11" t="str">
        <f>IF('Raw Data'!L11="","",'Raw Data'!L11)</f>
        <v/>
      </c>
      <c r="M11">
        <f>IF('Raw Data'!M11="","",'Raw Data'!M11)</f>
        <v>36</v>
      </c>
      <c r="N11">
        <f>IF('Raw Data'!N11="","",'Raw Data'!N11)</f>
        <v>0</v>
      </c>
      <c r="O11">
        <f>IF('Raw Data'!O11="","",'Raw Data'!O11)</f>
        <v>-5.6</v>
      </c>
      <c r="P11" t="str">
        <f>IF('Raw Data'!P11="","",'Raw Data'!P11)</f>
        <v/>
      </c>
      <c r="Q11" s="4">
        <f t="shared" si="2"/>
        <v>36</v>
      </c>
      <c r="R11" s="4">
        <f t="shared" si="3"/>
        <v>0</v>
      </c>
    </row>
    <row r="12" spans="1:18" x14ac:dyDescent="0.25">
      <c r="A12" t="str">
        <f>IF('Raw Data'!A12="","",'Raw Data'!A12)</f>
        <v>H</v>
      </c>
      <c r="B12" t="str">
        <f>IF('Raw Data'!B12="","",'Raw Data'!B12)</f>
        <v>I</v>
      </c>
      <c r="C12">
        <f>IF('Raw Data'!C12="","",'Raw Data'!C12)</f>
        <v>15</v>
      </c>
      <c r="D12">
        <f>IF('Raw Data'!D12="","",'Raw Data'!D12)</f>
        <v>1</v>
      </c>
      <c r="E12">
        <f>IF('Raw Data'!E12="","",'Raw Data'!E12)</f>
        <v>10</v>
      </c>
      <c r="F12">
        <v>11</v>
      </c>
      <c r="G12" s="7" t="str">
        <f>IF('Raw Data'!G12="","",SUBSTITUTE('Raw Data'!G12," ",":",1))</f>
        <v>247</v>
      </c>
      <c r="H12" s="7" t="str">
        <f>IF('Raw Data'!H12="","",SUBSTITUTE('Raw Data'!H12," ",":",1))</f>
        <v>-</v>
      </c>
      <c r="I12" s="7" t="str">
        <f>IF('Raw Data'!I12="","",SUBSTITUTE('Raw Data'!I12," ",":",1))</f>
        <v>247</v>
      </c>
      <c r="J12">
        <f>IF('Raw Data'!J12="","",'Raw Data'!J12)</f>
        <v>31</v>
      </c>
      <c r="K12">
        <f>IF('Raw Data'!K12="","",'Raw Data'!K12)</f>
        <v>-2.2999999999999998</v>
      </c>
      <c r="L12" t="str">
        <f>IF('Raw Data'!L12="","",'Raw Data'!L12)</f>
        <v/>
      </c>
      <c r="M12">
        <f>IF('Raw Data'!M12="","",'Raw Data'!M12)</f>
        <v>31</v>
      </c>
      <c r="N12">
        <f>IF('Raw Data'!N12="","",'Raw Data'!N12)</f>
        <v>-1.3</v>
      </c>
      <c r="O12">
        <f>IF('Raw Data'!O12="","",'Raw Data'!O12)</f>
        <v>-5.6</v>
      </c>
      <c r="P12" t="str">
        <f>IF('Raw Data'!P12="","",'Raw Data'!P12)</f>
        <v/>
      </c>
      <c r="Q12" s="4">
        <f t="shared" si="2"/>
        <v>30.975026248547824</v>
      </c>
      <c r="R12" s="4">
        <f t="shared" si="3"/>
        <v>-1.2440855685093515</v>
      </c>
    </row>
    <row r="13" spans="1:18" x14ac:dyDescent="0.25">
      <c r="A13" t="str">
        <f>IF('Raw Data'!A13="","",'Raw Data'!A13)</f>
        <v>I</v>
      </c>
      <c r="B13" t="str">
        <f>IF('Raw Data'!B13="","",'Raw Data'!B13)</f>
        <v>J</v>
      </c>
      <c r="C13">
        <f>IF('Raw Data'!C13="","",'Raw Data'!C13)</f>
        <v>15</v>
      </c>
      <c r="D13">
        <f>IF('Raw Data'!D13="","",'Raw Data'!D13)</f>
        <v>1</v>
      </c>
      <c r="E13">
        <f>IF('Raw Data'!E13="","",'Raw Data'!E13)</f>
        <v>8</v>
      </c>
      <c r="F13">
        <v>12</v>
      </c>
      <c r="G13" s="7" t="str">
        <f>IF('Raw Data'!G13="","",SUBSTITUTE('Raw Data'!G13," ",":",1))</f>
        <v>-</v>
      </c>
      <c r="H13" s="7" t="str">
        <f>IF('Raw Data'!H13="","",SUBSTITUTE('Raw Data'!H13," ",":",1))</f>
        <v>95</v>
      </c>
      <c r="I13" s="7" t="str">
        <f>IF('Raw Data'!I13="","",SUBSTITUTE('Raw Data'!I13," ",":",1))</f>
        <v>275</v>
      </c>
      <c r="J13">
        <f>IF('Raw Data'!J13="","",'Raw Data'!J13)</f>
        <v>26</v>
      </c>
      <c r="K13">
        <f>IF('Raw Data'!K13="","",'Raw Data'!K13)</f>
        <v>2</v>
      </c>
      <c r="L13" t="str">
        <f>IF('Raw Data'!L13="","",'Raw Data'!L13)</f>
        <v/>
      </c>
      <c r="M13">
        <f>IF('Raw Data'!M13="","",'Raw Data'!M13)</f>
        <v>26</v>
      </c>
      <c r="N13">
        <f>IF('Raw Data'!N13="","",'Raw Data'!N13)</f>
        <v>0.9</v>
      </c>
      <c r="O13">
        <f>IF('Raw Data'!O13="","",'Raw Data'!O13)</f>
        <v>-6.9</v>
      </c>
      <c r="P13" t="str">
        <f>IF('Raw Data'!P13="","",'Raw Data'!P13)</f>
        <v/>
      </c>
      <c r="Q13" s="4">
        <f t="shared" si="2"/>
        <v>25.984161502496491</v>
      </c>
      <c r="R13" s="4">
        <f t="shared" si="3"/>
        <v>0.90738691426502516</v>
      </c>
    </row>
    <row r="14" spans="1:18" x14ac:dyDescent="0.25">
      <c r="A14" t="str">
        <f>IF('Raw Data'!A14="","",'Raw Data'!A14)</f>
        <v>J</v>
      </c>
      <c r="B14" t="str">
        <f>IF('Raw Data'!B14="","",'Raw Data'!B14)</f>
        <v>K</v>
      </c>
      <c r="C14">
        <f>IF('Raw Data'!C14="","",'Raw Data'!C14)</f>
        <v>8</v>
      </c>
      <c r="D14">
        <f>IF('Raw Data'!D14="","",'Raw Data'!D14)</f>
        <v>3</v>
      </c>
      <c r="E14">
        <f>IF('Raw Data'!E14="","",'Raw Data'!E14)</f>
        <v>1</v>
      </c>
      <c r="F14">
        <v>13</v>
      </c>
      <c r="G14" s="7" t="str">
        <f>IF('Raw Data'!G14="","",SUBSTITUTE('Raw Data'!G14," ",":",1))</f>
        <v>320</v>
      </c>
      <c r="H14" s="7" t="str">
        <f>IF('Raw Data'!H14="","",SUBSTITUTE('Raw Data'!H14," ",":",1))</f>
        <v>-</v>
      </c>
      <c r="I14" s="7" t="str">
        <f>IF('Raw Data'!I14="","",SUBSTITUTE('Raw Data'!I14," ",":",1))</f>
        <v>320</v>
      </c>
      <c r="J14">
        <f>IF('Raw Data'!J14="","",'Raw Data'!J14)</f>
        <v>26.5</v>
      </c>
      <c r="K14">
        <f>IF('Raw Data'!K14="","",'Raw Data'!K14)</f>
        <v>1</v>
      </c>
      <c r="L14" t="str">
        <f>IF('Raw Data'!L14="","",'Raw Data'!L14)</f>
        <v/>
      </c>
      <c r="M14">
        <f>IF('Raw Data'!M14="","",'Raw Data'!M14)</f>
        <v>26.5</v>
      </c>
      <c r="N14">
        <f>IF('Raw Data'!N14="","",'Raw Data'!N14)</f>
        <v>0.5</v>
      </c>
      <c r="O14">
        <f>IF('Raw Data'!O14="","",'Raw Data'!O14)</f>
        <v>-6</v>
      </c>
      <c r="P14" t="str">
        <f>IF('Raw Data'!P14="","",'Raw Data'!P14)</f>
        <v>Pots</v>
      </c>
      <c r="Q14" s="4">
        <f t="shared" si="2"/>
        <v>26.495963921644368</v>
      </c>
      <c r="R14" s="4">
        <f t="shared" si="3"/>
        <v>0.46248877058801308</v>
      </c>
    </row>
    <row r="15" spans="1:18" x14ac:dyDescent="0.25">
      <c r="A15" t="str">
        <f>IF('Raw Data'!A15="","",'Raw Data'!A15)</f>
        <v>K</v>
      </c>
      <c r="B15" t="str">
        <f>IF('Raw Data'!B15="","",'Raw Data'!B15)</f>
        <v>L</v>
      </c>
      <c r="C15">
        <f>IF('Raw Data'!C15="","",'Raw Data'!C15)</f>
        <v>25</v>
      </c>
      <c r="D15">
        <f>IF('Raw Data'!D15="","",'Raw Data'!D15)</f>
        <v>4.5</v>
      </c>
      <c r="E15" t="str">
        <f>IF('Raw Data'!E15="","",'Raw Data'!E15)</f>
        <v>-</v>
      </c>
      <c r="F15">
        <v>14</v>
      </c>
      <c r="G15" s="7" t="str">
        <f>IF('Raw Data'!G15="","",SUBSTITUTE('Raw Data'!G15," ",":",1))</f>
        <v>-</v>
      </c>
      <c r="H15" s="7" t="str">
        <f>IF('Raw Data'!H15="","",SUBSTITUTE('Raw Data'!H15," ",":",1))</f>
        <v>193</v>
      </c>
      <c r="I15" s="7" t="str">
        <f>IF('Raw Data'!I15="","",SUBSTITUTE('Raw Data'!I15," ",":",1))</f>
        <v>13</v>
      </c>
      <c r="J15">
        <f>IF('Raw Data'!J15="","",'Raw Data'!J15)</f>
        <v>17.5</v>
      </c>
      <c r="K15">
        <f>IF('Raw Data'!K15="","",'Raw Data'!K15)</f>
        <v>-9</v>
      </c>
      <c r="L15" t="str">
        <f>IF('Raw Data'!L15="","",'Raw Data'!L15)</f>
        <v/>
      </c>
      <c r="M15">
        <f>IF('Raw Data'!M15="","",'Raw Data'!M15)</f>
        <v>17.3</v>
      </c>
      <c r="N15">
        <f>IF('Raw Data'!N15="","",'Raw Data'!N15)</f>
        <v>-2.7</v>
      </c>
      <c r="O15">
        <f>IF('Raw Data'!O15="","",'Raw Data'!O15)</f>
        <v>-5.5</v>
      </c>
      <c r="P15" t="str">
        <f>IF('Raw Data'!P15="","",'Raw Data'!P15)</f>
        <v>Pots</v>
      </c>
      <c r="Q15" s="4">
        <f t="shared" si="2"/>
        <v>17.28454596041491</v>
      </c>
      <c r="R15" s="4">
        <f t="shared" si="3"/>
        <v>-2.7376031382040402</v>
      </c>
    </row>
    <row r="16" spans="1:18" x14ac:dyDescent="0.25">
      <c r="A16" t="str">
        <f>IF('Raw Data'!A16="","",'Raw Data'!A16)</f>
        <v>L</v>
      </c>
      <c r="B16" t="str">
        <f>IF('Raw Data'!B16="","",'Raw Data'!B16)</f>
        <v>M</v>
      </c>
      <c r="C16">
        <f>IF('Raw Data'!C16="","",'Raw Data'!C16)</f>
        <v>20</v>
      </c>
      <c r="D16">
        <f>IF('Raw Data'!D16="","",'Raw Data'!D16)</f>
        <v>3</v>
      </c>
      <c r="E16">
        <f>IF('Raw Data'!E16="","",'Raw Data'!E16)</f>
        <v>2</v>
      </c>
      <c r="F16">
        <v>15</v>
      </c>
      <c r="G16" s="7" t="str">
        <f>IF('Raw Data'!G16="","",SUBSTITUTE('Raw Data'!G16," ",":",1))</f>
        <v>299</v>
      </c>
      <c r="H16" s="7" t="str">
        <f>IF('Raw Data'!H16="","",SUBSTITUTE('Raw Data'!H16," ",":",1))</f>
        <v>-</v>
      </c>
      <c r="I16" s="7" t="str">
        <f>IF('Raw Data'!I16="","",SUBSTITUTE('Raw Data'!I16," ",":",1))</f>
        <v>299</v>
      </c>
      <c r="J16">
        <f>IF('Raw Data'!J16="","",'Raw Data'!J16)</f>
        <v>33</v>
      </c>
      <c r="K16">
        <f>IF('Raw Data'!K16="","",'Raw Data'!K16)</f>
        <v>-3</v>
      </c>
      <c r="L16" t="str">
        <f>IF('Raw Data'!L16="","",'Raw Data'!L16)</f>
        <v/>
      </c>
      <c r="M16">
        <f>IF('Raw Data'!M16="","",'Raw Data'!M16)</f>
        <v>33</v>
      </c>
      <c r="N16">
        <f>IF('Raw Data'!N16="","",'Raw Data'!N16)</f>
        <v>-1.7</v>
      </c>
      <c r="O16">
        <f>IF('Raw Data'!O16="","",'Raw Data'!O16)</f>
        <v>-8.1999999999999993</v>
      </c>
      <c r="P16" t="str">
        <f>IF('Raw Data'!P16="","",'Raw Data'!P16)</f>
        <v>L is at foot of climb to Approach passage. Clay fill remains 6' up on left wall.</v>
      </c>
      <c r="Q16" s="4">
        <f t="shared" si="2"/>
        <v>32.954774646900937</v>
      </c>
      <c r="R16" s="4">
        <f t="shared" si="3"/>
        <v>-1.7270865560171462</v>
      </c>
    </row>
    <row r="17" spans="1:18" x14ac:dyDescent="0.25">
      <c r="A17" t="str">
        <f>IF('Raw Data'!A17="","",'Raw Data'!A17)</f>
        <v>M</v>
      </c>
      <c r="B17" t="str">
        <f>IF('Raw Data'!B17="","",'Raw Data'!B17)</f>
        <v>N</v>
      </c>
      <c r="C17">
        <f>IF('Raw Data'!C17="","",'Raw Data'!C17)</f>
        <v>15</v>
      </c>
      <c r="D17">
        <f>IF('Raw Data'!D17="","",'Raw Data'!D17)</f>
        <v>7</v>
      </c>
      <c r="E17">
        <f>IF('Raw Data'!E17="","",'Raw Data'!E17)</f>
        <v>4</v>
      </c>
      <c r="F17">
        <v>16</v>
      </c>
      <c r="G17" s="7" t="str">
        <f>IF('Raw Data'!G17="","",SUBSTITUTE('Raw Data'!G17," ",":",1))</f>
        <v>-</v>
      </c>
      <c r="H17" s="7" t="str">
        <f>IF('Raw Data'!H17="","",SUBSTITUTE('Raw Data'!H17," ",":",1))</f>
        <v>142</v>
      </c>
      <c r="I17" s="7" t="str">
        <f>IF('Raw Data'!I17="","",SUBSTITUTE('Raw Data'!I17," ",":",1))</f>
        <v>322</v>
      </c>
      <c r="J17">
        <f>IF('Raw Data'!J17="","",'Raw Data'!J17)</f>
        <v>43</v>
      </c>
      <c r="K17">
        <f>IF('Raw Data'!K17="","",'Raw Data'!K17)</f>
        <v>-7.3</v>
      </c>
      <c r="L17" t="str">
        <f>IF('Raw Data'!L17="","",'Raw Data'!L17)</f>
        <v/>
      </c>
      <c r="M17">
        <f>IF('Raw Data'!M17="","",'Raw Data'!M17)</f>
        <v>42.7</v>
      </c>
      <c r="N17">
        <f>IF('Raw Data'!N17="","",'Raw Data'!N17)</f>
        <v>-5.6</v>
      </c>
      <c r="O17">
        <f>IF('Raw Data'!O17="","",'Raw Data'!O17)</f>
        <v>-9.9</v>
      </c>
      <c r="P17" t="str">
        <f>IF('Raw Data'!P17="","",'Raw Data'!P17)</f>
        <v>Pots</v>
      </c>
      <c r="Q17" s="4">
        <f t="shared" si="2"/>
        <v>42.651461031371277</v>
      </c>
      <c r="R17" s="4">
        <f t="shared" si="3"/>
        <v>-5.4637781698580703</v>
      </c>
    </row>
    <row r="18" spans="1:18" x14ac:dyDescent="0.25">
      <c r="A18" t="str">
        <f>IF('Raw Data'!A18="","",'Raw Data'!A18)</f>
        <v>N</v>
      </c>
      <c r="B18" t="str">
        <f>IF('Raw Data'!B18="","",'Raw Data'!B18)</f>
        <v>O</v>
      </c>
      <c r="C18">
        <f>IF('Raw Data'!C18="","",'Raw Data'!C18)</f>
        <v>25</v>
      </c>
      <c r="D18">
        <f>IF('Raw Data'!D18="","",'Raw Data'!D18)</f>
        <v>3</v>
      </c>
      <c r="E18">
        <f>IF('Raw Data'!E18="","",'Raw Data'!E18)</f>
        <v>2</v>
      </c>
      <c r="F18">
        <v>17</v>
      </c>
      <c r="G18" s="7" t="str">
        <f>IF('Raw Data'!G18="","",SUBSTITUTE('Raw Data'!G18," ",":",1))</f>
        <v>281</v>
      </c>
      <c r="H18" s="7" t="str">
        <f>IF('Raw Data'!H18="","",SUBSTITUTE('Raw Data'!H18," ",":",1))</f>
        <v>-</v>
      </c>
      <c r="I18" s="7" t="str">
        <f>IF('Raw Data'!I18="","",SUBSTITUTE('Raw Data'!I18," ",":",1))</f>
        <v>281</v>
      </c>
      <c r="J18">
        <f>IF('Raw Data'!J18="","",'Raw Data'!J18)</f>
        <v>15.5</v>
      </c>
      <c r="K18">
        <f>IF('Raw Data'!K18="","",'Raw Data'!K18)</f>
        <v>-2</v>
      </c>
      <c r="L18" t="str">
        <f>IF('Raw Data'!L18="","",'Raw Data'!L18)</f>
        <v/>
      </c>
      <c r="M18">
        <f>IF('Raw Data'!M18="","",'Raw Data'!M18)</f>
        <v>15.5</v>
      </c>
      <c r="N18">
        <f>IF('Raw Data'!N18="","",'Raw Data'!N18)</f>
        <v>-0.5</v>
      </c>
      <c r="O18">
        <f>IF('Raw Data'!O18="","",'Raw Data'!O18)</f>
        <v>-15.5</v>
      </c>
      <c r="P18" t="str">
        <f>IF('Raw Data'!P18="","",'Raw Data'!P18)</f>
        <v>Pots</v>
      </c>
      <c r="Q18" s="4">
        <f t="shared" si="2"/>
        <v>15.490557818795985</v>
      </c>
      <c r="R18" s="4">
        <f t="shared" si="3"/>
        <v>-0.54094219888876505</v>
      </c>
    </row>
    <row r="19" spans="1:18" x14ac:dyDescent="0.25">
      <c r="A19" t="str">
        <f>IF('Raw Data'!A19="","",'Raw Data'!A19)</f>
        <v>O</v>
      </c>
      <c r="B19" t="str">
        <f>IF('Raw Data'!B19="","",'Raw Data'!B19)</f>
        <v>P</v>
      </c>
      <c r="C19">
        <f>IF('Raw Data'!C19="","",'Raw Data'!C19)</f>
        <v>40</v>
      </c>
      <c r="D19">
        <f>IF('Raw Data'!D19="","",'Raw Data'!D19)</f>
        <v>4.5</v>
      </c>
      <c r="E19">
        <f>IF('Raw Data'!E19="","",'Raw Data'!E19)</f>
        <v>2</v>
      </c>
      <c r="F19">
        <v>18</v>
      </c>
      <c r="G19" s="7" t="str">
        <f>IF('Raw Data'!G19="","",SUBSTITUTE('Raw Data'!G19," ",":",1))</f>
        <v>-</v>
      </c>
      <c r="H19" s="7" t="str">
        <f>IF('Raw Data'!H19="","",SUBSTITUTE('Raw Data'!H19," ",":",1))</f>
        <v>127</v>
      </c>
      <c r="I19" s="7" t="str">
        <f>IF('Raw Data'!I19="","",SUBSTITUTE('Raw Data'!I19," ",":",1))</f>
        <v>307</v>
      </c>
      <c r="J19">
        <f>IF('Raw Data'!J19="","",'Raw Data'!J19)</f>
        <v>56</v>
      </c>
      <c r="K19">
        <f>IF('Raw Data'!K19="","",'Raw Data'!K19)</f>
        <v>-5</v>
      </c>
      <c r="L19" t="str">
        <f>IF('Raw Data'!L19="","",'Raw Data'!L19)</f>
        <v/>
      </c>
      <c r="M19">
        <f>IF('Raw Data'!M19="","",'Raw Data'!M19)</f>
        <v>55.8</v>
      </c>
      <c r="N19">
        <f>IF('Raw Data'!N19="","",'Raw Data'!N19)</f>
        <v>-4.9000000000000004</v>
      </c>
      <c r="O19">
        <f>IF('Raw Data'!O19="","",'Raw Data'!O19)</f>
        <v>-16</v>
      </c>
      <c r="P19" t="str">
        <f>IF('Raw Data'!P19="","",'Raw Data'!P19)</f>
        <v>Pots. Very pretty coral on left wall</v>
      </c>
      <c r="Q19" s="4">
        <f t="shared" si="2"/>
        <v>55.786903093137752</v>
      </c>
      <c r="R19" s="4">
        <f t="shared" si="3"/>
        <v>-4.8807215938688575</v>
      </c>
    </row>
    <row r="20" spans="1:18" x14ac:dyDescent="0.25">
      <c r="A20" t="str">
        <f>IF('Raw Data'!A20="","",'Raw Data'!A20)</f>
        <v>P</v>
      </c>
      <c r="B20" t="str">
        <f>IF('Raw Data'!B20="","",'Raw Data'!B20)</f>
        <v>Q</v>
      </c>
      <c r="C20">
        <f>IF('Raw Data'!C20="","",'Raw Data'!C20)</f>
        <v>40</v>
      </c>
      <c r="D20">
        <f>IF('Raw Data'!D20="","",'Raw Data'!D20)</f>
        <v>3</v>
      </c>
      <c r="E20">
        <f>IF('Raw Data'!E20="","",'Raw Data'!E20)</f>
        <v>2</v>
      </c>
      <c r="F20">
        <v>19</v>
      </c>
      <c r="G20" s="7" t="str">
        <f>IF('Raw Data'!G20="","",SUBSTITUTE('Raw Data'!G20," ",":",1))</f>
        <v>283</v>
      </c>
      <c r="H20" s="7" t="str">
        <f>IF('Raw Data'!H20="","",SUBSTITUTE('Raw Data'!H20," ",":",1))</f>
        <v>-</v>
      </c>
      <c r="I20" s="7" t="str">
        <f>IF('Raw Data'!I20="","",SUBSTITUTE('Raw Data'!I20," ",":",1))</f>
        <v>283</v>
      </c>
      <c r="J20">
        <f>IF('Raw Data'!J20="","",'Raw Data'!J20)</f>
        <v>15.8</v>
      </c>
      <c r="K20">
        <f>IF('Raw Data'!K20="","",'Raw Data'!K20)</f>
        <v>-0.15</v>
      </c>
      <c r="L20" t="str">
        <f>IF('Raw Data'!L20="","",'Raw Data'!L20)</f>
        <v/>
      </c>
      <c r="M20">
        <f>IF('Raw Data'!M20="","",'Raw Data'!M20)</f>
        <v>15.8</v>
      </c>
      <c r="N20">
        <f>IF('Raw Data'!N20="","",'Raw Data'!N20)</f>
        <v>-0.1</v>
      </c>
      <c r="O20">
        <f>IF('Raw Data'!O20="","",'Raw Data'!O20)</f>
        <v>-20.9</v>
      </c>
      <c r="P20" t="str">
        <f>IF('Raw Data'!P20="","",'Raw Data'!P20)</f>
        <v/>
      </c>
      <c r="Q20" s="4">
        <f t="shared" si="2"/>
        <v>15.799945854284561</v>
      </c>
      <c r="R20" s="4">
        <f t="shared" si="3"/>
        <v>-4.1364256021204297E-2</v>
      </c>
    </row>
    <row r="21" spans="1:18" x14ac:dyDescent="0.25">
      <c r="A21" t="str">
        <f>IF('Raw Data'!A21="","",'Raw Data'!A21)</f>
        <v>Q</v>
      </c>
      <c r="B21" t="str">
        <f>IF('Raw Data'!B21="","",'Raw Data'!B21)</f>
        <v>R</v>
      </c>
      <c r="C21">
        <f>IF('Raw Data'!C21="","",'Raw Data'!C21)</f>
        <v>40</v>
      </c>
      <c r="D21">
        <f>IF('Raw Data'!D21="","",'Raw Data'!D21)</f>
        <v>4</v>
      </c>
      <c r="E21">
        <f>IF('Raw Data'!E21="","",'Raw Data'!E21)</f>
        <v>4</v>
      </c>
      <c r="F21">
        <v>20</v>
      </c>
      <c r="G21" s="7" t="str">
        <f>IF('Raw Data'!G21="","",SUBSTITUTE('Raw Data'!G21," ",":",1))</f>
        <v>-</v>
      </c>
      <c r="H21" s="7" t="str">
        <f>IF('Raw Data'!H21="","",SUBSTITUTE('Raw Data'!H21," ",":",1))</f>
        <v>37</v>
      </c>
      <c r="I21" s="7" t="str">
        <f>IF('Raw Data'!I21="","",SUBSTITUTE('Raw Data'!I21," ",":",1))</f>
        <v>217</v>
      </c>
      <c r="J21">
        <f>IF('Raw Data'!J21="","",'Raw Data'!J21)</f>
        <v>15.3</v>
      </c>
      <c r="K21" s="2">
        <f>ASIN(N21/J21)*180/PI()</f>
        <v>-15.155399662290439</v>
      </c>
      <c r="L21" t="str">
        <f>IF('Raw Data'!L21="","",'Raw Data'!L21)</f>
        <v/>
      </c>
      <c r="M21">
        <f>IF('Raw Data'!M21="","",'Raw Data'!M21)</f>
        <v>15.3</v>
      </c>
      <c r="N21">
        <f>IF('Raw Data'!N21="","",'Raw Data'!N21)</f>
        <v>-4</v>
      </c>
      <c r="O21">
        <f>IF('Raw Data'!O21="","",'Raw Data'!O21)</f>
        <v>-21</v>
      </c>
      <c r="P21" t="str">
        <f>IF('Raw Data'!P21="","",'Raw Data'!P21)</f>
        <v>1.5 foot deep pool starts at P.</v>
      </c>
      <c r="Q21" s="4">
        <f t="shared" si="2"/>
        <v>14.767870530310049</v>
      </c>
      <c r="R21" s="4">
        <f t="shared" si="3"/>
        <v>-4</v>
      </c>
    </row>
    <row r="22" spans="1:18" x14ac:dyDescent="0.25">
      <c r="A22" t="str">
        <f>IF('Raw Data'!A22="","",'Raw Data'!A22)</f>
        <v>R</v>
      </c>
      <c r="B22" t="str">
        <f>IF('Raw Data'!B22="","",'Raw Data'!B22)</f>
        <v>S</v>
      </c>
      <c r="C22">
        <f>IF('Raw Data'!C22="","",'Raw Data'!C22)</f>
        <v>40</v>
      </c>
      <c r="D22" t="str">
        <f>IF('Raw Data'!D22="","",'Raw Data'!D22)</f>
        <v>-</v>
      </c>
      <c r="E22" t="str">
        <f>IF('Raw Data'!E22="","",'Raw Data'!E22)</f>
        <v>-</v>
      </c>
      <c r="F22">
        <v>21</v>
      </c>
      <c r="G22" s="7" t="str">
        <f>IF('Raw Data'!G22="","",SUBSTITUTE('Raw Data'!G22," ",":",1))</f>
        <v>310</v>
      </c>
      <c r="H22" s="7" t="str">
        <f>IF('Raw Data'!H22="","",SUBSTITUTE('Raw Data'!H22," ",":",1))</f>
        <v>-</v>
      </c>
      <c r="I22" s="7" t="str">
        <f>IF('Raw Data'!I22="","",SUBSTITUTE('Raw Data'!I22," ",":",1))</f>
        <v>310</v>
      </c>
      <c r="J22">
        <f>IF('Raw Data'!J22="","",'Raw Data'!J22)</f>
        <v>39.5</v>
      </c>
      <c r="K22" s="2">
        <f>ASIN(N22/J22)*180/PI()</f>
        <v>5.8120668348260685</v>
      </c>
      <c r="L22" t="str">
        <f>IF('Raw Data'!L22="","",'Raw Data'!L22)</f>
        <v/>
      </c>
      <c r="M22">
        <f>IF('Raw Data'!M22="","",'Raw Data'!M22)</f>
        <v>39.5</v>
      </c>
      <c r="N22">
        <f>IF('Raw Data'!N22="","",'Raw Data'!N22)</f>
        <v>4</v>
      </c>
      <c r="O22">
        <f>IF('Raw Data'!O22="","",'Raw Data'!O22)</f>
        <v>-25</v>
      </c>
      <c r="P22" t="str">
        <f>IF('Raw Data'!P22="","",'Raw Data'!P22)</f>
        <v>Pool 2.5' deep at R, ends 15' on. Scalloping as in Goughs 1st Sandy Chamber.</v>
      </c>
      <c r="Q22" s="4">
        <f t="shared" si="2"/>
        <v>39.296946446257117</v>
      </c>
      <c r="R22" s="4">
        <f t="shared" si="3"/>
        <v>4</v>
      </c>
    </row>
    <row r="23" spans="1:18" x14ac:dyDescent="0.25">
      <c r="A23" t="str">
        <f>IF('Raw Data'!A23="","",'Raw Data'!A23)</f>
        <v>S</v>
      </c>
      <c r="B23" t="str">
        <f>IF('Raw Data'!B23="","",'Raw Data'!B23)</f>
        <v>T</v>
      </c>
      <c r="C23">
        <f>IF('Raw Data'!C23="","",'Raw Data'!C23)</f>
        <v>12</v>
      </c>
      <c r="D23">
        <f>IF('Raw Data'!D23="","",'Raw Data'!D23)</f>
        <v>4.5</v>
      </c>
      <c r="E23">
        <f>IF('Raw Data'!E23="","",'Raw Data'!E23)</f>
        <v>8</v>
      </c>
      <c r="F23">
        <v>22</v>
      </c>
      <c r="G23" s="7" t="str">
        <f>IF('Raw Data'!G23="","",SUBSTITUTE('Raw Data'!G23," ",":",1))</f>
        <v>-</v>
      </c>
      <c r="H23" s="7" t="str">
        <f>IF('Raw Data'!H23="","",SUBSTITUTE('Raw Data'!H23," ",":",1))</f>
        <v>58</v>
      </c>
      <c r="I23" s="7" t="str">
        <f>IF('Raw Data'!I23="","",SUBSTITUTE('Raw Data'!I23," ",":",1))</f>
        <v>238</v>
      </c>
      <c r="J23">
        <f>IF('Raw Data'!J23="","",'Raw Data'!J23)</f>
        <v>39.6</v>
      </c>
      <c r="K23">
        <f>IF('Raw Data'!K23="","",'Raw Data'!K23)</f>
        <v>-2.7</v>
      </c>
      <c r="L23" t="str">
        <f>IF('Raw Data'!L23="","",'Raw Data'!L23)</f>
        <v/>
      </c>
      <c r="M23">
        <f>IF('Raw Data'!M23="","",'Raw Data'!M23)</f>
        <v>39.6</v>
      </c>
      <c r="N23">
        <f>IF('Raw Data'!N23="","",'Raw Data'!N23)</f>
        <v>-1.9</v>
      </c>
      <c r="O23">
        <f>IF('Raw Data'!O23="","",'Raw Data'!O23)</f>
        <v>-21</v>
      </c>
      <c r="P23" t="str">
        <f>IF('Raw Data'!P23="","",'Raw Data'!P23)</f>
        <v>S is marked on wall. At 20' there is a muddy chamber overhead.</v>
      </c>
      <c r="Q23" s="4">
        <f t="shared" si="2"/>
        <v>39.556039048494014</v>
      </c>
      <c r="R23" s="4">
        <f t="shared" si="3"/>
        <v>-1.8654154481018492</v>
      </c>
    </row>
    <row r="24" spans="1:18" x14ac:dyDescent="0.25">
      <c r="A24" t="str">
        <f>IF('Raw Data'!A24="","",'Raw Data'!A24)</f>
        <v>T</v>
      </c>
      <c r="B24" t="str">
        <f>IF('Raw Data'!B24="","",'Raw Data'!B24)</f>
        <v>U</v>
      </c>
      <c r="C24">
        <f>IF('Raw Data'!C24="","",'Raw Data'!C24)</f>
        <v>2</v>
      </c>
      <c r="D24">
        <f>IF('Raw Data'!D24="","",'Raw Data'!D24)</f>
        <v>2.5</v>
      </c>
      <c r="E24">
        <f>IF('Raw Data'!E24="","",'Raw Data'!E24)</f>
        <v>15</v>
      </c>
      <c r="F24">
        <v>23</v>
      </c>
      <c r="G24" s="7" t="str">
        <f>IF('Raw Data'!G24="","",SUBSTITUTE('Raw Data'!G24," ",":",1))</f>
        <v>148</v>
      </c>
      <c r="H24" s="7" t="str">
        <f>IF('Raw Data'!H24="","",SUBSTITUTE('Raw Data'!H24," ",":",1))</f>
        <v>-</v>
      </c>
      <c r="I24" s="7" t="str">
        <f>IF('Raw Data'!I24="","",SUBSTITUTE('Raw Data'!I24," ",":",1))</f>
        <v>148</v>
      </c>
      <c r="J24">
        <f>IF('Raw Data'!J24="","",'Raw Data'!J24)</f>
        <v>49</v>
      </c>
      <c r="K24" s="2">
        <f>ASIN(N24/J24)*180/PI()</f>
        <v>-1.9882117515894562</v>
      </c>
      <c r="L24" t="str">
        <f>IF('Raw Data'!L24="","",'Raw Data'!L24)</f>
        <v/>
      </c>
      <c r="M24">
        <f>IF('Raw Data'!M24="","",'Raw Data'!M24)</f>
        <v>49</v>
      </c>
      <c r="N24">
        <f>IF('Raw Data'!N24="","",'Raw Data'!N24)</f>
        <v>-1.7</v>
      </c>
      <c r="O24">
        <f>IF('Raw Data'!O24="","",'Raw Data'!O24)</f>
        <v>-22.9</v>
      </c>
      <c r="P24" t="str">
        <f>IF('Raw Data'!P24="","",'Raw Data'!P24)</f>
        <v/>
      </c>
      <c r="Q24" s="4">
        <f t="shared" si="2"/>
        <v>48.970501324777146</v>
      </c>
      <c r="R24" s="4">
        <f t="shared" si="3"/>
        <v>-1.7</v>
      </c>
    </row>
    <row r="25" spans="1:18" x14ac:dyDescent="0.25">
      <c r="A25" t="str">
        <f>IF('Raw Data'!A25="","",'Raw Data'!A25)</f>
        <v>U</v>
      </c>
      <c r="B25" t="str">
        <f>IF('Raw Data'!B25="","",'Raw Data'!B25)</f>
        <v/>
      </c>
      <c r="C25">
        <f>IF('Raw Data'!C25="","",'Raw Data'!C25)</f>
        <v>1.5</v>
      </c>
      <c r="D25">
        <f>IF('Raw Data'!D25="","",'Raw Data'!D25)</f>
        <v>1.5</v>
      </c>
      <c r="E25" t="str">
        <f>IF('Raw Data'!E25="","",'Raw Data'!E25)</f>
        <v/>
      </c>
      <c r="F25">
        <v>24</v>
      </c>
      <c r="G25" t="str">
        <f>IF('Raw Data'!G25="","",'Raw Data'!G25)</f>
        <v/>
      </c>
      <c r="H25" t="str">
        <f>IF('Raw Data'!H25="","",'Raw Data'!H25)</f>
        <v/>
      </c>
      <c r="I25" t="str">
        <f>IF('Raw Data'!I25="","",'Raw Data'!I25)</f>
        <v/>
      </c>
      <c r="J25" t="str">
        <f>IF('Raw Data'!J25="","",'Raw Data'!J25)</f>
        <v/>
      </c>
      <c r="K25" t="str">
        <f>IF('Raw Data'!K25="","",'Raw Data'!K25)</f>
        <v/>
      </c>
      <c r="L25" t="str">
        <f>IF('Raw Data'!L25="","",'Raw Data'!L25)</f>
        <v/>
      </c>
      <c r="M25" t="str">
        <f>IF('Raw Data'!M25="","",'Raw Data'!M25)</f>
        <v/>
      </c>
      <c r="N25" t="str">
        <f>IF('Raw Data'!N25="","",'Raw Data'!N25)</f>
        <v/>
      </c>
      <c r="O25">
        <f>IF('Raw Data'!O25="","",'Raw Data'!O25)</f>
        <v>-24.6</v>
      </c>
      <c r="P25" t="str">
        <f>IF('Raw Data'!P25="","",'Raw Data'!P25)</f>
        <v>Bearls (sp.?) seen here.    Total = 650'</v>
      </c>
      <c r="Q25" s="4"/>
      <c r="R25" s="4"/>
    </row>
    <row r="26" spans="1:18" x14ac:dyDescent="0.25">
      <c r="Q26" s="4"/>
      <c r="R26" s="4"/>
    </row>
    <row r="27" spans="1:18" x14ac:dyDescent="0.25">
      <c r="Q27" s="4"/>
      <c r="R27" s="4"/>
    </row>
    <row r="28" spans="1:18" x14ac:dyDescent="0.25">
      <c r="Q28" s="4"/>
      <c r="R28" s="4"/>
    </row>
    <row r="29" spans="1:18" x14ac:dyDescent="0.25">
      <c r="Q29" s="4"/>
      <c r="R29" s="4"/>
    </row>
    <row r="30" spans="1:18" x14ac:dyDescent="0.25">
      <c r="Q30" s="4"/>
      <c r="R30" s="4"/>
    </row>
    <row r="31" spans="1:18" x14ac:dyDescent="0.25">
      <c r="Q31" s="4"/>
      <c r="R31" s="4"/>
    </row>
    <row r="32" spans="1:18" x14ac:dyDescent="0.25">
      <c r="Q32" s="4"/>
      <c r="R32" s="4"/>
    </row>
    <row r="33" spans="17:18" x14ac:dyDescent="0.25">
      <c r="Q33" s="4"/>
      <c r="R33" s="4"/>
    </row>
    <row r="34" spans="17:18" x14ac:dyDescent="0.25">
      <c r="Q34" s="4"/>
      <c r="R34" s="4"/>
    </row>
    <row r="35" spans="17:18" x14ac:dyDescent="0.25">
      <c r="Q35" s="4"/>
      <c r="R35" s="4"/>
    </row>
    <row r="36" spans="17:18" x14ac:dyDescent="0.25">
      <c r="Q36" s="4"/>
      <c r="R36" s="4"/>
    </row>
  </sheetData>
  <mergeCells count="1">
    <mergeCell ref="E3:F3"/>
  </mergeCells>
  <conditionalFormatting sqref="Q25:Q36 Q5:R24">
    <cfRule type="expression" dxfId="1" priority="2">
      <formula>Q5-M5&gt;0.15</formula>
    </cfRule>
  </conditionalFormatting>
  <conditionalFormatting sqref="R25:R36">
    <cfRule type="expression" dxfId="0" priority="1">
      <formula>R25-N25&gt;0.1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E26"/>
  <sheetViews>
    <sheetView workbookViewId="0">
      <selection activeCell="A3" sqref="A3:XFD3"/>
    </sheetView>
  </sheetViews>
  <sheetFormatPr defaultRowHeight="15" x14ac:dyDescent="0.25"/>
  <sheetData>
    <row r="4" spans="1:5" x14ac:dyDescent="0.25">
      <c r="A4" t="s">
        <v>59</v>
      </c>
      <c r="B4" t="s">
        <v>54</v>
      </c>
      <c r="C4" t="s">
        <v>55</v>
      </c>
      <c r="D4" t="s">
        <v>56</v>
      </c>
      <c r="E4" t="s">
        <v>57</v>
      </c>
    </row>
    <row r="5" spans="1:5" x14ac:dyDescent="0.25">
      <c r="A5" t="str">
        <f>'Interpreted Data'!A5</f>
        <v>A</v>
      </c>
      <c r="B5" t="str">
        <f>'Interpreted Data'!B5</f>
        <v>B</v>
      </c>
      <c r="C5" s="2">
        <f>'Interpreted Data'!J5/'Interpreted Data'!$H$1</f>
        <v>6.4024390243902447</v>
      </c>
      <c r="D5" s="8" t="str">
        <f>'Interpreted Data'!I5</f>
        <v>283</v>
      </c>
      <c r="E5" s="9" t="str">
        <f>'Interpreted Data'!K5</f>
        <v>8 30</v>
      </c>
    </row>
    <row r="6" spans="1:5" x14ac:dyDescent="0.25">
      <c r="A6" t="str">
        <f>'Interpreted Data'!A6</f>
        <v>B</v>
      </c>
      <c r="B6" t="str">
        <f>'Interpreted Data'!B6</f>
        <v>C</v>
      </c>
      <c r="C6" s="2">
        <f>'Interpreted Data'!J6/'Interpreted Data'!$H$1</f>
        <v>8.2317073170731714</v>
      </c>
      <c r="D6" s="8" t="str">
        <f>'Interpreted Data'!I6</f>
        <v>322:30</v>
      </c>
      <c r="E6" s="9">
        <f>'Interpreted Data'!K6</f>
        <v>-9.5</v>
      </c>
    </row>
    <row r="7" spans="1:5" x14ac:dyDescent="0.25">
      <c r="A7" t="str">
        <f>'Interpreted Data'!A7</f>
        <v>C</v>
      </c>
      <c r="B7" t="str">
        <f>'Interpreted Data'!B7</f>
        <v>D</v>
      </c>
      <c r="C7" s="2">
        <f>'Interpreted Data'!J7/'Interpreted Data'!$H$1</f>
        <v>11.280487804878049</v>
      </c>
      <c r="D7" s="8" t="str">
        <f>'Interpreted Data'!I7</f>
        <v>263</v>
      </c>
      <c r="E7" s="9">
        <f>'Interpreted Data'!K7</f>
        <v>2.3234386110520671</v>
      </c>
    </row>
    <row r="8" spans="1:5" x14ac:dyDescent="0.25">
      <c r="A8" t="str">
        <f>'Interpreted Data'!A8</f>
        <v>D</v>
      </c>
      <c r="B8" t="str">
        <f>'Interpreted Data'!B8</f>
        <v>E</v>
      </c>
      <c r="C8" s="2">
        <f>'Interpreted Data'!J8/'Interpreted Data'!$H$1</f>
        <v>4.9390243902439028</v>
      </c>
      <c r="D8" s="8" t="str">
        <f>'Interpreted Data'!I8</f>
        <v>192:30</v>
      </c>
      <c r="E8" s="9">
        <f>'Interpreted Data'!K8</f>
        <v>4.3</v>
      </c>
    </row>
    <row r="9" spans="1:5" x14ac:dyDescent="0.25">
      <c r="A9" t="str">
        <f>'Interpreted Data'!A9</f>
        <v>E</v>
      </c>
      <c r="B9" t="str">
        <f>'Interpreted Data'!B9</f>
        <v>F</v>
      </c>
      <c r="C9" s="2">
        <f>'Interpreted Data'!J9/'Interpreted Data'!$H$1</f>
        <v>14.329268292682928</v>
      </c>
      <c r="D9" s="8" t="str">
        <f>'Interpreted Data'!I9</f>
        <v>258</v>
      </c>
      <c r="E9" s="9">
        <f>'Interpreted Data'!K9</f>
        <v>-5.3</v>
      </c>
    </row>
    <row r="10" spans="1:5" x14ac:dyDescent="0.25">
      <c r="A10" t="str">
        <f>'Interpreted Data'!A10</f>
        <v>F</v>
      </c>
      <c r="B10" t="str">
        <f>'Interpreted Data'!B10</f>
        <v>G</v>
      </c>
      <c r="C10" s="2">
        <f>'Interpreted Data'!J10/'Interpreted Data'!$H$1</f>
        <v>14.634146341463415</v>
      </c>
      <c r="D10" s="8" t="str">
        <f>'Interpreted Data'!I10</f>
        <v>292</v>
      </c>
      <c r="E10" s="9">
        <f>'Interpreted Data'!K10</f>
        <v>-2.9855060057465379</v>
      </c>
    </row>
    <row r="11" spans="1:5" x14ac:dyDescent="0.25">
      <c r="A11" t="str">
        <f>'Interpreted Data'!A11</f>
        <v>G</v>
      </c>
      <c r="B11" t="str">
        <f>'Interpreted Data'!B11</f>
        <v>H</v>
      </c>
      <c r="C11" s="2">
        <f>'Interpreted Data'!J11/'Interpreted Data'!$H$1</f>
        <v>10.975609756097562</v>
      </c>
      <c r="D11" s="8" t="str">
        <f>'Interpreted Data'!I11</f>
        <v>339</v>
      </c>
      <c r="E11" s="9">
        <f>'Interpreted Data'!K11</f>
        <v>0</v>
      </c>
    </row>
    <row r="12" spans="1:5" x14ac:dyDescent="0.25">
      <c r="A12" t="str">
        <f>'Interpreted Data'!A12</f>
        <v>H</v>
      </c>
      <c r="B12" t="str">
        <f>'Interpreted Data'!B12</f>
        <v>I</v>
      </c>
      <c r="C12" s="2">
        <f>'Interpreted Data'!J12/'Interpreted Data'!$H$1</f>
        <v>9.4512195121951219</v>
      </c>
      <c r="D12" s="8" t="str">
        <f>'Interpreted Data'!I12</f>
        <v>247</v>
      </c>
      <c r="E12" s="9">
        <f>'Interpreted Data'!K12</f>
        <v>-2.2999999999999998</v>
      </c>
    </row>
    <row r="13" spans="1:5" x14ac:dyDescent="0.25">
      <c r="A13" t="str">
        <f>'Interpreted Data'!A13</f>
        <v>I</v>
      </c>
      <c r="B13" t="str">
        <f>'Interpreted Data'!B13</f>
        <v>J</v>
      </c>
      <c r="C13" s="2">
        <f>'Interpreted Data'!J13/'Interpreted Data'!$H$1</f>
        <v>7.9268292682926838</v>
      </c>
      <c r="D13" s="8" t="str">
        <f>'Interpreted Data'!I13</f>
        <v>275</v>
      </c>
      <c r="E13" s="9">
        <f>'Interpreted Data'!K13</f>
        <v>2</v>
      </c>
    </row>
    <row r="14" spans="1:5" x14ac:dyDescent="0.25">
      <c r="A14" t="str">
        <f>'Interpreted Data'!A14</f>
        <v>J</v>
      </c>
      <c r="B14" t="str">
        <f>'Interpreted Data'!B14</f>
        <v>K</v>
      </c>
      <c r="C14" s="2">
        <f>'Interpreted Data'!J14/'Interpreted Data'!$H$1</f>
        <v>8.0792682926829276</v>
      </c>
      <c r="D14" s="8" t="str">
        <f>'Interpreted Data'!I14</f>
        <v>320</v>
      </c>
      <c r="E14" s="9">
        <f>'Interpreted Data'!K14</f>
        <v>1</v>
      </c>
    </row>
    <row r="15" spans="1:5" x14ac:dyDescent="0.25">
      <c r="A15" t="str">
        <f>'Interpreted Data'!A15</f>
        <v>K</v>
      </c>
      <c r="B15" t="str">
        <f>'Interpreted Data'!B15</f>
        <v>L</v>
      </c>
      <c r="C15" s="2">
        <f>'Interpreted Data'!J15/'Interpreted Data'!$H$1</f>
        <v>5.3353658536585371</v>
      </c>
      <c r="D15" s="8" t="str">
        <f>'Interpreted Data'!I15</f>
        <v>13</v>
      </c>
      <c r="E15" s="9">
        <f>'Interpreted Data'!K15</f>
        <v>-9</v>
      </c>
    </row>
    <row r="16" spans="1:5" x14ac:dyDescent="0.25">
      <c r="A16" t="str">
        <f>'Interpreted Data'!A16</f>
        <v>L</v>
      </c>
      <c r="B16" t="str">
        <f>'Interpreted Data'!B16</f>
        <v>M</v>
      </c>
      <c r="C16" s="2">
        <f>'Interpreted Data'!J16/'Interpreted Data'!$H$1</f>
        <v>10.060975609756099</v>
      </c>
      <c r="D16" s="8" t="str">
        <f>'Interpreted Data'!I16</f>
        <v>299</v>
      </c>
      <c r="E16" s="9">
        <f>'Interpreted Data'!K16</f>
        <v>-3</v>
      </c>
    </row>
    <row r="17" spans="1:5" x14ac:dyDescent="0.25">
      <c r="A17" t="str">
        <f>'Interpreted Data'!A17</f>
        <v>M</v>
      </c>
      <c r="B17" t="str">
        <f>'Interpreted Data'!B17</f>
        <v>N</v>
      </c>
      <c r="C17" s="2">
        <f>'Interpreted Data'!J17/'Interpreted Data'!$H$1</f>
        <v>13.109756097560977</v>
      </c>
      <c r="D17" s="8" t="str">
        <f>'Interpreted Data'!I17</f>
        <v>322</v>
      </c>
      <c r="E17" s="9">
        <f>'Interpreted Data'!K17</f>
        <v>-7.3</v>
      </c>
    </row>
    <row r="18" spans="1:5" x14ac:dyDescent="0.25">
      <c r="A18" t="str">
        <f>'Interpreted Data'!A18</f>
        <v>N</v>
      </c>
      <c r="B18" t="str">
        <f>'Interpreted Data'!B18</f>
        <v>O</v>
      </c>
      <c r="C18" s="2">
        <f>'Interpreted Data'!J18/'Interpreted Data'!$H$1</f>
        <v>4.725609756097561</v>
      </c>
      <c r="D18" s="8" t="str">
        <f>'Interpreted Data'!I18</f>
        <v>281</v>
      </c>
      <c r="E18" s="9">
        <f>'Interpreted Data'!K18</f>
        <v>-2</v>
      </c>
    </row>
    <row r="19" spans="1:5" x14ac:dyDescent="0.25">
      <c r="A19" t="str">
        <f>'Interpreted Data'!A19</f>
        <v>O</v>
      </c>
      <c r="B19" t="str">
        <f>'Interpreted Data'!B19</f>
        <v>P</v>
      </c>
      <c r="C19" s="2">
        <f>'Interpreted Data'!J19/'Interpreted Data'!$H$1</f>
        <v>17.073170731707318</v>
      </c>
      <c r="D19" s="8" t="str">
        <f>'Interpreted Data'!I19</f>
        <v>307</v>
      </c>
      <c r="E19" s="9">
        <f>'Interpreted Data'!K19</f>
        <v>-5</v>
      </c>
    </row>
    <row r="20" spans="1:5" x14ac:dyDescent="0.25">
      <c r="A20" t="str">
        <f>'Interpreted Data'!A20</f>
        <v>P</v>
      </c>
      <c r="B20" t="str">
        <f>'Interpreted Data'!B20</f>
        <v>Q</v>
      </c>
      <c r="C20" s="2">
        <f>'Interpreted Data'!J20/'Interpreted Data'!$H$1</f>
        <v>4.8170731707317076</v>
      </c>
      <c r="D20" s="8" t="str">
        <f>'Interpreted Data'!I20</f>
        <v>283</v>
      </c>
      <c r="E20" s="9">
        <f>'Interpreted Data'!K20</f>
        <v>-0.15</v>
      </c>
    </row>
    <row r="21" spans="1:5" x14ac:dyDescent="0.25">
      <c r="A21" t="str">
        <f>'Interpreted Data'!A21</f>
        <v>Q</v>
      </c>
      <c r="B21" t="str">
        <f>'Interpreted Data'!B21</f>
        <v>R</v>
      </c>
      <c r="C21" s="2">
        <f>'Interpreted Data'!J21/'Interpreted Data'!$H$1</f>
        <v>4.6646341463414638</v>
      </c>
      <c r="D21" s="8" t="str">
        <f>'Interpreted Data'!I21</f>
        <v>217</v>
      </c>
      <c r="E21" s="9">
        <f>'Interpreted Data'!K21</f>
        <v>-15.155399662290439</v>
      </c>
    </row>
    <row r="22" spans="1:5" x14ac:dyDescent="0.25">
      <c r="A22" t="str">
        <f>'Interpreted Data'!A22</f>
        <v>R</v>
      </c>
      <c r="B22" t="str">
        <f>'Interpreted Data'!B22</f>
        <v>S</v>
      </c>
      <c r="C22" s="2">
        <f>'Interpreted Data'!J22/'Interpreted Data'!$H$1</f>
        <v>12.042682926829269</v>
      </c>
      <c r="D22" s="8" t="str">
        <f>'Interpreted Data'!I22</f>
        <v>310</v>
      </c>
      <c r="E22" s="9">
        <f>'Interpreted Data'!K22</f>
        <v>5.8120668348260685</v>
      </c>
    </row>
    <row r="23" spans="1:5" x14ac:dyDescent="0.25">
      <c r="A23" t="str">
        <f>'Interpreted Data'!A23</f>
        <v>S</v>
      </c>
      <c r="B23" t="str">
        <f>'Interpreted Data'!B23</f>
        <v>T</v>
      </c>
      <c r="C23" s="2">
        <f>'Interpreted Data'!J23/'Interpreted Data'!$H$1</f>
        <v>12.073170731707318</v>
      </c>
      <c r="D23" s="8" t="str">
        <f>'Interpreted Data'!I23</f>
        <v>238</v>
      </c>
      <c r="E23" s="9">
        <f>'Interpreted Data'!K23</f>
        <v>-2.7</v>
      </c>
    </row>
    <row r="24" spans="1:5" x14ac:dyDescent="0.25">
      <c r="A24" t="str">
        <f>'Interpreted Data'!A24</f>
        <v>T</v>
      </c>
      <c r="B24" t="str">
        <f>'Interpreted Data'!B24</f>
        <v>U</v>
      </c>
      <c r="C24" s="2">
        <f>'Interpreted Data'!J24/'Interpreted Data'!$H$1</f>
        <v>14.939024390243903</v>
      </c>
      <c r="D24" s="8" t="str">
        <f>'Interpreted Data'!I24</f>
        <v>148</v>
      </c>
      <c r="E24" s="9">
        <f>'Interpreted Data'!K24</f>
        <v>-1.9882117515894562</v>
      </c>
    </row>
    <row r="25" spans="1:5" x14ac:dyDescent="0.25">
      <c r="C25" s="2"/>
    </row>
    <row r="26" spans="1:5" x14ac:dyDescent="0.25">
      <c r="C26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topLeftCell="A4" workbookViewId="0">
      <selection activeCell="J4" sqref="J4:P32"/>
    </sheetView>
  </sheetViews>
  <sheetFormatPr defaultRowHeight="15" x14ac:dyDescent="0.25"/>
  <cols>
    <col min="6" max="6" width="13.85546875" bestFit="1" customWidth="1"/>
  </cols>
  <sheetData>
    <row r="1" spans="1:16" x14ac:dyDescent="0.25">
      <c r="A1" s="1" t="s">
        <v>60</v>
      </c>
      <c r="J1" s="3" t="s">
        <v>80</v>
      </c>
    </row>
    <row r="2" spans="1:16" x14ac:dyDescent="0.25">
      <c r="A2" s="11" t="s">
        <v>66</v>
      </c>
      <c r="J2" s="3" t="s">
        <v>81</v>
      </c>
    </row>
    <row r="4" spans="1:16" x14ac:dyDescent="0.25">
      <c r="A4" t="s">
        <v>63</v>
      </c>
      <c r="B4" t="s">
        <v>54</v>
      </c>
      <c r="C4" t="s">
        <v>55</v>
      </c>
      <c r="D4" t="s">
        <v>61</v>
      </c>
      <c r="E4" t="s">
        <v>62</v>
      </c>
      <c r="F4" t="s">
        <v>57</v>
      </c>
      <c r="G4" t="s">
        <v>64</v>
      </c>
      <c r="H4" t="s">
        <v>51</v>
      </c>
      <c r="J4" t="str">
        <f>$J$1</f>
        <v>data normal from to tape compass backcompass clino ignoreall</v>
      </c>
    </row>
    <row r="5" spans="1:16" x14ac:dyDescent="0.25">
      <c r="A5" t="str">
        <f>'Raw Data'!A5</f>
        <v>A</v>
      </c>
      <c r="B5" t="str">
        <f>'Raw Data'!B5</f>
        <v>B</v>
      </c>
      <c r="C5">
        <f>'Raw Data'!J5</f>
        <v>21</v>
      </c>
      <c r="D5" t="str">
        <f>'Interpreted Data'!G5</f>
        <v>-</v>
      </c>
      <c r="E5" t="str">
        <f>'Interpreted Data'!H5</f>
        <v>103</v>
      </c>
      <c r="F5" t="str">
        <f>SUBSTITUTE('Raw Data'!K5," ",":",1)</f>
        <v>8:30</v>
      </c>
      <c r="G5">
        <f>'Raw Data'!N5</f>
        <v>3.1</v>
      </c>
      <c r="H5" t="str">
        <f>'Interpreted Data'!P5</f>
        <v>A is at the base of the cable spike on the downstream side of Sump I</v>
      </c>
      <c r="J5" t="str">
        <f>A5</f>
        <v>A</v>
      </c>
      <c r="K5" t="str">
        <f>B5</f>
        <v>B</v>
      </c>
      <c r="L5">
        <f>C5</f>
        <v>21</v>
      </c>
      <c r="M5" t="str">
        <f>D5</f>
        <v>-</v>
      </c>
      <c r="N5" t="str">
        <f>E5</f>
        <v>103</v>
      </c>
      <c r="O5" t="str">
        <f>F5</f>
        <v>8:30</v>
      </c>
      <c r="P5" t="str">
        <f>H5</f>
        <v>A is at the base of the cable spike on the downstream side of Sump I</v>
      </c>
    </row>
    <row r="6" spans="1:16" x14ac:dyDescent="0.25">
      <c r="A6" t="str">
        <f>'Raw Data'!A6</f>
        <v>B</v>
      </c>
      <c r="B6" t="str">
        <f>'Raw Data'!B6</f>
        <v>C</v>
      </c>
      <c r="C6">
        <f>'Raw Data'!J6</f>
        <v>27</v>
      </c>
      <c r="D6" t="str">
        <f>'Interpreted Data'!G6</f>
        <v>322:30</v>
      </c>
      <c r="E6" t="str">
        <f>'Interpreted Data'!H6</f>
        <v>-</v>
      </c>
      <c r="F6" t="str">
        <f>SUBSTITUTE('Raw Data'!K6," ",":",1)</f>
        <v>-9.5</v>
      </c>
      <c r="G6">
        <f>'Raw Data'!N6</f>
        <v>-4.5</v>
      </c>
      <c r="H6" t="str">
        <f>'Interpreted Data'!P6</f>
        <v>B is on a rock at upstream end of pool</v>
      </c>
      <c r="J6" t="str">
        <f>A6</f>
        <v>B</v>
      </c>
      <c r="K6" t="str">
        <f>B6</f>
        <v>C</v>
      </c>
      <c r="L6">
        <f>C6</f>
        <v>27</v>
      </c>
      <c r="M6" t="str">
        <f>D6</f>
        <v>322:30</v>
      </c>
      <c r="N6" t="str">
        <f>E6</f>
        <v>-</v>
      </c>
      <c r="O6" t="str">
        <f>F6</f>
        <v>-9.5</v>
      </c>
      <c r="P6" t="str">
        <f>H6</f>
        <v>B is on a rock at upstream end of pool</v>
      </c>
    </row>
    <row r="7" spans="1:16" x14ac:dyDescent="0.25">
      <c r="A7" t="str">
        <f>'Raw Data'!A7</f>
        <v>C</v>
      </c>
      <c r="B7" t="str">
        <f>'Raw Data'!B7</f>
        <v>D</v>
      </c>
      <c r="C7">
        <f>'Raw Data'!J7</f>
        <v>37</v>
      </c>
      <c r="D7" t="str">
        <f>'Interpreted Data'!G7</f>
        <v>-</v>
      </c>
      <c r="E7" t="str">
        <f>'Interpreted Data'!H7</f>
        <v>83</v>
      </c>
      <c r="F7" t="str">
        <f>SUBSTITUTE('Raw Data'!K7," ",":",1)</f>
        <v>rise:of 1.5 feet</v>
      </c>
      <c r="G7">
        <f>'Raw Data'!N7</f>
        <v>1.5</v>
      </c>
      <c r="H7" t="str">
        <f>'Interpreted Data'!P7</f>
        <v>C is on edge of pool 10' before Duck I</v>
      </c>
      <c r="J7" t="str">
        <f>$J$2</f>
        <v>data diving from to tape compass backcompass depthchange ignoreall</v>
      </c>
    </row>
    <row r="8" spans="1:16" x14ac:dyDescent="0.25">
      <c r="A8" t="str">
        <f>'Raw Data'!A8</f>
        <v>D</v>
      </c>
      <c r="B8" t="str">
        <f>'Raw Data'!B8</f>
        <v>E</v>
      </c>
      <c r="C8">
        <f>'Raw Data'!J8</f>
        <v>16.2</v>
      </c>
      <c r="D8" t="str">
        <f>'Interpreted Data'!G8</f>
        <v>192:30</v>
      </c>
      <c r="E8" t="str">
        <f>'Interpreted Data'!H8</f>
        <v>-</v>
      </c>
      <c r="F8" t="str">
        <f>SUBSTITUTE('Raw Data'!K8," ",":",1)</f>
        <v>4.3</v>
      </c>
      <c r="G8">
        <f>'Raw Data'!N8</f>
        <v>1.3</v>
      </c>
      <c r="H8" t="str">
        <f>'Interpreted Data'!P8</f>
        <v>D is in stream. Big rock (start of New Series survey) 10' away at 350 (deg). Big passage starts as continuation of Howards Dig.</v>
      </c>
      <c r="J8" t="str">
        <f>A7</f>
        <v>C</v>
      </c>
      <c r="K8" t="str">
        <f>B7</f>
        <v>D</v>
      </c>
      <c r="L8">
        <f>C7</f>
        <v>37</v>
      </c>
      <c r="M8" t="str">
        <f>D7</f>
        <v>-</v>
      </c>
      <c r="N8" t="str">
        <f>E7</f>
        <v>83</v>
      </c>
      <c r="O8">
        <f>G7</f>
        <v>1.5</v>
      </c>
      <c r="P8" t="str">
        <f>H7</f>
        <v>C is on edge of pool 10' before Duck I</v>
      </c>
    </row>
    <row r="9" spans="1:16" x14ac:dyDescent="0.25">
      <c r="A9" t="str">
        <f>'Raw Data'!A9</f>
        <v>E</v>
      </c>
      <c r="B9" t="str">
        <f>'Raw Data'!B9</f>
        <v>F</v>
      </c>
      <c r="C9">
        <f>'Raw Data'!J9</f>
        <v>47</v>
      </c>
      <c r="D9" t="str">
        <f>'Interpreted Data'!G9</f>
        <v>-</v>
      </c>
      <c r="E9" t="str">
        <f>'Interpreted Data'!H9</f>
        <v>78</v>
      </c>
      <c r="F9" t="str">
        <f>SUBSTITUTE('Raw Data'!K9," ",":",1)</f>
        <v>-5.3</v>
      </c>
      <c r="G9">
        <f>'Raw Data'!N9</f>
        <v>-4.5</v>
      </c>
      <c r="H9" t="str">
        <f>'Interpreted Data'!P9</f>
        <v/>
      </c>
      <c r="J9" t="str">
        <f>$J$1</f>
        <v>data normal from to tape compass backcompass clino ignoreall</v>
      </c>
    </row>
    <row r="10" spans="1:16" x14ac:dyDescent="0.25">
      <c r="A10" t="str">
        <f>'Raw Data'!A10</f>
        <v>F</v>
      </c>
      <c r="B10" t="str">
        <f>'Raw Data'!B10</f>
        <v>G</v>
      </c>
      <c r="C10">
        <f>'Raw Data'!J10</f>
        <v>48</v>
      </c>
      <c r="D10" t="str">
        <f>'Interpreted Data'!G10</f>
        <v>292</v>
      </c>
      <c r="E10" t="str">
        <f>'Interpreted Data'!H10</f>
        <v>-</v>
      </c>
      <c r="F10" t="str">
        <f>SUBSTITUTE('Raw Data'!K10," ",":",1)</f>
        <v>fall:of 2.5 feet</v>
      </c>
      <c r="G10">
        <f>'Raw Data'!N10</f>
        <v>-2.5</v>
      </c>
      <c r="H10" t="str">
        <f>'Interpreted Data'!P10</f>
        <v>At 40' the roof lowers suddenly to Creep I. The big Bedding Plane passage comes in on the right, from -5' to 40'</v>
      </c>
      <c r="J10" t="str">
        <f>A8</f>
        <v>D</v>
      </c>
      <c r="K10" t="str">
        <f>B8</f>
        <v>E</v>
      </c>
      <c r="L10">
        <f>C8</f>
        <v>16.2</v>
      </c>
      <c r="M10" t="str">
        <f>D8</f>
        <v>192:30</v>
      </c>
      <c r="N10" t="str">
        <f>E8</f>
        <v>-</v>
      </c>
      <c r="O10" t="str">
        <f>F8</f>
        <v>4.3</v>
      </c>
      <c r="P10" t="str">
        <f>H8</f>
        <v>D is in stream. Big rock (start of New Series survey) 10' away at 350 (deg). Big passage starts as continuation of Howards Dig.</v>
      </c>
    </row>
    <row r="11" spans="1:16" x14ac:dyDescent="0.25">
      <c r="A11" t="str">
        <f>'Raw Data'!A11</f>
        <v>G</v>
      </c>
      <c r="B11" t="str">
        <f>'Raw Data'!B11</f>
        <v>H</v>
      </c>
      <c r="C11">
        <f>'Raw Data'!J11</f>
        <v>36</v>
      </c>
      <c r="D11" t="str">
        <f>'Interpreted Data'!G11</f>
        <v>-</v>
      </c>
      <c r="E11" t="str">
        <f>'Interpreted Data'!H11</f>
        <v>159</v>
      </c>
      <c r="F11" t="str">
        <f>SUBSTITUTE('Raw Data'!K11," ",":",1)</f>
        <v>level</v>
      </c>
      <c r="G11">
        <f>'Raw Data'!N11</f>
        <v>0</v>
      </c>
      <c r="H11" t="str">
        <f>'Interpreted Data'!P11</f>
        <v/>
      </c>
      <c r="J11" t="str">
        <f>A9</f>
        <v>E</v>
      </c>
      <c r="K11" t="str">
        <f>B9</f>
        <v>F</v>
      </c>
      <c r="L11">
        <f>C9</f>
        <v>47</v>
      </c>
      <c r="M11" t="str">
        <f>D9</f>
        <v>-</v>
      </c>
      <c r="N11" t="str">
        <f>E9</f>
        <v>78</v>
      </c>
      <c r="O11" t="str">
        <f>F9</f>
        <v>-5.3</v>
      </c>
      <c r="P11" t="str">
        <f>H9</f>
        <v/>
      </c>
    </row>
    <row r="12" spans="1:16" x14ac:dyDescent="0.25">
      <c r="A12" t="str">
        <f>'Raw Data'!A12</f>
        <v>H</v>
      </c>
      <c r="B12" t="str">
        <f>'Raw Data'!B12</f>
        <v>I</v>
      </c>
      <c r="C12">
        <f>'Raw Data'!J12</f>
        <v>31</v>
      </c>
      <c r="D12" t="str">
        <f>'Interpreted Data'!G12</f>
        <v>247</v>
      </c>
      <c r="E12" t="str">
        <f>'Interpreted Data'!H12</f>
        <v>-</v>
      </c>
      <c r="F12" t="str">
        <f>SUBSTITUTE('Raw Data'!K12," ",":",1)</f>
        <v>-2.3</v>
      </c>
      <c r="G12">
        <f>'Raw Data'!N12</f>
        <v>-1.3</v>
      </c>
      <c r="H12" t="str">
        <f>'Interpreted Data'!P12</f>
        <v/>
      </c>
      <c r="J12" t="str">
        <f>$J$2</f>
        <v>data diving from to tape compass backcompass depthchange ignoreall</v>
      </c>
    </row>
    <row r="13" spans="1:16" x14ac:dyDescent="0.25">
      <c r="A13" t="str">
        <f>'Raw Data'!A13</f>
        <v>I</v>
      </c>
      <c r="B13" t="str">
        <f>'Raw Data'!B13</f>
        <v>J</v>
      </c>
      <c r="C13">
        <f>'Raw Data'!J13</f>
        <v>26</v>
      </c>
      <c r="D13" t="str">
        <f>'Interpreted Data'!G13</f>
        <v>-</v>
      </c>
      <c r="E13" t="str">
        <f>'Interpreted Data'!H13</f>
        <v>95</v>
      </c>
      <c r="F13" t="str">
        <f>SUBSTITUTE('Raw Data'!K13," ",":",1)</f>
        <v>2</v>
      </c>
      <c r="G13">
        <f>'Raw Data'!N13</f>
        <v>0.9</v>
      </c>
      <c r="H13" t="str">
        <f>'Interpreted Data'!P13</f>
        <v/>
      </c>
      <c r="J13" t="str">
        <f>A10</f>
        <v>F</v>
      </c>
      <c r="K13" t="str">
        <f>B10</f>
        <v>G</v>
      </c>
      <c r="L13">
        <f>C10</f>
        <v>48</v>
      </c>
      <c r="M13" t="str">
        <f>D10</f>
        <v>292</v>
      </c>
      <c r="N13" t="str">
        <f>E10</f>
        <v>-</v>
      </c>
      <c r="O13">
        <f>G10</f>
        <v>-2.5</v>
      </c>
      <c r="P13" t="str">
        <f>H10</f>
        <v>At 40' the roof lowers suddenly to Creep I. The big Bedding Plane passage comes in on the right, from -5' to 40'</v>
      </c>
    </row>
    <row r="14" spans="1:16" x14ac:dyDescent="0.25">
      <c r="A14" t="str">
        <f>'Raw Data'!A14</f>
        <v>J</v>
      </c>
      <c r="B14" t="str">
        <f>'Raw Data'!B14</f>
        <v>K</v>
      </c>
      <c r="C14">
        <f>'Raw Data'!J14</f>
        <v>26.5</v>
      </c>
      <c r="D14" t="str">
        <f>'Interpreted Data'!G14</f>
        <v>320</v>
      </c>
      <c r="E14" t="str">
        <f>'Interpreted Data'!H14</f>
        <v>-</v>
      </c>
      <c r="F14" t="str">
        <f>SUBSTITUTE('Raw Data'!K14," ",":",1)</f>
        <v>1</v>
      </c>
      <c r="G14">
        <f>'Raw Data'!N14</f>
        <v>0.5</v>
      </c>
      <c r="H14" t="str">
        <f>'Interpreted Data'!P14</f>
        <v>Pots</v>
      </c>
      <c r="J14" t="str">
        <f>A11</f>
        <v>G</v>
      </c>
      <c r="K14" t="str">
        <f>B11</f>
        <v>H</v>
      </c>
      <c r="L14">
        <f>C11</f>
        <v>36</v>
      </c>
      <c r="M14" t="str">
        <f>D11</f>
        <v>-</v>
      </c>
      <c r="N14" t="str">
        <f>E11</f>
        <v>159</v>
      </c>
      <c r="O14">
        <f>G11</f>
        <v>0</v>
      </c>
      <c r="P14" t="str">
        <f>H11</f>
        <v/>
      </c>
    </row>
    <row r="15" spans="1:16" x14ac:dyDescent="0.25">
      <c r="A15" t="str">
        <f>'Raw Data'!A15</f>
        <v>K</v>
      </c>
      <c r="B15" t="str">
        <f>'Raw Data'!B15</f>
        <v>L</v>
      </c>
      <c r="C15">
        <f>'Raw Data'!J15</f>
        <v>17.5</v>
      </c>
      <c r="D15" t="str">
        <f>'Interpreted Data'!G15</f>
        <v>-</v>
      </c>
      <c r="E15" t="str">
        <f>'Interpreted Data'!H15</f>
        <v>193</v>
      </c>
      <c r="F15" t="str">
        <f>SUBSTITUTE('Raw Data'!K15," ",":",1)</f>
        <v>-9</v>
      </c>
      <c r="G15">
        <f>'Raw Data'!N15</f>
        <v>-2.7</v>
      </c>
      <c r="H15" t="str">
        <f>'Interpreted Data'!P15</f>
        <v>Pots</v>
      </c>
      <c r="J15" t="str">
        <f>$J$1</f>
        <v>data normal from to tape compass backcompass clino ignoreall</v>
      </c>
    </row>
    <row r="16" spans="1:16" x14ac:dyDescent="0.25">
      <c r="A16" t="str">
        <f>'Raw Data'!A16</f>
        <v>L</v>
      </c>
      <c r="B16" t="str">
        <f>'Raw Data'!B16</f>
        <v>M</v>
      </c>
      <c r="C16">
        <f>'Raw Data'!J16</f>
        <v>33</v>
      </c>
      <c r="D16" t="str">
        <f>'Interpreted Data'!G16</f>
        <v>299</v>
      </c>
      <c r="E16" t="str">
        <f>'Interpreted Data'!H16</f>
        <v>-</v>
      </c>
      <c r="F16" t="str">
        <f>SUBSTITUTE('Raw Data'!K16," ",":",1)</f>
        <v>-3</v>
      </c>
      <c r="G16">
        <f>'Raw Data'!N16</f>
        <v>-1.7</v>
      </c>
      <c r="H16" t="str">
        <f>'Interpreted Data'!P16</f>
        <v>L is at foot of climb to Approach passage. Clay fill remains 6' up on left wall.</v>
      </c>
      <c r="J16" t="str">
        <f>A12</f>
        <v>H</v>
      </c>
      <c r="K16" t="str">
        <f>B12</f>
        <v>I</v>
      </c>
      <c r="L16">
        <f>C12</f>
        <v>31</v>
      </c>
      <c r="M16" t="str">
        <f>D12</f>
        <v>247</v>
      </c>
      <c r="N16" t="str">
        <f>E12</f>
        <v>-</v>
      </c>
      <c r="O16" t="str">
        <f>F12</f>
        <v>-2.3</v>
      </c>
      <c r="P16" t="str">
        <f>H12</f>
        <v/>
      </c>
    </row>
    <row r="17" spans="1:16" x14ac:dyDescent="0.25">
      <c r="A17" t="str">
        <f>'Raw Data'!A17</f>
        <v>M</v>
      </c>
      <c r="B17" t="str">
        <f>'Raw Data'!B17</f>
        <v>N</v>
      </c>
      <c r="C17">
        <f>'Raw Data'!J17</f>
        <v>43</v>
      </c>
      <c r="D17" t="str">
        <f>'Interpreted Data'!G17</f>
        <v>-</v>
      </c>
      <c r="E17" t="str">
        <f>'Interpreted Data'!H17</f>
        <v>142</v>
      </c>
      <c r="F17" t="str">
        <f>SUBSTITUTE('Raw Data'!K17," ",":",1)</f>
        <v>-7.3</v>
      </c>
      <c r="G17">
        <f>'Raw Data'!N17</f>
        <v>-5.6</v>
      </c>
      <c r="H17" t="str">
        <f>'Interpreted Data'!P17</f>
        <v>Pots</v>
      </c>
      <c r="J17" t="str">
        <f>A13</f>
        <v>I</v>
      </c>
      <c r="K17" t="str">
        <f>B13</f>
        <v>J</v>
      </c>
      <c r="L17">
        <f>C13</f>
        <v>26</v>
      </c>
      <c r="M17" t="str">
        <f>D13</f>
        <v>-</v>
      </c>
      <c r="N17" t="str">
        <f>E13</f>
        <v>95</v>
      </c>
      <c r="O17" t="str">
        <f>F13</f>
        <v>2</v>
      </c>
      <c r="P17" t="str">
        <f>H13</f>
        <v/>
      </c>
    </row>
    <row r="18" spans="1:16" x14ac:dyDescent="0.25">
      <c r="A18" t="str">
        <f>'Raw Data'!A18</f>
        <v>N</v>
      </c>
      <c r="B18" t="str">
        <f>'Raw Data'!B18</f>
        <v>O</v>
      </c>
      <c r="C18">
        <f>'Raw Data'!J18</f>
        <v>15.5</v>
      </c>
      <c r="D18" t="str">
        <f>'Interpreted Data'!G18</f>
        <v>281</v>
      </c>
      <c r="E18" t="str">
        <f>'Interpreted Data'!H18</f>
        <v>-</v>
      </c>
      <c r="F18" t="str">
        <f>SUBSTITUTE('Raw Data'!K18," ",":",1)</f>
        <v>-2</v>
      </c>
      <c r="G18">
        <f>'Raw Data'!N18</f>
        <v>-0.5</v>
      </c>
      <c r="H18" t="str">
        <f>'Interpreted Data'!P18</f>
        <v>Pots</v>
      </c>
      <c r="J18" t="str">
        <f>A14</f>
        <v>J</v>
      </c>
      <c r="K18" t="str">
        <f>B14</f>
        <v>K</v>
      </c>
      <c r="L18">
        <f>C14</f>
        <v>26.5</v>
      </c>
      <c r="M18" t="str">
        <f>D14</f>
        <v>320</v>
      </c>
      <c r="N18" t="str">
        <f>E14</f>
        <v>-</v>
      </c>
      <c r="O18" t="str">
        <f>F14</f>
        <v>1</v>
      </c>
      <c r="P18" t="str">
        <f>H14</f>
        <v>Pots</v>
      </c>
    </row>
    <row r="19" spans="1:16" x14ac:dyDescent="0.25">
      <c r="A19" t="str">
        <f>'Raw Data'!A19</f>
        <v>O</v>
      </c>
      <c r="B19" t="str">
        <f>'Raw Data'!B19</f>
        <v>P</v>
      </c>
      <c r="C19">
        <f>'Raw Data'!J19</f>
        <v>56</v>
      </c>
      <c r="D19" t="str">
        <f>'Interpreted Data'!G19</f>
        <v>-</v>
      </c>
      <c r="E19" t="str">
        <f>'Interpreted Data'!H19</f>
        <v>127</v>
      </c>
      <c r="F19" t="str">
        <f>SUBSTITUTE('Raw Data'!K19," ",":",1)</f>
        <v>-5</v>
      </c>
      <c r="G19">
        <f>'Raw Data'!N19</f>
        <v>-4.9000000000000004</v>
      </c>
      <c r="H19" t="str">
        <f>'Interpreted Data'!P19</f>
        <v>Pots. Very pretty coral on left wall</v>
      </c>
      <c r="J19" t="str">
        <f>A15</f>
        <v>K</v>
      </c>
      <c r="K19" t="str">
        <f>B15</f>
        <v>L</v>
      </c>
      <c r="L19">
        <f>C15</f>
        <v>17.5</v>
      </c>
      <c r="M19" t="str">
        <f>D15</f>
        <v>-</v>
      </c>
      <c r="N19" t="str">
        <f>E15</f>
        <v>193</v>
      </c>
      <c r="O19" t="str">
        <f>F15</f>
        <v>-9</v>
      </c>
      <c r="P19" t="str">
        <f>H15</f>
        <v>Pots</v>
      </c>
    </row>
    <row r="20" spans="1:16" x14ac:dyDescent="0.25">
      <c r="A20" t="str">
        <f>'Raw Data'!A20</f>
        <v>P</v>
      </c>
      <c r="B20" t="str">
        <f>'Raw Data'!B20</f>
        <v>Q</v>
      </c>
      <c r="C20">
        <f>'Raw Data'!J20</f>
        <v>15.8</v>
      </c>
      <c r="D20" t="str">
        <f>'Interpreted Data'!G20</f>
        <v>283</v>
      </c>
      <c r="E20" t="str">
        <f>'Interpreted Data'!H20</f>
        <v>-</v>
      </c>
      <c r="F20" t="str">
        <f>SUBSTITUTE('Raw Data'!K20," ",":",1)</f>
        <v>-0.15</v>
      </c>
      <c r="G20">
        <f>'Raw Data'!N20</f>
        <v>-0.1</v>
      </c>
      <c r="H20" t="str">
        <f>'Interpreted Data'!P20</f>
        <v/>
      </c>
      <c r="J20" t="str">
        <f>A16</f>
        <v>L</v>
      </c>
      <c r="K20" t="str">
        <f>B16</f>
        <v>M</v>
      </c>
      <c r="L20">
        <f>C16</f>
        <v>33</v>
      </c>
      <c r="M20" t="str">
        <f>D16</f>
        <v>299</v>
      </c>
      <c r="N20" t="str">
        <f>E16</f>
        <v>-</v>
      </c>
      <c r="O20" t="str">
        <f>F16</f>
        <v>-3</v>
      </c>
      <c r="P20" t="str">
        <f>H16</f>
        <v>L is at foot of climb to Approach passage. Clay fill remains 6' up on left wall.</v>
      </c>
    </row>
    <row r="21" spans="1:16" x14ac:dyDescent="0.25">
      <c r="A21" t="str">
        <f>'Raw Data'!A21</f>
        <v>Q</v>
      </c>
      <c r="B21" t="str">
        <f>'Raw Data'!B21</f>
        <v>R</v>
      </c>
      <c r="C21">
        <f>'Raw Data'!J21</f>
        <v>15.3</v>
      </c>
      <c r="D21" t="str">
        <f>'Interpreted Data'!G21</f>
        <v>-</v>
      </c>
      <c r="E21" t="str">
        <f>'Interpreted Data'!H21</f>
        <v>37</v>
      </c>
      <c r="F21" t="str">
        <f>SUBSTITUTE('Raw Data'!K21," ",":",1)</f>
        <v>fall:of 4 feet</v>
      </c>
      <c r="G21">
        <f>'Raw Data'!N21</f>
        <v>-4</v>
      </c>
      <c r="H21" t="str">
        <f>'Interpreted Data'!P21</f>
        <v>1.5 foot deep pool starts at P.</v>
      </c>
      <c r="J21" t="str">
        <f>A17</f>
        <v>M</v>
      </c>
      <c r="K21" t="str">
        <f>B17</f>
        <v>N</v>
      </c>
      <c r="L21">
        <f>C17</f>
        <v>43</v>
      </c>
      <c r="M21" t="str">
        <f>D17</f>
        <v>-</v>
      </c>
      <c r="N21" t="str">
        <f>E17</f>
        <v>142</v>
      </c>
      <c r="O21" t="str">
        <f>F17</f>
        <v>-7.3</v>
      </c>
      <c r="P21" t="str">
        <f>H17</f>
        <v>Pots</v>
      </c>
    </row>
    <row r="22" spans="1:16" x14ac:dyDescent="0.25">
      <c r="A22" t="str">
        <f>'Raw Data'!A22</f>
        <v>R</v>
      </c>
      <c r="B22" t="str">
        <f>'Raw Data'!B22</f>
        <v>S</v>
      </c>
      <c r="C22">
        <f>'Raw Data'!J22</f>
        <v>39.5</v>
      </c>
      <c r="D22" t="str">
        <f>'Interpreted Data'!G22</f>
        <v>310</v>
      </c>
      <c r="E22" t="str">
        <f>'Interpreted Data'!H22</f>
        <v>-</v>
      </c>
      <c r="F22" t="str">
        <f>SUBSTITUTE('Raw Data'!K22," ",":",1)</f>
        <v>rise:of 4 feet</v>
      </c>
      <c r="G22">
        <f>'Raw Data'!N22</f>
        <v>4</v>
      </c>
      <c r="H22" t="str">
        <f>'Interpreted Data'!P22</f>
        <v>Pool 2.5' deep at R, ends 15' on. Scalloping as in Goughs 1st Sandy Chamber.</v>
      </c>
      <c r="J22" t="str">
        <f>A18</f>
        <v>N</v>
      </c>
      <c r="K22" t="str">
        <f>B18</f>
        <v>O</v>
      </c>
      <c r="L22">
        <f>C18</f>
        <v>15.5</v>
      </c>
      <c r="M22" t="str">
        <f>D18</f>
        <v>281</v>
      </c>
      <c r="N22" t="str">
        <f>E18</f>
        <v>-</v>
      </c>
      <c r="O22" t="str">
        <f>F18</f>
        <v>-2</v>
      </c>
      <c r="P22" t="str">
        <f>H18</f>
        <v>Pots</v>
      </c>
    </row>
    <row r="23" spans="1:16" x14ac:dyDescent="0.25">
      <c r="A23" t="str">
        <f>'Raw Data'!A23</f>
        <v>S</v>
      </c>
      <c r="B23" t="str">
        <f>'Raw Data'!B23</f>
        <v>T</v>
      </c>
      <c r="C23">
        <f>'Raw Data'!J23</f>
        <v>39.6</v>
      </c>
      <c r="D23" t="str">
        <f>'Interpreted Data'!G23</f>
        <v>-</v>
      </c>
      <c r="E23" t="str">
        <f>'Interpreted Data'!H23</f>
        <v>58</v>
      </c>
      <c r="F23" t="str">
        <f>SUBSTITUTE('Raw Data'!K23," ",":",1)</f>
        <v>-2.7</v>
      </c>
      <c r="G23">
        <f>'Raw Data'!N23</f>
        <v>-1.9</v>
      </c>
      <c r="H23" t="str">
        <f>'Interpreted Data'!P23</f>
        <v>S is marked on wall. At 20' there is a muddy chamber overhead.</v>
      </c>
      <c r="J23" t="str">
        <f>A19</f>
        <v>O</v>
      </c>
      <c r="K23" t="str">
        <f>B19</f>
        <v>P</v>
      </c>
      <c r="L23">
        <f>C19</f>
        <v>56</v>
      </c>
      <c r="M23" t="str">
        <f>D19</f>
        <v>-</v>
      </c>
      <c r="N23" t="str">
        <f>E19</f>
        <v>127</v>
      </c>
      <c r="O23" t="str">
        <f>F19</f>
        <v>-5</v>
      </c>
      <c r="P23" t="str">
        <f>H19</f>
        <v>Pots. Very pretty coral on left wall</v>
      </c>
    </row>
    <row r="24" spans="1:16" x14ac:dyDescent="0.25">
      <c r="A24" t="str">
        <f>'Raw Data'!A24</f>
        <v>T</v>
      </c>
      <c r="B24" t="str">
        <f>'Raw Data'!B24</f>
        <v>U</v>
      </c>
      <c r="C24">
        <f>'Raw Data'!J24</f>
        <v>49</v>
      </c>
      <c r="D24" t="str">
        <f>'Interpreted Data'!G24</f>
        <v>148</v>
      </c>
      <c r="E24" t="str">
        <f>'Interpreted Data'!H24</f>
        <v>-</v>
      </c>
      <c r="F24" t="str">
        <f>SUBSTITUTE('Raw Data'!K24," ",":",1)</f>
        <v>fall:of 1.7 feet</v>
      </c>
      <c r="G24">
        <f>'Raw Data'!N24</f>
        <v>-1.7</v>
      </c>
      <c r="H24" t="str">
        <f>'Interpreted Data'!P24</f>
        <v/>
      </c>
      <c r="J24" t="str">
        <f>A20</f>
        <v>P</v>
      </c>
      <c r="K24" t="str">
        <f>B20</f>
        <v>Q</v>
      </c>
      <c r="L24">
        <f>C20</f>
        <v>15.8</v>
      </c>
      <c r="M24" t="str">
        <f>D20</f>
        <v>283</v>
      </c>
      <c r="N24" t="str">
        <f>E20</f>
        <v>-</v>
      </c>
      <c r="O24" t="str">
        <f>F20</f>
        <v>-0.15</v>
      </c>
      <c r="P24" t="str">
        <f>H20</f>
        <v/>
      </c>
    </row>
    <row r="25" spans="1:16" x14ac:dyDescent="0.25">
      <c r="H25" t="str">
        <f>'Interpreted Data'!P25</f>
        <v>Bearls (sp.?) seen here.    Total = 650'</v>
      </c>
      <c r="J25" t="str">
        <f>$J$2</f>
        <v>data diving from to tape compass backcompass depthchange ignoreall</v>
      </c>
    </row>
    <row r="26" spans="1:16" x14ac:dyDescent="0.25">
      <c r="J26" t="str">
        <f>A21</f>
        <v>Q</v>
      </c>
      <c r="K26" t="str">
        <f>B21</f>
        <v>R</v>
      </c>
      <c r="L26">
        <f>C21</f>
        <v>15.3</v>
      </c>
      <c r="M26" t="str">
        <f>D21</f>
        <v>-</v>
      </c>
      <c r="N26" t="str">
        <f>E21</f>
        <v>37</v>
      </c>
      <c r="O26">
        <f>G21</f>
        <v>-4</v>
      </c>
      <c r="P26" t="str">
        <f>H21</f>
        <v>1.5 foot deep pool starts at P.</v>
      </c>
    </row>
    <row r="27" spans="1:16" x14ac:dyDescent="0.25">
      <c r="J27" t="str">
        <f>A22</f>
        <v>R</v>
      </c>
      <c r="K27" t="str">
        <f>B22</f>
        <v>S</v>
      </c>
      <c r="L27">
        <f>C22</f>
        <v>39.5</v>
      </c>
      <c r="M27" t="str">
        <f>D22</f>
        <v>310</v>
      </c>
      <c r="N27" t="str">
        <f>E22</f>
        <v>-</v>
      </c>
      <c r="O27">
        <f>G22</f>
        <v>4</v>
      </c>
      <c r="P27" t="str">
        <f>H22</f>
        <v>Pool 2.5' deep at R, ends 15' on. Scalloping as in Goughs 1st Sandy Chamber.</v>
      </c>
    </row>
    <row r="28" spans="1:16" x14ac:dyDescent="0.25">
      <c r="J28" t="str">
        <f>$J$1</f>
        <v>data normal from to tape compass backcompass clino ignoreall</v>
      </c>
    </row>
    <row r="29" spans="1:16" x14ac:dyDescent="0.25">
      <c r="J29" t="str">
        <f>A23</f>
        <v>S</v>
      </c>
      <c r="K29" t="str">
        <f>B23</f>
        <v>T</v>
      </c>
      <c r="L29">
        <f>C23</f>
        <v>39.6</v>
      </c>
      <c r="M29" t="str">
        <f>D23</f>
        <v>-</v>
      </c>
      <c r="N29" t="str">
        <f>E23</f>
        <v>58</v>
      </c>
      <c r="O29" t="str">
        <f>F23</f>
        <v>-2.7</v>
      </c>
      <c r="P29" t="str">
        <f>H23</f>
        <v>S is marked on wall. At 20' there is a muddy chamber overhead.</v>
      </c>
    </row>
    <row r="30" spans="1:16" x14ac:dyDescent="0.25">
      <c r="J30" t="str">
        <f>$J$2</f>
        <v>data diving from to tape compass backcompass depthchange ignoreall</v>
      </c>
    </row>
    <row r="31" spans="1:16" x14ac:dyDescent="0.25">
      <c r="J31" t="str">
        <f>A24</f>
        <v>T</v>
      </c>
      <c r="K31" t="str">
        <f>B24</f>
        <v>U</v>
      </c>
      <c r="L31">
        <f>C24</f>
        <v>49</v>
      </c>
      <c r="M31" t="str">
        <f>D24</f>
        <v>148</v>
      </c>
      <c r="N31" t="str">
        <f>E24</f>
        <v>-</v>
      </c>
      <c r="O31">
        <f>G24</f>
        <v>-1.7</v>
      </c>
      <c r="P31" t="str">
        <f>H24</f>
        <v/>
      </c>
    </row>
    <row r="32" spans="1:16" x14ac:dyDescent="0.25">
      <c r="J32" t="s">
        <v>79</v>
      </c>
      <c r="K32" t="s">
        <v>39</v>
      </c>
      <c r="P32" t="str">
        <f>H25</f>
        <v>Bearls (sp.?) seen here.    Total = 650'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Raw Data</vt:lpstr>
      <vt:lpstr>Interpreted Data</vt:lpstr>
      <vt:lpstr>Survex Formatted</vt:lpstr>
      <vt:lpstr>Therion Formatted</vt:lpstr>
    </vt:vector>
  </TitlesOfParts>
  <Company>Accelrys Software, Inc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Fretwell</dc:creator>
  <cp:lastModifiedBy>Paul Fretwell</cp:lastModifiedBy>
  <dcterms:created xsi:type="dcterms:W3CDTF">2012-06-12T12:05:34Z</dcterms:created>
  <dcterms:modified xsi:type="dcterms:W3CDTF">2012-06-15T13:06:46Z</dcterms:modified>
</cp:coreProperties>
</file>