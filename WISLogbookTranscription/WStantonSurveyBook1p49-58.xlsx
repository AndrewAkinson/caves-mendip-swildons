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22995" windowHeight="10035"/>
  </bookViews>
  <sheets>
    <sheet name="Raw Data" sheetId="1" r:id="rId1"/>
    <sheet name="Interpreted Data" sheetId="2" r:id="rId2"/>
    <sheet name="Survex Formatted" sheetId="3" r:id="rId3"/>
    <sheet name="Therion Formatted" sheetId="4" r:id="rId4"/>
  </sheets>
  <calcPr calcId="145621"/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4" i="4"/>
  <c r="A23" i="4"/>
  <c r="B23" i="4"/>
  <c r="D23" i="4"/>
  <c r="E23" i="4"/>
  <c r="A24" i="4"/>
  <c r="B24" i="4"/>
  <c r="D24" i="4"/>
  <c r="E24" i="4"/>
  <c r="A5" i="4"/>
  <c r="B5" i="4"/>
  <c r="D5" i="4"/>
  <c r="E5" i="4"/>
  <c r="A6" i="4"/>
  <c r="B6" i="4"/>
  <c r="D6" i="4"/>
  <c r="E6" i="4"/>
  <c r="A7" i="4"/>
  <c r="B7" i="4"/>
  <c r="D7" i="4"/>
  <c r="E7" i="4"/>
  <c r="A8" i="4"/>
  <c r="B8" i="4"/>
  <c r="D8" i="4"/>
  <c r="E8" i="4"/>
  <c r="A9" i="4"/>
  <c r="B9" i="4"/>
  <c r="D9" i="4"/>
  <c r="E9" i="4"/>
  <c r="A10" i="4"/>
  <c r="B10" i="4"/>
  <c r="D10" i="4"/>
  <c r="E10" i="4"/>
  <c r="A11" i="4"/>
  <c r="B11" i="4"/>
  <c r="D11" i="4"/>
  <c r="E11" i="4"/>
  <c r="A12" i="4"/>
  <c r="B12" i="4"/>
  <c r="D12" i="4"/>
  <c r="E12" i="4"/>
  <c r="A13" i="4"/>
  <c r="B13" i="4"/>
  <c r="D13" i="4"/>
  <c r="E13" i="4"/>
  <c r="A14" i="4"/>
  <c r="B14" i="4"/>
  <c r="D14" i="4"/>
  <c r="E14" i="4"/>
  <c r="A15" i="4"/>
  <c r="B15" i="4"/>
  <c r="D15" i="4"/>
  <c r="E15" i="4"/>
  <c r="A16" i="4"/>
  <c r="B16" i="4"/>
  <c r="D16" i="4"/>
  <c r="E16" i="4"/>
  <c r="A17" i="4"/>
  <c r="B17" i="4"/>
  <c r="D17" i="4"/>
  <c r="E17" i="4"/>
  <c r="A18" i="4"/>
  <c r="B18" i="4"/>
  <c r="D18" i="4"/>
  <c r="E18" i="4"/>
  <c r="A19" i="4"/>
  <c r="B19" i="4"/>
  <c r="D19" i="4"/>
  <c r="E19" i="4"/>
  <c r="A20" i="4"/>
  <c r="B20" i="4"/>
  <c r="D20" i="4"/>
  <c r="E20" i="4"/>
  <c r="A21" i="4"/>
  <c r="B21" i="4"/>
  <c r="D21" i="4"/>
  <c r="E21" i="4"/>
  <c r="A22" i="4"/>
  <c r="B22" i="4"/>
  <c r="D22" i="4"/>
  <c r="E22" i="4"/>
  <c r="K4" i="2"/>
  <c r="K5" i="2"/>
  <c r="K6" i="2"/>
  <c r="K7" i="2"/>
  <c r="K8" i="2"/>
  <c r="K9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E4" i="4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4" i="2"/>
  <c r="D4" i="4" s="1"/>
  <c r="I5" i="2"/>
  <c r="B4" i="4"/>
  <c r="A4" i="4"/>
  <c r="C5" i="3" l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4" i="3"/>
  <c r="A5" i="3"/>
  <c r="B5" i="3"/>
  <c r="D5" i="3"/>
  <c r="E5" i="3"/>
  <c r="A6" i="3"/>
  <c r="B6" i="3"/>
  <c r="D6" i="3"/>
  <c r="A7" i="3"/>
  <c r="B7" i="3"/>
  <c r="D7" i="3"/>
  <c r="E7" i="3"/>
  <c r="A8" i="3"/>
  <c r="B8" i="3"/>
  <c r="D8" i="3"/>
  <c r="E8" i="3"/>
  <c r="A9" i="3"/>
  <c r="B9" i="3"/>
  <c r="D9" i="3"/>
  <c r="A10" i="3"/>
  <c r="B10" i="3"/>
  <c r="D10" i="3"/>
  <c r="E10" i="3"/>
  <c r="A11" i="3"/>
  <c r="B11" i="3"/>
  <c r="D11" i="3"/>
  <c r="E11" i="3"/>
  <c r="A12" i="3"/>
  <c r="B12" i="3"/>
  <c r="D12" i="3"/>
  <c r="E12" i="3"/>
  <c r="A13" i="3"/>
  <c r="B13" i="3"/>
  <c r="D13" i="3"/>
  <c r="E13" i="3"/>
  <c r="A14" i="3"/>
  <c r="B14" i="3"/>
  <c r="D14" i="3"/>
  <c r="E14" i="3"/>
  <c r="A15" i="3"/>
  <c r="B15" i="3"/>
  <c r="D15" i="3"/>
  <c r="E15" i="3"/>
  <c r="A16" i="3"/>
  <c r="B16" i="3"/>
  <c r="D16" i="3"/>
  <c r="E16" i="3"/>
  <c r="A17" i="3"/>
  <c r="B17" i="3"/>
  <c r="D17" i="3"/>
  <c r="E17" i="3"/>
  <c r="A18" i="3"/>
  <c r="B18" i="3"/>
  <c r="D18" i="3"/>
  <c r="E18" i="3"/>
  <c r="A19" i="3"/>
  <c r="B19" i="3"/>
  <c r="D19" i="3"/>
  <c r="E19" i="3"/>
  <c r="A20" i="3"/>
  <c r="B20" i="3"/>
  <c r="D20" i="3"/>
  <c r="E20" i="3"/>
  <c r="A21" i="3"/>
  <c r="B21" i="3"/>
  <c r="D21" i="3"/>
  <c r="E21" i="3"/>
  <c r="A22" i="3"/>
  <c r="B22" i="3"/>
  <c r="D22" i="3"/>
  <c r="E22" i="3"/>
  <c r="A23" i="3"/>
  <c r="B23" i="3"/>
  <c r="D23" i="3"/>
  <c r="E4" i="3"/>
  <c r="D4" i="3"/>
  <c r="B4" i="3"/>
  <c r="A4" i="3"/>
  <c r="R23" i="2"/>
  <c r="R21" i="2"/>
  <c r="E9" i="3"/>
  <c r="Q6" i="2"/>
  <c r="A5" i="2"/>
  <c r="B5" i="2"/>
  <c r="C5" i="2"/>
  <c r="D5" i="2"/>
  <c r="E5" i="2"/>
  <c r="G5" i="2"/>
  <c r="H5" i="2"/>
  <c r="Q5" i="2"/>
  <c r="L5" i="2"/>
  <c r="M5" i="2"/>
  <c r="N5" i="2"/>
  <c r="O5" i="2"/>
  <c r="A6" i="2"/>
  <c r="B6" i="2"/>
  <c r="C6" i="2"/>
  <c r="D6" i="2"/>
  <c r="E6" i="2"/>
  <c r="G6" i="2"/>
  <c r="H6" i="2"/>
  <c r="L6" i="2"/>
  <c r="M6" i="2"/>
  <c r="N6" i="2"/>
  <c r="O6" i="2"/>
  <c r="A7" i="2"/>
  <c r="B7" i="2"/>
  <c r="C7" i="2"/>
  <c r="D7" i="2"/>
  <c r="E7" i="2"/>
  <c r="G7" i="2"/>
  <c r="H7" i="2"/>
  <c r="Q7" i="2"/>
  <c r="L7" i="2"/>
  <c r="M7" i="2"/>
  <c r="N7" i="2"/>
  <c r="O7" i="2"/>
  <c r="A8" i="2"/>
  <c r="B8" i="2"/>
  <c r="C8" i="2"/>
  <c r="D8" i="2"/>
  <c r="E8" i="2"/>
  <c r="G8" i="2"/>
  <c r="H8" i="2"/>
  <c r="Q8" i="2"/>
  <c r="L8" i="2"/>
  <c r="M8" i="2"/>
  <c r="N8" i="2"/>
  <c r="O8" i="2"/>
  <c r="A9" i="2"/>
  <c r="B9" i="2"/>
  <c r="C9" i="2"/>
  <c r="D9" i="2"/>
  <c r="E9" i="2"/>
  <c r="G9" i="2"/>
  <c r="H9" i="2"/>
  <c r="Q9" i="2"/>
  <c r="L9" i="2"/>
  <c r="M9" i="2"/>
  <c r="N9" i="2"/>
  <c r="O9" i="2"/>
  <c r="A10" i="2"/>
  <c r="B10" i="2"/>
  <c r="C10" i="2"/>
  <c r="D10" i="2"/>
  <c r="E10" i="2"/>
  <c r="G10" i="2"/>
  <c r="H10" i="2"/>
  <c r="Q10" i="2"/>
  <c r="L10" i="2"/>
  <c r="M10" i="2"/>
  <c r="N10" i="2"/>
  <c r="O10" i="2"/>
  <c r="A11" i="2"/>
  <c r="B11" i="2"/>
  <c r="C11" i="2"/>
  <c r="D11" i="2"/>
  <c r="E11" i="2"/>
  <c r="G11" i="2"/>
  <c r="H11" i="2"/>
  <c r="Q11" i="2"/>
  <c r="L11" i="2"/>
  <c r="M11" i="2"/>
  <c r="N11" i="2"/>
  <c r="O11" i="2"/>
  <c r="A12" i="2"/>
  <c r="B12" i="2"/>
  <c r="C12" i="2"/>
  <c r="D12" i="2"/>
  <c r="E12" i="2"/>
  <c r="G12" i="2"/>
  <c r="H12" i="2"/>
  <c r="Q12" i="2"/>
  <c r="R12" i="2"/>
  <c r="L12" i="2"/>
  <c r="M12" i="2"/>
  <c r="N12" i="2"/>
  <c r="O12" i="2"/>
  <c r="A13" i="2"/>
  <c r="B13" i="2"/>
  <c r="C13" i="2"/>
  <c r="D13" i="2"/>
  <c r="E13" i="2"/>
  <c r="G13" i="2"/>
  <c r="H13" i="2"/>
  <c r="Q13" i="2"/>
  <c r="L13" i="2"/>
  <c r="M13" i="2"/>
  <c r="N13" i="2"/>
  <c r="O13" i="2"/>
  <c r="A14" i="2"/>
  <c r="B14" i="2"/>
  <c r="C14" i="2"/>
  <c r="D14" i="2"/>
  <c r="E14" i="2"/>
  <c r="G14" i="2"/>
  <c r="H14" i="2"/>
  <c r="Q14" i="2"/>
  <c r="R14" i="2"/>
  <c r="L14" i="2"/>
  <c r="M14" i="2"/>
  <c r="N14" i="2"/>
  <c r="O14" i="2"/>
  <c r="A15" i="2"/>
  <c r="B15" i="2"/>
  <c r="C15" i="2"/>
  <c r="D15" i="2"/>
  <c r="E15" i="2"/>
  <c r="G15" i="2"/>
  <c r="H15" i="2"/>
  <c r="Q15" i="2"/>
  <c r="R15" i="2"/>
  <c r="L15" i="2"/>
  <c r="M15" i="2"/>
  <c r="N15" i="2"/>
  <c r="O15" i="2"/>
  <c r="A16" i="2"/>
  <c r="B16" i="2"/>
  <c r="C16" i="2"/>
  <c r="D16" i="2"/>
  <c r="E16" i="2"/>
  <c r="G16" i="2"/>
  <c r="H16" i="2"/>
  <c r="Q16" i="2"/>
  <c r="R16" i="2"/>
  <c r="L16" i="2"/>
  <c r="M16" i="2"/>
  <c r="N16" i="2"/>
  <c r="O16" i="2"/>
  <c r="A17" i="2"/>
  <c r="B17" i="2"/>
  <c r="C17" i="2"/>
  <c r="D17" i="2"/>
  <c r="E17" i="2"/>
  <c r="G17" i="2"/>
  <c r="H17" i="2"/>
  <c r="Q17" i="2"/>
  <c r="R17" i="2"/>
  <c r="L17" i="2"/>
  <c r="M17" i="2"/>
  <c r="N17" i="2"/>
  <c r="O17" i="2"/>
  <c r="A18" i="2"/>
  <c r="B18" i="2"/>
  <c r="C18" i="2"/>
  <c r="D18" i="2"/>
  <c r="E18" i="2"/>
  <c r="G18" i="2"/>
  <c r="H18" i="2"/>
  <c r="Q18" i="2"/>
  <c r="R18" i="2"/>
  <c r="L18" i="2"/>
  <c r="M18" i="2"/>
  <c r="N18" i="2"/>
  <c r="O18" i="2"/>
  <c r="A19" i="2"/>
  <c r="B19" i="2"/>
  <c r="C19" i="2"/>
  <c r="D19" i="2"/>
  <c r="E19" i="2"/>
  <c r="G19" i="2"/>
  <c r="H19" i="2"/>
  <c r="Q19" i="2"/>
  <c r="R19" i="2"/>
  <c r="L19" i="2"/>
  <c r="M19" i="2"/>
  <c r="N19" i="2"/>
  <c r="O19" i="2"/>
  <c r="A20" i="2"/>
  <c r="B20" i="2"/>
  <c r="C20" i="2"/>
  <c r="D20" i="2"/>
  <c r="E20" i="2"/>
  <c r="G20" i="2"/>
  <c r="H20" i="2"/>
  <c r="Q20" i="2"/>
  <c r="R20" i="2"/>
  <c r="L20" i="2"/>
  <c r="M20" i="2"/>
  <c r="N20" i="2"/>
  <c r="O20" i="2"/>
  <c r="A21" i="2"/>
  <c r="B21" i="2"/>
  <c r="C21" i="2"/>
  <c r="D21" i="2"/>
  <c r="E21" i="2"/>
  <c r="G21" i="2"/>
  <c r="H21" i="2"/>
  <c r="Q21" i="2"/>
  <c r="L21" i="2"/>
  <c r="M21" i="2"/>
  <c r="N21" i="2"/>
  <c r="O21" i="2"/>
  <c r="A22" i="2"/>
  <c r="B22" i="2"/>
  <c r="C22" i="2"/>
  <c r="D22" i="2"/>
  <c r="E22" i="2"/>
  <c r="G22" i="2"/>
  <c r="H22" i="2"/>
  <c r="Q22" i="2"/>
  <c r="R22" i="2"/>
  <c r="L22" i="2"/>
  <c r="M22" i="2"/>
  <c r="N22" i="2"/>
  <c r="O22" i="2"/>
  <c r="A23" i="2"/>
  <c r="B23" i="2"/>
  <c r="C23" i="2"/>
  <c r="D23" i="2"/>
  <c r="E23" i="2"/>
  <c r="G23" i="2"/>
  <c r="H23" i="2"/>
  <c r="Q23" i="2"/>
  <c r="L23" i="2"/>
  <c r="M23" i="2"/>
  <c r="N23" i="2"/>
  <c r="O23" i="2"/>
  <c r="A24" i="2"/>
  <c r="B24" i="2"/>
  <c r="C24" i="2"/>
  <c r="D24" i="2"/>
  <c r="E24" i="2"/>
  <c r="G24" i="2"/>
  <c r="H24" i="2"/>
  <c r="I24" i="2"/>
  <c r="J24" i="2"/>
  <c r="K24" i="2"/>
  <c r="L24" i="2"/>
  <c r="M24" i="2"/>
  <c r="N24" i="2"/>
  <c r="O24" i="2"/>
  <c r="L4" i="2"/>
  <c r="M4" i="2"/>
  <c r="N4" i="2"/>
  <c r="O4" i="2"/>
  <c r="L3" i="2"/>
  <c r="M3" i="2"/>
  <c r="N3" i="2"/>
  <c r="O3" i="2"/>
  <c r="R4" i="2"/>
  <c r="K1" i="2"/>
  <c r="K2" i="2"/>
  <c r="K3" i="2"/>
  <c r="I1" i="2"/>
  <c r="J1" i="2"/>
  <c r="H2" i="2"/>
  <c r="I2" i="2"/>
  <c r="J2" i="2"/>
  <c r="H3" i="2"/>
  <c r="I3" i="2"/>
  <c r="J3" i="2"/>
  <c r="H4" i="2"/>
  <c r="Q4" i="2"/>
  <c r="A2" i="2"/>
  <c r="B2" i="2"/>
  <c r="C2" i="2"/>
  <c r="D2" i="2"/>
  <c r="E2" i="2"/>
  <c r="F2" i="2"/>
  <c r="G2" i="2"/>
  <c r="A3" i="2"/>
  <c r="B3" i="2"/>
  <c r="C3" i="2"/>
  <c r="D3" i="2"/>
  <c r="E3" i="2"/>
  <c r="F3" i="2"/>
  <c r="G3" i="2"/>
  <c r="A4" i="2"/>
  <c r="B4" i="2"/>
  <c r="C4" i="2"/>
  <c r="D4" i="2"/>
  <c r="E4" i="2"/>
  <c r="G4" i="2"/>
  <c r="B1" i="2"/>
  <c r="C1" i="2"/>
  <c r="D1" i="2"/>
  <c r="E1" i="2"/>
  <c r="F1" i="2"/>
  <c r="A1" i="2"/>
  <c r="E6" i="3" l="1"/>
  <c r="E23" i="3"/>
  <c r="R13" i="2"/>
  <c r="R11" i="2"/>
  <c r="R10" i="2"/>
  <c r="R9" i="2"/>
  <c r="R8" i="2"/>
  <c r="R7" i="2"/>
  <c r="R6" i="2"/>
  <c r="R5" i="2"/>
</calcChain>
</file>

<file path=xl/sharedStrings.xml><?xml version="1.0" encoding="utf-8"?>
<sst xmlns="http://schemas.openxmlformats.org/spreadsheetml/2006/main" count="114" uniqueCount="61">
  <si>
    <t>21st July 1951</t>
  </si>
  <si>
    <t>W.I.Stanton</t>
  </si>
  <si>
    <t>SWILDONS HOLE</t>
  </si>
  <si>
    <t>Sta.</t>
  </si>
  <si>
    <t>Ht Rf</t>
  </si>
  <si>
    <t>Dp Fl</t>
  </si>
  <si>
    <t>Width L</t>
  </si>
  <si>
    <t>Width R</t>
  </si>
  <si>
    <t>Looking Forward</t>
  </si>
  <si>
    <t>FS</t>
  </si>
  <si>
    <t>BS</t>
  </si>
  <si>
    <t>Bearing</t>
  </si>
  <si>
    <t>Distance</t>
  </si>
  <si>
    <t>Fore Clino</t>
  </si>
  <si>
    <t>A</t>
  </si>
  <si>
    <t>B</t>
  </si>
  <si>
    <t>-</t>
  </si>
  <si>
    <t>4(19' in aven)</t>
  </si>
  <si>
    <t>C</t>
  </si>
  <si>
    <t>322 30</t>
  </si>
  <si>
    <t>Horz. Dist.</t>
  </si>
  <si>
    <t>Vert. Dist.</t>
  </si>
  <si>
    <t>Calc.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</si>
  <si>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</si>
  <si>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</si>
  <si>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</si>
  <si>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</si>
  <si>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</si>
  <si>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</si>
  <si>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</si>
  <si>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</si>
  <si>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</si>
  <si>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</si>
  <si>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</si>
  <si>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</si>
  <si>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</si>
  <si>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</si>
  <si>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</si>
  <si>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</si>
  <si>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</si>
  <si>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S</t>
  </si>
  <si>
    <t>3 (30 in B.Place(?))</t>
  </si>
  <si>
    <t>192 30</t>
  </si>
  <si>
    <t>rise of 1.5 feet</t>
  </si>
  <si>
    <t>level</t>
  </si>
  <si>
    <t>fall of 4 feet</t>
  </si>
  <si>
    <t>rise of 4 feet</t>
  </si>
  <si>
    <t>fall of 1.7 feet</t>
  </si>
  <si>
    <t>Hor Dist.</t>
  </si>
  <si>
    <t>Vert Dist.</t>
  </si>
  <si>
    <t>Dp. Below sump I</t>
  </si>
  <si>
    <t>Notes</t>
  </si>
  <si>
    <t>PDF p.49-50</t>
  </si>
  <si>
    <t>fall of 2.5 feet</t>
  </si>
  <si>
    <t>To</t>
  </si>
  <si>
    <t>Tape</t>
  </si>
  <si>
    <t>Compass</t>
  </si>
  <si>
    <t>Clino</t>
  </si>
  <si>
    <t>ft per m</t>
  </si>
  <si>
    <t>;From</t>
  </si>
  <si>
    <t>(not entered yet!)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</si>
</sst>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tabSelected="1" workbookViewId="0">
      <selection activeCell="P5" sqref="P5"/>
    </sheetView>
  </sheetViews>
  <sheetFormatPr defaultRowHeight="15" x14ac:dyDescent="0.25"/>
  <cols>
    <col min="1" max="1" width="14.5703125" customWidth="1"/>
    <col min="2" max="2" width="11.42578125" bestFit="1" customWidth="1"/>
    <col min="6" max="6" width="17.5703125" bestFit="1" customWidth="1"/>
    <col min="11" max="11" width="13.85546875" bestFit="1" customWidth="1"/>
    <col min="12" max="12" width="1.855468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/>
      <c r="E1" s="1" t="s">
        <v>52</v>
      </c>
      <c r="F1" s="1"/>
      <c r="G1" s="1"/>
      <c r="H1" s="1"/>
      <c r="I1" s="1"/>
      <c r="J1" s="1"/>
      <c r="K1" s="1"/>
    </row>
    <row r="2" spans="1:16" x14ac:dyDescent="0.25">
      <c r="A2" s="1"/>
      <c r="B2" s="1"/>
      <c r="C2" s="1"/>
      <c r="D2" s="1"/>
      <c r="E2" s="8" t="s">
        <v>8</v>
      </c>
      <c r="F2" s="8"/>
      <c r="G2" s="1"/>
      <c r="H2" s="1"/>
      <c r="I2" s="1"/>
      <c r="J2" s="1"/>
      <c r="K2" s="1"/>
    </row>
    <row r="3" spans="1:16" x14ac:dyDescent="0.25">
      <c r="A3" s="1" t="s">
        <v>3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M3" s="1" t="s">
        <v>48</v>
      </c>
      <c r="N3" s="1" t="s">
        <v>49</v>
      </c>
      <c r="O3" s="1" t="s">
        <v>50</v>
      </c>
      <c r="P3" s="1" t="s">
        <v>51</v>
      </c>
    </row>
    <row r="4" spans="1:16" x14ac:dyDescent="0.25">
      <c r="A4" s="1" t="s">
        <v>14</v>
      </c>
      <c r="B4" s="5" t="s">
        <v>15</v>
      </c>
      <c r="C4" s="6">
        <v>20</v>
      </c>
      <c r="D4" s="6" t="s">
        <v>16</v>
      </c>
      <c r="E4" s="6">
        <v>4</v>
      </c>
      <c r="F4" s="6" t="s">
        <v>17</v>
      </c>
      <c r="G4" s="6" t="s">
        <v>16</v>
      </c>
      <c r="H4" s="6">
        <v>103</v>
      </c>
      <c r="I4" s="6">
        <v>283</v>
      </c>
      <c r="J4" s="6">
        <v>21</v>
      </c>
      <c r="K4" s="6">
        <v>8.5</v>
      </c>
      <c r="M4" s="6">
        <v>20.8</v>
      </c>
      <c r="N4" s="6">
        <v>3.1</v>
      </c>
      <c r="P4" t="s">
        <v>60</v>
      </c>
    </row>
    <row r="5" spans="1:16" x14ac:dyDescent="0.25">
      <c r="A5" s="1" t="s">
        <v>15</v>
      </c>
      <c r="B5" s="5" t="s">
        <v>18</v>
      </c>
      <c r="C5" s="6">
        <v>6</v>
      </c>
      <c r="D5" s="6">
        <v>3.5</v>
      </c>
      <c r="E5" s="6">
        <v>3</v>
      </c>
      <c r="F5" s="6">
        <v>6</v>
      </c>
      <c r="G5" s="6" t="s">
        <v>19</v>
      </c>
      <c r="H5" s="6" t="s">
        <v>16</v>
      </c>
      <c r="I5" s="6" t="s">
        <v>19</v>
      </c>
      <c r="J5" s="6">
        <v>27</v>
      </c>
      <c r="K5" s="6">
        <v>-9.5</v>
      </c>
      <c r="M5">
        <v>26.7</v>
      </c>
      <c r="N5" s="6">
        <v>-4.5</v>
      </c>
      <c r="O5" s="6">
        <v>3.1</v>
      </c>
    </row>
    <row r="6" spans="1:16" x14ac:dyDescent="0.25">
      <c r="A6" s="1" t="s">
        <v>18</v>
      </c>
      <c r="B6" s="5" t="s">
        <v>23</v>
      </c>
      <c r="C6" s="6">
        <v>7</v>
      </c>
      <c r="D6" s="6" t="s">
        <v>16</v>
      </c>
      <c r="E6" s="6">
        <v>4</v>
      </c>
      <c r="F6" s="6">
        <v>2</v>
      </c>
      <c r="G6" s="6" t="s">
        <v>16</v>
      </c>
      <c r="H6" s="6">
        <v>83</v>
      </c>
      <c r="I6" s="6">
        <v>263</v>
      </c>
      <c r="J6" s="6">
        <v>37</v>
      </c>
      <c r="K6" s="6" t="s">
        <v>43</v>
      </c>
      <c r="M6" s="6">
        <v>37</v>
      </c>
      <c r="N6" s="6">
        <v>1.5</v>
      </c>
      <c r="O6" s="6">
        <v>-1.4</v>
      </c>
    </row>
    <row r="7" spans="1:16" x14ac:dyDescent="0.25">
      <c r="A7" s="1" t="s">
        <v>23</v>
      </c>
      <c r="B7" s="5" t="s">
        <v>24</v>
      </c>
      <c r="C7" s="6">
        <v>25</v>
      </c>
      <c r="D7" s="6">
        <v>2</v>
      </c>
      <c r="E7" s="6" t="s">
        <v>16</v>
      </c>
      <c r="F7" s="6">
        <v>10</v>
      </c>
      <c r="G7" s="6" t="s">
        <v>42</v>
      </c>
      <c r="H7" s="6" t="s">
        <v>16</v>
      </c>
      <c r="I7" s="6" t="s">
        <v>42</v>
      </c>
      <c r="J7" s="6">
        <v>16.2</v>
      </c>
      <c r="K7" s="6">
        <v>4.3</v>
      </c>
      <c r="M7">
        <v>16.100000000000001</v>
      </c>
      <c r="N7" s="6">
        <v>1.3</v>
      </c>
      <c r="O7" s="6">
        <v>0.1</v>
      </c>
    </row>
    <row r="8" spans="1:16" x14ac:dyDescent="0.25">
      <c r="A8" s="1" t="s">
        <v>24</v>
      </c>
      <c r="B8" s="5" t="s">
        <v>25</v>
      </c>
      <c r="C8" s="6">
        <v>25</v>
      </c>
      <c r="D8" s="6">
        <v>4.5</v>
      </c>
      <c r="E8" s="6">
        <v>6</v>
      </c>
      <c r="F8" s="6" t="s">
        <v>16</v>
      </c>
      <c r="G8" s="6" t="s">
        <v>16</v>
      </c>
      <c r="H8" s="6">
        <v>78</v>
      </c>
      <c r="I8" s="6">
        <v>258</v>
      </c>
      <c r="J8" s="6">
        <v>47</v>
      </c>
      <c r="K8" s="6">
        <v>-5.3</v>
      </c>
      <c r="M8" s="6">
        <v>46.8</v>
      </c>
      <c r="N8" s="6">
        <v>-4.5</v>
      </c>
      <c r="O8" s="6">
        <v>1.4</v>
      </c>
    </row>
    <row r="9" spans="1:16" x14ac:dyDescent="0.25">
      <c r="A9" s="1" t="s">
        <v>25</v>
      </c>
      <c r="B9" s="5" t="s">
        <v>26</v>
      </c>
      <c r="C9" s="6">
        <v>4</v>
      </c>
      <c r="D9" s="6">
        <v>2</v>
      </c>
      <c r="E9" s="6">
        <v>0.5</v>
      </c>
      <c r="F9" s="6" t="s">
        <v>41</v>
      </c>
      <c r="G9" s="6">
        <v>292</v>
      </c>
      <c r="H9" s="6" t="s">
        <v>16</v>
      </c>
      <c r="I9" s="6">
        <v>292</v>
      </c>
      <c r="J9" s="6">
        <v>48</v>
      </c>
      <c r="K9" s="6" t="s">
        <v>53</v>
      </c>
      <c r="M9">
        <v>48</v>
      </c>
      <c r="N9" s="6">
        <v>-2.5</v>
      </c>
      <c r="O9" s="6">
        <v>-3.1</v>
      </c>
    </row>
    <row r="10" spans="1:16" x14ac:dyDescent="0.25">
      <c r="A10" s="1" t="s">
        <v>26</v>
      </c>
      <c r="B10" s="5" t="s">
        <v>27</v>
      </c>
      <c r="C10" s="6">
        <v>2.5</v>
      </c>
      <c r="D10" s="6">
        <v>0.5</v>
      </c>
      <c r="E10" s="6">
        <v>3.5</v>
      </c>
      <c r="F10" s="6">
        <v>7</v>
      </c>
      <c r="G10" s="6" t="s">
        <v>16</v>
      </c>
      <c r="H10" s="6">
        <v>159</v>
      </c>
      <c r="I10" s="6">
        <v>339</v>
      </c>
      <c r="J10" s="6">
        <v>36</v>
      </c>
      <c r="K10" s="6" t="s">
        <v>44</v>
      </c>
      <c r="M10" s="6">
        <v>36</v>
      </c>
      <c r="N10" t="s">
        <v>16</v>
      </c>
      <c r="O10" s="6">
        <v>-5.6</v>
      </c>
    </row>
    <row r="11" spans="1:16" x14ac:dyDescent="0.25">
      <c r="A11" s="1" t="s">
        <v>27</v>
      </c>
      <c r="B11" s="5" t="s">
        <v>28</v>
      </c>
      <c r="C11" s="6">
        <v>15</v>
      </c>
      <c r="D11" s="6">
        <v>1</v>
      </c>
      <c r="E11" s="6">
        <v>10</v>
      </c>
      <c r="F11" s="6">
        <v>3</v>
      </c>
      <c r="G11" s="6">
        <v>247</v>
      </c>
      <c r="H11" s="6" t="s">
        <v>16</v>
      </c>
      <c r="I11" s="6">
        <v>247</v>
      </c>
      <c r="J11" s="6">
        <v>31</v>
      </c>
      <c r="K11" s="6">
        <v>-2.2999999999999998</v>
      </c>
      <c r="M11" s="6">
        <v>31</v>
      </c>
      <c r="N11" s="6">
        <v>-1.3</v>
      </c>
      <c r="O11" s="6">
        <v>-5.6</v>
      </c>
    </row>
    <row r="12" spans="1:16" x14ac:dyDescent="0.25">
      <c r="A12" s="1" t="s">
        <v>28</v>
      </c>
      <c r="B12" s="5" t="s">
        <v>29</v>
      </c>
      <c r="C12" s="6">
        <v>15</v>
      </c>
      <c r="D12" s="6">
        <v>1</v>
      </c>
      <c r="E12" s="6">
        <v>8</v>
      </c>
      <c r="F12" s="6">
        <v>2</v>
      </c>
      <c r="G12" s="6" t="s">
        <v>16</v>
      </c>
      <c r="H12" s="6">
        <v>95</v>
      </c>
      <c r="I12" s="6">
        <v>275</v>
      </c>
      <c r="J12" s="6">
        <v>26</v>
      </c>
      <c r="K12" s="6">
        <v>2</v>
      </c>
      <c r="M12" s="6">
        <v>26</v>
      </c>
      <c r="N12" s="6">
        <v>0.9</v>
      </c>
      <c r="O12" s="6">
        <v>-6.9</v>
      </c>
    </row>
    <row r="13" spans="1:16" x14ac:dyDescent="0.25">
      <c r="A13" s="1" t="s">
        <v>29</v>
      </c>
      <c r="B13" s="5" t="s">
        <v>30</v>
      </c>
      <c r="C13" s="6">
        <v>8</v>
      </c>
      <c r="D13" s="6">
        <v>3</v>
      </c>
      <c r="E13" s="6">
        <v>1</v>
      </c>
      <c r="F13" s="6">
        <v>2</v>
      </c>
      <c r="G13" s="6">
        <v>320</v>
      </c>
      <c r="H13" s="6" t="s">
        <v>16</v>
      </c>
      <c r="I13" s="6">
        <v>320</v>
      </c>
      <c r="J13" s="6">
        <v>26.5</v>
      </c>
      <c r="K13" s="6">
        <v>1</v>
      </c>
      <c r="M13" s="6">
        <v>26.5</v>
      </c>
      <c r="N13" s="6">
        <v>0.5</v>
      </c>
      <c r="O13" s="6">
        <v>-6</v>
      </c>
    </row>
    <row r="14" spans="1:16" x14ac:dyDescent="0.25">
      <c r="A14" s="1" t="s">
        <v>30</v>
      </c>
      <c r="B14" s="5" t="s">
        <v>31</v>
      </c>
      <c r="C14" s="6">
        <v>25</v>
      </c>
      <c r="D14" s="6">
        <v>4.5</v>
      </c>
      <c r="E14" s="6" t="s">
        <v>16</v>
      </c>
      <c r="F14" s="6">
        <v>4</v>
      </c>
      <c r="G14" s="6" t="s">
        <v>16</v>
      </c>
      <c r="H14" s="6">
        <v>193</v>
      </c>
      <c r="I14" s="6">
        <v>13</v>
      </c>
      <c r="J14" s="6">
        <v>17.5</v>
      </c>
      <c r="K14" s="6">
        <v>-9</v>
      </c>
      <c r="M14" s="6">
        <v>17.3</v>
      </c>
      <c r="N14" s="6">
        <v>-2.7</v>
      </c>
      <c r="O14" s="6">
        <v>-5.5</v>
      </c>
    </row>
    <row r="15" spans="1:16" x14ac:dyDescent="0.25">
      <c r="A15" s="1" t="s">
        <v>31</v>
      </c>
      <c r="B15" s="5" t="s">
        <v>32</v>
      </c>
      <c r="C15" s="6">
        <v>20</v>
      </c>
      <c r="D15" s="6">
        <v>3</v>
      </c>
      <c r="E15" s="6">
        <v>2</v>
      </c>
      <c r="F15" s="6">
        <v>2</v>
      </c>
      <c r="G15" s="6">
        <v>299</v>
      </c>
      <c r="H15" s="6" t="s">
        <v>16</v>
      </c>
      <c r="I15" s="6">
        <v>299</v>
      </c>
      <c r="J15" s="6">
        <v>33</v>
      </c>
      <c r="K15" s="6">
        <v>-3</v>
      </c>
      <c r="M15" s="6">
        <v>33</v>
      </c>
      <c r="N15" s="6">
        <v>-1.7</v>
      </c>
      <c r="O15" s="6">
        <v>-8.1999999999999993</v>
      </c>
    </row>
    <row r="16" spans="1:16" x14ac:dyDescent="0.25">
      <c r="A16" s="1" t="s">
        <v>32</v>
      </c>
      <c r="B16" s="5" t="s">
        <v>33</v>
      </c>
      <c r="C16" s="6">
        <v>15</v>
      </c>
      <c r="D16" s="6">
        <v>7</v>
      </c>
      <c r="E16" s="6">
        <v>4</v>
      </c>
      <c r="F16" s="6" t="s">
        <v>16</v>
      </c>
      <c r="G16" s="6" t="s">
        <v>16</v>
      </c>
      <c r="H16" s="6">
        <v>142</v>
      </c>
      <c r="I16" s="6">
        <v>322</v>
      </c>
      <c r="J16" s="6">
        <v>43</v>
      </c>
      <c r="K16" s="6">
        <v>-7.3</v>
      </c>
      <c r="M16" s="6">
        <v>42.7</v>
      </c>
      <c r="N16" s="6">
        <v>-5.6</v>
      </c>
      <c r="O16" s="6">
        <v>-9.9</v>
      </c>
    </row>
    <row r="17" spans="1:15" x14ac:dyDescent="0.25">
      <c r="A17" s="1" t="s">
        <v>33</v>
      </c>
      <c r="B17" s="5" t="s">
        <v>34</v>
      </c>
      <c r="C17" s="6">
        <v>25</v>
      </c>
      <c r="D17" s="6">
        <v>3</v>
      </c>
      <c r="E17" s="6">
        <v>2</v>
      </c>
      <c r="F17" s="6">
        <v>1</v>
      </c>
      <c r="G17" s="6">
        <v>281</v>
      </c>
      <c r="H17" s="6" t="s">
        <v>16</v>
      </c>
      <c r="I17" s="6">
        <v>281</v>
      </c>
      <c r="J17" s="6">
        <v>15.5</v>
      </c>
      <c r="K17" s="6">
        <v>-2</v>
      </c>
      <c r="M17" s="6">
        <v>15.5</v>
      </c>
      <c r="N17" s="6">
        <v>-0.5</v>
      </c>
      <c r="O17" s="6">
        <v>-15.5</v>
      </c>
    </row>
    <row r="18" spans="1:15" x14ac:dyDescent="0.25">
      <c r="A18" s="1" t="s">
        <v>34</v>
      </c>
      <c r="B18" s="5" t="s">
        <v>35</v>
      </c>
      <c r="C18" s="6">
        <v>40</v>
      </c>
      <c r="D18" s="6">
        <v>4.5</v>
      </c>
      <c r="E18" s="6">
        <v>2</v>
      </c>
      <c r="F18" s="6">
        <v>2</v>
      </c>
      <c r="G18" s="6" t="s">
        <v>16</v>
      </c>
      <c r="H18" s="6">
        <v>127</v>
      </c>
      <c r="I18" s="6">
        <v>307</v>
      </c>
      <c r="J18" s="6">
        <v>56</v>
      </c>
      <c r="K18" s="6">
        <v>-5</v>
      </c>
      <c r="M18" s="6">
        <v>55.8</v>
      </c>
      <c r="N18" s="6">
        <v>-4.9000000000000004</v>
      </c>
      <c r="O18" s="6">
        <v>-16</v>
      </c>
    </row>
    <row r="19" spans="1:15" x14ac:dyDescent="0.25">
      <c r="A19" s="1" t="s">
        <v>35</v>
      </c>
      <c r="B19" s="5" t="s">
        <v>36</v>
      </c>
      <c r="C19" s="6">
        <v>40</v>
      </c>
      <c r="D19" s="6">
        <v>3</v>
      </c>
      <c r="E19" s="6">
        <v>2</v>
      </c>
      <c r="F19" s="6">
        <v>3</v>
      </c>
      <c r="G19" s="6">
        <v>283</v>
      </c>
      <c r="H19" s="6" t="s">
        <v>16</v>
      </c>
      <c r="I19" s="6">
        <v>283</v>
      </c>
      <c r="J19" s="6">
        <v>15.8</v>
      </c>
      <c r="K19" s="6">
        <v>-0.15</v>
      </c>
      <c r="M19" s="6">
        <v>15.8</v>
      </c>
      <c r="N19" s="6">
        <v>-0.1</v>
      </c>
      <c r="O19" s="6">
        <v>-20.9</v>
      </c>
    </row>
    <row r="20" spans="1:15" x14ac:dyDescent="0.25">
      <c r="A20" s="1" t="s">
        <v>36</v>
      </c>
      <c r="B20" s="5" t="s">
        <v>37</v>
      </c>
      <c r="C20" s="6">
        <v>40</v>
      </c>
      <c r="D20" s="6">
        <v>4</v>
      </c>
      <c r="E20" s="6">
        <v>4</v>
      </c>
      <c r="F20" s="6" t="s">
        <v>16</v>
      </c>
      <c r="G20" s="6" t="s">
        <v>16</v>
      </c>
      <c r="H20" s="6">
        <v>37</v>
      </c>
      <c r="I20" s="6">
        <v>217</v>
      </c>
      <c r="J20" s="6">
        <v>15.3</v>
      </c>
      <c r="K20" s="6" t="s">
        <v>45</v>
      </c>
      <c r="M20" s="6">
        <v>15.3</v>
      </c>
      <c r="N20" s="6">
        <v>-4</v>
      </c>
      <c r="O20" s="6">
        <v>-21</v>
      </c>
    </row>
    <row r="21" spans="1:15" x14ac:dyDescent="0.25">
      <c r="A21" s="1" t="s">
        <v>37</v>
      </c>
      <c r="B21" s="5" t="s">
        <v>40</v>
      </c>
      <c r="C21" s="6">
        <v>40</v>
      </c>
      <c r="D21" s="6" t="s">
        <v>16</v>
      </c>
      <c r="E21" s="6" t="s">
        <v>16</v>
      </c>
      <c r="F21" s="6">
        <v>4</v>
      </c>
      <c r="G21" s="6">
        <v>310</v>
      </c>
      <c r="H21" s="6" t="s">
        <v>16</v>
      </c>
      <c r="I21" s="6">
        <v>310</v>
      </c>
      <c r="J21" s="6">
        <v>39.5</v>
      </c>
      <c r="K21" s="6" t="s">
        <v>46</v>
      </c>
      <c r="M21" s="6">
        <v>39.5</v>
      </c>
      <c r="N21" s="6">
        <v>4</v>
      </c>
      <c r="O21" s="6">
        <v>-25</v>
      </c>
    </row>
    <row r="22" spans="1:15" x14ac:dyDescent="0.25">
      <c r="A22" s="1" t="s">
        <v>40</v>
      </c>
      <c r="B22" s="5" t="s">
        <v>38</v>
      </c>
      <c r="C22" s="6">
        <v>12</v>
      </c>
      <c r="D22" s="6">
        <v>4.5</v>
      </c>
      <c r="E22" s="6">
        <v>8</v>
      </c>
      <c r="F22" s="6" t="s">
        <v>16</v>
      </c>
      <c r="G22" s="6" t="s">
        <v>16</v>
      </c>
      <c r="H22" s="6">
        <v>58</v>
      </c>
      <c r="I22" s="6">
        <v>238</v>
      </c>
      <c r="J22" s="6">
        <v>39.6</v>
      </c>
      <c r="K22" s="6">
        <v>-2.7</v>
      </c>
      <c r="M22" s="6">
        <v>39.6</v>
      </c>
      <c r="N22" s="6">
        <v>-1.9</v>
      </c>
      <c r="O22" s="6">
        <v>-21</v>
      </c>
    </row>
    <row r="23" spans="1:15" x14ac:dyDescent="0.25">
      <c r="A23" s="1" t="s">
        <v>38</v>
      </c>
      <c r="B23" s="5" t="s">
        <v>39</v>
      </c>
      <c r="C23" s="6">
        <v>2</v>
      </c>
      <c r="D23" s="6">
        <v>2.5</v>
      </c>
      <c r="E23" s="6">
        <v>15</v>
      </c>
      <c r="F23" s="6">
        <v>6</v>
      </c>
      <c r="G23" s="6">
        <v>148</v>
      </c>
      <c r="H23" s="6" t="s">
        <v>16</v>
      </c>
      <c r="I23" s="6">
        <v>148</v>
      </c>
      <c r="J23" s="6">
        <v>49</v>
      </c>
      <c r="K23" s="6" t="s">
        <v>47</v>
      </c>
      <c r="M23" s="6">
        <v>49</v>
      </c>
      <c r="N23" s="6">
        <v>-1.7</v>
      </c>
      <c r="O23" s="6">
        <v>-22.9</v>
      </c>
    </row>
    <row r="24" spans="1:15" x14ac:dyDescent="0.25">
      <c r="A24" s="1" t="s">
        <v>39</v>
      </c>
      <c r="B24" s="5"/>
      <c r="C24" s="6">
        <v>1.5</v>
      </c>
      <c r="D24" s="6">
        <v>1.5</v>
      </c>
      <c r="E24" s="6"/>
      <c r="F24" s="6"/>
      <c r="G24" s="6"/>
      <c r="H24" s="6"/>
      <c r="I24" s="6"/>
      <c r="J24" s="6"/>
      <c r="K24" s="6"/>
    </row>
    <row r="25" spans="1:15" x14ac:dyDescent="0.25">
      <c r="C25" s="7"/>
      <c r="D25" s="7"/>
      <c r="E25" s="7"/>
      <c r="F25" s="7"/>
      <c r="G25" s="7"/>
      <c r="H25" s="7"/>
      <c r="I25" s="7"/>
      <c r="J25" s="7"/>
      <c r="K25" s="7"/>
    </row>
  </sheetData>
  <mergeCells count="1">
    <mergeCell ref="E2:F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"/>
  <sheetViews>
    <sheetView workbookViewId="0">
      <selection activeCell="K4" sqref="K4"/>
    </sheetView>
  </sheetViews>
  <sheetFormatPr defaultRowHeight="15" x14ac:dyDescent="0.25"/>
  <cols>
    <col min="11" max="11" width="10.5703125" bestFit="1" customWidth="1"/>
    <col min="12" max="15" width="10" customWidth="1"/>
  </cols>
  <sheetData>
    <row r="1" spans="1:18" x14ac:dyDescent="0.25">
      <c r="A1" t="str">
        <f>IF('Raw Data'!A1="","",'Raw Data'!A1)</f>
        <v>21st July 1951</v>
      </c>
      <c r="B1" t="str">
        <f>IF('Raw Data'!B1="","",'Raw Data'!B1)</f>
        <v>W.I.Stanton</v>
      </c>
      <c r="C1" t="str">
        <f>IF('Raw Data'!C1="","",'Raw Data'!C1)</f>
        <v>SWILDONS HOLE</v>
      </c>
      <c r="D1" t="str">
        <f>IF('Raw Data'!D1="","",'Raw Data'!D1)</f>
        <v/>
      </c>
      <c r="E1" t="str">
        <f>IF('Raw Data'!E1="","",'Raw Data'!E1)</f>
        <v>PDF p.49-50</v>
      </c>
      <c r="F1" t="str">
        <f>IF('Raw Data'!F1="","",'Raw Data'!F1)</f>
        <v/>
      </c>
      <c r="G1" t="s">
        <v>58</v>
      </c>
      <c r="H1">
        <v>3.28</v>
      </c>
      <c r="I1" t="str">
        <f>IF('Raw Data'!I1="","",'Raw Data'!I1)</f>
        <v/>
      </c>
      <c r="J1" t="str">
        <f>IF('Raw Data'!J1="","",'Raw Data'!J1)</f>
        <v/>
      </c>
      <c r="K1" t="str">
        <f>IF('Raw Data'!K1="","",'Raw Data'!K1)</f>
        <v/>
      </c>
      <c r="Q1" s="3" t="s">
        <v>22</v>
      </c>
    </row>
    <row r="2" spans="1:18" x14ac:dyDescent="0.25">
      <c r="A2" t="str">
        <f>IF('Raw Data'!A2="","",'Raw Data'!A2)</f>
        <v/>
      </c>
      <c r="B2" t="str">
        <f>IF('Raw Data'!B2="","",'Raw Data'!B2)</f>
        <v/>
      </c>
      <c r="C2" t="str">
        <f>IF('Raw Data'!C2="","",'Raw Data'!C2)</f>
        <v/>
      </c>
      <c r="D2" t="str">
        <f>IF('Raw Data'!D2="","",'Raw Data'!D2)</f>
        <v/>
      </c>
      <c r="E2" t="str">
        <f>IF('Raw Data'!E2="","",'Raw Data'!E2)</f>
        <v>Looking Forward</v>
      </c>
      <c r="F2" t="str">
        <f>IF('Raw Data'!F2="","",'Raw Data'!F2)</f>
        <v/>
      </c>
      <c r="G2" t="str">
        <f>IF('Raw Data'!G2="","",'Raw Data'!G2)</f>
        <v/>
      </c>
      <c r="H2" t="str">
        <f>IF('Raw Data'!H2="","",'Raw Data'!H2)</f>
        <v/>
      </c>
      <c r="I2" t="str">
        <f>IF('Raw Data'!I2="","",'Raw Data'!I2)</f>
        <v/>
      </c>
      <c r="J2" t="str">
        <f>IF('Raw Data'!J2="","",'Raw Data'!J2)</f>
        <v/>
      </c>
      <c r="K2" t="str">
        <f>IF('Raw Data'!K2="","",'Raw Data'!K2)</f>
        <v/>
      </c>
    </row>
    <row r="3" spans="1:18" x14ac:dyDescent="0.25">
      <c r="A3" t="str">
        <f>IF('Raw Data'!A3="","",'Raw Data'!A3)</f>
        <v>Sta.</v>
      </c>
      <c r="B3" t="str">
        <f>IF('Raw Data'!B3="","",'Raw Data'!B3)</f>
        <v>Sta.</v>
      </c>
      <c r="C3" t="str">
        <f>IF('Raw Data'!C3="","",'Raw Data'!C3)</f>
        <v>Ht Rf</v>
      </c>
      <c r="D3" t="str">
        <f>IF('Raw Data'!D3="","",'Raw Data'!D3)</f>
        <v>Dp Fl</v>
      </c>
      <c r="E3" t="str">
        <f>IF('Raw Data'!E3="","",'Raw Data'!E3)</f>
        <v>Width L</v>
      </c>
      <c r="F3" t="str">
        <f>IF('Raw Data'!F3="","",'Raw Data'!F3)</f>
        <v>Width R</v>
      </c>
      <c r="G3" t="str">
        <f>IF('Raw Data'!G3="","",'Raw Data'!G3)</f>
        <v>FS</v>
      </c>
      <c r="H3" t="str">
        <f>IF('Raw Data'!H3="","",'Raw Data'!H3)</f>
        <v>BS</v>
      </c>
      <c r="I3" t="str">
        <f>IF('Raw Data'!I3="","",'Raw Data'!I3)</f>
        <v>Bearing</v>
      </c>
      <c r="J3" t="str">
        <f>IF('Raw Data'!J3="","",'Raw Data'!J3)</f>
        <v>Distance</v>
      </c>
      <c r="K3" t="str">
        <f>IF('Raw Data'!K3="","",'Raw Data'!K3)</f>
        <v>Fore Clino</v>
      </c>
      <c r="L3" t="str">
        <f>IF('Raw Data'!L3="","",'Raw Data'!L3)</f>
        <v/>
      </c>
      <c r="M3" t="str">
        <f>IF('Raw Data'!M3="","",'Raw Data'!M3)</f>
        <v>Hor Dist.</v>
      </c>
      <c r="N3" t="str">
        <f>IF('Raw Data'!N3="","",'Raw Data'!N3)</f>
        <v>Vert Dist.</v>
      </c>
      <c r="O3" t="str">
        <f>IF('Raw Data'!O3="","",'Raw Data'!O3)</f>
        <v>Dp. Below sump I</v>
      </c>
      <c r="Q3" s="3" t="s">
        <v>20</v>
      </c>
      <c r="R3" s="3" t="s">
        <v>21</v>
      </c>
    </row>
    <row r="4" spans="1:18" x14ac:dyDescent="0.25">
      <c r="A4" t="str">
        <f>IF('Raw Data'!A4="","",'Raw Data'!A4)</f>
        <v>A</v>
      </c>
      <c r="B4" t="str">
        <f>IF('Raw Data'!B4="","",'Raw Data'!B4)</f>
        <v>B</v>
      </c>
      <c r="C4">
        <f>IF('Raw Data'!C4="","",'Raw Data'!C4)</f>
        <v>20</v>
      </c>
      <c r="D4" t="str">
        <f>IF('Raw Data'!D4="","",'Raw Data'!D4)</f>
        <v>-</v>
      </c>
      <c r="E4">
        <f>IF('Raw Data'!E4="","",'Raw Data'!E4)</f>
        <v>4</v>
      </c>
      <c r="F4">
        <v>4</v>
      </c>
      <c r="G4" t="str">
        <f>IF('Raw Data'!G4="","",'Raw Data'!G4)</f>
        <v>-</v>
      </c>
      <c r="H4">
        <f>IF('Raw Data'!H4="","",'Raw Data'!H4)</f>
        <v>103</v>
      </c>
      <c r="I4" t="str">
        <f>IF('Raw Data'!I4="","",SUBSTITUTE('Raw Data'!I4," ",":",1))</f>
        <v>283</v>
      </c>
      <c r="J4">
        <f>IF('Raw Data'!J4="","",'Raw Data'!J4)</f>
        <v>21</v>
      </c>
      <c r="K4">
        <f>IF('Raw Data'!K4="","",'Raw Data'!K4)</f>
        <v>8.5</v>
      </c>
      <c r="L4" t="str">
        <f>IF('Raw Data'!L4="","",'Raw Data'!L4)</f>
        <v/>
      </c>
      <c r="M4">
        <f>IF('Raw Data'!M4="","",'Raw Data'!M4)</f>
        <v>20.8</v>
      </c>
      <c r="N4">
        <f>IF('Raw Data'!N4="","",'Raw Data'!N4)</f>
        <v>3.1</v>
      </c>
      <c r="O4" t="str">
        <f>IF('Raw Data'!O4="","",'Raw Data'!O4)</f>
        <v/>
      </c>
      <c r="Q4" s="4">
        <f t="shared" ref="Q4" si="0">J4*COS(K4*PI()/180)</f>
        <v>20.769333130600252</v>
      </c>
      <c r="R4" s="4">
        <f t="shared" ref="R4" si="1">J4*SIN(K4*PI()/180)</f>
        <v>3.1039976337218231</v>
      </c>
    </row>
    <row r="5" spans="1:18" x14ac:dyDescent="0.25">
      <c r="A5" t="str">
        <f>IF('Raw Data'!A5="","",'Raw Data'!A5)</f>
        <v>B</v>
      </c>
      <c r="B5" t="str">
        <f>IF('Raw Data'!B5="","",'Raw Data'!B5)</f>
        <v>C</v>
      </c>
      <c r="C5">
        <f>IF('Raw Data'!C5="","",'Raw Data'!C5)</f>
        <v>6</v>
      </c>
      <c r="D5">
        <f>IF('Raw Data'!D5="","",'Raw Data'!D5)</f>
        <v>3.5</v>
      </c>
      <c r="E5">
        <f>IF('Raw Data'!E5="","",'Raw Data'!E5)</f>
        <v>3</v>
      </c>
      <c r="F5">
        <v>5</v>
      </c>
      <c r="G5" t="str">
        <f>IF('Raw Data'!G5="","",'Raw Data'!G5)</f>
        <v>322 30</v>
      </c>
      <c r="H5" t="str">
        <f>IF('Raw Data'!H5="","",'Raw Data'!H5)</f>
        <v>-</v>
      </c>
      <c r="I5" t="str">
        <f>IF('Raw Data'!I5="","",SUBSTITUTE('Raw Data'!I5," ",":",1))</f>
        <v>322:30</v>
      </c>
      <c r="J5">
        <f>IF('Raw Data'!J5="","",'Raw Data'!J5)</f>
        <v>27</v>
      </c>
      <c r="K5">
        <f>IF('Raw Data'!K5="","",'Raw Data'!K5)</f>
        <v>-9.5</v>
      </c>
      <c r="L5" t="str">
        <f>IF('Raw Data'!L5="","",'Raw Data'!L5)</f>
        <v/>
      </c>
      <c r="M5">
        <f>IF('Raw Data'!M5="","",'Raw Data'!M5)</f>
        <v>26.7</v>
      </c>
      <c r="N5">
        <f>IF('Raw Data'!N5="","",'Raw Data'!N5)</f>
        <v>-4.5</v>
      </c>
      <c r="O5">
        <f>IF('Raw Data'!O5="","",'Raw Data'!O5)</f>
        <v>3.1</v>
      </c>
      <c r="Q5" s="4">
        <f t="shared" ref="Q5:Q23" si="2">J5*COS(K5*PI()/180)</f>
        <v>26.629711241505248</v>
      </c>
      <c r="R5" s="4">
        <f t="shared" ref="R5:R23" si="3">J5*SIN(K5*PI()/180)</f>
        <v>-4.4562853582382962</v>
      </c>
    </row>
    <row r="6" spans="1:18" x14ac:dyDescent="0.25">
      <c r="A6" t="str">
        <f>IF('Raw Data'!A6="","",'Raw Data'!A6)</f>
        <v>C</v>
      </c>
      <c r="B6" t="str">
        <f>IF('Raw Data'!B6="","",'Raw Data'!B6)</f>
        <v>D</v>
      </c>
      <c r="C6">
        <f>IF('Raw Data'!C6="","",'Raw Data'!C6)</f>
        <v>7</v>
      </c>
      <c r="D6" t="str">
        <f>IF('Raw Data'!D6="","",'Raw Data'!D6)</f>
        <v>-</v>
      </c>
      <c r="E6">
        <f>IF('Raw Data'!E6="","",'Raw Data'!E6)</f>
        <v>4</v>
      </c>
      <c r="F6">
        <v>6</v>
      </c>
      <c r="G6" t="str">
        <f>IF('Raw Data'!G6="","",'Raw Data'!G6)</f>
        <v>-</v>
      </c>
      <c r="H6">
        <f>IF('Raw Data'!H6="","",'Raw Data'!H6)</f>
        <v>83</v>
      </c>
      <c r="I6" t="str">
        <f>IF('Raw Data'!I6="","",SUBSTITUTE('Raw Data'!I6," ",":",1))</f>
        <v>263</v>
      </c>
      <c r="J6">
        <f>IF('Raw Data'!J6="","",'Raw Data'!J6)</f>
        <v>37</v>
      </c>
      <c r="K6" s="2">
        <f>ASIN(N6/J6)*180/PI()</f>
        <v>2.3234386110520671</v>
      </c>
      <c r="L6" t="str">
        <f>IF('Raw Data'!L6="","",'Raw Data'!L6)</f>
        <v/>
      </c>
      <c r="M6">
        <f>IF('Raw Data'!M6="","",'Raw Data'!M6)</f>
        <v>37</v>
      </c>
      <c r="N6">
        <f>IF('Raw Data'!N6="","",'Raw Data'!N6)</f>
        <v>1.5</v>
      </c>
      <c r="O6">
        <f>IF('Raw Data'!O6="","",'Raw Data'!O6)</f>
        <v>-1.4</v>
      </c>
      <c r="Q6" s="4">
        <f t="shared" si="2"/>
        <v>36.96958209122738</v>
      </c>
      <c r="R6" s="4">
        <f t="shared" si="3"/>
        <v>1.5</v>
      </c>
    </row>
    <row r="7" spans="1:18" x14ac:dyDescent="0.25">
      <c r="A7" t="str">
        <f>IF('Raw Data'!A7="","",'Raw Data'!A7)</f>
        <v>D</v>
      </c>
      <c r="B7" t="str">
        <f>IF('Raw Data'!B7="","",'Raw Data'!B7)</f>
        <v>E</v>
      </c>
      <c r="C7">
        <f>IF('Raw Data'!C7="","",'Raw Data'!C7)</f>
        <v>25</v>
      </c>
      <c r="D7">
        <f>IF('Raw Data'!D7="","",'Raw Data'!D7)</f>
        <v>2</v>
      </c>
      <c r="E7" t="str">
        <f>IF('Raw Data'!E7="","",'Raw Data'!E7)</f>
        <v>-</v>
      </c>
      <c r="F7">
        <v>7</v>
      </c>
      <c r="G7" t="str">
        <f>IF('Raw Data'!G7="","",'Raw Data'!G7)</f>
        <v>192 30</v>
      </c>
      <c r="H7" t="str">
        <f>IF('Raw Data'!H7="","",'Raw Data'!H7)</f>
        <v>-</v>
      </c>
      <c r="I7" t="str">
        <f>IF('Raw Data'!I7="","",SUBSTITUTE('Raw Data'!I7," ",":",1))</f>
        <v>192:30</v>
      </c>
      <c r="J7">
        <f>IF('Raw Data'!J7="","",'Raw Data'!J7)</f>
        <v>16.2</v>
      </c>
      <c r="K7">
        <f>IF('Raw Data'!K7="","",'Raw Data'!K7)</f>
        <v>4.3</v>
      </c>
      <c r="L7" t="str">
        <f>IF('Raw Data'!L7="","",'Raw Data'!L7)</f>
        <v/>
      </c>
      <c r="M7">
        <f>IF('Raw Data'!M7="","",'Raw Data'!M7)</f>
        <v>16.100000000000001</v>
      </c>
      <c r="N7">
        <f>IF('Raw Data'!N7="","",'Raw Data'!N7)</f>
        <v>1.3</v>
      </c>
      <c r="O7">
        <f>IF('Raw Data'!O7="","",'Raw Data'!O7)</f>
        <v>0.1</v>
      </c>
      <c r="Q7" s="4">
        <f t="shared" si="2"/>
        <v>16.154399163106874</v>
      </c>
      <c r="R7" s="4">
        <f t="shared" si="3"/>
        <v>1.2146553745865085</v>
      </c>
    </row>
    <row r="8" spans="1:18" x14ac:dyDescent="0.25">
      <c r="A8" t="str">
        <f>IF('Raw Data'!A8="","",'Raw Data'!A8)</f>
        <v>E</v>
      </c>
      <c r="B8" t="str">
        <f>IF('Raw Data'!B8="","",'Raw Data'!B8)</f>
        <v>F</v>
      </c>
      <c r="C8">
        <f>IF('Raw Data'!C8="","",'Raw Data'!C8)</f>
        <v>25</v>
      </c>
      <c r="D8">
        <f>IF('Raw Data'!D8="","",'Raw Data'!D8)</f>
        <v>4.5</v>
      </c>
      <c r="E8">
        <f>IF('Raw Data'!E8="","",'Raw Data'!E8)</f>
        <v>6</v>
      </c>
      <c r="F8">
        <v>8</v>
      </c>
      <c r="G8" t="str">
        <f>IF('Raw Data'!G8="","",'Raw Data'!G8)</f>
        <v>-</v>
      </c>
      <c r="H8">
        <f>IF('Raw Data'!H8="","",'Raw Data'!H8)</f>
        <v>78</v>
      </c>
      <c r="I8" t="str">
        <f>IF('Raw Data'!I8="","",SUBSTITUTE('Raw Data'!I8," ",":",1))</f>
        <v>258</v>
      </c>
      <c r="J8">
        <f>IF('Raw Data'!J8="","",'Raw Data'!J8)</f>
        <v>47</v>
      </c>
      <c r="K8">
        <f>IF('Raw Data'!K8="","",'Raw Data'!K8)</f>
        <v>-5.3</v>
      </c>
      <c r="L8" t="str">
        <f>IF('Raw Data'!L8="","",'Raw Data'!L8)</f>
        <v/>
      </c>
      <c r="M8">
        <f>IF('Raw Data'!M8="","",'Raw Data'!M8)</f>
        <v>46.8</v>
      </c>
      <c r="N8">
        <f>IF('Raw Data'!N8="","",'Raw Data'!N8)</f>
        <v>-4.5</v>
      </c>
      <c r="O8">
        <f>IF('Raw Data'!O8="","",'Raw Data'!O8)</f>
        <v>1.4</v>
      </c>
      <c r="Q8" s="4">
        <f t="shared" si="2"/>
        <v>46.799060814675357</v>
      </c>
      <c r="R8" s="4">
        <f t="shared" si="3"/>
        <v>-4.3414176099883939</v>
      </c>
    </row>
    <row r="9" spans="1:18" x14ac:dyDescent="0.25">
      <c r="A9" t="str">
        <f>IF('Raw Data'!A9="","",'Raw Data'!A9)</f>
        <v>F</v>
      </c>
      <c r="B9" t="str">
        <f>IF('Raw Data'!B9="","",'Raw Data'!B9)</f>
        <v>G</v>
      </c>
      <c r="C9">
        <f>IF('Raw Data'!C9="","",'Raw Data'!C9)</f>
        <v>4</v>
      </c>
      <c r="D9">
        <f>IF('Raw Data'!D9="","",'Raw Data'!D9)</f>
        <v>2</v>
      </c>
      <c r="E9">
        <f>IF('Raw Data'!E9="","",'Raw Data'!E9)</f>
        <v>0.5</v>
      </c>
      <c r="F9">
        <v>9</v>
      </c>
      <c r="G9">
        <f>IF('Raw Data'!G9="","",'Raw Data'!G9)</f>
        <v>292</v>
      </c>
      <c r="H9" t="str">
        <f>IF('Raw Data'!H9="","",'Raw Data'!H9)</f>
        <v>-</v>
      </c>
      <c r="I9" t="str">
        <f>IF('Raw Data'!I9="","",SUBSTITUTE('Raw Data'!I9," ",":",1))</f>
        <v>292</v>
      </c>
      <c r="J9">
        <f>IF('Raw Data'!J9="","",'Raw Data'!J9)</f>
        <v>48</v>
      </c>
      <c r="K9" s="2">
        <f>ASIN(N9/J9)*180/PI()</f>
        <v>-2.9855060057465379</v>
      </c>
      <c r="L9" t="str">
        <f>IF('Raw Data'!L9="","",'Raw Data'!L9)</f>
        <v/>
      </c>
      <c r="M9">
        <f>IF('Raw Data'!M9="","",'Raw Data'!M9)</f>
        <v>48</v>
      </c>
      <c r="N9">
        <f>IF('Raw Data'!N9="","",'Raw Data'!N9)</f>
        <v>-2.5</v>
      </c>
      <c r="O9">
        <f>IF('Raw Data'!O9="","",'Raw Data'!O9)</f>
        <v>-3.1</v>
      </c>
      <c r="Q9" s="4">
        <f t="shared" si="2"/>
        <v>47.934851621758462</v>
      </c>
      <c r="R9" s="4">
        <f t="shared" si="3"/>
        <v>-2.5</v>
      </c>
    </row>
    <row r="10" spans="1:18" x14ac:dyDescent="0.25">
      <c r="A10" t="str">
        <f>IF('Raw Data'!A10="","",'Raw Data'!A10)</f>
        <v>G</v>
      </c>
      <c r="B10" t="str">
        <f>IF('Raw Data'!B10="","",'Raw Data'!B10)</f>
        <v>H</v>
      </c>
      <c r="C10">
        <f>IF('Raw Data'!C10="","",'Raw Data'!C10)</f>
        <v>2.5</v>
      </c>
      <c r="D10">
        <f>IF('Raw Data'!D10="","",'Raw Data'!D10)</f>
        <v>0.5</v>
      </c>
      <c r="E10">
        <f>IF('Raw Data'!E10="","",'Raw Data'!E10)</f>
        <v>3.5</v>
      </c>
      <c r="F10">
        <v>10</v>
      </c>
      <c r="G10" t="str">
        <f>IF('Raw Data'!G10="","",'Raw Data'!G10)</f>
        <v>-</v>
      </c>
      <c r="H10">
        <f>IF('Raw Data'!H10="","",'Raw Data'!H10)</f>
        <v>159</v>
      </c>
      <c r="I10" t="str">
        <f>IF('Raw Data'!I10="","",SUBSTITUTE('Raw Data'!I10," ",":",1))</f>
        <v>339</v>
      </c>
      <c r="J10">
        <f>IF('Raw Data'!J10="","",'Raw Data'!J10)</f>
        <v>36</v>
      </c>
      <c r="K10">
        <v>0</v>
      </c>
      <c r="L10" t="str">
        <f>IF('Raw Data'!L10="","",'Raw Data'!L10)</f>
        <v/>
      </c>
      <c r="M10">
        <f>IF('Raw Data'!M10="","",'Raw Data'!M10)</f>
        <v>36</v>
      </c>
      <c r="N10" t="str">
        <f>IF('Raw Data'!N10="","",'Raw Data'!N10)</f>
        <v>-</v>
      </c>
      <c r="O10">
        <f>IF('Raw Data'!O10="","",'Raw Data'!O10)</f>
        <v>-5.6</v>
      </c>
      <c r="Q10" s="4">
        <f t="shared" si="2"/>
        <v>36</v>
      </c>
      <c r="R10" s="4">
        <f t="shared" si="3"/>
        <v>0</v>
      </c>
    </row>
    <row r="11" spans="1:18" x14ac:dyDescent="0.25">
      <c r="A11" t="str">
        <f>IF('Raw Data'!A11="","",'Raw Data'!A11)</f>
        <v>H</v>
      </c>
      <c r="B11" t="str">
        <f>IF('Raw Data'!B11="","",'Raw Data'!B11)</f>
        <v>I</v>
      </c>
      <c r="C11">
        <f>IF('Raw Data'!C11="","",'Raw Data'!C11)</f>
        <v>15</v>
      </c>
      <c r="D11">
        <f>IF('Raw Data'!D11="","",'Raw Data'!D11)</f>
        <v>1</v>
      </c>
      <c r="E11">
        <f>IF('Raw Data'!E11="","",'Raw Data'!E11)</f>
        <v>10</v>
      </c>
      <c r="F11">
        <v>11</v>
      </c>
      <c r="G11">
        <f>IF('Raw Data'!G11="","",'Raw Data'!G11)</f>
        <v>247</v>
      </c>
      <c r="H11" t="str">
        <f>IF('Raw Data'!H11="","",'Raw Data'!H11)</f>
        <v>-</v>
      </c>
      <c r="I11" t="str">
        <f>IF('Raw Data'!I11="","",SUBSTITUTE('Raw Data'!I11," ",":",1))</f>
        <v>247</v>
      </c>
      <c r="J11">
        <f>IF('Raw Data'!J11="","",'Raw Data'!J11)</f>
        <v>31</v>
      </c>
      <c r="K11">
        <f>IF('Raw Data'!K11="","",'Raw Data'!K11)</f>
        <v>-2.2999999999999998</v>
      </c>
      <c r="L11" t="str">
        <f>IF('Raw Data'!L11="","",'Raw Data'!L11)</f>
        <v/>
      </c>
      <c r="M11">
        <f>IF('Raw Data'!M11="","",'Raw Data'!M11)</f>
        <v>31</v>
      </c>
      <c r="N11">
        <f>IF('Raw Data'!N11="","",'Raw Data'!N11)</f>
        <v>-1.3</v>
      </c>
      <c r="O11">
        <f>IF('Raw Data'!O11="","",'Raw Data'!O11)</f>
        <v>-5.6</v>
      </c>
      <c r="Q11" s="4">
        <f t="shared" si="2"/>
        <v>30.975026248547824</v>
      </c>
      <c r="R11" s="4">
        <f t="shared" si="3"/>
        <v>-1.2440855685093515</v>
      </c>
    </row>
    <row r="12" spans="1:18" x14ac:dyDescent="0.25">
      <c r="A12" t="str">
        <f>IF('Raw Data'!A12="","",'Raw Data'!A12)</f>
        <v>I</v>
      </c>
      <c r="B12" t="str">
        <f>IF('Raw Data'!B12="","",'Raw Data'!B12)</f>
        <v>J</v>
      </c>
      <c r="C12">
        <f>IF('Raw Data'!C12="","",'Raw Data'!C12)</f>
        <v>15</v>
      </c>
      <c r="D12">
        <f>IF('Raw Data'!D12="","",'Raw Data'!D12)</f>
        <v>1</v>
      </c>
      <c r="E12">
        <f>IF('Raw Data'!E12="","",'Raw Data'!E12)</f>
        <v>8</v>
      </c>
      <c r="F12">
        <v>12</v>
      </c>
      <c r="G12" t="str">
        <f>IF('Raw Data'!G12="","",'Raw Data'!G12)</f>
        <v>-</v>
      </c>
      <c r="H12">
        <f>IF('Raw Data'!H12="","",'Raw Data'!H12)</f>
        <v>95</v>
      </c>
      <c r="I12" t="str">
        <f>IF('Raw Data'!I12="","",SUBSTITUTE('Raw Data'!I12," ",":",1))</f>
        <v>275</v>
      </c>
      <c r="J12">
        <f>IF('Raw Data'!J12="","",'Raw Data'!J12)</f>
        <v>26</v>
      </c>
      <c r="K12">
        <f>IF('Raw Data'!K12="","",'Raw Data'!K12)</f>
        <v>2</v>
      </c>
      <c r="L12" t="str">
        <f>IF('Raw Data'!L12="","",'Raw Data'!L12)</f>
        <v/>
      </c>
      <c r="M12">
        <f>IF('Raw Data'!M12="","",'Raw Data'!M12)</f>
        <v>26</v>
      </c>
      <c r="N12">
        <f>IF('Raw Data'!N12="","",'Raw Data'!N12)</f>
        <v>0.9</v>
      </c>
      <c r="O12">
        <f>IF('Raw Data'!O12="","",'Raw Data'!O12)</f>
        <v>-6.9</v>
      </c>
      <c r="Q12" s="4">
        <f t="shared" si="2"/>
        <v>25.984161502496491</v>
      </c>
      <c r="R12" s="4">
        <f t="shared" si="3"/>
        <v>0.90738691426502516</v>
      </c>
    </row>
    <row r="13" spans="1:18" x14ac:dyDescent="0.25">
      <c r="A13" t="str">
        <f>IF('Raw Data'!A13="","",'Raw Data'!A13)</f>
        <v>J</v>
      </c>
      <c r="B13" t="str">
        <f>IF('Raw Data'!B13="","",'Raw Data'!B13)</f>
        <v>K</v>
      </c>
      <c r="C13">
        <f>IF('Raw Data'!C13="","",'Raw Data'!C13)</f>
        <v>8</v>
      </c>
      <c r="D13">
        <f>IF('Raw Data'!D13="","",'Raw Data'!D13)</f>
        <v>3</v>
      </c>
      <c r="E13">
        <f>IF('Raw Data'!E13="","",'Raw Data'!E13)</f>
        <v>1</v>
      </c>
      <c r="F13">
        <v>13</v>
      </c>
      <c r="G13">
        <f>IF('Raw Data'!G13="","",'Raw Data'!G13)</f>
        <v>320</v>
      </c>
      <c r="H13" t="str">
        <f>IF('Raw Data'!H13="","",'Raw Data'!H13)</f>
        <v>-</v>
      </c>
      <c r="I13" t="str">
        <f>IF('Raw Data'!I13="","",SUBSTITUTE('Raw Data'!I13," ",":",1))</f>
        <v>320</v>
      </c>
      <c r="J13">
        <f>IF('Raw Data'!J13="","",'Raw Data'!J13)</f>
        <v>26.5</v>
      </c>
      <c r="K13">
        <f>IF('Raw Data'!K13="","",'Raw Data'!K13)</f>
        <v>1</v>
      </c>
      <c r="L13" t="str">
        <f>IF('Raw Data'!L13="","",'Raw Data'!L13)</f>
        <v/>
      </c>
      <c r="M13">
        <f>IF('Raw Data'!M13="","",'Raw Data'!M13)</f>
        <v>26.5</v>
      </c>
      <c r="N13">
        <f>IF('Raw Data'!N13="","",'Raw Data'!N13)</f>
        <v>0.5</v>
      </c>
      <c r="O13">
        <f>IF('Raw Data'!O13="","",'Raw Data'!O13)</f>
        <v>-6</v>
      </c>
      <c r="Q13" s="4">
        <f t="shared" si="2"/>
        <v>26.495963921644368</v>
      </c>
      <c r="R13" s="4">
        <f t="shared" si="3"/>
        <v>0.46248877058801308</v>
      </c>
    </row>
    <row r="14" spans="1:18" x14ac:dyDescent="0.25">
      <c r="A14" t="str">
        <f>IF('Raw Data'!A14="","",'Raw Data'!A14)</f>
        <v>K</v>
      </c>
      <c r="B14" t="str">
        <f>IF('Raw Data'!B14="","",'Raw Data'!B14)</f>
        <v>L</v>
      </c>
      <c r="C14">
        <f>IF('Raw Data'!C14="","",'Raw Data'!C14)</f>
        <v>25</v>
      </c>
      <c r="D14">
        <f>IF('Raw Data'!D14="","",'Raw Data'!D14)</f>
        <v>4.5</v>
      </c>
      <c r="E14" t="str">
        <f>IF('Raw Data'!E14="","",'Raw Data'!E14)</f>
        <v>-</v>
      </c>
      <c r="F14">
        <v>14</v>
      </c>
      <c r="G14" t="str">
        <f>IF('Raw Data'!G14="","",'Raw Data'!G14)</f>
        <v>-</v>
      </c>
      <c r="H14">
        <f>IF('Raw Data'!H14="","",'Raw Data'!H14)</f>
        <v>193</v>
      </c>
      <c r="I14" t="str">
        <f>IF('Raw Data'!I14="","",SUBSTITUTE('Raw Data'!I14," ",":",1))</f>
        <v>13</v>
      </c>
      <c r="J14">
        <f>IF('Raw Data'!J14="","",'Raw Data'!J14)</f>
        <v>17.5</v>
      </c>
      <c r="K14">
        <f>IF('Raw Data'!K14="","",'Raw Data'!K14)</f>
        <v>-9</v>
      </c>
      <c r="L14" t="str">
        <f>IF('Raw Data'!L14="","",'Raw Data'!L14)</f>
        <v/>
      </c>
      <c r="M14">
        <f>IF('Raw Data'!M14="","",'Raw Data'!M14)</f>
        <v>17.3</v>
      </c>
      <c r="N14">
        <f>IF('Raw Data'!N14="","",'Raw Data'!N14)</f>
        <v>-2.7</v>
      </c>
      <c r="O14">
        <f>IF('Raw Data'!O14="","",'Raw Data'!O14)</f>
        <v>-5.5</v>
      </c>
      <c r="Q14" s="4">
        <f t="shared" si="2"/>
        <v>17.28454596041491</v>
      </c>
      <c r="R14" s="4">
        <f t="shared" si="3"/>
        <v>-2.7376031382040402</v>
      </c>
    </row>
    <row r="15" spans="1:18" x14ac:dyDescent="0.25">
      <c r="A15" t="str">
        <f>IF('Raw Data'!A15="","",'Raw Data'!A15)</f>
        <v>L</v>
      </c>
      <c r="B15" t="str">
        <f>IF('Raw Data'!B15="","",'Raw Data'!B15)</f>
        <v>M</v>
      </c>
      <c r="C15">
        <f>IF('Raw Data'!C15="","",'Raw Data'!C15)</f>
        <v>20</v>
      </c>
      <c r="D15">
        <f>IF('Raw Data'!D15="","",'Raw Data'!D15)</f>
        <v>3</v>
      </c>
      <c r="E15">
        <f>IF('Raw Data'!E15="","",'Raw Data'!E15)</f>
        <v>2</v>
      </c>
      <c r="F15">
        <v>15</v>
      </c>
      <c r="G15">
        <f>IF('Raw Data'!G15="","",'Raw Data'!G15)</f>
        <v>299</v>
      </c>
      <c r="H15" t="str">
        <f>IF('Raw Data'!H15="","",'Raw Data'!H15)</f>
        <v>-</v>
      </c>
      <c r="I15" t="str">
        <f>IF('Raw Data'!I15="","",SUBSTITUTE('Raw Data'!I15," ",":",1))</f>
        <v>299</v>
      </c>
      <c r="J15">
        <f>IF('Raw Data'!J15="","",'Raw Data'!J15)</f>
        <v>33</v>
      </c>
      <c r="K15">
        <f>IF('Raw Data'!K15="","",'Raw Data'!K15)</f>
        <v>-3</v>
      </c>
      <c r="L15" t="str">
        <f>IF('Raw Data'!L15="","",'Raw Data'!L15)</f>
        <v/>
      </c>
      <c r="M15">
        <f>IF('Raw Data'!M15="","",'Raw Data'!M15)</f>
        <v>33</v>
      </c>
      <c r="N15">
        <f>IF('Raw Data'!N15="","",'Raw Data'!N15)</f>
        <v>-1.7</v>
      </c>
      <c r="O15">
        <f>IF('Raw Data'!O15="","",'Raw Data'!O15)</f>
        <v>-8.1999999999999993</v>
      </c>
      <c r="Q15" s="4">
        <f t="shared" si="2"/>
        <v>32.954774646900937</v>
      </c>
      <c r="R15" s="4">
        <f t="shared" si="3"/>
        <v>-1.7270865560171462</v>
      </c>
    </row>
    <row r="16" spans="1:18" x14ac:dyDescent="0.25">
      <c r="A16" t="str">
        <f>IF('Raw Data'!A16="","",'Raw Data'!A16)</f>
        <v>M</v>
      </c>
      <c r="B16" t="str">
        <f>IF('Raw Data'!B16="","",'Raw Data'!B16)</f>
        <v>N</v>
      </c>
      <c r="C16">
        <f>IF('Raw Data'!C16="","",'Raw Data'!C16)</f>
        <v>15</v>
      </c>
      <c r="D16">
        <f>IF('Raw Data'!D16="","",'Raw Data'!D16)</f>
        <v>7</v>
      </c>
      <c r="E16">
        <f>IF('Raw Data'!E16="","",'Raw Data'!E16)</f>
        <v>4</v>
      </c>
      <c r="F16">
        <v>16</v>
      </c>
      <c r="G16" t="str">
        <f>IF('Raw Data'!G16="","",'Raw Data'!G16)</f>
        <v>-</v>
      </c>
      <c r="H16">
        <f>IF('Raw Data'!H16="","",'Raw Data'!H16)</f>
        <v>142</v>
      </c>
      <c r="I16" t="str">
        <f>IF('Raw Data'!I16="","",SUBSTITUTE('Raw Data'!I16," ",":",1))</f>
        <v>322</v>
      </c>
      <c r="J16">
        <f>IF('Raw Data'!J16="","",'Raw Data'!J16)</f>
        <v>43</v>
      </c>
      <c r="K16">
        <f>IF('Raw Data'!K16="","",'Raw Data'!K16)</f>
        <v>-7.3</v>
      </c>
      <c r="L16" t="str">
        <f>IF('Raw Data'!L16="","",'Raw Data'!L16)</f>
        <v/>
      </c>
      <c r="M16">
        <f>IF('Raw Data'!M16="","",'Raw Data'!M16)</f>
        <v>42.7</v>
      </c>
      <c r="N16">
        <f>IF('Raw Data'!N16="","",'Raw Data'!N16)</f>
        <v>-5.6</v>
      </c>
      <c r="O16">
        <f>IF('Raw Data'!O16="","",'Raw Data'!O16)</f>
        <v>-9.9</v>
      </c>
      <c r="Q16" s="4">
        <f t="shared" si="2"/>
        <v>42.651461031371277</v>
      </c>
      <c r="R16" s="4">
        <f t="shared" si="3"/>
        <v>-5.4637781698580703</v>
      </c>
    </row>
    <row r="17" spans="1:18" x14ac:dyDescent="0.25">
      <c r="A17" t="str">
        <f>IF('Raw Data'!A17="","",'Raw Data'!A17)</f>
        <v>N</v>
      </c>
      <c r="B17" t="str">
        <f>IF('Raw Data'!B17="","",'Raw Data'!B17)</f>
        <v>O</v>
      </c>
      <c r="C17">
        <f>IF('Raw Data'!C17="","",'Raw Data'!C17)</f>
        <v>25</v>
      </c>
      <c r="D17">
        <f>IF('Raw Data'!D17="","",'Raw Data'!D17)</f>
        <v>3</v>
      </c>
      <c r="E17">
        <f>IF('Raw Data'!E17="","",'Raw Data'!E17)</f>
        <v>2</v>
      </c>
      <c r="F17">
        <v>17</v>
      </c>
      <c r="G17">
        <f>IF('Raw Data'!G17="","",'Raw Data'!G17)</f>
        <v>281</v>
      </c>
      <c r="H17" t="str">
        <f>IF('Raw Data'!H17="","",'Raw Data'!H17)</f>
        <v>-</v>
      </c>
      <c r="I17" t="str">
        <f>IF('Raw Data'!I17="","",SUBSTITUTE('Raw Data'!I17," ",":",1))</f>
        <v>281</v>
      </c>
      <c r="J17">
        <f>IF('Raw Data'!J17="","",'Raw Data'!J17)</f>
        <v>15.5</v>
      </c>
      <c r="K17">
        <f>IF('Raw Data'!K17="","",'Raw Data'!K17)</f>
        <v>-2</v>
      </c>
      <c r="L17" t="str">
        <f>IF('Raw Data'!L17="","",'Raw Data'!L17)</f>
        <v/>
      </c>
      <c r="M17">
        <f>IF('Raw Data'!M17="","",'Raw Data'!M17)</f>
        <v>15.5</v>
      </c>
      <c r="N17">
        <f>IF('Raw Data'!N17="","",'Raw Data'!N17)</f>
        <v>-0.5</v>
      </c>
      <c r="O17">
        <f>IF('Raw Data'!O17="","",'Raw Data'!O17)</f>
        <v>-15.5</v>
      </c>
      <c r="Q17" s="4">
        <f t="shared" si="2"/>
        <v>15.490557818795985</v>
      </c>
      <c r="R17" s="4">
        <f t="shared" si="3"/>
        <v>-0.54094219888876505</v>
      </c>
    </row>
    <row r="18" spans="1:18" x14ac:dyDescent="0.25">
      <c r="A18" t="str">
        <f>IF('Raw Data'!A18="","",'Raw Data'!A18)</f>
        <v>O</v>
      </c>
      <c r="B18" t="str">
        <f>IF('Raw Data'!B18="","",'Raw Data'!B18)</f>
        <v>P</v>
      </c>
      <c r="C18">
        <f>IF('Raw Data'!C18="","",'Raw Data'!C18)</f>
        <v>40</v>
      </c>
      <c r="D18">
        <f>IF('Raw Data'!D18="","",'Raw Data'!D18)</f>
        <v>4.5</v>
      </c>
      <c r="E18">
        <f>IF('Raw Data'!E18="","",'Raw Data'!E18)</f>
        <v>2</v>
      </c>
      <c r="F18">
        <v>18</v>
      </c>
      <c r="G18" t="str">
        <f>IF('Raw Data'!G18="","",'Raw Data'!G18)</f>
        <v>-</v>
      </c>
      <c r="H18">
        <f>IF('Raw Data'!H18="","",'Raw Data'!H18)</f>
        <v>127</v>
      </c>
      <c r="I18" t="str">
        <f>IF('Raw Data'!I18="","",SUBSTITUTE('Raw Data'!I18," ",":",1))</f>
        <v>307</v>
      </c>
      <c r="J18">
        <f>IF('Raw Data'!J18="","",'Raw Data'!J18)</f>
        <v>56</v>
      </c>
      <c r="K18">
        <f>IF('Raw Data'!K18="","",'Raw Data'!K18)</f>
        <v>-5</v>
      </c>
      <c r="L18" t="str">
        <f>IF('Raw Data'!L18="","",'Raw Data'!L18)</f>
        <v/>
      </c>
      <c r="M18">
        <f>IF('Raw Data'!M18="","",'Raw Data'!M18)</f>
        <v>55.8</v>
      </c>
      <c r="N18">
        <f>IF('Raw Data'!N18="","",'Raw Data'!N18)</f>
        <v>-4.9000000000000004</v>
      </c>
      <c r="O18">
        <f>IF('Raw Data'!O18="","",'Raw Data'!O18)</f>
        <v>-16</v>
      </c>
      <c r="Q18" s="4">
        <f t="shared" si="2"/>
        <v>55.786903093137752</v>
      </c>
      <c r="R18" s="4">
        <f t="shared" si="3"/>
        <v>-4.8807215938688575</v>
      </c>
    </row>
    <row r="19" spans="1:18" x14ac:dyDescent="0.25">
      <c r="A19" t="str">
        <f>IF('Raw Data'!A19="","",'Raw Data'!A19)</f>
        <v>P</v>
      </c>
      <c r="B19" t="str">
        <f>IF('Raw Data'!B19="","",'Raw Data'!B19)</f>
        <v>Q</v>
      </c>
      <c r="C19">
        <f>IF('Raw Data'!C19="","",'Raw Data'!C19)</f>
        <v>40</v>
      </c>
      <c r="D19">
        <f>IF('Raw Data'!D19="","",'Raw Data'!D19)</f>
        <v>3</v>
      </c>
      <c r="E19">
        <f>IF('Raw Data'!E19="","",'Raw Data'!E19)</f>
        <v>2</v>
      </c>
      <c r="F19">
        <v>19</v>
      </c>
      <c r="G19">
        <f>IF('Raw Data'!G19="","",'Raw Data'!G19)</f>
        <v>283</v>
      </c>
      <c r="H19" t="str">
        <f>IF('Raw Data'!H19="","",'Raw Data'!H19)</f>
        <v>-</v>
      </c>
      <c r="I19" t="str">
        <f>IF('Raw Data'!I19="","",SUBSTITUTE('Raw Data'!I19," ",":",1))</f>
        <v>283</v>
      </c>
      <c r="J19">
        <f>IF('Raw Data'!J19="","",'Raw Data'!J19)</f>
        <v>15.8</v>
      </c>
      <c r="K19">
        <f>IF('Raw Data'!K19="","",'Raw Data'!K19)</f>
        <v>-0.15</v>
      </c>
      <c r="L19" t="str">
        <f>IF('Raw Data'!L19="","",'Raw Data'!L19)</f>
        <v/>
      </c>
      <c r="M19">
        <f>IF('Raw Data'!M19="","",'Raw Data'!M19)</f>
        <v>15.8</v>
      </c>
      <c r="N19">
        <f>IF('Raw Data'!N19="","",'Raw Data'!N19)</f>
        <v>-0.1</v>
      </c>
      <c r="O19">
        <f>IF('Raw Data'!O19="","",'Raw Data'!O19)</f>
        <v>-20.9</v>
      </c>
      <c r="Q19" s="4">
        <f t="shared" si="2"/>
        <v>15.799945854284561</v>
      </c>
      <c r="R19" s="4">
        <f t="shared" si="3"/>
        <v>-4.1364256021204297E-2</v>
      </c>
    </row>
    <row r="20" spans="1:18" x14ac:dyDescent="0.25">
      <c r="A20" t="str">
        <f>IF('Raw Data'!A20="","",'Raw Data'!A20)</f>
        <v>Q</v>
      </c>
      <c r="B20" t="str">
        <f>IF('Raw Data'!B20="","",'Raw Data'!B20)</f>
        <v>R</v>
      </c>
      <c r="C20">
        <f>IF('Raw Data'!C20="","",'Raw Data'!C20)</f>
        <v>40</v>
      </c>
      <c r="D20">
        <f>IF('Raw Data'!D20="","",'Raw Data'!D20)</f>
        <v>4</v>
      </c>
      <c r="E20">
        <f>IF('Raw Data'!E20="","",'Raw Data'!E20)</f>
        <v>4</v>
      </c>
      <c r="F20">
        <v>20</v>
      </c>
      <c r="G20" t="str">
        <f>IF('Raw Data'!G20="","",'Raw Data'!G20)</f>
        <v>-</v>
      </c>
      <c r="H20">
        <f>IF('Raw Data'!H20="","",'Raw Data'!H20)</f>
        <v>37</v>
      </c>
      <c r="I20" t="str">
        <f>IF('Raw Data'!I20="","",SUBSTITUTE('Raw Data'!I20," ",":",1))</f>
        <v>217</v>
      </c>
      <c r="J20">
        <f>IF('Raw Data'!J20="","",'Raw Data'!J20)</f>
        <v>15.3</v>
      </c>
      <c r="K20" s="2">
        <f>ASIN(N20/J20)*180/PI()</f>
        <v>-15.155399662290439</v>
      </c>
      <c r="L20" t="str">
        <f>IF('Raw Data'!L20="","",'Raw Data'!L20)</f>
        <v/>
      </c>
      <c r="M20">
        <f>IF('Raw Data'!M20="","",'Raw Data'!M20)</f>
        <v>15.3</v>
      </c>
      <c r="N20">
        <f>IF('Raw Data'!N20="","",'Raw Data'!N20)</f>
        <v>-4</v>
      </c>
      <c r="O20">
        <f>IF('Raw Data'!O20="","",'Raw Data'!O20)</f>
        <v>-21</v>
      </c>
      <c r="Q20" s="4">
        <f t="shared" si="2"/>
        <v>14.767870530310049</v>
      </c>
      <c r="R20" s="4">
        <f t="shared" si="3"/>
        <v>-4</v>
      </c>
    </row>
    <row r="21" spans="1:18" x14ac:dyDescent="0.25">
      <c r="A21" t="str">
        <f>IF('Raw Data'!A21="","",'Raw Data'!A21)</f>
        <v>R</v>
      </c>
      <c r="B21" t="str">
        <f>IF('Raw Data'!B21="","",'Raw Data'!B21)</f>
        <v>S</v>
      </c>
      <c r="C21">
        <f>IF('Raw Data'!C21="","",'Raw Data'!C21)</f>
        <v>40</v>
      </c>
      <c r="D21" t="str">
        <f>IF('Raw Data'!D21="","",'Raw Data'!D21)</f>
        <v>-</v>
      </c>
      <c r="E21" t="str">
        <f>IF('Raw Data'!E21="","",'Raw Data'!E21)</f>
        <v>-</v>
      </c>
      <c r="F21">
        <v>21</v>
      </c>
      <c r="G21">
        <f>IF('Raw Data'!G21="","",'Raw Data'!G21)</f>
        <v>310</v>
      </c>
      <c r="H21" t="str">
        <f>IF('Raw Data'!H21="","",'Raw Data'!H21)</f>
        <v>-</v>
      </c>
      <c r="I21" t="str">
        <f>IF('Raw Data'!I21="","",SUBSTITUTE('Raw Data'!I21," ",":",1))</f>
        <v>310</v>
      </c>
      <c r="J21">
        <f>IF('Raw Data'!J21="","",'Raw Data'!J21)</f>
        <v>39.5</v>
      </c>
      <c r="K21" s="2">
        <f>ASIN(N21/J21)*180/PI()</f>
        <v>5.8120668348260685</v>
      </c>
      <c r="L21" t="str">
        <f>IF('Raw Data'!L21="","",'Raw Data'!L21)</f>
        <v/>
      </c>
      <c r="M21">
        <f>IF('Raw Data'!M21="","",'Raw Data'!M21)</f>
        <v>39.5</v>
      </c>
      <c r="N21">
        <f>IF('Raw Data'!N21="","",'Raw Data'!N21)</f>
        <v>4</v>
      </c>
      <c r="O21">
        <f>IF('Raw Data'!O21="","",'Raw Data'!O21)</f>
        <v>-25</v>
      </c>
      <c r="Q21" s="4">
        <f t="shared" si="2"/>
        <v>39.296946446257117</v>
      </c>
      <c r="R21" s="4">
        <f t="shared" si="3"/>
        <v>4</v>
      </c>
    </row>
    <row r="22" spans="1:18" x14ac:dyDescent="0.25">
      <c r="A22" t="str">
        <f>IF('Raw Data'!A22="","",'Raw Data'!A22)</f>
        <v>S</v>
      </c>
      <c r="B22" t="str">
        <f>IF('Raw Data'!B22="","",'Raw Data'!B22)</f>
        <v>T</v>
      </c>
      <c r="C22">
        <f>IF('Raw Data'!C22="","",'Raw Data'!C22)</f>
        <v>12</v>
      </c>
      <c r="D22">
        <f>IF('Raw Data'!D22="","",'Raw Data'!D22)</f>
        <v>4.5</v>
      </c>
      <c r="E22">
        <f>IF('Raw Data'!E22="","",'Raw Data'!E22)</f>
        <v>8</v>
      </c>
      <c r="F22">
        <v>22</v>
      </c>
      <c r="G22" t="str">
        <f>IF('Raw Data'!G22="","",'Raw Data'!G22)</f>
        <v>-</v>
      </c>
      <c r="H22">
        <f>IF('Raw Data'!H22="","",'Raw Data'!H22)</f>
        <v>58</v>
      </c>
      <c r="I22" t="str">
        <f>IF('Raw Data'!I22="","",SUBSTITUTE('Raw Data'!I22," ",":",1))</f>
        <v>238</v>
      </c>
      <c r="J22">
        <f>IF('Raw Data'!J22="","",'Raw Data'!J22)</f>
        <v>39.6</v>
      </c>
      <c r="K22">
        <f>IF('Raw Data'!K22="","",'Raw Data'!K22)</f>
        <v>-2.7</v>
      </c>
      <c r="L22" t="str">
        <f>IF('Raw Data'!L22="","",'Raw Data'!L22)</f>
        <v/>
      </c>
      <c r="M22">
        <f>IF('Raw Data'!M22="","",'Raw Data'!M22)</f>
        <v>39.6</v>
      </c>
      <c r="N22">
        <f>IF('Raw Data'!N22="","",'Raw Data'!N22)</f>
        <v>-1.9</v>
      </c>
      <c r="O22">
        <f>IF('Raw Data'!O22="","",'Raw Data'!O22)</f>
        <v>-21</v>
      </c>
      <c r="Q22" s="4">
        <f t="shared" si="2"/>
        <v>39.556039048494014</v>
      </c>
      <c r="R22" s="4">
        <f t="shared" si="3"/>
        <v>-1.8654154481018492</v>
      </c>
    </row>
    <row r="23" spans="1:18" x14ac:dyDescent="0.25">
      <c r="A23" t="str">
        <f>IF('Raw Data'!A23="","",'Raw Data'!A23)</f>
        <v>T</v>
      </c>
      <c r="B23" t="str">
        <f>IF('Raw Data'!B23="","",'Raw Data'!B23)</f>
        <v>U</v>
      </c>
      <c r="C23">
        <f>IF('Raw Data'!C23="","",'Raw Data'!C23)</f>
        <v>2</v>
      </c>
      <c r="D23">
        <f>IF('Raw Data'!D23="","",'Raw Data'!D23)</f>
        <v>2.5</v>
      </c>
      <c r="E23">
        <f>IF('Raw Data'!E23="","",'Raw Data'!E23)</f>
        <v>15</v>
      </c>
      <c r="F23">
        <v>23</v>
      </c>
      <c r="G23">
        <f>IF('Raw Data'!G23="","",'Raw Data'!G23)</f>
        <v>148</v>
      </c>
      <c r="H23" t="str">
        <f>IF('Raw Data'!H23="","",'Raw Data'!H23)</f>
        <v>-</v>
      </c>
      <c r="I23" t="str">
        <f>IF('Raw Data'!I23="","",SUBSTITUTE('Raw Data'!I23," ",":",1))</f>
        <v>148</v>
      </c>
      <c r="J23">
        <f>IF('Raw Data'!J23="","",'Raw Data'!J23)</f>
        <v>49</v>
      </c>
      <c r="K23" s="2">
        <f>ASIN(N23/J23)*180/PI()</f>
        <v>-1.9882117515894562</v>
      </c>
      <c r="L23" t="str">
        <f>IF('Raw Data'!L23="","",'Raw Data'!L23)</f>
        <v/>
      </c>
      <c r="M23">
        <f>IF('Raw Data'!M23="","",'Raw Data'!M23)</f>
        <v>49</v>
      </c>
      <c r="N23">
        <f>IF('Raw Data'!N23="","",'Raw Data'!N23)</f>
        <v>-1.7</v>
      </c>
      <c r="O23">
        <f>IF('Raw Data'!O23="","",'Raw Data'!O23)</f>
        <v>-22.9</v>
      </c>
      <c r="Q23" s="4">
        <f t="shared" si="2"/>
        <v>48.970501324777146</v>
      </c>
      <c r="R23" s="4">
        <f t="shared" si="3"/>
        <v>-1.7</v>
      </c>
    </row>
    <row r="24" spans="1:18" x14ac:dyDescent="0.25">
      <c r="A24" t="str">
        <f>IF('Raw Data'!A24="","",'Raw Data'!A24)</f>
        <v>U</v>
      </c>
      <c r="B24" t="str">
        <f>IF('Raw Data'!B24="","",'Raw Data'!B24)</f>
        <v/>
      </c>
      <c r="C24">
        <f>IF('Raw Data'!C24="","",'Raw Data'!C24)</f>
        <v>1.5</v>
      </c>
      <c r="D24">
        <f>IF('Raw Data'!D24="","",'Raw Data'!D24)</f>
        <v>1.5</v>
      </c>
      <c r="E24" t="str">
        <f>IF('Raw Data'!E24="","",'Raw Data'!E24)</f>
        <v/>
      </c>
      <c r="F24">
        <v>24</v>
      </c>
      <c r="G24" t="str">
        <f>IF('Raw Data'!G24="","",'Raw Data'!G24)</f>
        <v/>
      </c>
      <c r="H24" t="str">
        <f>IF('Raw Data'!H24="","",'Raw Data'!H24)</f>
        <v/>
      </c>
      <c r="I24" t="str">
        <f>IF('Raw Data'!I24="","",'Raw Data'!I24)</f>
        <v/>
      </c>
      <c r="J24" t="str">
        <f>IF('Raw Data'!J24="","",'Raw Data'!J24)</f>
        <v/>
      </c>
      <c r="K24" t="str">
        <f>IF('Raw Data'!K24="","",'Raw Data'!K24)</f>
        <v/>
      </c>
      <c r="L24" t="str">
        <f>IF('Raw Data'!L24="","",'Raw Data'!L24)</f>
        <v/>
      </c>
      <c r="M24" t="str">
        <f>IF('Raw Data'!M24="","",'Raw Data'!M24)</f>
        <v/>
      </c>
      <c r="N24" t="str">
        <f>IF('Raw Data'!N24="","",'Raw Data'!N24)</f>
        <v/>
      </c>
      <c r="O24" t="str">
        <f>IF('Raw Data'!O24="","",'Raw Data'!O24)</f>
        <v/>
      </c>
      <c r="Q24" s="4"/>
      <c r="R24" s="4"/>
    </row>
    <row r="25" spans="1:18" x14ac:dyDescent="0.25">
      <c r="Q25" s="4"/>
      <c r="R25" s="4"/>
    </row>
    <row r="26" spans="1:18" x14ac:dyDescent="0.25">
      <c r="Q26" s="4"/>
      <c r="R26" s="4"/>
    </row>
    <row r="27" spans="1:18" x14ac:dyDescent="0.25">
      <c r="Q27" s="4"/>
      <c r="R27" s="4"/>
    </row>
    <row r="28" spans="1:18" x14ac:dyDescent="0.25">
      <c r="Q28" s="4"/>
      <c r="R28" s="4"/>
    </row>
    <row r="29" spans="1:18" x14ac:dyDescent="0.25">
      <c r="Q29" s="4"/>
      <c r="R29" s="4"/>
    </row>
    <row r="30" spans="1:18" x14ac:dyDescent="0.25">
      <c r="Q30" s="4"/>
      <c r="R30" s="4"/>
    </row>
    <row r="31" spans="1:18" x14ac:dyDescent="0.25">
      <c r="Q31" s="4"/>
      <c r="R31" s="4"/>
    </row>
    <row r="32" spans="1:18" x14ac:dyDescent="0.25">
      <c r="Q32" s="4"/>
      <c r="R32" s="4"/>
    </row>
    <row r="33" spans="17:18" x14ac:dyDescent="0.25">
      <c r="Q33" s="4"/>
      <c r="R33" s="4"/>
    </row>
    <row r="34" spans="17:18" x14ac:dyDescent="0.25">
      <c r="Q34" s="4"/>
      <c r="R34" s="4"/>
    </row>
    <row r="35" spans="17:18" x14ac:dyDescent="0.25">
      <c r="Q35" s="4"/>
      <c r="R35" s="4"/>
    </row>
  </sheetData>
  <conditionalFormatting sqref="Q24:Q35 Q4:R23">
    <cfRule type="expression" dxfId="1" priority="2">
      <formula>Q4-M4&gt;0.15</formula>
    </cfRule>
  </conditionalFormatting>
  <conditionalFormatting sqref="R24:R35">
    <cfRule type="expression" dxfId="0" priority="1">
      <formula>R24-N24&gt;0.1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5"/>
  <sheetViews>
    <sheetView workbookViewId="0">
      <selection activeCell="D4" sqref="D4"/>
    </sheetView>
  </sheetViews>
  <sheetFormatPr defaultRowHeight="15" x14ac:dyDescent="0.25"/>
  <sheetData>
    <row r="3" spans="1:5" x14ac:dyDescent="0.25">
      <c r="A3" t="s">
        <v>59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t="str">
        <f>'Interpreted Data'!A4</f>
        <v>A</v>
      </c>
      <c r="B4" t="str">
        <f>'Interpreted Data'!B4</f>
        <v>B</v>
      </c>
      <c r="C4" s="2">
        <f>'Interpreted Data'!J4/'Interpreted Data'!$H$1</f>
        <v>6.4024390243902447</v>
      </c>
      <c r="D4" s="9" t="str">
        <f>'Interpreted Data'!I4</f>
        <v>283</v>
      </c>
      <c r="E4" s="10">
        <f>'Interpreted Data'!K4</f>
        <v>8.5</v>
      </c>
    </row>
    <row r="5" spans="1:5" x14ac:dyDescent="0.25">
      <c r="A5" t="str">
        <f>'Interpreted Data'!A5</f>
        <v>B</v>
      </c>
      <c r="B5" t="str">
        <f>'Interpreted Data'!B5</f>
        <v>C</v>
      </c>
      <c r="C5" s="2">
        <f>'Interpreted Data'!J5/'Interpreted Data'!$H$1</f>
        <v>8.2317073170731714</v>
      </c>
      <c r="D5" s="9" t="str">
        <f>'Interpreted Data'!I5</f>
        <v>322:30</v>
      </c>
      <c r="E5" s="10">
        <f>'Interpreted Data'!K5</f>
        <v>-9.5</v>
      </c>
    </row>
    <row r="6" spans="1:5" x14ac:dyDescent="0.25">
      <c r="A6" t="str">
        <f>'Interpreted Data'!A6</f>
        <v>C</v>
      </c>
      <c r="B6" t="str">
        <f>'Interpreted Data'!B6</f>
        <v>D</v>
      </c>
      <c r="C6" s="2">
        <f>'Interpreted Data'!J6/'Interpreted Data'!$H$1</f>
        <v>11.280487804878049</v>
      </c>
      <c r="D6" s="9" t="str">
        <f>'Interpreted Data'!I6</f>
        <v>263</v>
      </c>
      <c r="E6" s="10">
        <f>'Interpreted Data'!K6</f>
        <v>2.3234386110520671</v>
      </c>
    </row>
    <row r="7" spans="1:5" x14ac:dyDescent="0.25">
      <c r="A7" t="str">
        <f>'Interpreted Data'!A7</f>
        <v>D</v>
      </c>
      <c r="B7" t="str">
        <f>'Interpreted Data'!B7</f>
        <v>E</v>
      </c>
      <c r="C7" s="2">
        <f>'Interpreted Data'!J7/'Interpreted Data'!$H$1</f>
        <v>4.9390243902439028</v>
      </c>
      <c r="D7" s="9" t="str">
        <f>'Interpreted Data'!I7</f>
        <v>192:30</v>
      </c>
      <c r="E7" s="10">
        <f>'Interpreted Data'!K7</f>
        <v>4.3</v>
      </c>
    </row>
    <row r="8" spans="1:5" x14ac:dyDescent="0.25">
      <c r="A8" t="str">
        <f>'Interpreted Data'!A8</f>
        <v>E</v>
      </c>
      <c r="B8" t="str">
        <f>'Interpreted Data'!B8</f>
        <v>F</v>
      </c>
      <c r="C8" s="2">
        <f>'Interpreted Data'!J8/'Interpreted Data'!$H$1</f>
        <v>14.329268292682928</v>
      </c>
      <c r="D8" s="9" t="str">
        <f>'Interpreted Data'!I8</f>
        <v>258</v>
      </c>
      <c r="E8" s="10">
        <f>'Interpreted Data'!K8</f>
        <v>-5.3</v>
      </c>
    </row>
    <row r="9" spans="1:5" x14ac:dyDescent="0.25">
      <c r="A9" t="str">
        <f>'Interpreted Data'!A9</f>
        <v>F</v>
      </c>
      <c r="B9" t="str">
        <f>'Interpreted Data'!B9</f>
        <v>G</v>
      </c>
      <c r="C9" s="2">
        <f>'Interpreted Data'!J9/'Interpreted Data'!$H$1</f>
        <v>14.634146341463415</v>
      </c>
      <c r="D9" s="9" t="str">
        <f>'Interpreted Data'!I9</f>
        <v>292</v>
      </c>
      <c r="E9" s="10">
        <f>'Interpreted Data'!K9</f>
        <v>-2.9855060057465379</v>
      </c>
    </row>
    <row r="10" spans="1:5" x14ac:dyDescent="0.25">
      <c r="A10" t="str">
        <f>'Interpreted Data'!A10</f>
        <v>G</v>
      </c>
      <c r="B10" t="str">
        <f>'Interpreted Data'!B10</f>
        <v>H</v>
      </c>
      <c r="C10" s="2">
        <f>'Interpreted Data'!J10/'Interpreted Data'!$H$1</f>
        <v>10.975609756097562</v>
      </c>
      <c r="D10" s="9" t="str">
        <f>'Interpreted Data'!I10</f>
        <v>339</v>
      </c>
      <c r="E10" s="10">
        <f>'Interpreted Data'!K10</f>
        <v>0</v>
      </c>
    </row>
    <row r="11" spans="1:5" x14ac:dyDescent="0.25">
      <c r="A11" t="str">
        <f>'Interpreted Data'!A11</f>
        <v>H</v>
      </c>
      <c r="B11" t="str">
        <f>'Interpreted Data'!B11</f>
        <v>I</v>
      </c>
      <c r="C11" s="2">
        <f>'Interpreted Data'!J11/'Interpreted Data'!$H$1</f>
        <v>9.4512195121951219</v>
      </c>
      <c r="D11" s="9" t="str">
        <f>'Interpreted Data'!I11</f>
        <v>247</v>
      </c>
      <c r="E11" s="10">
        <f>'Interpreted Data'!K11</f>
        <v>-2.2999999999999998</v>
      </c>
    </row>
    <row r="12" spans="1:5" x14ac:dyDescent="0.25">
      <c r="A12" t="str">
        <f>'Interpreted Data'!A12</f>
        <v>I</v>
      </c>
      <c r="B12" t="str">
        <f>'Interpreted Data'!B12</f>
        <v>J</v>
      </c>
      <c r="C12" s="2">
        <f>'Interpreted Data'!J12/'Interpreted Data'!$H$1</f>
        <v>7.9268292682926838</v>
      </c>
      <c r="D12" s="9" t="str">
        <f>'Interpreted Data'!I12</f>
        <v>275</v>
      </c>
      <c r="E12" s="10">
        <f>'Interpreted Data'!K12</f>
        <v>2</v>
      </c>
    </row>
    <row r="13" spans="1:5" x14ac:dyDescent="0.25">
      <c r="A13" t="str">
        <f>'Interpreted Data'!A13</f>
        <v>J</v>
      </c>
      <c r="B13" t="str">
        <f>'Interpreted Data'!B13</f>
        <v>K</v>
      </c>
      <c r="C13" s="2">
        <f>'Interpreted Data'!J13/'Interpreted Data'!$H$1</f>
        <v>8.0792682926829276</v>
      </c>
      <c r="D13" s="9" t="str">
        <f>'Interpreted Data'!I13</f>
        <v>320</v>
      </c>
      <c r="E13" s="10">
        <f>'Interpreted Data'!K13</f>
        <v>1</v>
      </c>
    </row>
    <row r="14" spans="1:5" x14ac:dyDescent="0.25">
      <c r="A14" t="str">
        <f>'Interpreted Data'!A14</f>
        <v>K</v>
      </c>
      <c r="B14" t="str">
        <f>'Interpreted Data'!B14</f>
        <v>L</v>
      </c>
      <c r="C14" s="2">
        <f>'Interpreted Data'!J14/'Interpreted Data'!$H$1</f>
        <v>5.3353658536585371</v>
      </c>
      <c r="D14" s="9" t="str">
        <f>'Interpreted Data'!I14</f>
        <v>13</v>
      </c>
      <c r="E14" s="10">
        <f>'Interpreted Data'!K14</f>
        <v>-9</v>
      </c>
    </row>
    <row r="15" spans="1:5" x14ac:dyDescent="0.25">
      <c r="A15" t="str">
        <f>'Interpreted Data'!A15</f>
        <v>L</v>
      </c>
      <c r="B15" t="str">
        <f>'Interpreted Data'!B15</f>
        <v>M</v>
      </c>
      <c r="C15" s="2">
        <f>'Interpreted Data'!J15/'Interpreted Data'!$H$1</f>
        <v>10.060975609756099</v>
      </c>
      <c r="D15" s="9" t="str">
        <f>'Interpreted Data'!I15</f>
        <v>299</v>
      </c>
      <c r="E15" s="10">
        <f>'Interpreted Data'!K15</f>
        <v>-3</v>
      </c>
    </row>
    <row r="16" spans="1:5" x14ac:dyDescent="0.25">
      <c r="A16" t="str">
        <f>'Interpreted Data'!A16</f>
        <v>M</v>
      </c>
      <c r="B16" t="str">
        <f>'Interpreted Data'!B16</f>
        <v>N</v>
      </c>
      <c r="C16" s="2">
        <f>'Interpreted Data'!J16/'Interpreted Data'!$H$1</f>
        <v>13.109756097560977</v>
      </c>
      <c r="D16" s="9" t="str">
        <f>'Interpreted Data'!I16</f>
        <v>322</v>
      </c>
      <c r="E16" s="10">
        <f>'Interpreted Data'!K16</f>
        <v>-7.3</v>
      </c>
    </row>
    <row r="17" spans="1:5" x14ac:dyDescent="0.25">
      <c r="A17" t="str">
        <f>'Interpreted Data'!A17</f>
        <v>N</v>
      </c>
      <c r="B17" t="str">
        <f>'Interpreted Data'!B17</f>
        <v>O</v>
      </c>
      <c r="C17" s="2">
        <f>'Interpreted Data'!J17/'Interpreted Data'!$H$1</f>
        <v>4.725609756097561</v>
      </c>
      <c r="D17" s="9" t="str">
        <f>'Interpreted Data'!I17</f>
        <v>281</v>
      </c>
      <c r="E17" s="10">
        <f>'Interpreted Data'!K17</f>
        <v>-2</v>
      </c>
    </row>
    <row r="18" spans="1:5" x14ac:dyDescent="0.25">
      <c r="A18" t="str">
        <f>'Interpreted Data'!A18</f>
        <v>O</v>
      </c>
      <c r="B18" t="str">
        <f>'Interpreted Data'!B18</f>
        <v>P</v>
      </c>
      <c r="C18" s="2">
        <f>'Interpreted Data'!J18/'Interpreted Data'!$H$1</f>
        <v>17.073170731707318</v>
      </c>
      <c r="D18" s="9" t="str">
        <f>'Interpreted Data'!I18</f>
        <v>307</v>
      </c>
      <c r="E18" s="10">
        <f>'Interpreted Data'!K18</f>
        <v>-5</v>
      </c>
    </row>
    <row r="19" spans="1:5" x14ac:dyDescent="0.25">
      <c r="A19" t="str">
        <f>'Interpreted Data'!A19</f>
        <v>P</v>
      </c>
      <c r="B19" t="str">
        <f>'Interpreted Data'!B19</f>
        <v>Q</v>
      </c>
      <c r="C19" s="2">
        <f>'Interpreted Data'!J19/'Interpreted Data'!$H$1</f>
        <v>4.8170731707317076</v>
      </c>
      <c r="D19" s="9" t="str">
        <f>'Interpreted Data'!I19</f>
        <v>283</v>
      </c>
      <c r="E19" s="10">
        <f>'Interpreted Data'!K19</f>
        <v>-0.15</v>
      </c>
    </row>
    <row r="20" spans="1:5" x14ac:dyDescent="0.25">
      <c r="A20" t="str">
        <f>'Interpreted Data'!A20</f>
        <v>Q</v>
      </c>
      <c r="B20" t="str">
        <f>'Interpreted Data'!B20</f>
        <v>R</v>
      </c>
      <c r="C20" s="2">
        <f>'Interpreted Data'!J20/'Interpreted Data'!$H$1</f>
        <v>4.6646341463414638</v>
      </c>
      <c r="D20" s="9" t="str">
        <f>'Interpreted Data'!I20</f>
        <v>217</v>
      </c>
      <c r="E20" s="10">
        <f>'Interpreted Data'!K20</f>
        <v>-15.155399662290439</v>
      </c>
    </row>
    <row r="21" spans="1:5" x14ac:dyDescent="0.25">
      <c r="A21" t="str">
        <f>'Interpreted Data'!A21</f>
        <v>R</v>
      </c>
      <c r="B21" t="str">
        <f>'Interpreted Data'!B21</f>
        <v>S</v>
      </c>
      <c r="C21" s="2">
        <f>'Interpreted Data'!J21/'Interpreted Data'!$H$1</f>
        <v>12.042682926829269</v>
      </c>
      <c r="D21" s="9" t="str">
        <f>'Interpreted Data'!I21</f>
        <v>310</v>
      </c>
      <c r="E21" s="10">
        <f>'Interpreted Data'!K21</f>
        <v>5.8120668348260685</v>
      </c>
    </row>
    <row r="22" spans="1:5" x14ac:dyDescent="0.25">
      <c r="A22" t="str">
        <f>'Interpreted Data'!A22</f>
        <v>S</v>
      </c>
      <c r="B22" t="str">
        <f>'Interpreted Data'!B22</f>
        <v>T</v>
      </c>
      <c r="C22" s="2">
        <f>'Interpreted Data'!J22/'Interpreted Data'!$H$1</f>
        <v>12.073170731707318</v>
      </c>
      <c r="D22" s="9" t="str">
        <f>'Interpreted Data'!I22</f>
        <v>238</v>
      </c>
      <c r="E22" s="10">
        <f>'Interpreted Data'!K22</f>
        <v>-2.7</v>
      </c>
    </row>
    <row r="23" spans="1:5" x14ac:dyDescent="0.25">
      <c r="A23" t="str">
        <f>'Interpreted Data'!A23</f>
        <v>T</v>
      </c>
      <c r="B23" t="str">
        <f>'Interpreted Data'!B23</f>
        <v>U</v>
      </c>
      <c r="C23" s="2">
        <f>'Interpreted Data'!J23/'Interpreted Data'!$H$1</f>
        <v>14.939024390243903</v>
      </c>
      <c r="D23" s="9" t="str">
        <f>'Interpreted Data'!I23</f>
        <v>148</v>
      </c>
      <c r="E23" s="10">
        <f>'Interpreted Data'!K23</f>
        <v>-1.9882117515894562</v>
      </c>
    </row>
    <row r="24" spans="1:5" x14ac:dyDescent="0.25">
      <c r="C24" s="2"/>
    </row>
    <row r="25" spans="1:5" x14ac:dyDescent="0.25">
      <c r="C25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E25"/>
  <sheetViews>
    <sheetView workbookViewId="0">
      <selection activeCell="E23" sqref="A4:E23"/>
    </sheetView>
  </sheetViews>
  <sheetFormatPr defaultRowHeight="15" x14ac:dyDescent="0.25"/>
  <sheetData>
    <row r="4" spans="1:5" x14ac:dyDescent="0.25">
      <c r="A4" t="str">
        <f>'Interpreted Data'!A4</f>
        <v>A</v>
      </c>
      <c r="B4" t="str">
        <f>'Interpreted Data'!B4</f>
        <v>B</v>
      </c>
      <c r="C4" s="2">
        <f>'Interpreted Data'!J4</f>
        <v>21</v>
      </c>
      <c r="D4" s="9" t="str">
        <f>'Interpreted Data'!I4</f>
        <v>283</v>
      </c>
      <c r="E4" s="10">
        <f>'Interpreted Data'!K4</f>
        <v>8.5</v>
      </c>
    </row>
    <row r="5" spans="1:5" x14ac:dyDescent="0.25">
      <c r="A5" t="str">
        <f>'Interpreted Data'!A5</f>
        <v>B</v>
      </c>
      <c r="B5" t="str">
        <f>'Interpreted Data'!B5</f>
        <v>C</v>
      </c>
      <c r="C5" s="2">
        <f>'Interpreted Data'!J5</f>
        <v>27</v>
      </c>
      <c r="D5" s="9" t="str">
        <f>'Interpreted Data'!I5</f>
        <v>322:30</v>
      </c>
      <c r="E5" s="10">
        <f>'Interpreted Data'!K5</f>
        <v>-9.5</v>
      </c>
    </row>
    <row r="6" spans="1:5" x14ac:dyDescent="0.25">
      <c r="A6" t="str">
        <f>'Interpreted Data'!A6</f>
        <v>C</v>
      </c>
      <c r="B6" t="str">
        <f>'Interpreted Data'!B6</f>
        <v>D</v>
      </c>
      <c r="C6" s="2">
        <f>'Interpreted Data'!J6</f>
        <v>37</v>
      </c>
      <c r="D6" s="9" t="str">
        <f>'Interpreted Data'!I6</f>
        <v>263</v>
      </c>
      <c r="E6" s="10">
        <f>'Interpreted Data'!K6</f>
        <v>2.3234386110520671</v>
      </c>
    </row>
    <row r="7" spans="1:5" x14ac:dyDescent="0.25">
      <c r="A7" t="str">
        <f>'Interpreted Data'!A7</f>
        <v>D</v>
      </c>
      <c r="B7" t="str">
        <f>'Interpreted Data'!B7</f>
        <v>E</v>
      </c>
      <c r="C7" s="2">
        <f>'Interpreted Data'!J7</f>
        <v>16.2</v>
      </c>
      <c r="D7" s="9" t="str">
        <f>'Interpreted Data'!I7</f>
        <v>192:30</v>
      </c>
      <c r="E7" s="10">
        <f>'Interpreted Data'!K7</f>
        <v>4.3</v>
      </c>
    </row>
    <row r="8" spans="1:5" x14ac:dyDescent="0.25">
      <c r="A8" t="str">
        <f>'Interpreted Data'!A8</f>
        <v>E</v>
      </c>
      <c r="B8" t="str">
        <f>'Interpreted Data'!B8</f>
        <v>F</v>
      </c>
      <c r="C8" s="2">
        <f>'Interpreted Data'!J8</f>
        <v>47</v>
      </c>
      <c r="D8" s="9" t="str">
        <f>'Interpreted Data'!I8</f>
        <v>258</v>
      </c>
      <c r="E8" s="10">
        <f>'Interpreted Data'!K8</f>
        <v>-5.3</v>
      </c>
    </row>
    <row r="9" spans="1:5" x14ac:dyDescent="0.25">
      <c r="A9" t="str">
        <f>'Interpreted Data'!A9</f>
        <v>F</v>
      </c>
      <c r="B9" t="str">
        <f>'Interpreted Data'!B9</f>
        <v>G</v>
      </c>
      <c r="C9" s="2">
        <f>'Interpreted Data'!J9</f>
        <v>48</v>
      </c>
      <c r="D9" s="9" t="str">
        <f>'Interpreted Data'!I9</f>
        <v>292</v>
      </c>
      <c r="E9" s="10">
        <f>'Interpreted Data'!K9</f>
        <v>-2.9855060057465379</v>
      </c>
    </row>
    <row r="10" spans="1:5" x14ac:dyDescent="0.25">
      <c r="A10" t="str">
        <f>'Interpreted Data'!A10</f>
        <v>G</v>
      </c>
      <c r="B10" t="str">
        <f>'Interpreted Data'!B10</f>
        <v>H</v>
      </c>
      <c r="C10" s="2">
        <f>'Interpreted Data'!J10</f>
        <v>36</v>
      </c>
      <c r="D10" s="9" t="str">
        <f>'Interpreted Data'!I10</f>
        <v>339</v>
      </c>
      <c r="E10" s="10">
        <f>'Interpreted Data'!K10</f>
        <v>0</v>
      </c>
    </row>
    <row r="11" spans="1:5" x14ac:dyDescent="0.25">
      <c r="A11" t="str">
        <f>'Interpreted Data'!A11</f>
        <v>H</v>
      </c>
      <c r="B11" t="str">
        <f>'Interpreted Data'!B11</f>
        <v>I</v>
      </c>
      <c r="C11" s="2">
        <f>'Interpreted Data'!J11</f>
        <v>31</v>
      </c>
      <c r="D11" s="9" t="str">
        <f>'Interpreted Data'!I11</f>
        <v>247</v>
      </c>
      <c r="E11" s="10">
        <f>'Interpreted Data'!K11</f>
        <v>-2.2999999999999998</v>
      </c>
    </row>
    <row r="12" spans="1:5" x14ac:dyDescent="0.25">
      <c r="A12" t="str">
        <f>'Interpreted Data'!A12</f>
        <v>I</v>
      </c>
      <c r="B12" t="str">
        <f>'Interpreted Data'!B12</f>
        <v>J</v>
      </c>
      <c r="C12" s="2">
        <f>'Interpreted Data'!J12</f>
        <v>26</v>
      </c>
      <c r="D12" s="9" t="str">
        <f>'Interpreted Data'!I12</f>
        <v>275</v>
      </c>
      <c r="E12" s="10">
        <f>'Interpreted Data'!K12</f>
        <v>2</v>
      </c>
    </row>
    <row r="13" spans="1:5" x14ac:dyDescent="0.25">
      <c r="A13" t="str">
        <f>'Interpreted Data'!A13</f>
        <v>J</v>
      </c>
      <c r="B13" t="str">
        <f>'Interpreted Data'!B13</f>
        <v>K</v>
      </c>
      <c r="C13" s="2">
        <f>'Interpreted Data'!J13</f>
        <v>26.5</v>
      </c>
      <c r="D13" s="9" t="str">
        <f>'Interpreted Data'!I13</f>
        <v>320</v>
      </c>
      <c r="E13" s="10">
        <f>'Interpreted Data'!K13</f>
        <v>1</v>
      </c>
    </row>
    <row r="14" spans="1:5" x14ac:dyDescent="0.25">
      <c r="A14" t="str">
        <f>'Interpreted Data'!A14</f>
        <v>K</v>
      </c>
      <c r="B14" t="str">
        <f>'Interpreted Data'!B14</f>
        <v>L</v>
      </c>
      <c r="C14" s="2">
        <f>'Interpreted Data'!J14</f>
        <v>17.5</v>
      </c>
      <c r="D14" s="9" t="str">
        <f>'Interpreted Data'!I14</f>
        <v>13</v>
      </c>
      <c r="E14" s="10">
        <f>'Interpreted Data'!K14</f>
        <v>-9</v>
      </c>
    </row>
    <row r="15" spans="1:5" x14ac:dyDescent="0.25">
      <c r="A15" t="str">
        <f>'Interpreted Data'!A15</f>
        <v>L</v>
      </c>
      <c r="B15" t="str">
        <f>'Interpreted Data'!B15</f>
        <v>M</v>
      </c>
      <c r="C15" s="2">
        <f>'Interpreted Data'!J15</f>
        <v>33</v>
      </c>
      <c r="D15" s="9" t="str">
        <f>'Interpreted Data'!I15</f>
        <v>299</v>
      </c>
      <c r="E15" s="10">
        <f>'Interpreted Data'!K15</f>
        <v>-3</v>
      </c>
    </row>
    <row r="16" spans="1:5" x14ac:dyDescent="0.25">
      <c r="A16" t="str">
        <f>'Interpreted Data'!A16</f>
        <v>M</v>
      </c>
      <c r="B16" t="str">
        <f>'Interpreted Data'!B16</f>
        <v>N</v>
      </c>
      <c r="C16" s="2">
        <f>'Interpreted Data'!J16</f>
        <v>43</v>
      </c>
      <c r="D16" s="9" t="str">
        <f>'Interpreted Data'!I16</f>
        <v>322</v>
      </c>
      <c r="E16" s="10">
        <f>'Interpreted Data'!K16</f>
        <v>-7.3</v>
      </c>
    </row>
    <row r="17" spans="1:5" x14ac:dyDescent="0.25">
      <c r="A17" t="str">
        <f>'Interpreted Data'!A17</f>
        <v>N</v>
      </c>
      <c r="B17" t="str">
        <f>'Interpreted Data'!B17</f>
        <v>O</v>
      </c>
      <c r="C17" s="2">
        <f>'Interpreted Data'!J17</f>
        <v>15.5</v>
      </c>
      <c r="D17" s="9" t="str">
        <f>'Interpreted Data'!I17</f>
        <v>281</v>
      </c>
      <c r="E17" s="10">
        <f>'Interpreted Data'!K17</f>
        <v>-2</v>
      </c>
    </row>
    <row r="18" spans="1:5" x14ac:dyDescent="0.25">
      <c r="A18" t="str">
        <f>'Interpreted Data'!A18</f>
        <v>O</v>
      </c>
      <c r="B18" t="str">
        <f>'Interpreted Data'!B18</f>
        <v>P</v>
      </c>
      <c r="C18" s="2">
        <f>'Interpreted Data'!J18</f>
        <v>56</v>
      </c>
      <c r="D18" s="9" t="str">
        <f>'Interpreted Data'!I18</f>
        <v>307</v>
      </c>
      <c r="E18" s="10">
        <f>'Interpreted Data'!K18</f>
        <v>-5</v>
      </c>
    </row>
    <row r="19" spans="1:5" x14ac:dyDescent="0.25">
      <c r="A19" t="str">
        <f>'Interpreted Data'!A19</f>
        <v>P</v>
      </c>
      <c r="B19" t="str">
        <f>'Interpreted Data'!B19</f>
        <v>Q</v>
      </c>
      <c r="C19" s="2">
        <f>'Interpreted Data'!J19</f>
        <v>15.8</v>
      </c>
      <c r="D19" s="9" t="str">
        <f>'Interpreted Data'!I19</f>
        <v>283</v>
      </c>
      <c r="E19" s="10">
        <f>'Interpreted Data'!K19</f>
        <v>-0.15</v>
      </c>
    </row>
    <row r="20" spans="1:5" x14ac:dyDescent="0.25">
      <c r="A20" t="str">
        <f>'Interpreted Data'!A20</f>
        <v>Q</v>
      </c>
      <c r="B20" t="str">
        <f>'Interpreted Data'!B20</f>
        <v>R</v>
      </c>
      <c r="C20" s="2">
        <f>'Interpreted Data'!J20</f>
        <v>15.3</v>
      </c>
      <c r="D20" s="9" t="str">
        <f>'Interpreted Data'!I20</f>
        <v>217</v>
      </c>
      <c r="E20" s="10">
        <f>'Interpreted Data'!K20</f>
        <v>-15.155399662290439</v>
      </c>
    </row>
    <row r="21" spans="1:5" x14ac:dyDescent="0.25">
      <c r="A21" t="str">
        <f>'Interpreted Data'!A21</f>
        <v>R</v>
      </c>
      <c r="B21" t="str">
        <f>'Interpreted Data'!B21</f>
        <v>S</v>
      </c>
      <c r="C21" s="2">
        <f>'Interpreted Data'!J21</f>
        <v>39.5</v>
      </c>
      <c r="D21" s="9" t="str">
        <f>'Interpreted Data'!I21</f>
        <v>310</v>
      </c>
      <c r="E21" s="10">
        <f>'Interpreted Data'!K21</f>
        <v>5.8120668348260685</v>
      </c>
    </row>
    <row r="22" spans="1:5" x14ac:dyDescent="0.25">
      <c r="A22" t="str">
        <f>'Interpreted Data'!A22</f>
        <v>S</v>
      </c>
      <c r="B22" t="str">
        <f>'Interpreted Data'!B22</f>
        <v>T</v>
      </c>
      <c r="C22" s="2">
        <f>'Interpreted Data'!J22</f>
        <v>39.6</v>
      </c>
      <c r="D22" s="9" t="str">
        <f>'Interpreted Data'!I22</f>
        <v>238</v>
      </c>
      <c r="E22" s="10">
        <f>'Interpreted Data'!K22</f>
        <v>-2.7</v>
      </c>
    </row>
    <row r="23" spans="1:5" x14ac:dyDescent="0.25">
      <c r="A23" t="str">
        <f>'Interpreted Data'!A23</f>
        <v>T</v>
      </c>
      <c r="B23" t="str">
        <f>'Interpreted Data'!B23</f>
        <v>U</v>
      </c>
      <c r="C23" s="2">
        <f>'Interpreted Data'!J23</f>
        <v>49</v>
      </c>
      <c r="D23" s="9" t="str">
        <f>'Interpreted Data'!I23</f>
        <v>148</v>
      </c>
      <c r="E23" s="10">
        <f>'Interpreted Data'!K23</f>
        <v>-1.9882117515894562</v>
      </c>
    </row>
    <row r="24" spans="1:5" x14ac:dyDescent="0.25">
      <c r="A24" t="str">
        <f>'Interpreted Data'!A24</f>
        <v>U</v>
      </c>
      <c r="B24" t="str">
        <f>'Interpreted Data'!B24</f>
        <v/>
      </c>
      <c r="C24" s="2" t="str">
        <f>'Interpreted Data'!J24</f>
        <v/>
      </c>
      <c r="D24" s="9" t="str">
        <f>'Interpreted Data'!I24</f>
        <v/>
      </c>
      <c r="E24" s="10" t="str">
        <f>'Interpreted Data'!K24</f>
        <v/>
      </c>
    </row>
    <row r="25" spans="1:5" x14ac:dyDescent="0.25">
      <c r="C25" s="2"/>
      <c r="D25" s="9"/>
      <c r="E25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Interpreted Data</vt:lpstr>
      <vt:lpstr>Survex Formatted</vt:lpstr>
      <vt:lpstr>Therion Formatted</vt:lpstr>
    </vt:vector>
  </TitlesOfParts>
  <Company>Accelrys Software, Inc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Fretwell</dc:creator>
  <cp:lastModifiedBy>Paul Fretwell</cp:lastModifiedBy>
  <dcterms:created xsi:type="dcterms:W3CDTF">2012-06-12T12:05:34Z</dcterms:created>
  <dcterms:modified xsi:type="dcterms:W3CDTF">2012-06-14T14:51:15Z</dcterms:modified>
</cp:coreProperties>
</file>