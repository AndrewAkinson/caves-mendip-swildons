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2995" windowHeight="9975" activeTab="3"/>
  </bookViews>
  <sheets>
    <sheet name="Raw Data" sheetId="1" r:id="rId1"/>
    <sheet name="Interpreted Data" sheetId="2" r:id="rId2"/>
    <sheet name="Survex Formatted" sheetId="3" r:id="rId3"/>
    <sheet name="Therion Formatted" sheetId="4" r:id="rId4"/>
  </sheets>
  <calcPr calcId="145621"/>
</workbook>
</file>

<file path=xl/calcChain.xml><?xml version="1.0" encoding="utf-8"?>
<calcChain xmlns="http://schemas.openxmlformats.org/spreadsheetml/2006/main">
  <c r="J68" i="2" l="1"/>
  <c r="J69" i="2"/>
  <c r="J70" i="2"/>
  <c r="J71" i="2"/>
  <c r="C71" i="3" s="1"/>
  <c r="J72" i="2"/>
  <c r="J73" i="2"/>
  <c r="J74" i="2"/>
  <c r="J75" i="2"/>
  <c r="W75" i="2" s="1"/>
  <c r="J76" i="2"/>
  <c r="J77" i="2"/>
  <c r="J78" i="2"/>
  <c r="C78" i="3" s="1"/>
  <c r="J79" i="2"/>
  <c r="C79" i="3" s="1"/>
  <c r="J80" i="2"/>
  <c r="J81" i="2"/>
  <c r="C81" i="3" s="1"/>
  <c r="J82" i="2"/>
  <c r="W82" i="2" s="1"/>
  <c r="J83" i="2"/>
  <c r="C83" i="3" s="1"/>
  <c r="J84" i="2"/>
  <c r="J85" i="2"/>
  <c r="C85" i="3" s="1"/>
  <c r="J86" i="2"/>
  <c r="C86" i="3" s="1"/>
  <c r="J87" i="2"/>
  <c r="C87" i="3" s="1"/>
  <c r="J88" i="2"/>
  <c r="J89" i="2"/>
  <c r="J90" i="2"/>
  <c r="W90" i="2" s="1"/>
  <c r="J91" i="2"/>
  <c r="J92" i="2"/>
  <c r="J93" i="2"/>
  <c r="J94" i="2"/>
  <c r="J95" i="2"/>
  <c r="C95" i="3" s="1"/>
  <c r="J96" i="2"/>
  <c r="J97" i="2"/>
  <c r="C97" i="3" s="1"/>
  <c r="J98" i="2"/>
  <c r="C98" i="3" s="1"/>
  <c r="J99" i="2"/>
  <c r="C99" i="3" s="1"/>
  <c r="J100" i="2"/>
  <c r="J101" i="2"/>
  <c r="J102" i="2"/>
  <c r="J103" i="2"/>
  <c r="J104" i="2"/>
  <c r="J105" i="2"/>
  <c r="W105" i="2" s="1"/>
  <c r="J106" i="2"/>
  <c r="W106" i="2" s="1"/>
  <c r="J107" i="2"/>
  <c r="C107" i="3" s="1"/>
  <c r="J108" i="2"/>
  <c r="J109" i="2"/>
  <c r="C109" i="3" s="1"/>
  <c r="J110" i="2"/>
  <c r="C110" i="3" s="1"/>
  <c r="J111" i="2"/>
  <c r="C111" i="3" s="1"/>
  <c r="J112" i="2"/>
  <c r="J113" i="2"/>
  <c r="W113" i="2" s="1"/>
  <c r="J114" i="2"/>
  <c r="C114" i="3" s="1"/>
  <c r="J115" i="2"/>
  <c r="C115" i="3" s="1"/>
  <c r="J116" i="2"/>
  <c r="J117" i="2"/>
  <c r="J118" i="2"/>
  <c r="J119" i="2"/>
  <c r="C119" i="3" s="1"/>
  <c r="J58" i="2"/>
  <c r="J59" i="2"/>
  <c r="J60" i="2"/>
  <c r="J61" i="2"/>
  <c r="J62" i="2"/>
  <c r="J63" i="2"/>
  <c r="J64" i="2"/>
  <c r="U64" i="2" s="1"/>
  <c r="E64" i="3" s="1"/>
  <c r="J65" i="2"/>
  <c r="C65" i="3" s="1"/>
  <c r="J66" i="2"/>
  <c r="J67" i="2"/>
  <c r="J25" i="2"/>
  <c r="J26" i="2"/>
  <c r="J27" i="2"/>
  <c r="W27" i="2" s="1"/>
  <c r="J28" i="2"/>
  <c r="J29" i="2"/>
  <c r="J30" i="2"/>
  <c r="J31" i="2"/>
  <c r="C31" i="3" s="1"/>
  <c r="J32" i="2"/>
  <c r="U32" i="2" s="1"/>
  <c r="J33" i="2"/>
  <c r="J34" i="2"/>
  <c r="J35" i="2"/>
  <c r="J36" i="2"/>
  <c r="C36" i="3" s="1"/>
  <c r="J37" i="2"/>
  <c r="J38" i="2"/>
  <c r="J39" i="2"/>
  <c r="C39" i="3" s="1"/>
  <c r="J40" i="2"/>
  <c r="C40" i="3" s="1"/>
  <c r="J41" i="2"/>
  <c r="J42" i="2"/>
  <c r="J43" i="2"/>
  <c r="C43" i="3" s="1"/>
  <c r="J44" i="2"/>
  <c r="C44" i="3" s="1"/>
  <c r="J45" i="2"/>
  <c r="J46" i="2"/>
  <c r="J47" i="2"/>
  <c r="J48" i="2"/>
  <c r="U48" i="2" s="1"/>
  <c r="E48" i="3" s="1"/>
  <c r="J49" i="2"/>
  <c r="J50" i="2"/>
  <c r="J51" i="2"/>
  <c r="J52" i="2"/>
  <c r="J53" i="2"/>
  <c r="J54" i="2"/>
  <c r="J55" i="2"/>
  <c r="C55" i="3" s="1"/>
  <c r="J56" i="2"/>
  <c r="C56" i="3" s="1"/>
  <c r="J57" i="2"/>
  <c r="J8" i="2"/>
  <c r="J9" i="2"/>
  <c r="J10" i="2"/>
  <c r="U10" i="2" s="1"/>
  <c r="E10" i="3" s="1"/>
  <c r="J11" i="2"/>
  <c r="U11" i="2" s="1"/>
  <c r="E11" i="3" s="1"/>
  <c r="J12" i="2"/>
  <c r="J13" i="2"/>
  <c r="J14" i="2"/>
  <c r="J15" i="2"/>
  <c r="C15" i="3" s="1"/>
  <c r="J16" i="2"/>
  <c r="J17" i="2"/>
  <c r="J18" i="2"/>
  <c r="J19" i="2"/>
  <c r="C19" i="3" s="1"/>
  <c r="J20" i="2"/>
  <c r="J21" i="2"/>
  <c r="J22" i="2"/>
  <c r="J23" i="2"/>
  <c r="C23" i="3" s="1"/>
  <c r="J24" i="2"/>
  <c r="J5" i="2"/>
  <c r="J6" i="2"/>
  <c r="J7" i="2"/>
  <c r="U21" i="2"/>
  <c r="E21" i="3" s="1"/>
  <c r="U22" i="2"/>
  <c r="E22" i="3" s="1"/>
  <c r="C28" i="3"/>
  <c r="C13" i="3"/>
  <c r="C14" i="3"/>
  <c r="C18" i="3"/>
  <c r="O139" i="4"/>
  <c r="O135" i="4"/>
  <c r="J138" i="4"/>
  <c r="J134" i="4"/>
  <c r="J140" i="4"/>
  <c r="J136" i="4"/>
  <c r="J120" i="4"/>
  <c r="J104" i="4"/>
  <c r="J88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5" i="4"/>
  <c r="I137" i="4"/>
  <c r="I139" i="4"/>
  <c r="I141" i="4"/>
  <c r="I142" i="4"/>
  <c r="I143" i="4"/>
  <c r="I144" i="4"/>
  <c r="A90" i="4"/>
  <c r="J90" i="4" s="1"/>
  <c r="B90" i="4"/>
  <c r="K90" i="4" s="1"/>
  <c r="C90" i="4"/>
  <c r="L90" i="4" s="1"/>
  <c r="D90" i="4"/>
  <c r="M90" i="4" s="1"/>
  <c r="E90" i="4"/>
  <c r="N90" i="4" s="1"/>
  <c r="F90" i="4"/>
  <c r="G90" i="4"/>
  <c r="H90" i="4"/>
  <c r="P90" i="4" s="1"/>
  <c r="A91" i="4"/>
  <c r="B91" i="4"/>
  <c r="K91" i="4" s="1"/>
  <c r="C91" i="4"/>
  <c r="L91" i="4" s="1"/>
  <c r="D91" i="4"/>
  <c r="M91" i="4" s="1"/>
  <c r="E91" i="4"/>
  <c r="N91" i="4" s="1"/>
  <c r="F91" i="4"/>
  <c r="G91" i="4"/>
  <c r="H91" i="4"/>
  <c r="P91" i="4" s="1"/>
  <c r="J91" i="4"/>
  <c r="A92" i="4"/>
  <c r="J92" i="4" s="1"/>
  <c r="B92" i="4"/>
  <c r="K92" i="4" s="1"/>
  <c r="C92" i="4"/>
  <c r="L92" i="4" s="1"/>
  <c r="D92" i="4"/>
  <c r="M92" i="4" s="1"/>
  <c r="E92" i="4"/>
  <c r="N92" i="4" s="1"/>
  <c r="F92" i="4"/>
  <c r="G92" i="4"/>
  <c r="H92" i="4"/>
  <c r="P92" i="4" s="1"/>
  <c r="A93" i="4"/>
  <c r="B93" i="4"/>
  <c r="C93" i="4"/>
  <c r="D93" i="4"/>
  <c r="M93" i="4" s="1"/>
  <c r="E93" i="4"/>
  <c r="N93" i="4" s="1"/>
  <c r="F93" i="4"/>
  <c r="G93" i="4"/>
  <c r="H93" i="4"/>
  <c r="P93" i="4" s="1"/>
  <c r="J93" i="4"/>
  <c r="K93" i="4"/>
  <c r="L93" i="4"/>
  <c r="A94" i="4"/>
  <c r="B94" i="4"/>
  <c r="C94" i="4"/>
  <c r="D94" i="4"/>
  <c r="M94" i="4" s="1"/>
  <c r="E94" i="4"/>
  <c r="F94" i="4"/>
  <c r="G94" i="4"/>
  <c r="H94" i="4"/>
  <c r="P94" i="4" s="1"/>
  <c r="J94" i="4"/>
  <c r="K94" i="4"/>
  <c r="L94" i="4"/>
  <c r="N94" i="4"/>
  <c r="A95" i="4"/>
  <c r="B95" i="4"/>
  <c r="C95" i="4"/>
  <c r="D95" i="4"/>
  <c r="E95" i="4"/>
  <c r="F95" i="4"/>
  <c r="G95" i="4"/>
  <c r="H95" i="4"/>
  <c r="P95" i="4" s="1"/>
  <c r="J95" i="4"/>
  <c r="K95" i="4"/>
  <c r="L95" i="4"/>
  <c r="M95" i="4"/>
  <c r="N95" i="4"/>
  <c r="A96" i="4"/>
  <c r="B96" i="4"/>
  <c r="K96" i="4" s="1"/>
  <c r="C96" i="4"/>
  <c r="D96" i="4"/>
  <c r="E96" i="4"/>
  <c r="N96" i="4" s="1"/>
  <c r="F96" i="4"/>
  <c r="G96" i="4"/>
  <c r="H96" i="4"/>
  <c r="P96" i="4" s="1"/>
  <c r="J96" i="4"/>
  <c r="L96" i="4"/>
  <c r="M96" i="4"/>
  <c r="A97" i="4"/>
  <c r="B97" i="4"/>
  <c r="C97" i="4"/>
  <c r="D97" i="4"/>
  <c r="E97" i="4"/>
  <c r="F97" i="4"/>
  <c r="G97" i="4"/>
  <c r="H97" i="4"/>
  <c r="P97" i="4" s="1"/>
  <c r="J97" i="4"/>
  <c r="K97" i="4"/>
  <c r="L97" i="4"/>
  <c r="M97" i="4"/>
  <c r="N97" i="4"/>
  <c r="A98" i="4"/>
  <c r="B98" i="4"/>
  <c r="C98" i="4"/>
  <c r="D98" i="4"/>
  <c r="E98" i="4"/>
  <c r="N98" i="4" s="1"/>
  <c r="F98" i="4"/>
  <c r="G98" i="4"/>
  <c r="H98" i="4"/>
  <c r="P98" i="4" s="1"/>
  <c r="J98" i="4"/>
  <c r="K98" i="4"/>
  <c r="L98" i="4"/>
  <c r="M98" i="4"/>
  <c r="A99" i="4"/>
  <c r="B99" i="4"/>
  <c r="C99" i="4"/>
  <c r="D99" i="4"/>
  <c r="E99" i="4"/>
  <c r="F99" i="4"/>
  <c r="G99" i="4"/>
  <c r="H99" i="4"/>
  <c r="P99" i="4" s="1"/>
  <c r="J99" i="4"/>
  <c r="K99" i="4"/>
  <c r="L99" i="4"/>
  <c r="M99" i="4"/>
  <c r="N99" i="4"/>
  <c r="A100" i="4"/>
  <c r="B100" i="4"/>
  <c r="C100" i="4"/>
  <c r="L100" i="4" s="1"/>
  <c r="D100" i="4"/>
  <c r="M100" i="4" s="1"/>
  <c r="E100" i="4"/>
  <c r="N100" i="4" s="1"/>
  <c r="F100" i="4"/>
  <c r="G100" i="4"/>
  <c r="H100" i="4"/>
  <c r="P100" i="4" s="1"/>
  <c r="J100" i="4"/>
  <c r="K100" i="4"/>
  <c r="A101" i="4"/>
  <c r="B101" i="4"/>
  <c r="C101" i="4"/>
  <c r="D101" i="4"/>
  <c r="M101" i="4" s="1"/>
  <c r="E101" i="4"/>
  <c r="N101" i="4" s="1"/>
  <c r="F101" i="4"/>
  <c r="O101" i="4" s="1"/>
  <c r="G101" i="4"/>
  <c r="H101" i="4"/>
  <c r="K101" i="4"/>
  <c r="P101" i="4"/>
  <c r="A102" i="4"/>
  <c r="B102" i="4"/>
  <c r="C102" i="4"/>
  <c r="D102" i="4"/>
  <c r="M102" i="4" s="1"/>
  <c r="E102" i="4"/>
  <c r="N102" i="4" s="1"/>
  <c r="F102" i="4"/>
  <c r="O102" i="4" s="1"/>
  <c r="G102" i="4"/>
  <c r="H102" i="4"/>
  <c r="P102" i="4" s="1"/>
  <c r="A103" i="4"/>
  <c r="J103" i="4" s="1"/>
  <c r="B103" i="4"/>
  <c r="K103" i="4" s="1"/>
  <c r="C103" i="4"/>
  <c r="D103" i="4"/>
  <c r="M103" i="4" s="1"/>
  <c r="E103" i="4"/>
  <c r="F103" i="4"/>
  <c r="O103" i="4" s="1"/>
  <c r="G103" i="4"/>
  <c r="H103" i="4"/>
  <c r="P103" i="4" s="1"/>
  <c r="N103" i="4"/>
  <c r="A105" i="4"/>
  <c r="B105" i="4"/>
  <c r="C105" i="4"/>
  <c r="D105" i="4"/>
  <c r="E105" i="4"/>
  <c r="F105" i="4"/>
  <c r="G105" i="4"/>
  <c r="H105" i="4"/>
  <c r="P105" i="4" s="1"/>
  <c r="J105" i="4"/>
  <c r="K105" i="4"/>
  <c r="L105" i="4"/>
  <c r="M105" i="4"/>
  <c r="N105" i="4"/>
  <c r="A106" i="4"/>
  <c r="J106" i="4" s="1"/>
  <c r="B106" i="4"/>
  <c r="K106" i="4" s="1"/>
  <c r="C106" i="4"/>
  <c r="L106" i="4" s="1"/>
  <c r="D106" i="4"/>
  <c r="M106" i="4" s="1"/>
  <c r="E106" i="4"/>
  <c r="F106" i="4"/>
  <c r="O106" i="4" s="1"/>
  <c r="G106" i="4"/>
  <c r="H106" i="4"/>
  <c r="P106" i="4" s="1"/>
  <c r="N106" i="4"/>
  <c r="A107" i="4"/>
  <c r="B107" i="4"/>
  <c r="C107" i="4"/>
  <c r="D107" i="4"/>
  <c r="M107" i="4" s="1"/>
  <c r="E107" i="4"/>
  <c r="N107" i="4" s="1"/>
  <c r="F107" i="4"/>
  <c r="G107" i="4"/>
  <c r="H107" i="4"/>
  <c r="P107" i="4" s="1"/>
  <c r="J107" i="4"/>
  <c r="K107" i="4"/>
  <c r="L107" i="4"/>
  <c r="A108" i="4"/>
  <c r="B108" i="4"/>
  <c r="C108" i="4"/>
  <c r="D108" i="4"/>
  <c r="M108" i="4" s="1"/>
  <c r="E108" i="4"/>
  <c r="N108" i="4" s="1"/>
  <c r="F108" i="4"/>
  <c r="G108" i="4"/>
  <c r="H108" i="4"/>
  <c r="P108" i="4" s="1"/>
  <c r="J108" i="4"/>
  <c r="K108" i="4"/>
  <c r="L108" i="4"/>
  <c r="A109" i="4"/>
  <c r="J109" i="4" s="1"/>
  <c r="B109" i="4"/>
  <c r="K109" i="4" s="1"/>
  <c r="C109" i="4"/>
  <c r="L109" i="4" s="1"/>
  <c r="D109" i="4"/>
  <c r="M109" i="4" s="1"/>
  <c r="E109" i="4"/>
  <c r="N109" i="4" s="1"/>
  <c r="F109" i="4"/>
  <c r="G109" i="4"/>
  <c r="H109" i="4"/>
  <c r="P109" i="4" s="1"/>
  <c r="A110" i="4"/>
  <c r="B110" i="4"/>
  <c r="K110" i="4" s="1"/>
  <c r="C110" i="4"/>
  <c r="L110" i="4" s="1"/>
  <c r="D110" i="4"/>
  <c r="M110" i="4" s="1"/>
  <c r="E110" i="4"/>
  <c r="N110" i="4" s="1"/>
  <c r="F110" i="4"/>
  <c r="G110" i="4"/>
  <c r="H110" i="4"/>
  <c r="P110" i="4" s="1"/>
  <c r="J110" i="4"/>
  <c r="A111" i="4"/>
  <c r="B111" i="4"/>
  <c r="K111" i="4" s="1"/>
  <c r="C111" i="4"/>
  <c r="L111" i="4" s="1"/>
  <c r="D111" i="4"/>
  <c r="E111" i="4"/>
  <c r="N111" i="4" s="1"/>
  <c r="F111" i="4"/>
  <c r="G111" i="4"/>
  <c r="H111" i="4"/>
  <c r="P111" i="4" s="1"/>
  <c r="J111" i="4"/>
  <c r="M111" i="4"/>
  <c r="A112" i="4"/>
  <c r="B112" i="4"/>
  <c r="C112" i="4"/>
  <c r="D112" i="4"/>
  <c r="M112" i="4" s="1"/>
  <c r="E112" i="4"/>
  <c r="N112" i="4" s="1"/>
  <c r="F112" i="4"/>
  <c r="G112" i="4"/>
  <c r="H112" i="4"/>
  <c r="P112" i="4" s="1"/>
  <c r="J112" i="4"/>
  <c r="K112" i="4"/>
  <c r="L112" i="4"/>
  <c r="A113" i="4"/>
  <c r="J113" i="4" s="1"/>
  <c r="B113" i="4"/>
  <c r="K113" i="4" s="1"/>
  <c r="C113" i="4"/>
  <c r="L113" i="4" s="1"/>
  <c r="D113" i="4"/>
  <c r="M113" i="4" s="1"/>
  <c r="E113" i="4"/>
  <c r="N113" i="4" s="1"/>
  <c r="F113" i="4"/>
  <c r="G113" i="4"/>
  <c r="H113" i="4"/>
  <c r="P113" i="4" s="1"/>
  <c r="A114" i="4"/>
  <c r="J114" i="4" s="1"/>
  <c r="B114" i="4"/>
  <c r="C114" i="4"/>
  <c r="L114" i="4" s="1"/>
  <c r="D114" i="4"/>
  <c r="E114" i="4"/>
  <c r="N114" i="4" s="1"/>
  <c r="F114" i="4"/>
  <c r="G114" i="4"/>
  <c r="H114" i="4"/>
  <c r="P114" i="4" s="1"/>
  <c r="K114" i="4"/>
  <c r="M114" i="4"/>
  <c r="A115" i="4"/>
  <c r="B115" i="4"/>
  <c r="C115" i="4"/>
  <c r="D115" i="4"/>
  <c r="E115" i="4"/>
  <c r="N115" i="4" s="1"/>
  <c r="F115" i="4"/>
  <c r="G115" i="4"/>
  <c r="H115" i="4"/>
  <c r="P115" i="4" s="1"/>
  <c r="J115" i="4"/>
  <c r="K115" i="4"/>
  <c r="L115" i="4"/>
  <c r="M115" i="4"/>
  <c r="A116" i="4"/>
  <c r="J116" i="4" s="1"/>
  <c r="B116" i="4"/>
  <c r="C116" i="4"/>
  <c r="L116" i="4" s="1"/>
  <c r="D116" i="4"/>
  <c r="M116" i="4" s="1"/>
  <c r="E116" i="4"/>
  <c r="N116" i="4" s="1"/>
  <c r="F116" i="4"/>
  <c r="G116" i="4"/>
  <c r="H116" i="4"/>
  <c r="P116" i="4" s="1"/>
  <c r="K116" i="4"/>
  <c r="A117" i="4"/>
  <c r="B117" i="4"/>
  <c r="C117" i="4"/>
  <c r="D117" i="4"/>
  <c r="M117" i="4" s="1"/>
  <c r="E117" i="4"/>
  <c r="N117" i="4" s="1"/>
  <c r="F117" i="4"/>
  <c r="O117" i="4" s="1"/>
  <c r="G117" i="4"/>
  <c r="H117" i="4"/>
  <c r="P117" i="4" s="1"/>
  <c r="K117" i="4"/>
  <c r="A118" i="4"/>
  <c r="B118" i="4"/>
  <c r="C118" i="4"/>
  <c r="D118" i="4"/>
  <c r="M118" i="4" s="1"/>
  <c r="E118" i="4"/>
  <c r="N118" i="4" s="1"/>
  <c r="F118" i="4"/>
  <c r="O118" i="4" s="1"/>
  <c r="G118" i="4"/>
  <c r="H118" i="4"/>
  <c r="P118" i="4" s="1"/>
  <c r="A119" i="4"/>
  <c r="B119" i="4"/>
  <c r="C119" i="4"/>
  <c r="D119" i="4"/>
  <c r="M119" i="4" s="1"/>
  <c r="E119" i="4"/>
  <c r="N119" i="4" s="1"/>
  <c r="F119" i="4"/>
  <c r="O119" i="4" s="1"/>
  <c r="G119" i="4"/>
  <c r="H119" i="4"/>
  <c r="P119" i="4" s="1"/>
  <c r="J119" i="4"/>
  <c r="K119" i="4"/>
  <c r="A121" i="4"/>
  <c r="B121" i="4"/>
  <c r="C121" i="4"/>
  <c r="L121" i="4" s="1"/>
  <c r="D121" i="4"/>
  <c r="M121" i="4" s="1"/>
  <c r="E121" i="4"/>
  <c r="N121" i="4" s="1"/>
  <c r="F121" i="4"/>
  <c r="G121" i="4"/>
  <c r="H121" i="4"/>
  <c r="P121" i="4" s="1"/>
  <c r="J121" i="4"/>
  <c r="K121" i="4"/>
  <c r="A122" i="4"/>
  <c r="B122" i="4"/>
  <c r="C122" i="4"/>
  <c r="D122" i="4"/>
  <c r="E122" i="4"/>
  <c r="N122" i="4" s="1"/>
  <c r="F122" i="4"/>
  <c r="G122" i="4"/>
  <c r="H122" i="4"/>
  <c r="P122" i="4" s="1"/>
  <c r="J122" i="4"/>
  <c r="K122" i="4"/>
  <c r="L122" i="4"/>
  <c r="M122" i="4"/>
  <c r="A123" i="4"/>
  <c r="B123" i="4"/>
  <c r="C123" i="4"/>
  <c r="L123" i="4" s="1"/>
  <c r="D123" i="4"/>
  <c r="M123" i="4" s="1"/>
  <c r="E123" i="4"/>
  <c r="F123" i="4"/>
  <c r="G123" i="4"/>
  <c r="H123" i="4"/>
  <c r="P123" i="4" s="1"/>
  <c r="J123" i="4"/>
  <c r="K123" i="4"/>
  <c r="A124" i="4"/>
  <c r="B124" i="4"/>
  <c r="C124" i="4"/>
  <c r="D124" i="4"/>
  <c r="E124" i="4"/>
  <c r="F124" i="4"/>
  <c r="G124" i="4"/>
  <c r="H124" i="4"/>
  <c r="P124" i="4" s="1"/>
  <c r="J124" i="4"/>
  <c r="K124" i="4"/>
  <c r="L124" i="4"/>
  <c r="M124" i="4"/>
  <c r="N124" i="4"/>
  <c r="A125" i="4"/>
  <c r="B125" i="4"/>
  <c r="C125" i="4"/>
  <c r="D125" i="4"/>
  <c r="M125" i="4" s="1"/>
  <c r="E125" i="4"/>
  <c r="N125" i="4" s="1"/>
  <c r="F125" i="4"/>
  <c r="G125" i="4"/>
  <c r="H125" i="4"/>
  <c r="P125" i="4" s="1"/>
  <c r="J125" i="4"/>
  <c r="K125" i="4"/>
  <c r="L125" i="4"/>
  <c r="A126" i="4"/>
  <c r="B126" i="4"/>
  <c r="C126" i="4"/>
  <c r="L126" i="4" s="1"/>
  <c r="D126" i="4"/>
  <c r="M126" i="4" s="1"/>
  <c r="E126" i="4"/>
  <c r="N126" i="4" s="1"/>
  <c r="F126" i="4"/>
  <c r="G126" i="4"/>
  <c r="H126" i="4"/>
  <c r="P126" i="4" s="1"/>
  <c r="J126" i="4"/>
  <c r="K126" i="4"/>
  <c r="A127" i="4"/>
  <c r="B127" i="4"/>
  <c r="C127" i="4"/>
  <c r="D127" i="4"/>
  <c r="E127" i="4"/>
  <c r="F127" i="4"/>
  <c r="G127" i="4"/>
  <c r="H127" i="4"/>
  <c r="P127" i="4" s="1"/>
  <c r="J127" i="4"/>
  <c r="K127" i="4"/>
  <c r="L127" i="4"/>
  <c r="M127" i="4"/>
  <c r="N127" i="4"/>
  <c r="A128" i="4"/>
  <c r="B128" i="4"/>
  <c r="C128" i="4"/>
  <c r="D128" i="4"/>
  <c r="E128" i="4"/>
  <c r="N128" i="4" s="1"/>
  <c r="F128" i="4"/>
  <c r="G128" i="4"/>
  <c r="H128" i="4"/>
  <c r="P128" i="4" s="1"/>
  <c r="J128" i="4"/>
  <c r="K128" i="4"/>
  <c r="L128" i="4"/>
  <c r="M128" i="4"/>
  <c r="A129" i="4"/>
  <c r="B129" i="4"/>
  <c r="C129" i="4"/>
  <c r="D129" i="4"/>
  <c r="E129" i="4"/>
  <c r="N129" i="4" s="1"/>
  <c r="F129" i="4"/>
  <c r="G129" i="4"/>
  <c r="H129" i="4"/>
  <c r="P129" i="4" s="1"/>
  <c r="J129" i="4"/>
  <c r="K129" i="4"/>
  <c r="L129" i="4"/>
  <c r="M129" i="4"/>
  <c r="A130" i="4"/>
  <c r="B130" i="4"/>
  <c r="C130" i="4"/>
  <c r="D130" i="4"/>
  <c r="E130" i="4"/>
  <c r="N130" i="4" s="1"/>
  <c r="F130" i="4"/>
  <c r="G130" i="4"/>
  <c r="H130" i="4"/>
  <c r="P130" i="4" s="1"/>
  <c r="J130" i="4"/>
  <c r="K130" i="4"/>
  <c r="L130" i="4"/>
  <c r="M130" i="4"/>
  <c r="A131" i="4"/>
  <c r="B131" i="4"/>
  <c r="C131" i="4"/>
  <c r="D131" i="4"/>
  <c r="E131" i="4"/>
  <c r="N131" i="4" s="1"/>
  <c r="F131" i="4"/>
  <c r="G131" i="4"/>
  <c r="H131" i="4"/>
  <c r="P131" i="4" s="1"/>
  <c r="J131" i="4"/>
  <c r="K131" i="4"/>
  <c r="L131" i="4"/>
  <c r="M131" i="4"/>
  <c r="A132" i="4"/>
  <c r="B132" i="4"/>
  <c r="C132" i="4"/>
  <c r="L132" i="4" s="1"/>
  <c r="D132" i="4"/>
  <c r="M132" i="4" s="1"/>
  <c r="E132" i="4"/>
  <c r="N132" i="4" s="1"/>
  <c r="F132" i="4"/>
  <c r="G132" i="4"/>
  <c r="H132" i="4"/>
  <c r="P132" i="4" s="1"/>
  <c r="J132" i="4"/>
  <c r="K132" i="4"/>
  <c r="A133" i="4"/>
  <c r="B133" i="4"/>
  <c r="C133" i="4"/>
  <c r="D133" i="4"/>
  <c r="M133" i="4" s="1"/>
  <c r="E133" i="4"/>
  <c r="N133" i="4" s="1"/>
  <c r="F133" i="4"/>
  <c r="G133" i="4"/>
  <c r="H133" i="4"/>
  <c r="P133" i="4" s="1"/>
  <c r="J133" i="4"/>
  <c r="K133" i="4"/>
  <c r="L133" i="4"/>
  <c r="A135" i="4"/>
  <c r="B135" i="4"/>
  <c r="C135" i="4"/>
  <c r="D135" i="4"/>
  <c r="E135" i="4"/>
  <c r="N135" i="4" s="1"/>
  <c r="F135" i="4"/>
  <c r="G135" i="4"/>
  <c r="H135" i="4"/>
  <c r="P135" i="4" s="1"/>
  <c r="J135" i="4"/>
  <c r="K135" i="4"/>
  <c r="L135" i="4"/>
  <c r="M135" i="4"/>
  <c r="A137" i="4"/>
  <c r="B137" i="4"/>
  <c r="C137" i="4"/>
  <c r="D137" i="4"/>
  <c r="E137" i="4"/>
  <c r="N137" i="4" s="1"/>
  <c r="F137" i="4"/>
  <c r="G137" i="4"/>
  <c r="H137" i="4"/>
  <c r="P137" i="4" s="1"/>
  <c r="J137" i="4"/>
  <c r="K137" i="4"/>
  <c r="L137" i="4"/>
  <c r="A139" i="4"/>
  <c r="B139" i="4"/>
  <c r="C139" i="4"/>
  <c r="D139" i="4"/>
  <c r="M139" i="4" s="1"/>
  <c r="E139" i="4"/>
  <c r="N139" i="4" s="1"/>
  <c r="F139" i="4"/>
  <c r="G139" i="4"/>
  <c r="H139" i="4"/>
  <c r="P139" i="4" s="1"/>
  <c r="J139" i="4"/>
  <c r="K139" i="4"/>
  <c r="L139" i="4"/>
  <c r="A141" i="4"/>
  <c r="B141" i="4"/>
  <c r="C141" i="4"/>
  <c r="D141" i="4"/>
  <c r="E141" i="4"/>
  <c r="N141" i="4" s="1"/>
  <c r="F141" i="4"/>
  <c r="G141" i="4"/>
  <c r="H141" i="4"/>
  <c r="P141" i="4" s="1"/>
  <c r="J141" i="4"/>
  <c r="K141" i="4"/>
  <c r="L141" i="4"/>
  <c r="A142" i="4"/>
  <c r="B142" i="4"/>
  <c r="C142" i="4"/>
  <c r="D142" i="4"/>
  <c r="E142" i="4"/>
  <c r="N142" i="4" s="1"/>
  <c r="F142" i="4"/>
  <c r="G142" i="4"/>
  <c r="H142" i="4"/>
  <c r="P142" i="4" s="1"/>
  <c r="K142" i="4"/>
  <c r="M142" i="4"/>
  <c r="A143" i="4"/>
  <c r="B143" i="4"/>
  <c r="K143" i="4" s="1"/>
  <c r="C143" i="4"/>
  <c r="L143" i="4" s="1"/>
  <c r="D143" i="4"/>
  <c r="M143" i="4" s="1"/>
  <c r="E143" i="4"/>
  <c r="N143" i="4" s="1"/>
  <c r="F143" i="4"/>
  <c r="G143" i="4"/>
  <c r="H143" i="4"/>
  <c r="P143" i="4" s="1"/>
  <c r="J143" i="4"/>
  <c r="A89" i="4"/>
  <c r="J89" i="4" s="1"/>
  <c r="B89" i="4"/>
  <c r="K89" i="4" s="1"/>
  <c r="C89" i="4"/>
  <c r="L89" i="4" s="1"/>
  <c r="D89" i="4"/>
  <c r="M89" i="4" s="1"/>
  <c r="E89" i="4"/>
  <c r="N89" i="4" s="1"/>
  <c r="F89" i="4"/>
  <c r="G89" i="4"/>
  <c r="H89" i="4"/>
  <c r="P89" i="4" s="1"/>
  <c r="A87" i="4"/>
  <c r="J87" i="4" s="1"/>
  <c r="H7" i="2"/>
  <c r="R102" i="2"/>
  <c r="S102" i="2"/>
  <c r="T102" i="2"/>
  <c r="D102" i="3" s="1"/>
  <c r="R103" i="2"/>
  <c r="Y103" i="2" s="1"/>
  <c r="S103" i="2"/>
  <c r="T103" i="2"/>
  <c r="R104" i="2"/>
  <c r="Y104" i="2" s="1"/>
  <c r="S104" i="2"/>
  <c r="T104" i="2"/>
  <c r="R105" i="2"/>
  <c r="S105" i="2"/>
  <c r="T105" i="2"/>
  <c r="R106" i="2"/>
  <c r="S106" i="2"/>
  <c r="T106" i="2"/>
  <c r="D106" i="3" s="1"/>
  <c r="R107" i="2"/>
  <c r="Y107" i="2" s="1"/>
  <c r="S107" i="2"/>
  <c r="T107" i="2"/>
  <c r="R108" i="2"/>
  <c r="Y108" i="2" s="1"/>
  <c r="S108" i="2"/>
  <c r="T108" i="2"/>
  <c r="R109" i="2"/>
  <c r="S109" i="2"/>
  <c r="T109" i="2"/>
  <c r="R110" i="2"/>
  <c r="S110" i="2"/>
  <c r="T110" i="2"/>
  <c r="D110" i="3" s="1"/>
  <c r="R111" i="2"/>
  <c r="Y111" i="2" s="1"/>
  <c r="S111" i="2"/>
  <c r="T111" i="2"/>
  <c r="R112" i="2"/>
  <c r="Y112" i="2" s="1"/>
  <c r="S112" i="2"/>
  <c r="T112" i="2"/>
  <c r="R113" i="2"/>
  <c r="S113" i="2"/>
  <c r="T113" i="2"/>
  <c r="R114" i="2"/>
  <c r="S114" i="2"/>
  <c r="T114" i="2"/>
  <c r="D114" i="3" s="1"/>
  <c r="R115" i="2"/>
  <c r="Y115" i="2" s="1"/>
  <c r="S115" i="2"/>
  <c r="T115" i="2"/>
  <c r="R116" i="2"/>
  <c r="Y116" i="2" s="1"/>
  <c r="S116" i="2"/>
  <c r="T116" i="2"/>
  <c r="R117" i="2"/>
  <c r="S117" i="2"/>
  <c r="T117" i="2"/>
  <c r="D118" i="3"/>
  <c r="R119" i="2"/>
  <c r="Y119" i="2" s="1"/>
  <c r="S119" i="2"/>
  <c r="T119" i="2"/>
  <c r="D119" i="3" s="1"/>
  <c r="R87" i="2"/>
  <c r="S87" i="2"/>
  <c r="T87" i="2"/>
  <c r="R88" i="2"/>
  <c r="S88" i="2"/>
  <c r="T88" i="2"/>
  <c r="R89" i="2"/>
  <c r="Y89" i="2" s="1"/>
  <c r="S89" i="2"/>
  <c r="T89" i="2"/>
  <c r="R90" i="2"/>
  <c r="S90" i="2"/>
  <c r="Y90" i="2" s="1"/>
  <c r="T90" i="2"/>
  <c r="R91" i="2"/>
  <c r="S91" i="2"/>
  <c r="T91" i="2"/>
  <c r="D91" i="3" s="1"/>
  <c r="R92" i="2"/>
  <c r="S92" i="2"/>
  <c r="T92" i="2"/>
  <c r="D92" i="3" s="1"/>
  <c r="R93" i="2"/>
  <c r="Y93" i="2" s="1"/>
  <c r="S93" i="2"/>
  <c r="T93" i="2"/>
  <c r="R94" i="2"/>
  <c r="S94" i="2"/>
  <c r="Y94" i="2" s="1"/>
  <c r="T94" i="2"/>
  <c r="D94" i="3" s="1"/>
  <c r="R95" i="2"/>
  <c r="S95" i="2"/>
  <c r="T95" i="2"/>
  <c r="D95" i="3" s="1"/>
  <c r="R96" i="2"/>
  <c r="S96" i="2"/>
  <c r="T96" i="2"/>
  <c r="R97" i="2"/>
  <c r="Y97" i="2" s="1"/>
  <c r="S97" i="2"/>
  <c r="T97" i="2"/>
  <c r="D98" i="3"/>
  <c r="D99" i="3"/>
  <c r="R101" i="2"/>
  <c r="Y101" i="2" s="1"/>
  <c r="S101" i="2"/>
  <c r="T101" i="2"/>
  <c r="R72" i="2"/>
  <c r="Y72" i="2" s="1"/>
  <c r="S72" i="2"/>
  <c r="T72" i="2"/>
  <c r="R73" i="2"/>
  <c r="S73" i="2"/>
  <c r="T73" i="2"/>
  <c r="R74" i="2"/>
  <c r="Y74" i="2" s="1"/>
  <c r="S74" i="2"/>
  <c r="T74" i="2"/>
  <c r="R75" i="2"/>
  <c r="S75" i="2"/>
  <c r="T75" i="2"/>
  <c r="R76" i="2"/>
  <c r="Y76" i="2" s="1"/>
  <c r="S76" i="2"/>
  <c r="T76" i="2"/>
  <c r="R77" i="2"/>
  <c r="S77" i="2"/>
  <c r="T77" i="2"/>
  <c r="R78" i="2"/>
  <c r="Y78" i="2" s="1"/>
  <c r="S78" i="2"/>
  <c r="T78" i="2"/>
  <c r="D78" i="3" s="1"/>
  <c r="R79" i="2"/>
  <c r="S79" i="2"/>
  <c r="T79" i="2"/>
  <c r="D79" i="3" s="1"/>
  <c r="R80" i="2"/>
  <c r="Y80" i="2" s="1"/>
  <c r="S80" i="2"/>
  <c r="T80" i="2"/>
  <c r="R81" i="2"/>
  <c r="S81" i="2"/>
  <c r="T81" i="2"/>
  <c r="R82" i="2"/>
  <c r="Y82" i="2" s="1"/>
  <c r="S82" i="2"/>
  <c r="T82" i="2"/>
  <c r="D83" i="3"/>
  <c r="D84" i="3"/>
  <c r="R86" i="2"/>
  <c r="Y86" i="2" s="1"/>
  <c r="S86" i="2"/>
  <c r="T86" i="2"/>
  <c r="D86" i="3" s="1"/>
  <c r="R38" i="2"/>
  <c r="S38" i="2"/>
  <c r="T38" i="2"/>
  <c r="D38" i="3" s="1"/>
  <c r="R39" i="2"/>
  <c r="Y39" i="2" s="1"/>
  <c r="S39" i="2"/>
  <c r="T39" i="2"/>
  <c r="R40" i="2"/>
  <c r="Y40" i="2" s="1"/>
  <c r="S40" i="2"/>
  <c r="T40" i="2"/>
  <c r="R41" i="2"/>
  <c r="S41" i="2"/>
  <c r="T41" i="2"/>
  <c r="R42" i="2"/>
  <c r="S42" i="2"/>
  <c r="T42" i="2"/>
  <c r="R43" i="2"/>
  <c r="Y43" i="2" s="1"/>
  <c r="S43" i="2"/>
  <c r="T43" i="2"/>
  <c r="R44" i="2"/>
  <c r="Y44" i="2" s="1"/>
  <c r="S44" i="2"/>
  <c r="T44" i="2"/>
  <c r="R45" i="2"/>
  <c r="S45" i="2"/>
  <c r="T45" i="2"/>
  <c r="D45" i="3" s="1"/>
  <c r="R46" i="2"/>
  <c r="S46" i="2"/>
  <c r="T46" i="2"/>
  <c r="D46" i="3" s="1"/>
  <c r="R47" i="2"/>
  <c r="Y47" i="2" s="1"/>
  <c r="S47" i="2"/>
  <c r="T47" i="2"/>
  <c r="R48" i="2"/>
  <c r="Y48" i="2" s="1"/>
  <c r="S48" i="2"/>
  <c r="T48" i="2"/>
  <c r="R49" i="2"/>
  <c r="S49" i="2"/>
  <c r="T49" i="2"/>
  <c r="R50" i="2"/>
  <c r="S50" i="2"/>
  <c r="T50" i="2"/>
  <c r="D50" i="3" s="1"/>
  <c r="R51" i="2"/>
  <c r="Y51" i="2" s="1"/>
  <c r="S51" i="2"/>
  <c r="T51" i="2"/>
  <c r="R52" i="2"/>
  <c r="Y52" i="2" s="1"/>
  <c r="S52" i="2"/>
  <c r="T52" i="2"/>
  <c r="R53" i="2"/>
  <c r="S53" i="2"/>
  <c r="T53" i="2"/>
  <c r="D53" i="3" s="1"/>
  <c r="R54" i="2"/>
  <c r="S54" i="2"/>
  <c r="T54" i="2"/>
  <c r="R55" i="2"/>
  <c r="Y55" i="2" s="1"/>
  <c r="S55" i="2"/>
  <c r="T55" i="2"/>
  <c r="R56" i="2"/>
  <c r="Y56" i="2" s="1"/>
  <c r="S56" i="2"/>
  <c r="T56" i="2"/>
  <c r="R57" i="2"/>
  <c r="S57" i="2"/>
  <c r="T57" i="2"/>
  <c r="R58" i="2"/>
  <c r="S58" i="2"/>
  <c r="T58" i="2"/>
  <c r="D58" i="3" s="1"/>
  <c r="R59" i="2"/>
  <c r="Y59" i="2" s="1"/>
  <c r="S59" i="2"/>
  <c r="T59" i="2"/>
  <c r="R60" i="2"/>
  <c r="Y60" i="2" s="1"/>
  <c r="S60" i="2"/>
  <c r="T60" i="2"/>
  <c r="R61" i="2"/>
  <c r="S61" i="2"/>
  <c r="T61" i="2"/>
  <c r="D61" i="3" s="1"/>
  <c r="R62" i="2"/>
  <c r="S62" i="2"/>
  <c r="T62" i="2"/>
  <c r="D62" i="3" s="1"/>
  <c r="R63" i="2"/>
  <c r="Y63" i="2" s="1"/>
  <c r="S63" i="2"/>
  <c r="T63" i="2"/>
  <c r="R64" i="2"/>
  <c r="Y64" i="2" s="1"/>
  <c r="S64" i="2"/>
  <c r="T64" i="2"/>
  <c r="R65" i="2"/>
  <c r="S65" i="2"/>
  <c r="T65" i="2"/>
  <c r="R66" i="2"/>
  <c r="S66" i="2"/>
  <c r="T66" i="2"/>
  <c r="R67" i="2"/>
  <c r="Y67" i="2" s="1"/>
  <c r="S67" i="2"/>
  <c r="T67" i="2"/>
  <c r="D69" i="3"/>
  <c r="R71" i="2"/>
  <c r="Y71" i="2" s="1"/>
  <c r="S71" i="2"/>
  <c r="T71" i="2"/>
  <c r="D36" i="3"/>
  <c r="R37" i="2"/>
  <c r="S37" i="2"/>
  <c r="T37" i="2"/>
  <c r="Y37" i="2"/>
  <c r="Y38" i="2"/>
  <c r="Y41" i="2"/>
  <c r="Y42" i="2"/>
  <c r="Y45" i="2"/>
  <c r="Y46" i="2"/>
  <c r="Y49" i="2"/>
  <c r="Y50" i="2"/>
  <c r="Y53" i="2"/>
  <c r="Y54" i="2"/>
  <c r="Y57" i="2"/>
  <c r="Y58" i="2"/>
  <c r="Y61" i="2"/>
  <c r="Y62" i="2"/>
  <c r="Y65" i="2"/>
  <c r="Y66" i="2"/>
  <c r="Y73" i="2"/>
  <c r="Y75" i="2"/>
  <c r="Y77" i="2"/>
  <c r="Y79" i="2"/>
  <c r="Y81" i="2"/>
  <c r="Y87" i="2"/>
  <c r="Y88" i="2"/>
  <c r="Y91" i="2"/>
  <c r="Y92" i="2"/>
  <c r="Y95" i="2"/>
  <c r="Y96" i="2"/>
  <c r="Y102" i="2"/>
  <c r="Y105" i="2"/>
  <c r="Y106" i="2"/>
  <c r="Y109" i="2"/>
  <c r="Y110" i="2"/>
  <c r="Y113" i="2"/>
  <c r="Y114" i="2"/>
  <c r="Y117" i="2"/>
  <c r="R31" i="2"/>
  <c r="S31" i="2"/>
  <c r="T31" i="2"/>
  <c r="R32" i="2"/>
  <c r="Y32" i="2" s="1"/>
  <c r="S32" i="2"/>
  <c r="T32" i="2"/>
  <c r="D32" i="3" s="1"/>
  <c r="R33" i="2"/>
  <c r="Y33" i="2" s="1"/>
  <c r="S33" i="2"/>
  <c r="T33" i="2"/>
  <c r="R34" i="2"/>
  <c r="S34" i="2"/>
  <c r="T34" i="2"/>
  <c r="D34" i="3" s="1"/>
  <c r="R35" i="2"/>
  <c r="S35" i="2"/>
  <c r="T35" i="2"/>
  <c r="Y31" i="2"/>
  <c r="U33" i="2"/>
  <c r="W33" i="2" s="1"/>
  <c r="X33" i="2"/>
  <c r="U34" i="2"/>
  <c r="W34" i="2" s="1"/>
  <c r="Y34" i="2"/>
  <c r="U35" i="2"/>
  <c r="W35" i="2" s="1"/>
  <c r="Y35" i="2"/>
  <c r="D31" i="3"/>
  <c r="D35" i="3"/>
  <c r="D28" i="3"/>
  <c r="R30" i="2"/>
  <c r="S30" i="2"/>
  <c r="T30" i="2"/>
  <c r="Y16" i="2"/>
  <c r="Y17" i="2"/>
  <c r="Y18" i="2"/>
  <c r="Y19" i="2"/>
  <c r="Y20" i="2"/>
  <c r="Y21" i="2"/>
  <c r="Y22" i="2"/>
  <c r="Y23" i="2"/>
  <c r="Y24" i="2"/>
  <c r="Y25" i="2"/>
  <c r="Y26" i="2"/>
  <c r="Y27" i="2"/>
  <c r="Y30" i="2"/>
  <c r="Y6" i="2"/>
  <c r="Y8" i="2"/>
  <c r="Y9" i="2"/>
  <c r="Y10" i="2"/>
  <c r="Y11" i="2"/>
  <c r="Y12" i="2"/>
  <c r="Y13" i="2"/>
  <c r="Y14" i="2"/>
  <c r="Y15" i="2"/>
  <c r="R6" i="2"/>
  <c r="S6" i="2"/>
  <c r="T6" i="2"/>
  <c r="R7" i="2"/>
  <c r="S7" i="2"/>
  <c r="Y7" i="2" s="1"/>
  <c r="T7" i="2"/>
  <c r="R8" i="2"/>
  <c r="S8" i="2"/>
  <c r="T8" i="2"/>
  <c r="R9" i="2"/>
  <c r="S9" i="2"/>
  <c r="T9" i="2"/>
  <c r="D9" i="3" s="1"/>
  <c r="R10" i="2"/>
  <c r="S10" i="2"/>
  <c r="T10" i="2"/>
  <c r="R11" i="2"/>
  <c r="S11" i="2"/>
  <c r="T11" i="2"/>
  <c r="R12" i="2"/>
  <c r="S12" i="2"/>
  <c r="T12" i="2"/>
  <c r="R13" i="2"/>
  <c r="S13" i="2"/>
  <c r="T13" i="2"/>
  <c r="D13" i="3" s="1"/>
  <c r="R14" i="2"/>
  <c r="S14" i="2"/>
  <c r="T14" i="2"/>
  <c r="R15" i="2"/>
  <c r="S15" i="2"/>
  <c r="T15" i="2"/>
  <c r="R16" i="2"/>
  <c r="S16" i="2"/>
  <c r="T16" i="2"/>
  <c r="R17" i="2"/>
  <c r="S17" i="2"/>
  <c r="T17" i="2"/>
  <c r="D17" i="3" s="1"/>
  <c r="R18" i="2"/>
  <c r="S18" i="2"/>
  <c r="T18" i="2"/>
  <c r="D18" i="3" s="1"/>
  <c r="R19" i="2"/>
  <c r="S19" i="2"/>
  <c r="T19" i="2"/>
  <c r="R20" i="2"/>
  <c r="S20" i="2"/>
  <c r="T20" i="2"/>
  <c r="R21" i="2"/>
  <c r="S21" i="2"/>
  <c r="T21" i="2"/>
  <c r="R22" i="2"/>
  <c r="S22" i="2"/>
  <c r="T22" i="2"/>
  <c r="D22" i="3" s="1"/>
  <c r="R23" i="2"/>
  <c r="S23" i="2"/>
  <c r="T23" i="2"/>
  <c r="R24" i="2"/>
  <c r="S24" i="2"/>
  <c r="T24" i="2"/>
  <c r="R26" i="2"/>
  <c r="S26" i="2"/>
  <c r="T26" i="2"/>
  <c r="D26" i="3" s="1"/>
  <c r="R27" i="2"/>
  <c r="S27" i="2"/>
  <c r="T27" i="2"/>
  <c r="T5" i="2"/>
  <c r="Y5" i="2"/>
  <c r="S5" i="2"/>
  <c r="R5" i="2"/>
  <c r="B119" i="3"/>
  <c r="A119" i="3"/>
  <c r="E119" i="3"/>
  <c r="P119" i="1"/>
  <c r="A42" i="3"/>
  <c r="B42" i="3"/>
  <c r="A43" i="3"/>
  <c r="B43" i="3"/>
  <c r="A44" i="3"/>
  <c r="B44" i="3"/>
  <c r="A45" i="3"/>
  <c r="B45" i="3"/>
  <c r="A46" i="3"/>
  <c r="B46" i="3"/>
  <c r="A47" i="3"/>
  <c r="B47" i="3"/>
  <c r="A48" i="3"/>
  <c r="B48" i="3"/>
  <c r="B41" i="3"/>
  <c r="A41" i="3"/>
  <c r="A98" i="3"/>
  <c r="B98" i="3"/>
  <c r="E98" i="3"/>
  <c r="A99" i="3"/>
  <c r="B99" i="3"/>
  <c r="E99" i="3"/>
  <c r="A100" i="3"/>
  <c r="B100" i="3"/>
  <c r="C100" i="3"/>
  <c r="D100" i="3"/>
  <c r="E100" i="3"/>
  <c r="A101" i="3"/>
  <c r="B101" i="3"/>
  <c r="C101" i="3"/>
  <c r="D101" i="3"/>
  <c r="E101" i="3"/>
  <c r="A102" i="3"/>
  <c r="B102" i="3"/>
  <c r="C102" i="3"/>
  <c r="E102" i="3"/>
  <c r="A103" i="3"/>
  <c r="B103" i="3"/>
  <c r="C103" i="3"/>
  <c r="D103" i="3"/>
  <c r="E103" i="3"/>
  <c r="A104" i="3"/>
  <c r="B104" i="3"/>
  <c r="C104" i="3"/>
  <c r="D104" i="3"/>
  <c r="E104" i="3"/>
  <c r="A105" i="3"/>
  <c r="B105" i="3"/>
  <c r="C105" i="3"/>
  <c r="D105" i="3"/>
  <c r="E105" i="3"/>
  <c r="A106" i="3"/>
  <c r="B106" i="3"/>
  <c r="C106" i="3"/>
  <c r="E106" i="3"/>
  <c r="A107" i="3"/>
  <c r="B107" i="3"/>
  <c r="D107" i="3"/>
  <c r="E107" i="3"/>
  <c r="A108" i="3"/>
  <c r="B108" i="3"/>
  <c r="C108" i="3"/>
  <c r="D108" i="3"/>
  <c r="E108" i="3"/>
  <c r="A109" i="3"/>
  <c r="B109" i="3"/>
  <c r="D109" i="3"/>
  <c r="E109" i="3"/>
  <c r="A110" i="3"/>
  <c r="B110" i="3"/>
  <c r="E110" i="3"/>
  <c r="A111" i="3"/>
  <c r="B111" i="3"/>
  <c r="D111" i="3"/>
  <c r="E111" i="3"/>
  <c r="A112" i="3"/>
  <c r="B112" i="3"/>
  <c r="C112" i="3"/>
  <c r="D112" i="3"/>
  <c r="E112" i="3"/>
  <c r="A113" i="3"/>
  <c r="B113" i="3"/>
  <c r="C113" i="3"/>
  <c r="D113" i="3"/>
  <c r="E113" i="3"/>
  <c r="A114" i="3"/>
  <c r="B114" i="3"/>
  <c r="A115" i="3"/>
  <c r="B115" i="3"/>
  <c r="D115" i="3"/>
  <c r="E115" i="3"/>
  <c r="A116" i="3"/>
  <c r="B116" i="3"/>
  <c r="C116" i="3"/>
  <c r="D116" i="3"/>
  <c r="E116" i="3"/>
  <c r="A117" i="3"/>
  <c r="B117" i="3"/>
  <c r="C117" i="3"/>
  <c r="D117" i="3"/>
  <c r="E117" i="3"/>
  <c r="A118" i="3"/>
  <c r="B118" i="3"/>
  <c r="C118" i="3"/>
  <c r="E118" i="3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5" i="2"/>
  <c r="U116" i="2"/>
  <c r="W116" i="2" s="1"/>
  <c r="U6" i="2"/>
  <c r="U5" i="2"/>
  <c r="U9" i="2"/>
  <c r="E9" i="3" s="1"/>
  <c r="U8" i="2"/>
  <c r="U19" i="2"/>
  <c r="U18" i="2"/>
  <c r="U17" i="2"/>
  <c r="E17" i="3" s="1"/>
  <c r="U16" i="2"/>
  <c r="E16" i="3" s="1"/>
  <c r="U15" i="2"/>
  <c r="U14" i="2"/>
  <c r="U13" i="2"/>
  <c r="E13" i="3" s="1"/>
  <c r="U12" i="2"/>
  <c r="E12" i="3" s="1"/>
  <c r="U23" i="2"/>
  <c r="U27" i="2"/>
  <c r="U30" i="2"/>
  <c r="U39" i="2"/>
  <c r="U38" i="2"/>
  <c r="W38" i="2" s="1"/>
  <c r="U37" i="2"/>
  <c r="U43" i="2"/>
  <c r="U42" i="2"/>
  <c r="E42" i="3" s="1"/>
  <c r="U41" i="2"/>
  <c r="W41" i="2" s="1"/>
  <c r="U45" i="2"/>
  <c r="U47" i="2"/>
  <c r="U60" i="2"/>
  <c r="U59" i="2"/>
  <c r="E59" i="3" s="1"/>
  <c r="U58" i="2"/>
  <c r="U57" i="2"/>
  <c r="U56" i="2"/>
  <c r="E56" i="3" s="1"/>
  <c r="U55" i="2"/>
  <c r="E55" i="3" s="1"/>
  <c r="U54" i="2"/>
  <c r="U53" i="2"/>
  <c r="U52" i="2"/>
  <c r="U51" i="2"/>
  <c r="E51" i="3" s="1"/>
  <c r="U50" i="2"/>
  <c r="U49" i="2"/>
  <c r="U63" i="2"/>
  <c r="U62" i="2"/>
  <c r="E62" i="3" s="1"/>
  <c r="U67" i="2"/>
  <c r="U66" i="2"/>
  <c r="U65" i="2"/>
  <c r="U77" i="2"/>
  <c r="U78" i="2"/>
  <c r="U79" i="2"/>
  <c r="U80" i="2"/>
  <c r="E80" i="3" s="1"/>
  <c r="U81" i="2"/>
  <c r="U82" i="2"/>
  <c r="E83" i="3"/>
  <c r="U86" i="2"/>
  <c r="U87" i="2"/>
  <c r="E87" i="3" s="1"/>
  <c r="U88" i="2"/>
  <c r="W88" i="2" s="1"/>
  <c r="U89" i="2"/>
  <c r="U90" i="2"/>
  <c r="U91" i="2"/>
  <c r="E91" i="3" s="1"/>
  <c r="U92" i="2"/>
  <c r="W92" i="2" s="1"/>
  <c r="U93" i="2"/>
  <c r="U94" i="2"/>
  <c r="U95" i="2"/>
  <c r="E95" i="3" s="1"/>
  <c r="U96" i="2"/>
  <c r="W96" i="2" s="1"/>
  <c r="U97" i="2"/>
  <c r="U101" i="2"/>
  <c r="U102" i="2"/>
  <c r="U103" i="2"/>
  <c r="U104" i="2"/>
  <c r="W104" i="2" s="1"/>
  <c r="U105" i="2"/>
  <c r="U106" i="2"/>
  <c r="U107" i="2"/>
  <c r="U108" i="2"/>
  <c r="W108" i="2" s="1"/>
  <c r="U109" i="2"/>
  <c r="U110" i="2"/>
  <c r="U111" i="2"/>
  <c r="U112" i="2"/>
  <c r="W112" i="2" s="1"/>
  <c r="U113" i="2"/>
  <c r="U115" i="2"/>
  <c r="U117" i="2"/>
  <c r="U71" i="2"/>
  <c r="U72" i="2"/>
  <c r="U73" i="2"/>
  <c r="U74" i="2"/>
  <c r="E74" i="3" s="1"/>
  <c r="U75" i="2"/>
  <c r="U76" i="2"/>
  <c r="E75" i="3"/>
  <c r="E76" i="3"/>
  <c r="W78" i="2"/>
  <c r="U46" i="2"/>
  <c r="U40" i="2"/>
  <c r="W40" i="2" s="1"/>
  <c r="A28" i="3"/>
  <c r="B28" i="3"/>
  <c r="E28" i="3"/>
  <c r="A29" i="3"/>
  <c r="B29" i="3"/>
  <c r="C29" i="3"/>
  <c r="D29" i="3"/>
  <c r="E29" i="3"/>
  <c r="A30" i="3"/>
  <c r="B30" i="3"/>
  <c r="C30" i="3"/>
  <c r="D30" i="3"/>
  <c r="E30" i="3"/>
  <c r="A31" i="3"/>
  <c r="B31" i="3"/>
  <c r="A32" i="3"/>
  <c r="B32" i="3"/>
  <c r="A33" i="3"/>
  <c r="B33" i="3"/>
  <c r="C33" i="3"/>
  <c r="D33" i="3"/>
  <c r="E33" i="3"/>
  <c r="A34" i="3"/>
  <c r="B34" i="3"/>
  <c r="C34" i="3"/>
  <c r="A35" i="3"/>
  <c r="B35" i="3"/>
  <c r="C35" i="3"/>
  <c r="A36" i="3"/>
  <c r="B36" i="3"/>
  <c r="E36" i="3"/>
  <c r="A37" i="3"/>
  <c r="B37" i="3"/>
  <c r="C37" i="3"/>
  <c r="D37" i="3"/>
  <c r="E37" i="3"/>
  <c r="A38" i="3"/>
  <c r="B38" i="3"/>
  <c r="C38" i="3"/>
  <c r="A39" i="3"/>
  <c r="B39" i="3"/>
  <c r="D39" i="3"/>
  <c r="E39" i="3"/>
  <c r="A40" i="3"/>
  <c r="B40" i="3"/>
  <c r="D40" i="3"/>
  <c r="C41" i="3"/>
  <c r="D41" i="3"/>
  <c r="E41" i="3"/>
  <c r="C42" i="3"/>
  <c r="D42" i="3"/>
  <c r="D43" i="3"/>
  <c r="E43" i="3"/>
  <c r="D44" i="3"/>
  <c r="C45" i="3"/>
  <c r="E45" i="3"/>
  <c r="C46" i="3"/>
  <c r="E46" i="3"/>
  <c r="C47" i="3"/>
  <c r="D47" i="3"/>
  <c r="E47" i="3"/>
  <c r="D48" i="3"/>
  <c r="A49" i="3"/>
  <c r="B49" i="3"/>
  <c r="C49" i="3"/>
  <c r="D49" i="3"/>
  <c r="E49" i="3"/>
  <c r="A50" i="3"/>
  <c r="B50" i="3"/>
  <c r="C50" i="3"/>
  <c r="E50" i="3"/>
  <c r="A51" i="3"/>
  <c r="B51" i="3"/>
  <c r="C51" i="3"/>
  <c r="D51" i="3"/>
  <c r="A52" i="3"/>
  <c r="B52" i="3"/>
  <c r="C52" i="3"/>
  <c r="D52" i="3"/>
  <c r="A53" i="3"/>
  <c r="B53" i="3"/>
  <c r="C53" i="3"/>
  <c r="E53" i="3"/>
  <c r="A54" i="3"/>
  <c r="B54" i="3"/>
  <c r="C54" i="3"/>
  <c r="D54" i="3"/>
  <c r="E54" i="3"/>
  <c r="A55" i="3"/>
  <c r="B55" i="3"/>
  <c r="D55" i="3"/>
  <c r="A56" i="3"/>
  <c r="B56" i="3"/>
  <c r="D56" i="3"/>
  <c r="A57" i="3"/>
  <c r="B57" i="3"/>
  <c r="C57" i="3"/>
  <c r="D57" i="3"/>
  <c r="E57" i="3"/>
  <c r="A58" i="3"/>
  <c r="B58" i="3"/>
  <c r="C58" i="3"/>
  <c r="E58" i="3"/>
  <c r="A59" i="3"/>
  <c r="B59" i="3"/>
  <c r="C59" i="3"/>
  <c r="D59" i="3"/>
  <c r="A60" i="3"/>
  <c r="B60" i="3"/>
  <c r="C60" i="3"/>
  <c r="D60" i="3"/>
  <c r="A61" i="3"/>
  <c r="B61" i="3"/>
  <c r="A62" i="3"/>
  <c r="B62" i="3"/>
  <c r="C62" i="3"/>
  <c r="A63" i="3"/>
  <c r="B63" i="3"/>
  <c r="C63" i="3"/>
  <c r="D63" i="3"/>
  <c r="E63" i="3"/>
  <c r="A64" i="3"/>
  <c r="B64" i="3"/>
  <c r="D64" i="3"/>
  <c r="A65" i="3"/>
  <c r="B65" i="3"/>
  <c r="D65" i="3"/>
  <c r="A66" i="3"/>
  <c r="B66" i="3"/>
  <c r="C66" i="3"/>
  <c r="D66" i="3"/>
  <c r="E66" i="3"/>
  <c r="A67" i="3"/>
  <c r="B67" i="3"/>
  <c r="C67" i="3"/>
  <c r="D67" i="3"/>
  <c r="E67" i="3"/>
  <c r="A68" i="3"/>
  <c r="B68" i="3"/>
  <c r="C68" i="3"/>
  <c r="D68" i="3"/>
  <c r="E68" i="3"/>
  <c r="A69" i="3"/>
  <c r="B69" i="3"/>
  <c r="C69" i="3"/>
  <c r="E69" i="3"/>
  <c r="A70" i="3"/>
  <c r="B70" i="3"/>
  <c r="C70" i="3"/>
  <c r="D70" i="3"/>
  <c r="E70" i="3"/>
  <c r="A71" i="3"/>
  <c r="B71" i="3"/>
  <c r="D71" i="3"/>
  <c r="E71" i="3"/>
  <c r="A72" i="3"/>
  <c r="B72" i="3"/>
  <c r="C72" i="3"/>
  <c r="D72" i="3"/>
  <c r="E72" i="3"/>
  <c r="A73" i="3"/>
  <c r="B73" i="3"/>
  <c r="C73" i="3"/>
  <c r="D73" i="3"/>
  <c r="E73" i="3"/>
  <c r="A74" i="3"/>
  <c r="B74" i="3"/>
  <c r="C74" i="3"/>
  <c r="D74" i="3"/>
  <c r="A75" i="3"/>
  <c r="B75" i="3"/>
  <c r="C75" i="3"/>
  <c r="D75" i="3"/>
  <c r="A76" i="3"/>
  <c r="B76" i="3"/>
  <c r="C76" i="3"/>
  <c r="D76" i="3"/>
  <c r="A77" i="3"/>
  <c r="B77" i="3"/>
  <c r="C77" i="3"/>
  <c r="D77" i="3"/>
  <c r="E77" i="3"/>
  <c r="A78" i="3"/>
  <c r="B78" i="3"/>
  <c r="E78" i="3"/>
  <c r="A79" i="3"/>
  <c r="B79" i="3"/>
  <c r="E79" i="3"/>
  <c r="A80" i="3"/>
  <c r="B80" i="3"/>
  <c r="C80" i="3"/>
  <c r="D80" i="3"/>
  <c r="A81" i="3"/>
  <c r="B81" i="3"/>
  <c r="D81" i="3"/>
  <c r="E81" i="3"/>
  <c r="A82" i="3"/>
  <c r="B82" i="3"/>
  <c r="D82" i="3"/>
  <c r="E82" i="3"/>
  <c r="A83" i="3"/>
  <c r="B83" i="3"/>
  <c r="A84" i="3"/>
  <c r="B84" i="3"/>
  <c r="C84" i="3"/>
  <c r="A85" i="3"/>
  <c r="B85" i="3"/>
  <c r="D85" i="3"/>
  <c r="E85" i="3"/>
  <c r="A86" i="3"/>
  <c r="B86" i="3"/>
  <c r="E86" i="3"/>
  <c r="A87" i="3"/>
  <c r="B87" i="3"/>
  <c r="D87" i="3"/>
  <c r="A88" i="3"/>
  <c r="B88" i="3"/>
  <c r="C88" i="3"/>
  <c r="D88" i="3"/>
  <c r="A89" i="3"/>
  <c r="B89" i="3"/>
  <c r="C89" i="3"/>
  <c r="D89" i="3"/>
  <c r="E89" i="3"/>
  <c r="A90" i="3"/>
  <c r="B90" i="3"/>
  <c r="C90" i="3"/>
  <c r="D90" i="3"/>
  <c r="E90" i="3"/>
  <c r="A91" i="3"/>
  <c r="B91" i="3"/>
  <c r="C91" i="3"/>
  <c r="A92" i="3"/>
  <c r="B92" i="3"/>
  <c r="C92" i="3"/>
  <c r="A93" i="3"/>
  <c r="B93" i="3"/>
  <c r="C93" i="3"/>
  <c r="D93" i="3"/>
  <c r="E93" i="3"/>
  <c r="A94" i="3"/>
  <c r="B94" i="3"/>
  <c r="C94" i="3"/>
  <c r="E94" i="3"/>
  <c r="B95" i="3"/>
  <c r="A96" i="3"/>
  <c r="B96" i="3"/>
  <c r="C96" i="3"/>
  <c r="D96" i="3"/>
  <c r="A97" i="3"/>
  <c r="B97" i="3"/>
  <c r="D97" i="3"/>
  <c r="E97" i="3"/>
  <c r="A12" i="3"/>
  <c r="B12" i="3"/>
  <c r="C12" i="3"/>
  <c r="D12" i="3"/>
  <c r="A13" i="3"/>
  <c r="B13" i="3"/>
  <c r="A14" i="3"/>
  <c r="B14" i="3"/>
  <c r="D14" i="3"/>
  <c r="E14" i="3"/>
  <c r="A15" i="3"/>
  <c r="B15" i="3"/>
  <c r="D15" i="3"/>
  <c r="E15" i="3"/>
  <c r="A16" i="3"/>
  <c r="B16" i="3"/>
  <c r="C16" i="3"/>
  <c r="D16" i="3"/>
  <c r="A17" i="3"/>
  <c r="B17" i="3"/>
  <c r="C17" i="3"/>
  <c r="A18" i="3"/>
  <c r="B18" i="3"/>
  <c r="E18" i="3"/>
  <c r="A19" i="3"/>
  <c r="B19" i="3"/>
  <c r="D19" i="3"/>
  <c r="E19" i="3"/>
  <c r="A20" i="3"/>
  <c r="B20" i="3"/>
  <c r="C20" i="3"/>
  <c r="D20" i="3"/>
  <c r="A21" i="3"/>
  <c r="B21" i="3"/>
  <c r="D21" i="3"/>
  <c r="A22" i="3"/>
  <c r="B22" i="3"/>
  <c r="A23" i="3"/>
  <c r="B23" i="3"/>
  <c r="D23" i="3"/>
  <c r="E23" i="3"/>
  <c r="A24" i="3"/>
  <c r="B24" i="3"/>
  <c r="C24" i="3"/>
  <c r="D24" i="3"/>
  <c r="A25" i="3"/>
  <c r="B25" i="3"/>
  <c r="C25" i="3"/>
  <c r="D25" i="3"/>
  <c r="E25" i="3"/>
  <c r="A26" i="3"/>
  <c r="B26" i="3"/>
  <c r="C26" i="3"/>
  <c r="A27" i="3"/>
  <c r="B27" i="3"/>
  <c r="C27" i="3"/>
  <c r="D27" i="3"/>
  <c r="E27" i="3"/>
  <c r="A11" i="3"/>
  <c r="B11" i="3"/>
  <c r="D11" i="3"/>
  <c r="A6" i="3"/>
  <c r="B6" i="3"/>
  <c r="C6" i="3"/>
  <c r="D6" i="3"/>
  <c r="E6" i="3"/>
  <c r="A7" i="3"/>
  <c r="B7" i="3"/>
  <c r="C7" i="3"/>
  <c r="D7" i="3"/>
  <c r="A8" i="3"/>
  <c r="B8" i="3"/>
  <c r="C8" i="3"/>
  <c r="D8" i="3"/>
  <c r="E8" i="3"/>
  <c r="A9" i="3"/>
  <c r="B9" i="3"/>
  <c r="C9" i="3"/>
  <c r="A10" i="3"/>
  <c r="B10" i="3"/>
  <c r="D10" i="3"/>
  <c r="E5" i="3"/>
  <c r="D5" i="3"/>
  <c r="U26" i="2"/>
  <c r="E26" i="3" s="1"/>
  <c r="U24" i="2"/>
  <c r="W24" i="2" s="1"/>
  <c r="U20" i="2"/>
  <c r="X20" i="2" s="1"/>
  <c r="A9" i="2"/>
  <c r="B9" i="2"/>
  <c r="C9" i="2"/>
  <c r="D9" i="2"/>
  <c r="E9" i="2"/>
  <c r="G9" i="2"/>
  <c r="H9" i="2"/>
  <c r="I9" i="2"/>
  <c r="K9" i="2"/>
  <c r="L9" i="2"/>
  <c r="M9" i="2"/>
  <c r="N9" i="2"/>
  <c r="O9" i="2"/>
  <c r="P9" i="2"/>
  <c r="Q9" i="2"/>
  <c r="A10" i="2"/>
  <c r="B10" i="2"/>
  <c r="C10" i="2"/>
  <c r="D10" i="2"/>
  <c r="E10" i="2"/>
  <c r="G10" i="2"/>
  <c r="H10" i="2"/>
  <c r="I10" i="2"/>
  <c r="K10" i="2"/>
  <c r="L10" i="2"/>
  <c r="M10" i="2"/>
  <c r="N10" i="2"/>
  <c r="O10" i="2"/>
  <c r="P10" i="2"/>
  <c r="Q10" i="2"/>
  <c r="A11" i="2"/>
  <c r="B11" i="2"/>
  <c r="C11" i="2"/>
  <c r="D11" i="2"/>
  <c r="E11" i="2"/>
  <c r="G11" i="2"/>
  <c r="H11" i="2"/>
  <c r="I11" i="2"/>
  <c r="K11" i="2"/>
  <c r="L11" i="2"/>
  <c r="M11" i="2"/>
  <c r="N11" i="2"/>
  <c r="O11" i="2"/>
  <c r="P11" i="2"/>
  <c r="Q11" i="2"/>
  <c r="A12" i="2"/>
  <c r="B12" i="2"/>
  <c r="C12" i="2"/>
  <c r="D12" i="2"/>
  <c r="E12" i="2"/>
  <c r="G12" i="2"/>
  <c r="H12" i="2"/>
  <c r="I12" i="2"/>
  <c r="K12" i="2"/>
  <c r="L12" i="2"/>
  <c r="M12" i="2"/>
  <c r="N12" i="2"/>
  <c r="O12" i="2"/>
  <c r="P12" i="2"/>
  <c r="Q12" i="2"/>
  <c r="X12" i="2"/>
  <c r="A13" i="2"/>
  <c r="B13" i="2"/>
  <c r="C13" i="2"/>
  <c r="D13" i="2"/>
  <c r="E13" i="2"/>
  <c r="G13" i="2"/>
  <c r="H13" i="2"/>
  <c r="I13" i="2"/>
  <c r="K13" i="2"/>
  <c r="L13" i="2"/>
  <c r="M13" i="2"/>
  <c r="N13" i="2"/>
  <c r="O13" i="2"/>
  <c r="P13" i="2"/>
  <c r="Q13" i="2"/>
  <c r="A14" i="2"/>
  <c r="B14" i="2"/>
  <c r="C14" i="2"/>
  <c r="D14" i="2"/>
  <c r="E14" i="2"/>
  <c r="G14" i="2"/>
  <c r="H14" i="2"/>
  <c r="I14" i="2"/>
  <c r="K14" i="2"/>
  <c r="L14" i="2"/>
  <c r="M14" i="2"/>
  <c r="N14" i="2"/>
  <c r="O14" i="2"/>
  <c r="P14" i="2"/>
  <c r="Q14" i="2"/>
  <c r="A15" i="2"/>
  <c r="B15" i="2"/>
  <c r="C15" i="2"/>
  <c r="D15" i="2"/>
  <c r="E15" i="2"/>
  <c r="G15" i="2"/>
  <c r="H15" i="2"/>
  <c r="I15" i="2"/>
  <c r="K15" i="2"/>
  <c r="L15" i="2"/>
  <c r="M15" i="2"/>
  <c r="N15" i="2"/>
  <c r="O15" i="2"/>
  <c r="P15" i="2"/>
  <c r="Q15" i="2"/>
  <c r="A16" i="2"/>
  <c r="B16" i="2"/>
  <c r="C16" i="2"/>
  <c r="D16" i="2"/>
  <c r="E16" i="2"/>
  <c r="G16" i="2"/>
  <c r="H16" i="2"/>
  <c r="I16" i="2"/>
  <c r="K16" i="2"/>
  <c r="L16" i="2"/>
  <c r="M16" i="2"/>
  <c r="N16" i="2"/>
  <c r="O16" i="2"/>
  <c r="P16" i="2"/>
  <c r="Q16" i="2"/>
  <c r="A17" i="2"/>
  <c r="B17" i="2"/>
  <c r="C17" i="2"/>
  <c r="D17" i="2"/>
  <c r="E17" i="2"/>
  <c r="G17" i="2"/>
  <c r="H17" i="2"/>
  <c r="I17" i="2"/>
  <c r="K17" i="2"/>
  <c r="L17" i="2"/>
  <c r="M17" i="2"/>
  <c r="N17" i="2"/>
  <c r="O17" i="2"/>
  <c r="P17" i="2"/>
  <c r="Q17" i="2"/>
  <c r="A18" i="2"/>
  <c r="B18" i="2"/>
  <c r="C18" i="2"/>
  <c r="D18" i="2"/>
  <c r="E18" i="2"/>
  <c r="G18" i="2"/>
  <c r="H18" i="2"/>
  <c r="I18" i="2"/>
  <c r="K18" i="2"/>
  <c r="L18" i="2"/>
  <c r="M18" i="2"/>
  <c r="N18" i="2"/>
  <c r="O18" i="2"/>
  <c r="P18" i="2"/>
  <c r="Q18" i="2"/>
  <c r="A19" i="2"/>
  <c r="B19" i="2"/>
  <c r="C19" i="2"/>
  <c r="D19" i="2"/>
  <c r="E19" i="2"/>
  <c r="G19" i="2"/>
  <c r="H19" i="2"/>
  <c r="I19" i="2"/>
  <c r="K19" i="2"/>
  <c r="L19" i="2"/>
  <c r="M19" i="2"/>
  <c r="N19" i="2"/>
  <c r="O19" i="2"/>
  <c r="P19" i="2"/>
  <c r="Q19" i="2"/>
  <c r="A20" i="2"/>
  <c r="B20" i="2"/>
  <c r="C20" i="2"/>
  <c r="D20" i="2"/>
  <c r="E20" i="2"/>
  <c r="G20" i="2"/>
  <c r="H20" i="2"/>
  <c r="I20" i="2"/>
  <c r="K20" i="2"/>
  <c r="L20" i="2"/>
  <c r="M20" i="2"/>
  <c r="N20" i="2"/>
  <c r="O20" i="2"/>
  <c r="P20" i="2"/>
  <c r="Q20" i="2"/>
  <c r="A21" i="2"/>
  <c r="B21" i="2"/>
  <c r="C21" i="2"/>
  <c r="D21" i="2"/>
  <c r="E21" i="2"/>
  <c r="G21" i="2"/>
  <c r="H21" i="2"/>
  <c r="I21" i="2"/>
  <c r="K21" i="2"/>
  <c r="L21" i="2"/>
  <c r="M21" i="2"/>
  <c r="N21" i="2"/>
  <c r="O21" i="2"/>
  <c r="P21" i="2"/>
  <c r="Q21" i="2"/>
  <c r="A22" i="2"/>
  <c r="B22" i="2"/>
  <c r="C22" i="2"/>
  <c r="D22" i="2"/>
  <c r="E22" i="2"/>
  <c r="G22" i="2"/>
  <c r="H22" i="2"/>
  <c r="I22" i="2"/>
  <c r="K22" i="2"/>
  <c r="L22" i="2"/>
  <c r="M22" i="2"/>
  <c r="N22" i="2"/>
  <c r="O22" i="2"/>
  <c r="P22" i="2"/>
  <c r="Q22" i="2"/>
  <c r="A23" i="2"/>
  <c r="B23" i="2"/>
  <c r="C23" i="2"/>
  <c r="D23" i="2"/>
  <c r="E23" i="2"/>
  <c r="G23" i="2"/>
  <c r="H23" i="2"/>
  <c r="I23" i="2"/>
  <c r="K23" i="2"/>
  <c r="L23" i="2"/>
  <c r="M23" i="2"/>
  <c r="N23" i="2"/>
  <c r="O23" i="2"/>
  <c r="P23" i="2"/>
  <c r="Q23" i="2"/>
  <c r="A24" i="2"/>
  <c r="B24" i="2"/>
  <c r="C24" i="2"/>
  <c r="D24" i="2"/>
  <c r="E24" i="2"/>
  <c r="G24" i="2"/>
  <c r="H24" i="2"/>
  <c r="I24" i="2"/>
  <c r="K24" i="2"/>
  <c r="L24" i="2"/>
  <c r="M24" i="2"/>
  <c r="N24" i="2"/>
  <c r="O24" i="2"/>
  <c r="P24" i="2"/>
  <c r="Q24" i="2"/>
  <c r="A25" i="2"/>
  <c r="B25" i="2"/>
  <c r="C25" i="2"/>
  <c r="D25" i="2"/>
  <c r="E25" i="2"/>
  <c r="G25" i="2"/>
  <c r="H25" i="2"/>
  <c r="I25" i="2"/>
  <c r="K25" i="2"/>
  <c r="L25" i="2"/>
  <c r="M25" i="2"/>
  <c r="N25" i="2"/>
  <c r="O25" i="2"/>
  <c r="P25" i="2"/>
  <c r="Q25" i="2"/>
  <c r="A26" i="2"/>
  <c r="B26" i="2"/>
  <c r="C26" i="2"/>
  <c r="D26" i="2"/>
  <c r="E26" i="2"/>
  <c r="G26" i="2"/>
  <c r="H26" i="2"/>
  <c r="I26" i="2"/>
  <c r="K26" i="2"/>
  <c r="L26" i="2"/>
  <c r="M26" i="2"/>
  <c r="N26" i="2"/>
  <c r="O26" i="2"/>
  <c r="P26" i="2"/>
  <c r="Q26" i="2"/>
  <c r="A27" i="2"/>
  <c r="B27" i="2"/>
  <c r="C27" i="2"/>
  <c r="D27" i="2"/>
  <c r="E27" i="2"/>
  <c r="G27" i="2"/>
  <c r="H27" i="2"/>
  <c r="I27" i="2"/>
  <c r="K27" i="2"/>
  <c r="L27" i="2"/>
  <c r="M27" i="2"/>
  <c r="N27" i="2"/>
  <c r="O27" i="2"/>
  <c r="P27" i="2"/>
  <c r="Q27" i="2"/>
  <c r="A28" i="2"/>
  <c r="B28" i="2"/>
  <c r="C28" i="2"/>
  <c r="D28" i="2"/>
  <c r="E28" i="2"/>
  <c r="G28" i="2"/>
  <c r="H28" i="2"/>
  <c r="I28" i="2"/>
  <c r="K28" i="2"/>
  <c r="L28" i="2"/>
  <c r="M28" i="2"/>
  <c r="N28" i="2"/>
  <c r="O28" i="2"/>
  <c r="P28" i="2"/>
  <c r="Q28" i="2"/>
  <c r="A29" i="2"/>
  <c r="B29" i="2"/>
  <c r="C29" i="2"/>
  <c r="D29" i="2"/>
  <c r="E29" i="2"/>
  <c r="G29" i="2"/>
  <c r="H29" i="2"/>
  <c r="I29" i="2"/>
  <c r="K29" i="2"/>
  <c r="L29" i="2"/>
  <c r="M29" i="2"/>
  <c r="N29" i="2"/>
  <c r="O29" i="2"/>
  <c r="P29" i="2"/>
  <c r="Q29" i="2"/>
  <c r="A30" i="2"/>
  <c r="B30" i="2"/>
  <c r="C30" i="2"/>
  <c r="D30" i="2"/>
  <c r="E30" i="2"/>
  <c r="G30" i="2"/>
  <c r="H30" i="2"/>
  <c r="I30" i="2"/>
  <c r="K30" i="2"/>
  <c r="L30" i="2"/>
  <c r="M30" i="2"/>
  <c r="N30" i="2"/>
  <c r="O30" i="2"/>
  <c r="P30" i="2"/>
  <c r="Q30" i="2"/>
  <c r="W30" i="2"/>
  <c r="X30" i="2"/>
  <c r="A31" i="2"/>
  <c r="B31" i="2"/>
  <c r="C31" i="2"/>
  <c r="D31" i="2"/>
  <c r="E31" i="2"/>
  <c r="G31" i="2"/>
  <c r="H31" i="2"/>
  <c r="I31" i="2"/>
  <c r="K31" i="2"/>
  <c r="L31" i="2"/>
  <c r="M31" i="2"/>
  <c r="N31" i="2"/>
  <c r="O31" i="2"/>
  <c r="P31" i="2"/>
  <c r="Q31" i="2"/>
  <c r="A32" i="2"/>
  <c r="B32" i="2"/>
  <c r="C32" i="2"/>
  <c r="D32" i="2"/>
  <c r="E32" i="2"/>
  <c r="G32" i="2"/>
  <c r="H32" i="2"/>
  <c r="I32" i="2"/>
  <c r="K32" i="2"/>
  <c r="L32" i="2"/>
  <c r="M32" i="2"/>
  <c r="N32" i="2"/>
  <c r="O32" i="2"/>
  <c r="P32" i="2"/>
  <c r="Q32" i="2"/>
  <c r="A33" i="2"/>
  <c r="B33" i="2"/>
  <c r="C33" i="2"/>
  <c r="D33" i="2"/>
  <c r="E33" i="2"/>
  <c r="G33" i="2"/>
  <c r="H33" i="2"/>
  <c r="I33" i="2"/>
  <c r="K33" i="2"/>
  <c r="L33" i="2"/>
  <c r="M33" i="2"/>
  <c r="N33" i="2"/>
  <c r="O33" i="2"/>
  <c r="P33" i="2"/>
  <c r="Q33" i="2"/>
  <c r="A34" i="2"/>
  <c r="B34" i="2"/>
  <c r="C34" i="2"/>
  <c r="D34" i="2"/>
  <c r="E34" i="2"/>
  <c r="G34" i="2"/>
  <c r="H34" i="2"/>
  <c r="I34" i="2"/>
  <c r="K34" i="2"/>
  <c r="L34" i="2"/>
  <c r="M34" i="2"/>
  <c r="N34" i="2"/>
  <c r="O34" i="2"/>
  <c r="P34" i="2"/>
  <c r="Q34" i="2"/>
  <c r="A35" i="2"/>
  <c r="B35" i="2"/>
  <c r="C35" i="2"/>
  <c r="D35" i="2"/>
  <c r="E35" i="2"/>
  <c r="G35" i="2"/>
  <c r="H35" i="2"/>
  <c r="I35" i="2"/>
  <c r="K35" i="2"/>
  <c r="L35" i="2"/>
  <c r="M35" i="2"/>
  <c r="N35" i="2"/>
  <c r="O35" i="2"/>
  <c r="P35" i="2"/>
  <c r="Q35" i="2"/>
  <c r="A36" i="2"/>
  <c r="B36" i="2"/>
  <c r="C36" i="2"/>
  <c r="D36" i="2"/>
  <c r="E36" i="2"/>
  <c r="G36" i="2"/>
  <c r="H36" i="2"/>
  <c r="I36" i="2"/>
  <c r="K36" i="2"/>
  <c r="L36" i="2"/>
  <c r="M36" i="2"/>
  <c r="N36" i="2"/>
  <c r="O36" i="2"/>
  <c r="P36" i="2"/>
  <c r="Q36" i="2"/>
  <c r="A37" i="2"/>
  <c r="B37" i="2"/>
  <c r="C37" i="2"/>
  <c r="D37" i="2"/>
  <c r="E37" i="2"/>
  <c r="G37" i="2"/>
  <c r="H37" i="2"/>
  <c r="I37" i="2"/>
  <c r="K37" i="2"/>
  <c r="L37" i="2"/>
  <c r="M37" i="2"/>
  <c r="N37" i="2"/>
  <c r="O37" i="2"/>
  <c r="P37" i="2"/>
  <c r="Q37" i="2"/>
  <c r="W37" i="2"/>
  <c r="A38" i="2"/>
  <c r="B38" i="2"/>
  <c r="C38" i="2"/>
  <c r="D38" i="2"/>
  <c r="E38" i="2"/>
  <c r="G38" i="2"/>
  <c r="H38" i="2"/>
  <c r="I38" i="2"/>
  <c r="K38" i="2"/>
  <c r="L38" i="2"/>
  <c r="M38" i="2"/>
  <c r="N38" i="2"/>
  <c r="O38" i="2"/>
  <c r="P38" i="2"/>
  <c r="Q38" i="2"/>
  <c r="A39" i="2"/>
  <c r="B39" i="2"/>
  <c r="C39" i="2"/>
  <c r="D39" i="2"/>
  <c r="E39" i="2"/>
  <c r="G39" i="2"/>
  <c r="H39" i="2"/>
  <c r="I39" i="2"/>
  <c r="K39" i="2"/>
  <c r="L39" i="2"/>
  <c r="M39" i="2"/>
  <c r="N39" i="2"/>
  <c r="O39" i="2"/>
  <c r="P39" i="2"/>
  <c r="Q39" i="2"/>
  <c r="W39" i="2"/>
  <c r="A40" i="2"/>
  <c r="B40" i="2"/>
  <c r="C40" i="2"/>
  <c r="D40" i="2"/>
  <c r="E40" i="2"/>
  <c r="G40" i="2"/>
  <c r="H40" i="2"/>
  <c r="I40" i="2"/>
  <c r="K40" i="2"/>
  <c r="L40" i="2"/>
  <c r="M40" i="2"/>
  <c r="N40" i="2"/>
  <c r="O40" i="2"/>
  <c r="P40" i="2"/>
  <c r="Q40" i="2"/>
  <c r="A41" i="2"/>
  <c r="B41" i="2"/>
  <c r="C41" i="2"/>
  <c r="D41" i="2"/>
  <c r="E41" i="2"/>
  <c r="G41" i="2"/>
  <c r="H41" i="2"/>
  <c r="I41" i="2"/>
  <c r="K41" i="2"/>
  <c r="L41" i="2"/>
  <c r="M41" i="2"/>
  <c r="N41" i="2"/>
  <c r="O41" i="2"/>
  <c r="P41" i="2"/>
  <c r="Q41" i="2"/>
  <c r="A42" i="2"/>
  <c r="B42" i="2"/>
  <c r="C42" i="2"/>
  <c r="D42" i="2"/>
  <c r="E42" i="2"/>
  <c r="G42" i="2"/>
  <c r="H42" i="2"/>
  <c r="I42" i="2"/>
  <c r="K42" i="2"/>
  <c r="L42" i="2"/>
  <c r="M42" i="2"/>
  <c r="N42" i="2"/>
  <c r="O42" i="2"/>
  <c r="P42" i="2"/>
  <c r="Q42" i="2"/>
  <c r="A43" i="2"/>
  <c r="B43" i="2"/>
  <c r="C43" i="2"/>
  <c r="D43" i="2"/>
  <c r="E43" i="2"/>
  <c r="G43" i="2"/>
  <c r="H43" i="2"/>
  <c r="I43" i="2"/>
  <c r="K43" i="2"/>
  <c r="L43" i="2"/>
  <c r="M43" i="2"/>
  <c r="N43" i="2"/>
  <c r="O43" i="2"/>
  <c r="P43" i="2"/>
  <c r="Q43" i="2"/>
  <c r="W43" i="2"/>
  <c r="A44" i="2"/>
  <c r="B44" i="2"/>
  <c r="C44" i="2"/>
  <c r="D44" i="2"/>
  <c r="E44" i="2"/>
  <c r="G44" i="2"/>
  <c r="H44" i="2"/>
  <c r="I44" i="2"/>
  <c r="K44" i="2"/>
  <c r="L44" i="2"/>
  <c r="M44" i="2"/>
  <c r="N44" i="2"/>
  <c r="O44" i="2"/>
  <c r="P44" i="2"/>
  <c r="Q44" i="2"/>
  <c r="A45" i="2"/>
  <c r="B45" i="2"/>
  <c r="C45" i="2"/>
  <c r="D45" i="2"/>
  <c r="E45" i="2"/>
  <c r="G45" i="2"/>
  <c r="H45" i="2"/>
  <c r="I45" i="2"/>
  <c r="K45" i="2"/>
  <c r="L45" i="2"/>
  <c r="M45" i="2"/>
  <c r="N45" i="2"/>
  <c r="O45" i="2"/>
  <c r="P45" i="2"/>
  <c r="Q45" i="2"/>
  <c r="W45" i="2"/>
  <c r="A46" i="2"/>
  <c r="B46" i="2"/>
  <c r="C46" i="2"/>
  <c r="D46" i="2"/>
  <c r="E46" i="2"/>
  <c r="G46" i="2"/>
  <c r="H46" i="2"/>
  <c r="I46" i="2"/>
  <c r="K46" i="2"/>
  <c r="L46" i="2"/>
  <c r="M46" i="2"/>
  <c r="N46" i="2"/>
  <c r="O46" i="2"/>
  <c r="P46" i="2"/>
  <c r="Q46" i="2"/>
  <c r="W46" i="2"/>
  <c r="X46" i="2"/>
  <c r="A47" i="2"/>
  <c r="B47" i="2"/>
  <c r="C47" i="2"/>
  <c r="D47" i="2"/>
  <c r="E47" i="2"/>
  <c r="G47" i="2"/>
  <c r="H47" i="2"/>
  <c r="I47" i="2"/>
  <c r="K47" i="2"/>
  <c r="L47" i="2"/>
  <c r="M47" i="2"/>
  <c r="N47" i="2"/>
  <c r="O47" i="2"/>
  <c r="P47" i="2"/>
  <c r="Q47" i="2"/>
  <c r="W47" i="2"/>
  <c r="A48" i="2"/>
  <c r="B48" i="2"/>
  <c r="C48" i="2"/>
  <c r="D48" i="2"/>
  <c r="E48" i="2"/>
  <c r="G48" i="2"/>
  <c r="H48" i="2"/>
  <c r="I48" i="2"/>
  <c r="K48" i="2"/>
  <c r="L48" i="2"/>
  <c r="M48" i="2"/>
  <c r="N48" i="2"/>
  <c r="O48" i="2"/>
  <c r="P48" i="2"/>
  <c r="Q48" i="2"/>
  <c r="A49" i="2"/>
  <c r="B49" i="2"/>
  <c r="C49" i="2"/>
  <c r="D49" i="2"/>
  <c r="E49" i="2"/>
  <c r="G49" i="2"/>
  <c r="H49" i="2"/>
  <c r="I49" i="2"/>
  <c r="K49" i="2"/>
  <c r="L49" i="2"/>
  <c r="M49" i="2"/>
  <c r="N49" i="2"/>
  <c r="O49" i="2"/>
  <c r="P49" i="2"/>
  <c r="Q49" i="2"/>
  <c r="W49" i="2"/>
  <c r="A50" i="2"/>
  <c r="B50" i="2"/>
  <c r="C50" i="2"/>
  <c r="D50" i="2"/>
  <c r="E50" i="2"/>
  <c r="G50" i="2"/>
  <c r="H50" i="2"/>
  <c r="I50" i="2"/>
  <c r="K50" i="2"/>
  <c r="L50" i="2"/>
  <c r="M50" i="2"/>
  <c r="N50" i="2"/>
  <c r="O50" i="2"/>
  <c r="P50" i="2"/>
  <c r="Q50" i="2"/>
  <c r="A51" i="2"/>
  <c r="B51" i="2"/>
  <c r="C51" i="2"/>
  <c r="D51" i="2"/>
  <c r="E51" i="2"/>
  <c r="G51" i="2"/>
  <c r="H51" i="2"/>
  <c r="I51" i="2"/>
  <c r="K51" i="2"/>
  <c r="L51" i="2"/>
  <c r="M51" i="2"/>
  <c r="N51" i="2"/>
  <c r="O51" i="2"/>
  <c r="P51" i="2"/>
  <c r="Q51" i="2"/>
  <c r="A52" i="2"/>
  <c r="B52" i="2"/>
  <c r="C52" i="2"/>
  <c r="D52" i="2"/>
  <c r="E52" i="2"/>
  <c r="G52" i="2"/>
  <c r="H52" i="2"/>
  <c r="I52" i="2"/>
  <c r="K52" i="2"/>
  <c r="L52" i="2"/>
  <c r="M52" i="2"/>
  <c r="N52" i="2"/>
  <c r="O52" i="2"/>
  <c r="P52" i="2"/>
  <c r="Q52" i="2"/>
  <c r="W52" i="2"/>
  <c r="A53" i="2"/>
  <c r="B53" i="2"/>
  <c r="C53" i="2"/>
  <c r="D53" i="2"/>
  <c r="E53" i="2"/>
  <c r="G53" i="2"/>
  <c r="H53" i="2"/>
  <c r="I53" i="2"/>
  <c r="K53" i="2"/>
  <c r="L53" i="2"/>
  <c r="M53" i="2"/>
  <c r="N53" i="2"/>
  <c r="O53" i="2"/>
  <c r="P53" i="2"/>
  <c r="Q53" i="2"/>
  <c r="W53" i="2"/>
  <c r="A54" i="2"/>
  <c r="B54" i="2"/>
  <c r="C54" i="2"/>
  <c r="D54" i="2"/>
  <c r="E54" i="2"/>
  <c r="G54" i="2"/>
  <c r="H54" i="2"/>
  <c r="I54" i="2"/>
  <c r="K54" i="2"/>
  <c r="L54" i="2"/>
  <c r="M54" i="2"/>
  <c r="N54" i="2"/>
  <c r="O54" i="2"/>
  <c r="P54" i="2"/>
  <c r="Q54" i="2"/>
  <c r="A55" i="2"/>
  <c r="B55" i="2"/>
  <c r="C55" i="2"/>
  <c r="D55" i="2"/>
  <c r="E55" i="2"/>
  <c r="G55" i="2"/>
  <c r="H55" i="2"/>
  <c r="I55" i="2"/>
  <c r="K55" i="2"/>
  <c r="L55" i="2"/>
  <c r="M55" i="2"/>
  <c r="N55" i="2"/>
  <c r="O55" i="2"/>
  <c r="P55" i="2"/>
  <c r="Q55" i="2"/>
  <c r="A56" i="2"/>
  <c r="B56" i="2"/>
  <c r="C56" i="2"/>
  <c r="D56" i="2"/>
  <c r="E56" i="2"/>
  <c r="G56" i="2"/>
  <c r="H56" i="2"/>
  <c r="I56" i="2"/>
  <c r="K56" i="2"/>
  <c r="L56" i="2"/>
  <c r="M56" i="2"/>
  <c r="N56" i="2"/>
  <c r="O56" i="2"/>
  <c r="P56" i="2"/>
  <c r="Q56" i="2"/>
  <c r="A57" i="2"/>
  <c r="B57" i="2"/>
  <c r="C57" i="2"/>
  <c r="D57" i="2"/>
  <c r="E57" i="2"/>
  <c r="G57" i="2"/>
  <c r="H57" i="2"/>
  <c r="I57" i="2"/>
  <c r="K57" i="2"/>
  <c r="L57" i="2"/>
  <c r="M57" i="2"/>
  <c r="N57" i="2"/>
  <c r="O57" i="2"/>
  <c r="P57" i="2"/>
  <c r="Q57" i="2"/>
  <c r="A58" i="2"/>
  <c r="B58" i="2"/>
  <c r="C58" i="2"/>
  <c r="D58" i="2"/>
  <c r="E58" i="2"/>
  <c r="G58" i="2"/>
  <c r="H58" i="2"/>
  <c r="I58" i="2"/>
  <c r="K58" i="2"/>
  <c r="L58" i="2"/>
  <c r="M58" i="2"/>
  <c r="N58" i="2"/>
  <c r="O58" i="2"/>
  <c r="P58" i="2"/>
  <c r="Q58" i="2"/>
  <c r="W58" i="2"/>
  <c r="X58" i="2"/>
  <c r="A59" i="2"/>
  <c r="B59" i="2"/>
  <c r="C59" i="2"/>
  <c r="D59" i="2"/>
  <c r="E59" i="2"/>
  <c r="G59" i="2"/>
  <c r="H59" i="2"/>
  <c r="I59" i="2"/>
  <c r="K59" i="2"/>
  <c r="L59" i="2"/>
  <c r="M59" i="2"/>
  <c r="N59" i="2"/>
  <c r="O59" i="2"/>
  <c r="P59" i="2"/>
  <c r="Q59" i="2"/>
  <c r="A60" i="2"/>
  <c r="B60" i="2"/>
  <c r="C60" i="2"/>
  <c r="D60" i="2"/>
  <c r="E60" i="2"/>
  <c r="G60" i="2"/>
  <c r="H60" i="2"/>
  <c r="I60" i="2"/>
  <c r="K60" i="2"/>
  <c r="L60" i="2"/>
  <c r="M60" i="2"/>
  <c r="N60" i="2"/>
  <c r="O60" i="2"/>
  <c r="P60" i="2"/>
  <c r="Q60" i="2"/>
  <c r="A61" i="2"/>
  <c r="B61" i="2"/>
  <c r="C61" i="2"/>
  <c r="D61" i="2"/>
  <c r="E61" i="2"/>
  <c r="G61" i="2"/>
  <c r="H61" i="2"/>
  <c r="I61" i="2"/>
  <c r="K61" i="2"/>
  <c r="L61" i="2"/>
  <c r="M61" i="2"/>
  <c r="N61" i="2"/>
  <c r="O61" i="2"/>
  <c r="P61" i="2"/>
  <c r="Q61" i="2"/>
  <c r="A62" i="2"/>
  <c r="B62" i="2"/>
  <c r="C62" i="2"/>
  <c r="D62" i="2"/>
  <c r="E62" i="2"/>
  <c r="G62" i="2"/>
  <c r="H62" i="2"/>
  <c r="I62" i="2"/>
  <c r="K62" i="2"/>
  <c r="L62" i="2"/>
  <c r="M62" i="2"/>
  <c r="N62" i="2"/>
  <c r="O62" i="2"/>
  <c r="P62" i="2"/>
  <c r="Q62" i="2"/>
  <c r="A63" i="2"/>
  <c r="B63" i="2"/>
  <c r="C63" i="2"/>
  <c r="D63" i="2"/>
  <c r="E63" i="2"/>
  <c r="G63" i="2"/>
  <c r="H63" i="2"/>
  <c r="I63" i="2"/>
  <c r="K63" i="2"/>
  <c r="L63" i="2"/>
  <c r="M63" i="2"/>
  <c r="N63" i="2"/>
  <c r="O63" i="2"/>
  <c r="P63" i="2"/>
  <c r="Q63" i="2"/>
  <c r="A64" i="2"/>
  <c r="B64" i="2"/>
  <c r="C64" i="2"/>
  <c r="D64" i="2"/>
  <c r="E64" i="2"/>
  <c r="G64" i="2"/>
  <c r="H64" i="2"/>
  <c r="I64" i="2"/>
  <c r="K64" i="2"/>
  <c r="L64" i="2"/>
  <c r="M64" i="2"/>
  <c r="N64" i="2"/>
  <c r="O64" i="2"/>
  <c r="P64" i="2"/>
  <c r="Q64" i="2"/>
  <c r="A65" i="2"/>
  <c r="B65" i="2"/>
  <c r="C65" i="2"/>
  <c r="D65" i="2"/>
  <c r="E65" i="2"/>
  <c r="G65" i="2"/>
  <c r="H65" i="2"/>
  <c r="I65" i="2"/>
  <c r="K65" i="2"/>
  <c r="L65" i="2"/>
  <c r="M65" i="2"/>
  <c r="N65" i="2"/>
  <c r="O65" i="2"/>
  <c r="P65" i="2"/>
  <c r="Q65" i="2"/>
  <c r="A66" i="2"/>
  <c r="B66" i="2"/>
  <c r="C66" i="2"/>
  <c r="D66" i="2"/>
  <c r="E66" i="2"/>
  <c r="G66" i="2"/>
  <c r="H66" i="2"/>
  <c r="I66" i="2"/>
  <c r="K66" i="2"/>
  <c r="L66" i="2"/>
  <c r="M66" i="2"/>
  <c r="N66" i="2"/>
  <c r="O66" i="2"/>
  <c r="P66" i="2"/>
  <c r="Q66" i="2"/>
  <c r="W66" i="2"/>
  <c r="A67" i="2"/>
  <c r="B67" i="2"/>
  <c r="C67" i="2"/>
  <c r="D67" i="2"/>
  <c r="E67" i="2"/>
  <c r="G67" i="2"/>
  <c r="H67" i="2"/>
  <c r="I67" i="2"/>
  <c r="K67" i="2"/>
  <c r="L67" i="2"/>
  <c r="M67" i="2"/>
  <c r="N67" i="2"/>
  <c r="O67" i="2"/>
  <c r="P67" i="2"/>
  <c r="Q67" i="2"/>
  <c r="W67" i="2"/>
  <c r="X67" i="2"/>
  <c r="A68" i="2"/>
  <c r="B68" i="2"/>
  <c r="C68" i="2"/>
  <c r="D68" i="2"/>
  <c r="E68" i="2"/>
  <c r="G68" i="2"/>
  <c r="H68" i="2"/>
  <c r="I68" i="2"/>
  <c r="K68" i="2"/>
  <c r="L68" i="2"/>
  <c r="M68" i="2"/>
  <c r="N68" i="2"/>
  <c r="O68" i="2"/>
  <c r="P68" i="2"/>
  <c r="Q68" i="2"/>
  <c r="A69" i="2"/>
  <c r="B69" i="2"/>
  <c r="C69" i="2"/>
  <c r="D69" i="2"/>
  <c r="E69" i="2"/>
  <c r="G69" i="2"/>
  <c r="H69" i="2"/>
  <c r="I69" i="2"/>
  <c r="K69" i="2"/>
  <c r="L69" i="2"/>
  <c r="M69" i="2"/>
  <c r="N69" i="2"/>
  <c r="O69" i="2"/>
  <c r="P69" i="2"/>
  <c r="Q69" i="2"/>
  <c r="A70" i="2"/>
  <c r="B70" i="2"/>
  <c r="C70" i="2"/>
  <c r="D70" i="2"/>
  <c r="E70" i="2"/>
  <c r="G70" i="2"/>
  <c r="H70" i="2"/>
  <c r="I70" i="2"/>
  <c r="K70" i="2"/>
  <c r="L70" i="2"/>
  <c r="M70" i="2"/>
  <c r="N70" i="2"/>
  <c r="O70" i="2"/>
  <c r="P70" i="2"/>
  <c r="Q70" i="2"/>
  <c r="A71" i="2"/>
  <c r="B71" i="2"/>
  <c r="C71" i="2"/>
  <c r="D71" i="2"/>
  <c r="E71" i="2"/>
  <c r="G71" i="2"/>
  <c r="H71" i="2"/>
  <c r="I71" i="2"/>
  <c r="K71" i="2"/>
  <c r="L71" i="2"/>
  <c r="M71" i="2"/>
  <c r="N71" i="2"/>
  <c r="O71" i="2"/>
  <c r="P71" i="2"/>
  <c r="Q71" i="2"/>
  <c r="A72" i="2"/>
  <c r="B72" i="2"/>
  <c r="C72" i="2"/>
  <c r="D72" i="2"/>
  <c r="E72" i="2"/>
  <c r="G72" i="2"/>
  <c r="H72" i="2"/>
  <c r="I72" i="2"/>
  <c r="K72" i="2"/>
  <c r="L72" i="2"/>
  <c r="M72" i="2"/>
  <c r="N72" i="2"/>
  <c r="O72" i="2"/>
  <c r="P72" i="2"/>
  <c r="Q72" i="2"/>
  <c r="W72" i="2"/>
  <c r="A73" i="2"/>
  <c r="B73" i="2"/>
  <c r="C73" i="2"/>
  <c r="D73" i="2"/>
  <c r="E73" i="2"/>
  <c r="G73" i="2"/>
  <c r="H73" i="2"/>
  <c r="I73" i="2"/>
  <c r="K73" i="2"/>
  <c r="L73" i="2"/>
  <c r="M73" i="2"/>
  <c r="N73" i="2"/>
  <c r="O73" i="2"/>
  <c r="P73" i="2"/>
  <c r="Q73" i="2"/>
  <c r="W73" i="2"/>
  <c r="X73" i="2"/>
  <c r="A74" i="2"/>
  <c r="B74" i="2"/>
  <c r="C74" i="2"/>
  <c r="D74" i="2"/>
  <c r="E74" i="2"/>
  <c r="G74" i="2"/>
  <c r="H74" i="2"/>
  <c r="I74" i="2"/>
  <c r="K74" i="2"/>
  <c r="L74" i="2"/>
  <c r="M74" i="2"/>
  <c r="N74" i="2"/>
  <c r="O74" i="2"/>
  <c r="P74" i="2"/>
  <c r="Q74" i="2"/>
  <c r="A75" i="2"/>
  <c r="B75" i="2"/>
  <c r="C75" i="2"/>
  <c r="D75" i="2"/>
  <c r="E75" i="2"/>
  <c r="G75" i="2"/>
  <c r="H75" i="2"/>
  <c r="I75" i="2"/>
  <c r="K75" i="2"/>
  <c r="L75" i="2"/>
  <c r="M75" i="2"/>
  <c r="N75" i="2"/>
  <c r="O75" i="2"/>
  <c r="P75" i="2"/>
  <c r="Q75" i="2"/>
  <c r="A76" i="2"/>
  <c r="B76" i="2"/>
  <c r="C76" i="2"/>
  <c r="D76" i="2"/>
  <c r="E76" i="2"/>
  <c r="G76" i="2"/>
  <c r="H76" i="2"/>
  <c r="I76" i="2"/>
  <c r="K76" i="2"/>
  <c r="L76" i="2"/>
  <c r="M76" i="2"/>
  <c r="N76" i="2"/>
  <c r="O76" i="2"/>
  <c r="P76" i="2"/>
  <c r="Q76" i="2"/>
  <c r="W76" i="2"/>
  <c r="A77" i="2"/>
  <c r="B77" i="2"/>
  <c r="C77" i="2"/>
  <c r="D77" i="2"/>
  <c r="E77" i="2"/>
  <c r="G77" i="2"/>
  <c r="H77" i="2"/>
  <c r="I77" i="2"/>
  <c r="K77" i="2"/>
  <c r="X77" i="2" s="1"/>
  <c r="L77" i="2"/>
  <c r="M77" i="2"/>
  <c r="N77" i="2"/>
  <c r="O77" i="2"/>
  <c r="P77" i="2"/>
  <c r="Q77" i="2"/>
  <c r="W77" i="2"/>
  <c r="A78" i="2"/>
  <c r="B78" i="2"/>
  <c r="C78" i="2"/>
  <c r="D78" i="2"/>
  <c r="E78" i="2"/>
  <c r="G78" i="2"/>
  <c r="H78" i="2"/>
  <c r="I78" i="2"/>
  <c r="K78" i="2"/>
  <c r="L78" i="2"/>
  <c r="M78" i="2"/>
  <c r="N78" i="2"/>
  <c r="O78" i="2"/>
  <c r="P78" i="2"/>
  <c r="Q78" i="2"/>
  <c r="A79" i="2"/>
  <c r="B79" i="2"/>
  <c r="C79" i="2"/>
  <c r="D79" i="2"/>
  <c r="E79" i="2"/>
  <c r="G79" i="2"/>
  <c r="H79" i="2"/>
  <c r="I79" i="2"/>
  <c r="K79" i="2"/>
  <c r="L79" i="2"/>
  <c r="M79" i="2"/>
  <c r="N79" i="2"/>
  <c r="O79" i="2"/>
  <c r="P79" i="2"/>
  <c r="Q79" i="2"/>
  <c r="A80" i="2"/>
  <c r="B80" i="2"/>
  <c r="C80" i="2"/>
  <c r="D80" i="2"/>
  <c r="E80" i="2"/>
  <c r="G80" i="2"/>
  <c r="H80" i="2"/>
  <c r="I80" i="2"/>
  <c r="K80" i="2"/>
  <c r="L80" i="2"/>
  <c r="M80" i="2"/>
  <c r="N80" i="2"/>
  <c r="O80" i="2"/>
  <c r="P80" i="2"/>
  <c r="Q80" i="2"/>
  <c r="A81" i="2"/>
  <c r="B81" i="2"/>
  <c r="C81" i="2"/>
  <c r="D81" i="2"/>
  <c r="E81" i="2"/>
  <c r="G81" i="2"/>
  <c r="H81" i="2"/>
  <c r="I81" i="2"/>
  <c r="K81" i="2"/>
  <c r="L81" i="2"/>
  <c r="M81" i="2"/>
  <c r="N81" i="2"/>
  <c r="O81" i="2"/>
  <c r="P81" i="2"/>
  <c r="Q81" i="2"/>
  <c r="W81" i="2"/>
  <c r="A82" i="2"/>
  <c r="B82" i="2"/>
  <c r="C82" i="2"/>
  <c r="D82" i="2"/>
  <c r="E82" i="2"/>
  <c r="G82" i="2"/>
  <c r="H82" i="2"/>
  <c r="I82" i="2"/>
  <c r="K82" i="2"/>
  <c r="L82" i="2"/>
  <c r="M82" i="2"/>
  <c r="N82" i="2"/>
  <c r="O82" i="2"/>
  <c r="P82" i="2"/>
  <c r="Q82" i="2"/>
  <c r="A83" i="2"/>
  <c r="B83" i="2"/>
  <c r="C83" i="2"/>
  <c r="D83" i="2"/>
  <c r="E83" i="2"/>
  <c r="G83" i="2"/>
  <c r="H83" i="2"/>
  <c r="I83" i="2"/>
  <c r="K83" i="2"/>
  <c r="L83" i="2"/>
  <c r="M83" i="2"/>
  <c r="N83" i="2"/>
  <c r="O83" i="2"/>
  <c r="P83" i="2"/>
  <c r="Q83" i="2"/>
  <c r="A84" i="2"/>
  <c r="B84" i="2"/>
  <c r="C84" i="2"/>
  <c r="D84" i="2"/>
  <c r="E84" i="2"/>
  <c r="G84" i="2"/>
  <c r="H84" i="2"/>
  <c r="I84" i="2"/>
  <c r="K84" i="2"/>
  <c r="L84" i="2"/>
  <c r="M84" i="2"/>
  <c r="N84" i="2"/>
  <c r="O84" i="2"/>
  <c r="P84" i="2"/>
  <c r="Q84" i="2"/>
  <c r="A85" i="2"/>
  <c r="B85" i="2"/>
  <c r="C85" i="2"/>
  <c r="D85" i="2"/>
  <c r="E85" i="2"/>
  <c r="G85" i="2"/>
  <c r="H85" i="2"/>
  <c r="I85" i="2"/>
  <c r="K85" i="2"/>
  <c r="L85" i="2"/>
  <c r="M85" i="2"/>
  <c r="N85" i="2"/>
  <c r="O85" i="2"/>
  <c r="P85" i="2"/>
  <c r="Q85" i="2"/>
  <c r="A86" i="2"/>
  <c r="B86" i="2"/>
  <c r="C86" i="2"/>
  <c r="D86" i="2"/>
  <c r="E86" i="2"/>
  <c r="G86" i="2"/>
  <c r="H86" i="2"/>
  <c r="I86" i="2"/>
  <c r="K86" i="2"/>
  <c r="L86" i="2"/>
  <c r="M86" i="2"/>
  <c r="N86" i="2"/>
  <c r="O86" i="2"/>
  <c r="P86" i="2"/>
  <c r="Q86" i="2"/>
  <c r="W86" i="2"/>
  <c r="A87" i="2"/>
  <c r="B87" i="2"/>
  <c r="C87" i="2"/>
  <c r="D87" i="2"/>
  <c r="E87" i="2"/>
  <c r="G87" i="2"/>
  <c r="H87" i="2"/>
  <c r="I87" i="2"/>
  <c r="K87" i="2"/>
  <c r="L87" i="2"/>
  <c r="M87" i="2"/>
  <c r="N87" i="2"/>
  <c r="O87" i="2"/>
  <c r="P87" i="2"/>
  <c r="Q87" i="2"/>
  <c r="A88" i="2"/>
  <c r="B88" i="2"/>
  <c r="C88" i="2"/>
  <c r="D88" i="2"/>
  <c r="E88" i="2"/>
  <c r="G88" i="2"/>
  <c r="H88" i="2"/>
  <c r="I88" i="2"/>
  <c r="K88" i="2"/>
  <c r="L88" i="2"/>
  <c r="M88" i="2"/>
  <c r="N88" i="2"/>
  <c r="O88" i="2"/>
  <c r="P88" i="2"/>
  <c r="Q88" i="2"/>
  <c r="A89" i="2"/>
  <c r="B89" i="2"/>
  <c r="C89" i="2"/>
  <c r="D89" i="2"/>
  <c r="E89" i="2"/>
  <c r="G89" i="2"/>
  <c r="H89" i="2"/>
  <c r="I89" i="2"/>
  <c r="K89" i="2"/>
  <c r="X89" i="2" s="1"/>
  <c r="L89" i="2"/>
  <c r="M89" i="2"/>
  <c r="N89" i="2"/>
  <c r="O89" i="2"/>
  <c r="P89" i="2"/>
  <c r="Q89" i="2"/>
  <c r="W89" i="2"/>
  <c r="A90" i="2"/>
  <c r="B90" i="2"/>
  <c r="C90" i="2"/>
  <c r="D90" i="2"/>
  <c r="E90" i="2"/>
  <c r="G90" i="2"/>
  <c r="H90" i="2"/>
  <c r="I90" i="2"/>
  <c r="K90" i="2"/>
  <c r="L90" i="2"/>
  <c r="M90" i="2"/>
  <c r="N90" i="2"/>
  <c r="O90" i="2"/>
  <c r="P90" i="2"/>
  <c r="Q90" i="2"/>
  <c r="A91" i="2"/>
  <c r="B91" i="2"/>
  <c r="C91" i="2"/>
  <c r="D91" i="2"/>
  <c r="E91" i="2"/>
  <c r="G91" i="2"/>
  <c r="H91" i="2"/>
  <c r="I91" i="2"/>
  <c r="K91" i="2"/>
  <c r="L91" i="2"/>
  <c r="M91" i="2"/>
  <c r="N91" i="2"/>
  <c r="O91" i="2"/>
  <c r="P91" i="2"/>
  <c r="Q91" i="2"/>
  <c r="A92" i="2"/>
  <c r="B92" i="2"/>
  <c r="C92" i="2"/>
  <c r="D92" i="2"/>
  <c r="E92" i="2"/>
  <c r="G92" i="2"/>
  <c r="H92" i="2"/>
  <c r="I92" i="2"/>
  <c r="K92" i="2"/>
  <c r="L92" i="2"/>
  <c r="M92" i="2"/>
  <c r="N92" i="2"/>
  <c r="O92" i="2"/>
  <c r="P92" i="2"/>
  <c r="Q92" i="2"/>
  <c r="A93" i="2"/>
  <c r="B93" i="2"/>
  <c r="C93" i="2"/>
  <c r="D93" i="2"/>
  <c r="E93" i="2"/>
  <c r="G93" i="2"/>
  <c r="H93" i="2"/>
  <c r="I93" i="2"/>
  <c r="K93" i="2"/>
  <c r="L93" i="2"/>
  <c r="M93" i="2"/>
  <c r="N93" i="2"/>
  <c r="O93" i="2"/>
  <c r="P93" i="2"/>
  <c r="Q93" i="2"/>
  <c r="W93" i="2"/>
  <c r="A94" i="2"/>
  <c r="B94" i="2"/>
  <c r="C94" i="2"/>
  <c r="D94" i="2"/>
  <c r="E94" i="2"/>
  <c r="G94" i="2"/>
  <c r="H94" i="2"/>
  <c r="I94" i="2"/>
  <c r="K94" i="2"/>
  <c r="L94" i="2"/>
  <c r="M94" i="2"/>
  <c r="N94" i="2"/>
  <c r="O94" i="2"/>
  <c r="P94" i="2"/>
  <c r="Q94" i="2"/>
  <c r="W94" i="2"/>
  <c r="A95" i="2"/>
  <c r="A95" i="3" s="1"/>
  <c r="B95" i="2"/>
  <c r="C95" i="2"/>
  <c r="D95" i="2"/>
  <c r="E95" i="2"/>
  <c r="G95" i="2"/>
  <c r="H95" i="2"/>
  <c r="I95" i="2"/>
  <c r="K95" i="2"/>
  <c r="L95" i="2"/>
  <c r="M95" i="2"/>
  <c r="N95" i="2"/>
  <c r="O95" i="2"/>
  <c r="P95" i="2"/>
  <c r="Q95" i="2"/>
  <c r="A96" i="2"/>
  <c r="B96" i="2"/>
  <c r="C96" i="2"/>
  <c r="D96" i="2"/>
  <c r="E96" i="2"/>
  <c r="G96" i="2"/>
  <c r="H96" i="2"/>
  <c r="I96" i="2"/>
  <c r="K96" i="2"/>
  <c r="L96" i="2"/>
  <c r="M96" i="2"/>
  <c r="N96" i="2"/>
  <c r="O96" i="2"/>
  <c r="P96" i="2"/>
  <c r="Q96" i="2"/>
  <c r="A97" i="2"/>
  <c r="B97" i="2"/>
  <c r="C97" i="2"/>
  <c r="D97" i="2"/>
  <c r="E97" i="2"/>
  <c r="G97" i="2"/>
  <c r="H97" i="2"/>
  <c r="I97" i="2"/>
  <c r="K97" i="2"/>
  <c r="X97" i="2" s="1"/>
  <c r="L97" i="2"/>
  <c r="M97" i="2"/>
  <c r="N97" i="2"/>
  <c r="O97" i="2"/>
  <c r="P97" i="2"/>
  <c r="Q97" i="2"/>
  <c r="W97" i="2"/>
  <c r="A98" i="2"/>
  <c r="B98" i="2"/>
  <c r="C98" i="2"/>
  <c r="D98" i="2"/>
  <c r="E98" i="2"/>
  <c r="G98" i="2"/>
  <c r="H98" i="2"/>
  <c r="I98" i="2"/>
  <c r="K98" i="2"/>
  <c r="L98" i="2"/>
  <c r="M98" i="2"/>
  <c r="N98" i="2"/>
  <c r="O98" i="2"/>
  <c r="P98" i="2"/>
  <c r="Q98" i="2"/>
  <c r="A99" i="2"/>
  <c r="B99" i="2"/>
  <c r="C99" i="2"/>
  <c r="D99" i="2"/>
  <c r="E99" i="2"/>
  <c r="G99" i="2"/>
  <c r="H99" i="2"/>
  <c r="I99" i="2"/>
  <c r="K99" i="2"/>
  <c r="L99" i="2"/>
  <c r="M99" i="2"/>
  <c r="N99" i="2"/>
  <c r="O99" i="2"/>
  <c r="P99" i="2"/>
  <c r="Q99" i="2"/>
  <c r="A100" i="2"/>
  <c r="B100" i="2"/>
  <c r="C100" i="2"/>
  <c r="D100" i="2"/>
  <c r="E100" i="2"/>
  <c r="G100" i="2"/>
  <c r="H100" i="2"/>
  <c r="I100" i="2"/>
  <c r="K100" i="2"/>
  <c r="L100" i="2"/>
  <c r="M100" i="2"/>
  <c r="N100" i="2"/>
  <c r="O100" i="2"/>
  <c r="P100" i="2"/>
  <c r="Q100" i="2"/>
  <c r="A101" i="2"/>
  <c r="B101" i="2"/>
  <c r="C101" i="2"/>
  <c r="D101" i="2"/>
  <c r="E101" i="2"/>
  <c r="G101" i="2"/>
  <c r="H101" i="2"/>
  <c r="I101" i="2"/>
  <c r="K101" i="2"/>
  <c r="X101" i="2" s="1"/>
  <c r="L101" i="2"/>
  <c r="M101" i="2"/>
  <c r="N101" i="2"/>
  <c r="O101" i="2"/>
  <c r="P101" i="2"/>
  <c r="Q101" i="2"/>
  <c r="W101" i="2"/>
  <c r="A102" i="2"/>
  <c r="B102" i="2"/>
  <c r="C102" i="2"/>
  <c r="D102" i="2"/>
  <c r="E102" i="2"/>
  <c r="G102" i="2"/>
  <c r="H102" i="2"/>
  <c r="I102" i="2"/>
  <c r="K102" i="2"/>
  <c r="L102" i="2"/>
  <c r="M102" i="2"/>
  <c r="N102" i="2"/>
  <c r="O102" i="2"/>
  <c r="P102" i="2"/>
  <c r="Q102" i="2"/>
  <c r="W102" i="2"/>
  <c r="A103" i="2"/>
  <c r="B103" i="2"/>
  <c r="C103" i="2"/>
  <c r="D103" i="2"/>
  <c r="E103" i="2"/>
  <c r="G103" i="2"/>
  <c r="H103" i="2"/>
  <c r="I103" i="2"/>
  <c r="K103" i="2"/>
  <c r="L103" i="2"/>
  <c r="M103" i="2"/>
  <c r="N103" i="2"/>
  <c r="O103" i="2"/>
  <c r="P103" i="2"/>
  <c r="Q103" i="2"/>
  <c r="A104" i="2"/>
  <c r="B104" i="2"/>
  <c r="C104" i="2"/>
  <c r="D104" i="2"/>
  <c r="E104" i="2"/>
  <c r="G104" i="2"/>
  <c r="H104" i="2"/>
  <c r="I104" i="2"/>
  <c r="K104" i="2"/>
  <c r="L104" i="2"/>
  <c r="M104" i="2"/>
  <c r="N104" i="2"/>
  <c r="O104" i="2"/>
  <c r="P104" i="2"/>
  <c r="Q104" i="2"/>
  <c r="A105" i="2"/>
  <c r="B105" i="2"/>
  <c r="C105" i="2"/>
  <c r="D105" i="2"/>
  <c r="E105" i="2"/>
  <c r="G105" i="2"/>
  <c r="H105" i="2"/>
  <c r="I105" i="2"/>
  <c r="K105" i="2"/>
  <c r="X105" i="2" s="1"/>
  <c r="L105" i="2"/>
  <c r="M105" i="2"/>
  <c r="N105" i="2"/>
  <c r="O105" i="2"/>
  <c r="P105" i="2"/>
  <c r="Q105" i="2"/>
  <c r="A106" i="2"/>
  <c r="B106" i="2"/>
  <c r="C106" i="2"/>
  <c r="D106" i="2"/>
  <c r="E106" i="2"/>
  <c r="G106" i="2"/>
  <c r="H106" i="2"/>
  <c r="I106" i="2"/>
  <c r="K106" i="2"/>
  <c r="L106" i="2"/>
  <c r="M106" i="2"/>
  <c r="N106" i="2"/>
  <c r="O106" i="2"/>
  <c r="P106" i="2"/>
  <c r="Q106" i="2"/>
  <c r="A107" i="2"/>
  <c r="B107" i="2"/>
  <c r="C107" i="2"/>
  <c r="D107" i="2"/>
  <c r="E107" i="2"/>
  <c r="G107" i="2"/>
  <c r="H107" i="2"/>
  <c r="I107" i="2"/>
  <c r="K107" i="2"/>
  <c r="L107" i="2"/>
  <c r="M107" i="2"/>
  <c r="N107" i="2"/>
  <c r="O107" i="2"/>
  <c r="P107" i="2"/>
  <c r="Q107" i="2"/>
  <c r="A108" i="2"/>
  <c r="B108" i="2"/>
  <c r="C108" i="2"/>
  <c r="D108" i="2"/>
  <c r="E108" i="2"/>
  <c r="G108" i="2"/>
  <c r="H108" i="2"/>
  <c r="I108" i="2"/>
  <c r="K108" i="2"/>
  <c r="L108" i="2"/>
  <c r="M108" i="2"/>
  <c r="N108" i="2"/>
  <c r="O108" i="2"/>
  <c r="P108" i="2"/>
  <c r="Q108" i="2"/>
  <c r="A109" i="2"/>
  <c r="B109" i="2"/>
  <c r="C109" i="2"/>
  <c r="D109" i="2"/>
  <c r="E109" i="2"/>
  <c r="G109" i="2"/>
  <c r="H109" i="2"/>
  <c r="I109" i="2"/>
  <c r="K109" i="2"/>
  <c r="X109" i="2" s="1"/>
  <c r="L109" i="2"/>
  <c r="M109" i="2"/>
  <c r="N109" i="2"/>
  <c r="O109" i="2"/>
  <c r="P109" i="2"/>
  <c r="Q109" i="2"/>
  <c r="W109" i="2"/>
  <c r="A110" i="2"/>
  <c r="B110" i="2"/>
  <c r="C110" i="2"/>
  <c r="D110" i="2"/>
  <c r="E110" i="2"/>
  <c r="G110" i="2"/>
  <c r="H110" i="2"/>
  <c r="I110" i="2"/>
  <c r="K110" i="2"/>
  <c r="L110" i="2"/>
  <c r="M110" i="2"/>
  <c r="N110" i="2"/>
  <c r="O110" i="2"/>
  <c r="P110" i="2"/>
  <c r="Q110" i="2"/>
  <c r="W110" i="2"/>
  <c r="A111" i="2"/>
  <c r="B111" i="2"/>
  <c r="C111" i="2"/>
  <c r="D111" i="2"/>
  <c r="E111" i="2"/>
  <c r="G111" i="2"/>
  <c r="H111" i="2"/>
  <c r="I111" i="2"/>
  <c r="K111" i="2"/>
  <c r="L111" i="2"/>
  <c r="M111" i="2"/>
  <c r="N111" i="2"/>
  <c r="O111" i="2"/>
  <c r="P111" i="2"/>
  <c r="Q111" i="2"/>
  <c r="A112" i="2"/>
  <c r="B112" i="2"/>
  <c r="C112" i="2"/>
  <c r="D112" i="2"/>
  <c r="E112" i="2"/>
  <c r="G112" i="2"/>
  <c r="H112" i="2"/>
  <c r="I112" i="2"/>
  <c r="K112" i="2"/>
  <c r="L112" i="2"/>
  <c r="M112" i="2"/>
  <c r="N112" i="2"/>
  <c r="O112" i="2"/>
  <c r="P112" i="2"/>
  <c r="Q112" i="2"/>
  <c r="A113" i="2"/>
  <c r="B113" i="2"/>
  <c r="C113" i="2"/>
  <c r="D113" i="2"/>
  <c r="E113" i="2"/>
  <c r="G113" i="2"/>
  <c r="H113" i="2"/>
  <c r="I113" i="2"/>
  <c r="K113" i="2"/>
  <c r="X113" i="2" s="1"/>
  <c r="L113" i="2"/>
  <c r="M113" i="2"/>
  <c r="N113" i="2"/>
  <c r="O113" i="2"/>
  <c r="P113" i="2"/>
  <c r="Q113" i="2"/>
  <c r="A114" i="2"/>
  <c r="B114" i="2"/>
  <c r="C114" i="2"/>
  <c r="D114" i="2"/>
  <c r="E114" i="2"/>
  <c r="G114" i="2"/>
  <c r="H114" i="2"/>
  <c r="I114" i="2"/>
  <c r="K114" i="2"/>
  <c r="L114" i="2"/>
  <c r="M114" i="2"/>
  <c r="N114" i="2"/>
  <c r="O114" i="2"/>
  <c r="P114" i="2"/>
  <c r="Q114" i="2"/>
  <c r="A115" i="2"/>
  <c r="B115" i="2"/>
  <c r="C115" i="2"/>
  <c r="D115" i="2"/>
  <c r="E115" i="2"/>
  <c r="G115" i="2"/>
  <c r="H115" i="2"/>
  <c r="I115" i="2"/>
  <c r="K115" i="2"/>
  <c r="L115" i="2"/>
  <c r="M115" i="2"/>
  <c r="N115" i="2"/>
  <c r="O115" i="2"/>
  <c r="P115" i="2"/>
  <c r="Q115" i="2"/>
  <c r="A116" i="2"/>
  <c r="B116" i="2"/>
  <c r="C116" i="2"/>
  <c r="D116" i="2"/>
  <c r="E116" i="2"/>
  <c r="G116" i="2"/>
  <c r="H116" i="2"/>
  <c r="I116" i="2"/>
  <c r="K116" i="2"/>
  <c r="L116" i="2"/>
  <c r="M116" i="2"/>
  <c r="N116" i="2"/>
  <c r="O116" i="2"/>
  <c r="P116" i="2"/>
  <c r="Q116" i="2"/>
  <c r="A117" i="2"/>
  <c r="B117" i="2"/>
  <c r="C117" i="2"/>
  <c r="D117" i="2"/>
  <c r="E117" i="2"/>
  <c r="G117" i="2"/>
  <c r="H117" i="2"/>
  <c r="I117" i="2"/>
  <c r="K117" i="2"/>
  <c r="L117" i="2"/>
  <c r="M117" i="2"/>
  <c r="N117" i="2"/>
  <c r="O117" i="2"/>
  <c r="P117" i="2"/>
  <c r="Q117" i="2"/>
  <c r="A118" i="2"/>
  <c r="B118" i="2"/>
  <c r="C118" i="2"/>
  <c r="D118" i="2"/>
  <c r="E118" i="2"/>
  <c r="G118" i="2"/>
  <c r="H118" i="2"/>
  <c r="I118" i="2"/>
  <c r="K118" i="2"/>
  <c r="L118" i="2"/>
  <c r="M118" i="2"/>
  <c r="N118" i="2"/>
  <c r="O118" i="2"/>
  <c r="P118" i="2"/>
  <c r="Q118" i="2"/>
  <c r="A119" i="2"/>
  <c r="B119" i="2"/>
  <c r="C119" i="2"/>
  <c r="D119" i="2"/>
  <c r="E119" i="2"/>
  <c r="I119" i="2"/>
  <c r="K119" i="2"/>
  <c r="U119" i="2" s="1"/>
  <c r="L119" i="2"/>
  <c r="M119" i="2"/>
  <c r="N119" i="2"/>
  <c r="O119" i="2"/>
  <c r="P119" i="2"/>
  <c r="Q119" i="2"/>
  <c r="A6" i="2"/>
  <c r="B6" i="2"/>
  <c r="C6" i="2"/>
  <c r="D6" i="2"/>
  <c r="E6" i="2"/>
  <c r="G6" i="2"/>
  <c r="H6" i="2"/>
  <c r="I6" i="2"/>
  <c r="K6" i="2"/>
  <c r="L6" i="2"/>
  <c r="M6" i="2"/>
  <c r="N6" i="2"/>
  <c r="O6" i="2"/>
  <c r="P6" i="2"/>
  <c r="A7" i="2"/>
  <c r="B7" i="2"/>
  <c r="C7" i="2"/>
  <c r="D7" i="2"/>
  <c r="E7" i="2"/>
  <c r="G7" i="2"/>
  <c r="I7" i="2"/>
  <c r="K7" i="2"/>
  <c r="L7" i="2"/>
  <c r="M7" i="2"/>
  <c r="N7" i="2"/>
  <c r="U7" i="2" s="1"/>
  <c r="E7" i="3" s="1"/>
  <c r="O7" i="2"/>
  <c r="P7" i="2"/>
  <c r="A8" i="2"/>
  <c r="B8" i="2"/>
  <c r="C8" i="2"/>
  <c r="D8" i="2"/>
  <c r="E8" i="2"/>
  <c r="G8" i="2"/>
  <c r="H8" i="2"/>
  <c r="I8" i="2"/>
  <c r="K8" i="2"/>
  <c r="W8" i="2" s="1"/>
  <c r="L8" i="2"/>
  <c r="M8" i="2"/>
  <c r="N8" i="2"/>
  <c r="O8" i="2"/>
  <c r="P8" i="2"/>
  <c r="W5" i="2"/>
  <c r="W6" i="2"/>
  <c r="M5" i="2"/>
  <c r="N5" i="2"/>
  <c r="K5" i="2"/>
  <c r="Q2" i="2"/>
  <c r="Q3" i="2"/>
  <c r="Q4" i="2"/>
  <c r="Q5" i="2"/>
  <c r="Q6" i="2"/>
  <c r="Q7" i="2"/>
  <c r="Q8" i="2"/>
  <c r="Q1" i="2"/>
  <c r="K117" i="1"/>
  <c r="K115" i="1"/>
  <c r="K113" i="1"/>
  <c r="K112" i="1"/>
  <c r="K111" i="1"/>
  <c r="K110" i="1"/>
  <c r="K109" i="1"/>
  <c r="K108" i="1"/>
  <c r="K107" i="1"/>
  <c r="K105" i="1"/>
  <c r="K101" i="1"/>
  <c r="F117" i="1"/>
  <c r="E115" i="1"/>
  <c r="F113" i="1"/>
  <c r="E112" i="1"/>
  <c r="C110" i="1"/>
  <c r="F109" i="1"/>
  <c r="E109" i="1"/>
  <c r="D109" i="1"/>
  <c r="C109" i="1"/>
  <c r="F108" i="1"/>
  <c r="E108" i="1"/>
  <c r="D108" i="1"/>
  <c r="C108" i="1"/>
  <c r="C102" i="1"/>
  <c r="K93" i="1"/>
  <c r="K90" i="1"/>
  <c r="K86" i="1"/>
  <c r="E91" i="1"/>
  <c r="K82" i="1"/>
  <c r="K72" i="1"/>
  <c r="F78" i="1"/>
  <c r="F71" i="1"/>
  <c r="E71" i="1"/>
  <c r="C71" i="1"/>
  <c r="W119" i="2" l="1"/>
  <c r="X75" i="2"/>
  <c r="X79" i="2"/>
  <c r="X71" i="2"/>
  <c r="C82" i="3"/>
  <c r="U114" i="2"/>
  <c r="E114" i="3" s="1"/>
  <c r="X93" i="2"/>
  <c r="X81" i="2"/>
  <c r="W79" i="2"/>
  <c r="W71" i="2"/>
  <c r="W65" i="2"/>
  <c r="C61" i="3"/>
  <c r="U61" i="2"/>
  <c r="E61" i="3" s="1"/>
  <c r="C64" i="3"/>
  <c r="X64" i="2"/>
  <c r="X65" i="2"/>
  <c r="W60" i="2"/>
  <c r="E32" i="3"/>
  <c r="X32" i="2"/>
  <c r="E34" i="3"/>
  <c r="U44" i="2"/>
  <c r="W44" i="2" s="1"/>
  <c r="W32" i="2"/>
  <c r="X48" i="2"/>
  <c r="W48" i="2"/>
  <c r="C48" i="3"/>
  <c r="C32" i="3"/>
  <c r="X52" i="2"/>
  <c r="X34" i="2"/>
  <c r="C11" i="3"/>
  <c r="C10" i="3"/>
  <c r="E24" i="3"/>
  <c r="C22" i="3"/>
  <c r="W20" i="2"/>
  <c r="C21" i="3"/>
  <c r="U31" i="2"/>
  <c r="W31" i="2" s="1"/>
  <c r="E20" i="3"/>
  <c r="O123" i="4"/>
  <c r="O115" i="4"/>
  <c r="O89" i="4"/>
  <c r="O141" i="4"/>
  <c r="O128" i="4"/>
  <c r="O124" i="4"/>
  <c r="O97" i="4"/>
  <c r="O105" i="4"/>
  <c r="O95" i="4"/>
  <c r="O122" i="4"/>
  <c r="O129" i="4"/>
  <c r="O130" i="4"/>
  <c r="O99" i="4"/>
  <c r="O113" i="4"/>
  <c r="O142" i="4"/>
  <c r="O131" i="4"/>
  <c r="N123" i="4"/>
  <c r="O94" i="4"/>
  <c r="O137" i="4"/>
  <c r="O127" i="4"/>
  <c r="O114" i="4"/>
  <c r="O111" i="4"/>
  <c r="O96" i="4"/>
  <c r="M137" i="4"/>
  <c r="O121" i="4"/>
  <c r="O132" i="4"/>
  <c r="O110" i="4"/>
  <c r="O90" i="4"/>
  <c r="O98" i="4"/>
  <c r="O143" i="4"/>
  <c r="O107" i="4"/>
  <c r="O91" i="4"/>
  <c r="O126" i="4"/>
  <c r="O108" i="4"/>
  <c r="O112" i="4"/>
  <c r="O116" i="4"/>
  <c r="O92" i="4"/>
  <c r="O100" i="4"/>
  <c r="M141" i="4"/>
  <c r="O133" i="4"/>
  <c r="O125" i="4"/>
  <c r="O109" i="4"/>
  <c r="O93" i="4"/>
  <c r="X35" i="2"/>
  <c r="X31" i="2"/>
  <c r="E35" i="3"/>
  <c r="E31" i="3"/>
  <c r="X119" i="2"/>
  <c r="W16" i="2"/>
  <c r="W12" i="2"/>
  <c r="X16" i="2"/>
  <c r="X60" i="2"/>
  <c r="W59" i="2"/>
  <c r="W42" i="2"/>
  <c r="X38" i="2"/>
  <c r="E65" i="3"/>
  <c r="E60" i="3"/>
  <c r="E52" i="3"/>
  <c r="E38" i="3"/>
  <c r="W51" i="2"/>
  <c r="E92" i="3"/>
  <c r="W115" i="2"/>
  <c r="W111" i="2"/>
  <c r="W107" i="2"/>
  <c r="W103" i="2"/>
  <c r="W95" i="2"/>
  <c r="W91" i="2"/>
  <c r="W87" i="2"/>
  <c r="X116" i="2"/>
  <c r="E96" i="3"/>
  <c r="E88" i="3"/>
  <c r="E84" i="3"/>
  <c r="X115" i="2"/>
  <c r="X111" i="2"/>
  <c r="X107" i="2"/>
  <c r="X103" i="2"/>
  <c r="X95" i="2"/>
  <c r="X91" i="2"/>
  <c r="X87" i="2"/>
  <c r="W74" i="2"/>
  <c r="W80" i="2"/>
  <c r="X40" i="2"/>
  <c r="E40" i="3"/>
  <c r="X24" i="2"/>
  <c r="X57" i="2"/>
  <c r="W57" i="2"/>
  <c r="W26" i="2"/>
  <c r="X26" i="2"/>
  <c r="X117" i="2"/>
  <c r="W117" i="2"/>
  <c r="X63" i="2"/>
  <c r="W63" i="2"/>
  <c r="W56" i="2"/>
  <c r="X56" i="2"/>
  <c r="W50" i="2"/>
  <c r="X50" i="2"/>
  <c r="X42" i="2"/>
  <c r="X55" i="2"/>
  <c r="W55" i="2"/>
  <c r="W54" i="2"/>
  <c r="X54" i="2"/>
  <c r="X114" i="2"/>
  <c r="X112" i="2"/>
  <c r="X110" i="2"/>
  <c r="X108" i="2"/>
  <c r="X106" i="2"/>
  <c r="X104" i="2"/>
  <c r="X102" i="2"/>
  <c r="X96" i="2"/>
  <c r="X94" i="2"/>
  <c r="X92" i="2"/>
  <c r="X90" i="2"/>
  <c r="X88" i="2"/>
  <c r="X86" i="2"/>
  <c r="X82" i="2"/>
  <c r="X80" i="2"/>
  <c r="X78" i="2"/>
  <c r="X76" i="2"/>
  <c r="X74" i="2"/>
  <c r="X72" i="2"/>
  <c r="X66" i="2"/>
  <c r="W64" i="2"/>
  <c r="W62" i="2"/>
  <c r="X62" i="2"/>
  <c r="W22" i="2"/>
  <c r="X22" i="2"/>
  <c r="W18" i="2"/>
  <c r="X18" i="2"/>
  <c r="W14" i="2"/>
  <c r="X14" i="2"/>
  <c r="W10" i="2"/>
  <c r="X10" i="2"/>
  <c r="W23" i="2"/>
  <c r="X23" i="2"/>
  <c r="W19" i="2"/>
  <c r="X19" i="2"/>
  <c r="W15" i="2"/>
  <c r="X15" i="2"/>
  <c r="W11" i="2"/>
  <c r="X11" i="2"/>
  <c r="X53" i="2"/>
  <c r="W21" i="2"/>
  <c r="X21" i="2"/>
  <c r="W17" i="2"/>
  <c r="X17" i="2"/>
  <c r="W13" i="2"/>
  <c r="X13" i="2"/>
  <c r="W9" i="2"/>
  <c r="X9" i="2"/>
  <c r="X59" i="2"/>
  <c r="X51" i="2"/>
  <c r="X49" i="2"/>
  <c r="X47" i="2"/>
  <c r="X45" i="2"/>
  <c r="X43" i="2"/>
  <c r="X41" i="2"/>
  <c r="X39" i="2"/>
  <c r="X37" i="2"/>
  <c r="X27" i="2"/>
  <c r="W7" i="2"/>
  <c r="X7" i="2"/>
  <c r="X8" i="2"/>
  <c r="X5" i="2"/>
  <c r="X6" i="2"/>
  <c r="J81" i="4"/>
  <c r="J76" i="4"/>
  <c r="J74" i="4"/>
  <c r="J79" i="4"/>
  <c r="J53" i="4"/>
  <c r="J51" i="4"/>
  <c r="J46" i="4"/>
  <c r="J44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O34" i="4" s="1"/>
  <c r="G28" i="4"/>
  <c r="O35" i="4" s="1"/>
  <c r="G40" i="4"/>
  <c r="G41" i="4"/>
  <c r="G42" i="4"/>
  <c r="O41" i="4" s="1"/>
  <c r="G43" i="4"/>
  <c r="O42" i="4" s="1"/>
  <c r="G44" i="4"/>
  <c r="O43" i="4" s="1"/>
  <c r="G45" i="4"/>
  <c r="O45" i="4" s="1"/>
  <c r="G46" i="4"/>
  <c r="G47" i="4"/>
  <c r="G48" i="4"/>
  <c r="G49" i="4"/>
  <c r="G50" i="4"/>
  <c r="O52" i="4" s="1"/>
  <c r="G51" i="4"/>
  <c r="G52" i="4"/>
  <c r="G53" i="4"/>
  <c r="G54" i="4"/>
  <c r="O57" i="4" s="1"/>
  <c r="G55" i="4"/>
  <c r="G56" i="4"/>
  <c r="O59" i="4" s="1"/>
  <c r="G57" i="4"/>
  <c r="G58" i="4"/>
  <c r="O61" i="4" s="1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O75" i="4" s="1"/>
  <c r="G72" i="4"/>
  <c r="G73" i="4"/>
  <c r="G74" i="4"/>
  <c r="O80" i="4" s="1"/>
  <c r="G75" i="4"/>
  <c r="G76" i="4"/>
  <c r="G77" i="4"/>
  <c r="G6" i="4"/>
  <c r="J38" i="4"/>
  <c r="I2" i="4"/>
  <c r="I3" i="4"/>
  <c r="I4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1" i="4"/>
  <c r="A4" i="4"/>
  <c r="J4" i="4" s="1"/>
  <c r="A77" i="4"/>
  <c r="B77" i="4"/>
  <c r="K84" i="4" s="1"/>
  <c r="C77" i="4"/>
  <c r="L84" i="4" s="1"/>
  <c r="F77" i="4"/>
  <c r="A26" i="4"/>
  <c r="B26" i="4"/>
  <c r="C26" i="4"/>
  <c r="F26" i="4"/>
  <c r="A27" i="4"/>
  <c r="J34" i="4" s="1"/>
  <c r="B27" i="4"/>
  <c r="K34" i="4" s="1"/>
  <c r="C27" i="4"/>
  <c r="L34" i="4" s="1"/>
  <c r="F27" i="4"/>
  <c r="A28" i="4"/>
  <c r="J35" i="4" s="1"/>
  <c r="B28" i="4"/>
  <c r="K35" i="4" s="1"/>
  <c r="C28" i="4"/>
  <c r="L35" i="4" s="1"/>
  <c r="F28" i="4"/>
  <c r="A39" i="4"/>
  <c r="J37" i="4" s="1"/>
  <c r="A40" i="4"/>
  <c r="J39" i="4" s="1"/>
  <c r="B40" i="4"/>
  <c r="K39" i="4" s="1"/>
  <c r="C40" i="4"/>
  <c r="L39" i="4" s="1"/>
  <c r="F40" i="4"/>
  <c r="A41" i="4"/>
  <c r="J40" i="4" s="1"/>
  <c r="B41" i="4"/>
  <c r="K40" i="4" s="1"/>
  <c r="C41" i="4"/>
  <c r="L40" i="4" s="1"/>
  <c r="F41" i="4"/>
  <c r="A42" i="4"/>
  <c r="J41" i="4" s="1"/>
  <c r="B42" i="4"/>
  <c r="K41" i="4" s="1"/>
  <c r="C42" i="4"/>
  <c r="L41" i="4" s="1"/>
  <c r="F42" i="4"/>
  <c r="A43" i="4"/>
  <c r="J42" i="4" s="1"/>
  <c r="B43" i="4"/>
  <c r="K42" i="4" s="1"/>
  <c r="C43" i="4"/>
  <c r="L42" i="4" s="1"/>
  <c r="F43" i="4"/>
  <c r="A44" i="4"/>
  <c r="J43" i="4" s="1"/>
  <c r="B44" i="4"/>
  <c r="K43" i="4" s="1"/>
  <c r="C44" i="4"/>
  <c r="L43" i="4" s="1"/>
  <c r="F44" i="4"/>
  <c r="A45" i="4"/>
  <c r="J45" i="4" s="1"/>
  <c r="B45" i="4"/>
  <c r="K45" i="4" s="1"/>
  <c r="C45" i="4"/>
  <c r="L45" i="4" s="1"/>
  <c r="F45" i="4"/>
  <c r="A46" i="4"/>
  <c r="K47" i="4" s="1"/>
  <c r="B46" i="4"/>
  <c r="C46" i="4"/>
  <c r="F46" i="4"/>
  <c r="O47" i="4" s="1"/>
  <c r="A47" i="4"/>
  <c r="J48" i="4" s="1"/>
  <c r="B47" i="4"/>
  <c r="K48" i="4" s="1"/>
  <c r="C47" i="4"/>
  <c r="L48" i="4" s="1"/>
  <c r="F47" i="4"/>
  <c r="A48" i="4"/>
  <c r="J49" i="4" s="1"/>
  <c r="B48" i="4"/>
  <c r="K49" i="4" s="1"/>
  <c r="C48" i="4"/>
  <c r="L49" i="4" s="1"/>
  <c r="F48" i="4"/>
  <c r="A49" i="4"/>
  <c r="J50" i="4" s="1"/>
  <c r="B49" i="4"/>
  <c r="K50" i="4" s="1"/>
  <c r="C49" i="4"/>
  <c r="L50" i="4" s="1"/>
  <c r="F49" i="4"/>
  <c r="A50" i="4"/>
  <c r="J52" i="4" s="1"/>
  <c r="B50" i="4"/>
  <c r="K52" i="4" s="1"/>
  <c r="C50" i="4"/>
  <c r="L52" i="4" s="1"/>
  <c r="F50" i="4"/>
  <c r="A51" i="4"/>
  <c r="J54" i="4" s="1"/>
  <c r="B51" i="4"/>
  <c r="K54" i="4" s="1"/>
  <c r="C51" i="4"/>
  <c r="L54" i="4" s="1"/>
  <c r="F51" i="4"/>
  <c r="A52" i="4"/>
  <c r="J55" i="4" s="1"/>
  <c r="B52" i="4"/>
  <c r="K55" i="4" s="1"/>
  <c r="C52" i="4"/>
  <c r="L55" i="4" s="1"/>
  <c r="F52" i="4"/>
  <c r="A53" i="4"/>
  <c r="J56" i="4" s="1"/>
  <c r="B53" i="4"/>
  <c r="K56" i="4" s="1"/>
  <c r="C53" i="4"/>
  <c r="L56" i="4" s="1"/>
  <c r="F53" i="4"/>
  <c r="A54" i="4"/>
  <c r="J57" i="4" s="1"/>
  <c r="B54" i="4"/>
  <c r="K57" i="4" s="1"/>
  <c r="C54" i="4"/>
  <c r="L57" i="4" s="1"/>
  <c r="F54" i="4"/>
  <c r="A55" i="4"/>
  <c r="J58" i="4" s="1"/>
  <c r="B55" i="4"/>
  <c r="K58" i="4" s="1"/>
  <c r="C55" i="4"/>
  <c r="L58" i="4" s="1"/>
  <c r="F55" i="4"/>
  <c r="A56" i="4"/>
  <c r="J59" i="4" s="1"/>
  <c r="B56" i="4"/>
  <c r="K59" i="4" s="1"/>
  <c r="C56" i="4"/>
  <c r="L59" i="4" s="1"/>
  <c r="F56" i="4"/>
  <c r="A57" i="4"/>
  <c r="J60" i="4" s="1"/>
  <c r="B57" i="4"/>
  <c r="K60" i="4" s="1"/>
  <c r="C57" i="4"/>
  <c r="L60" i="4" s="1"/>
  <c r="F57" i="4"/>
  <c r="A58" i="4"/>
  <c r="J61" i="4" s="1"/>
  <c r="B58" i="4"/>
  <c r="K61" i="4" s="1"/>
  <c r="C58" i="4"/>
  <c r="L61" i="4" s="1"/>
  <c r="F58" i="4"/>
  <c r="A59" i="4"/>
  <c r="J62" i="4" s="1"/>
  <c r="B59" i="4"/>
  <c r="K62" i="4" s="1"/>
  <c r="C59" i="4"/>
  <c r="L62" i="4" s="1"/>
  <c r="F59" i="4"/>
  <c r="A60" i="4"/>
  <c r="J63" i="4" s="1"/>
  <c r="B60" i="4"/>
  <c r="K63" i="4" s="1"/>
  <c r="C60" i="4"/>
  <c r="L63" i="4" s="1"/>
  <c r="F60" i="4"/>
  <c r="A61" i="4"/>
  <c r="J64" i="4" s="1"/>
  <c r="B61" i="4"/>
  <c r="K64" i="4" s="1"/>
  <c r="C61" i="4"/>
  <c r="L64" i="4" s="1"/>
  <c r="F61" i="4"/>
  <c r="A62" i="4"/>
  <c r="J65" i="4" s="1"/>
  <c r="B62" i="4"/>
  <c r="K65" i="4" s="1"/>
  <c r="C62" i="4"/>
  <c r="L65" i="4" s="1"/>
  <c r="F62" i="4"/>
  <c r="A63" i="4"/>
  <c r="J66" i="4" s="1"/>
  <c r="B63" i="4"/>
  <c r="K66" i="4" s="1"/>
  <c r="C63" i="4"/>
  <c r="L66" i="4" s="1"/>
  <c r="F63" i="4"/>
  <c r="A64" i="4"/>
  <c r="J67" i="4" s="1"/>
  <c r="B64" i="4"/>
  <c r="K67" i="4" s="1"/>
  <c r="C64" i="4"/>
  <c r="L67" i="4" s="1"/>
  <c r="F64" i="4"/>
  <c r="A65" i="4"/>
  <c r="J68" i="4" s="1"/>
  <c r="B65" i="4"/>
  <c r="K68" i="4" s="1"/>
  <c r="C65" i="4"/>
  <c r="L68" i="4" s="1"/>
  <c r="F65" i="4"/>
  <c r="A66" i="4"/>
  <c r="J69" i="4" s="1"/>
  <c r="B66" i="4"/>
  <c r="K69" i="4" s="1"/>
  <c r="C66" i="4"/>
  <c r="L69" i="4" s="1"/>
  <c r="F66" i="4"/>
  <c r="A67" i="4"/>
  <c r="J70" i="4" s="1"/>
  <c r="B67" i="4"/>
  <c r="K70" i="4" s="1"/>
  <c r="C67" i="4"/>
  <c r="L70" i="4" s="1"/>
  <c r="F67" i="4"/>
  <c r="A68" i="4"/>
  <c r="J71" i="4" s="1"/>
  <c r="B68" i="4"/>
  <c r="K71" i="4" s="1"/>
  <c r="C68" i="4"/>
  <c r="L71" i="4" s="1"/>
  <c r="F68" i="4"/>
  <c r="A69" i="4"/>
  <c r="J72" i="4" s="1"/>
  <c r="B69" i="4"/>
  <c r="K72" i="4" s="1"/>
  <c r="C69" i="4"/>
  <c r="L72" i="4" s="1"/>
  <c r="F69" i="4"/>
  <c r="A70" i="4"/>
  <c r="J73" i="4" s="1"/>
  <c r="B70" i="4"/>
  <c r="K73" i="4" s="1"/>
  <c r="C70" i="4"/>
  <c r="L73" i="4" s="1"/>
  <c r="F70" i="4"/>
  <c r="A71" i="4"/>
  <c r="J75" i="4" s="1"/>
  <c r="B71" i="4"/>
  <c r="K75" i="4" s="1"/>
  <c r="C71" i="4"/>
  <c r="L75" i="4" s="1"/>
  <c r="F71" i="4"/>
  <c r="A72" i="4"/>
  <c r="J77" i="4" s="1"/>
  <c r="B72" i="4"/>
  <c r="K77" i="4" s="1"/>
  <c r="C72" i="4"/>
  <c r="L77" i="4" s="1"/>
  <c r="F72" i="4"/>
  <c r="A73" i="4"/>
  <c r="J78" i="4" s="1"/>
  <c r="B73" i="4"/>
  <c r="K78" i="4" s="1"/>
  <c r="C73" i="4"/>
  <c r="L78" i="4" s="1"/>
  <c r="F73" i="4"/>
  <c r="A74" i="4"/>
  <c r="J80" i="4" s="1"/>
  <c r="B74" i="4"/>
  <c r="K80" i="4" s="1"/>
  <c r="C74" i="4"/>
  <c r="L80" i="4" s="1"/>
  <c r="F74" i="4"/>
  <c r="A75" i="4"/>
  <c r="J82" i="4" s="1"/>
  <c r="B75" i="4"/>
  <c r="K82" i="4" s="1"/>
  <c r="C75" i="4"/>
  <c r="L82" i="4" s="1"/>
  <c r="F75" i="4"/>
  <c r="A76" i="4"/>
  <c r="J83" i="4" s="1"/>
  <c r="B76" i="4"/>
  <c r="K83" i="4" s="1"/>
  <c r="C76" i="4"/>
  <c r="L83" i="4" s="1"/>
  <c r="F76" i="4"/>
  <c r="D40" i="4"/>
  <c r="E40" i="4"/>
  <c r="N39" i="4" s="1"/>
  <c r="H40" i="4"/>
  <c r="P39" i="4" s="1"/>
  <c r="D41" i="4"/>
  <c r="M40" i="4" s="1"/>
  <c r="E41" i="4"/>
  <c r="N40" i="4" s="1"/>
  <c r="H41" i="4"/>
  <c r="P40" i="4" s="1"/>
  <c r="D42" i="4"/>
  <c r="M41" i="4" s="1"/>
  <c r="E42" i="4"/>
  <c r="N41" i="4" s="1"/>
  <c r="H42" i="4"/>
  <c r="P41" i="4" s="1"/>
  <c r="D43" i="4"/>
  <c r="M42" i="4" s="1"/>
  <c r="E43" i="4"/>
  <c r="N42" i="4" s="1"/>
  <c r="H43" i="4"/>
  <c r="P42" i="4" s="1"/>
  <c r="D44" i="4"/>
  <c r="M43" i="4" s="1"/>
  <c r="E44" i="4"/>
  <c r="N43" i="4" s="1"/>
  <c r="H44" i="4"/>
  <c r="P43" i="4" s="1"/>
  <c r="D45" i="4"/>
  <c r="M45" i="4" s="1"/>
  <c r="E45" i="4"/>
  <c r="N45" i="4" s="1"/>
  <c r="H45" i="4"/>
  <c r="P45" i="4" s="1"/>
  <c r="D46" i="4"/>
  <c r="M47" i="4" s="1"/>
  <c r="E46" i="4"/>
  <c r="N47" i="4" s="1"/>
  <c r="H46" i="4"/>
  <c r="P47" i="4" s="1"/>
  <c r="D47" i="4"/>
  <c r="E47" i="4"/>
  <c r="N48" i="4" s="1"/>
  <c r="H47" i="4"/>
  <c r="P48" i="4" s="1"/>
  <c r="D48" i="4"/>
  <c r="E48" i="4"/>
  <c r="N49" i="4" s="1"/>
  <c r="H48" i="4"/>
  <c r="P49" i="4" s="1"/>
  <c r="D49" i="4"/>
  <c r="E49" i="4"/>
  <c r="N50" i="4" s="1"/>
  <c r="H49" i="4"/>
  <c r="P50" i="4" s="1"/>
  <c r="D50" i="4"/>
  <c r="M52" i="4" s="1"/>
  <c r="E50" i="4"/>
  <c r="N52" i="4" s="1"/>
  <c r="H50" i="4"/>
  <c r="P52" i="4" s="1"/>
  <c r="D51" i="4"/>
  <c r="E51" i="4"/>
  <c r="N54" i="4" s="1"/>
  <c r="H51" i="4"/>
  <c r="P54" i="4" s="1"/>
  <c r="D52" i="4"/>
  <c r="E52" i="4"/>
  <c r="N55" i="4" s="1"/>
  <c r="H52" i="4"/>
  <c r="P55" i="4" s="1"/>
  <c r="D53" i="4"/>
  <c r="E53" i="4"/>
  <c r="N56" i="4" s="1"/>
  <c r="H53" i="4"/>
  <c r="P56" i="4" s="1"/>
  <c r="D54" i="4"/>
  <c r="M57" i="4" s="1"/>
  <c r="E54" i="4"/>
  <c r="N57" i="4" s="1"/>
  <c r="H54" i="4"/>
  <c r="P57" i="4" s="1"/>
  <c r="D55" i="4"/>
  <c r="E55" i="4"/>
  <c r="N58" i="4" s="1"/>
  <c r="H55" i="4"/>
  <c r="P58" i="4" s="1"/>
  <c r="D56" i="4"/>
  <c r="M59" i="4" s="1"/>
  <c r="E56" i="4"/>
  <c r="N59" i="4" s="1"/>
  <c r="H56" i="4"/>
  <c r="P59" i="4" s="1"/>
  <c r="D57" i="4"/>
  <c r="E57" i="4"/>
  <c r="N60" i="4" s="1"/>
  <c r="H57" i="4"/>
  <c r="P60" i="4" s="1"/>
  <c r="D58" i="4"/>
  <c r="M61" i="4" s="1"/>
  <c r="E58" i="4"/>
  <c r="N61" i="4" s="1"/>
  <c r="H58" i="4"/>
  <c r="P61" i="4" s="1"/>
  <c r="D59" i="4"/>
  <c r="E59" i="4"/>
  <c r="N62" i="4" s="1"/>
  <c r="H59" i="4"/>
  <c r="P62" i="4" s="1"/>
  <c r="D60" i="4"/>
  <c r="E60" i="4"/>
  <c r="N63" i="4" s="1"/>
  <c r="H60" i="4"/>
  <c r="P63" i="4" s="1"/>
  <c r="D61" i="4"/>
  <c r="E61" i="4"/>
  <c r="N64" i="4" s="1"/>
  <c r="H61" i="4"/>
  <c r="P64" i="4" s="1"/>
  <c r="D62" i="4"/>
  <c r="E62" i="4"/>
  <c r="N65" i="4" s="1"/>
  <c r="H62" i="4"/>
  <c r="P65" i="4" s="1"/>
  <c r="D63" i="4"/>
  <c r="E63" i="4"/>
  <c r="N66" i="4" s="1"/>
  <c r="H63" i="4"/>
  <c r="P66" i="4" s="1"/>
  <c r="D64" i="4"/>
  <c r="E64" i="4"/>
  <c r="N67" i="4" s="1"/>
  <c r="H64" i="4"/>
  <c r="P67" i="4" s="1"/>
  <c r="D65" i="4"/>
  <c r="E65" i="4"/>
  <c r="N68" i="4" s="1"/>
  <c r="H65" i="4"/>
  <c r="P68" i="4" s="1"/>
  <c r="D66" i="4"/>
  <c r="E66" i="4"/>
  <c r="N69" i="4" s="1"/>
  <c r="H66" i="4"/>
  <c r="P69" i="4" s="1"/>
  <c r="D67" i="4"/>
  <c r="E67" i="4"/>
  <c r="N70" i="4" s="1"/>
  <c r="H67" i="4"/>
  <c r="P70" i="4" s="1"/>
  <c r="D68" i="4"/>
  <c r="E68" i="4"/>
  <c r="N71" i="4" s="1"/>
  <c r="H68" i="4"/>
  <c r="P71" i="4" s="1"/>
  <c r="D69" i="4"/>
  <c r="E69" i="4"/>
  <c r="N72" i="4" s="1"/>
  <c r="H69" i="4"/>
  <c r="P72" i="4" s="1"/>
  <c r="D70" i="4"/>
  <c r="E70" i="4"/>
  <c r="N73" i="4" s="1"/>
  <c r="H70" i="4"/>
  <c r="P73" i="4" s="1"/>
  <c r="D71" i="4"/>
  <c r="M75" i="4" s="1"/>
  <c r="E71" i="4"/>
  <c r="N75" i="4" s="1"/>
  <c r="H71" i="4"/>
  <c r="P75" i="4" s="1"/>
  <c r="D72" i="4"/>
  <c r="E72" i="4"/>
  <c r="N77" i="4" s="1"/>
  <c r="H72" i="4"/>
  <c r="P77" i="4" s="1"/>
  <c r="D73" i="4"/>
  <c r="E73" i="4"/>
  <c r="N78" i="4" s="1"/>
  <c r="H73" i="4"/>
  <c r="P78" i="4" s="1"/>
  <c r="D74" i="4"/>
  <c r="M80" i="4" s="1"/>
  <c r="E74" i="4"/>
  <c r="N80" i="4" s="1"/>
  <c r="H74" i="4"/>
  <c r="P80" i="4" s="1"/>
  <c r="D75" i="4"/>
  <c r="E75" i="4"/>
  <c r="N82" i="4" s="1"/>
  <c r="H75" i="4"/>
  <c r="P82" i="4" s="1"/>
  <c r="D76" i="4"/>
  <c r="E76" i="4"/>
  <c r="N83" i="4" s="1"/>
  <c r="H76" i="4"/>
  <c r="P83" i="4" s="1"/>
  <c r="D77" i="4"/>
  <c r="E77" i="4"/>
  <c r="N84" i="4" s="1"/>
  <c r="H77" i="4"/>
  <c r="P84" i="4" s="1"/>
  <c r="D28" i="4"/>
  <c r="M35" i="4" s="1"/>
  <c r="E28" i="4"/>
  <c r="N35" i="4" s="1"/>
  <c r="H28" i="4"/>
  <c r="P35" i="4" s="1"/>
  <c r="H27" i="4"/>
  <c r="P34" i="4" s="1"/>
  <c r="E27" i="4"/>
  <c r="N34" i="4" s="1"/>
  <c r="D27" i="4"/>
  <c r="M34" i="4" s="1"/>
  <c r="F64" i="1"/>
  <c r="F63" i="1"/>
  <c r="E63" i="1"/>
  <c r="E61" i="1"/>
  <c r="F60" i="1"/>
  <c r="E60" i="1"/>
  <c r="C59" i="1"/>
  <c r="F54" i="1"/>
  <c r="E54" i="1"/>
  <c r="C54" i="1"/>
  <c r="F50" i="1"/>
  <c r="F49" i="1"/>
  <c r="F44" i="1"/>
  <c r="F41" i="1"/>
  <c r="E50" i="1"/>
  <c r="E49" i="1"/>
  <c r="E47" i="1"/>
  <c r="E45" i="1"/>
  <c r="D49" i="1"/>
  <c r="D47" i="1"/>
  <c r="D46" i="1"/>
  <c r="D45" i="1"/>
  <c r="C50" i="1"/>
  <c r="C49" i="1"/>
  <c r="C47" i="1"/>
  <c r="C46" i="1"/>
  <c r="C45" i="1"/>
  <c r="C44" i="1"/>
  <c r="C43" i="1"/>
  <c r="C42" i="1"/>
  <c r="C41" i="1"/>
  <c r="E37" i="1"/>
  <c r="F37" i="1"/>
  <c r="C37" i="1"/>
  <c r="D37" i="1"/>
  <c r="K23" i="1"/>
  <c r="K20" i="1"/>
  <c r="K12" i="1"/>
  <c r="K9" i="1"/>
  <c r="K6" i="1"/>
  <c r="W114" i="2" l="1"/>
  <c r="X61" i="2"/>
  <c r="W61" i="2"/>
  <c r="E44" i="3"/>
  <c r="X44" i="2"/>
  <c r="O78" i="4"/>
  <c r="O84" i="4"/>
  <c r="O82" i="4"/>
  <c r="O83" i="4"/>
  <c r="O77" i="4"/>
  <c r="M60" i="4"/>
  <c r="O60" i="4"/>
  <c r="M50" i="4"/>
  <c r="O50" i="4"/>
  <c r="M69" i="4"/>
  <c r="O69" i="4"/>
  <c r="M65" i="4"/>
  <c r="O65" i="4"/>
  <c r="M62" i="4"/>
  <c r="O62" i="4"/>
  <c r="M58" i="4"/>
  <c r="O58" i="4"/>
  <c r="M84" i="4"/>
  <c r="M78" i="4"/>
  <c r="M72" i="4"/>
  <c r="O72" i="4"/>
  <c r="M68" i="4"/>
  <c r="O68" i="4"/>
  <c r="M64" i="4"/>
  <c r="O64" i="4"/>
  <c r="M56" i="4"/>
  <c r="O56" i="4"/>
  <c r="M73" i="4"/>
  <c r="O73" i="4"/>
  <c r="M82" i="4"/>
  <c r="M70" i="4"/>
  <c r="O70" i="4"/>
  <c r="M66" i="4"/>
  <c r="O66" i="4"/>
  <c r="M54" i="4"/>
  <c r="O54" i="4"/>
  <c r="M48" i="4"/>
  <c r="O48" i="4"/>
  <c r="M83" i="4"/>
  <c r="M77" i="4"/>
  <c r="M71" i="4"/>
  <c r="O71" i="4"/>
  <c r="M67" i="4"/>
  <c r="O67" i="4"/>
  <c r="M63" i="4"/>
  <c r="O63" i="4"/>
  <c r="M55" i="4"/>
  <c r="O55" i="4"/>
  <c r="M49" i="4"/>
  <c r="O49" i="4"/>
  <c r="M39" i="4"/>
  <c r="O39" i="4"/>
  <c r="H25" i="4"/>
  <c r="P32" i="4" s="1"/>
  <c r="H26" i="4"/>
  <c r="P33" i="4" s="1"/>
  <c r="H7" i="4"/>
  <c r="P7" i="4" s="1"/>
  <c r="H8" i="4"/>
  <c r="P9" i="4" s="1"/>
  <c r="H9" i="4"/>
  <c r="P11" i="4" s="1"/>
  <c r="H10" i="4"/>
  <c r="P12" i="4" s="1"/>
  <c r="H11" i="4"/>
  <c r="P14" i="4" s="1"/>
  <c r="H12" i="4"/>
  <c r="P15" i="4" s="1"/>
  <c r="H13" i="4"/>
  <c r="P17" i="4" s="1"/>
  <c r="H14" i="4"/>
  <c r="P18" i="4" s="1"/>
  <c r="H15" i="4"/>
  <c r="P19" i="4" s="1"/>
  <c r="H16" i="4"/>
  <c r="P20" i="4" s="1"/>
  <c r="H17" i="4"/>
  <c r="P21" i="4" s="1"/>
  <c r="H18" i="4"/>
  <c r="P22" i="4" s="1"/>
  <c r="H19" i="4"/>
  <c r="P23" i="4" s="1"/>
  <c r="H20" i="4"/>
  <c r="P24" i="4" s="1"/>
  <c r="H21" i="4"/>
  <c r="P25" i="4" s="1"/>
  <c r="H22" i="4"/>
  <c r="P27" i="4" s="1"/>
  <c r="H23" i="4"/>
  <c r="P28" i="4" s="1"/>
  <c r="H24" i="4"/>
  <c r="P30" i="4" s="1"/>
  <c r="P5" i="2"/>
  <c r="H6" i="4" s="1"/>
  <c r="P6" i="4" s="1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6" i="4"/>
  <c r="O9" i="4"/>
  <c r="O14" i="4"/>
  <c r="O15" i="4"/>
  <c r="O27" i="4"/>
  <c r="O28" i="4"/>
  <c r="O32" i="4"/>
  <c r="J29" i="4"/>
  <c r="J16" i="4"/>
  <c r="J10" i="4"/>
  <c r="J31" i="4"/>
  <c r="J26" i="4"/>
  <c r="J13" i="4"/>
  <c r="J8" i="4"/>
  <c r="J5" i="4"/>
  <c r="D13" i="4"/>
  <c r="E13" i="4"/>
  <c r="N17" i="4" s="1"/>
  <c r="D14" i="4"/>
  <c r="E14" i="4"/>
  <c r="N18" i="4" s="1"/>
  <c r="D15" i="4"/>
  <c r="E15" i="4"/>
  <c r="N19" i="4" s="1"/>
  <c r="D16" i="4"/>
  <c r="E16" i="4"/>
  <c r="N20" i="4" s="1"/>
  <c r="D17" i="4"/>
  <c r="D18" i="4"/>
  <c r="E18" i="4"/>
  <c r="N22" i="4" s="1"/>
  <c r="D19" i="4"/>
  <c r="E19" i="4"/>
  <c r="N23" i="4" s="1"/>
  <c r="D20" i="4"/>
  <c r="E20" i="4"/>
  <c r="N24" i="4" s="1"/>
  <c r="D21" i="4"/>
  <c r="E21" i="4"/>
  <c r="N25" i="4" s="1"/>
  <c r="D22" i="4"/>
  <c r="M27" i="4" s="1"/>
  <c r="E22" i="4"/>
  <c r="N27" i="4" s="1"/>
  <c r="D23" i="4"/>
  <c r="M28" i="4" s="1"/>
  <c r="E23" i="4"/>
  <c r="N28" i="4" s="1"/>
  <c r="D24" i="4"/>
  <c r="E24" i="4"/>
  <c r="N30" i="4" s="1"/>
  <c r="D25" i="4"/>
  <c r="M32" i="4" s="1"/>
  <c r="E25" i="4"/>
  <c r="N32" i="4" s="1"/>
  <c r="G5" i="2"/>
  <c r="H5" i="2"/>
  <c r="E17" i="4"/>
  <c r="N21" i="4" s="1"/>
  <c r="I5" i="2"/>
  <c r="A7" i="4"/>
  <c r="J7" i="4" s="1"/>
  <c r="B7" i="4"/>
  <c r="K7" i="4" s="1"/>
  <c r="C7" i="4"/>
  <c r="L7" i="4" s="1"/>
  <c r="A8" i="4"/>
  <c r="J9" i="4" s="1"/>
  <c r="B8" i="4"/>
  <c r="K9" i="4" s="1"/>
  <c r="C8" i="4"/>
  <c r="L9" i="4" s="1"/>
  <c r="A9" i="4"/>
  <c r="J11" i="4" s="1"/>
  <c r="B9" i="4"/>
  <c r="K11" i="4" s="1"/>
  <c r="C9" i="4"/>
  <c r="L11" i="4" s="1"/>
  <c r="A10" i="4"/>
  <c r="J12" i="4" s="1"/>
  <c r="B10" i="4"/>
  <c r="K12" i="4" s="1"/>
  <c r="C10" i="4"/>
  <c r="L12" i="4" s="1"/>
  <c r="A11" i="4"/>
  <c r="J14" i="4" s="1"/>
  <c r="B11" i="4"/>
  <c r="K14" i="4" s="1"/>
  <c r="C11" i="4"/>
  <c r="L14" i="4" s="1"/>
  <c r="A12" i="4"/>
  <c r="J15" i="4" s="1"/>
  <c r="B12" i="4"/>
  <c r="K15" i="4" s="1"/>
  <c r="C12" i="4"/>
  <c r="L15" i="4" s="1"/>
  <c r="A13" i="4"/>
  <c r="J17" i="4" s="1"/>
  <c r="B13" i="4"/>
  <c r="K17" i="4" s="1"/>
  <c r="C13" i="4"/>
  <c r="L17" i="4" s="1"/>
  <c r="A14" i="4"/>
  <c r="J18" i="4" s="1"/>
  <c r="B14" i="4"/>
  <c r="K18" i="4" s="1"/>
  <c r="C14" i="4"/>
  <c r="L18" i="4" s="1"/>
  <c r="A15" i="4"/>
  <c r="J19" i="4" s="1"/>
  <c r="B15" i="4"/>
  <c r="K19" i="4" s="1"/>
  <c r="C15" i="4"/>
  <c r="L19" i="4" s="1"/>
  <c r="A16" i="4"/>
  <c r="J20" i="4" s="1"/>
  <c r="B16" i="4"/>
  <c r="K20" i="4" s="1"/>
  <c r="C16" i="4"/>
  <c r="L20" i="4" s="1"/>
  <c r="A17" i="4"/>
  <c r="J21" i="4" s="1"/>
  <c r="B17" i="4"/>
  <c r="K21" i="4" s="1"/>
  <c r="C17" i="4"/>
  <c r="L21" i="4" s="1"/>
  <c r="A18" i="4"/>
  <c r="J22" i="4" s="1"/>
  <c r="B18" i="4"/>
  <c r="K22" i="4" s="1"/>
  <c r="C18" i="4"/>
  <c r="L22" i="4" s="1"/>
  <c r="A19" i="4"/>
  <c r="J23" i="4" s="1"/>
  <c r="B19" i="4"/>
  <c r="K23" i="4" s="1"/>
  <c r="C19" i="4"/>
  <c r="L23" i="4" s="1"/>
  <c r="A20" i="4"/>
  <c r="J24" i="4" s="1"/>
  <c r="B20" i="4"/>
  <c r="K24" i="4" s="1"/>
  <c r="C20" i="4"/>
  <c r="L24" i="4" s="1"/>
  <c r="A21" i="4"/>
  <c r="J25" i="4" s="1"/>
  <c r="B21" i="4"/>
  <c r="K25" i="4" s="1"/>
  <c r="C21" i="4"/>
  <c r="L25" i="4" s="1"/>
  <c r="A22" i="4"/>
  <c r="J27" i="4" s="1"/>
  <c r="B22" i="4"/>
  <c r="K27" i="4" s="1"/>
  <c r="C22" i="4"/>
  <c r="L27" i="4" s="1"/>
  <c r="A23" i="4"/>
  <c r="J28" i="4" s="1"/>
  <c r="B23" i="4"/>
  <c r="K28" i="4" s="1"/>
  <c r="C23" i="4"/>
  <c r="L28" i="4" s="1"/>
  <c r="A24" i="4"/>
  <c r="J30" i="4" s="1"/>
  <c r="B24" i="4"/>
  <c r="K30" i="4" s="1"/>
  <c r="C24" i="4"/>
  <c r="L30" i="4" s="1"/>
  <c r="A25" i="4"/>
  <c r="J32" i="4" s="1"/>
  <c r="B25" i="4"/>
  <c r="K32" i="4" s="1"/>
  <c r="C25" i="4"/>
  <c r="L32" i="4" s="1"/>
  <c r="C6" i="4"/>
  <c r="L6" i="4" s="1"/>
  <c r="B6" i="4"/>
  <c r="K6" i="4" s="1"/>
  <c r="A6" i="4"/>
  <c r="J6" i="4" s="1"/>
  <c r="M17" i="4" l="1"/>
  <c r="O17" i="4"/>
  <c r="M25" i="4"/>
  <c r="O25" i="4"/>
  <c r="M23" i="4"/>
  <c r="O23" i="4"/>
  <c r="M21" i="4"/>
  <c r="O21" i="4"/>
  <c r="M18" i="4"/>
  <c r="O18" i="4"/>
  <c r="M19" i="4"/>
  <c r="O19" i="4"/>
  <c r="M20" i="4"/>
  <c r="O20" i="4"/>
  <c r="M30" i="4"/>
  <c r="O30" i="4"/>
  <c r="M24" i="4"/>
  <c r="O24" i="4"/>
  <c r="M22" i="4"/>
  <c r="O22" i="4"/>
  <c r="E12" i="4"/>
  <c r="N15" i="4" s="1"/>
  <c r="E8" i="4"/>
  <c r="N9" i="4" s="1"/>
  <c r="D12" i="4"/>
  <c r="M15" i="4" s="1"/>
  <c r="E9" i="4"/>
  <c r="N11" i="4" s="1"/>
  <c r="D8" i="4"/>
  <c r="M9" i="4" s="1"/>
  <c r="E6" i="4"/>
  <c r="N6" i="4" s="1"/>
  <c r="E10" i="4"/>
  <c r="N12" i="4" s="1"/>
  <c r="D9" i="4"/>
  <c r="D11" i="4"/>
  <c r="M14" i="4" s="1"/>
  <c r="D7" i="4"/>
  <c r="D6" i="4"/>
  <c r="E11" i="4"/>
  <c r="N14" i="4" s="1"/>
  <c r="D10" i="4"/>
  <c r="E7" i="4"/>
  <c r="N7" i="4" s="1"/>
  <c r="M11" i="4" l="1"/>
  <c r="O11" i="4"/>
  <c r="M6" i="4"/>
  <c r="O6" i="4"/>
  <c r="M7" i="4"/>
  <c r="O7" i="4"/>
  <c r="M12" i="4"/>
  <c r="O12" i="4"/>
  <c r="C5" i="3"/>
  <c r="D26" i="4"/>
  <c r="E26" i="4"/>
  <c r="L5" i="2"/>
  <c r="O5" i="2"/>
  <c r="L4" i="2"/>
  <c r="M4" i="2"/>
  <c r="N4" i="2"/>
  <c r="O4" i="2"/>
  <c r="K1" i="2"/>
  <c r="K3" i="2"/>
  <c r="K4" i="2"/>
  <c r="U4" i="2" s="1"/>
  <c r="I1" i="2"/>
  <c r="J1" i="2"/>
  <c r="H3" i="2"/>
  <c r="I3" i="2"/>
  <c r="J3" i="2"/>
  <c r="H4" i="2"/>
  <c r="S4" i="2" s="1"/>
  <c r="I4" i="2"/>
  <c r="T4" i="2" s="1"/>
  <c r="J4" i="2"/>
  <c r="A3" i="2"/>
  <c r="B3" i="2"/>
  <c r="C3" i="2"/>
  <c r="D3" i="2"/>
  <c r="E3" i="2"/>
  <c r="G3" i="2"/>
  <c r="A4" i="2"/>
  <c r="B4" i="2"/>
  <c r="C4" i="2"/>
  <c r="D4" i="2"/>
  <c r="E4" i="2"/>
  <c r="F4" i="2"/>
  <c r="G4" i="2"/>
  <c r="R4" i="2" s="1"/>
  <c r="A5" i="2"/>
  <c r="A5" i="3" s="1"/>
  <c r="B5" i="2"/>
  <c r="B5" i="3" s="1"/>
  <c r="C5" i="2"/>
  <c r="D5" i="2"/>
  <c r="E5" i="2"/>
  <c r="B1" i="2"/>
  <c r="C1" i="2"/>
  <c r="D1" i="2"/>
  <c r="E1" i="2"/>
  <c r="F1" i="2"/>
  <c r="A1" i="2"/>
</calcChain>
</file>

<file path=xl/sharedStrings.xml><?xml version="1.0" encoding="utf-8"?>
<sst xmlns="http://schemas.openxmlformats.org/spreadsheetml/2006/main" count="528" uniqueCount="282">
  <si>
    <t>21st July 1951</t>
  </si>
  <si>
    <t>W.I.Stanton</t>
  </si>
  <si>
    <t>SWILDONS HOLE</t>
  </si>
  <si>
    <t>Sta.</t>
  </si>
  <si>
    <t>Ht Rf</t>
  </si>
  <si>
    <t>Dp Fl</t>
  </si>
  <si>
    <t>Width L</t>
  </si>
  <si>
    <t>Width R</t>
  </si>
  <si>
    <t>Looking Forward</t>
  </si>
  <si>
    <t>FS</t>
  </si>
  <si>
    <t>BS</t>
  </si>
  <si>
    <t>Bearing</t>
  </si>
  <si>
    <t>Distance</t>
  </si>
  <si>
    <t>Fore Clino</t>
  </si>
  <si>
    <t>A</t>
  </si>
  <si>
    <t>B</t>
  </si>
  <si>
    <t>-</t>
  </si>
  <si>
    <t>4(19' in aven)</t>
  </si>
  <si>
    <t>C</t>
  </si>
  <si>
    <t>322 30</t>
  </si>
  <si>
    <t>Horz. Dist.</t>
  </si>
  <si>
    <t>Vert. Dist.</t>
  </si>
  <si>
    <t>Calc.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</si>
  <si>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</si>
  <si>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</si>
  <si>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</si>
  <si>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</si>
  <si>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</si>
  <si>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</si>
  <si>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</si>
  <si>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</si>
  <si>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</si>
  <si>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</si>
  <si>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</si>
  <si>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</si>
  <si>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</si>
  <si>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</si>
  <si>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</si>
  <si>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T</t>
  </si>
  <si>
    <t>U</t>
  </si>
  <si>
    <t>S</t>
  </si>
  <si>
    <t>3 (30 in B.Place(?))</t>
  </si>
  <si>
    <t>192 30</t>
  </si>
  <si>
    <t>rise of 1.5 feet</t>
  </si>
  <si>
    <t>level</t>
  </si>
  <si>
    <t>fall of 4 feet</t>
  </si>
  <si>
    <t>rise of 4 feet</t>
  </si>
  <si>
    <t>fall of 1.7 feet</t>
  </si>
  <si>
    <t>Hor Dist.</t>
  </si>
  <si>
    <t>Vert Dist.</t>
  </si>
  <si>
    <t>Dp. Below sump I</t>
  </si>
  <si>
    <t>Notes</t>
  </si>
  <si>
    <t>PDF p.49-50</t>
  </si>
  <si>
    <t>fall of 2.5 feet</t>
  </si>
  <si>
    <t>To</t>
  </si>
  <si>
    <t>Tape</t>
  </si>
  <si>
    <t>Compass</t>
  </si>
  <si>
    <t>Clino</t>
  </si>
  <si>
    <t>ft per m</t>
  </si>
  <si>
    <t>;From</t>
  </si>
  <si>
    <t>Keeping Forwards and Back Bearings</t>
  </si>
  <si>
    <t>Foresight</t>
  </si>
  <si>
    <t>Backsight</t>
  </si>
  <si>
    <t>From</t>
  </si>
  <si>
    <t>Depth Change</t>
  </si>
  <si>
    <t>8 30</t>
  </si>
  <si>
    <t>Copy and Paste data from column J-P into Therion Centreline data block</t>
  </si>
  <si>
    <t>A is at the base of the cable spike on the downstream side of Sump I</t>
  </si>
  <si>
    <t>B is on a rock at upstream end of pool</t>
  </si>
  <si>
    <t>C is on edge of pool 10' before Duck I</t>
  </si>
  <si>
    <t>D is in stream. Big rock (start of New Series survey) 10' away at 350 (deg). Big passage starts as continuation of Howards Dig.</t>
  </si>
  <si>
    <t>At 40' the roof lowers suddenly to Creep I. The big Bedding Plane passage comes in on the right, from -5' to 40'</t>
  </si>
  <si>
    <t>Pots</t>
  </si>
  <si>
    <t>L is at foot of climb to Approach passage. Clay fill remains 6' up on left wall.</t>
  </si>
  <si>
    <t>Pots. Very pretty coral on left wall</t>
  </si>
  <si>
    <t>1.5 foot deep pool starts at P.</t>
  </si>
  <si>
    <t>Pool 2.5' deep at R, ends 15' on. Scalloping as in Goughs 1st Sandy Chamber.</t>
  </si>
  <si>
    <t>S is marked on wall. At 20' there is a muddy chamber overhead.</t>
  </si>
  <si>
    <t>Bearls (sp.?) seen here.    Total = 650'</t>
  </si>
  <si>
    <t>#</t>
  </si>
  <si>
    <t>data normal from to tape compass backcompass clino ignoreall</t>
  </si>
  <si>
    <t>data diving from to tape compass backcompass depthchange ignoreall</t>
  </si>
  <si>
    <t>4 30</t>
  </si>
  <si>
    <t>A1</t>
  </si>
  <si>
    <t>B1</t>
  </si>
  <si>
    <t>C1</t>
  </si>
  <si>
    <t>D1</t>
  </si>
  <si>
    <t>A1 is far end of "Priddy Green" passage. At choke</t>
  </si>
  <si>
    <t>B1 is ent to P.G. pass, above stalagmite keloid (sp.?)</t>
  </si>
  <si>
    <t>Compass bearings magnetic 11(deg)30' W</t>
  </si>
  <si>
    <t>5th August 1951</t>
  </si>
  <si>
    <t>V</t>
  </si>
  <si>
    <t>W</t>
  </si>
  <si>
    <t>X</t>
  </si>
  <si>
    <t>Y</t>
  </si>
  <si>
    <t>i</t>
  </si>
  <si>
    <t>a</t>
  </si>
  <si>
    <t>b</t>
  </si>
  <si>
    <t>c</t>
  </si>
  <si>
    <t>d</t>
  </si>
  <si>
    <t>e</t>
  </si>
  <si>
    <t>f</t>
  </si>
  <si>
    <t>g</t>
  </si>
  <si>
    <t>h</t>
  </si>
  <si>
    <t>0.4 (12)</t>
  </si>
  <si>
    <t>3 (8 in aven)</t>
  </si>
  <si>
    <t>141 30</t>
  </si>
  <si>
    <t>132 10</t>
  </si>
  <si>
    <t>6 30</t>
  </si>
  <si>
    <t>186 30</t>
  </si>
  <si>
    <t>water level</t>
  </si>
  <si>
    <t>fall 0.7'</t>
  </si>
  <si>
    <t>fall 4 feet</t>
  </si>
  <si>
    <t>17.5 (? indistinct)</t>
  </si>
  <si>
    <t>+</t>
  </si>
  <si>
    <t>On rocky bank.</t>
  </si>
  <si>
    <t>D1 to near side of Sump I 11.8'. D1 to far side of Sump I 18'. D1 is in pool at stake for cable.</t>
  </si>
  <si>
    <t>Lake begins as 10'. (Little sketch)</t>
  </si>
  <si>
    <t>Lake</t>
  </si>
  <si>
    <t>Bearing from 2' to right. W to near side Duck II = 3.5. W to far side Duck II = 20.4</t>
  </si>
  <si>
    <t>Y at lip of Sump II, 3" air space goes on 10 more</t>
  </si>
  <si>
    <t>(Little sketch). Total 1010'</t>
  </si>
  <si>
    <t>Sump on left at 41' feet</t>
  </si>
  <si>
    <t>Bearing from 3 feet to left</t>
  </si>
  <si>
    <t>Bearing from 2' to left. Iv is Muddy Sump. Dp below Sump I is 20.6 feet. Total 1127'</t>
  </si>
  <si>
    <t>a is on N.Side of passage just before Creep I -&gt; (sketch)</t>
  </si>
  <si>
    <t>(e) is where passage rejoins streamway. Stn 35 (p.52)-(e) is F.S. 234 (TRUE), Dist 18', Clino +45 (deg), HD 12.7, VD +12.7</t>
  </si>
  <si>
    <t>(i) is where passage gets too low. (some indistinct numbers follow. Too faint to read on logbook scan). Total 1207' (?)</t>
  </si>
  <si>
    <t>2 is on lip of Approach passage. Little passage starts 15 back.</t>
  </si>
  <si>
    <t>fall 2 feet</t>
  </si>
  <si>
    <t>fall 3.5 feet</t>
  </si>
  <si>
    <t>Little passage off to South from 4</t>
  </si>
  <si>
    <t>3 - 12 Trench up to 2 feet deep in floor of this passage</t>
  </si>
  <si>
    <t>Little passage goes uphill straight on</t>
  </si>
  <si>
    <t>Low creep at 4-10 feet. Chamber goes 15' in same line</t>
  </si>
  <si>
    <t>18 is in crack at top of "11 foot drop"</t>
  </si>
  <si>
    <t>Total = 1562'</t>
  </si>
  <si>
    <t>30th March 1952</t>
  </si>
  <si>
    <t>AA</t>
  </si>
  <si>
    <t>AB</t>
  </si>
  <si>
    <t>AC</t>
  </si>
  <si>
    <t>AD</t>
  </si>
  <si>
    <t>AE</t>
  </si>
  <si>
    <t>AF</t>
  </si>
  <si>
    <t>AG</t>
  </si>
  <si>
    <t>AH</t>
  </si>
  <si>
    <t>AI</t>
  </si>
  <si>
    <t>AJ</t>
  </si>
  <si>
    <t>AK</t>
  </si>
  <si>
    <t>AL</t>
  </si>
  <si>
    <t>AN</t>
  </si>
  <si>
    <t>AO</t>
  </si>
  <si>
    <t>AP</t>
  </si>
  <si>
    <t>AQ</t>
  </si>
  <si>
    <t>AR</t>
  </si>
  <si>
    <t>AS</t>
  </si>
  <si>
    <t>AT</t>
  </si>
  <si>
    <t>AU</t>
  </si>
  <si>
    <t>AY</t>
  </si>
  <si>
    <t>AW</t>
  </si>
  <si>
    <t>AX</t>
  </si>
  <si>
    <t>2nd April 1952</t>
  </si>
  <si>
    <t>5 to rock jam</t>
  </si>
  <si>
    <t>4 (cascade)</t>
  </si>
  <si>
    <t>5 to water</t>
  </si>
  <si>
    <t>293 40</t>
  </si>
  <si>
    <t>115 30</t>
  </si>
  <si>
    <t>277 50</t>
  </si>
  <si>
    <t>121 00</t>
  </si>
  <si>
    <t>290 00</t>
  </si>
  <si>
    <t>050 30</t>
  </si>
  <si>
    <t>313 00</t>
  </si>
  <si>
    <t>195 50</t>
  </si>
  <si>
    <t>292 10</t>
  </si>
  <si>
    <t>138 30</t>
  </si>
  <si>
    <t>286 00</t>
  </si>
  <si>
    <t>044 00</t>
  </si>
  <si>
    <t>113 40</t>
  </si>
  <si>
    <t>097 50</t>
  </si>
  <si>
    <t>110 00</t>
  </si>
  <si>
    <t>133 00</t>
  </si>
  <si>
    <t>192 50</t>
  </si>
  <si>
    <t>112 10</t>
  </si>
  <si>
    <t>106 00</t>
  </si>
  <si>
    <t>9 30</t>
  </si>
  <si>
    <t>0 30</t>
  </si>
  <si>
    <t>22 30</t>
  </si>
  <si>
    <t>9 40</t>
  </si>
  <si>
    <t>10 20</t>
  </si>
  <si>
    <t>3 00</t>
  </si>
  <si>
    <t>11 20</t>
  </si>
  <si>
    <t>4 50</t>
  </si>
  <si>
    <t>14 30</t>
  </si>
  <si>
    <t>Cono &amp; Roy Blewett</t>
  </si>
  <si>
    <t>126 40</t>
  </si>
  <si>
    <t>025 20</t>
  </si>
  <si>
    <t>094 00</t>
  </si>
  <si>
    <t>012 20</t>
  </si>
  <si>
    <t>321 40</t>
  </si>
  <si>
    <t>108 30</t>
  </si>
  <si>
    <t>128 00</t>
  </si>
  <si>
    <t>243 50</t>
  </si>
  <si>
    <t>316 00</t>
  </si>
  <si>
    <t>169 30</t>
  </si>
  <si>
    <t>245 30</t>
  </si>
  <si>
    <t>259 40</t>
  </si>
  <si>
    <t>306 40</t>
  </si>
  <si>
    <t>063 50</t>
  </si>
  <si>
    <t>136 00</t>
  </si>
  <si>
    <t>349 30</t>
  </si>
  <si>
    <t>065 30</t>
  </si>
  <si>
    <t>079 40</t>
  </si>
  <si>
    <t>26 00</t>
  </si>
  <si>
    <t>12 00</t>
  </si>
  <si>
    <t>10 30</t>
  </si>
  <si>
    <t>28 30</t>
  </si>
  <si>
    <t>9 00</t>
  </si>
  <si>
    <t>27 30</t>
  </si>
  <si>
    <t>23 30</t>
  </si>
  <si>
    <t>13 30</t>
  </si>
  <si>
    <t>14th August '52</t>
  </si>
  <si>
    <t>Colin</t>
  </si>
  <si>
    <t>Contd from P.49. Upper Mud Series</t>
  </si>
  <si>
    <t>3 (30)</t>
  </si>
  <si>
    <t>355 00</t>
  </si>
  <si>
    <t>091 00</t>
  </si>
  <si>
    <t>302 00</t>
  </si>
  <si>
    <t>172 40</t>
  </si>
  <si>
    <t>248 00</t>
  </si>
  <si>
    <t>046 00</t>
  </si>
  <si>
    <t>293 00</t>
  </si>
  <si>
    <t>061 00</t>
  </si>
  <si>
    <t>015 30</t>
  </si>
  <si>
    <t>242 00</t>
  </si>
  <si>
    <t>340 00</t>
  </si>
  <si>
    <t>239 00</t>
  </si>
  <si>
    <t>182 00</t>
  </si>
  <si>
    <t>339 00</t>
  </si>
  <si>
    <t>341 00</t>
  </si>
  <si>
    <t>175 00</t>
  </si>
  <si>
    <t>122 00</t>
  </si>
  <si>
    <t>068 00</t>
  </si>
  <si>
    <t>113 00</t>
  </si>
  <si>
    <t>195 30</t>
  </si>
  <si>
    <t>160 00</t>
  </si>
  <si>
    <t>159 00</t>
  </si>
  <si>
    <t>161 00</t>
  </si>
  <si>
    <t>1 00</t>
  </si>
  <si>
    <t>23 00</t>
  </si>
  <si>
    <t>10 00</t>
  </si>
  <si>
    <t>18 00</t>
  </si>
  <si>
    <t>fall 1 foot</t>
  </si>
  <si>
    <t>rise 1 foot</t>
  </si>
  <si>
    <t>Ri</t>
  </si>
  <si>
    <t>Rii</t>
  </si>
  <si>
    <t>Riii</t>
  </si>
  <si>
    <t>Riv</t>
  </si>
  <si>
    <t>Reformatted Angles</t>
  </si>
  <si>
    <t>metres</t>
  </si>
  <si>
    <t>decimal degrees</t>
  </si>
  <si>
    <t>B1 is station B1 of page 45, at entrance to "P.G." passage</t>
  </si>
  <si>
    <t>AA on a big high rock</t>
  </si>
  <si>
    <t>AB on big rock. Stream sinks below boulders.</t>
  </si>
  <si>
    <t>AC on dirty great big rock.</t>
  </si>
  <si>
    <t>Stream rises from boulders.</t>
  </si>
  <si>
    <t>Stream sinks below boulders.</t>
  </si>
  <si>
    <t>AF above waterfall.</t>
  </si>
  <si>
    <t>AK is below hole into Upper Grottos. Asellus (sp?) present.</t>
  </si>
  <si>
    <t>Total = 1,918'</t>
  </si>
  <si>
    <t>AL is start of St. Pauls survey</t>
  </si>
  <si>
    <t>AN is at S. end of lower big pot.</t>
  </si>
  <si>
    <t>AV</t>
  </si>
  <si>
    <t>AV is in middle of upper big pot.</t>
  </si>
  <si>
    <t>AY is on stumpy stalagmite on cascade on E side of passage.</t>
  </si>
  <si>
    <t>Total = 2,188'</t>
  </si>
  <si>
    <t>Total = 2,642'</t>
  </si>
  <si>
    <t>18 is in crack at top of 11 Foot Drop.</t>
  </si>
  <si>
    <t>(sketch of 18 - 24)</t>
  </si>
  <si>
    <t>(sketch of 24 - 35)</t>
  </si>
  <si>
    <t>35 = A on p.25 = Big rock by D on p.46 (Top of)</t>
  </si>
  <si>
    <t>Bearing from FS/BS</t>
  </si>
  <si>
    <t># 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</si>
</sst>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2" fontId="0" fillId="0" borderId="0" xfId="0" applyNumberFormat="1"/>
    <xf numFmtId="0" fontId="2" fillId="0" borderId="0" xfId="0" applyFont="1"/>
    <xf numFmtId="164" fontId="2" fillId="0" borderId="0" xfId="0" applyNumberFormat="1" applyFont="1"/>
    <xf numFmtId="0" fontId="0" fillId="0" borderId="0" xfId="0" applyFont="1"/>
    <xf numFmtId="0" fontId="0" fillId="0" borderId="0" xfId="0" applyFont="1" applyAlignment="1">
      <alignment horizontal="right"/>
    </xf>
    <xf numFmtId="0" fontId="0" fillId="0" borderId="0" xfId="0" applyAlignment="1">
      <alignment horizontal="right"/>
    </xf>
    <xf numFmtId="164" fontId="0" fillId="0" borderId="0" xfId="0" applyNumberFormat="1"/>
    <xf numFmtId="0" fontId="3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2" fontId="4" fillId="0" borderId="0" xfId="0" applyNumberFormat="1" applyFont="1"/>
    <xf numFmtId="1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</cellXfs>
  <cellStyles count="1">
    <cellStyle name="Normal" xfId="0" builtinId="0"/>
  </cellStyles>
  <dxfs count="3"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9"/>
  <sheetViews>
    <sheetView workbookViewId="0">
      <pane xSplit="2" ySplit="4" topLeftCell="C47" activePane="bottomRight" state="frozen"/>
      <selection pane="topRight" activeCell="C1" sqref="C1"/>
      <selection pane="bottomLeft" activeCell="A5" sqref="A5"/>
      <selection pane="bottomRight" activeCell="O119" sqref="O119"/>
    </sheetView>
  </sheetViews>
  <sheetFormatPr defaultRowHeight="15" x14ac:dyDescent="0.25"/>
  <cols>
    <col min="1" max="1" width="14.5703125" customWidth="1"/>
    <col min="2" max="2" width="11.42578125" bestFit="1" customWidth="1"/>
    <col min="3" max="6" width="9.140625" customWidth="1"/>
    <col min="11" max="11" width="13.85546875" bestFit="1" customWidth="1"/>
    <col min="12" max="12" width="1.8554687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/>
      <c r="E1" s="1" t="s">
        <v>52</v>
      </c>
      <c r="F1" s="1"/>
      <c r="G1" s="1"/>
      <c r="H1" s="1"/>
      <c r="I1" s="1"/>
      <c r="J1" s="1"/>
      <c r="K1" s="1"/>
      <c r="M1" t="s">
        <v>89</v>
      </c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6" x14ac:dyDescent="0.25">
      <c r="A3" s="1"/>
      <c r="B3" s="1"/>
      <c r="C3" s="1"/>
      <c r="D3" s="1"/>
      <c r="E3" s="10" t="s">
        <v>8</v>
      </c>
      <c r="F3" s="10"/>
      <c r="G3" s="1"/>
      <c r="H3" s="1"/>
      <c r="I3" s="1"/>
      <c r="J3" s="1"/>
      <c r="K3" s="1"/>
    </row>
    <row r="4" spans="1:16" x14ac:dyDescent="0.25">
      <c r="A4" s="1" t="s">
        <v>3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M4" s="1" t="s">
        <v>48</v>
      </c>
      <c r="N4" s="1" t="s">
        <v>49</v>
      </c>
      <c r="O4" s="1" t="s">
        <v>50</v>
      </c>
      <c r="P4" s="1" t="s">
        <v>51</v>
      </c>
    </row>
    <row r="5" spans="1:16" x14ac:dyDescent="0.25">
      <c r="A5" s="1" t="s">
        <v>14</v>
      </c>
      <c r="B5" s="5" t="s">
        <v>15</v>
      </c>
      <c r="C5" s="6">
        <v>20</v>
      </c>
      <c r="D5" s="6" t="s">
        <v>16</v>
      </c>
      <c r="E5" s="6">
        <v>4</v>
      </c>
      <c r="F5" s="6" t="s">
        <v>17</v>
      </c>
      <c r="G5" s="6" t="s">
        <v>16</v>
      </c>
      <c r="H5" s="6">
        <v>103</v>
      </c>
      <c r="I5" s="6">
        <v>283</v>
      </c>
      <c r="J5" s="6">
        <v>21</v>
      </c>
      <c r="K5" s="6" t="s">
        <v>65</v>
      </c>
      <c r="M5" s="6">
        <v>20.8</v>
      </c>
      <c r="N5" s="6">
        <v>3.1</v>
      </c>
      <c r="P5" t="s">
        <v>67</v>
      </c>
    </row>
    <row r="6" spans="1:16" x14ac:dyDescent="0.25">
      <c r="A6" s="1" t="s">
        <v>15</v>
      </c>
      <c r="B6" s="5" t="s">
        <v>18</v>
      </c>
      <c r="C6" s="6">
        <v>6</v>
      </c>
      <c r="D6" s="6">
        <v>3.5</v>
      </c>
      <c r="E6" s="6">
        <v>3</v>
      </c>
      <c r="F6" s="6">
        <v>6</v>
      </c>
      <c r="G6" s="6" t="s">
        <v>19</v>
      </c>
      <c r="H6" s="6" t="s">
        <v>16</v>
      </c>
      <c r="I6" s="6" t="s">
        <v>19</v>
      </c>
      <c r="J6" s="6">
        <v>27</v>
      </c>
      <c r="K6" s="6" t="str">
        <f>"-9 30"</f>
        <v>-9 30</v>
      </c>
      <c r="M6">
        <v>26.7</v>
      </c>
      <c r="N6" s="6">
        <v>-4.5</v>
      </c>
      <c r="O6" s="6">
        <v>3.1</v>
      </c>
      <c r="P6" t="s">
        <v>68</v>
      </c>
    </row>
    <row r="7" spans="1:16" x14ac:dyDescent="0.25">
      <c r="A7" s="1" t="s">
        <v>18</v>
      </c>
      <c r="B7" s="5" t="s">
        <v>23</v>
      </c>
      <c r="C7" s="6">
        <v>7</v>
      </c>
      <c r="D7" s="6" t="s">
        <v>16</v>
      </c>
      <c r="E7" s="6">
        <v>4</v>
      </c>
      <c r="F7" s="6">
        <v>2</v>
      </c>
      <c r="G7" s="6" t="s">
        <v>16</v>
      </c>
      <c r="H7" s="6">
        <v>83</v>
      </c>
      <c r="I7" s="6">
        <v>263</v>
      </c>
      <c r="J7" s="6">
        <v>37</v>
      </c>
      <c r="K7" s="6" t="s">
        <v>43</v>
      </c>
      <c r="M7" s="6">
        <v>37</v>
      </c>
      <c r="N7" s="6">
        <v>1.5</v>
      </c>
      <c r="O7" s="6">
        <v>-1.4</v>
      </c>
      <c r="P7" t="s">
        <v>69</v>
      </c>
    </row>
    <row r="8" spans="1:16" x14ac:dyDescent="0.25">
      <c r="A8" s="1" t="s">
        <v>23</v>
      </c>
      <c r="B8" s="5" t="s">
        <v>24</v>
      </c>
      <c r="C8" s="6">
        <v>25</v>
      </c>
      <c r="D8" s="6">
        <v>2</v>
      </c>
      <c r="E8" s="6" t="s">
        <v>16</v>
      </c>
      <c r="F8" s="6">
        <v>10</v>
      </c>
      <c r="G8" s="6" t="s">
        <v>42</v>
      </c>
      <c r="H8" s="6" t="s">
        <v>16</v>
      </c>
      <c r="I8" s="6" t="s">
        <v>42</v>
      </c>
      <c r="J8" s="6">
        <v>16.2</v>
      </c>
      <c r="K8" s="6" t="s">
        <v>82</v>
      </c>
      <c r="M8">
        <v>16.100000000000001</v>
      </c>
      <c r="N8" s="6">
        <v>1.3</v>
      </c>
      <c r="O8" s="6">
        <v>0.1</v>
      </c>
      <c r="P8" t="s">
        <v>70</v>
      </c>
    </row>
    <row r="9" spans="1:16" x14ac:dyDescent="0.25">
      <c r="A9" s="1" t="s">
        <v>24</v>
      </c>
      <c r="B9" s="5" t="s">
        <v>25</v>
      </c>
      <c r="C9" s="6">
        <v>25</v>
      </c>
      <c r="D9" s="6">
        <v>4.5</v>
      </c>
      <c r="E9" s="6">
        <v>6</v>
      </c>
      <c r="F9" s="6" t="s">
        <v>16</v>
      </c>
      <c r="G9" s="6" t="s">
        <v>16</v>
      </c>
      <c r="H9" s="6">
        <v>78</v>
      </c>
      <c r="I9" s="6">
        <v>258</v>
      </c>
      <c r="J9" s="6">
        <v>47</v>
      </c>
      <c r="K9" s="6" t="str">
        <f>"-5 30"</f>
        <v>-5 30</v>
      </c>
      <c r="M9" s="6">
        <v>46.8</v>
      </c>
      <c r="N9" s="6">
        <v>-4.5</v>
      </c>
      <c r="O9" s="6">
        <v>1.4</v>
      </c>
    </row>
    <row r="10" spans="1:16" x14ac:dyDescent="0.25">
      <c r="A10" s="1" t="s">
        <v>25</v>
      </c>
      <c r="B10" s="5" t="s">
        <v>26</v>
      </c>
      <c r="C10" s="6">
        <v>4</v>
      </c>
      <c r="D10" s="6">
        <v>2</v>
      </c>
      <c r="E10" s="6">
        <v>0.5</v>
      </c>
      <c r="F10" s="6" t="s">
        <v>41</v>
      </c>
      <c r="G10" s="6">
        <v>292</v>
      </c>
      <c r="H10" s="6" t="s">
        <v>16</v>
      </c>
      <c r="I10" s="6">
        <v>292</v>
      </c>
      <c r="J10" s="6">
        <v>48</v>
      </c>
      <c r="K10" s="6" t="s">
        <v>53</v>
      </c>
      <c r="M10">
        <v>48</v>
      </c>
      <c r="N10" s="6">
        <v>-2.5</v>
      </c>
      <c r="O10" s="6">
        <v>-3.1</v>
      </c>
      <c r="P10" t="s">
        <v>71</v>
      </c>
    </row>
    <row r="11" spans="1:16" x14ac:dyDescent="0.25">
      <c r="A11" s="1" t="s">
        <v>26</v>
      </c>
      <c r="B11" s="5" t="s">
        <v>27</v>
      </c>
      <c r="C11" s="6">
        <v>2.5</v>
      </c>
      <c r="D11" s="6">
        <v>0.5</v>
      </c>
      <c r="E11" s="6">
        <v>3.5</v>
      </c>
      <c r="F11" s="6">
        <v>7</v>
      </c>
      <c r="G11" s="6" t="s">
        <v>16</v>
      </c>
      <c r="H11" s="6">
        <v>159</v>
      </c>
      <c r="I11" s="6">
        <v>339</v>
      </c>
      <c r="J11" s="6">
        <v>36</v>
      </c>
      <c r="K11" s="6" t="s">
        <v>44</v>
      </c>
      <c r="M11" s="6">
        <v>36</v>
      </c>
      <c r="N11">
        <v>0</v>
      </c>
      <c r="O11" s="6">
        <v>-5.6</v>
      </c>
    </row>
    <row r="12" spans="1:16" x14ac:dyDescent="0.25">
      <c r="A12" s="1" t="s">
        <v>27</v>
      </c>
      <c r="B12" s="5" t="s">
        <v>28</v>
      </c>
      <c r="C12" s="6">
        <v>15</v>
      </c>
      <c r="D12" s="6">
        <v>1</v>
      </c>
      <c r="E12" s="6">
        <v>10</v>
      </c>
      <c r="F12" s="6">
        <v>3</v>
      </c>
      <c r="G12" s="6">
        <v>247</v>
      </c>
      <c r="H12" s="6" t="s">
        <v>16</v>
      </c>
      <c r="I12" s="6">
        <v>247</v>
      </c>
      <c r="J12" s="6">
        <v>31</v>
      </c>
      <c r="K12" s="6" t="str">
        <f>"-2 30"</f>
        <v>-2 30</v>
      </c>
      <c r="M12" s="6">
        <v>31</v>
      </c>
      <c r="N12" s="6">
        <v>-1.3</v>
      </c>
      <c r="O12" s="6">
        <v>-5.6</v>
      </c>
    </row>
    <row r="13" spans="1:16" x14ac:dyDescent="0.25">
      <c r="A13" s="1" t="s">
        <v>28</v>
      </c>
      <c r="B13" s="5" t="s">
        <v>29</v>
      </c>
      <c r="C13" s="6">
        <v>15</v>
      </c>
      <c r="D13" s="6">
        <v>1</v>
      </c>
      <c r="E13" s="6">
        <v>8</v>
      </c>
      <c r="F13" s="6">
        <v>2</v>
      </c>
      <c r="G13" s="6" t="s">
        <v>16</v>
      </c>
      <c r="H13" s="6">
        <v>95</v>
      </c>
      <c r="I13" s="6">
        <v>275</v>
      </c>
      <c r="J13" s="6">
        <v>26</v>
      </c>
      <c r="K13" s="6">
        <v>2</v>
      </c>
      <c r="M13" s="6">
        <v>26</v>
      </c>
      <c r="N13" s="6">
        <v>0.9</v>
      </c>
      <c r="O13" s="6">
        <v>-6.9</v>
      </c>
    </row>
    <row r="14" spans="1:16" x14ac:dyDescent="0.25">
      <c r="A14" s="1" t="s">
        <v>29</v>
      </c>
      <c r="B14" s="5" t="s">
        <v>30</v>
      </c>
      <c r="C14" s="6">
        <v>8</v>
      </c>
      <c r="D14" s="6">
        <v>3</v>
      </c>
      <c r="E14" s="6">
        <v>1</v>
      </c>
      <c r="F14" s="6">
        <v>2</v>
      </c>
      <c r="G14" s="6">
        <v>320</v>
      </c>
      <c r="H14" s="6" t="s">
        <v>16</v>
      </c>
      <c r="I14" s="6">
        <v>320</v>
      </c>
      <c r="J14" s="6">
        <v>26.5</v>
      </c>
      <c r="K14" s="6">
        <v>1</v>
      </c>
      <c r="M14" s="6">
        <v>26.5</v>
      </c>
      <c r="N14" s="6">
        <v>0.5</v>
      </c>
      <c r="O14" s="6">
        <v>-6</v>
      </c>
      <c r="P14" t="s">
        <v>72</v>
      </c>
    </row>
    <row r="15" spans="1:16" x14ac:dyDescent="0.25">
      <c r="A15" s="1" t="s">
        <v>30</v>
      </c>
      <c r="B15" s="5" t="s">
        <v>31</v>
      </c>
      <c r="C15" s="6">
        <v>25</v>
      </c>
      <c r="D15" s="6">
        <v>4.5</v>
      </c>
      <c r="E15" s="6" t="s">
        <v>16</v>
      </c>
      <c r="F15" s="6">
        <v>4</v>
      </c>
      <c r="G15" s="6" t="s">
        <v>16</v>
      </c>
      <c r="H15" s="6">
        <v>193</v>
      </c>
      <c r="I15" s="6">
        <v>13</v>
      </c>
      <c r="J15" s="6">
        <v>17.5</v>
      </c>
      <c r="K15" s="6">
        <v>-9</v>
      </c>
      <c r="M15" s="6">
        <v>17.3</v>
      </c>
      <c r="N15" s="6">
        <v>-2.7</v>
      </c>
      <c r="O15" s="6">
        <v>-5.5</v>
      </c>
      <c r="P15" t="s">
        <v>72</v>
      </c>
    </row>
    <row r="16" spans="1:16" x14ac:dyDescent="0.25">
      <c r="A16" s="1" t="s">
        <v>31</v>
      </c>
      <c r="B16" s="5" t="s">
        <v>32</v>
      </c>
      <c r="C16" s="6">
        <v>20</v>
      </c>
      <c r="D16" s="6">
        <v>3</v>
      </c>
      <c r="E16" s="6">
        <v>2</v>
      </c>
      <c r="F16" s="6">
        <v>2</v>
      </c>
      <c r="G16" s="6">
        <v>299</v>
      </c>
      <c r="H16" s="6" t="s">
        <v>16</v>
      </c>
      <c r="I16" s="6">
        <v>299</v>
      </c>
      <c r="J16" s="6">
        <v>33</v>
      </c>
      <c r="K16" s="6">
        <v>-3</v>
      </c>
      <c r="M16" s="6">
        <v>33</v>
      </c>
      <c r="N16" s="6">
        <v>-1.7</v>
      </c>
      <c r="O16" s="6">
        <v>-8.1999999999999993</v>
      </c>
      <c r="P16" t="s">
        <v>73</v>
      </c>
    </row>
    <row r="17" spans="1:16" x14ac:dyDescent="0.25">
      <c r="A17" s="1" t="s">
        <v>32</v>
      </c>
      <c r="B17" s="5" t="s">
        <v>33</v>
      </c>
      <c r="C17" s="6">
        <v>15</v>
      </c>
      <c r="D17" s="6">
        <v>7</v>
      </c>
      <c r="E17" s="6">
        <v>4</v>
      </c>
      <c r="F17" s="6" t="s">
        <v>16</v>
      </c>
      <c r="G17" s="6" t="s">
        <v>16</v>
      </c>
      <c r="H17" s="6">
        <v>142</v>
      </c>
      <c r="I17" s="6">
        <v>322</v>
      </c>
      <c r="J17" s="6">
        <v>43</v>
      </c>
      <c r="K17" s="6">
        <v>-7.3</v>
      </c>
      <c r="M17" s="6">
        <v>42.7</v>
      </c>
      <c r="N17" s="6">
        <v>-5.6</v>
      </c>
      <c r="O17" s="6">
        <v>-9.9</v>
      </c>
      <c r="P17" t="s">
        <v>72</v>
      </c>
    </row>
    <row r="18" spans="1:16" x14ac:dyDescent="0.25">
      <c r="A18" s="1" t="s">
        <v>33</v>
      </c>
      <c r="B18" s="5" t="s">
        <v>34</v>
      </c>
      <c r="C18" s="6">
        <v>25</v>
      </c>
      <c r="D18" s="6">
        <v>3</v>
      </c>
      <c r="E18" s="6">
        <v>2</v>
      </c>
      <c r="F18" s="6">
        <v>1</v>
      </c>
      <c r="G18" s="6">
        <v>281</v>
      </c>
      <c r="H18" s="6" t="s">
        <v>16</v>
      </c>
      <c r="I18" s="6">
        <v>281</v>
      </c>
      <c r="J18" s="6">
        <v>15.5</v>
      </c>
      <c r="K18" s="6">
        <v>-2</v>
      </c>
      <c r="M18" s="6">
        <v>15.5</v>
      </c>
      <c r="N18" s="6">
        <v>-0.5</v>
      </c>
      <c r="O18" s="6">
        <v>-15.5</v>
      </c>
      <c r="P18" t="s">
        <v>72</v>
      </c>
    </row>
    <row r="19" spans="1:16" x14ac:dyDescent="0.25">
      <c r="A19" s="1" t="s">
        <v>34</v>
      </c>
      <c r="B19" s="5" t="s">
        <v>35</v>
      </c>
      <c r="C19" s="6">
        <v>40</v>
      </c>
      <c r="D19" s="6">
        <v>4.5</v>
      </c>
      <c r="E19" s="6">
        <v>2</v>
      </c>
      <c r="F19" s="6">
        <v>2</v>
      </c>
      <c r="G19" s="6" t="s">
        <v>16</v>
      </c>
      <c r="H19" s="6">
        <v>127</v>
      </c>
      <c r="I19" s="6">
        <v>307</v>
      </c>
      <c r="J19" s="6">
        <v>56</v>
      </c>
      <c r="K19" s="6">
        <v>-5</v>
      </c>
      <c r="M19" s="6">
        <v>55.8</v>
      </c>
      <c r="N19" s="6">
        <v>-4.9000000000000004</v>
      </c>
      <c r="O19" s="6">
        <v>-16</v>
      </c>
      <c r="P19" t="s">
        <v>74</v>
      </c>
    </row>
    <row r="20" spans="1:16" x14ac:dyDescent="0.25">
      <c r="A20" s="1" t="s">
        <v>35</v>
      </c>
      <c r="B20" s="5" t="s">
        <v>36</v>
      </c>
      <c r="C20" s="6">
        <v>40</v>
      </c>
      <c r="D20" s="6">
        <v>3</v>
      </c>
      <c r="E20" s="6">
        <v>2</v>
      </c>
      <c r="F20" s="6">
        <v>3</v>
      </c>
      <c r="G20" s="6">
        <v>283</v>
      </c>
      <c r="H20" s="6" t="s">
        <v>16</v>
      </c>
      <c r="I20" s="6">
        <v>283</v>
      </c>
      <c r="J20" s="6">
        <v>15.8</v>
      </c>
      <c r="K20" s="6" t="str">
        <f>"-0 15"</f>
        <v>-0 15</v>
      </c>
      <c r="M20" s="6">
        <v>15.8</v>
      </c>
      <c r="N20" s="6">
        <v>-0.1</v>
      </c>
      <c r="O20" s="6">
        <v>-20.9</v>
      </c>
    </row>
    <row r="21" spans="1:16" x14ac:dyDescent="0.25">
      <c r="A21" s="1" t="s">
        <v>36</v>
      </c>
      <c r="B21" s="5" t="s">
        <v>37</v>
      </c>
      <c r="C21" s="6">
        <v>40</v>
      </c>
      <c r="D21" s="6">
        <v>4</v>
      </c>
      <c r="E21" s="6">
        <v>4</v>
      </c>
      <c r="F21" s="6" t="s">
        <v>16</v>
      </c>
      <c r="G21" s="6" t="s">
        <v>16</v>
      </c>
      <c r="H21" s="6">
        <v>37</v>
      </c>
      <c r="I21" s="6">
        <v>217</v>
      </c>
      <c r="J21" s="6">
        <v>15.3</v>
      </c>
      <c r="K21" s="6" t="s">
        <v>45</v>
      </c>
      <c r="M21" s="6">
        <v>15.3</v>
      </c>
      <c r="N21" s="6">
        <v>-4</v>
      </c>
      <c r="O21" s="6">
        <v>-21</v>
      </c>
      <c r="P21" t="s">
        <v>75</v>
      </c>
    </row>
    <row r="22" spans="1:16" x14ac:dyDescent="0.25">
      <c r="A22" s="1" t="s">
        <v>37</v>
      </c>
      <c r="B22" s="5" t="s">
        <v>40</v>
      </c>
      <c r="C22" s="6">
        <v>40</v>
      </c>
      <c r="D22" s="6" t="s">
        <v>16</v>
      </c>
      <c r="E22" s="6" t="s">
        <v>16</v>
      </c>
      <c r="F22" s="6">
        <v>4</v>
      </c>
      <c r="G22" s="6">
        <v>310</v>
      </c>
      <c r="H22" s="6" t="s">
        <v>16</v>
      </c>
      <c r="I22" s="6">
        <v>310</v>
      </c>
      <c r="J22" s="6">
        <v>39.5</v>
      </c>
      <c r="K22" s="6" t="s">
        <v>46</v>
      </c>
      <c r="M22" s="6">
        <v>39.5</v>
      </c>
      <c r="N22" s="6">
        <v>4</v>
      </c>
      <c r="O22" s="6">
        <v>-25</v>
      </c>
      <c r="P22" t="s">
        <v>76</v>
      </c>
    </row>
    <row r="23" spans="1:16" x14ac:dyDescent="0.25">
      <c r="A23" s="1" t="s">
        <v>40</v>
      </c>
      <c r="B23" s="5" t="s">
        <v>38</v>
      </c>
      <c r="C23" s="6">
        <v>12</v>
      </c>
      <c r="D23" s="6">
        <v>4.5</v>
      </c>
      <c r="E23" s="6">
        <v>8</v>
      </c>
      <c r="F23" s="6" t="s">
        <v>16</v>
      </c>
      <c r="G23" s="6" t="s">
        <v>16</v>
      </c>
      <c r="H23" s="6">
        <v>58</v>
      </c>
      <c r="I23" s="6">
        <v>238</v>
      </c>
      <c r="J23" s="6">
        <v>39.6</v>
      </c>
      <c r="K23" s="6" t="str">
        <f>"-2 30"</f>
        <v>-2 30</v>
      </c>
      <c r="M23" s="6">
        <v>39.6</v>
      </c>
      <c r="N23" s="6">
        <v>-1.9</v>
      </c>
      <c r="O23" s="6">
        <v>-21</v>
      </c>
      <c r="P23" t="s">
        <v>77</v>
      </c>
    </row>
    <row r="24" spans="1:16" x14ac:dyDescent="0.25">
      <c r="A24" s="1" t="s">
        <v>38</v>
      </c>
      <c r="B24" s="5" t="s">
        <v>39</v>
      </c>
      <c r="C24" s="6">
        <v>2</v>
      </c>
      <c r="D24" s="6">
        <v>2.5</v>
      </c>
      <c r="E24" s="6">
        <v>15</v>
      </c>
      <c r="F24" s="6">
        <v>6</v>
      </c>
      <c r="G24" s="6">
        <v>148</v>
      </c>
      <c r="H24" s="6" t="s">
        <v>16</v>
      </c>
      <c r="I24" s="6">
        <v>148</v>
      </c>
      <c r="J24" s="6">
        <v>49</v>
      </c>
      <c r="K24" s="6" t="s">
        <v>47</v>
      </c>
      <c r="M24" s="6">
        <v>49</v>
      </c>
      <c r="N24" s="6">
        <v>-1.7</v>
      </c>
      <c r="O24" s="6">
        <v>-22.9</v>
      </c>
    </row>
    <row r="25" spans="1:16" x14ac:dyDescent="0.25">
      <c r="A25" s="1" t="s">
        <v>39</v>
      </c>
      <c r="B25" s="5"/>
      <c r="C25" s="6">
        <v>1.5</v>
      </c>
      <c r="D25" s="6">
        <v>1.5</v>
      </c>
      <c r="E25" s="6"/>
      <c r="F25" s="6"/>
      <c r="G25" s="6"/>
      <c r="H25" s="6"/>
      <c r="I25" s="6"/>
      <c r="J25" s="6"/>
      <c r="K25" s="6"/>
      <c r="O25" s="6">
        <v>-24.6</v>
      </c>
      <c r="P25" t="s">
        <v>78</v>
      </c>
    </row>
    <row r="26" spans="1:16" x14ac:dyDescent="0.25">
      <c r="A26" s="1" t="s">
        <v>83</v>
      </c>
      <c r="B26" s="5" t="s">
        <v>84</v>
      </c>
      <c r="C26" s="7" t="s">
        <v>16</v>
      </c>
      <c r="D26" s="7">
        <v>1</v>
      </c>
      <c r="E26" s="7">
        <v>1</v>
      </c>
      <c r="F26" s="7">
        <v>0.5</v>
      </c>
      <c r="G26" s="7" t="s">
        <v>16</v>
      </c>
      <c r="H26" s="7">
        <v>326</v>
      </c>
      <c r="I26" s="7">
        <v>146</v>
      </c>
      <c r="J26" s="7">
        <v>30.4</v>
      </c>
      <c r="K26" s="7" t="s">
        <v>44</v>
      </c>
      <c r="M26" s="6">
        <v>30.4</v>
      </c>
      <c r="N26" t="s">
        <v>16</v>
      </c>
      <c r="P26" t="s">
        <v>87</v>
      </c>
    </row>
    <row r="27" spans="1:16" x14ac:dyDescent="0.25">
      <c r="A27" s="1" t="s">
        <v>84</v>
      </c>
      <c r="B27" s="5" t="s">
        <v>85</v>
      </c>
      <c r="C27" s="7">
        <v>4</v>
      </c>
      <c r="D27" s="7">
        <v>1</v>
      </c>
      <c r="E27" s="7">
        <v>10</v>
      </c>
      <c r="F27" s="7">
        <v>2</v>
      </c>
      <c r="G27" s="7">
        <v>248</v>
      </c>
      <c r="H27" t="s">
        <v>16</v>
      </c>
      <c r="I27" s="7">
        <v>248</v>
      </c>
      <c r="J27" s="7">
        <v>37.5</v>
      </c>
      <c r="K27">
        <v>-6</v>
      </c>
      <c r="M27" s="6">
        <v>37.299999999999997</v>
      </c>
      <c r="N27" s="6">
        <v>-3.9</v>
      </c>
      <c r="O27" s="6">
        <v>11</v>
      </c>
      <c r="P27" t="s">
        <v>88</v>
      </c>
    </row>
    <row r="29" spans="1:16" x14ac:dyDescent="0.25">
      <c r="A29" s="1" t="s">
        <v>90</v>
      </c>
    </row>
    <row r="30" spans="1:16" x14ac:dyDescent="0.25">
      <c r="A30" s="1" t="s">
        <v>85</v>
      </c>
      <c r="B30" s="5" t="s">
        <v>86</v>
      </c>
      <c r="C30">
        <v>5</v>
      </c>
      <c r="D30" s="7">
        <v>6</v>
      </c>
      <c r="E30">
        <v>15</v>
      </c>
      <c r="F30">
        <v>4</v>
      </c>
      <c r="G30" t="s">
        <v>16</v>
      </c>
      <c r="H30">
        <v>85</v>
      </c>
      <c r="I30">
        <v>265</v>
      </c>
      <c r="J30">
        <v>11.8</v>
      </c>
      <c r="K30">
        <v>-24</v>
      </c>
      <c r="M30">
        <v>10.8</v>
      </c>
      <c r="N30">
        <v>-4.8</v>
      </c>
      <c r="O30">
        <v>7.1</v>
      </c>
      <c r="P30" t="s">
        <v>115</v>
      </c>
    </row>
    <row r="31" spans="1:16" x14ac:dyDescent="0.25">
      <c r="A31" s="1" t="s">
        <v>86</v>
      </c>
      <c r="B31" s="5" t="s">
        <v>14</v>
      </c>
      <c r="C31">
        <v>2</v>
      </c>
      <c r="D31" s="7">
        <v>2.2999999999999998</v>
      </c>
      <c r="E31">
        <v>10</v>
      </c>
      <c r="F31">
        <v>4</v>
      </c>
      <c r="G31">
        <v>251</v>
      </c>
      <c r="H31" t="s">
        <v>16</v>
      </c>
      <c r="I31">
        <v>251</v>
      </c>
      <c r="J31">
        <v>36.799999999999997</v>
      </c>
      <c r="K31" t="s">
        <v>110</v>
      </c>
      <c r="M31">
        <v>36.6</v>
      </c>
      <c r="N31">
        <v>-2.2999999999999998</v>
      </c>
      <c r="O31">
        <v>2.2999999999999998</v>
      </c>
      <c r="P31" t="s">
        <v>116</v>
      </c>
    </row>
    <row r="32" spans="1:16" x14ac:dyDescent="0.25">
      <c r="A32" s="1" t="s">
        <v>39</v>
      </c>
      <c r="B32" s="5" t="s">
        <v>91</v>
      </c>
      <c r="C32">
        <v>1.5</v>
      </c>
      <c r="D32" s="7">
        <v>1.5</v>
      </c>
      <c r="E32">
        <v>2.5</v>
      </c>
      <c r="F32">
        <v>15</v>
      </c>
      <c r="G32" t="s">
        <v>16</v>
      </c>
      <c r="H32" t="s">
        <v>108</v>
      </c>
      <c r="I32" t="s">
        <v>109</v>
      </c>
      <c r="J32">
        <v>29</v>
      </c>
      <c r="K32" t="s">
        <v>110</v>
      </c>
      <c r="M32">
        <v>29</v>
      </c>
      <c r="N32" t="s">
        <v>16</v>
      </c>
      <c r="O32">
        <v>-24.6</v>
      </c>
      <c r="P32" t="s">
        <v>117</v>
      </c>
    </row>
    <row r="33" spans="1:16" x14ac:dyDescent="0.25">
      <c r="A33" s="1" t="s">
        <v>91</v>
      </c>
      <c r="B33" s="5" t="s">
        <v>92</v>
      </c>
      <c r="C33">
        <v>15</v>
      </c>
      <c r="D33" t="s">
        <v>16</v>
      </c>
      <c r="E33">
        <v>2</v>
      </c>
      <c r="F33">
        <v>4</v>
      </c>
      <c r="G33" t="s">
        <v>106</v>
      </c>
      <c r="H33" t="s">
        <v>16</v>
      </c>
      <c r="I33" t="s">
        <v>106</v>
      </c>
      <c r="J33">
        <v>33.799999999999997</v>
      </c>
      <c r="K33" t="s">
        <v>110</v>
      </c>
      <c r="M33">
        <v>33.799999999999997</v>
      </c>
      <c r="N33" t="s">
        <v>16</v>
      </c>
      <c r="O33">
        <v>-26.1</v>
      </c>
      <c r="P33" t="s">
        <v>118</v>
      </c>
    </row>
    <row r="34" spans="1:16" x14ac:dyDescent="0.25">
      <c r="A34" s="1" t="s">
        <v>92</v>
      </c>
      <c r="B34" s="5" t="s">
        <v>93</v>
      </c>
      <c r="C34">
        <v>4</v>
      </c>
      <c r="D34" t="s">
        <v>16</v>
      </c>
      <c r="E34">
        <v>0.5</v>
      </c>
      <c r="F34">
        <v>8</v>
      </c>
      <c r="G34" t="s">
        <v>107</v>
      </c>
      <c r="H34" t="s">
        <v>16</v>
      </c>
      <c r="I34" t="s">
        <v>107</v>
      </c>
      <c r="J34">
        <v>47</v>
      </c>
      <c r="K34" t="s">
        <v>110</v>
      </c>
      <c r="M34">
        <v>47</v>
      </c>
      <c r="N34" t="s">
        <v>16</v>
      </c>
      <c r="O34">
        <v>-26.1</v>
      </c>
      <c r="P34" t="s">
        <v>119</v>
      </c>
    </row>
    <row r="35" spans="1:16" x14ac:dyDescent="0.25">
      <c r="A35" s="1" t="s">
        <v>93</v>
      </c>
      <c r="B35" s="5" t="s">
        <v>94</v>
      </c>
      <c r="C35">
        <v>12</v>
      </c>
      <c r="D35" t="s">
        <v>16</v>
      </c>
      <c r="E35">
        <v>2</v>
      </c>
      <c r="F35">
        <v>10</v>
      </c>
      <c r="G35" t="s">
        <v>16</v>
      </c>
      <c r="H35">
        <v>354</v>
      </c>
      <c r="I35">
        <v>174</v>
      </c>
      <c r="J35">
        <v>83.5</v>
      </c>
      <c r="K35" t="s">
        <v>111</v>
      </c>
      <c r="M35">
        <v>83.5</v>
      </c>
      <c r="N35">
        <v>-0.7</v>
      </c>
      <c r="O35">
        <v>-26.1</v>
      </c>
      <c r="P35" t="s">
        <v>120</v>
      </c>
    </row>
    <row r="36" spans="1:16" x14ac:dyDescent="0.25">
      <c r="A36" s="1" t="s">
        <v>94</v>
      </c>
      <c r="C36" t="s">
        <v>104</v>
      </c>
      <c r="D36" t="s">
        <v>16</v>
      </c>
      <c r="E36">
        <v>4</v>
      </c>
      <c r="F36">
        <v>2</v>
      </c>
      <c r="O36">
        <v>-26.8</v>
      </c>
      <c r="P36" t="s">
        <v>121</v>
      </c>
    </row>
    <row r="37" spans="1:16" x14ac:dyDescent="0.25">
      <c r="A37" s="1" t="s">
        <v>38</v>
      </c>
      <c r="B37" t="s">
        <v>253</v>
      </c>
      <c r="C37" t="str">
        <f>"/"</f>
        <v>/</v>
      </c>
      <c r="D37" t="str">
        <f>"/"</f>
        <v>/</v>
      </c>
      <c r="E37" t="str">
        <f>"/"</f>
        <v>/</v>
      </c>
      <c r="F37" t="str">
        <f>"/"</f>
        <v>/</v>
      </c>
      <c r="G37">
        <v>19</v>
      </c>
      <c r="H37" t="s">
        <v>16</v>
      </c>
      <c r="I37">
        <v>19</v>
      </c>
      <c r="J37">
        <v>22.1</v>
      </c>
      <c r="K37">
        <v>20</v>
      </c>
      <c r="M37">
        <v>20.8</v>
      </c>
      <c r="N37">
        <v>7.6</v>
      </c>
      <c r="O37">
        <v>-22.9</v>
      </c>
    </row>
    <row r="38" spans="1:16" x14ac:dyDescent="0.25">
      <c r="A38" s="1" t="s">
        <v>253</v>
      </c>
      <c r="B38" t="s">
        <v>254</v>
      </c>
      <c r="C38">
        <v>1</v>
      </c>
      <c r="D38">
        <v>0.5</v>
      </c>
      <c r="E38">
        <v>8</v>
      </c>
      <c r="F38">
        <v>8</v>
      </c>
      <c r="G38">
        <v>315</v>
      </c>
      <c r="H38" t="s">
        <v>16</v>
      </c>
      <c r="I38">
        <v>315</v>
      </c>
      <c r="J38">
        <v>46</v>
      </c>
      <c r="K38">
        <v>-3</v>
      </c>
      <c r="M38">
        <v>45.9</v>
      </c>
      <c r="N38">
        <v>-2.4</v>
      </c>
      <c r="O38">
        <v>-15.5</v>
      </c>
      <c r="P38" t="s">
        <v>122</v>
      </c>
    </row>
    <row r="39" spans="1:16" x14ac:dyDescent="0.25">
      <c r="A39" s="1" t="s">
        <v>254</v>
      </c>
      <c r="B39" t="s">
        <v>255</v>
      </c>
      <c r="C39">
        <v>1</v>
      </c>
      <c r="D39">
        <v>2</v>
      </c>
      <c r="E39">
        <v>4</v>
      </c>
      <c r="F39">
        <v>4</v>
      </c>
      <c r="G39">
        <v>348</v>
      </c>
      <c r="H39" t="s">
        <v>16</v>
      </c>
      <c r="I39">
        <v>348</v>
      </c>
      <c r="J39">
        <v>32</v>
      </c>
      <c r="K39">
        <v>2</v>
      </c>
      <c r="M39">
        <v>32</v>
      </c>
      <c r="N39">
        <v>1.1000000000000001</v>
      </c>
      <c r="O39">
        <v>-17.7</v>
      </c>
      <c r="P39" t="s">
        <v>123</v>
      </c>
    </row>
    <row r="40" spans="1:16" x14ac:dyDescent="0.25">
      <c r="A40" s="1" t="s">
        <v>255</v>
      </c>
      <c r="B40" t="s">
        <v>256</v>
      </c>
      <c r="C40">
        <v>2</v>
      </c>
      <c r="D40">
        <v>1.5</v>
      </c>
      <c r="E40">
        <v>5</v>
      </c>
      <c r="F40">
        <v>2</v>
      </c>
      <c r="G40">
        <v>284</v>
      </c>
      <c r="H40" t="s">
        <v>16</v>
      </c>
      <c r="I40">
        <v>284</v>
      </c>
      <c r="J40">
        <v>27.3</v>
      </c>
      <c r="K40" t="s">
        <v>112</v>
      </c>
      <c r="M40">
        <v>27.3</v>
      </c>
      <c r="N40">
        <v>-4</v>
      </c>
      <c r="O40">
        <v>-16.600000000000001</v>
      </c>
      <c r="P40" t="s">
        <v>124</v>
      </c>
    </row>
    <row r="41" spans="1:16" x14ac:dyDescent="0.25">
      <c r="A41" s="1" t="s">
        <v>96</v>
      </c>
      <c r="B41" t="s">
        <v>97</v>
      </c>
      <c r="C41" t="str">
        <f t="shared" ref="C41:D47" si="0">"/"</f>
        <v>/</v>
      </c>
      <c r="D41">
        <v>1</v>
      </c>
      <c r="E41">
        <v>3</v>
      </c>
      <c r="F41" t="str">
        <f>"/"</f>
        <v>/</v>
      </c>
      <c r="G41">
        <v>83</v>
      </c>
      <c r="H41" t="s">
        <v>16</v>
      </c>
      <c r="I41">
        <v>83</v>
      </c>
      <c r="J41">
        <v>43</v>
      </c>
      <c r="K41">
        <v>15</v>
      </c>
      <c r="M41">
        <v>41.5</v>
      </c>
      <c r="N41">
        <v>11.1</v>
      </c>
      <c r="O41">
        <v>-4.5999999999999996</v>
      </c>
      <c r="P41" t="s">
        <v>125</v>
      </c>
    </row>
    <row r="42" spans="1:16" x14ac:dyDescent="0.25">
      <c r="A42" s="1" t="s">
        <v>97</v>
      </c>
      <c r="B42" t="s">
        <v>98</v>
      </c>
      <c r="C42" t="str">
        <f t="shared" si="0"/>
        <v>/</v>
      </c>
      <c r="D42">
        <v>2</v>
      </c>
      <c r="E42">
        <v>5</v>
      </c>
      <c r="F42">
        <v>7</v>
      </c>
      <c r="G42">
        <v>6</v>
      </c>
      <c r="H42" t="s">
        <v>16</v>
      </c>
      <c r="I42">
        <v>6</v>
      </c>
      <c r="J42">
        <v>20.7</v>
      </c>
      <c r="K42">
        <v>8</v>
      </c>
      <c r="M42">
        <v>20.5</v>
      </c>
      <c r="N42">
        <v>2.9</v>
      </c>
      <c r="O42">
        <v>6.5</v>
      </c>
    </row>
    <row r="43" spans="1:16" x14ac:dyDescent="0.25">
      <c r="A43" s="1" t="s">
        <v>98</v>
      </c>
      <c r="B43" t="s">
        <v>99</v>
      </c>
      <c r="C43" t="str">
        <f t="shared" si="0"/>
        <v>/</v>
      </c>
      <c r="D43">
        <v>1</v>
      </c>
      <c r="E43">
        <v>2</v>
      </c>
      <c r="F43">
        <v>3</v>
      </c>
      <c r="G43">
        <v>42</v>
      </c>
      <c r="H43" t="s">
        <v>16</v>
      </c>
      <c r="I43">
        <v>42</v>
      </c>
      <c r="J43">
        <v>11.3</v>
      </c>
      <c r="K43">
        <v>10</v>
      </c>
      <c r="M43">
        <v>11.1</v>
      </c>
      <c r="N43">
        <v>2</v>
      </c>
      <c r="O43" t="s">
        <v>113</v>
      </c>
    </row>
    <row r="44" spans="1:16" x14ac:dyDescent="0.25">
      <c r="A44" s="1" t="s">
        <v>99</v>
      </c>
      <c r="B44" t="s">
        <v>100</v>
      </c>
      <c r="C44" t="str">
        <f t="shared" si="0"/>
        <v>/</v>
      </c>
      <c r="D44">
        <v>0.5</v>
      </c>
      <c r="E44">
        <v>1</v>
      </c>
      <c r="F44" t="str">
        <f>"/"</f>
        <v>/</v>
      </c>
      <c r="G44">
        <v>139</v>
      </c>
      <c r="H44" t="s">
        <v>16</v>
      </c>
      <c r="I44">
        <v>139</v>
      </c>
      <c r="J44">
        <v>18.899999999999999</v>
      </c>
      <c r="K44" t="s">
        <v>44</v>
      </c>
      <c r="M44">
        <v>18.899999999999999</v>
      </c>
      <c r="N44" t="s">
        <v>16</v>
      </c>
      <c r="O44">
        <v>11.4</v>
      </c>
      <c r="P44" t="s">
        <v>126</v>
      </c>
    </row>
    <row r="45" spans="1:16" x14ac:dyDescent="0.25">
      <c r="A45" s="1" t="s">
        <v>99</v>
      </c>
      <c r="B45" t="s">
        <v>101</v>
      </c>
      <c r="C45" t="str">
        <f t="shared" si="0"/>
        <v>/</v>
      </c>
      <c r="D45" t="str">
        <f t="shared" si="0"/>
        <v>/</v>
      </c>
      <c r="E45" t="str">
        <f>"/"</f>
        <v>/</v>
      </c>
      <c r="F45">
        <v>6</v>
      </c>
      <c r="G45">
        <v>245</v>
      </c>
      <c r="H45" t="s">
        <v>16</v>
      </c>
      <c r="I45">
        <v>245</v>
      </c>
      <c r="J45">
        <v>10.3</v>
      </c>
      <c r="K45">
        <v>60</v>
      </c>
      <c r="M45">
        <v>5.0999999999999996</v>
      </c>
      <c r="N45">
        <v>8.9</v>
      </c>
      <c r="O45">
        <v>11.4</v>
      </c>
    </row>
    <row r="46" spans="1:16" x14ac:dyDescent="0.25">
      <c r="A46" s="1" t="s">
        <v>101</v>
      </c>
      <c r="B46" t="s">
        <v>102</v>
      </c>
      <c r="C46" t="str">
        <f t="shared" si="0"/>
        <v>/</v>
      </c>
      <c r="D46" t="str">
        <f t="shared" si="0"/>
        <v>/</v>
      </c>
      <c r="E46">
        <v>1</v>
      </c>
      <c r="F46">
        <v>1</v>
      </c>
      <c r="G46">
        <v>319</v>
      </c>
      <c r="H46" t="s">
        <v>16</v>
      </c>
      <c r="I46">
        <v>319</v>
      </c>
      <c r="J46">
        <v>6.2</v>
      </c>
      <c r="K46" t="s">
        <v>44</v>
      </c>
      <c r="M46">
        <v>6.2</v>
      </c>
      <c r="N46" t="s">
        <v>16</v>
      </c>
      <c r="O46">
        <v>20.3</v>
      </c>
    </row>
    <row r="47" spans="1:16" x14ac:dyDescent="0.25">
      <c r="A47" s="1" t="s">
        <v>102</v>
      </c>
      <c r="B47" t="s">
        <v>103</v>
      </c>
      <c r="C47" t="str">
        <f t="shared" si="0"/>
        <v>/</v>
      </c>
      <c r="D47" t="str">
        <f t="shared" si="0"/>
        <v>/</v>
      </c>
      <c r="E47" t="str">
        <f>"/"</f>
        <v>/</v>
      </c>
      <c r="F47">
        <v>2</v>
      </c>
      <c r="G47">
        <v>237</v>
      </c>
      <c r="H47" t="s">
        <v>16</v>
      </c>
      <c r="I47">
        <v>237</v>
      </c>
      <c r="J47">
        <v>16</v>
      </c>
      <c r="K47">
        <v>65</v>
      </c>
      <c r="M47">
        <v>6.8</v>
      </c>
      <c r="N47">
        <v>14.5</v>
      </c>
      <c r="O47">
        <v>20.3</v>
      </c>
    </row>
    <row r="48" spans="1:16" x14ac:dyDescent="0.25">
      <c r="A48" s="1" t="s">
        <v>103</v>
      </c>
      <c r="B48" t="s">
        <v>95</v>
      </c>
      <c r="C48" t="s">
        <v>105</v>
      </c>
      <c r="D48">
        <v>1</v>
      </c>
      <c r="E48">
        <v>1</v>
      </c>
      <c r="F48">
        <v>1</v>
      </c>
      <c r="G48">
        <v>329</v>
      </c>
      <c r="H48" t="s">
        <v>16</v>
      </c>
      <c r="I48">
        <v>329</v>
      </c>
      <c r="J48">
        <v>46</v>
      </c>
      <c r="K48" t="s">
        <v>44</v>
      </c>
      <c r="M48">
        <v>46</v>
      </c>
      <c r="N48" t="s">
        <v>16</v>
      </c>
      <c r="O48">
        <v>34.799999999999997</v>
      </c>
      <c r="P48" t="s">
        <v>127</v>
      </c>
    </row>
    <row r="49" spans="1:16" x14ac:dyDescent="0.25">
      <c r="A49" s="1" t="s">
        <v>32</v>
      </c>
      <c r="B49">
        <v>1</v>
      </c>
      <c r="C49" t="str">
        <f t="shared" ref="C49:C50" si="1">"/"</f>
        <v>/</v>
      </c>
      <c r="D49" t="str">
        <f>"/"</f>
        <v>/</v>
      </c>
      <c r="E49" t="str">
        <f>"/"</f>
        <v>/</v>
      </c>
      <c r="F49" t="str">
        <f>"/"</f>
        <v>/</v>
      </c>
      <c r="G49" t="s">
        <v>16</v>
      </c>
      <c r="H49">
        <v>145</v>
      </c>
      <c r="I49">
        <v>325</v>
      </c>
      <c r="J49">
        <v>11.7</v>
      </c>
      <c r="K49">
        <v>-20</v>
      </c>
      <c r="M49">
        <v>10.9</v>
      </c>
      <c r="N49">
        <v>-4</v>
      </c>
      <c r="O49">
        <v>-9.9</v>
      </c>
    </row>
    <row r="50" spans="1:16" x14ac:dyDescent="0.25">
      <c r="A50" s="1">
        <v>1</v>
      </c>
      <c r="B50">
        <v>2</v>
      </c>
      <c r="C50" t="str">
        <f t="shared" si="1"/>
        <v>/</v>
      </c>
      <c r="D50">
        <v>2.5</v>
      </c>
      <c r="E50" t="str">
        <f>"/"</f>
        <v>/</v>
      </c>
      <c r="F50" t="str">
        <f>"/"</f>
        <v>/</v>
      </c>
      <c r="G50">
        <v>35</v>
      </c>
      <c r="H50" t="s">
        <v>16</v>
      </c>
      <c r="I50">
        <v>35</v>
      </c>
      <c r="J50">
        <v>28.5</v>
      </c>
      <c r="K50">
        <v>85</v>
      </c>
      <c r="M50">
        <v>2.5</v>
      </c>
      <c r="N50">
        <v>28.4</v>
      </c>
      <c r="O50">
        <v>13.9</v>
      </c>
    </row>
    <row r="51" spans="1:16" x14ac:dyDescent="0.25">
      <c r="A51" s="1">
        <v>2</v>
      </c>
      <c r="B51">
        <v>3</v>
      </c>
      <c r="C51">
        <v>4</v>
      </c>
      <c r="D51" t="s">
        <v>16</v>
      </c>
      <c r="E51">
        <v>2</v>
      </c>
      <c r="F51">
        <v>2</v>
      </c>
      <c r="G51" t="s">
        <v>16</v>
      </c>
      <c r="H51">
        <v>230</v>
      </c>
      <c r="I51">
        <v>50</v>
      </c>
      <c r="J51">
        <v>19.899999999999999</v>
      </c>
      <c r="K51">
        <v>16</v>
      </c>
      <c r="M51">
        <v>19.100000000000001</v>
      </c>
      <c r="N51">
        <v>5.5</v>
      </c>
      <c r="O51" t="s">
        <v>114</v>
      </c>
      <c r="P51" t="s">
        <v>128</v>
      </c>
    </row>
    <row r="52" spans="1:16" x14ac:dyDescent="0.25">
      <c r="A52" s="1">
        <v>3</v>
      </c>
      <c r="B52">
        <v>4</v>
      </c>
      <c r="C52">
        <v>2</v>
      </c>
      <c r="D52">
        <v>1</v>
      </c>
      <c r="E52">
        <v>2</v>
      </c>
      <c r="F52">
        <v>2</v>
      </c>
      <c r="G52">
        <v>122</v>
      </c>
      <c r="H52" t="s">
        <v>16</v>
      </c>
      <c r="I52">
        <v>122</v>
      </c>
      <c r="J52">
        <v>16</v>
      </c>
      <c r="K52">
        <v>7</v>
      </c>
      <c r="M52">
        <v>15.9</v>
      </c>
      <c r="N52">
        <v>1.9</v>
      </c>
      <c r="O52">
        <v>22</v>
      </c>
      <c r="P52" t="s">
        <v>132</v>
      </c>
    </row>
    <row r="53" spans="1:16" x14ac:dyDescent="0.25">
      <c r="A53" s="1">
        <v>4</v>
      </c>
      <c r="B53">
        <v>5</v>
      </c>
      <c r="C53">
        <v>2</v>
      </c>
      <c r="D53">
        <v>1</v>
      </c>
      <c r="E53">
        <v>2</v>
      </c>
      <c r="F53">
        <v>4</v>
      </c>
      <c r="G53">
        <v>59</v>
      </c>
      <c r="H53" t="s">
        <v>16</v>
      </c>
      <c r="I53">
        <v>59</v>
      </c>
      <c r="J53">
        <v>18</v>
      </c>
      <c r="K53">
        <v>15</v>
      </c>
      <c r="M53">
        <v>17.399999999999999</v>
      </c>
      <c r="N53">
        <v>4.7</v>
      </c>
      <c r="O53">
        <v>26.9</v>
      </c>
      <c r="P53" t="s">
        <v>131</v>
      </c>
    </row>
    <row r="54" spans="1:16" x14ac:dyDescent="0.25">
      <c r="A54" s="1">
        <v>5</v>
      </c>
      <c r="B54">
        <v>6</v>
      </c>
      <c r="C54" t="str">
        <f t="shared" ref="C54" si="2">"/"</f>
        <v>/</v>
      </c>
      <c r="D54">
        <v>1</v>
      </c>
      <c r="E54" t="str">
        <f t="shared" ref="E54:F54" si="3">"/"</f>
        <v>/</v>
      </c>
      <c r="F54" t="str">
        <f t="shared" si="3"/>
        <v>/</v>
      </c>
      <c r="G54">
        <v>17</v>
      </c>
      <c r="H54" t="s">
        <v>16</v>
      </c>
      <c r="I54">
        <v>17</v>
      </c>
      <c r="J54">
        <v>9.5</v>
      </c>
      <c r="K54">
        <v>10</v>
      </c>
      <c r="M54">
        <v>9.4</v>
      </c>
      <c r="N54">
        <v>1.6</v>
      </c>
      <c r="O54">
        <v>33.6</v>
      </c>
    </row>
    <row r="55" spans="1:16" x14ac:dyDescent="0.25">
      <c r="A55" s="1">
        <v>6</v>
      </c>
      <c r="B55">
        <v>7</v>
      </c>
      <c r="C55">
        <v>2</v>
      </c>
      <c r="D55">
        <v>0.5</v>
      </c>
      <c r="E55">
        <v>3</v>
      </c>
      <c r="F55">
        <v>1</v>
      </c>
      <c r="G55">
        <v>46</v>
      </c>
      <c r="H55" t="s">
        <v>16</v>
      </c>
      <c r="I55">
        <v>46</v>
      </c>
      <c r="J55">
        <v>13.5</v>
      </c>
      <c r="K55">
        <v>17</v>
      </c>
      <c r="M55">
        <v>12.9</v>
      </c>
      <c r="N55">
        <v>4</v>
      </c>
      <c r="O55">
        <v>38.200000000000003</v>
      </c>
    </row>
    <row r="56" spans="1:16" x14ac:dyDescent="0.25">
      <c r="A56" s="1">
        <v>7</v>
      </c>
      <c r="B56">
        <v>8</v>
      </c>
      <c r="C56">
        <v>2</v>
      </c>
      <c r="D56">
        <v>0.5</v>
      </c>
      <c r="E56">
        <v>1</v>
      </c>
      <c r="F56">
        <v>2</v>
      </c>
      <c r="G56">
        <v>74</v>
      </c>
      <c r="H56" t="s">
        <v>16</v>
      </c>
      <c r="I56">
        <v>74</v>
      </c>
      <c r="J56">
        <v>24.2</v>
      </c>
      <c r="K56">
        <v>13</v>
      </c>
      <c r="M56">
        <v>23.6</v>
      </c>
      <c r="N56">
        <v>5.4</v>
      </c>
      <c r="O56">
        <v>46.2</v>
      </c>
    </row>
    <row r="57" spans="1:16" x14ac:dyDescent="0.25">
      <c r="A57" s="1">
        <v>8</v>
      </c>
      <c r="B57">
        <v>9</v>
      </c>
      <c r="C57">
        <v>3</v>
      </c>
      <c r="D57">
        <v>0.5</v>
      </c>
      <c r="E57">
        <v>2</v>
      </c>
      <c r="F57">
        <v>1</v>
      </c>
      <c r="G57">
        <v>137</v>
      </c>
      <c r="H57" t="s">
        <v>16</v>
      </c>
      <c r="I57">
        <v>137</v>
      </c>
      <c r="J57">
        <v>8.8000000000000007</v>
      </c>
      <c r="K57">
        <v>10</v>
      </c>
      <c r="M57">
        <v>8.6999999999999993</v>
      </c>
      <c r="N57">
        <v>1.5</v>
      </c>
      <c r="O57">
        <v>52.6</v>
      </c>
    </row>
    <row r="58" spans="1:16" x14ac:dyDescent="0.25">
      <c r="A58" s="1">
        <v>9</v>
      </c>
      <c r="B58">
        <v>10</v>
      </c>
      <c r="C58">
        <v>2</v>
      </c>
      <c r="D58">
        <v>0.5</v>
      </c>
      <c r="E58">
        <v>2</v>
      </c>
      <c r="F58">
        <v>2</v>
      </c>
      <c r="G58">
        <v>89</v>
      </c>
      <c r="H58" t="s">
        <v>16</v>
      </c>
      <c r="I58">
        <v>89</v>
      </c>
      <c r="J58">
        <v>19.8</v>
      </c>
      <c r="K58">
        <v>15</v>
      </c>
      <c r="M58">
        <v>19.100000000000001</v>
      </c>
      <c r="N58">
        <v>5.0999999999999996</v>
      </c>
      <c r="O58">
        <v>56.1</v>
      </c>
    </row>
    <row r="59" spans="1:16" x14ac:dyDescent="0.25">
      <c r="A59" s="1">
        <v>10</v>
      </c>
      <c r="B59">
        <v>11</v>
      </c>
      <c r="C59" t="str">
        <f t="shared" ref="C59" si="4">"/"</f>
        <v>/</v>
      </c>
      <c r="D59">
        <v>0.5</v>
      </c>
      <c r="E59">
        <v>1</v>
      </c>
      <c r="F59">
        <v>3</v>
      </c>
      <c r="G59">
        <v>26</v>
      </c>
      <c r="H59" t="s">
        <v>16</v>
      </c>
      <c r="I59">
        <v>26</v>
      </c>
      <c r="J59">
        <v>9</v>
      </c>
      <c r="K59">
        <v>12</v>
      </c>
      <c r="M59">
        <v>8.8000000000000007</v>
      </c>
      <c r="N59">
        <v>1.9</v>
      </c>
      <c r="O59">
        <v>62.2</v>
      </c>
    </row>
    <row r="60" spans="1:16" x14ac:dyDescent="0.25">
      <c r="A60" s="1">
        <v>11</v>
      </c>
      <c r="B60">
        <v>12</v>
      </c>
      <c r="C60">
        <v>2</v>
      </c>
      <c r="D60">
        <v>0.5</v>
      </c>
      <c r="E60" t="str">
        <f t="shared" ref="E60:F61" si="5">"/"</f>
        <v>/</v>
      </c>
      <c r="F60" t="str">
        <f t="shared" si="5"/>
        <v>/</v>
      </c>
      <c r="G60">
        <v>78</v>
      </c>
      <c r="H60" t="s">
        <v>16</v>
      </c>
      <c r="I60">
        <v>78</v>
      </c>
      <c r="J60">
        <v>10.7</v>
      </c>
      <c r="K60">
        <v>10</v>
      </c>
      <c r="M60">
        <v>10.5</v>
      </c>
      <c r="N60">
        <v>1.9</v>
      </c>
      <c r="O60">
        <v>65.099999999999994</v>
      </c>
    </row>
    <row r="61" spans="1:16" x14ac:dyDescent="0.25">
      <c r="A61" s="1">
        <v>12</v>
      </c>
      <c r="B61">
        <v>13</v>
      </c>
      <c r="C61">
        <v>2</v>
      </c>
      <c r="D61">
        <v>2</v>
      </c>
      <c r="E61" t="str">
        <f t="shared" si="5"/>
        <v>/</v>
      </c>
      <c r="F61">
        <v>1</v>
      </c>
      <c r="G61">
        <v>25</v>
      </c>
      <c r="H61" t="s">
        <v>16</v>
      </c>
      <c r="I61">
        <v>25</v>
      </c>
      <c r="J61">
        <v>8.5</v>
      </c>
      <c r="K61" t="s">
        <v>129</v>
      </c>
      <c r="M61">
        <v>8.1999999999999993</v>
      </c>
      <c r="N61">
        <v>-2</v>
      </c>
      <c r="O61">
        <v>67</v>
      </c>
      <c r="P61" t="s">
        <v>133</v>
      </c>
    </row>
    <row r="62" spans="1:16" x14ac:dyDescent="0.25">
      <c r="A62" s="1">
        <v>13</v>
      </c>
      <c r="B62">
        <v>14</v>
      </c>
      <c r="C62">
        <v>1</v>
      </c>
      <c r="D62">
        <v>0.5</v>
      </c>
      <c r="E62">
        <v>2</v>
      </c>
      <c r="F62">
        <v>3</v>
      </c>
      <c r="G62">
        <v>85</v>
      </c>
      <c r="H62" t="s">
        <v>16</v>
      </c>
      <c r="I62">
        <v>85</v>
      </c>
      <c r="J62">
        <v>12.3</v>
      </c>
      <c r="K62">
        <v>9</v>
      </c>
      <c r="M62">
        <v>12.1</v>
      </c>
      <c r="N62">
        <v>1.9</v>
      </c>
      <c r="O62">
        <v>65</v>
      </c>
    </row>
    <row r="63" spans="1:16" x14ac:dyDescent="0.25">
      <c r="A63" s="1">
        <v>14</v>
      </c>
      <c r="B63">
        <v>15</v>
      </c>
      <c r="C63">
        <v>2</v>
      </c>
      <c r="D63">
        <v>0.5</v>
      </c>
      <c r="E63" t="str">
        <f t="shared" ref="E63:F64" si="6">"/"</f>
        <v>/</v>
      </c>
      <c r="F63" t="str">
        <f t="shared" si="6"/>
        <v>/</v>
      </c>
      <c r="G63">
        <v>63</v>
      </c>
      <c r="H63" t="s">
        <v>16</v>
      </c>
      <c r="I63">
        <v>63</v>
      </c>
      <c r="J63">
        <v>11.6</v>
      </c>
      <c r="K63">
        <v>10</v>
      </c>
      <c r="M63">
        <v>11.4</v>
      </c>
      <c r="N63">
        <v>2</v>
      </c>
      <c r="O63">
        <v>69.900000000000006</v>
      </c>
    </row>
    <row r="64" spans="1:16" x14ac:dyDescent="0.25">
      <c r="A64" s="1">
        <v>15</v>
      </c>
      <c r="B64">
        <v>16</v>
      </c>
      <c r="C64">
        <v>3</v>
      </c>
      <c r="D64">
        <v>4</v>
      </c>
      <c r="E64">
        <v>2</v>
      </c>
      <c r="F64" t="str">
        <f t="shared" si="6"/>
        <v>/</v>
      </c>
      <c r="G64">
        <v>125</v>
      </c>
      <c r="H64" t="s">
        <v>16</v>
      </c>
      <c r="I64">
        <v>125</v>
      </c>
      <c r="J64">
        <v>12</v>
      </c>
      <c r="K64" t="s">
        <v>130</v>
      </c>
      <c r="M64">
        <v>12</v>
      </c>
      <c r="N64">
        <v>-3.5</v>
      </c>
      <c r="O64">
        <v>72.900000000000006</v>
      </c>
      <c r="P64" t="s">
        <v>134</v>
      </c>
    </row>
    <row r="65" spans="1:16" x14ac:dyDescent="0.25">
      <c r="A65" s="1">
        <v>16</v>
      </c>
      <c r="B65">
        <v>17</v>
      </c>
      <c r="C65">
        <v>1</v>
      </c>
      <c r="D65">
        <v>0.5</v>
      </c>
      <c r="E65">
        <v>3</v>
      </c>
      <c r="F65">
        <v>3</v>
      </c>
      <c r="G65" t="s">
        <v>16</v>
      </c>
      <c r="H65">
        <v>265</v>
      </c>
      <c r="I65">
        <v>85</v>
      </c>
      <c r="J65">
        <v>14.5</v>
      </c>
      <c r="K65">
        <v>6</v>
      </c>
      <c r="M65">
        <v>14.4</v>
      </c>
      <c r="N65">
        <v>1.5</v>
      </c>
      <c r="O65">
        <v>71.400000000000006</v>
      </c>
    </row>
    <row r="66" spans="1:16" x14ac:dyDescent="0.25">
      <c r="A66" s="1">
        <v>17</v>
      </c>
      <c r="B66">
        <v>18</v>
      </c>
      <c r="C66">
        <v>1</v>
      </c>
      <c r="D66">
        <v>1</v>
      </c>
      <c r="E66">
        <v>2</v>
      </c>
      <c r="F66">
        <v>3</v>
      </c>
      <c r="G66">
        <v>22</v>
      </c>
      <c r="H66" t="s">
        <v>16</v>
      </c>
      <c r="I66">
        <v>22</v>
      </c>
      <c r="J66">
        <v>12.6</v>
      </c>
      <c r="K66">
        <v>6</v>
      </c>
      <c r="M66">
        <v>12.5</v>
      </c>
      <c r="N66">
        <v>1.3</v>
      </c>
      <c r="O66">
        <v>74.900000000000006</v>
      </c>
    </row>
    <row r="67" spans="1:16" x14ac:dyDescent="0.25">
      <c r="A67" s="1">
        <v>18</v>
      </c>
      <c r="B67">
        <v>19</v>
      </c>
      <c r="C67">
        <v>3</v>
      </c>
      <c r="D67">
        <v>11</v>
      </c>
      <c r="E67">
        <v>2</v>
      </c>
      <c r="F67">
        <v>2</v>
      </c>
      <c r="G67" t="s">
        <v>16</v>
      </c>
      <c r="H67" t="s">
        <v>16</v>
      </c>
      <c r="I67" t="s">
        <v>16</v>
      </c>
      <c r="J67">
        <v>11</v>
      </c>
      <c r="K67">
        <v>-90</v>
      </c>
      <c r="M67" t="s">
        <v>16</v>
      </c>
      <c r="N67">
        <v>-11</v>
      </c>
      <c r="O67">
        <v>76.400000000000006</v>
      </c>
      <c r="P67" t="s">
        <v>135</v>
      </c>
    </row>
    <row r="68" spans="1:16" x14ac:dyDescent="0.25">
      <c r="P68" t="s">
        <v>136</v>
      </c>
    </row>
    <row r="70" spans="1:16" x14ac:dyDescent="0.25">
      <c r="A70" s="1" t="s">
        <v>137</v>
      </c>
    </row>
    <row r="71" spans="1:16" x14ac:dyDescent="0.25">
      <c r="A71" s="1" t="s">
        <v>84</v>
      </c>
      <c r="B71" t="s">
        <v>138</v>
      </c>
      <c r="C71" t="str">
        <f t="shared" ref="C71" si="7">"/"</f>
        <v>/</v>
      </c>
      <c r="D71">
        <v>2</v>
      </c>
      <c r="E71" t="str">
        <f t="shared" ref="E71:F71" si="8">"/"</f>
        <v>/</v>
      </c>
      <c r="F71" t="str">
        <f t="shared" si="8"/>
        <v>/</v>
      </c>
      <c r="G71" t="s">
        <v>16</v>
      </c>
      <c r="H71" t="s">
        <v>165</v>
      </c>
      <c r="I71" t="s">
        <v>177</v>
      </c>
      <c r="J71">
        <v>78.099999999999994</v>
      </c>
      <c r="K71" t="s">
        <v>184</v>
      </c>
      <c r="M71">
        <v>77.099999999999994</v>
      </c>
      <c r="N71">
        <v>12.9</v>
      </c>
      <c r="O71">
        <v>12</v>
      </c>
      <c r="P71" t="s">
        <v>260</v>
      </c>
    </row>
    <row r="72" spans="1:16" x14ac:dyDescent="0.25">
      <c r="A72" s="1" t="s">
        <v>138</v>
      </c>
      <c r="B72" t="s">
        <v>139</v>
      </c>
      <c r="C72">
        <v>25</v>
      </c>
      <c r="D72">
        <v>5</v>
      </c>
      <c r="E72">
        <v>8</v>
      </c>
      <c r="F72">
        <v>7</v>
      </c>
      <c r="G72" t="s">
        <v>166</v>
      </c>
      <c r="H72" t="s">
        <v>16</v>
      </c>
      <c r="I72" t="s">
        <v>166</v>
      </c>
      <c r="J72">
        <v>24.1</v>
      </c>
      <c r="K72" t="str">
        <f>"-5 30"</f>
        <v>-5 30</v>
      </c>
      <c r="M72">
        <v>24</v>
      </c>
      <c r="N72">
        <v>-2.2999999999999998</v>
      </c>
      <c r="O72">
        <v>24.9</v>
      </c>
      <c r="P72" t="s">
        <v>261</v>
      </c>
    </row>
    <row r="73" spans="1:16" x14ac:dyDescent="0.25">
      <c r="A73" s="1" t="s">
        <v>139</v>
      </c>
      <c r="B73" t="s">
        <v>140</v>
      </c>
      <c r="C73">
        <v>20</v>
      </c>
      <c r="D73">
        <v>5</v>
      </c>
      <c r="E73">
        <v>6</v>
      </c>
      <c r="F73">
        <v>0.5</v>
      </c>
      <c r="G73" t="s">
        <v>16</v>
      </c>
      <c r="H73" t="s">
        <v>167</v>
      </c>
      <c r="I73" t="s">
        <v>178</v>
      </c>
      <c r="J73">
        <v>29.2</v>
      </c>
      <c r="K73" t="s">
        <v>185</v>
      </c>
      <c r="M73">
        <v>29.2</v>
      </c>
      <c r="N73">
        <v>0.3</v>
      </c>
      <c r="O73">
        <v>22.6</v>
      </c>
      <c r="P73" t="s">
        <v>262</v>
      </c>
    </row>
    <row r="74" spans="1:16" x14ac:dyDescent="0.25">
      <c r="A74" s="1" t="s">
        <v>140</v>
      </c>
      <c r="B74" t="s">
        <v>141</v>
      </c>
      <c r="C74" t="s">
        <v>162</v>
      </c>
      <c r="D74">
        <v>2.5</v>
      </c>
      <c r="E74">
        <v>1</v>
      </c>
      <c r="F74">
        <v>7.2</v>
      </c>
      <c r="G74" t="s">
        <v>168</v>
      </c>
      <c r="H74" t="s">
        <v>16</v>
      </c>
      <c r="I74" t="s">
        <v>168</v>
      </c>
      <c r="J74">
        <v>10.6</v>
      </c>
      <c r="K74" t="s">
        <v>186</v>
      </c>
      <c r="M74">
        <v>9.8000000000000007</v>
      </c>
      <c r="N74">
        <v>4.0999999999999996</v>
      </c>
      <c r="O74">
        <v>22.9</v>
      </c>
      <c r="P74" t="s">
        <v>263</v>
      </c>
    </row>
    <row r="75" spans="1:16" x14ac:dyDescent="0.25">
      <c r="A75" s="1" t="s">
        <v>141</v>
      </c>
      <c r="B75" t="s">
        <v>142</v>
      </c>
      <c r="C75">
        <v>30</v>
      </c>
      <c r="D75">
        <v>5</v>
      </c>
      <c r="E75">
        <v>5</v>
      </c>
      <c r="F75">
        <v>2</v>
      </c>
      <c r="G75" t="s">
        <v>16</v>
      </c>
      <c r="H75" t="s">
        <v>169</v>
      </c>
      <c r="I75" t="s">
        <v>179</v>
      </c>
      <c r="J75">
        <v>48.3</v>
      </c>
      <c r="K75" t="s">
        <v>187</v>
      </c>
      <c r="M75">
        <v>47.6</v>
      </c>
      <c r="N75">
        <v>8.1</v>
      </c>
      <c r="O75">
        <v>27</v>
      </c>
      <c r="P75" t="s">
        <v>264</v>
      </c>
    </row>
    <row r="76" spans="1:16" x14ac:dyDescent="0.25">
      <c r="A76" s="1" t="s">
        <v>142</v>
      </c>
      <c r="B76" t="s">
        <v>143</v>
      </c>
      <c r="C76">
        <v>40</v>
      </c>
      <c r="D76" t="s">
        <v>164</v>
      </c>
      <c r="E76">
        <v>3</v>
      </c>
      <c r="F76">
        <v>4</v>
      </c>
      <c r="G76" t="s">
        <v>170</v>
      </c>
      <c r="H76" t="s">
        <v>16</v>
      </c>
      <c r="I76" t="s">
        <v>170</v>
      </c>
      <c r="J76">
        <v>17</v>
      </c>
      <c r="K76" t="s">
        <v>188</v>
      </c>
      <c r="M76">
        <v>16.7</v>
      </c>
      <c r="N76">
        <v>3</v>
      </c>
      <c r="O76">
        <v>35.1</v>
      </c>
      <c r="P76" t="s">
        <v>265</v>
      </c>
    </row>
    <row r="77" spans="1:16" x14ac:dyDescent="0.25">
      <c r="A77" s="1" t="s">
        <v>143</v>
      </c>
      <c r="B77" t="s">
        <v>144</v>
      </c>
      <c r="C77">
        <v>30</v>
      </c>
      <c r="D77">
        <v>5</v>
      </c>
      <c r="E77" t="s">
        <v>16</v>
      </c>
      <c r="F77">
        <v>3</v>
      </c>
      <c r="G77" t="s">
        <v>16</v>
      </c>
      <c r="H77" t="s">
        <v>171</v>
      </c>
      <c r="I77" t="s">
        <v>180</v>
      </c>
      <c r="J77">
        <v>20.2</v>
      </c>
      <c r="K77" t="s">
        <v>189</v>
      </c>
      <c r="M77">
        <v>20.2</v>
      </c>
      <c r="N77">
        <v>1.1000000000000001</v>
      </c>
      <c r="O77">
        <v>38.1</v>
      </c>
      <c r="P77" t="s">
        <v>266</v>
      </c>
    </row>
    <row r="78" spans="1:16" x14ac:dyDescent="0.25">
      <c r="A78" s="1" t="s">
        <v>144</v>
      </c>
      <c r="B78" t="s">
        <v>145</v>
      </c>
      <c r="C78">
        <v>30</v>
      </c>
      <c r="D78">
        <v>4</v>
      </c>
      <c r="E78">
        <v>4</v>
      </c>
      <c r="F78" t="str">
        <f t="shared" ref="F78" si="9">"/"</f>
        <v>/</v>
      </c>
      <c r="G78" t="s">
        <v>172</v>
      </c>
      <c r="H78" t="s">
        <v>16</v>
      </c>
      <c r="I78" t="s">
        <v>181</v>
      </c>
      <c r="J78">
        <v>10.1</v>
      </c>
      <c r="K78" t="s">
        <v>190</v>
      </c>
      <c r="M78">
        <v>9.9</v>
      </c>
      <c r="N78">
        <v>2</v>
      </c>
      <c r="O78">
        <v>39.200000000000003</v>
      </c>
    </row>
    <row r="79" spans="1:16" x14ac:dyDescent="0.25">
      <c r="A79" s="1" t="s">
        <v>145</v>
      </c>
      <c r="B79" t="s">
        <v>146</v>
      </c>
      <c r="C79">
        <v>30</v>
      </c>
      <c r="D79">
        <v>3</v>
      </c>
      <c r="E79">
        <v>6</v>
      </c>
      <c r="F79">
        <v>0</v>
      </c>
      <c r="G79" t="s">
        <v>16</v>
      </c>
      <c r="H79" t="s">
        <v>173</v>
      </c>
      <c r="I79" t="s">
        <v>182</v>
      </c>
      <c r="J79">
        <v>41.6</v>
      </c>
      <c r="K79" t="s">
        <v>191</v>
      </c>
      <c r="M79">
        <v>41.4</v>
      </c>
      <c r="N79">
        <v>3.5</v>
      </c>
      <c r="O79">
        <v>41.2</v>
      </c>
    </row>
    <row r="80" spans="1:16" x14ac:dyDescent="0.25">
      <c r="A80" s="1" t="s">
        <v>146</v>
      </c>
      <c r="B80" t="s">
        <v>147</v>
      </c>
      <c r="C80">
        <v>25</v>
      </c>
      <c r="D80">
        <v>3</v>
      </c>
      <c r="E80">
        <v>2</v>
      </c>
      <c r="F80">
        <v>3</v>
      </c>
      <c r="G80" t="s">
        <v>174</v>
      </c>
      <c r="H80" t="s">
        <v>16</v>
      </c>
      <c r="I80" t="s">
        <v>174</v>
      </c>
      <c r="J80">
        <v>34.200000000000003</v>
      </c>
      <c r="K80" t="s">
        <v>108</v>
      </c>
      <c r="M80">
        <v>34</v>
      </c>
      <c r="N80">
        <v>3.9</v>
      </c>
      <c r="O80">
        <v>44.7</v>
      </c>
    </row>
    <row r="81" spans="1:16" x14ac:dyDescent="0.25">
      <c r="A81" s="1" t="s">
        <v>147</v>
      </c>
      <c r="B81" t="s">
        <v>148</v>
      </c>
      <c r="C81">
        <v>10</v>
      </c>
      <c r="D81">
        <v>6</v>
      </c>
      <c r="E81">
        <v>1</v>
      </c>
      <c r="F81">
        <v>2.5</v>
      </c>
      <c r="G81" t="s">
        <v>16</v>
      </c>
      <c r="H81" t="s">
        <v>175</v>
      </c>
      <c r="I81" t="s">
        <v>183</v>
      </c>
      <c r="J81">
        <v>31.8</v>
      </c>
      <c r="K81" t="s">
        <v>192</v>
      </c>
      <c r="M81">
        <v>30.7</v>
      </c>
      <c r="N81">
        <v>8</v>
      </c>
      <c r="O81">
        <v>48.6</v>
      </c>
    </row>
    <row r="82" spans="1:16" x14ac:dyDescent="0.25">
      <c r="A82" s="1" t="s">
        <v>148</v>
      </c>
      <c r="B82" t="s">
        <v>149</v>
      </c>
      <c r="C82" t="s">
        <v>163</v>
      </c>
      <c r="D82">
        <v>10</v>
      </c>
      <c r="E82">
        <v>4</v>
      </c>
      <c r="F82">
        <v>3</v>
      </c>
      <c r="G82" t="s">
        <v>176</v>
      </c>
      <c r="H82" t="s">
        <v>16</v>
      </c>
      <c r="I82" t="s">
        <v>176</v>
      </c>
      <c r="J82">
        <v>11.3</v>
      </c>
      <c r="K82" t="str">
        <f>"-0 30"</f>
        <v>-0 30</v>
      </c>
      <c r="M82">
        <v>11.3</v>
      </c>
      <c r="N82">
        <v>-0.1</v>
      </c>
      <c r="O82">
        <v>56.6</v>
      </c>
      <c r="P82" t="s">
        <v>267</v>
      </c>
    </row>
    <row r="83" spans="1:16" x14ac:dyDescent="0.25">
      <c r="A83" s="1" t="s">
        <v>149</v>
      </c>
      <c r="O83">
        <v>56.5</v>
      </c>
      <c r="P83" t="s">
        <v>268</v>
      </c>
    </row>
    <row r="85" spans="1:16" x14ac:dyDescent="0.25">
      <c r="A85" s="1" t="s">
        <v>161</v>
      </c>
      <c r="B85" t="s">
        <v>193</v>
      </c>
    </row>
    <row r="86" spans="1:16" x14ac:dyDescent="0.25">
      <c r="A86" s="1" t="s">
        <v>149</v>
      </c>
      <c r="B86" t="s">
        <v>150</v>
      </c>
      <c r="C86">
        <v>8</v>
      </c>
      <c r="D86">
        <v>6</v>
      </c>
      <c r="E86">
        <v>6</v>
      </c>
      <c r="F86">
        <v>0</v>
      </c>
      <c r="G86" t="s">
        <v>16</v>
      </c>
      <c r="H86" t="s">
        <v>194</v>
      </c>
      <c r="I86" t="s">
        <v>206</v>
      </c>
      <c r="J86">
        <v>12.8</v>
      </c>
      <c r="K86" t="str">
        <f>"-4 30"</f>
        <v>-4 30</v>
      </c>
      <c r="M86">
        <v>12.8</v>
      </c>
      <c r="N86">
        <v>-1</v>
      </c>
      <c r="O86">
        <v>56.5</v>
      </c>
      <c r="P86" t="s">
        <v>269</v>
      </c>
    </row>
    <row r="87" spans="1:16" x14ac:dyDescent="0.25">
      <c r="A87" s="1" t="s">
        <v>150</v>
      </c>
      <c r="B87" t="s">
        <v>151</v>
      </c>
      <c r="C87">
        <v>12</v>
      </c>
      <c r="D87">
        <v>4</v>
      </c>
      <c r="E87">
        <v>2</v>
      </c>
      <c r="F87">
        <v>4</v>
      </c>
      <c r="G87" t="s">
        <v>195</v>
      </c>
      <c r="H87" t="s">
        <v>16</v>
      </c>
      <c r="I87" t="s">
        <v>195</v>
      </c>
      <c r="J87">
        <v>16.8</v>
      </c>
      <c r="K87" t="s">
        <v>212</v>
      </c>
      <c r="M87">
        <v>15.1</v>
      </c>
      <c r="N87">
        <v>7.4</v>
      </c>
      <c r="O87">
        <v>55.5</v>
      </c>
      <c r="P87" t="s">
        <v>270</v>
      </c>
    </row>
    <row r="88" spans="1:16" x14ac:dyDescent="0.25">
      <c r="A88" s="1" t="s">
        <v>151</v>
      </c>
      <c r="B88" t="s">
        <v>152</v>
      </c>
      <c r="C88">
        <v>8</v>
      </c>
      <c r="D88">
        <v>6</v>
      </c>
      <c r="E88">
        <v>1</v>
      </c>
      <c r="F88">
        <v>2</v>
      </c>
      <c r="G88" t="s">
        <v>16</v>
      </c>
      <c r="H88" t="s">
        <v>201</v>
      </c>
      <c r="I88" t="s">
        <v>207</v>
      </c>
      <c r="J88">
        <v>27.7</v>
      </c>
      <c r="K88" t="s">
        <v>213</v>
      </c>
      <c r="M88">
        <v>27.1</v>
      </c>
      <c r="N88">
        <v>5.8</v>
      </c>
      <c r="O88">
        <v>62.9</v>
      </c>
    </row>
    <row r="89" spans="1:16" x14ac:dyDescent="0.25">
      <c r="A89" s="1" t="s">
        <v>152</v>
      </c>
      <c r="B89" t="s">
        <v>153</v>
      </c>
      <c r="C89">
        <v>20</v>
      </c>
      <c r="D89">
        <v>4.5</v>
      </c>
      <c r="E89">
        <v>1</v>
      </c>
      <c r="F89">
        <v>3</v>
      </c>
      <c r="G89" t="s">
        <v>196</v>
      </c>
      <c r="H89" t="s">
        <v>16</v>
      </c>
      <c r="I89" t="s">
        <v>196</v>
      </c>
      <c r="J89">
        <v>23.2</v>
      </c>
      <c r="K89" t="s">
        <v>214</v>
      </c>
      <c r="M89">
        <v>22.8</v>
      </c>
      <c r="N89">
        <v>4.0999999999999996</v>
      </c>
      <c r="O89">
        <v>68.7</v>
      </c>
    </row>
    <row r="90" spans="1:16" x14ac:dyDescent="0.25">
      <c r="A90" s="1" t="s">
        <v>153</v>
      </c>
      <c r="B90" t="s">
        <v>154</v>
      </c>
      <c r="C90">
        <v>30</v>
      </c>
      <c r="D90">
        <v>6</v>
      </c>
      <c r="E90">
        <v>0</v>
      </c>
      <c r="F90">
        <v>4</v>
      </c>
      <c r="G90" t="s">
        <v>16</v>
      </c>
      <c r="H90" t="s">
        <v>202</v>
      </c>
      <c r="I90" t="s">
        <v>208</v>
      </c>
      <c r="J90">
        <v>10.7</v>
      </c>
      <c r="K90" t="str">
        <f>"-5 30"</f>
        <v>-5 30</v>
      </c>
      <c r="M90">
        <v>10.6</v>
      </c>
      <c r="N90">
        <v>-1</v>
      </c>
      <c r="O90">
        <v>72.8</v>
      </c>
    </row>
    <row r="91" spans="1:16" x14ac:dyDescent="0.25">
      <c r="A91" s="1" t="s">
        <v>154</v>
      </c>
      <c r="B91" t="s">
        <v>155</v>
      </c>
      <c r="C91">
        <v>30</v>
      </c>
      <c r="D91">
        <v>4</v>
      </c>
      <c r="E91" t="str">
        <f t="shared" ref="E91" si="10">"/"</f>
        <v>/</v>
      </c>
      <c r="F91">
        <v>2</v>
      </c>
      <c r="G91" t="s">
        <v>197</v>
      </c>
      <c r="H91" t="s">
        <v>16</v>
      </c>
      <c r="I91" t="s">
        <v>197</v>
      </c>
      <c r="J91">
        <v>26.5</v>
      </c>
      <c r="K91" t="s">
        <v>215</v>
      </c>
      <c r="M91">
        <v>23.3</v>
      </c>
      <c r="N91">
        <v>12.6</v>
      </c>
      <c r="O91">
        <v>71.8</v>
      </c>
    </row>
    <row r="92" spans="1:16" x14ac:dyDescent="0.25">
      <c r="A92" s="1" t="s">
        <v>155</v>
      </c>
      <c r="B92" t="s">
        <v>156</v>
      </c>
      <c r="C92">
        <v>30</v>
      </c>
      <c r="D92">
        <v>10</v>
      </c>
      <c r="E92">
        <v>6</v>
      </c>
      <c r="F92">
        <v>1</v>
      </c>
      <c r="G92" t="s">
        <v>16</v>
      </c>
      <c r="H92" t="s">
        <v>203</v>
      </c>
      <c r="I92" t="s">
        <v>209</v>
      </c>
      <c r="J92">
        <v>38.6</v>
      </c>
      <c r="K92" t="s">
        <v>214</v>
      </c>
      <c r="M92">
        <v>38</v>
      </c>
      <c r="N92">
        <v>7</v>
      </c>
      <c r="O92">
        <v>84.4</v>
      </c>
    </row>
    <row r="93" spans="1:16" x14ac:dyDescent="0.25">
      <c r="A93" s="1" t="s">
        <v>156</v>
      </c>
      <c r="B93" t="s">
        <v>157</v>
      </c>
      <c r="C93">
        <v>8</v>
      </c>
      <c r="D93">
        <v>13</v>
      </c>
      <c r="E93">
        <v>6</v>
      </c>
      <c r="F93">
        <v>1</v>
      </c>
      <c r="G93" t="s">
        <v>198</v>
      </c>
      <c r="H93" t="s">
        <v>16</v>
      </c>
      <c r="I93" t="s">
        <v>198</v>
      </c>
      <c r="J93">
        <v>23.3</v>
      </c>
      <c r="K93" t="str">
        <f>"-4 00"</f>
        <v>-4 00</v>
      </c>
      <c r="M93">
        <v>23.2</v>
      </c>
      <c r="N93">
        <v>-1.6</v>
      </c>
      <c r="O93">
        <v>91.4</v>
      </c>
    </row>
    <row r="94" spans="1:16" x14ac:dyDescent="0.25">
      <c r="A94" s="1" t="s">
        <v>157</v>
      </c>
      <c r="B94" t="s">
        <v>271</v>
      </c>
      <c r="C94">
        <v>25</v>
      </c>
      <c r="D94">
        <v>5</v>
      </c>
      <c r="E94">
        <v>2</v>
      </c>
      <c r="F94">
        <v>6</v>
      </c>
      <c r="G94" t="s">
        <v>16</v>
      </c>
      <c r="H94" t="s">
        <v>204</v>
      </c>
      <c r="I94" t="s">
        <v>210</v>
      </c>
      <c r="J94">
        <v>23.3</v>
      </c>
      <c r="K94" t="s">
        <v>216</v>
      </c>
      <c r="M94">
        <v>23</v>
      </c>
      <c r="N94">
        <v>3.6</v>
      </c>
      <c r="O94">
        <v>89.8</v>
      </c>
    </row>
    <row r="95" spans="1:16" x14ac:dyDescent="0.25">
      <c r="A95" s="1" t="s">
        <v>271</v>
      </c>
      <c r="B95" t="s">
        <v>159</v>
      </c>
      <c r="C95">
        <v>30</v>
      </c>
      <c r="D95">
        <v>1.5</v>
      </c>
      <c r="E95">
        <v>7</v>
      </c>
      <c r="F95">
        <v>8</v>
      </c>
      <c r="G95" t="s">
        <v>199</v>
      </c>
      <c r="H95" t="s">
        <v>16</v>
      </c>
      <c r="I95" t="s">
        <v>199</v>
      </c>
      <c r="J95">
        <v>24.1</v>
      </c>
      <c r="K95" t="s">
        <v>217</v>
      </c>
      <c r="M95">
        <v>21.4</v>
      </c>
      <c r="N95">
        <v>11.1</v>
      </c>
      <c r="O95">
        <v>93.4</v>
      </c>
      <c r="P95" t="s">
        <v>272</v>
      </c>
    </row>
    <row r="96" spans="1:16" x14ac:dyDescent="0.25">
      <c r="A96" s="1" t="s">
        <v>159</v>
      </c>
      <c r="B96" t="s">
        <v>160</v>
      </c>
      <c r="C96">
        <v>35</v>
      </c>
      <c r="D96">
        <v>6</v>
      </c>
      <c r="E96">
        <v>8</v>
      </c>
      <c r="F96">
        <v>2</v>
      </c>
      <c r="G96" t="s">
        <v>16</v>
      </c>
      <c r="H96" t="s">
        <v>205</v>
      </c>
      <c r="I96" t="s">
        <v>211</v>
      </c>
      <c r="J96">
        <v>14.6</v>
      </c>
      <c r="K96" t="s">
        <v>218</v>
      </c>
      <c r="M96">
        <v>13.4</v>
      </c>
      <c r="N96">
        <v>5.8</v>
      </c>
      <c r="O96">
        <v>104.5</v>
      </c>
    </row>
    <row r="97" spans="1:16" x14ac:dyDescent="0.25">
      <c r="A97" s="1" t="s">
        <v>160</v>
      </c>
      <c r="B97" t="s">
        <v>158</v>
      </c>
      <c r="C97">
        <v>15</v>
      </c>
      <c r="D97">
        <v>6</v>
      </c>
      <c r="E97">
        <v>10</v>
      </c>
      <c r="F97">
        <v>5</v>
      </c>
      <c r="G97" t="s">
        <v>200</v>
      </c>
      <c r="H97" t="s">
        <v>16</v>
      </c>
      <c r="I97" t="s">
        <v>200</v>
      </c>
      <c r="J97">
        <v>15</v>
      </c>
      <c r="K97" t="s">
        <v>219</v>
      </c>
      <c r="M97">
        <v>14.6</v>
      </c>
      <c r="N97">
        <v>3.5</v>
      </c>
      <c r="O97">
        <v>110.3</v>
      </c>
      <c r="P97" t="s">
        <v>273</v>
      </c>
    </row>
    <row r="98" spans="1:16" x14ac:dyDescent="0.25">
      <c r="A98" s="1" t="s">
        <v>158</v>
      </c>
      <c r="O98">
        <v>113.8</v>
      </c>
      <c r="P98" t="s">
        <v>274</v>
      </c>
    </row>
    <row r="100" spans="1:16" x14ac:dyDescent="0.25">
      <c r="A100" s="1" t="s">
        <v>220</v>
      </c>
      <c r="B100" t="s">
        <v>221</v>
      </c>
      <c r="C100" t="s">
        <v>222</v>
      </c>
    </row>
    <row r="101" spans="1:16" x14ac:dyDescent="0.25">
      <c r="A101">
        <v>18</v>
      </c>
      <c r="B101">
        <v>19</v>
      </c>
      <c r="C101">
        <v>3</v>
      </c>
      <c r="D101">
        <v>11</v>
      </c>
      <c r="E101">
        <v>2</v>
      </c>
      <c r="F101">
        <v>2</v>
      </c>
      <c r="G101" t="s">
        <v>16</v>
      </c>
      <c r="H101" t="s">
        <v>16</v>
      </c>
      <c r="I101" t="s">
        <v>16</v>
      </c>
      <c r="J101">
        <v>10.1</v>
      </c>
      <c r="K101" t="str">
        <f>"-90 00"</f>
        <v>-90 00</v>
      </c>
      <c r="M101" t="s">
        <v>16</v>
      </c>
      <c r="N101">
        <v>-10.1</v>
      </c>
      <c r="O101">
        <v>76.400000000000006</v>
      </c>
      <c r="P101" t="s">
        <v>276</v>
      </c>
    </row>
    <row r="102" spans="1:16" x14ac:dyDescent="0.25">
      <c r="A102">
        <v>19</v>
      </c>
      <c r="B102">
        <v>20</v>
      </c>
      <c r="C102" t="str">
        <f t="shared" ref="C102" si="11">"/"</f>
        <v>/</v>
      </c>
      <c r="D102">
        <v>1</v>
      </c>
      <c r="E102">
        <v>3</v>
      </c>
      <c r="F102">
        <v>3</v>
      </c>
      <c r="G102" t="s">
        <v>16</v>
      </c>
      <c r="H102" t="s">
        <v>224</v>
      </c>
      <c r="I102" t="s">
        <v>239</v>
      </c>
      <c r="J102">
        <v>8</v>
      </c>
      <c r="K102" t="s">
        <v>247</v>
      </c>
      <c r="M102">
        <v>8</v>
      </c>
      <c r="N102">
        <v>0.1</v>
      </c>
      <c r="O102">
        <v>66.3</v>
      </c>
      <c r="P102" t="s">
        <v>277</v>
      </c>
    </row>
    <row r="103" spans="1:16" x14ac:dyDescent="0.25">
      <c r="A103">
        <v>20</v>
      </c>
      <c r="B103">
        <v>21</v>
      </c>
      <c r="C103">
        <v>3</v>
      </c>
      <c r="D103">
        <v>1</v>
      </c>
      <c r="E103">
        <v>3</v>
      </c>
      <c r="F103">
        <v>2</v>
      </c>
      <c r="G103" t="s">
        <v>225</v>
      </c>
      <c r="H103" t="s">
        <v>16</v>
      </c>
      <c r="I103" t="s">
        <v>225</v>
      </c>
      <c r="J103">
        <v>24.8</v>
      </c>
      <c r="K103" t="s">
        <v>248</v>
      </c>
      <c r="M103">
        <v>22.8</v>
      </c>
      <c r="N103">
        <v>9.6999999999999993</v>
      </c>
      <c r="O103">
        <v>66.400000000000006</v>
      </c>
    </row>
    <row r="104" spans="1:16" x14ac:dyDescent="0.25">
      <c r="A104">
        <v>21</v>
      </c>
      <c r="B104">
        <v>22</v>
      </c>
      <c r="C104">
        <v>1</v>
      </c>
      <c r="D104">
        <v>0.5</v>
      </c>
      <c r="E104">
        <v>1.5</v>
      </c>
      <c r="F104">
        <v>3</v>
      </c>
      <c r="G104" t="s">
        <v>16</v>
      </c>
      <c r="H104" t="s">
        <v>226</v>
      </c>
      <c r="I104" t="s">
        <v>240</v>
      </c>
      <c r="J104">
        <v>11.2</v>
      </c>
      <c r="K104" t="s">
        <v>249</v>
      </c>
      <c r="M104">
        <v>11</v>
      </c>
      <c r="N104">
        <v>1.9</v>
      </c>
      <c r="O104">
        <v>76.099999999999994</v>
      </c>
    </row>
    <row r="105" spans="1:16" x14ac:dyDescent="0.25">
      <c r="A105">
        <v>22</v>
      </c>
      <c r="B105">
        <v>23</v>
      </c>
      <c r="C105">
        <v>1</v>
      </c>
      <c r="D105">
        <v>1</v>
      </c>
      <c r="E105">
        <v>2</v>
      </c>
      <c r="F105">
        <v>3</v>
      </c>
      <c r="G105" t="s">
        <v>227</v>
      </c>
      <c r="H105" t="s">
        <v>16</v>
      </c>
      <c r="I105" t="s">
        <v>227</v>
      </c>
      <c r="J105">
        <v>25.5</v>
      </c>
      <c r="K105" t="str">
        <f>"-9 00"</f>
        <v>-9 00</v>
      </c>
      <c r="M105">
        <v>25.2</v>
      </c>
      <c r="N105">
        <v>-4</v>
      </c>
      <c r="O105">
        <v>78</v>
      </c>
    </row>
    <row r="106" spans="1:16" x14ac:dyDescent="0.25">
      <c r="A106">
        <v>23</v>
      </c>
      <c r="B106">
        <v>24</v>
      </c>
      <c r="C106">
        <v>1</v>
      </c>
      <c r="D106">
        <v>3</v>
      </c>
      <c r="E106">
        <v>5</v>
      </c>
      <c r="F106">
        <v>0</v>
      </c>
      <c r="G106" t="s">
        <v>16</v>
      </c>
      <c r="H106" t="s">
        <v>228</v>
      </c>
      <c r="I106" t="s">
        <v>241</v>
      </c>
      <c r="J106">
        <v>50.7</v>
      </c>
      <c r="K106" t="s">
        <v>250</v>
      </c>
      <c r="M106">
        <v>48.2</v>
      </c>
      <c r="N106">
        <v>15.6</v>
      </c>
      <c r="O106">
        <v>74</v>
      </c>
    </row>
    <row r="107" spans="1:16" x14ac:dyDescent="0.25">
      <c r="A107">
        <v>24</v>
      </c>
      <c r="B107">
        <v>25</v>
      </c>
      <c r="C107" t="s">
        <v>223</v>
      </c>
      <c r="D107">
        <v>1</v>
      </c>
      <c r="E107">
        <v>20</v>
      </c>
      <c r="F107">
        <v>20</v>
      </c>
      <c r="G107" t="s">
        <v>229</v>
      </c>
      <c r="H107" t="s">
        <v>16</v>
      </c>
      <c r="I107" t="s">
        <v>229</v>
      </c>
      <c r="J107">
        <v>14</v>
      </c>
      <c r="K107" t="str">
        <f>"-46 00"</f>
        <v>-46 00</v>
      </c>
      <c r="M107">
        <v>9.6999999999999993</v>
      </c>
      <c r="N107">
        <v>-10.1</v>
      </c>
      <c r="O107">
        <v>89.6</v>
      </c>
      <c r="P107" t="s">
        <v>278</v>
      </c>
    </row>
    <row r="108" spans="1:16" x14ac:dyDescent="0.25">
      <c r="A108">
        <v>25</v>
      </c>
      <c r="B108">
        <v>26</v>
      </c>
      <c r="C108" t="str">
        <f t="shared" ref="C108:F110" si="12">"/"</f>
        <v>/</v>
      </c>
      <c r="D108" t="str">
        <f t="shared" si="12"/>
        <v>/</v>
      </c>
      <c r="E108" t="str">
        <f t="shared" si="12"/>
        <v>/</v>
      </c>
      <c r="F108" t="str">
        <f t="shared" si="12"/>
        <v>/</v>
      </c>
      <c r="G108" t="s">
        <v>16</v>
      </c>
      <c r="H108" t="s">
        <v>230</v>
      </c>
      <c r="I108" t="s">
        <v>242</v>
      </c>
      <c r="J108">
        <v>15.3</v>
      </c>
      <c r="K108" t="str">
        <f>"-43 00"</f>
        <v>-43 00</v>
      </c>
      <c r="M108">
        <v>11.2</v>
      </c>
      <c r="N108">
        <v>-10.4</v>
      </c>
      <c r="O108">
        <v>79.5</v>
      </c>
    </row>
    <row r="109" spans="1:16" x14ac:dyDescent="0.25">
      <c r="A109">
        <v>26</v>
      </c>
      <c r="B109">
        <v>27</v>
      </c>
      <c r="C109" t="str">
        <f t="shared" si="12"/>
        <v>/</v>
      </c>
      <c r="D109" t="str">
        <f t="shared" si="12"/>
        <v>/</v>
      </c>
      <c r="E109" t="str">
        <f t="shared" si="12"/>
        <v>/</v>
      </c>
      <c r="F109" t="str">
        <f t="shared" si="12"/>
        <v>/</v>
      </c>
      <c r="G109" t="s">
        <v>231</v>
      </c>
      <c r="H109" t="s">
        <v>16</v>
      </c>
      <c r="I109" t="s">
        <v>231</v>
      </c>
      <c r="J109">
        <v>23.2</v>
      </c>
      <c r="K109" t="str">
        <f>"-55 00"</f>
        <v>-55 00</v>
      </c>
      <c r="M109">
        <v>13.3</v>
      </c>
      <c r="N109">
        <v>-19</v>
      </c>
      <c r="O109">
        <v>69.099999999999994</v>
      </c>
    </row>
    <row r="110" spans="1:16" x14ac:dyDescent="0.25">
      <c r="A110">
        <v>27</v>
      </c>
      <c r="B110">
        <v>28</v>
      </c>
      <c r="C110" t="str">
        <f t="shared" si="12"/>
        <v>/</v>
      </c>
      <c r="D110">
        <v>5</v>
      </c>
      <c r="E110" t="s">
        <v>16</v>
      </c>
      <c r="F110">
        <v>12</v>
      </c>
      <c r="G110" t="s">
        <v>16</v>
      </c>
      <c r="H110" t="s">
        <v>232</v>
      </c>
      <c r="I110" t="s">
        <v>243</v>
      </c>
      <c r="J110">
        <v>25.3</v>
      </c>
      <c r="K110" t="str">
        <f>"-24 30"</f>
        <v>-24 30</v>
      </c>
      <c r="M110">
        <v>23</v>
      </c>
      <c r="N110">
        <v>-10.5</v>
      </c>
      <c r="O110">
        <v>50.1</v>
      </c>
    </row>
    <row r="111" spans="1:16" x14ac:dyDescent="0.25">
      <c r="A111">
        <v>28</v>
      </c>
      <c r="B111">
        <v>29</v>
      </c>
      <c r="C111">
        <v>3</v>
      </c>
      <c r="D111">
        <v>1</v>
      </c>
      <c r="E111">
        <v>3</v>
      </c>
      <c r="F111">
        <v>4</v>
      </c>
      <c r="G111" t="s">
        <v>233</v>
      </c>
      <c r="H111" t="s">
        <v>16</v>
      </c>
      <c r="I111" t="s">
        <v>233</v>
      </c>
      <c r="J111">
        <v>51</v>
      </c>
      <c r="K111" t="str">
        <f>"-23 30"</f>
        <v>-23 30</v>
      </c>
      <c r="M111">
        <v>46.8</v>
      </c>
      <c r="N111">
        <v>-20.3</v>
      </c>
      <c r="O111">
        <v>39.6</v>
      </c>
    </row>
    <row r="112" spans="1:16" x14ac:dyDescent="0.25">
      <c r="A112">
        <v>29</v>
      </c>
      <c r="B112">
        <v>30</v>
      </c>
      <c r="C112">
        <v>3</v>
      </c>
      <c r="D112">
        <v>1</v>
      </c>
      <c r="E112" t="str">
        <f t="shared" ref="E112" si="13">"/"</f>
        <v>/</v>
      </c>
      <c r="F112">
        <v>3</v>
      </c>
      <c r="G112" t="s">
        <v>16</v>
      </c>
      <c r="H112" t="s">
        <v>234</v>
      </c>
      <c r="I112" t="s">
        <v>244</v>
      </c>
      <c r="J112">
        <v>13.7</v>
      </c>
      <c r="K112" t="str">
        <f>"-3 00"</f>
        <v>-3 00</v>
      </c>
      <c r="M112">
        <v>13.6</v>
      </c>
      <c r="N112">
        <v>-0.7</v>
      </c>
      <c r="O112">
        <v>19.3</v>
      </c>
    </row>
    <row r="113" spans="1:16" x14ac:dyDescent="0.25">
      <c r="A113">
        <v>30</v>
      </c>
      <c r="B113">
        <v>31</v>
      </c>
      <c r="C113">
        <v>2</v>
      </c>
      <c r="D113">
        <v>1</v>
      </c>
      <c r="E113">
        <v>5</v>
      </c>
      <c r="F113" t="str">
        <f t="shared" ref="F113" si="14">"/"</f>
        <v>/</v>
      </c>
      <c r="G113" t="s">
        <v>235</v>
      </c>
      <c r="H113" t="s">
        <v>16</v>
      </c>
      <c r="I113" t="s">
        <v>235</v>
      </c>
      <c r="J113">
        <v>25.4</v>
      </c>
      <c r="K113" t="str">
        <f>"-19 00"</f>
        <v>-19 00</v>
      </c>
      <c r="M113">
        <v>24</v>
      </c>
      <c r="N113">
        <v>-8.3000000000000007</v>
      </c>
      <c r="O113">
        <v>18.600000000000001</v>
      </c>
    </row>
    <row r="114" spans="1:16" x14ac:dyDescent="0.25">
      <c r="A114">
        <v>31</v>
      </c>
      <c r="B114">
        <v>32</v>
      </c>
      <c r="C114">
        <v>6</v>
      </c>
      <c r="D114">
        <v>2</v>
      </c>
      <c r="E114">
        <v>5</v>
      </c>
      <c r="F114">
        <v>4</v>
      </c>
      <c r="G114" t="s">
        <v>16</v>
      </c>
      <c r="H114" t="s">
        <v>183</v>
      </c>
      <c r="I114" t="s">
        <v>175</v>
      </c>
      <c r="J114">
        <v>11.2</v>
      </c>
      <c r="K114" t="s">
        <v>251</v>
      </c>
      <c r="M114">
        <v>11.1</v>
      </c>
      <c r="N114">
        <v>-1</v>
      </c>
      <c r="O114">
        <v>10.3</v>
      </c>
    </row>
    <row r="115" spans="1:16" x14ac:dyDescent="0.25">
      <c r="A115">
        <v>32</v>
      </c>
      <c r="B115">
        <v>33</v>
      </c>
      <c r="C115">
        <v>0.5</v>
      </c>
      <c r="D115">
        <v>0.5</v>
      </c>
      <c r="E115" t="str">
        <f t="shared" ref="E114:F117" si="15">"/"</f>
        <v>/</v>
      </c>
      <c r="F115">
        <v>1</v>
      </c>
      <c r="G115" t="s">
        <v>236</v>
      </c>
      <c r="H115" t="s">
        <v>16</v>
      </c>
      <c r="I115" t="s">
        <v>236</v>
      </c>
      <c r="J115">
        <v>14.1</v>
      </c>
      <c r="K115" t="str">
        <f>"-9 00"</f>
        <v>-9 00</v>
      </c>
      <c r="M115">
        <v>13.9</v>
      </c>
      <c r="N115">
        <v>-2.2000000000000002</v>
      </c>
      <c r="O115">
        <v>9.3000000000000007</v>
      </c>
    </row>
    <row r="116" spans="1:16" x14ac:dyDescent="0.25">
      <c r="A116">
        <v>33</v>
      </c>
      <c r="B116">
        <v>34</v>
      </c>
      <c r="C116">
        <v>0.5</v>
      </c>
      <c r="D116">
        <v>0.5</v>
      </c>
      <c r="E116" t="s">
        <v>16</v>
      </c>
      <c r="F116">
        <v>2</v>
      </c>
      <c r="G116" t="s">
        <v>16</v>
      </c>
      <c r="H116" t="s">
        <v>237</v>
      </c>
      <c r="I116" t="s">
        <v>245</v>
      </c>
      <c r="J116">
        <v>17</v>
      </c>
      <c r="K116" t="s">
        <v>252</v>
      </c>
      <c r="M116">
        <v>16.8</v>
      </c>
      <c r="N116">
        <v>1</v>
      </c>
      <c r="O116">
        <v>7.1</v>
      </c>
    </row>
    <row r="117" spans="1:16" x14ac:dyDescent="0.25">
      <c r="A117">
        <v>34</v>
      </c>
      <c r="B117">
        <v>35</v>
      </c>
      <c r="C117">
        <v>3</v>
      </c>
      <c r="D117">
        <v>2</v>
      </c>
      <c r="E117">
        <v>2</v>
      </c>
      <c r="F117" t="str">
        <f t="shared" si="15"/>
        <v>/</v>
      </c>
      <c r="G117" t="s">
        <v>16</v>
      </c>
      <c r="H117" t="s">
        <v>238</v>
      </c>
      <c r="I117" t="s">
        <v>246</v>
      </c>
      <c r="J117">
        <v>13.9</v>
      </c>
      <c r="K117" t="str">
        <f>"-12 30"</f>
        <v>-12 30</v>
      </c>
      <c r="M117">
        <v>13.7</v>
      </c>
      <c r="N117">
        <v>-3</v>
      </c>
      <c r="O117">
        <v>8.1</v>
      </c>
      <c r="P117" t="s">
        <v>279</v>
      </c>
    </row>
    <row r="118" spans="1:16" x14ac:dyDescent="0.25">
      <c r="A118">
        <v>35</v>
      </c>
      <c r="O118">
        <v>5.0999999999999996</v>
      </c>
      <c r="P118" t="s">
        <v>275</v>
      </c>
    </row>
    <row r="119" spans="1:16" x14ac:dyDescent="0.25">
      <c r="A119">
        <v>35</v>
      </c>
      <c r="B119" t="s">
        <v>100</v>
      </c>
      <c r="I119">
        <v>234</v>
      </c>
      <c r="J119">
        <v>18</v>
      </c>
      <c r="K119">
        <v>45</v>
      </c>
      <c r="M119">
        <v>12.7</v>
      </c>
      <c r="N119">
        <v>12.7</v>
      </c>
      <c r="P119" t="str">
        <f>P44</f>
        <v>(e) is where passage rejoins streamway. Stn 35 (p.52)-(e) is F.S. 234 (TRUE), Dist 18', Clino +45 (deg), HD 12.7, VD +12.7</v>
      </c>
    </row>
  </sheetData>
  <mergeCells count="1">
    <mergeCell ref="E3:F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60"/>
  <sheetViews>
    <sheetView workbookViewId="0">
      <pane xSplit="2" ySplit="4" topLeftCell="G98" activePane="bottomRight" state="frozen"/>
      <selection pane="topRight" activeCell="C1" sqref="C1"/>
      <selection pane="bottomLeft" activeCell="A5" sqref="A5"/>
      <selection pane="bottomRight" activeCell="J7" sqref="J5:J119"/>
    </sheetView>
  </sheetViews>
  <sheetFormatPr defaultRowHeight="15" x14ac:dyDescent="0.25"/>
  <cols>
    <col min="10" max="10" width="9.5703125" bestFit="1" customWidth="1"/>
    <col min="11" max="11" width="14.28515625" customWidth="1"/>
    <col min="12" max="15" width="10" customWidth="1"/>
    <col min="16" max="16" width="27.42578125" customWidth="1"/>
    <col min="17" max="17" width="3.42578125" customWidth="1"/>
    <col min="18" max="22" width="9.140625" style="3"/>
  </cols>
  <sheetData>
    <row r="1" spans="1:25" x14ac:dyDescent="0.25">
      <c r="A1" t="str">
        <f>IF('Raw Data'!A1="","",'Raw Data'!A1)</f>
        <v>21st July 1951</v>
      </c>
      <c r="B1" t="str">
        <f>IF('Raw Data'!B1="","",'Raw Data'!B1)</f>
        <v>W.I.Stanton</v>
      </c>
      <c r="C1" t="str">
        <f>IF('Raw Data'!C1="","",'Raw Data'!C1)</f>
        <v>SWILDONS HOLE</v>
      </c>
      <c r="D1" t="str">
        <f>IF('Raw Data'!D1="","",'Raw Data'!D1)</f>
        <v/>
      </c>
      <c r="E1" t="str">
        <f>IF('Raw Data'!E1="","",'Raw Data'!E1)</f>
        <v>PDF p.49-50</v>
      </c>
      <c r="F1" t="str">
        <f>IF('Raw Data'!F1="","",'Raw Data'!F1)</f>
        <v/>
      </c>
      <c r="G1" t="s">
        <v>58</v>
      </c>
      <c r="H1">
        <v>3.28</v>
      </c>
      <c r="I1" t="str">
        <f>IF('Raw Data'!I1="","",'Raw Data'!I1)</f>
        <v/>
      </c>
      <c r="J1" t="str">
        <f>IF('Raw Data'!J1="","",'Raw Data'!J1)</f>
        <v/>
      </c>
      <c r="K1" t="str">
        <f>IF('Raw Data'!K1="","",'Raw Data'!K1)</f>
        <v/>
      </c>
      <c r="Q1" t="str">
        <f>" "</f>
        <v xml:space="preserve"> </v>
      </c>
      <c r="R1" s="3" t="s">
        <v>257</v>
      </c>
      <c r="W1" s="3" t="s">
        <v>22</v>
      </c>
    </row>
    <row r="2" spans="1:25" x14ac:dyDescent="0.25">
      <c r="Q2" t="str">
        <f t="shared" ref="Q2:Q65" si="0">" "</f>
        <v xml:space="preserve"> </v>
      </c>
      <c r="W2" s="3"/>
    </row>
    <row r="3" spans="1:25" x14ac:dyDescent="0.25">
      <c r="A3" t="str">
        <f>IF('Raw Data'!A3="","",'Raw Data'!A3)</f>
        <v/>
      </c>
      <c r="B3" t="str">
        <f>IF('Raw Data'!B3="","",'Raw Data'!B3)</f>
        <v/>
      </c>
      <c r="C3" t="str">
        <f>IF('Raw Data'!C3="","",'Raw Data'!C3)</f>
        <v/>
      </c>
      <c r="D3" t="str">
        <f>IF('Raw Data'!D3="","",'Raw Data'!D3)</f>
        <v/>
      </c>
      <c r="E3" s="11" t="str">
        <f>IF('Raw Data'!E3="","",'Raw Data'!E3)</f>
        <v>Looking Forward</v>
      </c>
      <c r="F3" s="11"/>
      <c r="G3" t="str">
        <f>IF('Raw Data'!G3="","",'Raw Data'!G3)</f>
        <v/>
      </c>
      <c r="H3" t="str">
        <f>IF('Raw Data'!H3="","",'Raw Data'!H3)</f>
        <v/>
      </c>
      <c r="I3" t="str">
        <f>IF('Raw Data'!I3="","",'Raw Data'!I3)</f>
        <v/>
      </c>
      <c r="J3" t="str">
        <f>IF('Raw Data'!J3="","",'Raw Data'!J3)</f>
        <v/>
      </c>
      <c r="K3" t="str">
        <f>IF('Raw Data'!K3="","",'Raw Data'!K3)</f>
        <v/>
      </c>
      <c r="Q3" t="str">
        <f t="shared" si="0"/>
        <v xml:space="preserve"> </v>
      </c>
    </row>
    <row r="4" spans="1:25" x14ac:dyDescent="0.25">
      <c r="A4" t="str">
        <f>IF('Raw Data'!A4="","",'Raw Data'!A4)</f>
        <v>Sta.</v>
      </c>
      <c r="B4" t="str">
        <f>IF('Raw Data'!B4="","",'Raw Data'!B4)</f>
        <v>Sta.</v>
      </c>
      <c r="C4" t="str">
        <f>IF('Raw Data'!C4="","",'Raw Data'!C4)</f>
        <v>Ht Rf</v>
      </c>
      <c r="D4" t="str">
        <f>IF('Raw Data'!D4="","",'Raw Data'!D4)</f>
        <v>Dp Fl</v>
      </c>
      <c r="E4" t="str">
        <f>IF('Raw Data'!E4="","",'Raw Data'!E4)</f>
        <v>Width L</v>
      </c>
      <c r="F4" t="str">
        <f>IF('Raw Data'!F4="","",'Raw Data'!F4)</f>
        <v>Width R</v>
      </c>
      <c r="G4" t="str">
        <f>IF('Raw Data'!G4="","",'Raw Data'!G4)</f>
        <v>FS</v>
      </c>
      <c r="H4" t="str">
        <f>IF('Raw Data'!H4="","",'Raw Data'!H4)</f>
        <v>BS</v>
      </c>
      <c r="I4" t="str">
        <f>IF('Raw Data'!I4="","",'Raw Data'!I4)</f>
        <v>Bearing</v>
      </c>
      <c r="J4" t="str">
        <f>IF('Raw Data'!J4="","",'Raw Data'!J4)</f>
        <v>Distance</v>
      </c>
      <c r="K4" t="str">
        <f>IF('Raw Data'!K4="","",'Raw Data'!K4)</f>
        <v>Fore Clino</v>
      </c>
      <c r="L4" t="str">
        <f>IF('Raw Data'!L4="","",'Raw Data'!L4)</f>
        <v/>
      </c>
      <c r="M4" t="str">
        <f>IF('Raw Data'!M4="","",'Raw Data'!M4)</f>
        <v>Hor Dist.</v>
      </c>
      <c r="N4" t="str">
        <f>IF('Raw Data'!N4="","",'Raw Data'!N4)</f>
        <v>Vert Dist.</v>
      </c>
      <c r="O4" t="str">
        <f>IF('Raw Data'!O4="","",'Raw Data'!O4)</f>
        <v>Dp. Below sump I</v>
      </c>
      <c r="Q4" t="str">
        <f t="shared" si="0"/>
        <v xml:space="preserve"> </v>
      </c>
      <c r="R4" s="3" t="str">
        <f>G4</f>
        <v>FS</v>
      </c>
      <c r="S4" s="3" t="str">
        <f>H4</f>
        <v>BS</v>
      </c>
      <c r="T4" s="3" t="str">
        <f>I4</f>
        <v>Bearing</v>
      </c>
      <c r="U4" s="3" t="str">
        <f>K4</f>
        <v>Fore Clino</v>
      </c>
      <c r="W4" s="3" t="s">
        <v>20</v>
      </c>
      <c r="X4" s="3" t="s">
        <v>21</v>
      </c>
      <c r="Y4" s="3" t="s">
        <v>280</v>
      </c>
    </row>
    <row r="5" spans="1:25" x14ac:dyDescent="0.25">
      <c r="A5" t="str">
        <f>IF('Raw Data'!A5="","",'Raw Data'!A5)</f>
        <v>A</v>
      </c>
      <c r="B5" t="str">
        <f>IF('Raw Data'!B5="","",'Raw Data'!B5)</f>
        <v>B</v>
      </c>
      <c r="C5">
        <f>IF('Raw Data'!C5="","",'Raw Data'!C5)</f>
        <v>20</v>
      </c>
      <c r="D5" t="str">
        <f>IF('Raw Data'!D5="","",'Raw Data'!D5)</f>
        <v>-</v>
      </c>
      <c r="E5">
        <f>IF('Raw Data'!E5="","",'Raw Data'!E5)</f>
        <v>4</v>
      </c>
      <c r="F5" t="str">
        <f>IF('Raw Data'!F5="","",'Raw Data'!F5)</f>
        <v>4(19' in aven)</v>
      </c>
      <c r="G5" s="7" t="str">
        <f>IF('Raw Data'!G5="","",SUBSTITUTE('Raw Data'!G5," ",":",1))</f>
        <v>-</v>
      </c>
      <c r="H5" s="7" t="str">
        <f>IF('Raw Data'!H5="","",SUBSTITUTE('Raw Data'!H5," ",":",1))</f>
        <v>103</v>
      </c>
      <c r="I5" s="7" t="str">
        <f>IF('Raw Data'!I5="","",SUBSTITUTE('Raw Data'!I5," ",":",1))</f>
        <v>283</v>
      </c>
      <c r="J5" s="8">
        <f>IF('Raw Data'!J5="","",IF(LEN(K5)&gt;6,SQRT('Raw Data'!J5^2+N5^2),'Raw Data'!J5))</f>
        <v>21</v>
      </c>
      <c r="K5" s="7" t="str">
        <f>IF('Raw Data'!K5="","",IF(LEN('Raw Data'!K5)&lt;7,SUBSTITUTE('Raw Data'!K5," ",":",1),'Raw Data'!K5))</f>
        <v>8:30</v>
      </c>
      <c r="L5" t="str">
        <f>IF('Raw Data'!L5="","",'Raw Data'!L5)</f>
        <v/>
      </c>
      <c r="M5">
        <f>IF('Raw Data'!M5="","",'Raw Data'!M5)</f>
        <v>20.8</v>
      </c>
      <c r="N5">
        <f>IF('Raw Data'!N5="","",IF('Raw Data'!N5="-",0,'Raw Data'!N5))</f>
        <v>3.1</v>
      </c>
      <c r="O5" t="str">
        <f>IF('Raw Data'!O5="","",'Raw Data'!O5)</f>
        <v/>
      </c>
      <c r="P5" t="str">
        <f>IF('Raw Data'!P5="","",'Raw Data'!P5)</f>
        <v>A is at the base of the cable spike on the downstream side of Sump I</v>
      </c>
      <c r="Q5" t="str">
        <f t="shared" si="0"/>
        <v xml:space="preserve"> </v>
      </c>
      <c r="R5" s="3" t="str">
        <f>IF(ISERROR(FIND(":",G5)),IF(G5&lt;&gt;"-",1*G5,G5),1*LEFT(G5,FIND(":",G5)-1)+RIGHT(G5,LEN(G5)-FIND(":",G5))/60)</f>
        <v>-</v>
      </c>
      <c r="S5" s="3">
        <f>IF(ISERROR(FIND(":",H5)),IF(H5&lt;&gt;"-",1*H5,H5),1*LEFT(H5,FIND(":",H5)-1)+RIGHT(H5,LEN(H5)-FIND(":",H5))/60)</f>
        <v>103</v>
      </c>
      <c r="T5" s="3">
        <f>IF(ISERROR(FIND(":",I5)),IF(I5&lt;&gt;"-",1*I5,I5),1*LEFT(I5,FIND(":",I5)-1)+RIGHT(I5,LEN(I5)-FIND(":",I5))/60)</f>
        <v>283</v>
      </c>
      <c r="U5" s="3">
        <f t="shared" ref="U5:U6" si="1">IF(ISERROR(FIND(":",K5)),K5,1*CONCATENATE(LEFT(K5,FIND(":",K5)-1),".",MID(RIGHT(K5,LEN(K5)-FIND(":",K5))/60,3,8)))</f>
        <v>8.5</v>
      </c>
      <c r="W5" s="4">
        <f>J5*COS(U5*PI()/180)</f>
        <v>20.769333130600252</v>
      </c>
      <c r="X5" s="4">
        <f>J5*SIN(U5*PI()/180)</f>
        <v>3.1039976337218231</v>
      </c>
      <c r="Y5" s="3">
        <f>IF(R5="-",IF(S5&gt;180,S5-180,S5+180),R5)</f>
        <v>283</v>
      </c>
    </row>
    <row r="6" spans="1:25" x14ac:dyDescent="0.25">
      <c r="A6" t="str">
        <f>IF('Raw Data'!A6="","",'Raw Data'!A6)</f>
        <v>B</v>
      </c>
      <c r="B6" t="str">
        <f>IF('Raw Data'!B6="","",'Raw Data'!B6)</f>
        <v>C</v>
      </c>
      <c r="C6">
        <f>IF('Raw Data'!C6="","",'Raw Data'!C6)</f>
        <v>6</v>
      </c>
      <c r="D6">
        <f>IF('Raw Data'!D6="","",'Raw Data'!D6)</f>
        <v>3.5</v>
      </c>
      <c r="E6">
        <f>IF('Raw Data'!E6="","",'Raw Data'!E6)</f>
        <v>3</v>
      </c>
      <c r="F6">
        <f>IF('Raw Data'!F6="","",'Raw Data'!F6)</f>
        <v>6</v>
      </c>
      <c r="G6" s="7" t="str">
        <f>IF('Raw Data'!G6="","",SUBSTITUTE('Raw Data'!G6," ",":",1))</f>
        <v>322:30</v>
      </c>
      <c r="H6" s="7" t="str">
        <f>IF('Raw Data'!H6="","",SUBSTITUTE('Raw Data'!H6," ",":",1))</f>
        <v>-</v>
      </c>
      <c r="I6" s="7" t="str">
        <f>IF('Raw Data'!I6="","",SUBSTITUTE('Raw Data'!I6," ",":",1))</f>
        <v>322:30</v>
      </c>
      <c r="J6" s="8">
        <f>IF('Raw Data'!J6="","",IF(LEN(K6)&gt;6,SQRT('Raw Data'!J6^2+N6^2),'Raw Data'!J6))</f>
        <v>27</v>
      </c>
      <c r="K6" s="7" t="str">
        <f>IF('Raw Data'!K6="","",IF(LEN('Raw Data'!K6)&lt;7,SUBSTITUTE('Raw Data'!K6," ",":",1),'Raw Data'!K6))</f>
        <v>-9:30</v>
      </c>
      <c r="L6" t="str">
        <f>IF('Raw Data'!L6="","",'Raw Data'!L6)</f>
        <v/>
      </c>
      <c r="M6">
        <f>IF('Raw Data'!M6="","",'Raw Data'!M6)</f>
        <v>26.7</v>
      </c>
      <c r="N6">
        <f>IF('Raw Data'!N6="","",IF('Raw Data'!N6="-",0,'Raw Data'!N6))</f>
        <v>-4.5</v>
      </c>
      <c r="O6">
        <f>IF('Raw Data'!O6="","",'Raw Data'!O6)</f>
        <v>3.1</v>
      </c>
      <c r="P6" t="str">
        <f>IF('Raw Data'!P6="","",'Raw Data'!P6)</f>
        <v>B is on a rock at upstream end of pool</v>
      </c>
      <c r="Q6" t="str">
        <f t="shared" si="0"/>
        <v xml:space="preserve"> </v>
      </c>
      <c r="R6" s="3">
        <f t="shared" ref="R6:R27" si="2">IF(ISERROR(FIND(":",G6)),IF(G6&lt;&gt;"-",1*G6,G6),1*LEFT(G6,FIND(":",G6)-1)+RIGHT(G6,LEN(G6)-FIND(":",G6))/60)</f>
        <v>322.5</v>
      </c>
      <c r="S6" s="3" t="str">
        <f t="shared" ref="S6:S27" si="3">IF(ISERROR(FIND(":",H6)),IF(H6&lt;&gt;"-",1*H6,H6),1*LEFT(H6,FIND(":",H6)-1)+RIGHT(H6,LEN(H6)-FIND(":",H6))/60)</f>
        <v>-</v>
      </c>
      <c r="T6" s="3">
        <f t="shared" ref="T6:T27" si="4">IF(ISERROR(FIND(":",I6)),IF(I6&lt;&gt;"-",1*I6,I6),1*LEFT(I6,FIND(":",I6)-1)+RIGHT(I6,LEN(I6)-FIND(":",I6))/60)</f>
        <v>322.5</v>
      </c>
      <c r="U6" s="3">
        <f t="shared" si="1"/>
        <v>-9.5</v>
      </c>
      <c r="W6" s="4">
        <f t="shared" ref="W6:W8" si="5">J6*COS(U6*PI()/180)</f>
        <v>26.629711241505248</v>
      </c>
      <c r="X6" s="4">
        <f t="shared" ref="X6:X8" si="6">J6*SIN(U6*PI()/180)</f>
        <v>-4.4562853582382962</v>
      </c>
      <c r="Y6" s="3">
        <f t="shared" ref="Y6:Y69" si="7">IF(R6="-",IF(S6&gt;180,S6-180,S6+180),R6)</f>
        <v>322.5</v>
      </c>
    </row>
    <row r="7" spans="1:25" x14ac:dyDescent="0.25">
      <c r="A7" t="str">
        <f>IF('Raw Data'!A7="","",'Raw Data'!A7)</f>
        <v>C</v>
      </c>
      <c r="B7" t="str">
        <f>IF('Raw Data'!B7="","",'Raw Data'!B7)</f>
        <v>D</v>
      </c>
      <c r="C7">
        <f>IF('Raw Data'!C7="","",'Raw Data'!C7)</f>
        <v>7</v>
      </c>
      <c r="D7" t="str">
        <f>IF('Raw Data'!D7="","",'Raw Data'!D7)</f>
        <v>-</v>
      </c>
      <c r="E7">
        <f>IF('Raw Data'!E7="","",'Raw Data'!E7)</f>
        <v>4</v>
      </c>
      <c r="F7">
        <f>IF('Raw Data'!F7="","",'Raw Data'!F7)</f>
        <v>2</v>
      </c>
      <c r="G7" s="7" t="str">
        <f>IF('Raw Data'!G7="","",SUBSTITUTE('Raw Data'!G7," ",":",1))</f>
        <v>-</v>
      </c>
      <c r="H7" s="7" t="str">
        <f>IF('Raw Data'!H7="","",SUBSTITUTE('Raw Data'!H7," ",":",1))</f>
        <v>83</v>
      </c>
      <c r="I7" s="7" t="str">
        <f>IF('Raw Data'!I7="","",SUBSTITUTE('Raw Data'!I7," ",":",1))</f>
        <v>263</v>
      </c>
      <c r="J7" s="8">
        <f>IF('Raw Data'!J7="","",IF(LEN(K7)&gt;6,SQRT('Raw Data'!J7^2+N7^2),'Raw Data'!J7))</f>
        <v>37.030392922571046</v>
      </c>
      <c r="K7" s="7" t="str">
        <f>IF('Raw Data'!K7="","",IF(LEN('Raw Data'!K7)&lt;7,SUBSTITUTE('Raw Data'!K7," ",":",1),'Raw Data'!K7))</f>
        <v>rise of 1.5 feet</v>
      </c>
      <c r="L7" t="str">
        <f>IF('Raw Data'!L7="","",'Raw Data'!L7)</f>
        <v/>
      </c>
      <c r="M7">
        <f>IF('Raw Data'!M7="","",'Raw Data'!M7)</f>
        <v>37</v>
      </c>
      <c r="N7">
        <f>IF('Raw Data'!N7="","",IF('Raw Data'!N7="-",0,'Raw Data'!N7))</f>
        <v>1.5</v>
      </c>
      <c r="O7">
        <f>IF('Raw Data'!O7="","",'Raw Data'!O7)</f>
        <v>-1.4</v>
      </c>
      <c r="P7" t="str">
        <f>IF('Raw Data'!P7="","",'Raw Data'!P7)</f>
        <v>C is on edge of pool 10' before Duck I</v>
      </c>
      <c r="Q7" t="str">
        <f t="shared" si="0"/>
        <v xml:space="preserve"> </v>
      </c>
      <c r="R7" s="3" t="str">
        <f t="shared" si="2"/>
        <v>-</v>
      </c>
      <c r="S7" s="3">
        <f t="shared" si="3"/>
        <v>83</v>
      </c>
      <c r="T7" s="3">
        <f t="shared" si="4"/>
        <v>263</v>
      </c>
      <c r="U7" s="12">
        <f>ASIN(N7/J7)*180/PI()</f>
        <v>2.3215305898327188</v>
      </c>
      <c r="W7" s="4">
        <f t="shared" si="5"/>
        <v>37</v>
      </c>
      <c r="X7" s="4">
        <f t="shared" si="6"/>
        <v>1.4999999999999996</v>
      </c>
      <c r="Y7" s="3">
        <f t="shared" si="7"/>
        <v>263</v>
      </c>
    </row>
    <row r="8" spans="1:25" x14ac:dyDescent="0.25">
      <c r="A8" t="str">
        <f>IF('Raw Data'!A8="","",'Raw Data'!A8)</f>
        <v>D</v>
      </c>
      <c r="B8" t="str">
        <f>IF('Raw Data'!B8="","",'Raw Data'!B8)</f>
        <v>E</v>
      </c>
      <c r="C8">
        <f>IF('Raw Data'!C8="","",'Raw Data'!C8)</f>
        <v>25</v>
      </c>
      <c r="D8">
        <f>IF('Raw Data'!D8="","",'Raw Data'!D8)</f>
        <v>2</v>
      </c>
      <c r="E8" t="str">
        <f>IF('Raw Data'!E8="","",'Raw Data'!E8)</f>
        <v>-</v>
      </c>
      <c r="F8">
        <f>IF('Raw Data'!F8="","",'Raw Data'!F8)</f>
        <v>10</v>
      </c>
      <c r="G8" s="7" t="str">
        <f>IF('Raw Data'!G8="","",SUBSTITUTE('Raw Data'!G8," ",":",1))</f>
        <v>192:30</v>
      </c>
      <c r="H8" s="7" t="str">
        <f>IF('Raw Data'!H8="","",SUBSTITUTE('Raw Data'!H8," ",":",1))</f>
        <v>-</v>
      </c>
      <c r="I8" s="7" t="str">
        <f>IF('Raw Data'!I8="","",SUBSTITUTE('Raw Data'!I8," ",":",1))</f>
        <v>192:30</v>
      </c>
      <c r="J8" s="8">
        <f>IF('Raw Data'!J8="","",IF(LEN(K8)&gt;6,SQRT('Raw Data'!J8^2+N8^2),'Raw Data'!J8))</f>
        <v>16.2</v>
      </c>
      <c r="K8" s="7" t="str">
        <f>IF('Raw Data'!K8="","",IF(LEN('Raw Data'!K8)&lt;7,SUBSTITUTE('Raw Data'!K8," ",":",1),'Raw Data'!K8))</f>
        <v>4:30</v>
      </c>
      <c r="L8" t="str">
        <f>IF('Raw Data'!L8="","",'Raw Data'!L8)</f>
        <v/>
      </c>
      <c r="M8">
        <f>IF('Raw Data'!M8="","",'Raw Data'!M8)</f>
        <v>16.100000000000001</v>
      </c>
      <c r="N8">
        <f>IF('Raw Data'!N8="","",IF('Raw Data'!N8="-",0,'Raw Data'!N8))</f>
        <v>1.3</v>
      </c>
      <c r="O8">
        <f>IF('Raw Data'!O8="","",'Raw Data'!O8)</f>
        <v>0.1</v>
      </c>
      <c r="P8" t="str">
        <f>IF('Raw Data'!P8="","",'Raw Data'!P8)</f>
        <v>D is in stream. Big rock (start of New Series survey) 10' away at 350 (deg). Big passage starts as continuation of Howards Dig.</v>
      </c>
      <c r="Q8" t="str">
        <f t="shared" si="0"/>
        <v xml:space="preserve"> </v>
      </c>
      <c r="R8" s="3">
        <f t="shared" si="2"/>
        <v>192.5</v>
      </c>
      <c r="S8" s="3" t="str">
        <f t="shared" si="3"/>
        <v>-</v>
      </c>
      <c r="T8" s="3">
        <f t="shared" si="4"/>
        <v>192.5</v>
      </c>
      <c r="U8" s="3">
        <f t="shared" ref="U8:U9" si="8">IF(ISERROR(FIND(":",K8)),K8,1*CONCATENATE(LEFT(K8,FIND(":",K8)-1),".",MID(RIGHT(K8,LEN(K8)-FIND(":",K8))/60,3,8)))</f>
        <v>4.5</v>
      </c>
      <c r="W8" s="4">
        <f t="shared" si="5"/>
        <v>16.150060806476674</v>
      </c>
      <c r="X8" s="4">
        <f t="shared" si="6"/>
        <v>1.2710373507910879</v>
      </c>
      <c r="Y8" s="3">
        <f t="shared" si="7"/>
        <v>192.5</v>
      </c>
    </row>
    <row r="9" spans="1:25" x14ac:dyDescent="0.25">
      <c r="A9" t="str">
        <f>IF('Raw Data'!A9="","",'Raw Data'!A9)</f>
        <v>E</v>
      </c>
      <c r="B9" t="str">
        <f>IF('Raw Data'!B9="","",'Raw Data'!B9)</f>
        <v>F</v>
      </c>
      <c r="C9">
        <f>IF('Raw Data'!C9="","",'Raw Data'!C9)</f>
        <v>25</v>
      </c>
      <c r="D9">
        <f>IF('Raw Data'!D9="","",'Raw Data'!D9)</f>
        <v>4.5</v>
      </c>
      <c r="E9">
        <f>IF('Raw Data'!E9="","",'Raw Data'!E9)</f>
        <v>6</v>
      </c>
      <c r="F9" t="str">
        <f>IF('Raw Data'!F9="","",'Raw Data'!F9)</f>
        <v>-</v>
      </c>
      <c r="G9" s="7" t="str">
        <f>IF('Raw Data'!G9="","",SUBSTITUTE('Raw Data'!G9," ",":",1))</f>
        <v>-</v>
      </c>
      <c r="H9" s="7" t="str">
        <f>IF('Raw Data'!H9="","",SUBSTITUTE('Raw Data'!H9," ",":",1))</f>
        <v>78</v>
      </c>
      <c r="I9" s="7" t="str">
        <f>IF('Raw Data'!I9="","",SUBSTITUTE('Raw Data'!I9," ",":",1))</f>
        <v>258</v>
      </c>
      <c r="J9" s="8">
        <f>IF('Raw Data'!J9="","",IF(LEN(K9)&gt;6,SQRT('Raw Data'!J9^2+N9^2),'Raw Data'!J9))</f>
        <v>47</v>
      </c>
      <c r="K9" s="7" t="str">
        <f>IF('Raw Data'!K9="","",IF(LEN('Raw Data'!K9)&lt;7,SUBSTITUTE('Raw Data'!K9," ",":",1),'Raw Data'!K9))</f>
        <v>-5:30</v>
      </c>
      <c r="L9" t="str">
        <f>IF('Raw Data'!L9="","",'Raw Data'!L9)</f>
        <v/>
      </c>
      <c r="M9">
        <f>IF('Raw Data'!M9="","",'Raw Data'!M9)</f>
        <v>46.8</v>
      </c>
      <c r="N9">
        <f>IF('Raw Data'!N9="","",IF('Raw Data'!N9="-",0,'Raw Data'!N9))</f>
        <v>-4.5</v>
      </c>
      <c r="O9">
        <f>IF('Raw Data'!O9="","",'Raw Data'!O9)</f>
        <v>1.4</v>
      </c>
      <c r="P9" t="str">
        <f>IF('Raw Data'!P9="","",'Raw Data'!P9)</f>
        <v/>
      </c>
      <c r="Q9" t="str">
        <f t="shared" si="0"/>
        <v xml:space="preserve"> </v>
      </c>
      <c r="R9" s="3" t="str">
        <f t="shared" si="2"/>
        <v>-</v>
      </c>
      <c r="S9" s="3">
        <f t="shared" si="3"/>
        <v>78</v>
      </c>
      <c r="T9" s="3">
        <f t="shared" si="4"/>
        <v>258</v>
      </c>
      <c r="U9" s="3">
        <f t="shared" si="8"/>
        <v>-5.5</v>
      </c>
      <c r="W9" s="4">
        <f t="shared" ref="W9:W72" si="9">J9*COS(U9*PI()/180)</f>
        <v>46.783621323257407</v>
      </c>
      <c r="X9" s="4">
        <f t="shared" ref="X9:X72" si="10">J9*SIN(U9*PI()/180)</f>
        <v>-4.5047503684505275</v>
      </c>
      <c r="Y9" s="3">
        <f t="shared" si="7"/>
        <v>258</v>
      </c>
    </row>
    <row r="10" spans="1:25" x14ac:dyDescent="0.25">
      <c r="A10" t="str">
        <f>IF('Raw Data'!A10="","",'Raw Data'!A10)</f>
        <v>F</v>
      </c>
      <c r="B10" t="str">
        <f>IF('Raw Data'!B10="","",'Raw Data'!B10)</f>
        <v>G</v>
      </c>
      <c r="C10">
        <f>IF('Raw Data'!C10="","",'Raw Data'!C10)</f>
        <v>4</v>
      </c>
      <c r="D10">
        <f>IF('Raw Data'!D10="","",'Raw Data'!D10)</f>
        <v>2</v>
      </c>
      <c r="E10">
        <f>IF('Raw Data'!E10="","",'Raw Data'!E10)</f>
        <v>0.5</v>
      </c>
      <c r="F10" t="str">
        <f>IF('Raw Data'!F10="","",'Raw Data'!F10)</f>
        <v>3 (30 in B.Place(?))</v>
      </c>
      <c r="G10" s="7" t="str">
        <f>IF('Raw Data'!G10="","",SUBSTITUTE('Raw Data'!G10," ",":",1))</f>
        <v>292</v>
      </c>
      <c r="H10" s="7" t="str">
        <f>IF('Raw Data'!H10="","",SUBSTITUTE('Raw Data'!H10," ",":",1))</f>
        <v>-</v>
      </c>
      <c r="I10" s="7" t="str">
        <f>IF('Raw Data'!I10="","",SUBSTITUTE('Raw Data'!I10," ",":",1))</f>
        <v>292</v>
      </c>
      <c r="J10" s="8">
        <f>IF('Raw Data'!J10="","",IF(LEN(K10)&gt;6,SQRT('Raw Data'!J10^2+N10^2),'Raw Data'!J10))</f>
        <v>48.06506007486103</v>
      </c>
      <c r="K10" s="7" t="str">
        <f>IF('Raw Data'!K10="","",IF(LEN('Raw Data'!K10)&lt;7,SUBSTITUTE('Raw Data'!K10," ",":",1),'Raw Data'!K10))</f>
        <v>fall of 2.5 feet</v>
      </c>
      <c r="L10" t="str">
        <f>IF('Raw Data'!L10="","",'Raw Data'!L10)</f>
        <v/>
      </c>
      <c r="M10">
        <f>IF('Raw Data'!M10="","",'Raw Data'!M10)</f>
        <v>48</v>
      </c>
      <c r="N10">
        <f>IF('Raw Data'!N10="","",IF('Raw Data'!N10="-",0,'Raw Data'!N10))</f>
        <v>-2.5</v>
      </c>
      <c r="O10">
        <f>IF('Raw Data'!O10="","",'Raw Data'!O10)</f>
        <v>-3.1</v>
      </c>
      <c r="P10" t="str">
        <f>IF('Raw Data'!P10="","",'Raw Data'!P10)</f>
        <v>At 40' the roof lowers suddenly to Creep I. The big Bedding Plane passage comes in on the right, from -5' to 40'</v>
      </c>
      <c r="Q10" t="str">
        <f t="shared" si="0"/>
        <v xml:space="preserve"> </v>
      </c>
      <c r="R10" s="3">
        <f t="shared" si="2"/>
        <v>292</v>
      </c>
      <c r="S10" s="3" t="str">
        <f t="shared" si="3"/>
        <v>-</v>
      </c>
      <c r="T10" s="3">
        <f t="shared" si="4"/>
        <v>292</v>
      </c>
      <c r="U10" s="12">
        <f t="shared" ref="U10:U11" si="11">ASIN(N10/J10)*180/PI()</f>
        <v>-2.9814612199821924</v>
      </c>
      <c r="W10" s="4">
        <f t="shared" si="9"/>
        <v>48</v>
      </c>
      <c r="X10" s="4">
        <f t="shared" si="10"/>
        <v>-2.5000000000000009</v>
      </c>
      <c r="Y10" s="3">
        <f t="shared" si="7"/>
        <v>292</v>
      </c>
    </row>
    <row r="11" spans="1:25" x14ac:dyDescent="0.25">
      <c r="A11" t="str">
        <f>IF('Raw Data'!A11="","",'Raw Data'!A11)</f>
        <v>G</v>
      </c>
      <c r="B11" t="str">
        <f>IF('Raw Data'!B11="","",'Raw Data'!B11)</f>
        <v>H</v>
      </c>
      <c r="C11">
        <f>IF('Raw Data'!C11="","",'Raw Data'!C11)</f>
        <v>2.5</v>
      </c>
      <c r="D11">
        <f>IF('Raw Data'!D11="","",'Raw Data'!D11)</f>
        <v>0.5</v>
      </c>
      <c r="E11">
        <f>IF('Raw Data'!E11="","",'Raw Data'!E11)</f>
        <v>3.5</v>
      </c>
      <c r="F11">
        <f>IF('Raw Data'!F11="","",'Raw Data'!F11)</f>
        <v>7</v>
      </c>
      <c r="G11" s="7" t="str">
        <f>IF('Raw Data'!G11="","",SUBSTITUTE('Raw Data'!G11," ",":",1))</f>
        <v>-</v>
      </c>
      <c r="H11" s="7" t="str">
        <f>IF('Raw Data'!H11="","",SUBSTITUTE('Raw Data'!H11," ",":",1))</f>
        <v>159</v>
      </c>
      <c r="I11" s="7" t="str">
        <f>IF('Raw Data'!I11="","",SUBSTITUTE('Raw Data'!I11," ",":",1))</f>
        <v>339</v>
      </c>
      <c r="J11" s="8">
        <f>IF('Raw Data'!J11="","",IF(LEN(K11)&gt;6,SQRT('Raw Data'!J11^2+N11^2),'Raw Data'!J11))</f>
        <v>36</v>
      </c>
      <c r="K11" s="7" t="str">
        <f>IF('Raw Data'!K11="","",IF(LEN('Raw Data'!K11)&lt;7,SUBSTITUTE('Raw Data'!K11," ",":",1),'Raw Data'!K11))</f>
        <v>level</v>
      </c>
      <c r="L11" t="str">
        <f>IF('Raw Data'!L11="","",'Raw Data'!L11)</f>
        <v/>
      </c>
      <c r="M11">
        <f>IF('Raw Data'!M11="","",'Raw Data'!M11)</f>
        <v>36</v>
      </c>
      <c r="N11">
        <f>IF('Raw Data'!N11="","",IF('Raw Data'!N11="-",0,'Raw Data'!N11))</f>
        <v>0</v>
      </c>
      <c r="O11">
        <f>IF('Raw Data'!O11="","",'Raw Data'!O11)</f>
        <v>-5.6</v>
      </c>
      <c r="P11" t="str">
        <f>IF('Raw Data'!P11="","",'Raw Data'!P11)</f>
        <v/>
      </c>
      <c r="Q11" t="str">
        <f t="shared" si="0"/>
        <v xml:space="preserve"> </v>
      </c>
      <c r="R11" s="3" t="str">
        <f t="shared" si="2"/>
        <v>-</v>
      </c>
      <c r="S11" s="3">
        <f t="shared" si="3"/>
        <v>159</v>
      </c>
      <c r="T11" s="3">
        <f t="shared" si="4"/>
        <v>339</v>
      </c>
      <c r="U11" s="12">
        <f t="shared" si="11"/>
        <v>0</v>
      </c>
      <c r="W11" s="4">
        <f t="shared" si="9"/>
        <v>36</v>
      </c>
      <c r="X11" s="4">
        <f t="shared" si="10"/>
        <v>0</v>
      </c>
      <c r="Y11" s="3">
        <f t="shared" si="7"/>
        <v>339</v>
      </c>
    </row>
    <row r="12" spans="1:25" x14ac:dyDescent="0.25">
      <c r="A12" t="str">
        <f>IF('Raw Data'!A12="","",'Raw Data'!A12)</f>
        <v>H</v>
      </c>
      <c r="B12" t="str">
        <f>IF('Raw Data'!B12="","",'Raw Data'!B12)</f>
        <v>I</v>
      </c>
      <c r="C12">
        <f>IF('Raw Data'!C12="","",'Raw Data'!C12)</f>
        <v>15</v>
      </c>
      <c r="D12">
        <f>IF('Raw Data'!D12="","",'Raw Data'!D12)</f>
        <v>1</v>
      </c>
      <c r="E12">
        <f>IF('Raw Data'!E12="","",'Raw Data'!E12)</f>
        <v>10</v>
      </c>
      <c r="F12">
        <f>IF('Raw Data'!F12="","",'Raw Data'!F12)</f>
        <v>3</v>
      </c>
      <c r="G12" s="7" t="str">
        <f>IF('Raw Data'!G12="","",SUBSTITUTE('Raw Data'!G12," ",":",1))</f>
        <v>247</v>
      </c>
      <c r="H12" s="7" t="str">
        <f>IF('Raw Data'!H12="","",SUBSTITUTE('Raw Data'!H12," ",":",1))</f>
        <v>-</v>
      </c>
      <c r="I12" s="7" t="str">
        <f>IF('Raw Data'!I12="","",SUBSTITUTE('Raw Data'!I12," ",":",1))</f>
        <v>247</v>
      </c>
      <c r="J12" s="8">
        <f>IF('Raw Data'!J12="","",IF(LEN(K12)&gt;6,SQRT('Raw Data'!J12^2+N12^2),'Raw Data'!J12))</f>
        <v>31</v>
      </c>
      <c r="K12" s="7" t="str">
        <f>IF('Raw Data'!K12="","",IF(LEN('Raw Data'!K12)&lt;7,SUBSTITUTE('Raw Data'!K12," ",":",1),'Raw Data'!K12))</f>
        <v>-2:30</v>
      </c>
      <c r="L12" t="str">
        <f>IF('Raw Data'!L12="","",'Raw Data'!L12)</f>
        <v/>
      </c>
      <c r="M12">
        <f>IF('Raw Data'!M12="","",'Raw Data'!M12)</f>
        <v>31</v>
      </c>
      <c r="N12">
        <f>IF('Raw Data'!N12="","",IF('Raw Data'!N12="-",0,'Raw Data'!N12))</f>
        <v>-1.3</v>
      </c>
      <c r="O12">
        <f>IF('Raw Data'!O12="","",'Raw Data'!O12)</f>
        <v>-5.6</v>
      </c>
      <c r="P12" t="str">
        <f>IF('Raw Data'!P12="","",'Raw Data'!P12)</f>
        <v/>
      </c>
      <c r="Q12" t="str">
        <f t="shared" si="0"/>
        <v xml:space="preserve"> </v>
      </c>
      <c r="R12" s="3">
        <f t="shared" si="2"/>
        <v>247</v>
      </c>
      <c r="S12" s="3" t="str">
        <f t="shared" si="3"/>
        <v>-</v>
      </c>
      <c r="T12" s="3">
        <f t="shared" si="4"/>
        <v>247</v>
      </c>
      <c r="U12" s="3">
        <f t="shared" ref="U12:U19" si="12">IF(ISERROR(FIND(":",K12)),K12,1*CONCATENATE(LEFT(K12,FIND(":",K12)-1),".",MID(RIGHT(K12,LEN(K12)-FIND(":",K12))/60,3,8)))</f>
        <v>-2.5</v>
      </c>
      <c r="W12" s="4">
        <f t="shared" si="9"/>
        <v>30.970494869037591</v>
      </c>
      <c r="X12" s="4">
        <f t="shared" si="10"/>
        <v>-1.3522010083254159</v>
      </c>
      <c r="Y12" s="3">
        <f t="shared" si="7"/>
        <v>247</v>
      </c>
    </row>
    <row r="13" spans="1:25" x14ac:dyDescent="0.25">
      <c r="A13" t="str">
        <f>IF('Raw Data'!A13="","",'Raw Data'!A13)</f>
        <v>I</v>
      </c>
      <c r="B13" t="str">
        <f>IF('Raw Data'!B13="","",'Raw Data'!B13)</f>
        <v>J</v>
      </c>
      <c r="C13">
        <f>IF('Raw Data'!C13="","",'Raw Data'!C13)</f>
        <v>15</v>
      </c>
      <c r="D13">
        <f>IF('Raw Data'!D13="","",'Raw Data'!D13)</f>
        <v>1</v>
      </c>
      <c r="E13">
        <f>IF('Raw Data'!E13="","",'Raw Data'!E13)</f>
        <v>8</v>
      </c>
      <c r="F13">
        <f>IF('Raw Data'!F13="","",'Raw Data'!F13)</f>
        <v>2</v>
      </c>
      <c r="G13" s="7" t="str">
        <f>IF('Raw Data'!G13="","",SUBSTITUTE('Raw Data'!G13," ",":",1))</f>
        <v>-</v>
      </c>
      <c r="H13" s="7" t="str">
        <f>IF('Raw Data'!H13="","",SUBSTITUTE('Raw Data'!H13," ",":",1))</f>
        <v>95</v>
      </c>
      <c r="I13" s="7" t="str">
        <f>IF('Raw Data'!I13="","",SUBSTITUTE('Raw Data'!I13," ",":",1))</f>
        <v>275</v>
      </c>
      <c r="J13" s="8">
        <f>IF('Raw Data'!J13="","",IF(LEN(K13)&gt;6,SQRT('Raw Data'!J13^2+N13^2),'Raw Data'!J13))</f>
        <v>26</v>
      </c>
      <c r="K13" s="7" t="str">
        <f>IF('Raw Data'!K13="","",IF(LEN('Raw Data'!K13)&lt;7,SUBSTITUTE('Raw Data'!K13," ",":",1),'Raw Data'!K13))</f>
        <v>2</v>
      </c>
      <c r="L13" t="str">
        <f>IF('Raw Data'!L13="","",'Raw Data'!L13)</f>
        <v/>
      </c>
      <c r="M13">
        <f>IF('Raw Data'!M13="","",'Raw Data'!M13)</f>
        <v>26</v>
      </c>
      <c r="N13">
        <f>IF('Raw Data'!N13="","",IF('Raw Data'!N13="-",0,'Raw Data'!N13))</f>
        <v>0.9</v>
      </c>
      <c r="O13">
        <f>IF('Raw Data'!O13="","",'Raw Data'!O13)</f>
        <v>-6.9</v>
      </c>
      <c r="P13" t="str">
        <f>IF('Raw Data'!P13="","",'Raw Data'!P13)</f>
        <v/>
      </c>
      <c r="Q13" t="str">
        <f t="shared" si="0"/>
        <v xml:space="preserve"> </v>
      </c>
      <c r="R13" s="3" t="str">
        <f t="shared" si="2"/>
        <v>-</v>
      </c>
      <c r="S13" s="3">
        <f t="shared" si="3"/>
        <v>95</v>
      </c>
      <c r="T13" s="3">
        <f t="shared" si="4"/>
        <v>275</v>
      </c>
      <c r="U13" s="3" t="str">
        <f t="shared" si="12"/>
        <v>2</v>
      </c>
      <c r="W13" s="4">
        <f t="shared" si="9"/>
        <v>25.984161502496491</v>
      </c>
      <c r="X13" s="4">
        <f t="shared" si="10"/>
        <v>0.90738691426502516</v>
      </c>
      <c r="Y13" s="3">
        <f t="shared" si="7"/>
        <v>275</v>
      </c>
    </row>
    <row r="14" spans="1:25" x14ac:dyDescent="0.25">
      <c r="A14" t="str">
        <f>IF('Raw Data'!A14="","",'Raw Data'!A14)</f>
        <v>J</v>
      </c>
      <c r="B14" t="str">
        <f>IF('Raw Data'!B14="","",'Raw Data'!B14)</f>
        <v>K</v>
      </c>
      <c r="C14">
        <f>IF('Raw Data'!C14="","",'Raw Data'!C14)</f>
        <v>8</v>
      </c>
      <c r="D14">
        <f>IF('Raw Data'!D14="","",'Raw Data'!D14)</f>
        <v>3</v>
      </c>
      <c r="E14">
        <f>IF('Raw Data'!E14="","",'Raw Data'!E14)</f>
        <v>1</v>
      </c>
      <c r="F14">
        <f>IF('Raw Data'!F14="","",'Raw Data'!F14)</f>
        <v>2</v>
      </c>
      <c r="G14" s="7" t="str">
        <f>IF('Raw Data'!G14="","",SUBSTITUTE('Raw Data'!G14," ",":",1))</f>
        <v>320</v>
      </c>
      <c r="H14" s="7" t="str">
        <f>IF('Raw Data'!H14="","",SUBSTITUTE('Raw Data'!H14," ",":",1))</f>
        <v>-</v>
      </c>
      <c r="I14" s="7" t="str">
        <f>IF('Raw Data'!I14="","",SUBSTITUTE('Raw Data'!I14," ",":",1))</f>
        <v>320</v>
      </c>
      <c r="J14" s="8">
        <f>IF('Raw Data'!J14="","",IF(LEN(K14)&gt;6,SQRT('Raw Data'!J14^2+N14^2),'Raw Data'!J14))</f>
        <v>26.5</v>
      </c>
      <c r="K14" s="7" t="str">
        <f>IF('Raw Data'!K14="","",IF(LEN('Raw Data'!K14)&lt;7,SUBSTITUTE('Raw Data'!K14," ",":",1),'Raw Data'!K14))</f>
        <v>1</v>
      </c>
      <c r="L14" t="str">
        <f>IF('Raw Data'!L14="","",'Raw Data'!L14)</f>
        <v/>
      </c>
      <c r="M14">
        <f>IF('Raw Data'!M14="","",'Raw Data'!M14)</f>
        <v>26.5</v>
      </c>
      <c r="N14">
        <f>IF('Raw Data'!N14="","",IF('Raw Data'!N14="-",0,'Raw Data'!N14))</f>
        <v>0.5</v>
      </c>
      <c r="O14">
        <f>IF('Raw Data'!O14="","",'Raw Data'!O14)</f>
        <v>-6</v>
      </c>
      <c r="P14" t="str">
        <f>IF('Raw Data'!P14="","",'Raw Data'!P14)</f>
        <v>Pots</v>
      </c>
      <c r="Q14" t="str">
        <f t="shared" si="0"/>
        <v xml:space="preserve"> </v>
      </c>
      <c r="R14" s="3">
        <f t="shared" si="2"/>
        <v>320</v>
      </c>
      <c r="S14" s="3" t="str">
        <f t="shared" si="3"/>
        <v>-</v>
      </c>
      <c r="T14" s="3">
        <f t="shared" si="4"/>
        <v>320</v>
      </c>
      <c r="U14" s="3" t="str">
        <f t="shared" si="12"/>
        <v>1</v>
      </c>
      <c r="W14" s="4">
        <f t="shared" si="9"/>
        <v>26.495963921644368</v>
      </c>
      <c r="X14" s="4">
        <f t="shared" si="10"/>
        <v>0.46248877058801308</v>
      </c>
      <c r="Y14" s="3">
        <f t="shared" si="7"/>
        <v>320</v>
      </c>
    </row>
    <row r="15" spans="1:25" x14ac:dyDescent="0.25">
      <c r="A15" t="str">
        <f>IF('Raw Data'!A15="","",'Raw Data'!A15)</f>
        <v>K</v>
      </c>
      <c r="B15" t="str">
        <f>IF('Raw Data'!B15="","",'Raw Data'!B15)</f>
        <v>L</v>
      </c>
      <c r="C15">
        <f>IF('Raw Data'!C15="","",'Raw Data'!C15)</f>
        <v>25</v>
      </c>
      <c r="D15">
        <f>IF('Raw Data'!D15="","",'Raw Data'!D15)</f>
        <v>4.5</v>
      </c>
      <c r="E15" t="str">
        <f>IF('Raw Data'!E15="","",'Raw Data'!E15)</f>
        <v>-</v>
      </c>
      <c r="F15">
        <f>IF('Raw Data'!F15="","",'Raw Data'!F15)</f>
        <v>4</v>
      </c>
      <c r="G15" s="7" t="str">
        <f>IF('Raw Data'!G15="","",SUBSTITUTE('Raw Data'!G15," ",":",1))</f>
        <v>-</v>
      </c>
      <c r="H15" s="7" t="str">
        <f>IF('Raw Data'!H15="","",SUBSTITUTE('Raw Data'!H15," ",":",1))</f>
        <v>193</v>
      </c>
      <c r="I15" s="7" t="str">
        <f>IF('Raw Data'!I15="","",SUBSTITUTE('Raw Data'!I15," ",":",1))</f>
        <v>13</v>
      </c>
      <c r="J15" s="8">
        <f>IF('Raw Data'!J15="","",IF(LEN(K15)&gt;6,SQRT('Raw Data'!J15^2+N15^2),'Raw Data'!J15))</f>
        <v>17.5</v>
      </c>
      <c r="K15" s="7" t="str">
        <f>IF('Raw Data'!K15="","",IF(LEN('Raw Data'!K15)&lt;7,SUBSTITUTE('Raw Data'!K15," ",":",1),'Raw Data'!K15))</f>
        <v>-9</v>
      </c>
      <c r="L15" t="str">
        <f>IF('Raw Data'!L15="","",'Raw Data'!L15)</f>
        <v/>
      </c>
      <c r="M15">
        <f>IF('Raw Data'!M15="","",'Raw Data'!M15)</f>
        <v>17.3</v>
      </c>
      <c r="N15">
        <f>IF('Raw Data'!N15="","",IF('Raw Data'!N15="-",0,'Raw Data'!N15))</f>
        <v>-2.7</v>
      </c>
      <c r="O15">
        <f>IF('Raw Data'!O15="","",'Raw Data'!O15)</f>
        <v>-5.5</v>
      </c>
      <c r="P15" t="str">
        <f>IF('Raw Data'!P15="","",'Raw Data'!P15)</f>
        <v>Pots</v>
      </c>
      <c r="Q15" t="str">
        <f t="shared" si="0"/>
        <v xml:space="preserve"> </v>
      </c>
      <c r="R15" s="3" t="str">
        <f t="shared" si="2"/>
        <v>-</v>
      </c>
      <c r="S15" s="3">
        <f t="shared" si="3"/>
        <v>193</v>
      </c>
      <c r="T15" s="3">
        <f t="shared" si="4"/>
        <v>13</v>
      </c>
      <c r="U15" s="3" t="str">
        <f t="shared" si="12"/>
        <v>-9</v>
      </c>
      <c r="W15" s="4">
        <f t="shared" si="9"/>
        <v>17.28454596041491</v>
      </c>
      <c r="X15" s="4">
        <f t="shared" si="10"/>
        <v>-2.7376031382040402</v>
      </c>
      <c r="Y15" s="3">
        <f t="shared" si="7"/>
        <v>13</v>
      </c>
    </row>
    <row r="16" spans="1:25" x14ac:dyDescent="0.25">
      <c r="A16" t="str">
        <f>IF('Raw Data'!A16="","",'Raw Data'!A16)</f>
        <v>L</v>
      </c>
      <c r="B16" t="str">
        <f>IF('Raw Data'!B16="","",'Raw Data'!B16)</f>
        <v>M</v>
      </c>
      <c r="C16">
        <f>IF('Raw Data'!C16="","",'Raw Data'!C16)</f>
        <v>20</v>
      </c>
      <c r="D16">
        <f>IF('Raw Data'!D16="","",'Raw Data'!D16)</f>
        <v>3</v>
      </c>
      <c r="E16">
        <f>IF('Raw Data'!E16="","",'Raw Data'!E16)</f>
        <v>2</v>
      </c>
      <c r="F16">
        <f>IF('Raw Data'!F16="","",'Raw Data'!F16)</f>
        <v>2</v>
      </c>
      <c r="G16" s="7" t="str">
        <f>IF('Raw Data'!G16="","",SUBSTITUTE('Raw Data'!G16," ",":",1))</f>
        <v>299</v>
      </c>
      <c r="H16" s="7" t="str">
        <f>IF('Raw Data'!H16="","",SUBSTITUTE('Raw Data'!H16," ",":",1))</f>
        <v>-</v>
      </c>
      <c r="I16" s="7" t="str">
        <f>IF('Raw Data'!I16="","",SUBSTITUTE('Raw Data'!I16," ",":",1))</f>
        <v>299</v>
      </c>
      <c r="J16" s="8">
        <f>IF('Raw Data'!J16="","",IF(LEN(K16)&gt;6,SQRT('Raw Data'!J16^2+N16^2),'Raw Data'!J16))</f>
        <v>33</v>
      </c>
      <c r="K16" s="7" t="str">
        <f>IF('Raw Data'!K16="","",IF(LEN('Raw Data'!K16)&lt;7,SUBSTITUTE('Raw Data'!K16," ",":",1),'Raw Data'!K16))</f>
        <v>-3</v>
      </c>
      <c r="L16" t="str">
        <f>IF('Raw Data'!L16="","",'Raw Data'!L16)</f>
        <v/>
      </c>
      <c r="M16">
        <f>IF('Raw Data'!M16="","",'Raw Data'!M16)</f>
        <v>33</v>
      </c>
      <c r="N16">
        <f>IF('Raw Data'!N16="","",IF('Raw Data'!N16="-",0,'Raw Data'!N16))</f>
        <v>-1.7</v>
      </c>
      <c r="O16">
        <f>IF('Raw Data'!O16="","",'Raw Data'!O16)</f>
        <v>-8.1999999999999993</v>
      </c>
      <c r="P16" t="str">
        <f>IF('Raw Data'!P16="","",'Raw Data'!P16)</f>
        <v>L is at foot of climb to Approach passage. Clay fill remains 6' up on left wall.</v>
      </c>
      <c r="Q16" t="str">
        <f t="shared" si="0"/>
        <v xml:space="preserve"> </v>
      </c>
      <c r="R16" s="3">
        <f t="shared" si="2"/>
        <v>299</v>
      </c>
      <c r="S16" s="3" t="str">
        <f t="shared" si="3"/>
        <v>-</v>
      </c>
      <c r="T16" s="3">
        <f t="shared" si="4"/>
        <v>299</v>
      </c>
      <c r="U16" s="3" t="str">
        <f t="shared" si="12"/>
        <v>-3</v>
      </c>
      <c r="W16" s="4">
        <f t="shared" si="9"/>
        <v>32.954774646900937</v>
      </c>
      <c r="X16" s="4">
        <f t="shared" si="10"/>
        <v>-1.7270865560171462</v>
      </c>
      <c r="Y16" s="3">
        <f t="shared" si="7"/>
        <v>299</v>
      </c>
    </row>
    <row r="17" spans="1:25" x14ac:dyDescent="0.25">
      <c r="A17" t="str">
        <f>IF('Raw Data'!A17="","",'Raw Data'!A17)</f>
        <v>M</v>
      </c>
      <c r="B17" t="str">
        <f>IF('Raw Data'!B17="","",'Raw Data'!B17)</f>
        <v>N</v>
      </c>
      <c r="C17">
        <f>IF('Raw Data'!C17="","",'Raw Data'!C17)</f>
        <v>15</v>
      </c>
      <c r="D17">
        <f>IF('Raw Data'!D17="","",'Raw Data'!D17)</f>
        <v>7</v>
      </c>
      <c r="E17">
        <f>IF('Raw Data'!E17="","",'Raw Data'!E17)</f>
        <v>4</v>
      </c>
      <c r="F17" t="str">
        <f>IF('Raw Data'!F17="","",'Raw Data'!F17)</f>
        <v>-</v>
      </c>
      <c r="G17" s="7" t="str">
        <f>IF('Raw Data'!G17="","",SUBSTITUTE('Raw Data'!G17," ",":",1))</f>
        <v>-</v>
      </c>
      <c r="H17" s="7" t="str">
        <f>IF('Raw Data'!H17="","",SUBSTITUTE('Raw Data'!H17," ",":",1))</f>
        <v>142</v>
      </c>
      <c r="I17" s="7" t="str">
        <f>IF('Raw Data'!I17="","",SUBSTITUTE('Raw Data'!I17," ",":",1))</f>
        <v>322</v>
      </c>
      <c r="J17" s="8">
        <f>IF('Raw Data'!J17="","",IF(LEN(K17)&gt;6,SQRT('Raw Data'!J17^2+N17^2),'Raw Data'!J17))</f>
        <v>43</v>
      </c>
      <c r="K17" s="7" t="str">
        <f>IF('Raw Data'!K17="","",IF(LEN('Raw Data'!K17)&lt;7,SUBSTITUTE('Raw Data'!K17," ",":",1),'Raw Data'!K17))</f>
        <v>-7.3</v>
      </c>
      <c r="L17" t="str">
        <f>IF('Raw Data'!L17="","",'Raw Data'!L17)</f>
        <v/>
      </c>
      <c r="M17">
        <f>IF('Raw Data'!M17="","",'Raw Data'!M17)</f>
        <v>42.7</v>
      </c>
      <c r="N17">
        <f>IF('Raw Data'!N17="","",IF('Raw Data'!N17="-",0,'Raw Data'!N17))</f>
        <v>-5.6</v>
      </c>
      <c r="O17">
        <f>IF('Raw Data'!O17="","",'Raw Data'!O17)</f>
        <v>-9.9</v>
      </c>
      <c r="P17" t="str">
        <f>IF('Raw Data'!P17="","",'Raw Data'!P17)</f>
        <v>Pots</v>
      </c>
      <c r="Q17" t="str">
        <f t="shared" si="0"/>
        <v xml:space="preserve"> </v>
      </c>
      <c r="R17" s="3" t="str">
        <f t="shared" si="2"/>
        <v>-</v>
      </c>
      <c r="S17" s="3">
        <f t="shared" si="3"/>
        <v>142</v>
      </c>
      <c r="T17" s="3">
        <f t="shared" si="4"/>
        <v>322</v>
      </c>
      <c r="U17" s="3" t="str">
        <f t="shared" si="12"/>
        <v>-7.3</v>
      </c>
      <c r="W17" s="4">
        <f t="shared" si="9"/>
        <v>42.651461031371277</v>
      </c>
      <c r="X17" s="4">
        <f t="shared" si="10"/>
        <v>-5.4637781698580703</v>
      </c>
      <c r="Y17" s="3">
        <f t="shared" si="7"/>
        <v>322</v>
      </c>
    </row>
    <row r="18" spans="1:25" x14ac:dyDescent="0.25">
      <c r="A18" t="str">
        <f>IF('Raw Data'!A18="","",'Raw Data'!A18)</f>
        <v>N</v>
      </c>
      <c r="B18" t="str">
        <f>IF('Raw Data'!B18="","",'Raw Data'!B18)</f>
        <v>O</v>
      </c>
      <c r="C18">
        <f>IF('Raw Data'!C18="","",'Raw Data'!C18)</f>
        <v>25</v>
      </c>
      <c r="D18">
        <f>IF('Raw Data'!D18="","",'Raw Data'!D18)</f>
        <v>3</v>
      </c>
      <c r="E18">
        <f>IF('Raw Data'!E18="","",'Raw Data'!E18)</f>
        <v>2</v>
      </c>
      <c r="F18">
        <f>IF('Raw Data'!F18="","",'Raw Data'!F18)</f>
        <v>1</v>
      </c>
      <c r="G18" s="7" t="str">
        <f>IF('Raw Data'!G18="","",SUBSTITUTE('Raw Data'!G18," ",":",1))</f>
        <v>281</v>
      </c>
      <c r="H18" s="7" t="str">
        <f>IF('Raw Data'!H18="","",SUBSTITUTE('Raw Data'!H18," ",":",1))</f>
        <v>-</v>
      </c>
      <c r="I18" s="7" t="str">
        <f>IF('Raw Data'!I18="","",SUBSTITUTE('Raw Data'!I18," ",":",1))</f>
        <v>281</v>
      </c>
      <c r="J18" s="8">
        <f>IF('Raw Data'!J18="","",IF(LEN(K18)&gt;6,SQRT('Raw Data'!J18^2+N18^2),'Raw Data'!J18))</f>
        <v>15.5</v>
      </c>
      <c r="K18" s="7" t="str">
        <f>IF('Raw Data'!K18="","",IF(LEN('Raw Data'!K18)&lt;7,SUBSTITUTE('Raw Data'!K18," ",":",1),'Raw Data'!K18))</f>
        <v>-2</v>
      </c>
      <c r="L18" t="str">
        <f>IF('Raw Data'!L18="","",'Raw Data'!L18)</f>
        <v/>
      </c>
      <c r="M18">
        <f>IF('Raw Data'!M18="","",'Raw Data'!M18)</f>
        <v>15.5</v>
      </c>
      <c r="N18">
        <f>IF('Raw Data'!N18="","",IF('Raw Data'!N18="-",0,'Raw Data'!N18))</f>
        <v>-0.5</v>
      </c>
      <c r="O18">
        <f>IF('Raw Data'!O18="","",'Raw Data'!O18)</f>
        <v>-15.5</v>
      </c>
      <c r="P18" t="str">
        <f>IF('Raw Data'!P18="","",'Raw Data'!P18)</f>
        <v>Pots</v>
      </c>
      <c r="Q18" t="str">
        <f t="shared" si="0"/>
        <v xml:space="preserve"> </v>
      </c>
      <c r="R18" s="3">
        <f t="shared" si="2"/>
        <v>281</v>
      </c>
      <c r="S18" s="3" t="str">
        <f t="shared" si="3"/>
        <v>-</v>
      </c>
      <c r="T18" s="3">
        <f t="shared" si="4"/>
        <v>281</v>
      </c>
      <c r="U18" s="3" t="str">
        <f t="shared" si="12"/>
        <v>-2</v>
      </c>
      <c r="W18" s="4">
        <f t="shared" si="9"/>
        <v>15.490557818795985</v>
      </c>
      <c r="X18" s="4">
        <f t="shared" si="10"/>
        <v>-0.54094219888876505</v>
      </c>
      <c r="Y18" s="3">
        <f t="shared" si="7"/>
        <v>281</v>
      </c>
    </row>
    <row r="19" spans="1:25" x14ac:dyDescent="0.25">
      <c r="A19" t="str">
        <f>IF('Raw Data'!A19="","",'Raw Data'!A19)</f>
        <v>O</v>
      </c>
      <c r="B19" t="str">
        <f>IF('Raw Data'!B19="","",'Raw Data'!B19)</f>
        <v>P</v>
      </c>
      <c r="C19">
        <f>IF('Raw Data'!C19="","",'Raw Data'!C19)</f>
        <v>40</v>
      </c>
      <c r="D19">
        <f>IF('Raw Data'!D19="","",'Raw Data'!D19)</f>
        <v>4.5</v>
      </c>
      <c r="E19">
        <f>IF('Raw Data'!E19="","",'Raw Data'!E19)</f>
        <v>2</v>
      </c>
      <c r="F19">
        <f>IF('Raw Data'!F19="","",'Raw Data'!F19)</f>
        <v>2</v>
      </c>
      <c r="G19" s="7" t="str">
        <f>IF('Raw Data'!G19="","",SUBSTITUTE('Raw Data'!G19," ",":",1))</f>
        <v>-</v>
      </c>
      <c r="H19" s="7" t="str">
        <f>IF('Raw Data'!H19="","",SUBSTITUTE('Raw Data'!H19," ",":",1))</f>
        <v>127</v>
      </c>
      <c r="I19" s="7" t="str">
        <f>IF('Raw Data'!I19="","",SUBSTITUTE('Raw Data'!I19," ",":",1))</f>
        <v>307</v>
      </c>
      <c r="J19" s="8">
        <f>IF('Raw Data'!J19="","",IF(LEN(K19)&gt;6,SQRT('Raw Data'!J19^2+N19^2),'Raw Data'!J19))</f>
        <v>56</v>
      </c>
      <c r="K19" s="7" t="str">
        <f>IF('Raw Data'!K19="","",IF(LEN('Raw Data'!K19)&lt;7,SUBSTITUTE('Raw Data'!K19," ",":",1),'Raw Data'!K19))</f>
        <v>-5</v>
      </c>
      <c r="L19" t="str">
        <f>IF('Raw Data'!L19="","",'Raw Data'!L19)</f>
        <v/>
      </c>
      <c r="M19">
        <f>IF('Raw Data'!M19="","",'Raw Data'!M19)</f>
        <v>55.8</v>
      </c>
      <c r="N19">
        <f>IF('Raw Data'!N19="","",IF('Raw Data'!N19="-",0,'Raw Data'!N19))</f>
        <v>-4.9000000000000004</v>
      </c>
      <c r="O19">
        <f>IF('Raw Data'!O19="","",'Raw Data'!O19)</f>
        <v>-16</v>
      </c>
      <c r="P19" t="str">
        <f>IF('Raw Data'!P19="","",'Raw Data'!P19)</f>
        <v>Pots. Very pretty coral on left wall</v>
      </c>
      <c r="Q19" t="str">
        <f t="shared" si="0"/>
        <v xml:space="preserve"> </v>
      </c>
      <c r="R19" s="3" t="str">
        <f t="shared" si="2"/>
        <v>-</v>
      </c>
      <c r="S19" s="3">
        <f t="shared" si="3"/>
        <v>127</v>
      </c>
      <c r="T19" s="3">
        <f t="shared" si="4"/>
        <v>307</v>
      </c>
      <c r="U19" s="3" t="str">
        <f t="shared" si="12"/>
        <v>-5</v>
      </c>
      <c r="W19" s="4">
        <f t="shared" si="9"/>
        <v>55.786903093137752</v>
      </c>
      <c r="X19" s="4">
        <f t="shared" si="10"/>
        <v>-4.8807215938688575</v>
      </c>
      <c r="Y19" s="3">
        <f t="shared" si="7"/>
        <v>307</v>
      </c>
    </row>
    <row r="20" spans="1:25" x14ac:dyDescent="0.25">
      <c r="A20" t="str">
        <f>IF('Raw Data'!A20="","",'Raw Data'!A20)</f>
        <v>P</v>
      </c>
      <c r="B20" t="str">
        <f>IF('Raw Data'!B20="","",'Raw Data'!B20)</f>
        <v>Q</v>
      </c>
      <c r="C20">
        <f>IF('Raw Data'!C20="","",'Raw Data'!C20)</f>
        <v>40</v>
      </c>
      <c r="D20">
        <f>IF('Raw Data'!D20="","",'Raw Data'!D20)</f>
        <v>3</v>
      </c>
      <c r="E20">
        <f>IF('Raw Data'!E20="","",'Raw Data'!E20)</f>
        <v>2</v>
      </c>
      <c r="F20">
        <f>IF('Raw Data'!F20="","",'Raw Data'!F20)</f>
        <v>3</v>
      </c>
      <c r="G20" s="7" t="str">
        <f>IF('Raw Data'!G20="","",SUBSTITUTE('Raw Data'!G20," ",":",1))</f>
        <v>283</v>
      </c>
      <c r="H20" s="7" t="str">
        <f>IF('Raw Data'!H20="","",SUBSTITUTE('Raw Data'!H20," ",":",1))</f>
        <v>-</v>
      </c>
      <c r="I20" s="7" t="str">
        <f>IF('Raw Data'!I20="","",SUBSTITUTE('Raw Data'!I20," ",":",1))</f>
        <v>283</v>
      </c>
      <c r="J20" s="8">
        <f>IF('Raw Data'!J20="","",IF(LEN(K20)&gt;6,SQRT('Raw Data'!J20^2+N20^2),'Raw Data'!J20))</f>
        <v>15.8</v>
      </c>
      <c r="K20" s="7" t="str">
        <f>IF('Raw Data'!K20="","",IF(LEN('Raw Data'!K20)&lt;7,SUBSTITUTE('Raw Data'!K20," ",":",1),'Raw Data'!K20))</f>
        <v>-0:15</v>
      </c>
      <c r="L20" t="str">
        <f>IF('Raw Data'!L20="","",'Raw Data'!L20)</f>
        <v/>
      </c>
      <c r="M20">
        <f>IF('Raw Data'!M20="","",'Raw Data'!M20)</f>
        <v>15.8</v>
      </c>
      <c r="N20">
        <f>IF('Raw Data'!N20="","",IF('Raw Data'!N20="-",0,'Raw Data'!N20))</f>
        <v>-0.1</v>
      </c>
      <c r="O20">
        <f>IF('Raw Data'!O20="","",'Raw Data'!O20)</f>
        <v>-20.9</v>
      </c>
      <c r="P20" t="str">
        <f>IF('Raw Data'!P20="","",'Raw Data'!P20)</f>
        <v/>
      </c>
      <c r="Q20" t="str">
        <f t="shared" si="0"/>
        <v xml:space="preserve"> </v>
      </c>
      <c r="R20" s="3">
        <f t="shared" si="2"/>
        <v>283</v>
      </c>
      <c r="S20" s="3" t="str">
        <f t="shared" si="3"/>
        <v>-</v>
      </c>
      <c r="T20" s="3">
        <f t="shared" si="4"/>
        <v>283</v>
      </c>
      <c r="U20" s="12">
        <f t="shared" ref="U20:U22" si="13">ASIN(N20/J20)*180/PI()</f>
        <v>-0.36263393697894891</v>
      </c>
      <c r="W20" s="4">
        <f t="shared" si="9"/>
        <v>15.799683541134614</v>
      </c>
      <c r="X20" s="4">
        <f t="shared" si="10"/>
        <v>-0.1</v>
      </c>
      <c r="Y20" s="3">
        <f t="shared" si="7"/>
        <v>283</v>
      </c>
    </row>
    <row r="21" spans="1:25" x14ac:dyDescent="0.25">
      <c r="A21" t="str">
        <f>IF('Raw Data'!A21="","",'Raw Data'!A21)</f>
        <v>Q</v>
      </c>
      <c r="B21" t="str">
        <f>IF('Raw Data'!B21="","",'Raw Data'!B21)</f>
        <v>R</v>
      </c>
      <c r="C21">
        <f>IF('Raw Data'!C21="","",'Raw Data'!C21)</f>
        <v>40</v>
      </c>
      <c r="D21">
        <f>IF('Raw Data'!D21="","",'Raw Data'!D21)</f>
        <v>4</v>
      </c>
      <c r="E21">
        <f>IF('Raw Data'!E21="","",'Raw Data'!E21)</f>
        <v>4</v>
      </c>
      <c r="F21" t="str">
        <f>IF('Raw Data'!F21="","",'Raw Data'!F21)</f>
        <v>-</v>
      </c>
      <c r="G21" s="7" t="str">
        <f>IF('Raw Data'!G21="","",SUBSTITUTE('Raw Data'!G21," ",":",1))</f>
        <v>-</v>
      </c>
      <c r="H21" s="7" t="str">
        <f>IF('Raw Data'!H21="","",SUBSTITUTE('Raw Data'!H21," ",":",1))</f>
        <v>37</v>
      </c>
      <c r="I21" s="7" t="str">
        <f>IF('Raw Data'!I21="","",SUBSTITUTE('Raw Data'!I21," ",":",1))</f>
        <v>217</v>
      </c>
      <c r="J21" s="8">
        <f>IF('Raw Data'!J21="","",IF(LEN(K21)&gt;6,SQRT('Raw Data'!J21^2+N21^2),'Raw Data'!J21))</f>
        <v>15.814234094637655</v>
      </c>
      <c r="K21" s="7" t="str">
        <f>IF('Raw Data'!K21="","",IF(LEN('Raw Data'!K21)&lt;7,SUBSTITUTE('Raw Data'!K21," ",":",1),'Raw Data'!K21))</f>
        <v>fall of 4 feet</v>
      </c>
      <c r="L21" t="str">
        <f>IF('Raw Data'!L21="","",'Raw Data'!L21)</f>
        <v/>
      </c>
      <c r="M21">
        <f>IF('Raw Data'!M21="","",'Raw Data'!M21)</f>
        <v>15.3</v>
      </c>
      <c r="N21">
        <f>IF('Raw Data'!N21="","",IF('Raw Data'!N21="-",0,'Raw Data'!N21))</f>
        <v>-4</v>
      </c>
      <c r="O21">
        <f>IF('Raw Data'!O21="","",'Raw Data'!O21)</f>
        <v>-21</v>
      </c>
      <c r="P21" t="str">
        <f>IF('Raw Data'!P21="","",'Raw Data'!P21)</f>
        <v>1.5 foot deep pool starts at P.</v>
      </c>
      <c r="Q21" t="str">
        <f t="shared" si="0"/>
        <v xml:space="preserve"> </v>
      </c>
      <c r="R21" s="3" t="str">
        <f t="shared" si="2"/>
        <v>-</v>
      </c>
      <c r="S21" s="3">
        <f t="shared" si="3"/>
        <v>37</v>
      </c>
      <c r="T21" s="3">
        <f t="shared" si="4"/>
        <v>217</v>
      </c>
      <c r="U21" s="12">
        <f t="shared" si="13"/>
        <v>-14.65135857182217</v>
      </c>
      <c r="W21" s="4">
        <f t="shared" si="9"/>
        <v>15.300000000000002</v>
      </c>
      <c r="X21" s="4">
        <f t="shared" si="10"/>
        <v>-3.9999999999999996</v>
      </c>
      <c r="Y21" s="3">
        <f t="shared" si="7"/>
        <v>217</v>
      </c>
    </row>
    <row r="22" spans="1:25" x14ac:dyDescent="0.25">
      <c r="A22" t="str">
        <f>IF('Raw Data'!A22="","",'Raw Data'!A22)</f>
        <v>R</v>
      </c>
      <c r="B22" t="str">
        <f>IF('Raw Data'!B22="","",'Raw Data'!B22)</f>
        <v>S</v>
      </c>
      <c r="C22">
        <f>IF('Raw Data'!C22="","",'Raw Data'!C22)</f>
        <v>40</v>
      </c>
      <c r="D22" t="str">
        <f>IF('Raw Data'!D22="","",'Raw Data'!D22)</f>
        <v>-</v>
      </c>
      <c r="E22" t="str">
        <f>IF('Raw Data'!E22="","",'Raw Data'!E22)</f>
        <v>-</v>
      </c>
      <c r="F22">
        <f>IF('Raw Data'!F22="","",'Raw Data'!F22)</f>
        <v>4</v>
      </c>
      <c r="G22" s="7" t="str">
        <f>IF('Raw Data'!G22="","",SUBSTITUTE('Raw Data'!G22," ",":",1))</f>
        <v>310</v>
      </c>
      <c r="H22" s="7" t="str">
        <f>IF('Raw Data'!H22="","",SUBSTITUTE('Raw Data'!H22," ",":",1))</f>
        <v>-</v>
      </c>
      <c r="I22" s="7" t="str">
        <f>IF('Raw Data'!I22="","",SUBSTITUTE('Raw Data'!I22," ",":",1))</f>
        <v>310</v>
      </c>
      <c r="J22" s="8">
        <f>IF('Raw Data'!J22="","",IF(LEN(K22)&gt;6,SQRT('Raw Data'!J22^2+N22^2),'Raw Data'!J22))</f>
        <v>39.702015062210634</v>
      </c>
      <c r="K22" s="7" t="str">
        <f>IF('Raw Data'!K22="","",IF(LEN('Raw Data'!K22)&lt;7,SUBSTITUTE('Raw Data'!K22," ",":",1),'Raw Data'!K22))</f>
        <v>rise of 4 feet</v>
      </c>
      <c r="L22" t="str">
        <f>IF('Raw Data'!L22="","",'Raw Data'!L22)</f>
        <v/>
      </c>
      <c r="M22">
        <f>IF('Raw Data'!M22="","",'Raw Data'!M22)</f>
        <v>39.5</v>
      </c>
      <c r="N22">
        <f>IF('Raw Data'!N22="","",IF('Raw Data'!N22="-",0,'Raw Data'!N22))</f>
        <v>4</v>
      </c>
      <c r="O22">
        <f>IF('Raw Data'!O22="","",'Raw Data'!O22)</f>
        <v>-25</v>
      </c>
      <c r="P22" t="str">
        <f>IF('Raw Data'!P22="","",'Raw Data'!P22)</f>
        <v>Pool 2.5' deep at R, ends 15' on. Scalloping as in Goughs 1st Sandy Chamber.</v>
      </c>
      <c r="Q22" t="str">
        <f t="shared" si="0"/>
        <v xml:space="preserve"> </v>
      </c>
      <c r="R22" s="3">
        <f t="shared" si="2"/>
        <v>310</v>
      </c>
      <c r="S22" s="3" t="str">
        <f t="shared" si="3"/>
        <v>-</v>
      </c>
      <c r="T22" s="3">
        <f t="shared" si="4"/>
        <v>310</v>
      </c>
      <c r="U22" s="12">
        <f t="shared" si="13"/>
        <v>5.782392322364041</v>
      </c>
      <c r="W22" s="4">
        <f t="shared" si="9"/>
        <v>39.5</v>
      </c>
      <c r="X22" s="4">
        <f t="shared" si="10"/>
        <v>4</v>
      </c>
      <c r="Y22" s="3">
        <f t="shared" si="7"/>
        <v>310</v>
      </c>
    </row>
    <row r="23" spans="1:25" x14ac:dyDescent="0.25">
      <c r="A23" t="str">
        <f>IF('Raw Data'!A23="","",'Raw Data'!A23)</f>
        <v>S</v>
      </c>
      <c r="B23" t="str">
        <f>IF('Raw Data'!B23="","",'Raw Data'!B23)</f>
        <v>T</v>
      </c>
      <c r="C23">
        <f>IF('Raw Data'!C23="","",'Raw Data'!C23)</f>
        <v>12</v>
      </c>
      <c r="D23">
        <f>IF('Raw Data'!D23="","",'Raw Data'!D23)</f>
        <v>4.5</v>
      </c>
      <c r="E23">
        <f>IF('Raw Data'!E23="","",'Raw Data'!E23)</f>
        <v>8</v>
      </c>
      <c r="F23" t="str">
        <f>IF('Raw Data'!F23="","",'Raw Data'!F23)</f>
        <v>-</v>
      </c>
      <c r="G23" s="7" t="str">
        <f>IF('Raw Data'!G23="","",SUBSTITUTE('Raw Data'!G23," ",":",1))</f>
        <v>-</v>
      </c>
      <c r="H23" s="7" t="str">
        <f>IF('Raw Data'!H23="","",SUBSTITUTE('Raw Data'!H23," ",":",1))</f>
        <v>58</v>
      </c>
      <c r="I23" s="7" t="str">
        <f>IF('Raw Data'!I23="","",SUBSTITUTE('Raw Data'!I23," ",":",1))</f>
        <v>238</v>
      </c>
      <c r="J23" s="8">
        <f>IF('Raw Data'!J23="","",IF(LEN(K23)&gt;6,SQRT('Raw Data'!J23^2+N23^2),'Raw Data'!J23))</f>
        <v>39.6</v>
      </c>
      <c r="K23" s="7" t="str">
        <f>IF('Raw Data'!K23="","",IF(LEN('Raw Data'!K23)&lt;7,SUBSTITUTE('Raw Data'!K23," ",":",1),'Raw Data'!K23))</f>
        <v>-2:30</v>
      </c>
      <c r="L23" t="str">
        <f>IF('Raw Data'!L23="","",'Raw Data'!L23)</f>
        <v/>
      </c>
      <c r="M23">
        <f>IF('Raw Data'!M23="","",'Raw Data'!M23)</f>
        <v>39.6</v>
      </c>
      <c r="N23">
        <f>IF('Raw Data'!N23="","",IF('Raw Data'!N23="-",0,'Raw Data'!N23))</f>
        <v>-1.9</v>
      </c>
      <c r="O23">
        <f>IF('Raw Data'!O23="","",'Raw Data'!O23)</f>
        <v>-21</v>
      </c>
      <c r="P23" t="str">
        <f>IF('Raw Data'!P23="","",'Raw Data'!P23)</f>
        <v>S is marked on wall. At 20' there is a muddy chamber overhead.</v>
      </c>
      <c r="Q23" t="str">
        <f t="shared" si="0"/>
        <v xml:space="preserve"> </v>
      </c>
      <c r="R23" s="3" t="str">
        <f t="shared" si="2"/>
        <v>-</v>
      </c>
      <c r="S23" s="3">
        <f t="shared" si="3"/>
        <v>58</v>
      </c>
      <c r="T23" s="3">
        <f t="shared" si="4"/>
        <v>238</v>
      </c>
      <c r="U23" s="3">
        <f t="shared" ref="U23" si="14">IF(ISERROR(FIND(":",K23)),K23,1*CONCATENATE(LEFT(K23,FIND(":",K23)-1),".",MID(RIGHT(K23,LEN(K23)-FIND(":",K23))/60,3,8)))</f>
        <v>-2.5</v>
      </c>
      <c r="W23" s="4">
        <f t="shared" si="9"/>
        <v>39.562309574641567</v>
      </c>
      <c r="X23" s="4">
        <f t="shared" si="10"/>
        <v>-1.7273277396673057</v>
      </c>
      <c r="Y23" s="3">
        <f t="shared" si="7"/>
        <v>238</v>
      </c>
    </row>
    <row r="24" spans="1:25" x14ac:dyDescent="0.25">
      <c r="A24" t="str">
        <f>IF('Raw Data'!A24="","",'Raw Data'!A24)</f>
        <v>T</v>
      </c>
      <c r="B24" t="str">
        <f>IF('Raw Data'!B24="","",'Raw Data'!B24)</f>
        <v>U</v>
      </c>
      <c r="C24">
        <f>IF('Raw Data'!C24="","",'Raw Data'!C24)</f>
        <v>2</v>
      </c>
      <c r="D24">
        <f>IF('Raw Data'!D24="","",'Raw Data'!D24)</f>
        <v>2.5</v>
      </c>
      <c r="E24">
        <f>IF('Raw Data'!E24="","",'Raw Data'!E24)</f>
        <v>15</v>
      </c>
      <c r="F24">
        <f>IF('Raw Data'!F24="","",'Raw Data'!F24)</f>
        <v>6</v>
      </c>
      <c r="G24" s="7" t="str">
        <f>IF('Raw Data'!G24="","",SUBSTITUTE('Raw Data'!G24," ",":",1))</f>
        <v>148</v>
      </c>
      <c r="H24" s="7" t="str">
        <f>IF('Raw Data'!H24="","",SUBSTITUTE('Raw Data'!H24," ",":",1))</f>
        <v>-</v>
      </c>
      <c r="I24" s="7" t="str">
        <f>IF('Raw Data'!I24="","",SUBSTITUTE('Raw Data'!I24," ",":",1))</f>
        <v>148</v>
      </c>
      <c r="J24" s="8">
        <f>IF('Raw Data'!J24="","",IF(LEN(K24)&gt;6,SQRT('Raw Data'!J24^2+N24^2),'Raw Data'!J24))</f>
        <v>49.029480927295161</v>
      </c>
      <c r="K24" s="7" t="str">
        <f>IF('Raw Data'!K24="","",IF(LEN('Raw Data'!K24)&lt;7,SUBSTITUTE('Raw Data'!K24," ",":",1),'Raw Data'!K24))</f>
        <v>fall of 1.7 feet</v>
      </c>
      <c r="L24" t="str">
        <f>IF('Raw Data'!L24="","",'Raw Data'!L24)</f>
        <v/>
      </c>
      <c r="M24">
        <f>IF('Raw Data'!M24="","",'Raw Data'!M24)</f>
        <v>49</v>
      </c>
      <c r="N24">
        <f>IF('Raw Data'!N24="","",IF('Raw Data'!N24="-",0,'Raw Data'!N24))</f>
        <v>-1.7</v>
      </c>
      <c r="O24">
        <f>IF('Raw Data'!O24="","",'Raw Data'!O24)</f>
        <v>-22.9</v>
      </c>
      <c r="P24" t="str">
        <f>IF('Raw Data'!P24="","",'Raw Data'!P24)</f>
        <v/>
      </c>
      <c r="Q24" t="str">
        <f t="shared" si="0"/>
        <v xml:space="preserve"> </v>
      </c>
      <c r="R24" s="3">
        <f t="shared" si="2"/>
        <v>148</v>
      </c>
      <c r="S24" s="3" t="str">
        <f t="shared" si="3"/>
        <v>-</v>
      </c>
      <c r="T24" s="3">
        <f t="shared" si="4"/>
        <v>148</v>
      </c>
      <c r="U24" s="12">
        <f>ASIN(N24/J24)*180/PI()</f>
        <v>-1.987015780474414</v>
      </c>
      <c r="W24" s="4">
        <f t="shared" si="9"/>
        <v>49</v>
      </c>
      <c r="X24" s="4">
        <f t="shared" si="10"/>
        <v>-1.7</v>
      </c>
      <c r="Y24" s="3">
        <f t="shared" si="7"/>
        <v>148</v>
      </c>
    </row>
    <row r="25" spans="1:25" x14ac:dyDescent="0.25">
      <c r="A25" t="str">
        <f>IF('Raw Data'!A25="","",'Raw Data'!A25)</f>
        <v>U</v>
      </c>
      <c r="B25" t="str">
        <f>IF('Raw Data'!B25="","",'Raw Data'!B25)</f>
        <v/>
      </c>
      <c r="C25">
        <f>IF('Raw Data'!C25="","",'Raw Data'!C25)</f>
        <v>1.5</v>
      </c>
      <c r="D25">
        <f>IF('Raw Data'!D25="","",'Raw Data'!D25)</f>
        <v>1.5</v>
      </c>
      <c r="E25" t="str">
        <f>IF('Raw Data'!E25="","",'Raw Data'!E25)</f>
        <v/>
      </c>
      <c r="F25" t="str">
        <f>IF('Raw Data'!F25="","",'Raw Data'!F25)</f>
        <v/>
      </c>
      <c r="G25" s="7" t="str">
        <f>IF('Raw Data'!G25="","",SUBSTITUTE('Raw Data'!G25," ",":",1))</f>
        <v/>
      </c>
      <c r="H25" s="7" t="str">
        <f>IF('Raw Data'!H25="","",SUBSTITUTE('Raw Data'!H25," ",":",1))</f>
        <v/>
      </c>
      <c r="I25" s="7" t="str">
        <f>IF('Raw Data'!I25="","",SUBSTITUTE('Raw Data'!I25," ",":",1))</f>
        <v/>
      </c>
      <c r="J25" s="8" t="str">
        <f>IF('Raw Data'!J25="","",IF(LEN(K25)&gt;6,SQRT('Raw Data'!J25^2+N25^2),'Raw Data'!J25))</f>
        <v/>
      </c>
      <c r="K25" s="7" t="str">
        <f>IF('Raw Data'!K25="","",IF(LEN('Raw Data'!K25)&lt;7,SUBSTITUTE('Raw Data'!K25," ",":",1),'Raw Data'!K25))</f>
        <v/>
      </c>
      <c r="L25" t="str">
        <f>IF('Raw Data'!L25="","",'Raw Data'!L25)</f>
        <v/>
      </c>
      <c r="M25" t="str">
        <f>IF('Raw Data'!M25="","",'Raw Data'!M25)</f>
        <v/>
      </c>
      <c r="N25" t="str">
        <f>IF('Raw Data'!N25="","",IF('Raw Data'!N25="-",0,'Raw Data'!N25))</f>
        <v/>
      </c>
      <c r="O25">
        <f>IF('Raw Data'!O25="","",'Raw Data'!O25)</f>
        <v>-24.6</v>
      </c>
      <c r="P25" t="str">
        <f>IF('Raw Data'!P25="","",'Raw Data'!P25)</f>
        <v>Bearls (sp.?) seen here.    Total = 650'</v>
      </c>
      <c r="Q25" t="str">
        <f t="shared" si="0"/>
        <v xml:space="preserve"> </v>
      </c>
      <c r="W25" s="4"/>
      <c r="X25" s="4"/>
      <c r="Y25" s="3">
        <f t="shared" si="7"/>
        <v>0</v>
      </c>
    </row>
    <row r="26" spans="1:25" x14ac:dyDescent="0.25">
      <c r="A26" t="str">
        <f>IF('Raw Data'!A26="","",'Raw Data'!A26)</f>
        <v>A1</v>
      </c>
      <c r="B26" t="str">
        <f>IF('Raw Data'!B26="","",'Raw Data'!B26)</f>
        <v>B1</v>
      </c>
      <c r="C26" t="str">
        <f>IF('Raw Data'!C26="","",'Raw Data'!C26)</f>
        <v>-</v>
      </c>
      <c r="D26">
        <f>IF('Raw Data'!D26="","",'Raw Data'!D26)</f>
        <v>1</v>
      </c>
      <c r="E26">
        <f>IF('Raw Data'!E26="","",'Raw Data'!E26)</f>
        <v>1</v>
      </c>
      <c r="F26">
        <f>IF('Raw Data'!F26="","",'Raw Data'!F26)</f>
        <v>0.5</v>
      </c>
      <c r="G26" s="7" t="str">
        <f>IF('Raw Data'!G26="","",SUBSTITUTE('Raw Data'!G26," ",":",1))</f>
        <v>-</v>
      </c>
      <c r="H26" s="7" t="str">
        <f>IF('Raw Data'!H26="","",SUBSTITUTE('Raw Data'!H26," ",":",1))</f>
        <v>326</v>
      </c>
      <c r="I26" s="7" t="str">
        <f>IF('Raw Data'!I26="","",SUBSTITUTE('Raw Data'!I26," ",":",1))</f>
        <v>146</v>
      </c>
      <c r="J26" s="8">
        <f>IF('Raw Data'!J26="","",IF(LEN(K26)&gt;6,SQRT('Raw Data'!J26^2+N26^2),'Raw Data'!J26))</f>
        <v>30.4</v>
      </c>
      <c r="K26" s="7" t="str">
        <f>IF('Raw Data'!K26="","",IF(LEN('Raw Data'!K26)&lt;7,SUBSTITUTE('Raw Data'!K26," ",":",1),'Raw Data'!K26))</f>
        <v>level</v>
      </c>
      <c r="L26" t="str">
        <f>IF('Raw Data'!L26="","",'Raw Data'!L26)</f>
        <v/>
      </c>
      <c r="M26">
        <f>IF('Raw Data'!M26="","",'Raw Data'!M26)</f>
        <v>30.4</v>
      </c>
      <c r="N26">
        <f>IF('Raw Data'!N26="","",IF('Raw Data'!N26="-",0,'Raw Data'!N26))</f>
        <v>0</v>
      </c>
      <c r="O26" t="str">
        <f>IF('Raw Data'!O26="","",'Raw Data'!O26)</f>
        <v/>
      </c>
      <c r="P26" t="str">
        <f>IF('Raw Data'!P26="","",'Raw Data'!P26)</f>
        <v>A1 is far end of "Priddy Green" passage. At choke</v>
      </c>
      <c r="Q26" t="str">
        <f t="shared" si="0"/>
        <v xml:space="preserve"> </v>
      </c>
      <c r="R26" s="3" t="str">
        <f t="shared" si="2"/>
        <v>-</v>
      </c>
      <c r="S26" s="3">
        <f t="shared" si="3"/>
        <v>326</v>
      </c>
      <c r="T26" s="3">
        <f t="shared" si="4"/>
        <v>146</v>
      </c>
      <c r="U26" s="12">
        <f>ASIN(N26/J26)*180/PI()</f>
        <v>0</v>
      </c>
      <c r="W26" s="4">
        <f t="shared" si="9"/>
        <v>30.4</v>
      </c>
      <c r="X26" s="4">
        <f t="shared" si="10"/>
        <v>0</v>
      </c>
      <c r="Y26" s="3">
        <f t="shared" si="7"/>
        <v>146</v>
      </c>
    </row>
    <row r="27" spans="1:25" x14ac:dyDescent="0.25">
      <c r="A27" t="str">
        <f>IF('Raw Data'!A27="","",'Raw Data'!A27)</f>
        <v>B1</v>
      </c>
      <c r="B27" t="str">
        <f>IF('Raw Data'!B27="","",'Raw Data'!B27)</f>
        <v>C1</v>
      </c>
      <c r="C27">
        <f>IF('Raw Data'!C27="","",'Raw Data'!C27)</f>
        <v>4</v>
      </c>
      <c r="D27">
        <f>IF('Raw Data'!D27="","",'Raw Data'!D27)</f>
        <v>1</v>
      </c>
      <c r="E27">
        <f>IF('Raw Data'!E27="","",'Raw Data'!E27)</f>
        <v>10</v>
      </c>
      <c r="F27">
        <f>IF('Raw Data'!F27="","",'Raw Data'!F27)</f>
        <v>2</v>
      </c>
      <c r="G27" s="7" t="str">
        <f>IF('Raw Data'!G27="","",SUBSTITUTE('Raw Data'!G27," ",":",1))</f>
        <v>248</v>
      </c>
      <c r="H27" s="7" t="str">
        <f>IF('Raw Data'!H27="","",SUBSTITUTE('Raw Data'!H27," ",":",1))</f>
        <v>-</v>
      </c>
      <c r="I27" s="7" t="str">
        <f>IF('Raw Data'!I27="","",SUBSTITUTE('Raw Data'!I27," ",":",1))</f>
        <v>248</v>
      </c>
      <c r="J27" s="8">
        <f>IF('Raw Data'!J27="","",IF(LEN(K27)&gt;6,SQRT('Raw Data'!J27^2+N27^2),'Raw Data'!J27))</f>
        <v>37.5</v>
      </c>
      <c r="K27" s="7" t="str">
        <f>IF('Raw Data'!K27="","",IF(LEN('Raw Data'!K27)&lt;7,SUBSTITUTE('Raw Data'!K27," ",":",1),'Raw Data'!K27))</f>
        <v>-6</v>
      </c>
      <c r="L27" t="str">
        <f>IF('Raw Data'!L27="","",'Raw Data'!L27)</f>
        <v/>
      </c>
      <c r="M27">
        <f>IF('Raw Data'!M27="","",'Raw Data'!M27)</f>
        <v>37.299999999999997</v>
      </c>
      <c r="N27">
        <f>IF('Raw Data'!N27="","",IF('Raw Data'!N27="-",0,'Raw Data'!N27))</f>
        <v>-3.9</v>
      </c>
      <c r="O27">
        <f>IF('Raw Data'!O27="","",'Raw Data'!O27)</f>
        <v>11</v>
      </c>
      <c r="P27" t="str">
        <f>IF('Raw Data'!P27="","",'Raw Data'!P27)</f>
        <v>B1 is ent to P.G. pass, above stalagmite keloid (sp.?)</v>
      </c>
      <c r="Q27" t="str">
        <f t="shared" si="0"/>
        <v xml:space="preserve"> </v>
      </c>
      <c r="R27" s="3">
        <f t="shared" si="2"/>
        <v>248</v>
      </c>
      <c r="S27" s="3" t="str">
        <f t="shared" si="3"/>
        <v>-</v>
      </c>
      <c r="T27" s="3">
        <f t="shared" si="4"/>
        <v>248</v>
      </c>
      <c r="U27" s="3" t="str">
        <f t="shared" ref="U27" si="15">IF(ISERROR(FIND(":",K27)),K27,1*CONCATENATE(LEFT(K27,FIND(":",K27)-1),".",MID(RIGHT(K27,LEN(K27)-FIND(":",K27))/60,3,8)))</f>
        <v>-6</v>
      </c>
      <c r="W27" s="4">
        <f t="shared" si="9"/>
        <v>37.294571076310248</v>
      </c>
      <c r="X27" s="4">
        <f t="shared" si="10"/>
        <v>-3.9198173725370045</v>
      </c>
      <c r="Y27" s="3">
        <f t="shared" si="7"/>
        <v>248</v>
      </c>
    </row>
    <row r="28" spans="1:25" x14ac:dyDescent="0.25">
      <c r="A28" t="str">
        <f>IF('Raw Data'!A28="","",'Raw Data'!A28)</f>
        <v/>
      </c>
      <c r="B28" t="str">
        <f>IF('Raw Data'!B28="","",'Raw Data'!B28)</f>
        <v/>
      </c>
      <c r="C28" t="str">
        <f>IF('Raw Data'!C28="","",'Raw Data'!C28)</f>
        <v/>
      </c>
      <c r="D28" t="str">
        <f>IF('Raw Data'!D28="","",'Raw Data'!D28)</f>
        <v/>
      </c>
      <c r="E28" t="str">
        <f>IF('Raw Data'!E28="","",'Raw Data'!E28)</f>
        <v/>
      </c>
      <c r="F28" t="str">
        <f>IF('Raw Data'!F28="","",'Raw Data'!F28)</f>
        <v/>
      </c>
      <c r="G28" s="7" t="str">
        <f>IF('Raw Data'!G28="","",SUBSTITUTE('Raw Data'!G28," ",":",1))</f>
        <v/>
      </c>
      <c r="H28" s="7" t="str">
        <f>IF('Raw Data'!H28="","",SUBSTITUTE('Raw Data'!H28," ",":",1))</f>
        <v/>
      </c>
      <c r="I28" s="7" t="str">
        <f>IF('Raw Data'!I28="","",SUBSTITUTE('Raw Data'!I28," ",":",1))</f>
        <v/>
      </c>
      <c r="J28" s="8" t="str">
        <f>IF('Raw Data'!J28="","",IF(LEN(K28)&gt;6,SQRT('Raw Data'!J28^2+N28^2),'Raw Data'!J28))</f>
        <v/>
      </c>
      <c r="K28" s="7" t="str">
        <f>IF('Raw Data'!K28="","",IF(LEN('Raw Data'!K28)&lt;7,SUBSTITUTE('Raw Data'!K28," ",":",1),'Raw Data'!K28))</f>
        <v/>
      </c>
      <c r="L28" t="str">
        <f>IF('Raw Data'!L28="","",'Raw Data'!L28)</f>
        <v/>
      </c>
      <c r="M28" t="str">
        <f>IF('Raw Data'!M28="","",'Raw Data'!M28)</f>
        <v/>
      </c>
      <c r="N28" t="str">
        <f>IF('Raw Data'!N28="","",IF('Raw Data'!N28="-",0,'Raw Data'!N28))</f>
        <v/>
      </c>
      <c r="O28" t="str">
        <f>IF('Raw Data'!O28="","",'Raw Data'!O28)</f>
        <v/>
      </c>
      <c r="P28" t="str">
        <f>IF('Raw Data'!P28="","",'Raw Data'!P28)</f>
        <v/>
      </c>
      <c r="Q28" t="str">
        <f t="shared" si="0"/>
        <v xml:space="preserve"> </v>
      </c>
      <c r="W28" s="4"/>
      <c r="X28" s="4"/>
      <c r="Y28" s="3"/>
    </row>
    <row r="29" spans="1:25" x14ac:dyDescent="0.25">
      <c r="A29" t="str">
        <f>IF('Raw Data'!A29="","",'Raw Data'!A29)</f>
        <v>5th August 1951</v>
      </c>
      <c r="B29" t="str">
        <f>IF('Raw Data'!B29="","",'Raw Data'!B29)</f>
        <v/>
      </c>
      <c r="C29" t="str">
        <f>IF('Raw Data'!C29="","",'Raw Data'!C29)</f>
        <v/>
      </c>
      <c r="D29" t="str">
        <f>IF('Raw Data'!D29="","",'Raw Data'!D29)</f>
        <v/>
      </c>
      <c r="E29" t="str">
        <f>IF('Raw Data'!E29="","",'Raw Data'!E29)</f>
        <v/>
      </c>
      <c r="F29" t="str">
        <f>IF('Raw Data'!F29="","",'Raw Data'!F29)</f>
        <v/>
      </c>
      <c r="G29" s="7" t="str">
        <f>IF('Raw Data'!G29="","",SUBSTITUTE('Raw Data'!G29," ",":",1))</f>
        <v/>
      </c>
      <c r="H29" s="7" t="str">
        <f>IF('Raw Data'!H29="","",SUBSTITUTE('Raw Data'!H29," ",":",1))</f>
        <v/>
      </c>
      <c r="I29" s="7" t="str">
        <f>IF('Raw Data'!I29="","",SUBSTITUTE('Raw Data'!I29," ",":",1))</f>
        <v/>
      </c>
      <c r="J29" s="8" t="str">
        <f>IF('Raw Data'!J29="","",IF(LEN(K29)&gt;6,SQRT('Raw Data'!J29^2+N29^2),'Raw Data'!J29))</f>
        <v/>
      </c>
      <c r="K29" s="7" t="str">
        <f>IF('Raw Data'!K29="","",IF(LEN('Raw Data'!K29)&lt;7,SUBSTITUTE('Raw Data'!K29," ",":",1),'Raw Data'!K29))</f>
        <v/>
      </c>
      <c r="L29" t="str">
        <f>IF('Raw Data'!L29="","",'Raw Data'!L29)</f>
        <v/>
      </c>
      <c r="M29" t="str">
        <f>IF('Raw Data'!M29="","",'Raw Data'!M29)</f>
        <v/>
      </c>
      <c r="N29" t="str">
        <f>IF('Raw Data'!N29="","",IF('Raw Data'!N29="-",0,'Raw Data'!N29))</f>
        <v/>
      </c>
      <c r="O29" t="str">
        <f>IF('Raw Data'!O29="","",'Raw Data'!O29)</f>
        <v/>
      </c>
      <c r="P29" t="str">
        <f>IF('Raw Data'!P29="","",'Raw Data'!P29)</f>
        <v/>
      </c>
      <c r="Q29" t="str">
        <f t="shared" si="0"/>
        <v xml:space="preserve"> </v>
      </c>
      <c r="W29" s="4"/>
      <c r="X29" s="4"/>
      <c r="Y29" s="3"/>
    </row>
    <row r="30" spans="1:25" x14ac:dyDescent="0.25">
      <c r="A30" t="str">
        <f>IF('Raw Data'!A30="","",'Raw Data'!A30)</f>
        <v>C1</v>
      </c>
      <c r="B30" t="str">
        <f>IF('Raw Data'!B30="","",'Raw Data'!B30)</f>
        <v>D1</v>
      </c>
      <c r="C30">
        <f>IF('Raw Data'!C30="","",'Raw Data'!C30)</f>
        <v>5</v>
      </c>
      <c r="D30">
        <f>IF('Raw Data'!D30="","",'Raw Data'!D30)</f>
        <v>6</v>
      </c>
      <c r="E30">
        <f>IF('Raw Data'!E30="","",'Raw Data'!E30)</f>
        <v>15</v>
      </c>
      <c r="F30">
        <f>IF('Raw Data'!F30="","",'Raw Data'!F30)</f>
        <v>4</v>
      </c>
      <c r="G30" s="7" t="str">
        <f>IF('Raw Data'!G30="","",SUBSTITUTE('Raw Data'!G30," ",":",1))</f>
        <v>-</v>
      </c>
      <c r="H30" s="7" t="str">
        <f>IF('Raw Data'!H30="","",SUBSTITUTE('Raw Data'!H30," ",":",1))</f>
        <v>85</v>
      </c>
      <c r="I30" s="7" t="str">
        <f>IF('Raw Data'!I30="","",SUBSTITUTE('Raw Data'!I30," ",":",1))</f>
        <v>265</v>
      </c>
      <c r="J30" s="8">
        <f>IF('Raw Data'!J30="","",IF(LEN(K30)&gt;6,SQRT('Raw Data'!J30^2+N30^2),'Raw Data'!J30))</f>
        <v>11.8</v>
      </c>
      <c r="K30" s="7" t="str">
        <f>IF('Raw Data'!K30="","",IF(LEN('Raw Data'!K30)&lt;7,SUBSTITUTE('Raw Data'!K30," ",":",1),'Raw Data'!K30))</f>
        <v>-24</v>
      </c>
      <c r="L30" t="str">
        <f>IF('Raw Data'!L30="","",'Raw Data'!L30)</f>
        <v/>
      </c>
      <c r="M30">
        <f>IF('Raw Data'!M30="","",'Raw Data'!M30)</f>
        <v>10.8</v>
      </c>
      <c r="N30">
        <f>IF('Raw Data'!N30="","",IF('Raw Data'!N30="-",0,'Raw Data'!N30))</f>
        <v>-4.8</v>
      </c>
      <c r="O30">
        <f>IF('Raw Data'!O30="","",'Raw Data'!O30)</f>
        <v>7.1</v>
      </c>
      <c r="P30" t="str">
        <f>IF('Raw Data'!P30="","",'Raw Data'!P30)</f>
        <v>On rocky bank.</v>
      </c>
      <c r="Q30" t="str">
        <f t="shared" si="0"/>
        <v xml:space="preserve"> </v>
      </c>
      <c r="R30" s="3" t="str">
        <f t="shared" ref="R28:R30" si="16">IF(ISERROR(FIND(":",G30)),IF(G30&lt;&gt;"-",1*G30,G30),1*LEFT(G30,FIND(":",G30)-1)+RIGHT(G30,LEN(G30)-FIND(":",G30))/60)</f>
        <v>-</v>
      </c>
      <c r="S30" s="3">
        <f t="shared" ref="S28:S30" si="17">IF(ISERROR(FIND(":",H30)),IF(H30&lt;&gt;"-",1*H30,H30),1*LEFT(H30,FIND(":",H30)-1)+RIGHT(H30,LEN(H30)-FIND(":",H30))/60)</f>
        <v>85</v>
      </c>
      <c r="T30" s="3">
        <f t="shared" ref="T28:T30" si="18">IF(ISERROR(FIND(":",I30)),IF(I30&lt;&gt;"-",1*I30,I30),1*LEFT(I30,FIND(":",I30)-1)+RIGHT(I30,LEN(I30)-FIND(":",I30))/60)</f>
        <v>265</v>
      </c>
      <c r="U30" s="3" t="str">
        <f t="shared" ref="U30" si="19">IF(ISERROR(FIND(":",K30)),K30,1*CONCATENATE(LEFT(K30,FIND(":",K30)-1),".",MID(RIGHT(K30,LEN(K30)-FIND(":",K30))/60,3,8)))</f>
        <v>-24</v>
      </c>
      <c r="W30" s="4">
        <f t="shared" si="9"/>
        <v>10.77983640018269</v>
      </c>
      <c r="X30" s="4">
        <f t="shared" si="10"/>
        <v>-4.7994923882944418</v>
      </c>
      <c r="Y30" s="3">
        <f t="shared" si="7"/>
        <v>265</v>
      </c>
    </row>
    <row r="31" spans="1:25" x14ac:dyDescent="0.25">
      <c r="A31" t="str">
        <f>IF('Raw Data'!A31="","",'Raw Data'!A31)</f>
        <v>D1</v>
      </c>
      <c r="B31" t="str">
        <f>IF('Raw Data'!B31="","",'Raw Data'!B31)</f>
        <v>A</v>
      </c>
      <c r="C31">
        <f>IF('Raw Data'!C31="","",'Raw Data'!C31)</f>
        <v>2</v>
      </c>
      <c r="D31">
        <f>IF('Raw Data'!D31="","",'Raw Data'!D31)</f>
        <v>2.2999999999999998</v>
      </c>
      <c r="E31">
        <f>IF('Raw Data'!E31="","",'Raw Data'!E31)</f>
        <v>10</v>
      </c>
      <c r="F31">
        <f>IF('Raw Data'!F31="","",'Raw Data'!F31)</f>
        <v>4</v>
      </c>
      <c r="G31" s="7" t="str">
        <f>IF('Raw Data'!G31="","",SUBSTITUTE('Raw Data'!G31," ",":",1))</f>
        <v>251</v>
      </c>
      <c r="H31" s="7" t="str">
        <f>IF('Raw Data'!H31="","",SUBSTITUTE('Raw Data'!H31," ",":",1))</f>
        <v>-</v>
      </c>
      <c r="I31" s="7" t="str">
        <f>IF('Raw Data'!I31="","",SUBSTITUTE('Raw Data'!I31," ",":",1))</f>
        <v>251</v>
      </c>
      <c r="J31" s="8">
        <f>IF('Raw Data'!J31="","",IF(LEN(K31)&gt;6,SQRT('Raw Data'!J31^2+N31^2),'Raw Data'!J31))</f>
        <v>36.87180494632721</v>
      </c>
      <c r="K31" s="7" t="str">
        <f>IF('Raw Data'!K31="","",IF(LEN('Raw Data'!K31)&lt;7,SUBSTITUTE('Raw Data'!K31," ",":",1),'Raw Data'!K31))</f>
        <v>water level</v>
      </c>
      <c r="L31" t="str">
        <f>IF('Raw Data'!L31="","",'Raw Data'!L31)</f>
        <v/>
      </c>
      <c r="M31">
        <f>IF('Raw Data'!M31="","",'Raw Data'!M31)</f>
        <v>36.6</v>
      </c>
      <c r="N31">
        <f>IF('Raw Data'!N31="","",IF('Raw Data'!N31="-",0,'Raw Data'!N31))</f>
        <v>-2.2999999999999998</v>
      </c>
      <c r="O31">
        <f>IF('Raw Data'!O31="","",'Raw Data'!O31)</f>
        <v>2.2999999999999998</v>
      </c>
      <c r="P31" t="str">
        <f>IF('Raw Data'!P31="","",'Raw Data'!P31)</f>
        <v>D1 to near side of Sump I 11.8'. D1 to far side of Sump I 18'. D1 is in pool at stake for cable.</v>
      </c>
      <c r="Q31" t="str">
        <f t="shared" si="0"/>
        <v xml:space="preserve"> </v>
      </c>
      <c r="R31" s="3">
        <f t="shared" ref="R31:R35" si="20">IF(ISERROR(FIND(":",G31)),IF(G31&lt;&gt;"-",1*G31,G31),1*LEFT(G31,FIND(":",G31)-1)+RIGHT(G31,LEN(G31)-FIND(":",G31))/60)</f>
        <v>251</v>
      </c>
      <c r="S31" s="3" t="str">
        <f t="shared" ref="S31:S35" si="21">IF(ISERROR(FIND(":",H31)),IF(H31&lt;&gt;"-",1*H31,H31),1*LEFT(H31,FIND(":",H31)-1)+RIGHT(H31,LEN(H31)-FIND(":",H31))/60)</f>
        <v>-</v>
      </c>
      <c r="T31" s="3">
        <f t="shared" ref="T31:T35" si="22">IF(ISERROR(FIND(":",I31)),IF(I31&lt;&gt;"-",1*I31,I31),1*LEFT(I31,FIND(":",I31)-1)+RIGHT(I31,LEN(I31)-FIND(":",I31))/60)</f>
        <v>251</v>
      </c>
      <c r="U31" s="12">
        <f t="shared" ref="U31:U35" si="23">ASIN(N31/J31)*180/PI()</f>
        <v>-3.576334374997352</v>
      </c>
      <c r="W31" s="4">
        <f t="shared" si="9"/>
        <v>36.799999999999997</v>
      </c>
      <c r="X31" s="4">
        <f t="shared" si="10"/>
        <v>-2.3000000000000003</v>
      </c>
      <c r="Y31" s="3">
        <f t="shared" si="7"/>
        <v>251</v>
      </c>
    </row>
    <row r="32" spans="1:25" x14ac:dyDescent="0.25">
      <c r="A32" t="str">
        <f>IF('Raw Data'!A32="","",'Raw Data'!A32)</f>
        <v>U</v>
      </c>
      <c r="B32" t="str">
        <f>IF('Raw Data'!B32="","",'Raw Data'!B32)</f>
        <v>V</v>
      </c>
      <c r="C32">
        <f>IF('Raw Data'!C32="","",'Raw Data'!C32)</f>
        <v>1.5</v>
      </c>
      <c r="D32">
        <f>IF('Raw Data'!D32="","",'Raw Data'!D32)</f>
        <v>1.5</v>
      </c>
      <c r="E32">
        <f>IF('Raw Data'!E32="","",'Raw Data'!E32)</f>
        <v>2.5</v>
      </c>
      <c r="F32">
        <f>IF('Raw Data'!F32="","",'Raw Data'!F32)</f>
        <v>15</v>
      </c>
      <c r="G32" s="7" t="str">
        <f>IF('Raw Data'!G32="","",SUBSTITUTE('Raw Data'!G32," ",":",1))</f>
        <v>-</v>
      </c>
      <c r="H32" s="7" t="str">
        <f>IF('Raw Data'!H32="","",SUBSTITUTE('Raw Data'!H32," ",":",1))</f>
        <v>6:30</v>
      </c>
      <c r="I32" s="7" t="str">
        <f>IF('Raw Data'!I32="","",SUBSTITUTE('Raw Data'!I32," ",":",1))</f>
        <v>186:30</v>
      </c>
      <c r="J32" s="8">
        <f>IF('Raw Data'!J32="","",IF(LEN(K32)&gt;6,SQRT('Raw Data'!J32^2+N32^2),'Raw Data'!J32))</f>
        <v>29</v>
      </c>
      <c r="K32" s="7" t="str">
        <f>IF('Raw Data'!K32="","",IF(LEN('Raw Data'!K32)&lt;7,SUBSTITUTE('Raw Data'!K32," ",":",1),'Raw Data'!K32))</f>
        <v>water level</v>
      </c>
      <c r="L32" t="str">
        <f>IF('Raw Data'!L32="","",'Raw Data'!L32)</f>
        <v/>
      </c>
      <c r="M32">
        <f>IF('Raw Data'!M32="","",'Raw Data'!M32)</f>
        <v>29</v>
      </c>
      <c r="N32">
        <f>IF('Raw Data'!N32="","",IF('Raw Data'!N32="-",0,'Raw Data'!N32))</f>
        <v>0</v>
      </c>
      <c r="O32">
        <f>IF('Raw Data'!O32="","",'Raw Data'!O32)</f>
        <v>-24.6</v>
      </c>
      <c r="P32" t="str">
        <f>IF('Raw Data'!P32="","",'Raw Data'!P32)</f>
        <v>Lake begins as 10'. (Little sketch)</v>
      </c>
      <c r="Q32" t="str">
        <f t="shared" si="0"/>
        <v xml:space="preserve"> </v>
      </c>
      <c r="R32" s="3" t="str">
        <f t="shared" si="20"/>
        <v>-</v>
      </c>
      <c r="S32" s="3">
        <f t="shared" si="21"/>
        <v>6.5</v>
      </c>
      <c r="T32" s="3">
        <f t="shared" si="22"/>
        <v>186.5</v>
      </c>
      <c r="U32" s="12">
        <f t="shared" si="23"/>
        <v>0</v>
      </c>
      <c r="W32" s="4">
        <f t="shared" si="9"/>
        <v>29</v>
      </c>
      <c r="X32" s="4">
        <f t="shared" si="10"/>
        <v>0</v>
      </c>
      <c r="Y32" s="3">
        <f t="shared" si="7"/>
        <v>186.5</v>
      </c>
    </row>
    <row r="33" spans="1:25" x14ac:dyDescent="0.25">
      <c r="A33" t="str">
        <f>IF('Raw Data'!A33="","",'Raw Data'!A33)</f>
        <v>V</v>
      </c>
      <c r="B33" t="str">
        <f>IF('Raw Data'!B33="","",'Raw Data'!B33)</f>
        <v>W</v>
      </c>
      <c r="C33">
        <f>IF('Raw Data'!C33="","",'Raw Data'!C33)</f>
        <v>15</v>
      </c>
      <c r="D33" t="str">
        <f>IF('Raw Data'!D33="","",'Raw Data'!D33)</f>
        <v>-</v>
      </c>
      <c r="E33">
        <f>IF('Raw Data'!E33="","",'Raw Data'!E33)</f>
        <v>2</v>
      </c>
      <c r="F33">
        <f>IF('Raw Data'!F33="","",'Raw Data'!F33)</f>
        <v>4</v>
      </c>
      <c r="G33" s="7" t="str">
        <f>IF('Raw Data'!G33="","",SUBSTITUTE('Raw Data'!G33," ",":",1))</f>
        <v>141:30</v>
      </c>
      <c r="H33" s="7" t="str">
        <f>IF('Raw Data'!H33="","",SUBSTITUTE('Raw Data'!H33," ",":",1))</f>
        <v>-</v>
      </c>
      <c r="I33" s="7" t="str">
        <f>IF('Raw Data'!I33="","",SUBSTITUTE('Raw Data'!I33," ",":",1))</f>
        <v>141:30</v>
      </c>
      <c r="J33" s="8">
        <f>IF('Raw Data'!J33="","",IF(LEN(K33)&gt;6,SQRT('Raw Data'!J33^2+N33^2),'Raw Data'!J33))</f>
        <v>33.799999999999997</v>
      </c>
      <c r="K33" s="7" t="str">
        <f>IF('Raw Data'!K33="","",IF(LEN('Raw Data'!K33)&lt;7,SUBSTITUTE('Raw Data'!K33," ",":",1),'Raw Data'!K33))</f>
        <v>water level</v>
      </c>
      <c r="L33" t="str">
        <f>IF('Raw Data'!L33="","",'Raw Data'!L33)</f>
        <v/>
      </c>
      <c r="M33">
        <f>IF('Raw Data'!M33="","",'Raw Data'!M33)</f>
        <v>33.799999999999997</v>
      </c>
      <c r="N33">
        <f>IF('Raw Data'!N33="","",IF('Raw Data'!N33="-",0,'Raw Data'!N33))</f>
        <v>0</v>
      </c>
      <c r="O33">
        <f>IF('Raw Data'!O33="","",'Raw Data'!O33)</f>
        <v>-26.1</v>
      </c>
      <c r="P33" t="str">
        <f>IF('Raw Data'!P33="","",'Raw Data'!P33)</f>
        <v>Lake</v>
      </c>
      <c r="Q33" t="str">
        <f t="shared" si="0"/>
        <v xml:space="preserve"> </v>
      </c>
      <c r="R33" s="3">
        <f t="shared" si="20"/>
        <v>141.5</v>
      </c>
      <c r="S33" s="3" t="str">
        <f t="shared" si="21"/>
        <v>-</v>
      </c>
      <c r="T33" s="3">
        <f t="shared" si="22"/>
        <v>141.5</v>
      </c>
      <c r="U33" s="12">
        <f t="shared" si="23"/>
        <v>0</v>
      </c>
      <c r="W33" s="4">
        <f t="shared" si="9"/>
        <v>33.799999999999997</v>
      </c>
      <c r="X33" s="4">
        <f t="shared" si="10"/>
        <v>0</v>
      </c>
      <c r="Y33" s="3">
        <f t="shared" si="7"/>
        <v>141.5</v>
      </c>
    </row>
    <row r="34" spans="1:25" x14ac:dyDescent="0.25">
      <c r="A34" t="str">
        <f>IF('Raw Data'!A34="","",'Raw Data'!A34)</f>
        <v>W</v>
      </c>
      <c r="B34" t="str">
        <f>IF('Raw Data'!B34="","",'Raw Data'!B34)</f>
        <v>X</v>
      </c>
      <c r="C34">
        <f>IF('Raw Data'!C34="","",'Raw Data'!C34)</f>
        <v>4</v>
      </c>
      <c r="D34" t="str">
        <f>IF('Raw Data'!D34="","",'Raw Data'!D34)</f>
        <v>-</v>
      </c>
      <c r="E34">
        <f>IF('Raw Data'!E34="","",'Raw Data'!E34)</f>
        <v>0.5</v>
      </c>
      <c r="F34">
        <f>IF('Raw Data'!F34="","",'Raw Data'!F34)</f>
        <v>8</v>
      </c>
      <c r="G34" s="7" t="str">
        <f>IF('Raw Data'!G34="","",SUBSTITUTE('Raw Data'!G34," ",":",1))</f>
        <v>132:10</v>
      </c>
      <c r="H34" s="7" t="str">
        <f>IF('Raw Data'!H34="","",SUBSTITUTE('Raw Data'!H34," ",":",1))</f>
        <v>-</v>
      </c>
      <c r="I34" s="7" t="str">
        <f>IF('Raw Data'!I34="","",SUBSTITUTE('Raw Data'!I34," ",":",1))</f>
        <v>132:10</v>
      </c>
      <c r="J34" s="8">
        <f>IF('Raw Data'!J34="","",IF(LEN(K34)&gt;6,SQRT('Raw Data'!J34^2+N34^2),'Raw Data'!J34))</f>
        <v>47</v>
      </c>
      <c r="K34" s="7" t="str">
        <f>IF('Raw Data'!K34="","",IF(LEN('Raw Data'!K34)&lt;7,SUBSTITUTE('Raw Data'!K34," ",":",1),'Raw Data'!K34))</f>
        <v>water level</v>
      </c>
      <c r="L34" t="str">
        <f>IF('Raw Data'!L34="","",'Raw Data'!L34)</f>
        <v/>
      </c>
      <c r="M34">
        <f>IF('Raw Data'!M34="","",'Raw Data'!M34)</f>
        <v>47</v>
      </c>
      <c r="N34">
        <f>IF('Raw Data'!N34="","",IF('Raw Data'!N34="-",0,'Raw Data'!N34))</f>
        <v>0</v>
      </c>
      <c r="O34">
        <f>IF('Raw Data'!O34="","",'Raw Data'!O34)</f>
        <v>-26.1</v>
      </c>
      <c r="P34" t="str">
        <f>IF('Raw Data'!P34="","",'Raw Data'!P34)</f>
        <v>Bearing from 2' to right. W to near side Duck II = 3.5. W to far side Duck II = 20.4</v>
      </c>
      <c r="Q34" t="str">
        <f t="shared" si="0"/>
        <v xml:space="preserve"> </v>
      </c>
      <c r="R34" s="3">
        <f t="shared" si="20"/>
        <v>132.16666666666666</v>
      </c>
      <c r="S34" s="3" t="str">
        <f t="shared" si="21"/>
        <v>-</v>
      </c>
      <c r="T34" s="3">
        <f t="shared" si="22"/>
        <v>132.16666666666666</v>
      </c>
      <c r="U34" s="12">
        <f t="shared" si="23"/>
        <v>0</v>
      </c>
      <c r="W34" s="4">
        <f t="shared" si="9"/>
        <v>47</v>
      </c>
      <c r="X34" s="4">
        <f t="shared" si="10"/>
        <v>0</v>
      </c>
      <c r="Y34" s="3">
        <f t="shared" si="7"/>
        <v>132.16666666666666</v>
      </c>
    </row>
    <row r="35" spans="1:25" x14ac:dyDescent="0.25">
      <c r="A35" t="str">
        <f>IF('Raw Data'!A35="","",'Raw Data'!A35)</f>
        <v>X</v>
      </c>
      <c r="B35" t="str">
        <f>IF('Raw Data'!B35="","",'Raw Data'!B35)</f>
        <v>Y</v>
      </c>
      <c r="C35">
        <f>IF('Raw Data'!C35="","",'Raw Data'!C35)</f>
        <v>12</v>
      </c>
      <c r="D35" t="str">
        <f>IF('Raw Data'!D35="","",'Raw Data'!D35)</f>
        <v>-</v>
      </c>
      <c r="E35">
        <f>IF('Raw Data'!E35="","",'Raw Data'!E35)</f>
        <v>2</v>
      </c>
      <c r="F35">
        <f>IF('Raw Data'!F35="","",'Raw Data'!F35)</f>
        <v>10</v>
      </c>
      <c r="G35" s="7" t="str">
        <f>IF('Raw Data'!G35="","",SUBSTITUTE('Raw Data'!G35," ",":",1))</f>
        <v>-</v>
      </c>
      <c r="H35" s="7" t="str">
        <f>IF('Raw Data'!H35="","",SUBSTITUTE('Raw Data'!H35," ",":",1))</f>
        <v>354</v>
      </c>
      <c r="I35" s="7" t="str">
        <f>IF('Raw Data'!I35="","",SUBSTITUTE('Raw Data'!I35," ",":",1))</f>
        <v>174</v>
      </c>
      <c r="J35" s="8">
        <f>IF('Raw Data'!J35="","",IF(LEN(K35)&gt;6,SQRT('Raw Data'!J35^2+N35^2),'Raw Data'!J35))</f>
        <v>83.502934080186662</v>
      </c>
      <c r="K35" s="7" t="str">
        <f>IF('Raw Data'!K35="","",IF(LEN('Raw Data'!K35)&lt;7,SUBSTITUTE('Raw Data'!K35," ",":",1),'Raw Data'!K35))</f>
        <v>fall 0.7'</v>
      </c>
      <c r="L35" t="str">
        <f>IF('Raw Data'!L35="","",'Raw Data'!L35)</f>
        <v/>
      </c>
      <c r="M35">
        <f>IF('Raw Data'!M35="","",'Raw Data'!M35)</f>
        <v>83.5</v>
      </c>
      <c r="N35">
        <f>IF('Raw Data'!N35="","",IF('Raw Data'!N35="-",0,'Raw Data'!N35))</f>
        <v>-0.7</v>
      </c>
      <c r="O35">
        <f>IF('Raw Data'!O35="","",'Raw Data'!O35)</f>
        <v>-26.1</v>
      </c>
      <c r="P35" t="str">
        <f>IF('Raw Data'!P35="","",'Raw Data'!P35)</f>
        <v>Y at lip of Sump II, 3" air space goes on 10 more</v>
      </c>
      <c r="Q35" t="str">
        <f t="shared" si="0"/>
        <v xml:space="preserve"> </v>
      </c>
      <c r="R35" s="3" t="str">
        <f t="shared" si="20"/>
        <v>-</v>
      </c>
      <c r="S35" s="3">
        <f t="shared" si="21"/>
        <v>354</v>
      </c>
      <c r="T35" s="3">
        <f t="shared" si="22"/>
        <v>174</v>
      </c>
      <c r="U35" s="12">
        <f t="shared" si="23"/>
        <v>-0.4803126484196561</v>
      </c>
      <c r="W35" s="4">
        <f t="shared" si="9"/>
        <v>83.5</v>
      </c>
      <c r="X35" s="4">
        <f t="shared" si="10"/>
        <v>-0.7</v>
      </c>
      <c r="Y35" s="3">
        <f t="shared" si="7"/>
        <v>174</v>
      </c>
    </row>
    <row r="36" spans="1:25" x14ac:dyDescent="0.25">
      <c r="A36" t="str">
        <f>IF('Raw Data'!A36="","",'Raw Data'!A36)</f>
        <v>Y</v>
      </c>
      <c r="B36" t="str">
        <f>IF('Raw Data'!B36="","",'Raw Data'!B36)</f>
        <v/>
      </c>
      <c r="C36" t="str">
        <f>IF('Raw Data'!C36="","",'Raw Data'!C36)</f>
        <v>0.4 (12)</v>
      </c>
      <c r="D36" t="str">
        <f>IF('Raw Data'!D36="","",'Raw Data'!D36)</f>
        <v>-</v>
      </c>
      <c r="E36">
        <f>IF('Raw Data'!E36="","",'Raw Data'!E36)</f>
        <v>4</v>
      </c>
      <c r="F36">
        <f>IF('Raw Data'!F36="","",'Raw Data'!F36)</f>
        <v>2</v>
      </c>
      <c r="G36" s="7" t="str">
        <f>IF('Raw Data'!G36="","",SUBSTITUTE('Raw Data'!G36," ",":",1))</f>
        <v/>
      </c>
      <c r="H36" s="7" t="str">
        <f>IF('Raw Data'!H36="","",SUBSTITUTE('Raw Data'!H36," ",":",1))</f>
        <v/>
      </c>
      <c r="I36" s="7" t="str">
        <f>IF('Raw Data'!I36="","",SUBSTITUTE('Raw Data'!I36," ",":",1))</f>
        <v/>
      </c>
      <c r="J36" s="8" t="str">
        <f>IF('Raw Data'!J36="","",IF(LEN(K36)&gt;6,SQRT('Raw Data'!J36^2+N36^2),'Raw Data'!J36))</f>
        <v/>
      </c>
      <c r="K36" s="7" t="str">
        <f>IF('Raw Data'!K36="","",IF(LEN('Raw Data'!K36)&lt;7,SUBSTITUTE('Raw Data'!K36," ",":",1),'Raw Data'!K36))</f>
        <v/>
      </c>
      <c r="L36" t="str">
        <f>IF('Raw Data'!L36="","",'Raw Data'!L36)</f>
        <v/>
      </c>
      <c r="M36" t="str">
        <f>IF('Raw Data'!M36="","",'Raw Data'!M36)</f>
        <v/>
      </c>
      <c r="N36" t="str">
        <f>IF('Raw Data'!N36="","",IF('Raw Data'!N36="-",0,'Raw Data'!N36))</f>
        <v/>
      </c>
      <c r="O36">
        <f>IF('Raw Data'!O36="","",'Raw Data'!O36)</f>
        <v>-26.8</v>
      </c>
      <c r="P36" t="str">
        <f>IF('Raw Data'!P36="","",'Raw Data'!P36)</f>
        <v>(Little sketch). Total 1010'</v>
      </c>
      <c r="Q36" t="str">
        <f t="shared" si="0"/>
        <v xml:space="preserve"> </v>
      </c>
      <c r="W36" s="4"/>
      <c r="X36" s="4"/>
      <c r="Y36" s="3"/>
    </row>
    <row r="37" spans="1:25" x14ac:dyDescent="0.25">
      <c r="A37" t="str">
        <f>IF('Raw Data'!A37="","",'Raw Data'!A37)</f>
        <v>T</v>
      </c>
      <c r="B37" t="str">
        <f>IF('Raw Data'!B37="","",'Raw Data'!B37)</f>
        <v>Ri</v>
      </c>
      <c r="C37" t="str">
        <f>IF('Raw Data'!C37="","",'Raw Data'!C37)</f>
        <v>/</v>
      </c>
      <c r="D37" t="str">
        <f>IF('Raw Data'!D37="","",'Raw Data'!D37)</f>
        <v>/</v>
      </c>
      <c r="E37" t="str">
        <f>IF('Raw Data'!E37="","",'Raw Data'!E37)</f>
        <v>/</v>
      </c>
      <c r="F37" t="str">
        <f>IF('Raw Data'!F37="","",'Raw Data'!F37)</f>
        <v>/</v>
      </c>
      <c r="G37" s="7" t="str">
        <f>IF('Raw Data'!G37="","",SUBSTITUTE('Raw Data'!G37," ",":",1))</f>
        <v>19</v>
      </c>
      <c r="H37" s="7" t="str">
        <f>IF('Raw Data'!H37="","",SUBSTITUTE('Raw Data'!H37," ",":",1))</f>
        <v>-</v>
      </c>
      <c r="I37" s="7" t="str">
        <f>IF('Raw Data'!I37="","",SUBSTITUTE('Raw Data'!I37," ",":",1))</f>
        <v>19</v>
      </c>
      <c r="J37" s="8">
        <f>IF('Raw Data'!J37="","",IF(LEN(K37)&gt;6,SQRT('Raw Data'!J37^2+N37^2),'Raw Data'!J37))</f>
        <v>22.1</v>
      </c>
      <c r="K37" s="7" t="str">
        <f>IF('Raw Data'!K37="","",IF(LEN('Raw Data'!K37)&lt;7,SUBSTITUTE('Raw Data'!K37," ",":",1),'Raw Data'!K37))</f>
        <v>20</v>
      </c>
      <c r="L37" t="str">
        <f>IF('Raw Data'!L37="","",'Raw Data'!L37)</f>
        <v/>
      </c>
      <c r="M37">
        <f>IF('Raw Data'!M37="","",'Raw Data'!M37)</f>
        <v>20.8</v>
      </c>
      <c r="N37">
        <f>IF('Raw Data'!N37="","",IF('Raw Data'!N37="-",0,'Raw Data'!N37))</f>
        <v>7.6</v>
      </c>
      <c r="O37">
        <f>IF('Raw Data'!O37="","",'Raw Data'!O37)</f>
        <v>-22.9</v>
      </c>
      <c r="P37" t="str">
        <f>IF('Raw Data'!P37="","",'Raw Data'!P37)</f>
        <v/>
      </c>
      <c r="Q37" t="str">
        <f t="shared" si="0"/>
        <v xml:space="preserve"> </v>
      </c>
      <c r="R37" s="3">
        <f t="shared" ref="R36:R37" si="24">IF(ISERROR(FIND(":",G37)),IF(G37&lt;&gt;"-",1*G37,G37),1*LEFT(G37,FIND(":",G37)-1)+RIGHT(G37,LEN(G37)-FIND(":",G37))/60)</f>
        <v>19</v>
      </c>
      <c r="S37" s="3" t="str">
        <f t="shared" ref="S36:S37" si="25">IF(ISERROR(FIND(":",H37)),IF(H37&lt;&gt;"-",1*H37,H37),1*LEFT(H37,FIND(":",H37)-1)+RIGHT(H37,LEN(H37)-FIND(":",H37))/60)</f>
        <v>-</v>
      </c>
      <c r="T37" s="3">
        <f t="shared" ref="T36:T37" si="26">IF(ISERROR(FIND(":",I37)),IF(I37&lt;&gt;"-",1*I37,I37),1*LEFT(I37,FIND(":",I37)-1)+RIGHT(I37,LEN(I37)-FIND(":",I37))/60)</f>
        <v>19</v>
      </c>
      <c r="U37" s="3" t="str">
        <f t="shared" ref="U37:U39" si="27">IF(ISERROR(FIND(":",K37)),K37,1*CONCATENATE(LEFT(K37,FIND(":",K37)-1),".",MID(RIGHT(K37,LEN(K37)-FIND(":",K37))/60,3,8)))</f>
        <v>20</v>
      </c>
      <c r="W37" s="4">
        <f t="shared" si="9"/>
        <v>20.767206919368579</v>
      </c>
      <c r="X37" s="4">
        <f t="shared" si="10"/>
        <v>7.5586451674972794</v>
      </c>
      <c r="Y37" s="3">
        <f t="shared" si="7"/>
        <v>19</v>
      </c>
    </row>
    <row r="38" spans="1:25" x14ac:dyDescent="0.25">
      <c r="A38" t="str">
        <f>IF('Raw Data'!A38="","",'Raw Data'!A38)</f>
        <v>Ri</v>
      </c>
      <c r="B38" t="str">
        <f>IF('Raw Data'!B38="","",'Raw Data'!B38)</f>
        <v>Rii</v>
      </c>
      <c r="C38">
        <f>IF('Raw Data'!C38="","",'Raw Data'!C38)</f>
        <v>1</v>
      </c>
      <c r="D38">
        <f>IF('Raw Data'!D38="","",'Raw Data'!D38)</f>
        <v>0.5</v>
      </c>
      <c r="E38">
        <f>IF('Raw Data'!E38="","",'Raw Data'!E38)</f>
        <v>8</v>
      </c>
      <c r="F38">
        <f>IF('Raw Data'!F38="","",'Raw Data'!F38)</f>
        <v>8</v>
      </c>
      <c r="G38" s="7" t="str">
        <f>IF('Raw Data'!G38="","",SUBSTITUTE('Raw Data'!G38," ",":",1))</f>
        <v>315</v>
      </c>
      <c r="H38" s="7" t="str">
        <f>IF('Raw Data'!H38="","",SUBSTITUTE('Raw Data'!H38," ",":",1))</f>
        <v>-</v>
      </c>
      <c r="I38" s="7" t="str">
        <f>IF('Raw Data'!I38="","",SUBSTITUTE('Raw Data'!I38," ",":",1))</f>
        <v>315</v>
      </c>
      <c r="J38" s="8">
        <f>IF('Raw Data'!J38="","",IF(LEN(K38)&gt;6,SQRT('Raw Data'!J38^2+N38^2),'Raw Data'!J38))</f>
        <v>46</v>
      </c>
      <c r="K38" s="7" t="str">
        <f>IF('Raw Data'!K38="","",IF(LEN('Raw Data'!K38)&lt;7,SUBSTITUTE('Raw Data'!K38," ",":",1),'Raw Data'!K38))</f>
        <v>-3</v>
      </c>
      <c r="L38" t="str">
        <f>IF('Raw Data'!L38="","",'Raw Data'!L38)</f>
        <v/>
      </c>
      <c r="M38">
        <f>IF('Raw Data'!M38="","",'Raw Data'!M38)</f>
        <v>45.9</v>
      </c>
      <c r="N38">
        <f>IF('Raw Data'!N38="","",IF('Raw Data'!N38="-",0,'Raw Data'!N38))</f>
        <v>-2.4</v>
      </c>
      <c r="O38">
        <f>IF('Raw Data'!O38="","",'Raw Data'!O38)</f>
        <v>-15.5</v>
      </c>
      <c r="P38" t="str">
        <f>IF('Raw Data'!P38="","",'Raw Data'!P38)</f>
        <v>Sump on left at 41' feet</v>
      </c>
      <c r="Q38" t="str">
        <f t="shared" si="0"/>
        <v xml:space="preserve"> </v>
      </c>
      <c r="R38" s="3">
        <f t="shared" ref="R38:R71" si="28">IF(ISERROR(FIND(":",G38)),IF(G38&lt;&gt;"-",1*G38,G38),1*LEFT(G38,FIND(":",G38)-1)+RIGHT(G38,LEN(G38)-FIND(":",G38))/60)</f>
        <v>315</v>
      </c>
      <c r="S38" s="3" t="str">
        <f t="shared" ref="S38:S71" si="29">IF(ISERROR(FIND(":",H38)),IF(H38&lt;&gt;"-",1*H38,H38),1*LEFT(H38,FIND(":",H38)-1)+RIGHT(H38,LEN(H38)-FIND(":",H38))/60)</f>
        <v>-</v>
      </c>
      <c r="T38" s="3">
        <f t="shared" ref="T38:T71" si="30">IF(ISERROR(FIND(":",I38)),IF(I38&lt;&gt;"-",1*I38,I38),1*LEFT(I38,FIND(":",I38)-1)+RIGHT(I38,LEN(I38)-FIND(":",I38))/60)</f>
        <v>315</v>
      </c>
      <c r="U38" s="3" t="str">
        <f t="shared" si="27"/>
        <v>-3</v>
      </c>
      <c r="W38" s="4">
        <f t="shared" si="9"/>
        <v>45.936958598710397</v>
      </c>
      <c r="X38" s="4">
        <f t="shared" si="10"/>
        <v>-2.4074539871754159</v>
      </c>
      <c r="Y38" s="3">
        <f t="shared" si="7"/>
        <v>315</v>
      </c>
    </row>
    <row r="39" spans="1:25" x14ac:dyDescent="0.25">
      <c r="A39" t="str">
        <f>IF('Raw Data'!A39="","",'Raw Data'!A39)</f>
        <v>Rii</v>
      </c>
      <c r="B39" t="str">
        <f>IF('Raw Data'!B39="","",'Raw Data'!B39)</f>
        <v>Riii</v>
      </c>
      <c r="C39">
        <f>IF('Raw Data'!C39="","",'Raw Data'!C39)</f>
        <v>1</v>
      </c>
      <c r="D39">
        <f>IF('Raw Data'!D39="","",'Raw Data'!D39)</f>
        <v>2</v>
      </c>
      <c r="E39">
        <f>IF('Raw Data'!E39="","",'Raw Data'!E39)</f>
        <v>4</v>
      </c>
      <c r="F39">
        <f>IF('Raw Data'!F39="","",'Raw Data'!F39)</f>
        <v>4</v>
      </c>
      <c r="G39" s="7" t="str">
        <f>IF('Raw Data'!G39="","",SUBSTITUTE('Raw Data'!G39," ",":",1))</f>
        <v>348</v>
      </c>
      <c r="H39" s="7" t="str">
        <f>IF('Raw Data'!H39="","",SUBSTITUTE('Raw Data'!H39," ",":",1))</f>
        <v>-</v>
      </c>
      <c r="I39" s="7" t="str">
        <f>IF('Raw Data'!I39="","",SUBSTITUTE('Raw Data'!I39," ",":",1))</f>
        <v>348</v>
      </c>
      <c r="J39" s="8">
        <f>IF('Raw Data'!J39="","",IF(LEN(K39)&gt;6,SQRT('Raw Data'!J39^2+N39^2),'Raw Data'!J39))</f>
        <v>32</v>
      </c>
      <c r="K39" s="7" t="str">
        <f>IF('Raw Data'!K39="","",IF(LEN('Raw Data'!K39)&lt;7,SUBSTITUTE('Raw Data'!K39," ",":",1),'Raw Data'!K39))</f>
        <v>2</v>
      </c>
      <c r="L39" t="str">
        <f>IF('Raw Data'!L39="","",'Raw Data'!L39)</f>
        <v/>
      </c>
      <c r="M39">
        <f>IF('Raw Data'!M39="","",'Raw Data'!M39)</f>
        <v>32</v>
      </c>
      <c r="N39">
        <f>IF('Raw Data'!N39="","",IF('Raw Data'!N39="-",0,'Raw Data'!N39))</f>
        <v>1.1000000000000001</v>
      </c>
      <c r="O39">
        <f>IF('Raw Data'!O39="","",'Raw Data'!O39)</f>
        <v>-17.7</v>
      </c>
      <c r="P39" t="str">
        <f>IF('Raw Data'!P39="","",'Raw Data'!P39)</f>
        <v>Bearing from 3 feet to left</v>
      </c>
      <c r="Q39" t="str">
        <f t="shared" si="0"/>
        <v xml:space="preserve"> </v>
      </c>
      <c r="R39" s="3">
        <f t="shared" si="28"/>
        <v>348</v>
      </c>
      <c r="S39" s="3" t="str">
        <f t="shared" si="29"/>
        <v>-</v>
      </c>
      <c r="T39" s="3">
        <f t="shared" si="30"/>
        <v>348</v>
      </c>
      <c r="U39" s="3" t="str">
        <f t="shared" si="27"/>
        <v>2</v>
      </c>
      <c r="W39" s="4">
        <f t="shared" si="9"/>
        <v>31.980506464611064</v>
      </c>
      <c r="X39" s="4">
        <f t="shared" si="10"/>
        <v>1.116783894480031</v>
      </c>
      <c r="Y39" s="3">
        <f t="shared" si="7"/>
        <v>348</v>
      </c>
    </row>
    <row r="40" spans="1:25" x14ac:dyDescent="0.25">
      <c r="A40" t="str">
        <f>IF('Raw Data'!A40="","",'Raw Data'!A40)</f>
        <v>Riii</v>
      </c>
      <c r="B40" t="str">
        <f>IF('Raw Data'!B40="","",'Raw Data'!B40)</f>
        <v>Riv</v>
      </c>
      <c r="C40">
        <f>IF('Raw Data'!C40="","",'Raw Data'!C40)</f>
        <v>2</v>
      </c>
      <c r="D40">
        <f>IF('Raw Data'!D40="","",'Raw Data'!D40)</f>
        <v>1.5</v>
      </c>
      <c r="E40">
        <f>IF('Raw Data'!E40="","",'Raw Data'!E40)</f>
        <v>5</v>
      </c>
      <c r="F40">
        <f>IF('Raw Data'!F40="","",'Raw Data'!F40)</f>
        <v>2</v>
      </c>
      <c r="G40" s="7" t="str">
        <f>IF('Raw Data'!G40="","",SUBSTITUTE('Raw Data'!G40," ",":",1))</f>
        <v>284</v>
      </c>
      <c r="H40" s="7" t="str">
        <f>IF('Raw Data'!H40="","",SUBSTITUTE('Raw Data'!H40," ",":",1))</f>
        <v>-</v>
      </c>
      <c r="I40" s="7" t="str">
        <f>IF('Raw Data'!I40="","",SUBSTITUTE('Raw Data'!I40," ",":",1))</f>
        <v>284</v>
      </c>
      <c r="J40" s="8">
        <f>IF('Raw Data'!J40="","",IF(LEN(K40)&gt;6,SQRT('Raw Data'!J40^2+N40^2),'Raw Data'!J40))</f>
        <v>27.591484193497095</v>
      </c>
      <c r="K40" s="7" t="str">
        <f>IF('Raw Data'!K40="","",IF(LEN('Raw Data'!K40)&lt;7,SUBSTITUTE('Raw Data'!K40," ",":",1),'Raw Data'!K40))</f>
        <v>fall 4 feet</v>
      </c>
      <c r="L40" t="str">
        <f>IF('Raw Data'!L40="","",'Raw Data'!L40)</f>
        <v/>
      </c>
      <c r="M40">
        <f>IF('Raw Data'!M40="","",'Raw Data'!M40)</f>
        <v>27.3</v>
      </c>
      <c r="N40">
        <f>IF('Raw Data'!N40="","",IF('Raw Data'!N40="-",0,'Raw Data'!N40))</f>
        <v>-4</v>
      </c>
      <c r="O40">
        <f>IF('Raw Data'!O40="","",'Raw Data'!O40)</f>
        <v>-16.600000000000001</v>
      </c>
      <c r="P40" t="str">
        <f>IF('Raw Data'!P40="","",'Raw Data'!P40)</f>
        <v>Bearing from 2' to left. Iv is Muddy Sump. Dp below Sump I is 20.6 feet. Total 1127'</v>
      </c>
      <c r="Q40" t="str">
        <f t="shared" si="0"/>
        <v xml:space="preserve"> </v>
      </c>
      <c r="R40" s="3">
        <f t="shared" si="28"/>
        <v>284</v>
      </c>
      <c r="S40" s="3" t="str">
        <f t="shared" si="29"/>
        <v>-</v>
      </c>
      <c r="T40" s="3">
        <f t="shared" si="30"/>
        <v>284</v>
      </c>
      <c r="U40" s="12">
        <f>ASIN(N40/J40)*180/PI()</f>
        <v>-8.3356732078743381</v>
      </c>
      <c r="W40" s="4">
        <f t="shared" si="9"/>
        <v>27.3</v>
      </c>
      <c r="X40" s="4">
        <f t="shared" si="10"/>
        <v>-4</v>
      </c>
      <c r="Y40" s="3">
        <f t="shared" si="7"/>
        <v>284</v>
      </c>
    </row>
    <row r="41" spans="1:25" x14ac:dyDescent="0.25">
      <c r="A41" t="str">
        <f>IF('Raw Data'!A41="","",'Raw Data'!A41)</f>
        <v>a</v>
      </c>
      <c r="B41" t="str">
        <f>IF('Raw Data'!B41="","",'Raw Data'!B41)</f>
        <v>b</v>
      </c>
      <c r="C41" t="str">
        <f>IF('Raw Data'!C41="","",'Raw Data'!C41)</f>
        <v>/</v>
      </c>
      <c r="D41">
        <f>IF('Raw Data'!D41="","",'Raw Data'!D41)</f>
        <v>1</v>
      </c>
      <c r="E41">
        <f>IF('Raw Data'!E41="","",'Raw Data'!E41)</f>
        <v>3</v>
      </c>
      <c r="F41" t="str">
        <f>IF('Raw Data'!F41="","",'Raw Data'!F41)</f>
        <v>/</v>
      </c>
      <c r="G41" s="7" t="str">
        <f>IF('Raw Data'!G41="","",SUBSTITUTE('Raw Data'!G41," ",":",1))</f>
        <v>83</v>
      </c>
      <c r="H41" s="7" t="str">
        <f>IF('Raw Data'!H41="","",SUBSTITUTE('Raw Data'!H41," ",":",1))</f>
        <v>-</v>
      </c>
      <c r="I41" s="7" t="str">
        <f>IF('Raw Data'!I41="","",SUBSTITUTE('Raw Data'!I41," ",":",1))</f>
        <v>83</v>
      </c>
      <c r="J41" s="8">
        <f>IF('Raw Data'!J41="","",IF(LEN(K41)&gt;6,SQRT('Raw Data'!J41^2+N41^2),'Raw Data'!J41))</f>
        <v>43</v>
      </c>
      <c r="K41" s="7" t="str">
        <f>IF('Raw Data'!K41="","",IF(LEN('Raw Data'!K41)&lt;7,SUBSTITUTE('Raw Data'!K41," ",":",1),'Raw Data'!K41))</f>
        <v>15</v>
      </c>
      <c r="L41" t="str">
        <f>IF('Raw Data'!L41="","",'Raw Data'!L41)</f>
        <v/>
      </c>
      <c r="M41">
        <f>IF('Raw Data'!M41="","",'Raw Data'!M41)</f>
        <v>41.5</v>
      </c>
      <c r="N41">
        <f>IF('Raw Data'!N41="","",IF('Raw Data'!N41="-",0,'Raw Data'!N41))</f>
        <v>11.1</v>
      </c>
      <c r="O41">
        <f>IF('Raw Data'!O41="","",'Raw Data'!O41)</f>
        <v>-4.5999999999999996</v>
      </c>
      <c r="P41" t="str">
        <f>IF('Raw Data'!P41="","",'Raw Data'!P41)</f>
        <v>a is on N.Side of passage just before Creep I -&gt; (sketch)</v>
      </c>
      <c r="Q41" t="str">
        <f t="shared" si="0"/>
        <v xml:space="preserve"> </v>
      </c>
      <c r="R41" s="3">
        <f t="shared" si="28"/>
        <v>83</v>
      </c>
      <c r="S41" s="3" t="str">
        <f t="shared" si="29"/>
        <v>-</v>
      </c>
      <c r="T41" s="3">
        <f t="shared" si="30"/>
        <v>83</v>
      </c>
      <c r="U41" s="3" t="str">
        <f t="shared" ref="U41:U43" si="31">IF(ISERROR(FIND(":",K41)),K41,1*CONCATENATE(LEFT(K41,FIND(":",K41)-1),".",MID(RIGHT(K41,LEN(K41)-FIND(":",K41))/60,3,8)))</f>
        <v>15</v>
      </c>
      <c r="W41" s="4">
        <f t="shared" si="9"/>
        <v>41.534810530429937</v>
      </c>
      <c r="X41" s="4">
        <f t="shared" si="10"/>
        <v>11.129218939408393</v>
      </c>
      <c r="Y41" s="3">
        <f t="shared" si="7"/>
        <v>83</v>
      </c>
    </row>
    <row r="42" spans="1:25" x14ac:dyDescent="0.25">
      <c r="A42" t="str">
        <f>IF('Raw Data'!A42="","",'Raw Data'!A42)</f>
        <v>b</v>
      </c>
      <c r="B42" t="str">
        <f>IF('Raw Data'!B42="","",'Raw Data'!B42)</f>
        <v>c</v>
      </c>
      <c r="C42" t="str">
        <f>IF('Raw Data'!C42="","",'Raw Data'!C42)</f>
        <v>/</v>
      </c>
      <c r="D42">
        <f>IF('Raw Data'!D42="","",'Raw Data'!D42)</f>
        <v>2</v>
      </c>
      <c r="E42">
        <f>IF('Raw Data'!E42="","",'Raw Data'!E42)</f>
        <v>5</v>
      </c>
      <c r="F42">
        <f>IF('Raw Data'!F42="","",'Raw Data'!F42)</f>
        <v>7</v>
      </c>
      <c r="G42" s="7" t="str">
        <f>IF('Raw Data'!G42="","",SUBSTITUTE('Raw Data'!G42," ",":",1))</f>
        <v>6</v>
      </c>
      <c r="H42" s="7" t="str">
        <f>IF('Raw Data'!H42="","",SUBSTITUTE('Raw Data'!H42," ",":",1))</f>
        <v>-</v>
      </c>
      <c r="I42" s="7" t="str">
        <f>IF('Raw Data'!I42="","",SUBSTITUTE('Raw Data'!I42," ",":",1))</f>
        <v>6</v>
      </c>
      <c r="J42" s="8">
        <f>IF('Raw Data'!J42="","",IF(LEN(K42)&gt;6,SQRT('Raw Data'!J42^2+N42^2),'Raw Data'!J42))</f>
        <v>20.7</v>
      </c>
      <c r="K42" s="7" t="str">
        <f>IF('Raw Data'!K42="","",IF(LEN('Raw Data'!K42)&lt;7,SUBSTITUTE('Raw Data'!K42," ",":",1),'Raw Data'!K42))</f>
        <v>8</v>
      </c>
      <c r="L42" t="str">
        <f>IF('Raw Data'!L42="","",'Raw Data'!L42)</f>
        <v/>
      </c>
      <c r="M42">
        <f>IF('Raw Data'!M42="","",'Raw Data'!M42)</f>
        <v>20.5</v>
      </c>
      <c r="N42">
        <f>IF('Raw Data'!N42="","",IF('Raw Data'!N42="-",0,'Raw Data'!N42))</f>
        <v>2.9</v>
      </c>
      <c r="O42">
        <f>IF('Raw Data'!O42="","",'Raw Data'!O42)</f>
        <v>6.5</v>
      </c>
      <c r="P42" t="str">
        <f>IF('Raw Data'!P42="","",'Raw Data'!P42)</f>
        <v/>
      </c>
      <c r="Q42" t="str">
        <f t="shared" si="0"/>
        <v xml:space="preserve"> </v>
      </c>
      <c r="R42" s="3">
        <f t="shared" si="28"/>
        <v>6</v>
      </c>
      <c r="S42" s="3" t="str">
        <f t="shared" si="29"/>
        <v>-</v>
      </c>
      <c r="T42" s="3">
        <f t="shared" si="30"/>
        <v>6</v>
      </c>
      <c r="U42" s="3" t="str">
        <f t="shared" si="31"/>
        <v>8</v>
      </c>
      <c r="W42" s="4">
        <f t="shared" si="9"/>
        <v>20.498549022950506</v>
      </c>
      <c r="X42" s="4">
        <f t="shared" si="10"/>
        <v>2.8808831898733547</v>
      </c>
      <c r="Y42" s="3">
        <f t="shared" si="7"/>
        <v>6</v>
      </c>
    </row>
    <row r="43" spans="1:25" x14ac:dyDescent="0.25">
      <c r="A43" t="str">
        <f>IF('Raw Data'!A43="","",'Raw Data'!A43)</f>
        <v>c</v>
      </c>
      <c r="B43" t="str">
        <f>IF('Raw Data'!B43="","",'Raw Data'!B43)</f>
        <v>d</v>
      </c>
      <c r="C43" t="str">
        <f>IF('Raw Data'!C43="","",'Raw Data'!C43)</f>
        <v>/</v>
      </c>
      <c r="D43">
        <f>IF('Raw Data'!D43="","",'Raw Data'!D43)</f>
        <v>1</v>
      </c>
      <c r="E43">
        <f>IF('Raw Data'!E43="","",'Raw Data'!E43)</f>
        <v>2</v>
      </c>
      <c r="F43">
        <f>IF('Raw Data'!F43="","",'Raw Data'!F43)</f>
        <v>3</v>
      </c>
      <c r="G43" s="7" t="str">
        <f>IF('Raw Data'!G43="","",SUBSTITUTE('Raw Data'!G43," ",":",1))</f>
        <v>42</v>
      </c>
      <c r="H43" s="7" t="str">
        <f>IF('Raw Data'!H43="","",SUBSTITUTE('Raw Data'!H43," ",":",1))</f>
        <v>-</v>
      </c>
      <c r="I43" s="7" t="str">
        <f>IF('Raw Data'!I43="","",SUBSTITUTE('Raw Data'!I43," ",":",1))</f>
        <v>42</v>
      </c>
      <c r="J43" s="8">
        <f>IF('Raw Data'!J43="","",IF(LEN(K43)&gt;6,SQRT('Raw Data'!J43^2+N43^2),'Raw Data'!J43))</f>
        <v>11.3</v>
      </c>
      <c r="K43" s="7" t="str">
        <f>IF('Raw Data'!K43="","",IF(LEN('Raw Data'!K43)&lt;7,SUBSTITUTE('Raw Data'!K43," ",":",1),'Raw Data'!K43))</f>
        <v>10</v>
      </c>
      <c r="L43" t="str">
        <f>IF('Raw Data'!L43="","",'Raw Data'!L43)</f>
        <v/>
      </c>
      <c r="M43">
        <f>IF('Raw Data'!M43="","",'Raw Data'!M43)</f>
        <v>11.1</v>
      </c>
      <c r="N43">
        <f>IF('Raw Data'!N43="","",IF('Raw Data'!N43="-",0,'Raw Data'!N43))</f>
        <v>2</v>
      </c>
      <c r="O43" t="str">
        <f>IF('Raw Data'!O43="","",'Raw Data'!O43)</f>
        <v>17.5 (? indistinct)</v>
      </c>
      <c r="P43" t="str">
        <f>IF('Raw Data'!P43="","",'Raw Data'!P43)</f>
        <v/>
      </c>
      <c r="Q43" t="str">
        <f t="shared" si="0"/>
        <v xml:space="preserve"> </v>
      </c>
      <c r="R43" s="3">
        <f t="shared" si="28"/>
        <v>42</v>
      </c>
      <c r="S43" s="3" t="str">
        <f t="shared" si="29"/>
        <v>-</v>
      </c>
      <c r="T43" s="3">
        <f t="shared" si="30"/>
        <v>42</v>
      </c>
      <c r="U43" s="3" t="str">
        <f t="shared" si="31"/>
        <v>10</v>
      </c>
      <c r="W43" s="4">
        <f t="shared" si="9"/>
        <v>11.128327609037951</v>
      </c>
      <c r="X43" s="4">
        <f t="shared" si="10"/>
        <v>1.9622244076363129</v>
      </c>
      <c r="Y43" s="3">
        <f t="shared" si="7"/>
        <v>42</v>
      </c>
    </row>
    <row r="44" spans="1:25" x14ac:dyDescent="0.25">
      <c r="A44" t="str">
        <f>IF('Raw Data'!A44="","",'Raw Data'!A44)</f>
        <v>d</v>
      </c>
      <c r="B44" t="str">
        <f>IF('Raw Data'!B44="","",'Raw Data'!B44)</f>
        <v>e</v>
      </c>
      <c r="C44" t="str">
        <f>IF('Raw Data'!C44="","",'Raw Data'!C44)</f>
        <v>/</v>
      </c>
      <c r="D44">
        <f>IF('Raw Data'!D44="","",'Raw Data'!D44)</f>
        <v>0.5</v>
      </c>
      <c r="E44">
        <f>IF('Raw Data'!E44="","",'Raw Data'!E44)</f>
        <v>1</v>
      </c>
      <c r="F44" t="str">
        <f>IF('Raw Data'!F44="","",'Raw Data'!F44)</f>
        <v>/</v>
      </c>
      <c r="G44" s="7" t="str">
        <f>IF('Raw Data'!G44="","",SUBSTITUTE('Raw Data'!G44," ",":",1))</f>
        <v>139</v>
      </c>
      <c r="H44" s="7" t="str">
        <f>IF('Raw Data'!H44="","",SUBSTITUTE('Raw Data'!H44," ",":",1))</f>
        <v>-</v>
      </c>
      <c r="I44" s="7" t="str">
        <f>IF('Raw Data'!I44="","",SUBSTITUTE('Raw Data'!I44," ",":",1))</f>
        <v>139</v>
      </c>
      <c r="J44" s="8">
        <f>IF('Raw Data'!J44="","",IF(LEN(K44)&gt;6,SQRT('Raw Data'!J44^2+N44^2),'Raw Data'!J44))</f>
        <v>18.899999999999999</v>
      </c>
      <c r="K44" s="7" t="str">
        <f>IF('Raw Data'!K44="","",IF(LEN('Raw Data'!K44)&lt;7,SUBSTITUTE('Raw Data'!K44," ",":",1),'Raw Data'!K44))</f>
        <v>level</v>
      </c>
      <c r="L44" t="str">
        <f>IF('Raw Data'!L44="","",'Raw Data'!L44)</f>
        <v/>
      </c>
      <c r="M44">
        <f>IF('Raw Data'!M44="","",'Raw Data'!M44)</f>
        <v>18.899999999999999</v>
      </c>
      <c r="N44">
        <f>IF('Raw Data'!N44="","",IF('Raw Data'!N44="-",0,'Raw Data'!N44))</f>
        <v>0</v>
      </c>
      <c r="O44">
        <f>IF('Raw Data'!O44="","",'Raw Data'!O44)</f>
        <v>11.4</v>
      </c>
      <c r="P44" t="str">
        <f>IF('Raw Data'!P44="","",'Raw Data'!P44)</f>
        <v>(e) is where passage rejoins streamway. Stn 35 (p.52)-(e) is F.S. 234 (TRUE), Dist 18', Clino +45 (deg), HD 12.7, VD +12.7</v>
      </c>
      <c r="Q44" t="str">
        <f t="shared" si="0"/>
        <v xml:space="preserve"> </v>
      </c>
      <c r="R44" s="3">
        <f t="shared" si="28"/>
        <v>139</v>
      </c>
      <c r="S44" s="3" t="str">
        <f t="shared" si="29"/>
        <v>-</v>
      </c>
      <c r="T44" s="3">
        <f t="shared" si="30"/>
        <v>139</v>
      </c>
      <c r="U44" s="12">
        <f>ASIN(N44/J44)*180/PI()</f>
        <v>0</v>
      </c>
      <c r="W44" s="4">
        <f t="shared" si="9"/>
        <v>18.899999999999999</v>
      </c>
      <c r="X44" s="4">
        <f t="shared" si="10"/>
        <v>0</v>
      </c>
      <c r="Y44" s="3">
        <f t="shared" si="7"/>
        <v>139</v>
      </c>
    </row>
    <row r="45" spans="1:25" x14ac:dyDescent="0.25">
      <c r="A45" t="str">
        <f>IF('Raw Data'!A45="","",'Raw Data'!A45)</f>
        <v>d</v>
      </c>
      <c r="B45" t="str">
        <f>IF('Raw Data'!B45="","",'Raw Data'!B45)</f>
        <v>f</v>
      </c>
      <c r="C45" t="str">
        <f>IF('Raw Data'!C45="","",'Raw Data'!C45)</f>
        <v>/</v>
      </c>
      <c r="D45" t="str">
        <f>IF('Raw Data'!D45="","",'Raw Data'!D45)</f>
        <v>/</v>
      </c>
      <c r="E45" t="str">
        <f>IF('Raw Data'!E45="","",'Raw Data'!E45)</f>
        <v>/</v>
      </c>
      <c r="F45">
        <f>IF('Raw Data'!F45="","",'Raw Data'!F45)</f>
        <v>6</v>
      </c>
      <c r="G45" s="7" t="str">
        <f>IF('Raw Data'!G45="","",SUBSTITUTE('Raw Data'!G45," ",":",1))</f>
        <v>245</v>
      </c>
      <c r="H45" s="7" t="str">
        <f>IF('Raw Data'!H45="","",SUBSTITUTE('Raw Data'!H45," ",":",1))</f>
        <v>-</v>
      </c>
      <c r="I45" s="7" t="str">
        <f>IF('Raw Data'!I45="","",SUBSTITUTE('Raw Data'!I45," ",":",1))</f>
        <v>245</v>
      </c>
      <c r="J45" s="8">
        <f>IF('Raw Data'!J45="","",IF(LEN(K45)&gt;6,SQRT('Raw Data'!J45^2+N45^2),'Raw Data'!J45))</f>
        <v>10.3</v>
      </c>
      <c r="K45" s="7" t="str">
        <f>IF('Raw Data'!K45="","",IF(LEN('Raw Data'!K45)&lt;7,SUBSTITUTE('Raw Data'!K45," ",":",1),'Raw Data'!K45))</f>
        <v>60</v>
      </c>
      <c r="L45" t="str">
        <f>IF('Raw Data'!L45="","",'Raw Data'!L45)</f>
        <v/>
      </c>
      <c r="M45">
        <f>IF('Raw Data'!M45="","",'Raw Data'!M45)</f>
        <v>5.0999999999999996</v>
      </c>
      <c r="N45">
        <f>IF('Raw Data'!N45="","",IF('Raw Data'!N45="-",0,'Raw Data'!N45))</f>
        <v>8.9</v>
      </c>
      <c r="O45">
        <f>IF('Raw Data'!O45="","",'Raw Data'!O45)</f>
        <v>11.4</v>
      </c>
      <c r="P45" t="str">
        <f>IF('Raw Data'!P45="","",'Raw Data'!P45)</f>
        <v/>
      </c>
      <c r="Q45" t="str">
        <f t="shared" si="0"/>
        <v xml:space="preserve"> </v>
      </c>
      <c r="R45" s="3">
        <f t="shared" si="28"/>
        <v>245</v>
      </c>
      <c r="S45" s="3" t="str">
        <f t="shared" si="29"/>
        <v>-</v>
      </c>
      <c r="T45" s="3">
        <f t="shared" si="30"/>
        <v>245</v>
      </c>
      <c r="U45" s="3" t="str">
        <f t="shared" ref="U45" si="32">IF(ISERROR(FIND(":",K45)),K45,1*CONCATENATE(LEFT(K45,FIND(":",K45)-1),".",MID(RIGHT(K45,LEN(K45)-FIND(":",K45))/60,3,8)))</f>
        <v>60</v>
      </c>
      <c r="W45" s="4">
        <f t="shared" si="9"/>
        <v>5.1500000000000012</v>
      </c>
      <c r="X45" s="4">
        <f t="shared" si="10"/>
        <v>8.9200616589797175</v>
      </c>
      <c r="Y45" s="3">
        <f t="shared" si="7"/>
        <v>245</v>
      </c>
    </row>
    <row r="46" spans="1:25" x14ac:dyDescent="0.25">
      <c r="A46" t="str">
        <f>IF('Raw Data'!A46="","",'Raw Data'!A46)</f>
        <v>f</v>
      </c>
      <c r="B46" t="str">
        <f>IF('Raw Data'!B46="","",'Raw Data'!B46)</f>
        <v>g</v>
      </c>
      <c r="C46" t="str">
        <f>IF('Raw Data'!C46="","",'Raw Data'!C46)</f>
        <v>/</v>
      </c>
      <c r="D46" t="str">
        <f>IF('Raw Data'!D46="","",'Raw Data'!D46)</f>
        <v>/</v>
      </c>
      <c r="E46">
        <f>IF('Raw Data'!E46="","",'Raw Data'!E46)</f>
        <v>1</v>
      </c>
      <c r="F46">
        <f>IF('Raw Data'!F46="","",'Raw Data'!F46)</f>
        <v>1</v>
      </c>
      <c r="G46" s="7" t="str">
        <f>IF('Raw Data'!G46="","",SUBSTITUTE('Raw Data'!G46," ",":",1))</f>
        <v>319</v>
      </c>
      <c r="H46" s="7" t="str">
        <f>IF('Raw Data'!H46="","",SUBSTITUTE('Raw Data'!H46," ",":",1))</f>
        <v>-</v>
      </c>
      <c r="I46" s="7" t="str">
        <f>IF('Raw Data'!I46="","",SUBSTITUTE('Raw Data'!I46," ",":",1))</f>
        <v>319</v>
      </c>
      <c r="J46" s="8">
        <f>IF('Raw Data'!J46="","",IF(LEN(K46)&gt;6,SQRT('Raw Data'!J46^2+N46^2),'Raw Data'!J46))</f>
        <v>6.2</v>
      </c>
      <c r="K46" s="7" t="str">
        <f>IF('Raw Data'!K46="","",IF(LEN('Raw Data'!K46)&lt;7,SUBSTITUTE('Raw Data'!K46," ",":",1),'Raw Data'!K46))</f>
        <v>level</v>
      </c>
      <c r="L46" t="str">
        <f>IF('Raw Data'!L46="","",'Raw Data'!L46)</f>
        <v/>
      </c>
      <c r="M46">
        <f>IF('Raw Data'!M46="","",'Raw Data'!M46)</f>
        <v>6.2</v>
      </c>
      <c r="N46">
        <f>IF('Raw Data'!N46="","",IF('Raw Data'!N46="-",0,'Raw Data'!N46))</f>
        <v>0</v>
      </c>
      <c r="O46">
        <f>IF('Raw Data'!O46="","",'Raw Data'!O46)</f>
        <v>20.3</v>
      </c>
      <c r="P46" t="str">
        <f>IF('Raw Data'!P46="","",'Raw Data'!P46)</f>
        <v/>
      </c>
      <c r="Q46" t="str">
        <f t="shared" si="0"/>
        <v xml:space="preserve"> </v>
      </c>
      <c r="R46" s="3">
        <f t="shared" si="28"/>
        <v>319</v>
      </c>
      <c r="S46" s="3" t="str">
        <f t="shared" si="29"/>
        <v>-</v>
      </c>
      <c r="T46" s="3">
        <f t="shared" si="30"/>
        <v>319</v>
      </c>
      <c r="U46" s="12">
        <f>ASIN(N46/J46)*180/PI()</f>
        <v>0</v>
      </c>
      <c r="W46" s="4">
        <f t="shared" si="9"/>
        <v>6.2</v>
      </c>
      <c r="X46" s="4">
        <f t="shared" si="10"/>
        <v>0</v>
      </c>
      <c r="Y46" s="3">
        <f t="shared" si="7"/>
        <v>319</v>
      </c>
    </row>
    <row r="47" spans="1:25" x14ac:dyDescent="0.25">
      <c r="A47" t="str">
        <f>IF('Raw Data'!A47="","",'Raw Data'!A47)</f>
        <v>g</v>
      </c>
      <c r="B47" t="str">
        <f>IF('Raw Data'!B47="","",'Raw Data'!B47)</f>
        <v>h</v>
      </c>
      <c r="C47" t="str">
        <f>IF('Raw Data'!C47="","",'Raw Data'!C47)</f>
        <v>/</v>
      </c>
      <c r="D47" t="str">
        <f>IF('Raw Data'!D47="","",'Raw Data'!D47)</f>
        <v>/</v>
      </c>
      <c r="E47" t="str">
        <f>IF('Raw Data'!E47="","",'Raw Data'!E47)</f>
        <v>/</v>
      </c>
      <c r="F47">
        <f>IF('Raw Data'!F47="","",'Raw Data'!F47)</f>
        <v>2</v>
      </c>
      <c r="G47" s="7" t="str">
        <f>IF('Raw Data'!G47="","",SUBSTITUTE('Raw Data'!G47," ",":",1))</f>
        <v>237</v>
      </c>
      <c r="H47" s="7" t="str">
        <f>IF('Raw Data'!H47="","",SUBSTITUTE('Raw Data'!H47," ",":",1))</f>
        <v>-</v>
      </c>
      <c r="I47" s="7" t="str">
        <f>IF('Raw Data'!I47="","",SUBSTITUTE('Raw Data'!I47," ",":",1))</f>
        <v>237</v>
      </c>
      <c r="J47" s="8">
        <f>IF('Raw Data'!J47="","",IF(LEN(K47)&gt;6,SQRT('Raw Data'!J47^2+N47^2),'Raw Data'!J47))</f>
        <v>16</v>
      </c>
      <c r="K47" s="7" t="str">
        <f>IF('Raw Data'!K47="","",IF(LEN('Raw Data'!K47)&lt;7,SUBSTITUTE('Raw Data'!K47," ",":",1),'Raw Data'!K47))</f>
        <v>65</v>
      </c>
      <c r="L47" t="str">
        <f>IF('Raw Data'!L47="","",'Raw Data'!L47)</f>
        <v/>
      </c>
      <c r="M47">
        <f>IF('Raw Data'!M47="","",'Raw Data'!M47)</f>
        <v>6.8</v>
      </c>
      <c r="N47">
        <f>IF('Raw Data'!N47="","",IF('Raw Data'!N47="-",0,'Raw Data'!N47))</f>
        <v>14.5</v>
      </c>
      <c r="O47">
        <f>IF('Raw Data'!O47="","",'Raw Data'!O47)</f>
        <v>20.3</v>
      </c>
      <c r="P47" t="str">
        <f>IF('Raw Data'!P47="","",'Raw Data'!P47)</f>
        <v/>
      </c>
      <c r="Q47" t="str">
        <f t="shared" si="0"/>
        <v xml:space="preserve"> </v>
      </c>
      <c r="R47" s="3">
        <f t="shared" si="28"/>
        <v>237</v>
      </c>
      <c r="S47" s="3" t="str">
        <f t="shared" si="29"/>
        <v>-</v>
      </c>
      <c r="T47" s="3">
        <f t="shared" si="30"/>
        <v>237</v>
      </c>
      <c r="U47" s="3" t="str">
        <f t="shared" ref="U47" si="33">IF(ISERROR(FIND(":",K47)),K47,1*CONCATENATE(LEFT(K47,FIND(":",K47)-1),".",MID(RIGHT(K47,LEN(K47)-FIND(":",K47))/60,3,8)))</f>
        <v>65</v>
      </c>
      <c r="W47" s="4">
        <f t="shared" si="9"/>
        <v>6.7618921878511911</v>
      </c>
      <c r="X47" s="4">
        <f t="shared" si="10"/>
        <v>14.500924592586399</v>
      </c>
      <c r="Y47" s="3">
        <f t="shared" si="7"/>
        <v>237</v>
      </c>
    </row>
    <row r="48" spans="1:25" x14ac:dyDescent="0.25">
      <c r="A48" t="str">
        <f>IF('Raw Data'!A48="","",'Raw Data'!A48)</f>
        <v>h</v>
      </c>
      <c r="B48" t="str">
        <f>IF('Raw Data'!B48="","",'Raw Data'!B48)</f>
        <v>i</v>
      </c>
      <c r="C48" t="str">
        <f>IF('Raw Data'!C48="","",'Raw Data'!C48)</f>
        <v>3 (8 in aven)</v>
      </c>
      <c r="D48">
        <f>IF('Raw Data'!D48="","",'Raw Data'!D48)</f>
        <v>1</v>
      </c>
      <c r="E48">
        <f>IF('Raw Data'!E48="","",'Raw Data'!E48)</f>
        <v>1</v>
      </c>
      <c r="F48">
        <f>IF('Raw Data'!F48="","",'Raw Data'!F48)</f>
        <v>1</v>
      </c>
      <c r="G48" s="7" t="str">
        <f>IF('Raw Data'!G48="","",SUBSTITUTE('Raw Data'!G48," ",":",1))</f>
        <v>329</v>
      </c>
      <c r="H48" s="7" t="str">
        <f>IF('Raw Data'!H48="","",SUBSTITUTE('Raw Data'!H48," ",":",1))</f>
        <v>-</v>
      </c>
      <c r="I48" s="7" t="str">
        <f>IF('Raw Data'!I48="","",SUBSTITUTE('Raw Data'!I48," ",":",1))</f>
        <v>329</v>
      </c>
      <c r="J48" s="8">
        <f>IF('Raw Data'!J48="","",IF(LEN(K48)&gt;6,SQRT('Raw Data'!J48^2+N48^2),'Raw Data'!J48))</f>
        <v>46</v>
      </c>
      <c r="K48" s="7" t="str">
        <f>IF('Raw Data'!K48="","",IF(LEN('Raw Data'!K48)&lt;7,SUBSTITUTE('Raw Data'!K48," ",":",1),'Raw Data'!K48))</f>
        <v>level</v>
      </c>
      <c r="L48" t="str">
        <f>IF('Raw Data'!L48="","",'Raw Data'!L48)</f>
        <v/>
      </c>
      <c r="M48">
        <f>IF('Raw Data'!M48="","",'Raw Data'!M48)</f>
        <v>46</v>
      </c>
      <c r="N48">
        <f>IF('Raw Data'!N48="","",IF('Raw Data'!N48="-",0,'Raw Data'!N48))</f>
        <v>0</v>
      </c>
      <c r="O48">
        <f>IF('Raw Data'!O48="","",'Raw Data'!O48)</f>
        <v>34.799999999999997</v>
      </c>
      <c r="P48" t="str">
        <f>IF('Raw Data'!P48="","",'Raw Data'!P48)</f>
        <v>(i) is where passage gets too low. (some indistinct numbers follow. Too faint to read on logbook scan). Total 1207' (?)</v>
      </c>
      <c r="Q48" t="str">
        <f t="shared" si="0"/>
        <v xml:space="preserve"> </v>
      </c>
      <c r="R48" s="3">
        <f t="shared" si="28"/>
        <v>329</v>
      </c>
      <c r="S48" s="3" t="str">
        <f t="shared" si="29"/>
        <v>-</v>
      </c>
      <c r="T48" s="3">
        <f t="shared" si="30"/>
        <v>329</v>
      </c>
      <c r="U48" s="12">
        <f>ASIN(N48/J48)*180/PI()</f>
        <v>0</v>
      </c>
      <c r="W48" s="4">
        <f t="shared" si="9"/>
        <v>46</v>
      </c>
      <c r="X48" s="4">
        <f t="shared" si="10"/>
        <v>0</v>
      </c>
      <c r="Y48" s="3">
        <f t="shared" si="7"/>
        <v>329</v>
      </c>
    </row>
    <row r="49" spans="1:25" x14ac:dyDescent="0.25">
      <c r="A49" t="str">
        <f>IF('Raw Data'!A49="","",'Raw Data'!A49)</f>
        <v>M</v>
      </c>
      <c r="B49">
        <f>IF('Raw Data'!B49="","",'Raw Data'!B49)</f>
        <v>1</v>
      </c>
      <c r="C49" t="str">
        <f>IF('Raw Data'!C49="","",'Raw Data'!C49)</f>
        <v>/</v>
      </c>
      <c r="D49" t="str">
        <f>IF('Raw Data'!D49="","",'Raw Data'!D49)</f>
        <v>/</v>
      </c>
      <c r="E49" t="str">
        <f>IF('Raw Data'!E49="","",'Raw Data'!E49)</f>
        <v>/</v>
      </c>
      <c r="F49" t="str">
        <f>IF('Raw Data'!F49="","",'Raw Data'!F49)</f>
        <v>/</v>
      </c>
      <c r="G49" s="7" t="str">
        <f>IF('Raw Data'!G49="","",SUBSTITUTE('Raw Data'!G49," ",":",1))</f>
        <v>-</v>
      </c>
      <c r="H49" s="7" t="str">
        <f>IF('Raw Data'!H49="","",SUBSTITUTE('Raw Data'!H49," ",":",1))</f>
        <v>145</v>
      </c>
      <c r="I49" s="7" t="str">
        <f>IF('Raw Data'!I49="","",SUBSTITUTE('Raw Data'!I49," ",":",1))</f>
        <v>325</v>
      </c>
      <c r="J49" s="8">
        <f>IF('Raw Data'!J49="","",IF(LEN(K49)&gt;6,SQRT('Raw Data'!J49^2+N49^2),'Raw Data'!J49))</f>
        <v>11.7</v>
      </c>
      <c r="K49" s="7" t="str">
        <f>IF('Raw Data'!K49="","",IF(LEN('Raw Data'!K49)&lt;7,SUBSTITUTE('Raw Data'!K49," ",":",1),'Raw Data'!K49))</f>
        <v>-20</v>
      </c>
      <c r="L49" t="str">
        <f>IF('Raw Data'!L49="","",'Raw Data'!L49)</f>
        <v/>
      </c>
      <c r="M49">
        <f>IF('Raw Data'!M49="","",'Raw Data'!M49)</f>
        <v>10.9</v>
      </c>
      <c r="N49">
        <f>IF('Raw Data'!N49="","",IF('Raw Data'!N49="-",0,'Raw Data'!N49))</f>
        <v>-4</v>
      </c>
      <c r="O49">
        <f>IF('Raw Data'!O49="","",'Raw Data'!O49)</f>
        <v>-9.9</v>
      </c>
      <c r="P49" t="str">
        <f>IF('Raw Data'!P49="","",'Raw Data'!P49)</f>
        <v/>
      </c>
      <c r="Q49" t="str">
        <f t="shared" si="0"/>
        <v xml:space="preserve"> </v>
      </c>
      <c r="R49" s="3" t="str">
        <f t="shared" si="28"/>
        <v>-</v>
      </c>
      <c r="S49" s="3">
        <f t="shared" si="29"/>
        <v>145</v>
      </c>
      <c r="T49" s="3">
        <f t="shared" si="30"/>
        <v>325</v>
      </c>
      <c r="U49" s="3" t="str">
        <f t="shared" ref="U49:U60" si="34">IF(ISERROR(FIND(":",K49)),K49,1*CONCATENATE(LEFT(K49,FIND(":",K49)-1),".",MID(RIGHT(K49,LEN(K49)-FIND(":",K49))/60,3,8)))</f>
        <v>-20</v>
      </c>
      <c r="W49" s="4">
        <f t="shared" si="9"/>
        <v>10.994403663195127</v>
      </c>
      <c r="X49" s="4">
        <f t="shared" si="10"/>
        <v>-4.0016356769103236</v>
      </c>
      <c r="Y49" s="3">
        <f t="shared" si="7"/>
        <v>325</v>
      </c>
    </row>
    <row r="50" spans="1:25" x14ac:dyDescent="0.25">
      <c r="A50">
        <f>IF('Raw Data'!A50="","",'Raw Data'!A50)</f>
        <v>1</v>
      </c>
      <c r="B50">
        <f>IF('Raw Data'!B50="","",'Raw Data'!B50)</f>
        <v>2</v>
      </c>
      <c r="C50" t="str">
        <f>IF('Raw Data'!C50="","",'Raw Data'!C50)</f>
        <v>/</v>
      </c>
      <c r="D50">
        <f>IF('Raw Data'!D50="","",'Raw Data'!D50)</f>
        <v>2.5</v>
      </c>
      <c r="E50" t="str">
        <f>IF('Raw Data'!E50="","",'Raw Data'!E50)</f>
        <v>/</v>
      </c>
      <c r="F50" t="str">
        <f>IF('Raw Data'!F50="","",'Raw Data'!F50)</f>
        <v>/</v>
      </c>
      <c r="G50" s="7" t="str">
        <f>IF('Raw Data'!G50="","",SUBSTITUTE('Raw Data'!G50," ",":",1))</f>
        <v>35</v>
      </c>
      <c r="H50" s="7" t="str">
        <f>IF('Raw Data'!H50="","",SUBSTITUTE('Raw Data'!H50," ",":",1))</f>
        <v>-</v>
      </c>
      <c r="I50" s="7" t="str">
        <f>IF('Raw Data'!I50="","",SUBSTITUTE('Raw Data'!I50," ",":",1))</f>
        <v>35</v>
      </c>
      <c r="J50" s="8">
        <f>IF('Raw Data'!J50="","",IF(LEN(K50)&gt;6,SQRT('Raw Data'!J50^2+N50^2),'Raw Data'!J50))</f>
        <v>28.5</v>
      </c>
      <c r="K50" s="7" t="str">
        <f>IF('Raw Data'!K50="","",IF(LEN('Raw Data'!K50)&lt;7,SUBSTITUTE('Raw Data'!K50," ",":",1),'Raw Data'!K50))</f>
        <v>85</v>
      </c>
      <c r="L50" t="str">
        <f>IF('Raw Data'!L50="","",'Raw Data'!L50)</f>
        <v/>
      </c>
      <c r="M50">
        <f>IF('Raw Data'!M50="","",'Raw Data'!M50)</f>
        <v>2.5</v>
      </c>
      <c r="N50">
        <f>IF('Raw Data'!N50="","",IF('Raw Data'!N50="-",0,'Raw Data'!N50))</f>
        <v>28.4</v>
      </c>
      <c r="O50">
        <f>IF('Raw Data'!O50="","",'Raw Data'!O50)</f>
        <v>13.9</v>
      </c>
      <c r="P50" t="str">
        <f>IF('Raw Data'!P50="","",'Raw Data'!P50)</f>
        <v/>
      </c>
      <c r="Q50" t="str">
        <f t="shared" si="0"/>
        <v xml:space="preserve"> </v>
      </c>
      <c r="R50" s="3">
        <f t="shared" si="28"/>
        <v>35</v>
      </c>
      <c r="S50" s="3" t="str">
        <f t="shared" si="29"/>
        <v>-</v>
      </c>
      <c r="T50" s="3">
        <f t="shared" si="30"/>
        <v>35</v>
      </c>
      <c r="U50" s="3" t="str">
        <f t="shared" si="34"/>
        <v>85</v>
      </c>
      <c r="W50" s="4">
        <f t="shared" si="9"/>
        <v>2.4839386683082569</v>
      </c>
      <c r="X50" s="4">
        <f t="shared" si="10"/>
        <v>28.391548895614747</v>
      </c>
      <c r="Y50" s="3">
        <f t="shared" si="7"/>
        <v>35</v>
      </c>
    </row>
    <row r="51" spans="1:25" x14ac:dyDescent="0.25">
      <c r="A51">
        <f>IF('Raw Data'!A51="","",'Raw Data'!A51)</f>
        <v>2</v>
      </c>
      <c r="B51">
        <f>IF('Raw Data'!B51="","",'Raw Data'!B51)</f>
        <v>3</v>
      </c>
      <c r="C51">
        <f>IF('Raw Data'!C51="","",'Raw Data'!C51)</f>
        <v>4</v>
      </c>
      <c r="D51" t="str">
        <f>IF('Raw Data'!D51="","",'Raw Data'!D51)</f>
        <v>-</v>
      </c>
      <c r="E51">
        <f>IF('Raw Data'!E51="","",'Raw Data'!E51)</f>
        <v>2</v>
      </c>
      <c r="F51">
        <f>IF('Raw Data'!F51="","",'Raw Data'!F51)</f>
        <v>2</v>
      </c>
      <c r="G51" s="7" t="str">
        <f>IF('Raw Data'!G51="","",SUBSTITUTE('Raw Data'!G51," ",":",1))</f>
        <v>-</v>
      </c>
      <c r="H51" s="7" t="str">
        <f>IF('Raw Data'!H51="","",SUBSTITUTE('Raw Data'!H51," ",":",1))</f>
        <v>230</v>
      </c>
      <c r="I51" s="7" t="str">
        <f>IF('Raw Data'!I51="","",SUBSTITUTE('Raw Data'!I51," ",":",1))</f>
        <v>50</v>
      </c>
      <c r="J51" s="8">
        <f>IF('Raw Data'!J51="","",IF(LEN(K51)&gt;6,SQRT('Raw Data'!J51^2+N51^2),'Raw Data'!J51))</f>
        <v>19.899999999999999</v>
      </c>
      <c r="K51" s="7" t="str">
        <f>IF('Raw Data'!K51="","",IF(LEN('Raw Data'!K51)&lt;7,SUBSTITUTE('Raw Data'!K51," ",":",1),'Raw Data'!K51))</f>
        <v>16</v>
      </c>
      <c r="L51" t="str">
        <f>IF('Raw Data'!L51="","",'Raw Data'!L51)</f>
        <v/>
      </c>
      <c r="M51">
        <f>IF('Raw Data'!M51="","",'Raw Data'!M51)</f>
        <v>19.100000000000001</v>
      </c>
      <c r="N51">
        <f>IF('Raw Data'!N51="","",IF('Raw Data'!N51="-",0,'Raw Data'!N51))</f>
        <v>5.5</v>
      </c>
      <c r="O51" t="str">
        <f>IF('Raw Data'!O51="","",'Raw Data'!O51)</f>
        <v>+</v>
      </c>
      <c r="P51" t="str">
        <f>IF('Raw Data'!P51="","",'Raw Data'!P51)</f>
        <v>2 is on lip of Approach passage. Little passage starts 15 back.</v>
      </c>
      <c r="Q51" t="str">
        <f t="shared" si="0"/>
        <v xml:space="preserve"> </v>
      </c>
      <c r="R51" s="3" t="str">
        <f t="shared" si="28"/>
        <v>-</v>
      </c>
      <c r="S51" s="3">
        <f t="shared" si="29"/>
        <v>230</v>
      </c>
      <c r="T51" s="3">
        <f t="shared" si="30"/>
        <v>50</v>
      </c>
      <c r="U51" s="3" t="str">
        <f t="shared" si="34"/>
        <v>16</v>
      </c>
      <c r="W51" s="4">
        <f t="shared" si="9"/>
        <v>19.129107749172544</v>
      </c>
      <c r="X51" s="4">
        <f t="shared" si="10"/>
        <v>5.4851833807582828</v>
      </c>
      <c r="Y51" s="3">
        <f t="shared" si="7"/>
        <v>50</v>
      </c>
    </row>
    <row r="52" spans="1:25" x14ac:dyDescent="0.25">
      <c r="A52">
        <f>IF('Raw Data'!A52="","",'Raw Data'!A52)</f>
        <v>3</v>
      </c>
      <c r="B52">
        <f>IF('Raw Data'!B52="","",'Raw Data'!B52)</f>
        <v>4</v>
      </c>
      <c r="C52">
        <f>IF('Raw Data'!C52="","",'Raw Data'!C52)</f>
        <v>2</v>
      </c>
      <c r="D52">
        <f>IF('Raw Data'!D52="","",'Raw Data'!D52)</f>
        <v>1</v>
      </c>
      <c r="E52">
        <f>IF('Raw Data'!E52="","",'Raw Data'!E52)</f>
        <v>2</v>
      </c>
      <c r="F52">
        <f>IF('Raw Data'!F52="","",'Raw Data'!F52)</f>
        <v>2</v>
      </c>
      <c r="G52" s="7" t="str">
        <f>IF('Raw Data'!G52="","",SUBSTITUTE('Raw Data'!G52," ",":",1))</f>
        <v>122</v>
      </c>
      <c r="H52" s="7" t="str">
        <f>IF('Raw Data'!H52="","",SUBSTITUTE('Raw Data'!H52," ",":",1))</f>
        <v>-</v>
      </c>
      <c r="I52" s="7" t="str">
        <f>IF('Raw Data'!I52="","",SUBSTITUTE('Raw Data'!I52," ",":",1))</f>
        <v>122</v>
      </c>
      <c r="J52" s="8">
        <f>IF('Raw Data'!J52="","",IF(LEN(K52)&gt;6,SQRT('Raw Data'!J52^2+N52^2),'Raw Data'!J52))</f>
        <v>16</v>
      </c>
      <c r="K52" s="7" t="str">
        <f>IF('Raw Data'!K52="","",IF(LEN('Raw Data'!K52)&lt;7,SUBSTITUTE('Raw Data'!K52," ",":",1),'Raw Data'!K52))</f>
        <v>7</v>
      </c>
      <c r="L52" t="str">
        <f>IF('Raw Data'!L52="","",'Raw Data'!L52)</f>
        <v/>
      </c>
      <c r="M52">
        <f>IF('Raw Data'!M52="","",'Raw Data'!M52)</f>
        <v>15.9</v>
      </c>
      <c r="N52">
        <f>IF('Raw Data'!N52="","",IF('Raw Data'!N52="-",0,'Raw Data'!N52))</f>
        <v>1.9</v>
      </c>
      <c r="O52">
        <f>IF('Raw Data'!O52="","",'Raw Data'!O52)</f>
        <v>22</v>
      </c>
      <c r="P52" t="str">
        <f>IF('Raw Data'!P52="","",'Raw Data'!P52)</f>
        <v>3 - 12 Trench up to 2 feet deep in floor of this passage</v>
      </c>
      <c r="Q52" t="str">
        <f t="shared" si="0"/>
        <v xml:space="preserve"> </v>
      </c>
      <c r="R52" s="3">
        <f t="shared" si="28"/>
        <v>122</v>
      </c>
      <c r="S52" s="3" t="str">
        <f t="shared" si="29"/>
        <v>-</v>
      </c>
      <c r="T52" s="3">
        <f t="shared" si="30"/>
        <v>122</v>
      </c>
      <c r="U52" s="3" t="str">
        <f t="shared" si="34"/>
        <v>7</v>
      </c>
      <c r="W52" s="4">
        <f t="shared" si="9"/>
        <v>15.880738426261152</v>
      </c>
      <c r="X52" s="4">
        <f t="shared" si="10"/>
        <v>1.9499094944823596</v>
      </c>
      <c r="Y52" s="3">
        <f t="shared" si="7"/>
        <v>122</v>
      </c>
    </row>
    <row r="53" spans="1:25" x14ac:dyDescent="0.25">
      <c r="A53">
        <f>IF('Raw Data'!A53="","",'Raw Data'!A53)</f>
        <v>4</v>
      </c>
      <c r="B53">
        <f>IF('Raw Data'!B53="","",'Raw Data'!B53)</f>
        <v>5</v>
      </c>
      <c r="C53">
        <f>IF('Raw Data'!C53="","",'Raw Data'!C53)</f>
        <v>2</v>
      </c>
      <c r="D53">
        <f>IF('Raw Data'!D53="","",'Raw Data'!D53)</f>
        <v>1</v>
      </c>
      <c r="E53">
        <f>IF('Raw Data'!E53="","",'Raw Data'!E53)</f>
        <v>2</v>
      </c>
      <c r="F53">
        <f>IF('Raw Data'!F53="","",'Raw Data'!F53)</f>
        <v>4</v>
      </c>
      <c r="G53" s="7" t="str">
        <f>IF('Raw Data'!G53="","",SUBSTITUTE('Raw Data'!G53," ",":",1))</f>
        <v>59</v>
      </c>
      <c r="H53" s="7" t="str">
        <f>IF('Raw Data'!H53="","",SUBSTITUTE('Raw Data'!H53," ",":",1))</f>
        <v>-</v>
      </c>
      <c r="I53" s="7" t="str">
        <f>IF('Raw Data'!I53="","",SUBSTITUTE('Raw Data'!I53," ",":",1))</f>
        <v>59</v>
      </c>
      <c r="J53" s="8">
        <f>IF('Raw Data'!J53="","",IF(LEN(K53)&gt;6,SQRT('Raw Data'!J53^2+N53^2),'Raw Data'!J53))</f>
        <v>18</v>
      </c>
      <c r="K53" s="7" t="str">
        <f>IF('Raw Data'!K53="","",IF(LEN('Raw Data'!K53)&lt;7,SUBSTITUTE('Raw Data'!K53," ",":",1),'Raw Data'!K53))</f>
        <v>15</v>
      </c>
      <c r="L53" t="str">
        <f>IF('Raw Data'!L53="","",'Raw Data'!L53)</f>
        <v/>
      </c>
      <c r="M53">
        <f>IF('Raw Data'!M53="","",'Raw Data'!M53)</f>
        <v>17.399999999999999</v>
      </c>
      <c r="N53">
        <f>IF('Raw Data'!N53="","",IF('Raw Data'!N53="-",0,'Raw Data'!N53))</f>
        <v>4.7</v>
      </c>
      <c r="O53">
        <f>IF('Raw Data'!O53="","",'Raw Data'!O53)</f>
        <v>26.9</v>
      </c>
      <c r="P53" t="str">
        <f>IF('Raw Data'!P53="","",'Raw Data'!P53)</f>
        <v>Little passage off to South from 4</v>
      </c>
      <c r="Q53" t="str">
        <f t="shared" si="0"/>
        <v xml:space="preserve"> </v>
      </c>
      <c r="R53" s="3">
        <f t="shared" si="28"/>
        <v>59</v>
      </c>
      <c r="S53" s="3" t="str">
        <f t="shared" si="29"/>
        <v>-</v>
      </c>
      <c r="T53" s="3">
        <f t="shared" si="30"/>
        <v>59</v>
      </c>
      <c r="U53" s="3" t="str">
        <f t="shared" si="34"/>
        <v>15</v>
      </c>
      <c r="W53" s="4">
        <f t="shared" si="9"/>
        <v>17.38666487320323</v>
      </c>
      <c r="X53" s="4">
        <f t="shared" si="10"/>
        <v>4.6587428118453733</v>
      </c>
      <c r="Y53" s="3">
        <f t="shared" si="7"/>
        <v>59</v>
      </c>
    </row>
    <row r="54" spans="1:25" x14ac:dyDescent="0.25">
      <c r="A54">
        <f>IF('Raw Data'!A54="","",'Raw Data'!A54)</f>
        <v>5</v>
      </c>
      <c r="B54">
        <f>IF('Raw Data'!B54="","",'Raw Data'!B54)</f>
        <v>6</v>
      </c>
      <c r="C54" t="str">
        <f>IF('Raw Data'!C54="","",'Raw Data'!C54)</f>
        <v>/</v>
      </c>
      <c r="D54">
        <f>IF('Raw Data'!D54="","",'Raw Data'!D54)</f>
        <v>1</v>
      </c>
      <c r="E54" t="str">
        <f>IF('Raw Data'!E54="","",'Raw Data'!E54)</f>
        <v>/</v>
      </c>
      <c r="F54" t="str">
        <f>IF('Raw Data'!F54="","",'Raw Data'!F54)</f>
        <v>/</v>
      </c>
      <c r="G54" s="7" t="str">
        <f>IF('Raw Data'!G54="","",SUBSTITUTE('Raw Data'!G54," ",":",1))</f>
        <v>17</v>
      </c>
      <c r="H54" s="7" t="str">
        <f>IF('Raw Data'!H54="","",SUBSTITUTE('Raw Data'!H54," ",":",1))</f>
        <v>-</v>
      </c>
      <c r="I54" s="7" t="str">
        <f>IF('Raw Data'!I54="","",SUBSTITUTE('Raw Data'!I54," ",":",1))</f>
        <v>17</v>
      </c>
      <c r="J54" s="8">
        <f>IF('Raw Data'!J54="","",IF(LEN(K54)&gt;6,SQRT('Raw Data'!J54^2+N54^2),'Raw Data'!J54))</f>
        <v>9.5</v>
      </c>
      <c r="K54" s="7" t="str">
        <f>IF('Raw Data'!K54="","",IF(LEN('Raw Data'!K54)&lt;7,SUBSTITUTE('Raw Data'!K54," ",":",1),'Raw Data'!K54))</f>
        <v>10</v>
      </c>
      <c r="L54" t="str">
        <f>IF('Raw Data'!L54="","",'Raw Data'!L54)</f>
        <v/>
      </c>
      <c r="M54">
        <f>IF('Raw Data'!M54="","",'Raw Data'!M54)</f>
        <v>9.4</v>
      </c>
      <c r="N54">
        <f>IF('Raw Data'!N54="","",IF('Raw Data'!N54="-",0,'Raw Data'!N54))</f>
        <v>1.6</v>
      </c>
      <c r="O54">
        <f>IF('Raw Data'!O54="","",'Raw Data'!O54)</f>
        <v>33.6</v>
      </c>
      <c r="P54" t="str">
        <f>IF('Raw Data'!P54="","",'Raw Data'!P54)</f>
        <v/>
      </c>
      <c r="Q54" t="str">
        <f t="shared" si="0"/>
        <v xml:space="preserve"> </v>
      </c>
      <c r="R54" s="3">
        <f t="shared" si="28"/>
        <v>17</v>
      </c>
      <c r="S54" s="3" t="str">
        <f t="shared" si="29"/>
        <v>-</v>
      </c>
      <c r="T54" s="3">
        <f t="shared" si="30"/>
        <v>17</v>
      </c>
      <c r="U54" s="3" t="str">
        <f t="shared" si="34"/>
        <v>10</v>
      </c>
      <c r="W54" s="4">
        <f t="shared" si="9"/>
        <v>9.3556736536159768</v>
      </c>
      <c r="X54" s="4">
        <f t="shared" si="10"/>
        <v>1.6496576878358382</v>
      </c>
      <c r="Y54" s="3">
        <f t="shared" si="7"/>
        <v>17</v>
      </c>
    </row>
    <row r="55" spans="1:25" x14ac:dyDescent="0.25">
      <c r="A55">
        <f>IF('Raw Data'!A55="","",'Raw Data'!A55)</f>
        <v>6</v>
      </c>
      <c r="B55">
        <f>IF('Raw Data'!B55="","",'Raw Data'!B55)</f>
        <v>7</v>
      </c>
      <c r="C55">
        <f>IF('Raw Data'!C55="","",'Raw Data'!C55)</f>
        <v>2</v>
      </c>
      <c r="D55">
        <f>IF('Raw Data'!D55="","",'Raw Data'!D55)</f>
        <v>0.5</v>
      </c>
      <c r="E55">
        <f>IF('Raw Data'!E55="","",'Raw Data'!E55)</f>
        <v>3</v>
      </c>
      <c r="F55">
        <f>IF('Raw Data'!F55="","",'Raw Data'!F55)</f>
        <v>1</v>
      </c>
      <c r="G55" s="7" t="str">
        <f>IF('Raw Data'!G55="","",SUBSTITUTE('Raw Data'!G55," ",":",1))</f>
        <v>46</v>
      </c>
      <c r="H55" s="7" t="str">
        <f>IF('Raw Data'!H55="","",SUBSTITUTE('Raw Data'!H55," ",":",1))</f>
        <v>-</v>
      </c>
      <c r="I55" s="7" t="str">
        <f>IF('Raw Data'!I55="","",SUBSTITUTE('Raw Data'!I55," ",":",1))</f>
        <v>46</v>
      </c>
      <c r="J55" s="8">
        <f>IF('Raw Data'!J55="","",IF(LEN(K55)&gt;6,SQRT('Raw Data'!J55^2+N55^2),'Raw Data'!J55))</f>
        <v>13.5</v>
      </c>
      <c r="K55" s="7" t="str">
        <f>IF('Raw Data'!K55="","",IF(LEN('Raw Data'!K55)&lt;7,SUBSTITUTE('Raw Data'!K55," ",":",1),'Raw Data'!K55))</f>
        <v>17</v>
      </c>
      <c r="L55" t="str">
        <f>IF('Raw Data'!L55="","",'Raw Data'!L55)</f>
        <v/>
      </c>
      <c r="M55">
        <f>IF('Raw Data'!M55="","",'Raw Data'!M55)</f>
        <v>12.9</v>
      </c>
      <c r="N55">
        <f>IF('Raw Data'!N55="","",IF('Raw Data'!N55="-",0,'Raw Data'!N55))</f>
        <v>4</v>
      </c>
      <c r="O55">
        <f>IF('Raw Data'!O55="","",'Raw Data'!O55)</f>
        <v>38.200000000000003</v>
      </c>
      <c r="P55" t="str">
        <f>IF('Raw Data'!P55="","",'Raw Data'!P55)</f>
        <v/>
      </c>
      <c r="Q55" t="str">
        <f t="shared" si="0"/>
        <v xml:space="preserve"> </v>
      </c>
      <c r="R55" s="3">
        <f t="shared" si="28"/>
        <v>46</v>
      </c>
      <c r="S55" s="3" t="str">
        <f t="shared" si="29"/>
        <v>-</v>
      </c>
      <c r="T55" s="3">
        <f t="shared" si="30"/>
        <v>46</v>
      </c>
      <c r="U55" s="3" t="str">
        <f t="shared" si="34"/>
        <v>17</v>
      </c>
      <c r="W55" s="4">
        <f t="shared" si="9"/>
        <v>12.910114205500978</v>
      </c>
      <c r="X55" s="4">
        <f t="shared" si="10"/>
        <v>3.9470180137569466</v>
      </c>
      <c r="Y55" s="3">
        <f t="shared" si="7"/>
        <v>46</v>
      </c>
    </row>
    <row r="56" spans="1:25" x14ac:dyDescent="0.25">
      <c r="A56">
        <f>IF('Raw Data'!A56="","",'Raw Data'!A56)</f>
        <v>7</v>
      </c>
      <c r="B56">
        <f>IF('Raw Data'!B56="","",'Raw Data'!B56)</f>
        <v>8</v>
      </c>
      <c r="C56">
        <f>IF('Raw Data'!C56="","",'Raw Data'!C56)</f>
        <v>2</v>
      </c>
      <c r="D56">
        <f>IF('Raw Data'!D56="","",'Raw Data'!D56)</f>
        <v>0.5</v>
      </c>
      <c r="E56">
        <f>IF('Raw Data'!E56="","",'Raw Data'!E56)</f>
        <v>1</v>
      </c>
      <c r="F56">
        <f>IF('Raw Data'!F56="","",'Raw Data'!F56)</f>
        <v>2</v>
      </c>
      <c r="G56" s="7" t="str">
        <f>IF('Raw Data'!G56="","",SUBSTITUTE('Raw Data'!G56," ",":",1))</f>
        <v>74</v>
      </c>
      <c r="H56" s="7" t="str">
        <f>IF('Raw Data'!H56="","",SUBSTITUTE('Raw Data'!H56," ",":",1))</f>
        <v>-</v>
      </c>
      <c r="I56" s="7" t="str">
        <f>IF('Raw Data'!I56="","",SUBSTITUTE('Raw Data'!I56," ",":",1))</f>
        <v>74</v>
      </c>
      <c r="J56" s="8">
        <f>IF('Raw Data'!J56="","",IF(LEN(K56)&gt;6,SQRT('Raw Data'!J56^2+N56^2),'Raw Data'!J56))</f>
        <v>24.2</v>
      </c>
      <c r="K56" s="7" t="str">
        <f>IF('Raw Data'!K56="","",IF(LEN('Raw Data'!K56)&lt;7,SUBSTITUTE('Raw Data'!K56," ",":",1),'Raw Data'!K56))</f>
        <v>13</v>
      </c>
      <c r="L56" t="str">
        <f>IF('Raw Data'!L56="","",'Raw Data'!L56)</f>
        <v/>
      </c>
      <c r="M56">
        <f>IF('Raw Data'!M56="","",'Raw Data'!M56)</f>
        <v>23.6</v>
      </c>
      <c r="N56">
        <f>IF('Raw Data'!N56="","",IF('Raw Data'!N56="-",0,'Raw Data'!N56))</f>
        <v>5.4</v>
      </c>
      <c r="O56">
        <f>IF('Raw Data'!O56="","",'Raw Data'!O56)</f>
        <v>46.2</v>
      </c>
      <c r="P56" t="str">
        <f>IF('Raw Data'!P56="","",'Raw Data'!P56)</f>
        <v/>
      </c>
      <c r="Q56" t="str">
        <f t="shared" si="0"/>
        <v xml:space="preserve"> </v>
      </c>
      <c r="R56" s="3">
        <f t="shared" si="28"/>
        <v>74</v>
      </c>
      <c r="S56" s="3" t="str">
        <f t="shared" si="29"/>
        <v>-</v>
      </c>
      <c r="T56" s="3">
        <f t="shared" si="30"/>
        <v>74</v>
      </c>
      <c r="U56" s="3" t="str">
        <f t="shared" si="34"/>
        <v>13</v>
      </c>
      <c r="W56" s="4">
        <f t="shared" si="9"/>
        <v>23.579755567802692</v>
      </c>
      <c r="X56" s="4">
        <f t="shared" si="10"/>
        <v>5.4438155151215328</v>
      </c>
      <c r="Y56" s="3">
        <f t="shared" si="7"/>
        <v>74</v>
      </c>
    </row>
    <row r="57" spans="1:25" x14ac:dyDescent="0.25">
      <c r="A57">
        <f>IF('Raw Data'!A57="","",'Raw Data'!A57)</f>
        <v>8</v>
      </c>
      <c r="B57">
        <f>IF('Raw Data'!B57="","",'Raw Data'!B57)</f>
        <v>9</v>
      </c>
      <c r="C57">
        <f>IF('Raw Data'!C57="","",'Raw Data'!C57)</f>
        <v>3</v>
      </c>
      <c r="D57">
        <f>IF('Raw Data'!D57="","",'Raw Data'!D57)</f>
        <v>0.5</v>
      </c>
      <c r="E57">
        <f>IF('Raw Data'!E57="","",'Raw Data'!E57)</f>
        <v>2</v>
      </c>
      <c r="F57">
        <f>IF('Raw Data'!F57="","",'Raw Data'!F57)</f>
        <v>1</v>
      </c>
      <c r="G57" s="7" t="str">
        <f>IF('Raw Data'!G57="","",SUBSTITUTE('Raw Data'!G57," ",":",1))</f>
        <v>137</v>
      </c>
      <c r="H57" s="7" t="str">
        <f>IF('Raw Data'!H57="","",SUBSTITUTE('Raw Data'!H57," ",":",1))</f>
        <v>-</v>
      </c>
      <c r="I57" s="7" t="str">
        <f>IF('Raw Data'!I57="","",SUBSTITUTE('Raw Data'!I57," ",":",1))</f>
        <v>137</v>
      </c>
      <c r="J57" s="8">
        <f>IF('Raw Data'!J57="","",IF(LEN(K57)&gt;6,SQRT('Raw Data'!J57^2+N57^2),'Raw Data'!J57))</f>
        <v>8.8000000000000007</v>
      </c>
      <c r="K57" s="7" t="str">
        <f>IF('Raw Data'!K57="","",IF(LEN('Raw Data'!K57)&lt;7,SUBSTITUTE('Raw Data'!K57," ",":",1),'Raw Data'!K57))</f>
        <v>10</v>
      </c>
      <c r="L57" t="str">
        <f>IF('Raw Data'!L57="","",'Raw Data'!L57)</f>
        <v/>
      </c>
      <c r="M57">
        <f>IF('Raw Data'!M57="","",'Raw Data'!M57)</f>
        <v>8.6999999999999993</v>
      </c>
      <c r="N57">
        <f>IF('Raw Data'!N57="","",IF('Raw Data'!N57="-",0,'Raw Data'!N57))</f>
        <v>1.5</v>
      </c>
      <c r="O57">
        <f>IF('Raw Data'!O57="","",'Raw Data'!O57)</f>
        <v>52.6</v>
      </c>
      <c r="P57" t="str">
        <f>IF('Raw Data'!P57="","",'Raw Data'!P57)</f>
        <v/>
      </c>
      <c r="Q57" t="str">
        <f t="shared" si="0"/>
        <v xml:space="preserve"> </v>
      </c>
      <c r="R57" s="3">
        <f t="shared" si="28"/>
        <v>137</v>
      </c>
      <c r="S57" s="3" t="str">
        <f t="shared" si="29"/>
        <v>-</v>
      </c>
      <c r="T57" s="3">
        <f t="shared" si="30"/>
        <v>137</v>
      </c>
      <c r="U57" s="3" t="str">
        <f t="shared" si="34"/>
        <v>10</v>
      </c>
      <c r="W57" s="4">
        <f t="shared" si="9"/>
        <v>8.6663082265074305</v>
      </c>
      <c r="X57" s="4">
        <f t="shared" si="10"/>
        <v>1.528103963468987</v>
      </c>
      <c r="Y57" s="3">
        <f t="shared" si="7"/>
        <v>137</v>
      </c>
    </row>
    <row r="58" spans="1:25" x14ac:dyDescent="0.25">
      <c r="A58">
        <f>IF('Raw Data'!A58="","",'Raw Data'!A58)</f>
        <v>9</v>
      </c>
      <c r="B58">
        <f>IF('Raw Data'!B58="","",'Raw Data'!B58)</f>
        <v>10</v>
      </c>
      <c r="C58">
        <f>IF('Raw Data'!C58="","",'Raw Data'!C58)</f>
        <v>2</v>
      </c>
      <c r="D58">
        <f>IF('Raw Data'!D58="","",'Raw Data'!D58)</f>
        <v>0.5</v>
      </c>
      <c r="E58">
        <f>IF('Raw Data'!E58="","",'Raw Data'!E58)</f>
        <v>2</v>
      </c>
      <c r="F58">
        <f>IF('Raw Data'!F58="","",'Raw Data'!F58)</f>
        <v>2</v>
      </c>
      <c r="G58" s="7" t="str">
        <f>IF('Raw Data'!G58="","",SUBSTITUTE('Raw Data'!G58," ",":",1))</f>
        <v>89</v>
      </c>
      <c r="H58" s="7" t="str">
        <f>IF('Raw Data'!H58="","",SUBSTITUTE('Raw Data'!H58," ",":",1))</f>
        <v>-</v>
      </c>
      <c r="I58" s="7" t="str">
        <f>IF('Raw Data'!I58="","",SUBSTITUTE('Raw Data'!I58," ",":",1))</f>
        <v>89</v>
      </c>
      <c r="J58" s="8">
        <f>IF('Raw Data'!J58="","",IF(LEN(K58)&gt;6,SQRT('Raw Data'!J58^2+N58^2),'Raw Data'!J58))</f>
        <v>19.8</v>
      </c>
      <c r="K58" s="7" t="str">
        <f>IF('Raw Data'!K58="","",IF(LEN('Raw Data'!K58)&lt;7,SUBSTITUTE('Raw Data'!K58," ",":",1),'Raw Data'!K58))</f>
        <v>15</v>
      </c>
      <c r="L58" t="str">
        <f>IF('Raw Data'!L58="","",'Raw Data'!L58)</f>
        <v/>
      </c>
      <c r="M58">
        <f>IF('Raw Data'!M58="","",'Raw Data'!M58)</f>
        <v>19.100000000000001</v>
      </c>
      <c r="N58">
        <f>IF('Raw Data'!N58="","",IF('Raw Data'!N58="-",0,'Raw Data'!N58))</f>
        <v>5.0999999999999996</v>
      </c>
      <c r="O58">
        <f>IF('Raw Data'!O58="","",'Raw Data'!O58)</f>
        <v>56.1</v>
      </c>
      <c r="P58" t="str">
        <f>IF('Raw Data'!P58="","",'Raw Data'!P58)</f>
        <v/>
      </c>
      <c r="Q58" t="str">
        <f t="shared" si="0"/>
        <v xml:space="preserve"> </v>
      </c>
      <c r="R58" s="3">
        <f t="shared" si="28"/>
        <v>89</v>
      </c>
      <c r="S58" s="3" t="str">
        <f t="shared" si="29"/>
        <v>-</v>
      </c>
      <c r="T58" s="3">
        <f t="shared" si="30"/>
        <v>89</v>
      </c>
      <c r="U58" s="3" t="str">
        <f t="shared" si="34"/>
        <v>15</v>
      </c>
      <c r="W58" s="4">
        <f t="shared" si="9"/>
        <v>19.125331360523553</v>
      </c>
      <c r="X58" s="4">
        <f t="shared" si="10"/>
        <v>5.1246170930299106</v>
      </c>
      <c r="Y58" s="3">
        <f t="shared" si="7"/>
        <v>89</v>
      </c>
    </row>
    <row r="59" spans="1:25" x14ac:dyDescent="0.25">
      <c r="A59">
        <f>IF('Raw Data'!A59="","",'Raw Data'!A59)</f>
        <v>10</v>
      </c>
      <c r="B59">
        <f>IF('Raw Data'!B59="","",'Raw Data'!B59)</f>
        <v>11</v>
      </c>
      <c r="C59" t="str">
        <f>IF('Raw Data'!C59="","",'Raw Data'!C59)</f>
        <v>/</v>
      </c>
      <c r="D59">
        <f>IF('Raw Data'!D59="","",'Raw Data'!D59)</f>
        <v>0.5</v>
      </c>
      <c r="E59">
        <f>IF('Raw Data'!E59="","",'Raw Data'!E59)</f>
        <v>1</v>
      </c>
      <c r="F59">
        <f>IF('Raw Data'!F59="","",'Raw Data'!F59)</f>
        <v>3</v>
      </c>
      <c r="G59" s="7" t="str">
        <f>IF('Raw Data'!G59="","",SUBSTITUTE('Raw Data'!G59," ",":",1))</f>
        <v>26</v>
      </c>
      <c r="H59" s="7" t="str">
        <f>IF('Raw Data'!H59="","",SUBSTITUTE('Raw Data'!H59," ",":",1))</f>
        <v>-</v>
      </c>
      <c r="I59" s="7" t="str">
        <f>IF('Raw Data'!I59="","",SUBSTITUTE('Raw Data'!I59," ",":",1))</f>
        <v>26</v>
      </c>
      <c r="J59" s="8">
        <f>IF('Raw Data'!J59="","",IF(LEN(K59)&gt;6,SQRT('Raw Data'!J59^2+N59^2),'Raw Data'!J59))</f>
        <v>9</v>
      </c>
      <c r="K59" s="7" t="str">
        <f>IF('Raw Data'!K59="","",IF(LEN('Raw Data'!K59)&lt;7,SUBSTITUTE('Raw Data'!K59," ",":",1),'Raw Data'!K59))</f>
        <v>12</v>
      </c>
      <c r="L59" t="str">
        <f>IF('Raw Data'!L59="","",'Raw Data'!L59)</f>
        <v/>
      </c>
      <c r="M59">
        <f>IF('Raw Data'!M59="","",'Raw Data'!M59)</f>
        <v>8.8000000000000007</v>
      </c>
      <c r="N59">
        <f>IF('Raw Data'!N59="","",IF('Raw Data'!N59="-",0,'Raw Data'!N59))</f>
        <v>1.9</v>
      </c>
      <c r="O59">
        <f>IF('Raw Data'!O59="","",'Raw Data'!O59)</f>
        <v>62.2</v>
      </c>
      <c r="P59" t="str">
        <f>IF('Raw Data'!P59="","",'Raw Data'!P59)</f>
        <v/>
      </c>
      <c r="Q59" t="str">
        <f t="shared" si="0"/>
        <v xml:space="preserve"> </v>
      </c>
      <c r="R59" s="3">
        <f t="shared" si="28"/>
        <v>26</v>
      </c>
      <c r="S59" s="3" t="str">
        <f t="shared" si="29"/>
        <v>-</v>
      </c>
      <c r="T59" s="3">
        <f t="shared" si="30"/>
        <v>26</v>
      </c>
      <c r="U59" s="3" t="str">
        <f t="shared" si="34"/>
        <v>12</v>
      </c>
      <c r="W59" s="4">
        <f t="shared" si="9"/>
        <v>8.8033284066042512</v>
      </c>
      <c r="X59" s="4">
        <f t="shared" si="10"/>
        <v>1.8712052173598339</v>
      </c>
      <c r="Y59" s="3">
        <f t="shared" si="7"/>
        <v>26</v>
      </c>
    </row>
    <row r="60" spans="1:25" x14ac:dyDescent="0.25">
      <c r="A60">
        <f>IF('Raw Data'!A60="","",'Raw Data'!A60)</f>
        <v>11</v>
      </c>
      <c r="B60">
        <f>IF('Raw Data'!B60="","",'Raw Data'!B60)</f>
        <v>12</v>
      </c>
      <c r="C60">
        <f>IF('Raw Data'!C60="","",'Raw Data'!C60)</f>
        <v>2</v>
      </c>
      <c r="D60">
        <f>IF('Raw Data'!D60="","",'Raw Data'!D60)</f>
        <v>0.5</v>
      </c>
      <c r="E60" t="str">
        <f>IF('Raw Data'!E60="","",'Raw Data'!E60)</f>
        <v>/</v>
      </c>
      <c r="F60" t="str">
        <f>IF('Raw Data'!F60="","",'Raw Data'!F60)</f>
        <v>/</v>
      </c>
      <c r="G60" s="7" t="str">
        <f>IF('Raw Data'!G60="","",SUBSTITUTE('Raw Data'!G60," ",":",1))</f>
        <v>78</v>
      </c>
      <c r="H60" s="7" t="str">
        <f>IF('Raw Data'!H60="","",SUBSTITUTE('Raw Data'!H60," ",":",1))</f>
        <v>-</v>
      </c>
      <c r="I60" s="7" t="str">
        <f>IF('Raw Data'!I60="","",SUBSTITUTE('Raw Data'!I60," ",":",1))</f>
        <v>78</v>
      </c>
      <c r="J60" s="8">
        <f>IF('Raw Data'!J60="","",IF(LEN(K60)&gt;6,SQRT('Raw Data'!J60^2+N60^2),'Raw Data'!J60))</f>
        <v>10.7</v>
      </c>
      <c r="K60" s="7" t="str">
        <f>IF('Raw Data'!K60="","",IF(LEN('Raw Data'!K60)&lt;7,SUBSTITUTE('Raw Data'!K60," ",":",1),'Raw Data'!K60))</f>
        <v>10</v>
      </c>
      <c r="L60" t="str">
        <f>IF('Raw Data'!L60="","",'Raw Data'!L60)</f>
        <v/>
      </c>
      <c r="M60">
        <f>IF('Raw Data'!M60="","",'Raw Data'!M60)</f>
        <v>10.5</v>
      </c>
      <c r="N60">
        <f>IF('Raw Data'!N60="","",IF('Raw Data'!N60="-",0,'Raw Data'!N60))</f>
        <v>1.9</v>
      </c>
      <c r="O60">
        <f>IF('Raw Data'!O60="","",'Raw Data'!O60)</f>
        <v>65.099999999999994</v>
      </c>
      <c r="P60" t="str">
        <f>IF('Raw Data'!P60="","",'Raw Data'!P60)</f>
        <v/>
      </c>
      <c r="Q60" t="str">
        <f t="shared" si="0"/>
        <v xml:space="preserve"> </v>
      </c>
      <c r="R60" s="3">
        <f t="shared" si="28"/>
        <v>78</v>
      </c>
      <c r="S60" s="3" t="str">
        <f t="shared" si="29"/>
        <v>-</v>
      </c>
      <c r="T60" s="3">
        <f t="shared" si="30"/>
        <v>78</v>
      </c>
      <c r="U60" s="3" t="str">
        <f t="shared" si="34"/>
        <v>10</v>
      </c>
      <c r="W60" s="4">
        <f t="shared" si="9"/>
        <v>10.537442957230626</v>
      </c>
      <c r="X60" s="4">
        <f t="shared" si="10"/>
        <v>1.8580355010361544</v>
      </c>
      <c r="Y60" s="3">
        <f t="shared" si="7"/>
        <v>78</v>
      </c>
    </row>
    <row r="61" spans="1:25" x14ac:dyDescent="0.25">
      <c r="A61">
        <f>IF('Raw Data'!A61="","",'Raw Data'!A61)</f>
        <v>12</v>
      </c>
      <c r="B61">
        <f>IF('Raw Data'!B61="","",'Raw Data'!B61)</f>
        <v>13</v>
      </c>
      <c r="C61">
        <f>IF('Raw Data'!C61="","",'Raw Data'!C61)</f>
        <v>2</v>
      </c>
      <c r="D61">
        <f>IF('Raw Data'!D61="","",'Raw Data'!D61)</f>
        <v>2</v>
      </c>
      <c r="E61" t="str">
        <f>IF('Raw Data'!E61="","",'Raw Data'!E61)</f>
        <v>/</v>
      </c>
      <c r="F61">
        <f>IF('Raw Data'!F61="","",'Raw Data'!F61)</f>
        <v>1</v>
      </c>
      <c r="G61" s="7" t="str">
        <f>IF('Raw Data'!G61="","",SUBSTITUTE('Raw Data'!G61," ",":",1))</f>
        <v>25</v>
      </c>
      <c r="H61" s="7" t="str">
        <f>IF('Raw Data'!H61="","",SUBSTITUTE('Raw Data'!H61," ",":",1))</f>
        <v>-</v>
      </c>
      <c r="I61" s="7" t="str">
        <f>IF('Raw Data'!I61="","",SUBSTITUTE('Raw Data'!I61," ",":",1))</f>
        <v>25</v>
      </c>
      <c r="J61" s="8">
        <f>IF('Raw Data'!J61="","",IF(LEN(K61)&gt;6,SQRT('Raw Data'!J61^2+N61^2),'Raw Data'!J61))</f>
        <v>8.7321245982864895</v>
      </c>
      <c r="K61" s="7" t="str">
        <f>IF('Raw Data'!K61="","",IF(LEN('Raw Data'!K61)&lt;7,SUBSTITUTE('Raw Data'!K61," ",":",1),'Raw Data'!K61))</f>
        <v>fall 2 feet</v>
      </c>
      <c r="L61" t="str">
        <f>IF('Raw Data'!L61="","",'Raw Data'!L61)</f>
        <v/>
      </c>
      <c r="M61">
        <f>IF('Raw Data'!M61="","",'Raw Data'!M61)</f>
        <v>8.1999999999999993</v>
      </c>
      <c r="N61">
        <f>IF('Raw Data'!N61="","",IF('Raw Data'!N61="-",0,'Raw Data'!N61))</f>
        <v>-2</v>
      </c>
      <c r="O61">
        <f>IF('Raw Data'!O61="","",'Raw Data'!O61)</f>
        <v>67</v>
      </c>
      <c r="P61" t="str">
        <f>IF('Raw Data'!P61="","",'Raw Data'!P61)</f>
        <v>Little passage goes uphill straight on</v>
      </c>
      <c r="Q61" t="str">
        <f t="shared" si="0"/>
        <v xml:space="preserve"> </v>
      </c>
      <c r="R61" s="3">
        <f t="shared" si="28"/>
        <v>25</v>
      </c>
      <c r="S61" s="3" t="str">
        <f t="shared" si="29"/>
        <v>-</v>
      </c>
      <c r="T61" s="3">
        <f t="shared" si="30"/>
        <v>25</v>
      </c>
      <c r="U61" s="12">
        <f>ASIN(N61/J61)*180/PI()</f>
        <v>-13.240519915187205</v>
      </c>
      <c r="W61" s="4">
        <f t="shared" si="9"/>
        <v>8.4999999999999982</v>
      </c>
      <c r="X61" s="4">
        <f t="shared" si="10"/>
        <v>-1.9999999999999998</v>
      </c>
      <c r="Y61" s="3">
        <f t="shared" si="7"/>
        <v>25</v>
      </c>
    </row>
    <row r="62" spans="1:25" x14ac:dyDescent="0.25">
      <c r="A62">
        <f>IF('Raw Data'!A62="","",'Raw Data'!A62)</f>
        <v>13</v>
      </c>
      <c r="B62">
        <f>IF('Raw Data'!B62="","",'Raw Data'!B62)</f>
        <v>14</v>
      </c>
      <c r="C62">
        <f>IF('Raw Data'!C62="","",'Raw Data'!C62)</f>
        <v>1</v>
      </c>
      <c r="D62">
        <f>IF('Raw Data'!D62="","",'Raw Data'!D62)</f>
        <v>0.5</v>
      </c>
      <c r="E62">
        <f>IF('Raw Data'!E62="","",'Raw Data'!E62)</f>
        <v>2</v>
      </c>
      <c r="F62">
        <f>IF('Raw Data'!F62="","",'Raw Data'!F62)</f>
        <v>3</v>
      </c>
      <c r="G62" s="7" t="str">
        <f>IF('Raw Data'!G62="","",SUBSTITUTE('Raw Data'!G62," ",":",1))</f>
        <v>85</v>
      </c>
      <c r="H62" s="7" t="str">
        <f>IF('Raw Data'!H62="","",SUBSTITUTE('Raw Data'!H62," ",":",1))</f>
        <v>-</v>
      </c>
      <c r="I62" s="7" t="str">
        <f>IF('Raw Data'!I62="","",SUBSTITUTE('Raw Data'!I62," ",":",1))</f>
        <v>85</v>
      </c>
      <c r="J62" s="8">
        <f>IF('Raw Data'!J62="","",IF(LEN(K62)&gt;6,SQRT('Raw Data'!J62^2+N62^2),'Raw Data'!J62))</f>
        <v>12.3</v>
      </c>
      <c r="K62" s="7" t="str">
        <f>IF('Raw Data'!K62="","",IF(LEN('Raw Data'!K62)&lt;7,SUBSTITUTE('Raw Data'!K62," ",":",1),'Raw Data'!K62))</f>
        <v>9</v>
      </c>
      <c r="L62" t="str">
        <f>IF('Raw Data'!L62="","",'Raw Data'!L62)</f>
        <v/>
      </c>
      <c r="M62">
        <f>IF('Raw Data'!M62="","",'Raw Data'!M62)</f>
        <v>12.1</v>
      </c>
      <c r="N62">
        <f>IF('Raw Data'!N62="","",IF('Raw Data'!N62="-",0,'Raw Data'!N62))</f>
        <v>1.9</v>
      </c>
      <c r="O62">
        <f>IF('Raw Data'!O62="","",'Raw Data'!O62)</f>
        <v>65</v>
      </c>
      <c r="P62" t="str">
        <f>IF('Raw Data'!P62="","",'Raw Data'!P62)</f>
        <v/>
      </c>
      <c r="Q62" t="str">
        <f t="shared" si="0"/>
        <v xml:space="preserve"> </v>
      </c>
      <c r="R62" s="3">
        <f t="shared" si="28"/>
        <v>85</v>
      </c>
      <c r="S62" s="3" t="str">
        <f t="shared" si="29"/>
        <v>-</v>
      </c>
      <c r="T62" s="3">
        <f t="shared" si="30"/>
        <v>85</v>
      </c>
      <c r="U62" s="3" t="str">
        <f t="shared" ref="U62:U63" si="35">IF(ISERROR(FIND(":",K62)),K62,1*CONCATENATE(LEFT(K62,FIND(":",K62)-1),".",MID(RIGHT(K62,LEN(K62)-FIND(":",K62))/60,3,8)))</f>
        <v>9</v>
      </c>
      <c r="W62" s="4">
        <f t="shared" si="9"/>
        <v>12.148566589320195</v>
      </c>
      <c r="X62" s="4">
        <f t="shared" si="10"/>
        <v>1.9241439199948398</v>
      </c>
      <c r="Y62" s="3">
        <f t="shared" si="7"/>
        <v>85</v>
      </c>
    </row>
    <row r="63" spans="1:25" x14ac:dyDescent="0.25">
      <c r="A63">
        <f>IF('Raw Data'!A63="","",'Raw Data'!A63)</f>
        <v>14</v>
      </c>
      <c r="B63">
        <f>IF('Raw Data'!B63="","",'Raw Data'!B63)</f>
        <v>15</v>
      </c>
      <c r="C63">
        <f>IF('Raw Data'!C63="","",'Raw Data'!C63)</f>
        <v>2</v>
      </c>
      <c r="D63">
        <f>IF('Raw Data'!D63="","",'Raw Data'!D63)</f>
        <v>0.5</v>
      </c>
      <c r="E63" t="str">
        <f>IF('Raw Data'!E63="","",'Raw Data'!E63)</f>
        <v>/</v>
      </c>
      <c r="F63" t="str">
        <f>IF('Raw Data'!F63="","",'Raw Data'!F63)</f>
        <v>/</v>
      </c>
      <c r="G63" s="7" t="str">
        <f>IF('Raw Data'!G63="","",SUBSTITUTE('Raw Data'!G63," ",":",1))</f>
        <v>63</v>
      </c>
      <c r="H63" s="7" t="str">
        <f>IF('Raw Data'!H63="","",SUBSTITUTE('Raw Data'!H63," ",":",1))</f>
        <v>-</v>
      </c>
      <c r="I63" s="7" t="str">
        <f>IF('Raw Data'!I63="","",SUBSTITUTE('Raw Data'!I63," ",":",1))</f>
        <v>63</v>
      </c>
      <c r="J63" s="8">
        <f>IF('Raw Data'!J63="","",IF(LEN(K63)&gt;6,SQRT('Raw Data'!J63^2+N63^2),'Raw Data'!J63))</f>
        <v>11.6</v>
      </c>
      <c r="K63" s="7" t="str">
        <f>IF('Raw Data'!K63="","",IF(LEN('Raw Data'!K63)&lt;7,SUBSTITUTE('Raw Data'!K63," ",":",1),'Raw Data'!K63))</f>
        <v>10</v>
      </c>
      <c r="L63" t="str">
        <f>IF('Raw Data'!L63="","",'Raw Data'!L63)</f>
        <v/>
      </c>
      <c r="M63">
        <f>IF('Raw Data'!M63="","",'Raw Data'!M63)</f>
        <v>11.4</v>
      </c>
      <c r="N63">
        <f>IF('Raw Data'!N63="","",IF('Raw Data'!N63="-",0,'Raw Data'!N63))</f>
        <v>2</v>
      </c>
      <c r="O63">
        <f>IF('Raw Data'!O63="","",'Raw Data'!O63)</f>
        <v>69.900000000000006</v>
      </c>
      <c r="P63" t="str">
        <f>IF('Raw Data'!P63="","",'Raw Data'!P63)</f>
        <v/>
      </c>
      <c r="Q63" t="str">
        <f t="shared" si="0"/>
        <v xml:space="preserve"> </v>
      </c>
      <c r="R63" s="3">
        <f t="shared" si="28"/>
        <v>63</v>
      </c>
      <c r="S63" s="3" t="str">
        <f t="shared" si="29"/>
        <v>-</v>
      </c>
      <c r="T63" s="3">
        <f t="shared" si="30"/>
        <v>63</v>
      </c>
      <c r="U63" s="3" t="str">
        <f t="shared" si="35"/>
        <v>10</v>
      </c>
      <c r="W63" s="4">
        <f t="shared" si="9"/>
        <v>11.423769934941612</v>
      </c>
      <c r="X63" s="4">
        <f t="shared" si="10"/>
        <v>2.0143188609363918</v>
      </c>
      <c r="Y63" s="3">
        <f t="shared" si="7"/>
        <v>63</v>
      </c>
    </row>
    <row r="64" spans="1:25" x14ac:dyDescent="0.25">
      <c r="A64">
        <f>IF('Raw Data'!A64="","",'Raw Data'!A64)</f>
        <v>15</v>
      </c>
      <c r="B64">
        <f>IF('Raw Data'!B64="","",'Raw Data'!B64)</f>
        <v>16</v>
      </c>
      <c r="C64">
        <f>IF('Raw Data'!C64="","",'Raw Data'!C64)</f>
        <v>3</v>
      </c>
      <c r="D64">
        <f>IF('Raw Data'!D64="","",'Raw Data'!D64)</f>
        <v>4</v>
      </c>
      <c r="E64">
        <f>IF('Raw Data'!E64="","",'Raw Data'!E64)</f>
        <v>2</v>
      </c>
      <c r="F64" t="str">
        <f>IF('Raw Data'!F64="","",'Raw Data'!F64)</f>
        <v>/</v>
      </c>
      <c r="G64" s="7" t="str">
        <f>IF('Raw Data'!G64="","",SUBSTITUTE('Raw Data'!G64," ",":",1))</f>
        <v>125</v>
      </c>
      <c r="H64" s="7" t="str">
        <f>IF('Raw Data'!H64="","",SUBSTITUTE('Raw Data'!H64," ",":",1))</f>
        <v>-</v>
      </c>
      <c r="I64" s="7" t="str">
        <f>IF('Raw Data'!I64="","",SUBSTITUTE('Raw Data'!I64," ",":",1))</f>
        <v>125</v>
      </c>
      <c r="J64" s="8">
        <f>IF('Raw Data'!J64="","",IF(LEN(K64)&gt;6,SQRT('Raw Data'!J64^2+N64^2),'Raw Data'!J64))</f>
        <v>12.5</v>
      </c>
      <c r="K64" s="7" t="str">
        <f>IF('Raw Data'!K64="","",IF(LEN('Raw Data'!K64)&lt;7,SUBSTITUTE('Raw Data'!K64," ",":",1),'Raw Data'!K64))</f>
        <v>fall 3.5 feet</v>
      </c>
      <c r="L64" t="str">
        <f>IF('Raw Data'!L64="","",'Raw Data'!L64)</f>
        <v/>
      </c>
      <c r="M64">
        <f>IF('Raw Data'!M64="","",'Raw Data'!M64)</f>
        <v>12</v>
      </c>
      <c r="N64">
        <f>IF('Raw Data'!N64="","",IF('Raw Data'!N64="-",0,'Raw Data'!N64))</f>
        <v>-3.5</v>
      </c>
      <c r="O64">
        <f>IF('Raw Data'!O64="","",'Raw Data'!O64)</f>
        <v>72.900000000000006</v>
      </c>
      <c r="P64" t="str">
        <f>IF('Raw Data'!P64="","",'Raw Data'!P64)</f>
        <v>Low creep at 4-10 feet. Chamber goes 15' in same line</v>
      </c>
      <c r="Q64" t="str">
        <f t="shared" si="0"/>
        <v xml:space="preserve"> </v>
      </c>
      <c r="R64" s="3">
        <f t="shared" si="28"/>
        <v>125</v>
      </c>
      <c r="S64" s="3" t="str">
        <f t="shared" si="29"/>
        <v>-</v>
      </c>
      <c r="T64" s="3">
        <f t="shared" si="30"/>
        <v>125</v>
      </c>
      <c r="U64" s="12">
        <f>ASIN(N64/J64)*180/PI()</f>
        <v>-16.26020470831196</v>
      </c>
      <c r="W64" s="4">
        <f t="shared" si="9"/>
        <v>12</v>
      </c>
      <c r="X64" s="4">
        <f t="shared" si="10"/>
        <v>-3.5000000000000004</v>
      </c>
      <c r="Y64" s="3">
        <f t="shared" si="7"/>
        <v>125</v>
      </c>
    </row>
    <row r="65" spans="1:25" x14ac:dyDescent="0.25">
      <c r="A65">
        <f>IF('Raw Data'!A65="","",'Raw Data'!A65)</f>
        <v>16</v>
      </c>
      <c r="B65">
        <f>IF('Raw Data'!B65="","",'Raw Data'!B65)</f>
        <v>17</v>
      </c>
      <c r="C65">
        <f>IF('Raw Data'!C65="","",'Raw Data'!C65)</f>
        <v>1</v>
      </c>
      <c r="D65">
        <f>IF('Raw Data'!D65="","",'Raw Data'!D65)</f>
        <v>0.5</v>
      </c>
      <c r="E65">
        <f>IF('Raw Data'!E65="","",'Raw Data'!E65)</f>
        <v>3</v>
      </c>
      <c r="F65">
        <f>IF('Raw Data'!F65="","",'Raw Data'!F65)</f>
        <v>3</v>
      </c>
      <c r="G65" s="7" t="str">
        <f>IF('Raw Data'!G65="","",SUBSTITUTE('Raw Data'!G65," ",":",1))</f>
        <v>-</v>
      </c>
      <c r="H65" s="7" t="str">
        <f>IF('Raw Data'!H65="","",SUBSTITUTE('Raw Data'!H65," ",":",1))</f>
        <v>265</v>
      </c>
      <c r="I65" s="7" t="str">
        <f>IF('Raw Data'!I65="","",SUBSTITUTE('Raw Data'!I65," ",":",1))</f>
        <v>85</v>
      </c>
      <c r="J65" s="8">
        <f>IF('Raw Data'!J65="","",IF(LEN(K65)&gt;6,SQRT('Raw Data'!J65^2+N65^2),'Raw Data'!J65))</f>
        <v>14.5</v>
      </c>
      <c r="K65" s="7" t="str">
        <f>IF('Raw Data'!K65="","",IF(LEN('Raw Data'!K65)&lt;7,SUBSTITUTE('Raw Data'!K65," ",":",1),'Raw Data'!K65))</f>
        <v>6</v>
      </c>
      <c r="L65" t="str">
        <f>IF('Raw Data'!L65="","",'Raw Data'!L65)</f>
        <v/>
      </c>
      <c r="M65">
        <f>IF('Raw Data'!M65="","",'Raw Data'!M65)</f>
        <v>14.4</v>
      </c>
      <c r="N65">
        <f>IF('Raw Data'!N65="","",IF('Raw Data'!N65="-",0,'Raw Data'!N65))</f>
        <v>1.5</v>
      </c>
      <c r="O65">
        <f>IF('Raw Data'!O65="","",'Raw Data'!O65)</f>
        <v>71.400000000000006</v>
      </c>
      <c r="P65" t="str">
        <f>IF('Raw Data'!P65="","",'Raw Data'!P65)</f>
        <v/>
      </c>
      <c r="Q65" t="str">
        <f t="shared" si="0"/>
        <v xml:space="preserve"> </v>
      </c>
      <c r="R65" s="3" t="str">
        <f t="shared" si="28"/>
        <v>-</v>
      </c>
      <c r="S65" s="3">
        <f t="shared" si="29"/>
        <v>265</v>
      </c>
      <c r="T65" s="3">
        <f t="shared" si="30"/>
        <v>85</v>
      </c>
      <c r="U65" s="3" t="str">
        <f t="shared" ref="U65:U67" si="36">IF(ISERROR(FIND(":",K65)),K65,1*CONCATENATE(LEFT(K65,FIND(":",K65)-1),".",MID(RIGHT(K65,LEN(K65)-FIND(":",K65))/60,3,8)))</f>
        <v>6</v>
      </c>
      <c r="W65" s="4">
        <f t="shared" si="9"/>
        <v>14.420567482839962</v>
      </c>
      <c r="X65" s="4">
        <f t="shared" si="10"/>
        <v>1.5156627173809751</v>
      </c>
      <c r="Y65" s="3">
        <f t="shared" si="7"/>
        <v>85</v>
      </c>
    </row>
    <row r="66" spans="1:25" x14ac:dyDescent="0.25">
      <c r="A66">
        <f>IF('Raw Data'!A66="","",'Raw Data'!A66)</f>
        <v>17</v>
      </c>
      <c r="B66">
        <f>IF('Raw Data'!B66="","",'Raw Data'!B66)</f>
        <v>18</v>
      </c>
      <c r="C66">
        <f>IF('Raw Data'!C66="","",'Raw Data'!C66)</f>
        <v>1</v>
      </c>
      <c r="D66">
        <f>IF('Raw Data'!D66="","",'Raw Data'!D66)</f>
        <v>1</v>
      </c>
      <c r="E66">
        <f>IF('Raw Data'!E66="","",'Raw Data'!E66)</f>
        <v>2</v>
      </c>
      <c r="F66">
        <f>IF('Raw Data'!F66="","",'Raw Data'!F66)</f>
        <v>3</v>
      </c>
      <c r="G66" s="7" t="str">
        <f>IF('Raw Data'!G66="","",SUBSTITUTE('Raw Data'!G66," ",":",1))</f>
        <v>22</v>
      </c>
      <c r="H66" s="7" t="str">
        <f>IF('Raw Data'!H66="","",SUBSTITUTE('Raw Data'!H66," ",":",1))</f>
        <v>-</v>
      </c>
      <c r="I66" s="7" t="str">
        <f>IF('Raw Data'!I66="","",SUBSTITUTE('Raw Data'!I66," ",":",1))</f>
        <v>22</v>
      </c>
      <c r="J66" s="8">
        <f>IF('Raw Data'!J66="","",IF(LEN(K66)&gt;6,SQRT('Raw Data'!J66^2+N66^2),'Raw Data'!J66))</f>
        <v>12.6</v>
      </c>
      <c r="K66" s="7" t="str">
        <f>IF('Raw Data'!K66="","",IF(LEN('Raw Data'!K66)&lt;7,SUBSTITUTE('Raw Data'!K66," ",":",1),'Raw Data'!K66))</f>
        <v>6</v>
      </c>
      <c r="L66" t="str">
        <f>IF('Raw Data'!L66="","",'Raw Data'!L66)</f>
        <v/>
      </c>
      <c r="M66">
        <f>IF('Raw Data'!M66="","",'Raw Data'!M66)</f>
        <v>12.5</v>
      </c>
      <c r="N66">
        <f>IF('Raw Data'!N66="","",IF('Raw Data'!N66="-",0,'Raw Data'!N66))</f>
        <v>1.3</v>
      </c>
      <c r="O66">
        <f>IF('Raw Data'!O66="","",'Raw Data'!O66)</f>
        <v>74.900000000000006</v>
      </c>
      <c r="P66" t="str">
        <f>IF('Raw Data'!P66="","",'Raw Data'!P66)</f>
        <v/>
      </c>
      <c r="Q66" t="str">
        <f t="shared" ref="Q66:Q129" si="37">" "</f>
        <v xml:space="preserve"> </v>
      </c>
      <c r="R66" s="3">
        <f t="shared" si="28"/>
        <v>22</v>
      </c>
      <c r="S66" s="3" t="str">
        <f t="shared" si="29"/>
        <v>-</v>
      </c>
      <c r="T66" s="3">
        <f t="shared" si="30"/>
        <v>22</v>
      </c>
      <c r="U66" s="3" t="str">
        <f t="shared" si="36"/>
        <v>6</v>
      </c>
      <c r="W66" s="4">
        <f t="shared" si="9"/>
        <v>12.530975881640243</v>
      </c>
      <c r="X66" s="4">
        <f t="shared" si="10"/>
        <v>1.3170586371724335</v>
      </c>
      <c r="Y66" s="3">
        <f t="shared" si="7"/>
        <v>22</v>
      </c>
    </row>
    <row r="67" spans="1:25" x14ac:dyDescent="0.25">
      <c r="A67">
        <f>IF('Raw Data'!A67="","",'Raw Data'!A67)</f>
        <v>18</v>
      </c>
      <c r="B67">
        <f>IF('Raw Data'!B67="","",'Raw Data'!B67)</f>
        <v>19</v>
      </c>
      <c r="C67">
        <f>IF('Raw Data'!C67="","",'Raw Data'!C67)</f>
        <v>3</v>
      </c>
      <c r="D67">
        <f>IF('Raw Data'!D67="","",'Raw Data'!D67)</f>
        <v>11</v>
      </c>
      <c r="E67">
        <f>IF('Raw Data'!E67="","",'Raw Data'!E67)</f>
        <v>2</v>
      </c>
      <c r="F67">
        <f>IF('Raw Data'!F67="","",'Raw Data'!F67)</f>
        <v>2</v>
      </c>
      <c r="G67" s="7" t="str">
        <f>IF('Raw Data'!G67="","",SUBSTITUTE('Raw Data'!G67," ",":",1))</f>
        <v>-</v>
      </c>
      <c r="H67" s="7" t="str">
        <f>IF('Raw Data'!H67="","",SUBSTITUTE('Raw Data'!H67," ",":",1))</f>
        <v>-</v>
      </c>
      <c r="I67" s="7" t="str">
        <f>IF('Raw Data'!I67="","",SUBSTITUTE('Raw Data'!I67," ",":",1))</f>
        <v>-</v>
      </c>
      <c r="J67" s="8">
        <f>IF('Raw Data'!J67="","",IF(LEN(K67)&gt;6,SQRT('Raw Data'!J67^2+N67^2),'Raw Data'!J67))</f>
        <v>11</v>
      </c>
      <c r="K67" s="7" t="str">
        <f>IF('Raw Data'!K67="","",IF(LEN('Raw Data'!K67)&lt;7,SUBSTITUTE('Raw Data'!K67," ",":",1),'Raw Data'!K67))</f>
        <v>-90</v>
      </c>
      <c r="L67" t="str">
        <f>IF('Raw Data'!L67="","",'Raw Data'!L67)</f>
        <v/>
      </c>
      <c r="M67" t="str">
        <f>IF('Raw Data'!M67="","",'Raw Data'!M67)</f>
        <v>-</v>
      </c>
      <c r="N67">
        <f>IF('Raw Data'!N67="","",IF('Raw Data'!N67="-",0,'Raw Data'!N67))</f>
        <v>-11</v>
      </c>
      <c r="O67">
        <f>IF('Raw Data'!O67="","",'Raw Data'!O67)</f>
        <v>76.400000000000006</v>
      </c>
      <c r="P67" t="str">
        <f>IF('Raw Data'!P67="","",'Raw Data'!P67)</f>
        <v>18 is in crack at top of "11 foot drop"</v>
      </c>
      <c r="Q67" t="str">
        <f t="shared" si="37"/>
        <v xml:space="preserve"> </v>
      </c>
      <c r="R67" s="3" t="str">
        <f t="shared" si="28"/>
        <v>-</v>
      </c>
      <c r="S67" s="3" t="str">
        <f t="shared" si="29"/>
        <v>-</v>
      </c>
      <c r="T67" s="3" t="str">
        <f t="shared" si="30"/>
        <v>-</v>
      </c>
      <c r="U67" s="3" t="str">
        <f t="shared" si="36"/>
        <v>-90</v>
      </c>
      <c r="W67" s="4">
        <f t="shared" si="9"/>
        <v>6.7383165019974101E-16</v>
      </c>
      <c r="X67" s="4">
        <f t="shared" si="10"/>
        <v>-11</v>
      </c>
      <c r="Y67" s="3" t="e">
        <f t="shared" si="7"/>
        <v>#VALUE!</v>
      </c>
    </row>
    <row r="68" spans="1:25" x14ac:dyDescent="0.25">
      <c r="A68" t="str">
        <f>IF('Raw Data'!A68="","",'Raw Data'!A68)</f>
        <v/>
      </c>
      <c r="B68" t="str">
        <f>IF('Raw Data'!B68="","",'Raw Data'!B68)</f>
        <v/>
      </c>
      <c r="C68" t="str">
        <f>IF('Raw Data'!C68="","",'Raw Data'!C68)</f>
        <v/>
      </c>
      <c r="D68" t="str">
        <f>IF('Raw Data'!D68="","",'Raw Data'!D68)</f>
        <v/>
      </c>
      <c r="E68" t="str">
        <f>IF('Raw Data'!E68="","",'Raw Data'!E68)</f>
        <v/>
      </c>
      <c r="F68" t="str">
        <f>IF('Raw Data'!F68="","",'Raw Data'!F68)</f>
        <v/>
      </c>
      <c r="G68" s="7" t="str">
        <f>IF('Raw Data'!G68="","",SUBSTITUTE('Raw Data'!G68," ",":",1))</f>
        <v/>
      </c>
      <c r="H68" s="7" t="str">
        <f>IF('Raw Data'!H68="","",SUBSTITUTE('Raw Data'!H68," ",":",1))</f>
        <v/>
      </c>
      <c r="I68" s="7" t="str">
        <f>IF('Raw Data'!I68="","",SUBSTITUTE('Raw Data'!I68," ",":",1))</f>
        <v/>
      </c>
      <c r="J68" s="8" t="str">
        <f>IF('Raw Data'!J68="","",IF(LEN(K68)&gt;6,SQRT('Raw Data'!J68^2+N68^2),'Raw Data'!J68))</f>
        <v/>
      </c>
      <c r="K68" s="7" t="str">
        <f>IF('Raw Data'!K68="","",IF(LEN('Raw Data'!K68)&lt;7,SUBSTITUTE('Raw Data'!K68," ",":",1),'Raw Data'!K68))</f>
        <v/>
      </c>
      <c r="L68" t="str">
        <f>IF('Raw Data'!L68="","",'Raw Data'!L68)</f>
        <v/>
      </c>
      <c r="M68" t="str">
        <f>IF('Raw Data'!M68="","",'Raw Data'!M68)</f>
        <v/>
      </c>
      <c r="N68" t="str">
        <f>IF('Raw Data'!N68="","",IF('Raw Data'!N68="-",0,'Raw Data'!N68))</f>
        <v/>
      </c>
      <c r="O68" t="str">
        <f>IF('Raw Data'!O68="","",'Raw Data'!O68)</f>
        <v/>
      </c>
      <c r="P68" t="str">
        <f>IF('Raw Data'!P68="","",'Raw Data'!P68)</f>
        <v>Total = 1562'</v>
      </c>
      <c r="Q68" t="str">
        <f t="shared" si="37"/>
        <v xml:space="preserve"> </v>
      </c>
      <c r="W68" s="4"/>
      <c r="X68" s="4"/>
      <c r="Y68" s="3"/>
    </row>
    <row r="69" spans="1:25" x14ac:dyDescent="0.25">
      <c r="A69" t="str">
        <f>IF('Raw Data'!A69="","",'Raw Data'!A69)</f>
        <v/>
      </c>
      <c r="B69" t="str">
        <f>IF('Raw Data'!B69="","",'Raw Data'!B69)</f>
        <v/>
      </c>
      <c r="C69" t="str">
        <f>IF('Raw Data'!C69="","",'Raw Data'!C69)</f>
        <v/>
      </c>
      <c r="D69" t="str">
        <f>IF('Raw Data'!D69="","",'Raw Data'!D69)</f>
        <v/>
      </c>
      <c r="E69" t="str">
        <f>IF('Raw Data'!E69="","",'Raw Data'!E69)</f>
        <v/>
      </c>
      <c r="F69" t="str">
        <f>IF('Raw Data'!F69="","",'Raw Data'!F69)</f>
        <v/>
      </c>
      <c r="G69" s="7" t="str">
        <f>IF('Raw Data'!G69="","",SUBSTITUTE('Raw Data'!G69," ",":",1))</f>
        <v/>
      </c>
      <c r="H69" s="7" t="str">
        <f>IF('Raw Data'!H69="","",SUBSTITUTE('Raw Data'!H69," ",":",1))</f>
        <v/>
      </c>
      <c r="I69" s="7" t="str">
        <f>IF('Raw Data'!I69="","",SUBSTITUTE('Raw Data'!I69," ",":",1))</f>
        <v/>
      </c>
      <c r="J69" s="8" t="str">
        <f>IF('Raw Data'!J69="","",IF(LEN(K69)&gt;6,SQRT('Raw Data'!J69^2+N69^2),'Raw Data'!J69))</f>
        <v/>
      </c>
      <c r="K69" s="7" t="str">
        <f>IF('Raw Data'!K69="","",IF(LEN('Raw Data'!K69)&lt;7,SUBSTITUTE('Raw Data'!K69," ",":",1),'Raw Data'!K69))</f>
        <v/>
      </c>
      <c r="L69" t="str">
        <f>IF('Raw Data'!L69="","",'Raw Data'!L69)</f>
        <v/>
      </c>
      <c r="M69" t="str">
        <f>IF('Raw Data'!M69="","",'Raw Data'!M69)</f>
        <v/>
      </c>
      <c r="N69" t="str">
        <f>IF('Raw Data'!N69="","",IF('Raw Data'!N69="-",0,'Raw Data'!N69))</f>
        <v/>
      </c>
      <c r="O69" t="str">
        <f>IF('Raw Data'!O69="","",'Raw Data'!O69)</f>
        <v/>
      </c>
      <c r="P69" t="str">
        <f>IF('Raw Data'!P69="","",'Raw Data'!P69)</f>
        <v/>
      </c>
      <c r="Q69" t="str">
        <f t="shared" si="37"/>
        <v xml:space="preserve"> </v>
      </c>
      <c r="W69" s="4"/>
      <c r="X69" s="4"/>
      <c r="Y69" s="3"/>
    </row>
    <row r="70" spans="1:25" x14ac:dyDescent="0.25">
      <c r="A70" t="str">
        <f>IF('Raw Data'!A70="","",'Raw Data'!A70)</f>
        <v>30th March 1952</v>
      </c>
      <c r="B70" t="str">
        <f>IF('Raw Data'!B70="","",'Raw Data'!B70)</f>
        <v/>
      </c>
      <c r="C70" t="str">
        <f>IF('Raw Data'!C70="","",'Raw Data'!C70)</f>
        <v/>
      </c>
      <c r="D70" t="str">
        <f>IF('Raw Data'!D70="","",'Raw Data'!D70)</f>
        <v/>
      </c>
      <c r="E70" t="str">
        <f>IF('Raw Data'!E70="","",'Raw Data'!E70)</f>
        <v/>
      </c>
      <c r="F70" t="str">
        <f>IF('Raw Data'!F70="","",'Raw Data'!F70)</f>
        <v/>
      </c>
      <c r="G70" s="7" t="str">
        <f>IF('Raw Data'!G70="","",SUBSTITUTE('Raw Data'!G70," ",":",1))</f>
        <v/>
      </c>
      <c r="H70" s="7" t="str">
        <f>IF('Raw Data'!H70="","",SUBSTITUTE('Raw Data'!H70," ",":",1))</f>
        <v/>
      </c>
      <c r="I70" s="7" t="str">
        <f>IF('Raw Data'!I70="","",SUBSTITUTE('Raw Data'!I70," ",":",1))</f>
        <v/>
      </c>
      <c r="J70" s="8" t="str">
        <f>IF('Raw Data'!J70="","",IF(LEN(K70)&gt;6,SQRT('Raw Data'!J70^2+N70^2),'Raw Data'!J70))</f>
        <v/>
      </c>
      <c r="K70" s="7" t="str">
        <f>IF('Raw Data'!K70="","",IF(LEN('Raw Data'!K70)&lt;7,SUBSTITUTE('Raw Data'!K70," ",":",1),'Raw Data'!K70))</f>
        <v/>
      </c>
      <c r="L70" t="str">
        <f>IF('Raw Data'!L70="","",'Raw Data'!L70)</f>
        <v/>
      </c>
      <c r="M70" t="str">
        <f>IF('Raw Data'!M70="","",'Raw Data'!M70)</f>
        <v/>
      </c>
      <c r="N70" t="str">
        <f>IF('Raw Data'!N70="","",IF('Raw Data'!N70="-",0,'Raw Data'!N70))</f>
        <v/>
      </c>
      <c r="O70" t="str">
        <f>IF('Raw Data'!O70="","",'Raw Data'!O70)</f>
        <v/>
      </c>
      <c r="P70" t="str">
        <f>IF('Raw Data'!P70="","",'Raw Data'!P70)</f>
        <v/>
      </c>
      <c r="Q70" t="str">
        <f t="shared" si="37"/>
        <v xml:space="preserve"> </v>
      </c>
      <c r="W70" s="4"/>
      <c r="X70" s="4"/>
      <c r="Y70" s="3"/>
    </row>
    <row r="71" spans="1:25" x14ac:dyDescent="0.25">
      <c r="A71" t="str">
        <f>IF('Raw Data'!A71="","",'Raw Data'!A71)</f>
        <v>B1</v>
      </c>
      <c r="B71" t="str">
        <f>IF('Raw Data'!B71="","",'Raw Data'!B71)</f>
        <v>AA</v>
      </c>
      <c r="C71" t="str">
        <f>IF('Raw Data'!C71="","",'Raw Data'!C71)</f>
        <v>/</v>
      </c>
      <c r="D71">
        <f>IF('Raw Data'!D71="","",'Raw Data'!D71)</f>
        <v>2</v>
      </c>
      <c r="E71" t="str">
        <f>IF('Raw Data'!E71="","",'Raw Data'!E71)</f>
        <v>/</v>
      </c>
      <c r="F71" t="str">
        <f>IF('Raw Data'!F71="","",'Raw Data'!F71)</f>
        <v>/</v>
      </c>
      <c r="G71" s="7" t="str">
        <f>IF('Raw Data'!G71="","",SUBSTITUTE('Raw Data'!G71," ",":",1))</f>
        <v>-</v>
      </c>
      <c r="H71" s="7" t="str">
        <f>IF('Raw Data'!H71="","",SUBSTITUTE('Raw Data'!H71," ",":",1))</f>
        <v>293:40</v>
      </c>
      <c r="I71" s="7" t="str">
        <f>IF('Raw Data'!I71="","",SUBSTITUTE('Raw Data'!I71," ",":",1))</f>
        <v>113:40</v>
      </c>
      <c r="J71" s="8">
        <f>IF('Raw Data'!J71="","",IF(LEN(K71)&gt;6,SQRT('Raw Data'!J71^2+N71^2),'Raw Data'!J71))</f>
        <v>78.099999999999994</v>
      </c>
      <c r="K71" s="7" t="str">
        <f>IF('Raw Data'!K71="","",IF(LEN('Raw Data'!K71)&lt;7,SUBSTITUTE('Raw Data'!K71," ",":",1),'Raw Data'!K71))</f>
        <v>9:30</v>
      </c>
      <c r="L71" t="str">
        <f>IF('Raw Data'!L71="","",'Raw Data'!L71)</f>
        <v/>
      </c>
      <c r="M71">
        <f>IF('Raw Data'!M71="","",'Raw Data'!M71)</f>
        <v>77.099999999999994</v>
      </c>
      <c r="N71">
        <f>IF('Raw Data'!N71="","",IF('Raw Data'!N71="-",0,'Raw Data'!N71))</f>
        <v>12.9</v>
      </c>
      <c r="O71">
        <f>IF('Raw Data'!O71="","",'Raw Data'!O71)</f>
        <v>12</v>
      </c>
      <c r="P71" t="str">
        <f>IF('Raw Data'!P71="","",'Raw Data'!P71)</f>
        <v>B1 is station B1 of page 45, at entrance to "P.G." passage</v>
      </c>
      <c r="Q71" t="str">
        <f t="shared" si="37"/>
        <v xml:space="preserve"> </v>
      </c>
      <c r="R71" s="3" t="str">
        <f t="shared" si="28"/>
        <v>-</v>
      </c>
      <c r="S71" s="3">
        <f t="shared" si="29"/>
        <v>293.66666666666669</v>
      </c>
      <c r="T71" s="3">
        <f t="shared" si="30"/>
        <v>113.66666666666667</v>
      </c>
      <c r="U71" s="3">
        <f t="shared" ref="U71:U74" si="38">IF(ISERROR(FIND(":",K71)),K71,1*CONCATENATE(LEFT(K71,FIND(":",K71)-1),".",MID(RIGHT(K71,LEN(K71)-FIND(":",K71))/60,3,8)))</f>
        <v>9.5</v>
      </c>
      <c r="W71" s="4">
        <f t="shared" si="9"/>
        <v>77.028905480057773</v>
      </c>
      <c r="X71" s="4">
        <f t="shared" si="10"/>
        <v>12.890218017718922</v>
      </c>
      <c r="Y71" s="3">
        <f t="shared" ref="Y70:Y119" si="39">IF(R71="-",IF(S71&gt;180,S71-180,S71+180),R71)</f>
        <v>113.66666666666669</v>
      </c>
    </row>
    <row r="72" spans="1:25" x14ac:dyDescent="0.25">
      <c r="A72" t="str">
        <f>IF('Raw Data'!A72="","",'Raw Data'!A72)</f>
        <v>AA</v>
      </c>
      <c r="B72" t="str">
        <f>IF('Raw Data'!B72="","",'Raw Data'!B72)</f>
        <v>AB</v>
      </c>
      <c r="C72">
        <f>IF('Raw Data'!C72="","",'Raw Data'!C72)</f>
        <v>25</v>
      </c>
      <c r="D72">
        <f>IF('Raw Data'!D72="","",'Raw Data'!D72)</f>
        <v>5</v>
      </c>
      <c r="E72">
        <f>IF('Raw Data'!E72="","",'Raw Data'!E72)</f>
        <v>8</v>
      </c>
      <c r="F72">
        <f>IF('Raw Data'!F72="","",'Raw Data'!F72)</f>
        <v>7</v>
      </c>
      <c r="G72" s="7" t="str">
        <f>IF('Raw Data'!G72="","",SUBSTITUTE('Raw Data'!G72," ",":",1))</f>
        <v>115:30</v>
      </c>
      <c r="H72" s="7" t="str">
        <f>IF('Raw Data'!H72="","",SUBSTITUTE('Raw Data'!H72," ",":",1))</f>
        <v>-</v>
      </c>
      <c r="I72" s="7" t="str">
        <f>IF('Raw Data'!I72="","",SUBSTITUTE('Raw Data'!I72," ",":",1))</f>
        <v>115:30</v>
      </c>
      <c r="J72" s="8">
        <f>IF('Raw Data'!J72="","",IF(LEN(K72)&gt;6,SQRT('Raw Data'!J72^2+N72^2),'Raw Data'!J72))</f>
        <v>24.1</v>
      </c>
      <c r="K72" s="7" t="str">
        <f>IF('Raw Data'!K72="","",IF(LEN('Raw Data'!K72)&lt;7,SUBSTITUTE('Raw Data'!K72," ",":",1),'Raw Data'!K72))</f>
        <v>-5:30</v>
      </c>
      <c r="L72" t="str">
        <f>IF('Raw Data'!L72="","",'Raw Data'!L72)</f>
        <v/>
      </c>
      <c r="M72">
        <f>IF('Raw Data'!M72="","",'Raw Data'!M72)</f>
        <v>24</v>
      </c>
      <c r="N72">
        <f>IF('Raw Data'!N72="","",IF('Raw Data'!N72="-",0,'Raw Data'!N72))</f>
        <v>-2.2999999999999998</v>
      </c>
      <c r="O72">
        <f>IF('Raw Data'!O72="","",'Raw Data'!O72)</f>
        <v>24.9</v>
      </c>
      <c r="P72" t="str">
        <f>IF('Raw Data'!P72="","",'Raw Data'!P72)</f>
        <v>AA on a big high rock</v>
      </c>
      <c r="Q72" t="str">
        <f t="shared" si="37"/>
        <v xml:space="preserve"> </v>
      </c>
      <c r="R72" s="3">
        <f t="shared" ref="R72:R86" si="40">IF(ISERROR(FIND(":",G72)),IF(G72&lt;&gt;"-",1*G72,G72),1*LEFT(G72,FIND(":",G72)-1)+RIGHT(G72,LEN(G72)-FIND(":",G72))/60)</f>
        <v>115.5</v>
      </c>
      <c r="S72" s="3" t="str">
        <f t="shared" ref="S72:S86" si="41">IF(ISERROR(FIND(":",H72)),IF(H72&lt;&gt;"-",1*H72,H72),1*LEFT(H72,FIND(":",H72)-1)+RIGHT(H72,LEN(H72)-FIND(":",H72))/60)</f>
        <v>-</v>
      </c>
      <c r="T72" s="3">
        <f t="shared" ref="T72:T86" si="42">IF(ISERROR(FIND(":",I72)),IF(I72&lt;&gt;"-",1*I72,I72),1*LEFT(I72,FIND(":",I72)-1)+RIGHT(I72,LEN(I72)-FIND(":",I72))/60)</f>
        <v>115.5</v>
      </c>
      <c r="U72" s="3">
        <f t="shared" si="38"/>
        <v>-5.5</v>
      </c>
      <c r="W72" s="4">
        <f t="shared" si="9"/>
        <v>23.989048380649013</v>
      </c>
      <c r="X72" s="4">
        <f t="shared" si="10"/>
        <v>-2.3098826357373983</v>
      </c>
      <c r="Y72" s="3">
        <f t="shared" si="39"/>
        <v>115.5</v>
      </c>
    </row>
    <row r="73" spans="1:25" x14ac:dyDescent="0.25">
      <c r="A73" t="str">
        <f>IF('Raw Data'!A73="","",'Raw Data'!A73)</f>
        <v>AB</v>
      </c>
      <c r="B73" t="str">
        <f>IF('Raw Data'!B73="","",'Raw Data'!B73)</f>
        <v>AC</v>
      </c>
      <c r="C73">
        <f>IF('Raw Data'!C73="","",'Raw Data'!C73)</f>
        <v>20</v>
      </c>
      <c r="D73">
        <f>IF('Raw Data'!D73="","",'Raw Data'!D73)</f>
        <v>5</v>
      </c>
      <c r="E73">
        <f>IF('Raw Data'!E73="","",'Raw Data'!E73)</f>
        <v>6</v>
      </c>
      <c r="F73">
        <f>IF('Raw Data'!F73="","",'Raw Data'!F73)</f>
        <v>0.5</v>
      </c>
      <c r="G73" s="7" t="str">
        <f>IF('Raw Data'!G73="","",SUBSTITUTE('Raw Data'!G73," ",":",1))</f>
        <v>-</v>
      </c>
      <c r="H73" s="7" t="str">
        <f>IF('Raw Data'!H73="","",SUBSTITUTE('Raw Data'!H73," ",":",1))</f>
        <v>277:50</v>
      </c>
      <c r="I73" s="7" t="str">
        <f>IF('Raw Data'!I73="","",SUBSTITUTE('Raw Data'!I73," ",":",1))</f>
        <v>097:50</v>
      </c>
      <c r="J73" s="8">
        <f>IF('Raw Data'!J73="","",IF(LEN(K73)&gt;6,SQRT('Raw Data'!J73^2+N73^2),'Raw Data'!J73))</f>
        <v>29.2</v>
      </c>
      <c r="K73" s="7" t="str">
        <f>IF('Raw Data'!K73="","",IF(LEN('Raw Data'!K73)&lt;7,SUBSTITUTE('Raw Data'!K73," ",":",1),'Raw Data'!K73))</f>
        <v>0:30</v>
      </c>
      <c r="L73" t="str">
        <f>IF('Raw Data'!L73="","",'Raw Data'!L73)</f>
        <v/>
      </c>
      <c r="M73">
        <f>IF('Raw Data'!M73="","",'Raw Data'!M73)</f>
        <v>29.2</v>
      </c>
      <c r="N73">
        <f>IF('Raw Data'!N73="","",IF('Raw Data'!N73="-",0,'Raw Data'!N73))</f>
        <v>0.3</v>
      </c>
      <c r="O73">
        <f>IF('Raw Data'!O73="","",'Raw Data'!O73)</f>
        <v>22.6</v>
      </c>
      <c r="P73" t="str">
        <f>IF('Raw Data'!P73="","",'Raw Data'!P73)</f>
        <v>AB on big rock. Stream sinks below boulders.</v>
      </c>
      <c r="Q73" t="str">
        <f t="shared" si="37"/>
        <v xml:space="preserve"> </v>
      </c>
      <c r="R73" s="3" t="str">
        <f t="shared" si="40"/>
        <v>-</v>
      </c>
      <c r="S73" s="3">
        <f t="shared" si="41"/>
        <v>277.83333333333331</v>
      </c>
      <c r="T73" s="3">
        <f t="shared" si="42"/>
        <v>97.833333333333329</v>
      </c>
      <c r="U73" s="3">
        <f t="shared" si="38"/>
        <v>0.5</v>
      </c>
      <c r="W73" s="4">
        <f t="shared" ref="W73:W136" si="43">J73*COS(U73*PI()/180)</f>
        <v>29.198888153473803</v>
      </c>
      <c r="X73" s="4">
        <f t="shared" ref="X73:X136" si="44">J73*SIN(U73*PI()/180)</f>
        <v>0.25481483655251891</v>
      </c>
      <c r="Y73" s="3">
        <f t="shared" si="39"/>
        <v>97.833333333333314</v>
      </c>
    </row>
    <row r="74" spans="1:25" x14ac:dyDescent="0.25">
      <c r="A74" t="str">
        <f>IF('Raw Data'!A74="","",'Raw Data'!A74)</f>
        <v>AC</v>
      </c>
      <c r="B74" t="str">
        <f>IF('Raw Data'!B74="","",'Raw Data'!B74)</f>
        <v>AD</v>
      </c>
      <c r="C74" t="str">
        <f>IF('Raw Data'!C74="","",'Raw Data'!C74)</f>
        <v>5 to rock jam</v>
      </c>
      <c r="D74">
        <f>IF('Raw Data'!D74="","",'Raw Data'!D74)</f>
        <v>2.5</v>
      </c>
      <c r="E74">
        <f>IF('Raw Data'!E74="","",'Raw Data'!E74)</f>
        <v>1</v>
      </c>
      <c r="F74">
        <f>IF('Raw Data'!F74="","",'Raw Data'!F74)</f>
        <v>7.2</v>
      </c>
      <c r="G74" s="7" t="str">
        <f>IF('Raw Data'!G74="","",SUBSTITUTE('Raw Data'!G74," ",":",1))</f>
        <v>121:00</v>
      </c>
      <c r="H74" s="7" t="str">
        <f>IF('Raw Data'!H74="","",SUBSTITUTE('Raw Data'!H74," ",":",1))</f>
        <v>-</v>
      </c>
      <c r="I74" s="7" t="str">
        <f>IF('Raw Data'!I74="","",SUBSTITUTE('Raw Data'!I74," ",":",1))</f>
        <v>121:00</v>
      </c>
      <c r="J74" s="8">
        <f>IF('Raw Data'!J74="","",IF(LEN(K74)&gt;6,SQRT('Raw Data'!J74^2+N74^2),'Raw Data'!J74))</f>
        <v>10.6</v>
      </c>
      <c r="K74" s="7" t="str">
        <f>IF('Raw Data'!K74="","",IF(LEN('Raw Data'!K74)&lt;7,SUBSTITUTE('Raw Data'!K74," ",":",1),'Raw Data'!K74))</f>
        <v>22:30</v>
      </c>
      <c r="L74" t="str">
        <f>IF('Raw Data'!L74="","",'Raw Data'!L74)</f>
        <v/>
      </c>
      <c r="M74">
        <f>IF('Raw Data'!M74="","",'Raw Data'!M74)</f>
        <v>9.8000000000000007</v>
      </c>
      <c r="N74">
        <f>IF('Raw Data'!N74="","",IF('Raw Data'!N74="-",0,'Raw Data'!N74))</f>
        <v>4.0999999999999996</v>
      </c>
      <c r="O74">
        <f>IF('Raw Data'!O74="","",'Raw Data'!O74)</f>
        <v>22.9</v>
      </c>
      <c r="P74" t="str">
        <f>IF('Raw Data'!P74="","",'Raw Data'!P74)</f>
        <v>AC on dirty great big rock.</v>
      </c>
      <c r="Q74" t="str">
        <f t="shared" si="37"/>
        <v xml:space="preserve"> </v>
      </c>
      <c r="R74" s="3">
        <f t="shared" si="40"/>
        <v>121</v>
      </c>
      <c r="S74" s="3" t="str">
        <f t="shared" si="41"/>
        <v>-</v>
      </c>
      <c r="T74" s="3">
        <f t="shared" si="42"/>
        <v>121</v>
      </c>
      <c r="U74" s="3">
        <f t="shared" si="38"/>
        <v>22.5</v>
      </c>
      <c r="W74" s="4">
        <f t="shared" si="43"/>
        <v>9.7931230446196391</v>
      </c>
      <c r="X74" s="4">
        <f t="shared" si="44"/>
        <v>4.0564443830699517</v>
      </c>
      <c r="Y74" s="3">
        <f t="shared" si="39"/>
        <v>121</v>
      </c>
    </row>
    <row r="75" spans="1:25" x14ac:dyDescent="0.25">
      <c r="A75" t="str">
        <f>IF('Raw Data'!A75="","",'Raw Data'!A75)</f>
        <v>AD</v>
      </c>
      <c r="B75" t="str">
        <f>IF('Raw Data'!B75="","",'Raw Data'!B75)</f>
        <v>AE</v>
      </c>
      <c r="C75">
        <f>IF('Raw Data'!C75="","",'Raw Data'!C75)</f>
        <v>30</v>
      </c>
      <c r="D75">
        <f>IF('Raw Data'!D75="","",'Raw Data'!D75)</f>
        <v>5</v>
      </c>
      <c r="E75">
        <f>IF('Raw Data'!E75="","",'Raw Data'!E75)</f>
        <v>5</v>
      </c>
      <c r="F75">
        <f>IF('Raw Data'!F75="","",'Raw Data'!F75)</f>
        <v>2</v>
      </c>
      <c r="G75" s="7" t="str">
        <f>IF('Raw Data'!G75="","",SUBSTITUTE('Raw Data'!G75," ",":",1))</f>
        <v>-</v>
      </c>
      <c r="H75" s="7" t="str">
        <f>IF('Raw Data'!H75="","",SUBSTITUTE('Raw Data'!H75," ",":",1))</f>
        <v>290:00</v>
      </c>
      <c r="I75" s="7" t="str">
        <f>IF('Raw Data'!I75="","",SUBSTITUTE('Raw Data'!I75," ",":",1))</f>
        <v>110:00</v>
      </c>
      <c r="J75" s="8">
        <f>IF('Raw Data'!J75="","",IF(LEN(K75)&gt;6,SQRT('Raw Data'!J75^2+N75^2),'Raw Data'!J75))</f>
        <v>48.3</v>
      </c>
      <c r="K75" s="7" t="str">
        <f>IF('Raw Data'!K75="","",IF(LEN('Raw Data'!K75)&lt;7,SUBSTITUTE('Raw Data'!K75," ",":",1),'Raw Data'!K75))</f>
        <v>9:40</v>
      </c>
      <c r="L75" t="str">
        <f>IF('Raw Data'!L75="","",'Raw Data'!L75)</f>
        <v/>
      </c>
      <c r="M75">
        <f>IF('Raw Data'!M75="","",'Raw Data'!M75)</f>
        <v>47.6</v>
      </c>
      <c r="N75">
        <f>IF('Raw Data'!N75="","",IF('Raw Data'!N75="-",0,'Raw Data'!N75))</f>
        <v>8.1</v>
      </c>
      <c r="O75">
        <f>IF('Raw Data'!O75="","",'Raw Data'!O75)</f>
        <v>27</v>
      </c>
      <c r="P75" t="str">
        <f>IF('Raw Data'!P75="","",'Raw Data'!P75)</f>
        <v>Stream rises from boulders.</v>
      </c>
      <c r="Q75" t="str">
        <f t="shared" si="37"/>
        <v xml:space="preserve"> </v>
      </c>
      <c r="R75" s="3" t="str">
        <f t="shared" si="40"/>
        <v>-</v>
      </c>
      <c r="S75" s="3">
        <f t="shared" si="41"/>
        <v>290</v>
      </c>
      <c r="T75" s="3">
        <f t="shared" si="42"/>
        <v>110</v>
      </c>
      <c r="U75" s="3">
        <f>IF(ISERROR(FIND(":",K75)),K75,1*CONCATENATE(LEFT(K75,FIND(":",K75)-1),".",MID(RIGHT(K75,LEN(K75)-FIND(":",K75))/60,3,8)))</f>
        <v>9.6666666600000006</v>
      </c>
      <c r="W75" s="4">
        <f t="shared" si="43"/>
        <v>47.614204018655279</v>
      </c>
      <c r="X75" s="4">
        <f t="shared" si="44"/>
        <v>8.1103375805123683</v>
      </c>
      <c r="Y75" s="3">
        <f t="shared" si="39"/>
        <v>110</v>
      </c>
    </row>
    <row r="76" spans="1:25" x14ac:dyDescent="0.25">
      <c r="A76" t="str">
        <f>IF('Raw Data'!A76="","",'Raw Data'!A76)</f>
        <v>AE</v>
      </c>
      <c r="B76" t="str">
        <f>IF('Raw Data'!B76="","",'Raw Data'!B76)</f>
        <v>AF</v>
      </c>
      <c r="C76">
        <f>IF('Raw Data'!C76="","",'Raw Data'!C76)</f>
        <v>40</v>
      </c>
      <c r="D76" t="str">
        <f>IF('Raw Data'!D76="","",'Raw Data'!D76)</f>
        <v>5 to water</v>
      </c>
      <c r="E76">
        <f>IF('Raw Data'!E76="","",'Raw Data'!E76)</f>
        <v>3</v>
      </c>
      <c r="F76">
        <f>IF('Raw Data'!F76="","",'Raw Data'!F76)</f>
        <v>4</v>
      </c>
      <c r="G76" s="7" t="str">
        <f>IF('Raw Data'!G76="","",SUBSTITUTE('Raw Data'!G76," ",":",1))</f>
        <v>050:30</v>
      </c>
      <c r="H76" s="7" t="str">
        <f>IF('Raw Data'!H76="","",SUBSTITUTE('Raw Data'!H76," ",":",1))</f>
        <v>-</v>
      </c>
      <c r="I76" s="7" t="str">
        <f>IF('Raw Data'!I76="","",SUBSTITUTE('Raw Data'!I76," ",":",1))</f>
        <v>050:30</v>
      </c>
      <c r="J76" s="8">
        <f>IF('Raw Data'!J76="","",IF(LEN(K76)&gt;6,SQRT('Raw Data'!J76^2+N76^2),'Raw Data'!J76))</f>
        <v>17</v>
      </c>
      <c r="K76" s="7" t="str">
        <f>IF('Raw Data'!K76="","",IF(LEN('Raw Data'!K76)&lt;7,SUBSTITUTE('Raw Data'!K76," ",":",1),'Raw Data'!K76))</f>
        <v>10:20</v>
      </c>
      <c r="L76" t="str">
        <f>IF('Raw Data'!L76="","",'Raw Data'!L76)</f>
        <v/>
      </c>
      <c r="M76">
        <f>IF('Raw Data'!M76="","",'Raw Data'!M76)</f>
        <v>16.7</v>
      </c>
      <c r="N76">
        <f>IF('Raw Data'!N76="","",IF('Raw Data'!N76="-",0,'Raw Data'!N76))</f>
        <v>3</v>
      </c>
      <c r="O76">
        <f>IF('Raw Data'!O76="","",'Raw Data'!O76)</f>
        <v>35.1</v>
      </c>
      <c r="P76" t="str">
        <f>IF('Raw Data'!P76="","",'Raw Data'!P76)</f>
        <v>Stream sinks below boulders.</v>
      </c>
      <c r="Q76" t="str">
        <f t="shared" si="37"/>
        <v xml:space="preserve"> </v>
      </c>
      <c r="R76" s="3">
        <f t="shared" si="40"/>
        <v>50.5</v>
      </c>
      <c r="S76" s="3" t="str">
        <f t="shared" si="41"/>
        <v>-</v>
      </c>
      <c r="T76" s="3">
        <f t="shared" si="42"/>
        <v>50.5</v>
      </c>
      <c r="U76" s="3">
        <f>IF(ISERROR(FIND(":",K76)),K76,1*CONCATENATE(LEFT(K76,FIND(":",K76)-1),".",MID(RIGHT(K76,LEN(K76)-FIND(":",K76))/60,3,8)))</f>
        <v>10.33333333</v>
      </c>
      <c r="W76" s="4">
        <f t="shared" si="43"/>
        <v>16.724274425060901</v>
      </c>
      <c r="X76" s="4">
        <f t="shared" si="44"/>
        <v>3.0493679599637966</v>
      </c>
      <c r="Y76" s="3">
        <f t="shared" si="39"/>
        <v>50.5</v>
      </c>
    </row>
    <row r="77" spans="1:25" x14ac:dyDescent="0.25">
      <c r="A77" t="str">
        <f>IF('Raw Data'!A77="","",'Raw Data'!A77)</f>
        <v>AF</v>
      </c>
      <c r="B77" t="str">
        <f>IF('Raw Data'!B77="","",'Raw Data'!B77)</f>
        <v>AG</v>
      </c>
      <c r="C77">
        <f>IF('Raw Data'!C77="","",'Raw Data'!C77)</f>
        <v>30</v>
      </c>
      <c r="D77">
        <f>IF('Raw Data'!D77="","",'Raw Data'!D77)</f>
        <v>5</v>
      </c>
      <c r="E77" t="str">
        <f>IF('Raw Data'!E77="","",'Raw Data'!E77)</f>
        <v>-</v>
      </c>
      <c r="F77">
        <f>IF('Raw Data'!F77="","",'Raw Data'!F77)</f>
        <v>3</v>
      </c>
      <c r="G77" s="7" t="str">
        <f>IF('Raw Data'!G77="","",SUBSTITUTE('Raw Data'!G77," ",":",1))</f>
        <v>-</v>
      </c>
      <c r="H77" s="7" t="str">
        <f>IF('Raw Data'!H77="","",SUBSTITUTE('Raw Data'!H77," ",":",1))</f>
        <v>313:00</v>
      </c>
      <c r="I77" s="7" t="str">
        <f>IF('Raw Data'!I77="","",SUBSTITUTE('Raw Data'!I77," ",":",1))</f>
        <v>133:00</v>
      </c>
      <c r="J77" s="8">
        <f>IF('Raw Data'!J77="","",IF(LEN(K77)&gt;6,SQRT('Raw Data'!J77^2+N77^2),'Raw Data'!J77))</f>
        <v>20.2</v>
      </c>
      <c r="K77" s="7" t="str">
        <f>IF('Raw Data'!K77="","",IF(LEN('Raw Data'!K77)&lt;7,SUBSTITUTE('Raw Data'!K77," ",":",1),'Raw Data'!K77))</f>
        <v>3:00</v>
      </c>
      <c r="L77" t="str">
        <f>IF('Raw Data'!L77="","",'Raw Data'!L77)</f>
        <v/>
      </c>
      <c r="M77">
        <f>IF('Raw Data'!M77="","",'Raw Data'!M77)</f>
        <v>20.2</v>
      </c>
      <c r="N77">
        <f>IF('Raw Data'!N77="","",IF('Raw Data'!N77="-",0,'Raw Data'!N77))</f>
        <v>1.1000000000000001</v>
      </c>
      <c r="O77">
        <f>IF('Raw Data'!O77="","",'Raw Data'!O77)</f>
        <v>38.1</v>
      </c>
      <c r="P77" t="str">
        <f>IF('Raw Data'!P77="","",'Raw Data'!P77)</f>
        <v>AF above waterfall.</v>
      </c>
      <c r="Q77" t="str">
        <f t="shared" si="37"/>
        <v xml:space="preserve"> </v>
      </c>
      <c r="R77" s="3" t="str">
        <f t="shared" si="40"/>
        <v>-</v>
      </c>
      <c r="S77" s="3">
        <f t="shared" si="41"/>
        <v>313</v>
      </c>
      <c r="T77" s="3">
        <f t="shared" si="42"/>
        <v>133</v>
      </c>
      <c r="U77" s="3">
        <f t="shared" ref="U77:U119" si="45">IF(ISERROR(FIND(":",K77)),K77,1*CONCATENATE(LEFT(K77,FIND(":",K77)-1),".",MID(RIGHT(K77,LEN(K77)-FIND(":",K77))/60,3,8)))</f>
        <v>3</v>
      </c>
      <c r="W77" s="4">
        <f t="shared" si="43"/>
        <v>20.17231660204239</v>
      </c>
      <c r="X77" s="4">
        <f t="shared" si="44"/>
        <v>1.0571863161074653</v>
      </c>
      <c r="Y77" s="3">
        <f t="shared" si="39"/>
        <v>133</v>
      </c>
    </row>
    <row r="78" spans="1:25" x14ac:dyDescent="0.25">
      <c r="A78" t="str">
        <f>IF('Raw Data'!A78="","",'Raw Data'!A78)</f>
        <v>AG</v>
      </c>
      <c r="B78" t="str">
        <f>IF('Raw Data'!B78="","",'Raw Data'!B78)</f>
        <v>AH</v>
      </c>
      <c r="C78">
        <f>IF('Raw Data'!C78="","",'Raw Data'!C78)</f>
        <v>30</v>
      </c>
      <c r="D78">
        <f>IF('Raw Data'!D78="","",'Raw Data'!D78)</f>
        <v>4</v>
      </c>
      <c r="E78">
        <f>IF('Raw Data'!E78="","",'Raw Data'!E78)</f>
        <v>4</v>
      </c>
      <c r="F78" t="str">
        <f>IF('Raw Data'!F78="","",'Raw Data'!F78)</f>
        <v>/</v>
      </c>
      <c r="G78" s="7" t="str">
        <f>IF('Raw Data'!G78="","",SUBSTITUTE('Raw Data'!G78," ",":",1))</f>
        <v>195:50</v>
      </c>
      <c r="H78" s="7" t="str">
        <f>IF('Raw Data'!H78="","",SUBSTITUTE('Raw Data'!H78," ",":",1))</f>
        <v>-</v>
      </c>
      <c r="I78" s="7" t="str">
        <f>IF('Raw Data'!I78="","",SUBSTITUTE('Raw Data'!I78," ",":",1))</f>
        <v>192:50</v>
      </c>
      <c r="J78" s="8">
        <f>IF('Raw Data'!J78="","",IF(LEN(K78)&gt;6,SQRT('Raw Data'!J78^2+N78^2),'Raw Data'!J78))</f>
        <v>10.1</v>
      </c>
      <c r="K78" s="7" t="str">
        <f>IF('Raw Data'!K78="","",IF(LEN('Raw Data'!K78)&lt;7,SUBSTITUTE('Raw Data'!K78," ",":",1),'Raw Data'!K78))</f>
        <v>11:20</v>
      </c>
      <c r="L78" t="str">
        <f>IF('Raw Data'!L78="","",'Raw Data'!L78)</f>
        <v/>
      </c>
      <c r="M78">
        <f>IF('Raw Data'!M78="","",'Raw Data'!M78)</f>
        <v>9.9</v>
      </c>
      <c r="N78">
        <f>IF('Raw Data'!N78="","",IF('Raw Data'!N78="-",0,'Raw Data'!N78))</f>
        <v>2</v>
      </c>
      <c r="O78">
        <f>IF('Raw Data'!O78="","",'Raw Data'!O78)</f>
        <v>39.200000000000003</v>
      </c>
      <c r="P78" t="str">
        <f>IF('Raw Data'!P78="","",'Raw Data'!P78)</f>
        <v/>
      </c>
      <c r="Q78" t="str">
        <f t="shared" si="37"/>
        <v xml:space="preserve"> </v>
      </c>
      <c r="R78" s="3">
        <f t="shared" si="40"/>
        <v>195.83333333333334</v>
      </c>
      <c r="S78" s="3" t="str">
        <f t="shared" si="41"/>
        <v>-</v>
      </c>
      <c r="T78" s="3">
        <f t="shared" si="42"/>
        <v>192.83333333333334</v>
      </c>
      <c r="U78" s="3">
        <f t="shared" si="45"/>
        <v>11.33333333</v>
      </c>
      <c r="W78" s="4">
        <f t="shared" si="43"/>
        <v>9.9030550072508632</v>
      </c>
      <c r="X78" s="4">
        <f t="shared" si="44"/>
        <v>1.9848177557054478</v>
      </c>
      <c r="Y78" s="3">
        <f t="shared" si="39"/>
        <v>195.83333333333334</v>
      </c>
    </row>
    <row r="79" spans="1:25" x14ac:dyDescent="0.25">
      <c r="A79" t="str">
        <f>IF('Raw Data'!A79="","",'Raw Data'!A79)</f>
        <v>AH</v>
      </c>
      <c r="B79" t="str">
        <f>IF('Raw Data'!B79="","",'Raw Data'!B79)</f>
        <v>AI</v>
      </c>
      <c r="C79">
        <f>IF('Raw Data'!C79="","",'Raw Data'!C79)</f>
        <v>30</v>
      </c>
      <c r="D79">
        <f>IF('Raw Data'!D79="","",'Raw Data'!D79)</f>
        <v>3</v>
      </c>
      <c r="E79">
        <f>IF('Raw Data'!E79="","",'Raw Data'!E79)</f>
        <v>6</v>
      </c>
      <c r="F79">
        <f>IF('Raw Data'!F79="","",'Raw Data'!F79)</f>
        <v>0</v>
      </c>
      <c r="G79" s="7" t="str">
        <f>IF('Raw Data'!G79="","",SUBSTITUTE('Raw Data'!G79," ",":",1))</f>
        <v>-</v>
      </c>
      <c r="H79" s="7" t="str">
        <f>IF('Raw Data'!H79="","",SUBSTITUTE('Raw Data'!H79," ",":",1))</f>
        <v>292:10</v>
      </c>
      <c r="I79" s="7" t="str">
        <f>IF('Raw Data'!I79="","",SUBSTITUTE('Raw Data'!I79," ",":",1))</f>
        <v>112:10</v>
      </c>
      <c r="J79" s="8">
        <f>IF('Raw Data'!J79="","",IF(LEN(K79)&gt;6,SQRT('Raw Data'!J79^2+N79^2),'Raw Data'!J79))</f>
        <v>41.6</v>
      </c>
      <c r="K79" s="7" t="str">
        <f>IF('Raw Data'!K79="","",IF(LEN('Raw Data'!K79)&lt;7,SUBSTITUTE('Raw Data'!K79," ",":",1),'Raw Data'!K79))</f>
        <v>4:50</v>
      </c>
      <c r="L79" t="str">
        <f>IF('Raw Data'!L79="","",'Raw Data'!L79)</f>
        <v/>
      </c>
      <c r="M79">
        <f>IF('Raw Data'!M79="","",'Raw Data'!M79)</f>
        <v>41.4</v>
      </c>
      <c r="N79">
        <f>IF('Raw Data'!N79="","",IF('Raw Data'!N79="-",0,'Raw Data'!N79))</f>
        <v>3.5</v>
      </c>
      <c r="O79">
        <f>IF('Raw Data'!O79="","",'Raw Data'!O79)</f>
        <v>41.2</v>
      </c>
      <c r="P79" t="str">
        <f>IF('Raw Data'!P79="","",'Raw Data'!P79)</f>
        <v/>
      </c>
      <c r="Q79" t="str">
        <f t="shared" si="37"/>
        <v xml:space="preserve"> </v>
      </c>
      <c r="R79" s="3" t="str">
        <f t="shared" si="40"/>
        <v>-</v>
      </c>
      <c r="S79" s="3">
        <f t="shared" si="41"/>
        <v>292.16666666666669</v>
      </c>
      <c r="T79" s="3">
        <f t="shared" si="42"/>
        <v>112.16666666666667</v>
      </c>
      <c r="U79" s="3">
        <f t="shared" si="45"/>
        <v>4.8333333300000003</v>
      </c>
      <c r="W79" s="4">
        <f t="shared" si="43"/>
        <v>41.452070767031543</v>
      </c>
      <c r="X79" s="4">
        <f t="shared" si="44"/>
        <v>3.5051147092512509</v>
      </c>
      <c r="Y79" s="3">
        <f t="shared" si="39"/>
        <v>112.16666666666669</v>
      </c>
    </row>
    <row r="80" spans="1:25" x14ac:dyDescent="0.25">
      <c r="A80" t="str">
        <f>IF('Raw Data'!A80="","",'Raw Data'!A80)</f>
        <v>AI</v>
      </c>
      <c r="B80" t="str">
        <f>IF('Raw Data'!B80="","",'Raw Data'!B80)</f>
        <v>AJ</v>
      </c>
      <c r="C80">
        <f>IF('Raw Data'!C80="","",'Raw Data'!C80)</f>
        <v>25</v>
      </c>
      <c r="D80">
        <f>IF('Raw Data'!D80="","",'Raw Data'!D80)</f>
        <v>3</v>
      </c>
      <c r="E80">
        <f>IF('Raw Data'!E80="","",'Raw Data'!E80)</f>
        <v>2</v>
      </c>
      <c r="F80">
        <f>IF('Raw Data'!F80="","",'Raw Data'!F80)</f>
        <v>3</v>
      </c>
      <c r="G80" s="7" t="str">
        <f>IF('Raw Data'!G80="","",SUBSTITUTE('Raw Data'!G80," ",":",1))</f>
        <v>138:30</v>
      </c>
      <c r="H80" s="7" t="str">
        <f>IF('Raw Data'!H80="","",SUBSTITUTE('Raw Data'!H80," ",":",1))</f>
        <v>-</v>
      </c>
      <c r="I80" s="7" t="str">
        <f>IF('Raw Data'!I80="","",SUBSTITUTE('Raw Data'!I80," ",":",1))</f>
        <v>138:30</v>
      </c>
      <c r="J80" s="8">
        <f>IF('Raw Data'!J80="","",IF(LEN(K80)&gt;6,SQRT('Raw Data'!J80^2+N80^2),'Raw Data'!J80))</f>
        <v>34.200000000000003</v>
      </c>
      <c r="K80" s="7" t="str">
        <f>IF('Raw Data'!K80="","",IF(LEN('Raw Data'!K80)&lt;7,SUBSTITUTE('Raw Data'!K80," ",":",1),'Raw Data'!K80))</f>
        <v>6:30</v>
      </c>
      <c r="L80" t="str">
        <f>IF('Raw Data'!L80="","",'Raw Data'!L80)</f>
        <v/>
      </c>
      <c r="M80">
        <f>IF('Raw Data'!M80="","",'Raw Data'!M80)</f>
        <v>34</v>
      </c>
      <c r="N80">
        <f>IF('Raw Data'!N80="","",IF('Raw Data'!N80="-",0,'Raw Data'!N80))</f>
        <v>3.9</v>
      </c>
      <c r="O80">
        <f>IF('Raw Data'!O80="","",'Raw Data'!O80)</f>
        <v>44.7</v>
      </c>
      <c r="P80" t="str">
        <f>IF('Raw Data'!P80="","",'Raw Data'!P80)</f>
        <v/>
      </c>
      <c r="Q80" t="str">
        <f t="shared" si="37"/>
        <v xml:space="preserve"> </v>
      </c>
      <c r="R80" s="3">
        <f t="shared" si="40"/>
        <v>138.5</v>
      </c>
      <c r="S80" s="3" t="str">
        <f t="shared" si="41"/>
        <v>-</v>
      </c>
      <c r="T80" s="3">
        <f t="shared" si="42"/>
        <v>138.5</v>
      </c>
      <c r="U80" s="3">
        <f t="shared" si="45"/>
        <v>6.5</v>
      </c>
      <c r="W80" s="4">
        <f t="shared" si="43"/>
        <v>33.980157464139296</v>
      </c>
      <c r="X80" s="4">
        <f t="shared" si="44"/>
        <v>3.8715499108624103</v>
      </c>
      <c r="Y80" s="3">
        <f t="shared" si="39"/>
        <v>138.5</v>
      </c>
    </row>
    <row r="81" spans="1:25" x14ac:dyDescent="0.25">
      <c r="A81" t="str">
        <f>IF('Raw Data'!A81="","",'Raw Data'!A81)</f>
        <v>AJ</v>
      </c>
      <c r="B81" t="str">
        <f>IF('Raw Data'!B81="","",'Raw Data'!B81)</f>
        <v>AK</v>
      </c>
      <c r="C81">
        <f>IF('Raw Data'!C81="","",'Raw Data'!C81)</f>
        <v>10</v>
      </c>
      <c r="D81">
        <f>IF('Raw Data'!D81="","",'Raw Data'!D81)</f>
        <v>6</v>
      </c>
      <c r="E81">
        <f>IF('Raw Data'!E81="","",'Raw Data'!E81)</f>
        <v>1</v>
      </c>
      <c r="F81">
        <f>IF('Raw Data'!F81="","",'Raw Data'!F81)</f>
        <v>2.5</v>
      </c>
      <c r="G81" s="7" t="str">
        <f>IF('Raw Data'!G81="","",SUBSTITUTE('Raw Data'!G81," ",":",1))</f>
        <v>-</v>
      </c>
      <c r="H81" s="7" t="str">
        <f>IF('Raw Data'!H81="","",SUBSTITUTE('Raw Data'!H81," ",":",1))</f>
        <v>286:00</v>
      </c>
      <c r="I81" s="7" t="str">
        <f>IF('Raw Data'!I81="","",SUBSTITUTE('Raw Data'!I81," ",":",1))</f>
        <v>106:00</v>
      </c>
      <c r="J81" s="8">
        <f>IF('Raw Data'!J81="","",IF(LEN(K81)&gt;6,SQRT('Raw Data'!J81^2+N81^2),'Raw Data'!J81))</f>
        <v>31.8</v>
      </c>
      <c r="K81" s="7" t="str">
        <f>IF('Raw Data'!K81="","",IF(LEN('Raw Data'!K81)&lt;7,SUBSTITUTE('Raw Data'!K81," ",":",1),'Raw Data'!K81))</f>
        <v>14:30</v>
      </c>
      <c r="L81" t="str">
        <f>IF('Raw Data'!L81="","",'Raw Data'!L81)</f>
        <v/>
      </c>
      <c r="M81">
        <f>IF('Raw Data'!M81="","",'Raw Data'!M81)</f>
        <v>30.7</v>
      </c>
      <c r="N81">
        <f>IF('Raw Data'!N81="","",IF('Raw Data'!N81="-",0,'Raw Data'!N81))</f>
        <v>8</v>
      </c>
      <c r="O81">
        <f>IF('Raw Data'!O81="","",'Raw Data'!O81)</f>
        <v>48.6</v>
      </c>
      <c r="P81" t="str">
        <f>IF('Raw Data'!P81="","",'Raw Data'!P81)</f>
        <v/>
      </c>
      <c r="Q81" t="str">
        <f t="shared" si="37"/>
        <v xml:space="preserve"> </v>
      </c>
      <c r="R81" s="3" t="str">
        <f t="shared" si="40"/>
        <v>-</v>
      </c>
      <c r="S81" s="3">
        <f t="shared" si="41"/>
        <v>286</v>
      </c>
      <c r="T81" s="3">
        <f t="shared" si="42"/>
        <v>106</v>
      </c>
      <c r="U81" s="3">
        <f t="shared" si="45"/>
        <v>14.5</v>
      </c>
      <c r="W81" s="4">
        <f t="shared" si="43"/>
        <v>30.787094964023826</v>
      </c>
      <c r="X81" s="4">
        <f t="shared" si="44"/>
        <v>7.9620841289312381</v>
      </c>
      <c r="Y81" s="3">
        <f t="shared" si="39"/>
        <v>106</v>
      </c>
    </row>
    <row r="82" spans="1:25" x14ac:dyDescent="0.25">
      <c r="A82" t="str">
        <f>IF('Raw Data'!A82="","",'Raw Data'!A82)</f>
        <v>AK</v>
      </c>
      <c r="B82" t="str">
        <f>IF('Raw Data'!B82="","",'Raw Data'!B82)</f>
        <v>AL</v>
      </c>
      <c r="C82" t="str">
        <f>IF('Raw Data'!C82="","",'Raw Data'!C82)</f>
        <v>4 (cascade)</v>
      </c>
      <c r="D82">
        <f>IF('Raw Data'!D82="","",'Raw Data'!D82)</f>
        <v>10</v>
      </c>
      <c r="E82">
        <f>IF('Raw Data'!E82="","",'Raw Data'!E82)</f>
        <v>4</v>
      </c>
      <c r="F82">
        <f>IF('Raw Data'!F82="","",'Raw Data'!F82)</f>
        <v>3</v>
      </c>
      <c r="G82" s="7" t="str">
        <f>IF('Raw Data'!G82="","",SUBSTITUTE('Raw Data'!G82," ",":",1))</f>
        <v>044:00</v>
      </c>
      <c r="H82" s="7" t="str">
        <f>IF('Raw Data'!H82="","",SUBSTITUTE('Raw Data'!H82," ",":",1))</f>
        <v>-</v>
      </c>
      <c r="I82" s="7" t="str">
        <f>IF('Raw Data'!I82="","",SUBSTITUTE('Raw Data'!I82," ",":",1))</f>
        <v>044:00</v>
      </c>
      <c r="J82" s="8">
        <f>IF('Raw Data'!J82="","",IF(LEN(K82)&gt;6,SQRT('Raw Data'!J82^2+N82^2),'Raw Data'!J82))</f>
        <v>11.3</v>
      </c>
      <c r="K82" s="7" t="str">
        <f>IF('Raw Data'!K82="","",IF(LEN('Raw Data'!K82)&lt;7,SUBSTITUTE('Raw Data'!K82," ",":",1),'Raw Data'!K82))</f>
        <v>-0:30</v>
      </c>
      <c r="L82" t="str">
        <f>IF('Raw Data'!L82="","",'Raw Data'!L82)</f>
        <v/>
      </c>
      <c r="M82">
        <f>IF('Raw Data'!M82="","",'Raw Data'!M82)</f>
        <v>11.3</v>
      </c>
      <c r="N82">
        <f>IF('Raw Data'!N82="","",IF('Raw Data'!N82="-",0,'Raw Data'!N82))</f>
        <v>-0.1</v>
      </c>
      <c r="O82">
        <f>IF('Raw Data'!O82="","",'Raw Data'!O82)</f>
        <v>56.6</v>
      </c>
      <c r="P82" t="str">
        <f>IF('Raw Data'!P82="","",'Raw Data'!P82)</f>
        <v>AK is below hole into Upper Grottos. Asellus (sp?) present.</v>
      </c>
      <c r="Q82" t="str">
        <f t="shared" si="37"/>
        <v xml:space="preserve"> </v>
      </c>
      <c r="R82" s="3">
        <f t="shared" si="40"/>
        <v>44</v>
      </c>
      <c r="S82" s="3" t="str">
        <f t="shared" si="41"/>
        <v>-</v>
      </c>
      <c r="T82" s="3">
        <f t="shared" si="42"/>
        <v>44</v>
      </c>
      <c r="U82" s="3">
        <f t="shared" si="45"/>
        <v>-0.5</v>
      </c>
      <c r="W82" s="4">
        <f t="shared" si="43"/>
        <v>11.299569730625137</v>
      </c>
      <c r="X82" s="4">
        <f t="shared" si="44"/>
        <v>-9.8609851131625473E-2</v>
      </c>
      <c r="Y82" s="3">
        <f t="shared" si="39"/>
        <v>44</v>
      </c>
    </row>
    <row r="83" spans="1:25" x14ac:dyDescent="0.25">
      <c r="A83" t="str">
        <f>IF('Raw Data'!A83="","",'Raw Data'!A83)</f>
        <v>AL</v>
      </c>
      <c r="B83" t="str">
        <f>IF('Raw Data'!B83="","",'Raw Data'!B83)</f>
        <v/>
      </c>
      <c r="C83" t="str">
        <f>IF('Raw Data'!C83="","",'Raw Data'!C83)</f>
        <v/>
      </c>
      <c r="D83" t="str">
        <f>IF('Raw Data'!D83="","",'Raw Data'!D83)</f>
        <v/>
      </c>
      <c r="E83" t="str">
        <f>IF('Raw Data'!E83="","",'Raw Data'!E83)</f>
        <v/>
      </c>
      <c r="F83" t="str">
        <f>IF('Raw Data'!F83="","",'Raw Data'!F83)</f>
        <v/>
      </c>
      <c r="G83" s="7" t="str">
        <f>IF('Raw Data'!G83="","",SUBSTITUTE('Raw Data'!G83," ",":",1))</f>
        <v/>
      </c>
      <c r="H83" s="7" t="str">
        <f>IF('Raw Data'!H83="","",SUBSTITUTE('Raw Data'!H83," ",":",1))</f>
        <v/>
      </c>
      <c r="I83" s="7" t="str">
        <f>IF('Raw Data'!I83="","",SUBSTITUTE('Raw Data'!I83," ",":",1))</f>
        <v/>
      </c>
      <c r="J83" s="8" t="str">
        <f>IF('Raw Data'!J83="","",IF(LEN(K83)&gt;6,SQRT('Raw Data'!J83^2+N83^2),'Raw Data'!J83))</f>
        <v/>
      </c>
      <c r="K83" s="7" t="str">
        <f>IF('Raw Data'!K83="","",IF(LEN('Raw Data'!K83)&lt;7,SUBSTITUTE('Raw Data'!K83," ",":",1),'Raw Data'!K83))</f>
        <v/>
      </c>
      <c r="L83" t="str">
        <f>IF('Raw Data'!L83="","",'Raw Data'!L83)</f>
        <v/>
      </c>
      <c r="M83" t="str">
        <f>IF('Raw Data'!M83="","",'Raw Data'!M83)</f>
        <v/>
      </c>
      <c r="N83" t="str">
        <f>IF('Raw Data'!N83="","",IF('Raw Data'!N83="-",0,'Raw Data'!N83))</f>
        <v/>
      </c>
      <c r="O83">
        <f>IF('Raw Data'!O83="","",'Raw Data'!O83)</f>
        <v>56.5</v>
      </c>
      <c r="P83" t="str">
        <f>IF('Raw Data'!P83="","",'Raw Data'!P83)</f>
        <v>Total = 1,918'</v>
      </c>
      <c r="Q83" t="str">
        <f t="shared" si="37"/>
        <v xml:space="preserve"> </v>
      </c>
      <c r="W83" s="4"/>
      <c r="X83" s="4"/>
      <c r="Y83" s="3"/>
    </row>
    <row r="84" spans="1:25" x14ac:dyDescent="0.25">
      <c r="A84" t="str">
        <f>IF('Raw Data'!A84="","",'Raw Data'!A84)</f>
        <v/>
      </c>
      <c r="B84" t="str">
        <f>IF('Raw Data'!B84="","",'Raw Data'!B84)</f>
        <v/>
      </c>
      <c r="C84" t="str">
        <f>IF('Raw Data'!C84="","",'Raw Data'!C84)</f>
        <v/>
      </c>
      <c r="D84" t="str">
        <f>IF('Raw Data'!D84="","",'Raw Data'!D84)</f>
        <v/>
      </c>
      <c r="E84" t="str">
        <f>IF('Raw Data'!E84="","",'Raw Data'!E84)</f>
        <v/>
      </c>
      <c r="F84" t="str">
        <f>IF('Raw Data'!F84="","",'Raw Data'!F84)</f>
        <v/>
      </c>
      <c r="G84" s="7" t="str">
        <f>IF('Raw Data'!G84="","",SUBSTITUTE('Raw Data'!G84," ",":",1))</f>
        <v/>
      </c>
      <c r="H84" s="7" t="str">
        <f>IF('Raw Data'!H84="","",SUBSTITUTE('Raw Data'!H84," ",":",1))</f>
        <v/>
      </c>
      <c r="I84" s="7" t="str">
        <f>IF('Raw Data'!I84="","",SUBSTITUTE('Raw Data'!I84," ",":",1))</f>
        <v/>
      </c>
      <c r="J84" s="8" t="str">
        <f>IF('Raw Data'!J84="","",IF(LEN(K84)&gt;6,SQRT('Raw Data'!J84^2+N84^2),'Raw Data'!J84))</f>
        <v/>
      </c>
      <c r="K84" s="7" t="str">
        <f>IF('Raw Data'!K84="","",IF(LEN('Raw Data'!K84)&lt;7,SUBSTITUTE('Raw Data'!K84," ",":",1),'Raw Data'!K84))</f>
        <v/>
      </c>
      <c r="L84" t="str">
        <f>IF('Raw Data'!L84="","",'Raw Data'!L84)</f>
        <v/>
      </c>
      <c r="M84" t="str">
        <f>IF('Raw Data'!M84="","",'Raw Data'!M84)</f>
        <v/>
      </c>
      <c r="N84" t="str">
        <f>IF('Raw Data'!N84="","",IF('Raw Data'!N84="-",0,'Raw Data'!N84))</f>
        <v/>
      </c>
      <c r="O84" t="str">
        <f>IF('Raw Data'!O84="","",'Raw Data'!O84)</f>
        <v/>
      </c>
      <c r="P84" t="str">
        <f>IF('Raw Data'!P84="","",'Raw Data'!P84)</f>
        <v/>
      </c>
      <c r="Q84" t="str">
        <f t="shared" si="37"/>
        <v xml:space="preserve"> </v>
      </c>
      <c r="W84" s="4"/>
      <c r="X84" s="4"/>
      <c r="Y84" s="3"/>
    </row>
    <row r="85" spans="1:25" x14ac:dyDescent="0.25">
      <c r="A85" t="str">
        <f>IF('Raw Data'!A85="","",'Raw Data'!A85)</f>
        <v>2nd April 1952</v>
      </c>
      <c r="B85" t="str">
        <f>IF('Raw Data'!B85="","",'Raw Data'!B85)</f>
        <v>Cono &amp; Roy Blewett</v>
      </c>
      <c r="C85" t="str">
        <f>IF('Raw Data'!C85="","",'Raw Data'!C85)</f>
        <v/>
      </c>
      <c r="D85" t="str">
        <f>IF('Raw Data'!D85="","",'Raw Data'!D85)</f>
        <v/>
      </c>
      <c r="E85" t="str">
        <f>IF('Raw Data'!E85="","",'Raw Data'!E85)</f>
        <v/>
      </c>
      <c r="F85" t="str">
        <f>IF('Raw Data'!F85="","",'Raw Data'!F85)</f>
        <v/>
      </c>
      <c r="G85" s="7" t="str">
        <f>IF('Raw Data'!G85="","",SUBSTITUTE('Raw Data'!G85," ",":",1))</f>
        <v/>
      </c>
      <c r="H85" s="7" t="str">
        <f>IF('Raw Data'!H85="","",SUBSTITUTE('Raw Data'!H85," ",":",1))</f>
        <v/>
      </c>
      <c r="I85" s="7" t="str">
        <f>IF('Raw Data'!I85="","",SUBSTITUTE('Raw Data'!I85," ",":",1))</f>
        <v/>
      </c>
      <c r="J85" s="8" t="str">
        <f>IF('Raw Data'!J85="","",IF(LEN(K85)&gt;6,SQRT('Raw Data'!J85^2+N85^2),'Raw Data'!J85))</f>
        <v/>
      </c>
      <c r="K85" s="7" t="str">
        <f>IF('Raw Data'!K85="","",IF(LEN('Raw Data'!K85)&lt;7,SUBSTITUTE('Raw Data'!K85," ",":",1),'Raw Data'!K85))</f>
        <v/>
      </c>
      <c r="L85" t="str">
        <f>IF('Raw Data'!L85="","",'Raw Data'!L85)</f>
        <v/>
      </c>
      <c r="M85" t="str">
        <f>IF('Raw Data'!M85="","",'Raw Data'!M85)</f>
        <v/>
      </c>
      <c r="N85" t="str">
        <f>IF('Raw Data'!N85="","",IF('Raw Data'!N85="-",0,'Raw Data'!N85))</f>
        <v/>
      </c>
      <c r="O85" t="str">
        <f>IF('Raw Data'!O85="","",'Raw Data'!O85)</f>
        <v/>
      </c>
      <c r="P85" t="str">
        <f>IF('Raw Data'!P85="","",'Raw Data'!P85)</f>
        <v/>
      </c>
      <c r="Q85" t="str">
        <f t="shared" si="37"/>
        <v xml:space="preserve"> </v>
      </c>
      <c r="W85" s="4"/>
      <c r="X85" s="4"/>
      <c r="Y85" s="3"/>
    </row>
    <row r="86" spans="1:25" x14ac:dyDescent="0.25">
      <c r="A86" t="str">
        <f>IF('Raw Data'!A86="","",'Raw Data'!A86)</f>
        <v>AL</v>
      </c>
      <c r="B86" t="str">
        <f>IF('Raw Data'!B86="","",'Raw Data'!B86)</f>
        <v>AN</v>
      </c>
      <c r="C86">
        <f>IF('Raw Data'!C86="","",'Raw Data'!C86)</f>
        <v>8</v>
      </c>
      <c r="D86">
        <f>IF('Raw Data'!D86="","",'Raw Data'!D86)</f>
        <v>6</v>
      </c>
      <c r="E86">
        <f>IF('Raw Data'!E86="","",'Raw Data'!E86)</f>
        <v>6</v>
      </c>
      <c r="F86">
        <f>IF('Raw Data'!F86="","",'Raw Data'!F86)</f>
        <v>0</v>
      </c>
      <c r="G86" s="7" t="str">
        <f>IF('Raw Data'!G86="","",SUBSTITUTE('Raw Data'!G86," ",":",1))</f>
        <v>-</v>
      </c>
      <c r="H86" s="7" t="str">
        <f>IF('Raw Data'!H86="","",SUBSTITUTE('Raw Data'!H86," ",":",1))</f>
        <v>126:40</v>
      </c>
      <c r="I86" s="7" t="str">
        <f>IF('Raw Data'!I86="","",SUBSTITUTE('Raw Data'!I86," ",":",1))</f>
        <v>306:40</v>
      </c>
      <c r="J86" s="8">
        <f>IF('Raw Data'!J86="","",IF(LEN(K86)&gt;6,SQRT('Raw Data'!J86^2+N86^2),'Raw Data'!J86))</f>
        <v>12.8</v>
      </c>
      <c r="K86" s="7" t="str">
        <f>IF('Raw Data'!K86="","",IF(LEN('Raw Data'!K86)&lt;7,SUBSTITUTE('Raw Data'!K86," ",":",1),'Raw Data'!K86))</f>
        <v>-4:30</v>
      </c>
      <c r="L86" t="str">
        <f>IF('Raw Data'!L86="","",'Raw Data'!L86)</f>
        <v/>
      </c>
      <c r="M86">
        <f>IF('Raw Data'!M86="","",'Raw Data'!M86)</f>
        <v>12.8</v>
      </c>
      <c r="N86">
        <f>IF('Raw Data'!N86="","",IF('Raw Data'!N86="-",0,'Raw Data'!N86))</f>
        <v>-1</v>
      </c>
      <c r="O86">
        <f>IF('Raw Data'!O86="","",'Raw Data'!O86)</f>
        <v>56.5</v>
      </c>
      <c r="P86" t="str">
        <f>IF('Raw Data'!P86="","",'Raw Data'!P86)</f>
        <v>AL is start of St. Pauls survey</v>
      </c>
      <c r="Q86" t="str">
        <f t="shared" si="37"/>
        <v xml:space="preserve"> </v>
      </c>
      <c r="R86" s="3" t="str">
        <f t="shared" si="40"/>
        <v>-</v>
      </c>
      <c r="S86" s="3">
        <f t="shared" si="41"/>
        <v>126.66666666666667</v>
      </c>
      <c r="T86" s="3">
        <f t="shared" si="42"/>
        <v>306.66666666666669</v>
      </c>
      <c r="U86" s="3">
        <f t="shared" si="45"/>
        <v>-4.5</v>
      </c>
      <c r="W86" s="4">
        <f t="shared" si="43"/>
        <v>12.760541871784039</v>
      </c>
      <c r="X86" s="4">
        <f t="shared" si="44"/>
        <v>-1.0042764253164154</v>
      </c>
      <c r="Y86" s="3">
        <f t="shared" si="39"/>
        <v>306.66666666666669</v>
      </c>
    </row>
    <row r="87" spans="1:25" x14ac:dyDescent="0.25">
      <c r="A87" t="str">
        <f>IF('Raw Data'!A87="","",'Raw Data'!A87)</f>
        <v>AN</v>
      </c>
      <c r="B87" t="str">
        <f>IF('Raw Data'!B87="","",'Raw Data'!B87)</f>
        <v>AO</v>
      </c>
      <c r="C87">
        <f>IF('Raw Data'!C87="","",'Raw Data'!C87)</f>
        <v>12</v>
      </c>
      <c r="D87">
        <f>IF('Raw Data'!D87="","",'Raw Data'!D87)</f>
        <v>4</v>
      </c>
      <c r="E87">
        <f>IF('Raw Data'!E87="","",'Raw Data'!E87)</f>
        <v>2</v>
      </c>
      <c r="F87">
        <f>IF('Raw Data'!F87="","",'Raw Data'!F87)</f>
        <v>4</v>
      </c>
      <c r="G87" s="7" t="str">
        <f>IF('Raw Data'!G87="","",SUBSTITUTE('Raw Data'!G87," ",":",1))</f>
        <v>025:20</v>
      </c>
      <c r="H87" s="7" t="str">
        <f>IF('Raw Data'!H87="","",SUBSTITUTE('Raw Data'!H87," ",":",1))</f>
        <v>-</v>
      </c>
      <c r="I87" s="7" t="str">
        <f>IF('Raw Data'!I87="","",SUBSTITUTE('Raw Data'!I87," ",":",1))</f>
        <v>025:20</v>
      </c>
      <c r="J87" s="8">
        <f>IF('Raw Data'!J87="","",IF(LEN(K87)&gt;6,SQRT('Raw Data'!J87^2+N87^2),'Raw Data'!J87))</f>
        <v>16.8</v>
      </c>
      <c r="K87" s="7" t="str">
        <f>IF('Raw Data'!K87="","",IF(LEN('Raw Data'!K87)&lt;7,SUBSTITUTE('Raw Data'!K87," ",":",1),'Raw Data'!K87))</f>
        <v>26:00</v>
      </c>
      <c r="L87" t="str">
        <f>IF('Raw Data'!L87="","",'Raw Data'!L87)</f>
        <v/>
      </c>
      <c r="M87">
        <f>IF('Raw Data'!M87="","",'Raw Data'!M87)</f>
        <v>15.1</v>
      </c>
      <c r="N87">
        <f>IF('Raw Data'!N87="","",IF('Raw Data'!N87="-",0,'Raw Data'!N87))</f>
        <v>7.4</v>
      </c>
      <c r="O87">
        <f>IF('Raw Data'!O87="","",'Raw Data'!O87)</f>
        <v>55.5</v>
      </c>
      <c r="P87" t="str">
        <f>IF('Raw Data'!P87="","",'Raw Data'!P87)</f>
        <v>AN is at S. end of lower big pot.</v>
      </c>
      <c r="Q87" t="str">
        <f t="shared" si="37"/>
        <v xml:space="preserve"> </v>
      </c>
      <c r="R87" s="3">
        <f t="shared" ref="R87:R101" si="46">IF(ISERROR(FIND(":",G87)),IF(G87&lt;&gt;"-",1*G87,G87),1*LEFT(G87,FIND(":",G87)-1)+RIGHT(G87,LEN(G87)-FIND(":",G87))/60)</f>
        <v>25.333333333333332</v>
      </c>
      <c r="S87" s="3" t="str">
        <f t="shared" ref="S87:S101" si="47">IF(ISERROR(FIND(":",H87)),IF(H87&lt;&gt;"-",1*H87,H87),1*LEFT(H87,FIND(":",H87)-1)+RIGHT(H87,LEN(H87)-FIND(":",H87))/60)</f>
        <v>-</v>
      </c>
      <c r="T87" s="3">
        <f t="shared" ref="T87:T101" si="48">IF(ISERROR(FIND(":",I87)),IF(I87&lt;&gt;"-",1*I87,I87),1*LEFT(I87,FIND(":",I87)-1)+RIGHT(I87,LEN(I87)-FIND(":",I87))/60)</f>
        <v>25.333333333333332</v>
      </c>
      <c r="U87" s="3">
        <f t="shared" si="45"/>
        <v>26</v>
      </c>
      <c r="W87" s="4">
        <f t="shared" si="43"/>
        <v>15.099739977826006</v>
      </c>
      <c r="X87" s="4">
        <f t="shared" si="44"/>
        <v>7.3646352660565011</v>
      </c>
      <c r="Y87" s="3">
        <f t="shared" si="39"/>
        <v>25.333333333333332</v>
      </c>
    </row>
    <row r="88" spans="1:25" x14ac:dyDescent="0.25">
      <c r="A88" t="str">
        <f>IF('Raw Data'!A88="","",'Raw Data'!A88)</f>
        <v>AO</v>
      </c>
      <c r="B88" t="str">
        <f>IF('Raw Data'!B88="","",'Raw Data'!B88)</f>
        <v>AP</v>
      </c>
      <c r="C88">
        <f>IF('Raw Data'!C88="","",'Raw Data'!C88)</f>
        <v>8</v>
      </c>
      <c r="D88">
        <f>IF('Raw Data'!D88="","",'Raw Data'!D88)</f>
        <v>6</v>
      </c>
      <c r="E88">
        <f>IF('Raw Data'!E88="","",'Raw Data'!E88)</f>
        <v>1</v>
      </c>
      <c r="F88">
        <f>IF('Raw Data'!F88="","",'Raw Data'!F88)</f>
        <v>2</v>
      </c>
      <c r="G88" s="7" t="str">
        <f>IF('Raw Data'!G88="","",SUBSTITUTE('Raw Data'!G88," ",":",1))</f>
        <v>-</v>
      </c>
      <c r="H88" s="7" t="str">
        <f>IF('Raw Data'!H88="","",SUBSTITUTE('Raw Data'!H88," ",":",1))</f>
        <v>243:50</v>
      </c>
      <c r="I88" s="7" t="str">
        <f>IF('Raw Data'!I88="","",SUBSTITUTE('Raw Data'!I88," ",":",1))</f>
        <v>063:50</v>
      </c>
      <c r="J88" s="8">
        <f>IF('Raw Data'!J88="","",IF(LEN(K88)&gt;6,SQRT('Raw Data'!J88^2+N88^2),'Raw Data'!J88))</f>
        <v>27.7</v>
      </c>
      <c r="K88" s="7" t="str">
        <f>IF('Raw Data'!K88="","",IF(LEN('Raw Data'!K88)&lt;7,SUBSTITUTE('Raw Data'!K88," ",":",1),'Raw Data'!K88))</f>
        <v>12:00</v>
      </c>
      <c r="L88" t="str">
        <f>IF('Raw Data'!L88="","",'Raw Data'!L88)</f>
        <v/>
      </c>
      <c r="M88">
        <f>IF('Raw Data'!M88="","",'Raw Data'!M88)</f>
        <v>27.1</v>
      </c>
      <c r="N88">
        <f>IF('Raw Data'!N88="","",IF('Raw Data'!N88="-",0,'Raw Data'!N88))</f>
        <v>5.8</v>
      </c>
      <c r="O88">
        <f>IF('Raw Data'!O88="","",'Raw Data'!O88)</f>
        <v>62.9</v>
      </c>
      <c r="P88" t="str">
        <f>IF('Raw Data'!P88="","",'Raw Data'!P88)</f>
        <v/>
      </c>
      <c r="Q88" t="str">
        <f t="shared" si="37"/>
        <v xml:space="preserve"> </v>
      </c>
      <c r="R88" s="3" t="str">
        <f t="shared" si="46"/>
        <v>-</v>
      </c>
      <c r="S88" s="3">
        <f t="shared" si="47"/>
        <v>243.83333333333334</v>
      </c>
      <c r="T88" s="3">
        <f t="shared" si="48"/>
        <v>63.833333333333336</v>
      </c>
      <c r="U88" s="3">
        <f t="shared" si="45"/>
        <v>12</v>
      </c>
      <c r="W88" s="4">
        <f t="shared" si="43"/>
        <v>27.094688540326416</v>
      </c>
      <c r="X88" s="4">
        <f t="shared" si="44"/>
        <v>5.759153835651933</v>
      </c>
      <c r="Y88" s="3">
        <f t="shared" si="39"/>
        <v>63.833333333333343</v>
      </c>
    </row>
    <row r="89" spans="1:25" x14ac:dyDescent="0.25">
      <c r="A89" t="str">
        <f>IF('Raw Data'!A89="","",'Raw Data'!A89)</f>
        <v>AP</v>
      </c>
      <c r="B89" t="str">
        <f>IF('Raw Data'!B89="","",'Raw Data'!B89)</f>
        <v>AQ</v>
      </c>
      <c r="C89">
        <f>IF('Raw Data'!C89="","",'Raw Data'!C89)</f>
        <v>20</v>
      </c>
      <c r="D89">
        <f>IF('Raw Data'!D89="","",'Raw Data'!D89)</f>
        <v>4.5</v>
      </c>
      <c r="E89">
        <f>IF('Raw Data'!E89="","",'Raw Data'!E89)</f>
        <v>1</v>
      </c>
      <c r="F89">
        <f>IF('Raw Data'!F89="","",'Raw Data'!F89)</f>
        <v>3</v>
      </c>
      <c r="G89" s="7" t="str">
        <f>IF('Raw Data'!G89="","",SUBSTITUTE('Raw Data'!G89," ",":",1))</f>
        <v>094:00</v>
      </c>
      <c r="H89" s="7" t="str">
        <f>IF('Raw Data'!H89="","",SUBSTITUTE('Raw Data'!H89," ",":",1))</f>
        <v>-</v>
      </c>
      <c r="I89" s="7" t="str">
        <f>IF('Raw Data'!I89="","",SUBSTITUTE('Raw Data'!I89," ",":",1))</f>
        <v>094:00</v>
      </c>
      <c r="J89" s="8">
        <f>IF('Raw Data'!J89="","",IF(LEN(K89)&gt;6,SQRT('Raw Data'!J89^2+N89^2),'Raw Data'!J89))</f>
        <v>23.2</v>
      </c>
      <c r="K89" s="7" t="str">
        <f>IF('Raw Data'!K89="","",IF(LEN('Raw Data'!K89)&lt;7,SUBSTITUTE('Raw Data'!K89," ",":",1),'Raw Data'!K89))</f>
        <v>10:30</v>
      </c>
      <c r="L89" t="str">
        <f>IF('Raw Data'!L89="","",'Raw Data'!L89)</f>
        <v/>
      </c>
      <c r="M89">
        <f>IF('Raw Data'!M89="","",'Raw Data'!M89)</f>
        <v>22.8</v>
      </c>
      <c r="N89">
        <f>IF('Raw Data'!N89="","",IF('Raw Data'!N89="-",0,'Raw Data'!N89))</f>
        <v>4.0999999999999996</v>
      </c>
      <c r="O89">
        <f>IF('Raw Data'!O89="","",'Raw Data'!O89)</f>
        <v>68.7</v>
      </c>
      <c r="P89" t="str">
        <f>IF('Raw Data'!P89="","",'Raw Data'!P89)</f>
        <v/>
      </c>
      <c r="Q89" t="str">
        <f t="shared" si="37"/>
        <v xml:space="preserve"> </v>
      </c>
      <c r="R89" s="3">
        <f t="shared" si="46"/>
        <v>94</v>
      </c>
      <c r="S89" s="3" t="str">
        <f t="shared" si="47"/>
        <v>-</v>
      </c>
      <c r="T89" s="3">
        <f t="shared" si="48"/>
        <v>94</v>
      </c>
      <c r="U89" s="3">
        <f t="shared" si="45"/>
        <v>10.5</v>
      </c>
      <c r="W89" s="4">
        <f t="shared" si="43"/>
        <v>22.811513855483746</v>
      </c>
      <c r="X89" s="4">
        <f t="shared" si="44"/>
        <v>4.2278641914178214</v>
      </c>
      <c r="Y89" s="3">
        <f t="shared" si="39"/>
        <v>94</v>
      </c>
    </row>
    <row r="90" spans="1:25" x14ac:dyDescent="0.25">
      <c r="A90" t="str">
        <f>IF('Raw Data'!A90="","",'Raw Data'!A90)</f>
        <v>AQ</v>
      </c>
      <c r="B90" t="str">
        <f>IF('Raw Data'!B90="","",'Raw Data'!B90)</f>
        <v>AR</v>
      </c>
      <c r="C90">
        <f>IF('Raw Data'!C90="","",'Raw Data'!C90)</f>
        <v>30</v>
      </c>
      <c r="D90">
        <f>IF('Raw Data'!D90="","",'Raw Data'!D90)</f>
        <v>6</v>
      </c>
      <c r="E90">
        <f>IF('Raw Data'!E90="","",'Raw Data'!E90)</f>
        <v>0</v>
      </c>
      <c r="F90">
        <f>IF('Raw Data'!F90="","",'Raw Data'!F90)</f>
        <v>4</v>
      </c>
      <c r="G90" s="7" t="str">
        <f>IF('Raw Data'!G90="","",SUBSTITUTE('Raw Data'!G90," ",":",1))</f>
        <v>-</v>
      </c>
      <c r="H90" s="7" t="str">
        <f>IF('Raw Data'!H90="","",SUBSTITUTE('Raw Data'!H90," ",":",1))</f>
        <v>316:00</v>
      </c>
      <c r="I90" s="7" t="str">
        <f>IF('Raw Data'!I90="","",SUBSTITUTE('Raw Data'!I90," ",":",1))</f>
        <v>136:00</v>
      </c>
      <c r="J90" s="8">
        <f>IF('Raw Data'!J90="","",IF(LEN(K90)&gt;6,SQRT('Raw Data'!J90^2+N90^2),'Raw Data'!J90))</f>
        <v>10.7</v>
      </c>
      <c r="K90" s="7" t="str">
        <f>IF('Raw Data'!K90="","",IF(LEN('Raw Data'!K90)&lt;7,SUBSTITUTE('Raw Data'!K90," ",":",1),'Raw Data'!K90))</f>
        <v>-5:30</v>
      </c>
      <c r="L90" t="str">
        <f>IF('Raw Data'!L90="","",'Raw Data'!L90)</f>
        <v/>
      </c>
      <c r="M90">
        <f>IF('Raw Data'!M90="","",'Raw Data'!M90)</f>
        <v>10.6</v>
      </c>
      <c r="N90">
        <f>IF('Raw Data'!N90="","",IF('Raw Data'!N90="-",0,'Raw Data'!N90))</f>
        <v>-1</v>
      </c>
      <c r="O90">
        <f>IF('Raw Data'!O90="","",'Raw Data'!O90)</f>
        <v>72.8</v>
      </c>
      <c r="P90" t="str">
        <f>IF('Raw Data'!P90="","",'Raw Data'!P90)</f>
        <v/>
      </c>
      <c r="Q90" t="str">
        <f t="shared" si="37"/>
        <v xml:space="preserve"> </v>
      </c>
      <c r="R90" s="3" t="str">
        <f t="shared" si="46"/>
        <v>-</v>
      </c>
      <c r="S90" s="3">
        <f t="shared" si="47"/>
        <v>316</v>
      </c>
      <c r="T90" s="3">
        <f t="shared" si="48"/>
        <v>136</v>
      </c>
      <c r="U90" s="3">
        <f t="shared" si="45"/>
        <v>-5.5</v>
      </c>
      <c r="W90" s="4">
        <f t="shared" si="43"/>
        <v>10.650739322528812</v>
      </c>
      <c r="X90" s="4">
        <f t="shared" si="44"/>
        <v>-1.0255495519663966</v>
      </c>
      <c r="Y90" s="3">
        <f t="shared" si="39"/>
        <v>136</v>
      </c>
    </row>
    <row r="91" spans="1:25" x14ac:dyDescent="0.25">
      <c r="A91" t="str">
        <f>IF('Raw Data'!A91="","",'Raw Data'!A91)</f>
        <v>AR</v>
      </c>
      <c r="B91" t="str">
        <f>IF('Raw Data'!B91="","",'Raw Data'!B91)</f>
        <v>AS</v>
      </c>
      <c r="C91">
        <f>IF('Raw Data'!C91="","",'Raw Data'!C91)</f>
        <v>30</v>
      </c>
      <c r="D91">
        <f>IF('Raw Data'!D91="","",'Raw Data'!D91)</f>
        <v>4</v>
      </c>
      <c r="E91" t="str">
        <f>IF('Raw Data'!E91="","",'Raw Data'!E91)</f>
        <v>/</v>
      </c>
      <c r="F91">
        <f>IF('Raw Data'!F91="","",'Raw Data'!F91)</f>
        <v>2</v>
      </c>
      <c r="G91" s="7" t="str">
        <f>IF('Raw Data'!G91="","",SUBSTITUTE('Raw Data'!G91," ",":",1))</f>
        <v>012:20</v>
      </c>
      <c r="H91" s="7" t="str">
        <f>IF('Raw Data'!H91="","",SUBSTITUTE('Raw Data'!H91," ",":",1))</f>
        <v>-</v>
      </c>
      <c r="I91" s="7" t="str">
        <f>IF('Raw Data'!I91="","",SUBSTITUTE('Raw Data'!I91," ",":",1))</f>
        <v>012:20</v>
      </c>
      <c r="J91" s="8">
        <f>IF('Raw Data'!J91="","",IF(LEN(K91)&gt;6,SQRT('Raw Data'!J91^2+N91^2),'Raw Data'!J91))</f>
        <v>26.5</v>
      </c>
      <c r="K91" s="7" t="str">
        <f>IF('Raw Data'!K91="","",IF(LEN('Raw Data'!K91)&lt;7,SUBSTITUTE('Raw Data'!K91," ",":",1),'Raw Data'!K91))</f>
        <v>28:30</v>
      </c>
      <c r="L91" t="str">
        <f>IF('Raw Data'!L91="","",'Raw Data'!L91)</f>
        <v/>
      </c>
      <c r="M91">
        <f>IF('Raw Data'!M91="","",'Raw Data'!M91)</f>
        <v>23.3</v>
      </c>
      <c r="N91">
        <f>IF('Raw Data'!N91="","",IF('Raw Data'!N91="-",0,'Raw Data'!N91))</f>
        <v>12.6</v>
      </c>
      <c r="O91">
        <f>IF('Raw Data'!O91="","",'Raw Data'!O91)</f>
        <v>71.8</v>
      </c>
      <c r="P91" t="str">
        <f>IF('Raw Data'!P91="","",'Raw Data'!P91)</f>
        <v/>
      </c>
      <c r="Q91" t="str">
        <f t="shared" si="37"/>
        <v xml:space="preserve"> </v>
      </c>
      <c r="R91" s="3">
        <f t="shared" si="46"/>
        <v>12.333333333333334</v>
      </c>
      <c r="S91" s="3" t="str">
        <f t="shared" si="47"/>
        <v>-</v>
      </c>
      <c r="T91" s="3">
        <f t="shared" si="48"/>
        <v>12.333333333333334</v>
      </c>
      <c r="U91" s="3">
        <f t="shared" si="45"/>
        <v>28.5</v>
      </c>
      <c r="W91" s="4">
        <f t="shared" si="43"/>
        <v>23.288653485542081</v>
      </c>
      <c r="X91" s="4">
        <f t="shared" si="44"/>
        <v>12.644707146879623</v>
      </c>
      <c r="Y91" s="3">
        <f t="shared" si="39"/>
        <v>12.333333333333334</v>
      </c>
    </row>
    <row r="92" spans="1:25" x14ac:dyDescent="0.25">
      <c r="A92" t="str">
        <f>IF('Raw Data'!A92="","",'Raw Data'!A92)</f>
        <v>AS</v>
      </c>
      <c r="B92" t="str">
        <f>IF('Raw Data'!B92="","",'Raw Data'!B92)</f>
        <v>AT</v>
      </c>
      <c r="C92">
        <f>IF('Raw Data'!C92="","",'Raw Data'!C92)</f>
        <v>30</v>
      </c>
      <c r="D92">
        <f>IF('Raw Data'!D92="","",'Raw Data'!D92)</f>
        <v>10</v>
      </c>
      <c r="E92">
        <f>IF('Raw Data'!E92="","",'Raw Data'!E92)</f>
        <v>6</v>
      </c>
      <c r="F92">
        <f>IF('Raw Data'!F92="","",'Raw Data'!F92)</f>
        <v>1</v>
      </c>
      <c r="G92" s="7" t="str">
        <f>IF('Raw Data'!G92="","",SUBSTITUTE('Raw Data'!G92," ",":",1))</f>
        <v>-</v>
      </c>
      <c r="H92" s="7" t="str">
        <f>IF('Raw Data'!H92="","",SUBSTITUTE('Raw Data'!H92," ",":",1))</f>
        <v>169:30</v>
      </c>
      <c r="I92" s="7" t="str">
        <f>IF('Raw Data'!I92="","",SUBSTITUTE('Raw Data'!I92," ",":",1))</f>
        <v>349:30</v>
      </c>
      <c r="J92" s="8">
        <f>IF('Raw Data'!J92="","",IF(LEN(K92)&gt;6,SQRT('Raw Data'!J92^2+N92^2),'Raw Data'!J92))</f>
        <v>38.6</v>
      </c>
      <c r="K92" s="7" t="str">
        <f>IF('Raw Data'!K92="","",IF(LEN('Raw Data'!K92)&lt;7,SUBSTITUTE('Raw Data'!K92," ",":",1),'Raw Data'!K92))</f>
        <v>10:30</v>
      </c>
      <c r="L92" t="str">
        <f>IF('Raw Data'!L92="","",'Raw Data'!L92)</f>
        <v/>
      </c>
      <c r="M92">
        <f>IF('Raw Data'!M92="","",'Raw Data'!M92)</f>
        <v>38</v>
      </c>
      <c r="N92">
        <f>IF('Raw Data'!N92="","",IF('Raw Data'!N92="-",0,'Raw Data'!N92))</f>
        <v>7</v>
      </c>
      <c r="O92">
        <f>IF('Raw Data'!O92="","",'Raw Data'!O92)</f>
        <v>84.4</v>
      </c>
      <c r="P92" t="str">
        <f>IF('Raw Data'!P92="","",'Raw Data'!P92)</f>
        <v/>
      </c>
      <c r="Q92" t="str">
        <f t="shared" si="37"/>
        <v xml:space="preserve"> </v>
      </c>
      <c r="R92" s="3" t="str">
        <f t="shared" si="46"/>
        <v>-</v>
      </c>
      <c r="S92" s="3">
        <f t="shared" si="47"/>
        <v>169.5</v>
      </c>
      <c r="T92" s="3">
        <f t="shared" si="48"/>
        <v>349.5</v>
      </c>
      <c r="U92" s="3">
        <f t="shared" si="45"/>
        <v>10.5</v>
      </c>
      <c r="W92" s="4">
        <f t="shared" si="43"/>
        <v>37.953639431968647</v>
      </c>
      <c r="X92" s="4">
        <f t="shared" si="44"/>
        <v>7.0342912839968923</v>
      </c>
      <c r="Y92" s="3">
        <f t="shared" si="39"/>
        <v>349.5</v>
      </c>
    </row>
    <row r="93" spans="1:25" x14ac:dyDescent="0.25">
      <c r="A93" t="str">
        <f>IF('Raw Data'!A93="","",'Raw Data'!A93)</f>
        <v>AT</v>
      </c>
      <c r="B93" t="str">
        <f>IF('Raw Data'!B93="","",'Raw Data'!B93)</f>
        <v>AU</v>
      </c>
      <c r="C93">
        <f>IF('Raw Data'!C93="","",'Raw Data'!C93)</f>
        <v>8</v>
      </c>
      <c r="D93">
        <f>IF('Raw Data'!D93="","",'Raw Data'!D93)</f>
        <v>13</v>
      </c>
      <c r="E93">
        <f>IF('Raw Data'!E93="","",'Raw Data'!E93)</f>
        <v>6</v>
      </c>
      <c r="F93">
        <f>IF('Raw Data'!F93="","",'Raw Data'!F93)</f>
        <v>1</v>
      </c>
      <c r="G93" s="7" t="str">
        <f>IF('Raw Data'!G93="","",SUBSTITUTE('Raw Data'!G93," ",":",1))</f>
        <v>321:40</v>
      </c>
      <c r="H93" s="7" t="str">
        <f>IF('Raw Data'!H93="","",SUBSTITUTE('Raw Data'!H93," ",":",1))</f>
        <v>-</v>
      </c>
      <c r="I93" s="7" t="str">
        <f>IF('Raw Data'!I93="","",SUBSTITUTE('Raw Data'!I93," ",":",1))</f>
        <v>321:40</v>
      </c>
      <c r="J93" s="8">
        <f>IF('Raw Data'!J93="","",IF(LEN(K93)&gt;6,SQRT('Raw Data'!J93^2+N93^2),'Raw Data'!J93))</f>
        <v>23.3</v>
      </c>
      <c r="K93" s="7" t="str">
        <f>IF('Raw Data'!K93="","",IF(LEN('Raw Data'!K93)&lt;7,SUBSTITUTE('Raw Data'!K93," ",":",1),'Raw Data'!K93))</f>
        <v>-4:00</v>
      </c>
      <c r="L93" t="str">
        <f>IF('Raw Data'!L93="","",'Raw Data'!L93)</f>
        <v/>
      </c>
      <c r="M93">
        <f>IF('Raw Data'!M93="","",'Raw Data'!M93)</f>
        <v>23.2</v>
      </c>
      <c r="N93">
        <f>IF('Raw Data'!N93="","",IF('Raw Data'!N93="-",0,'Raw Data'!N93))</f>
        <v>-1.6</v>
      </c>
      <c r="O93">
        <f>IF('Raw Data'!O93="","",'Raw Data'!O93)</f>
        <v>91.4</v>
      </c>
      <c r="P93" t="str">
        <f>IF('Raw Data'!P93="","",'Raw Data'!P93)</f>
        <v/>
      </c>
      <c r="Q93" t="str">
        <f t="shared" si="37"/>
        <v xml:space="preserve"> </v>
      </c>
      <c r="R93" s="3">
        <f t="shared" si="46"/>
        <v>321.66666666666669</v>
      </c>
      <c r="S93" s="3" t="str">
        <f t="shared" si="47"/>
        <v>-</v>
      </c>
      <c r="T93" s="3">
        <f t="shared" si="48"/>
        <v>321.66666666666669</v>
      </c>
      <c r="U93" s="3">
        <f t="shared" si="45"/>
        <v>-4</v>
      </c>
      <c r="W93" s="4">
        <f t="shared" si="43"/>
        <v>23.243242371053906</v>
      </c>
      <c r="X93" s="4">
        <f t="shared" si="44"/>
        <v>-1.6253258382381195</v>
      </c>
      <c r="Y93" s="3">
        <f t="shared" si="39"/>
        <v>321.66666666666669</v>
      </c>
    </row>
    <row r="94" spans="1:25" x14ac:dyDescent="0.25">
      <c r="A94" t="str">
        <f>IF('Raw Data'!A94="","",'Raw Data'!A94)</f>
        <v>AU</v>
      </c>
      <c r="B94" t="str">
        <f>IF('Raw Data'!B94="","",'Raw Data'!B94)</f>
        <v>AV</v>
      </c>
      <c r="C94">
        <f>IF('Raw Data'!C94="","",'Raw Data'!C94)</f>
        <v>25</v>
      </c>
      <c r="D94">
        <f>IF('Raw Data'!D94="","",'Raw Data'!D94)</f>
        <v>5</v>
      </c>
      <c r="E94">
        <f>IF('Raw Data'!E94="","",'Raw Data'!E94)</f>
        <v>2</v>
      </c>
      <c r="F94">
        <f>IF('Raw Data'!F94="","",'Raw Data'!F94)</f>
        <v>6</v>
      </c>
      <c r="G94" s="7" t="str">
        <f>IF('Raw Data'!G94="","",SUBSTITUTE('Raw Data'!G94," ",":",1))</f>
        <v>-</v>
      </c>
      <c r="H94" s="7" t="str">
        <f>IF('Raw Data'!H94="","",SUBSTITUTE('Raw Data'!H94," ",":",1))</f>
        <v>245:30</v>
      </c>
      <c r="I94" s="7" t="str">
        <f>IF('Raw Data'!I94="","",SUBSTITUTE('Raw Data'!I94," ",":",1))</f>
        <v>065:30</v>
      </c>
      <c r="J94" s="8">
        <f>IF('Raw Data'!J94="","",IF(LEN(K94)&gt;6,SQRT('Raw Data'!J94^2+N94^2),'Raw Data'!J94))</f>
        <v>23.3</v>
      </c>
      <c r="K94" s="7" t="str">
        <f>IF('Raw Data'!K94="","",IF(LEN('Raw Data'!K94)&lt;7,SUBSTITUTE('Raw Data'!K94," ",":",1),'Raw Data'!K94))</f>
        <v>9:00</v>
      </c>
      <c r="L94" t="str">
        <f>IF('Raw Data'!L94="","",'Raw Data'!L94)</f>
        <v/>
      </c>
      <c r="M94">
        <f>IF('Raw Data'!M94="","",'Raw Data'!M94)</f>
        <v>23</v>
      </c>
      <c r="N94">
        <f>IF('Raw Data'!N94="","",IF('Raw Data'!N94="-",0,'Raw Data'!N94))</f>
        <v>3.6</v>
      </c>
      <c r="O94">
        <f>IF('Raw Data'!O94="","",'Raw Data'!O94)</f>
        <v>89.8</v>
      </c>
      <c r="P94" t="str">
        <f>IF('Raw Data'!P94="","",'Raw Data'!P94)</f>
        <v/>
      </c>
      <c r="Q94" t="str">
        <f t="shared" si="37"/>
        <v xml:space="preserve"> </v>
      </c>
      <c r="R94" s="3" t="str">
        <f t="shared" si="46"/>
        <v>-</v>
      </c>
      <c r="S94" s="3">
        <f t="shared" si="47"/>
        <v>245.5</v>
      </c>
      <c r="T94" s="3">
        <f t="shared" si="48"/>
        <v>65.5</v>
      </c>
      <c r="U94" s="3">
        <f t="shared" si="45"/>
        <v>9</v>
      </c>
      <c r="W94" s="4">
        <f t="shared" si="43"/>
        <v>23.01313833586671</v>
      </c>
      <c r="X94" s="4">
        <f t="shared" si="44"/>
        <v>3.6449230354373792</v>
      </c>
      <c r="Y94" s="3">
        <f t="shared" si="39"/>
        <v>65.5</v>
      </c>
    </row>
    <row r="95" spans="1:25" x14ac:dyDescent="0.25">
      <c r="A95" t="str">
        <f>IF('Raw Data'!A95="","",'Raw Data'!A95)</f>
        <v>AV</v>
      </c>
      <c r="B95" t="str">
        <f>IF('Raw Data'!B95="","",'Raw Data'!B95)</f>
        <v>AW</v>
      </c>
      <c r="C95">
        <f>IF('Raw Data'!C95="","",'Raw Data'!C95)</f>
        <v>30</v>
      </c>
      <c r="D95">
        <f>IF('Raw Data'!D95="","",'Raw Data'!D95)</f>
        <v>1.5</v>
      </c>
      <c r="E95">
        <f>IF('Raw Data'!E95="","",'Raw Data'!E95)</f>
        <v>7</v>
      </c>
      <c r="F95">
        <f>IF('Raw Data'!F95="","",'Raw Data'!F95)</f>
        <v>8</v>
      </c>
      <c r="G95" s="7" t="str">
        <f>IF('Raw Data'!G95="","",SUBSTITUTE('Raw Data'!G95," ",":",1))</f>
        <v>108:30</v>
      </c>
      <c r="H95" s="7" t="str">
        <f>IF('Raw Data'!H95="","",SUBSTITUTE('Raw Data'!H95," ",":",1))</f>
        <v>-</v>
      </c>
      <c r="I95" s="7" t="str">
        <f>IF('Raw Data'!I95="","",SUBSTITUTE('Raw Data'!I95," ",":",1))</f>
        <v>108:30</v>
      </c>
      <c r="J95" s="8">
        <f>IF('Raw Data'!J95="","",IF(LEN(K95)&gt;6,SQRT('Raw Data'!J95^2+N95^2),'Raw Data'!J95))</f>
        <v>24.1</v>
      </c>
      <c r="K95" s="7" t="str">
        <f>IF('Raw Data'!K95="","",IF(LEN('Raw Data'!K95)&lt;7,SUBSTITUTE('Raw Data'!K95," ",":",1),'Raw Data'!K95))</f>
        <v>27:30</v>
      </c>
      <c r="L95" t="str">
        <f>IF('Raw Data'!L95="","",'Raw Data'!L95)</f>
        <v/>
      </c>
      <c r="M95">
        <f>IF('Raw Data'!M95="","",'Raw Data'!M95)</f>
        <v>21.4</v>
      </c>
      <c r="N95">
        <f>IF('Raw Data'!N95="","",IF('Raw Data'!N95="-",0,'Raw Data'!N95))</f>
        <v>11.1</v>
      </c>
      <c r="O95">
        <f>IF('Raw Data'!O95="","",'Raw Data'!O95)</f>
        <v>93.4</v>
      </c>
      <c r="P95" t="str">
        <f>IF('Raw Data'!P95="","",'Raw Data'!P95)</f>
        <v>AV is in middle of upper big pot.</v>
      </c>
      <c r="Q95" t="str">
        <f t="shared" si="37"/>
        <v xml:space="preserve"> </v>
      </c>
      <c r="R95" s="3">
        <f t="shared" si="46"/>
        <v>108.5</v>
      </c>
      <c r="S95" s="3" t="str">
        <f t="shared" si="47"/>
        <v>-</v>
      </c>
      <c r="T95" s="3">
        <f t="shared" si="48"/>
        <v>108.5</v>
      </c>
      <c r="U95" s="3">
        <f t="shared" si="45"/>
        <v>27.5</v>
      </c>
      <c r="W95" s="4">
        <f t="shared" si="43"/>
        <v>21.376961079595144</v>
      </c>
      <c r="X95" s="4">
        <f t="shared" si="44"/>
        <v>11.128141578964318</v>
      </c>
      <c r="Y95" s="3">
        <f t="shared" si="39"/>
        <v>108.5</v>
      </c>
    </row>
    <row r="96" spans="1:25" x14ac:dyDescent="0.25">
      <c r="A96" t="str">
        <f>IF('Raw Data'!A96="","",'Raw Data'!A96)</f>
        <v>AW</v>
      </c>
      <c r="B96" t="str">
        <f>IF('Raw Data'!B96="","",'Raw Data'!B96)</f>
        <v>AX</v>
      </c>
      <c r="C96">
        <f>IF('Raw Data'!C96="","",'Raw Data'!C96)</f>
        <v>35</v>
      </c>
      <c r="D96">
        <f>IF('Raw Data'!D96="","",'Raw Data'!D96)</f>
        <v>6</v>
      </c>
      <c r="E96">
        <f>IF('Raw Data'!E96="","",'Raw Data'!E96)</f>
        <v>8</v>
      </c>
      <c r="F96">
        <f>IF('Raw Data'!F96="","",'Raw Data'!F96)</f>
        <v>2</v>
      </c>
      <c r="G96" s="7" t="str">
        <f>IF('Raw Data'!G96="","",SUBSTITUTE('Raw Data'!G96," ",":",1))</f>
        <v>-</v>
      </c>
      <c r="H96" s="7" t="str">
        <f>IF('Raw Data'!H96="","",SUBSTITUTE('Raw Data'!H96," ",":",1))</f>
        <v>259:40</v>
      </c>
      <c r="I96" s="7" t="str">
        <f>IF('Raw Data'!I96="","",SUBSTITUTE('Raw Data'!I96," ",":",1))</f>
        <v>079:40</v>
      </c>
      <c r="J96" s="8">
        <f>IF('Raw Data'!J96="","",IF(LEN(K96)&gt;6,SQRT('Raw Data'!J96^2+N96^2),'Raw Data'!J96))</f>
        <v>14.6</v>
      </c>
      <c r="K96" s="7" t="str">
        <f>IF('Raw Data'!K96="","",IF(LEN('Raw Data'!K96)&lt;7,SUBSTITUTE('Raw Data'!K96," ",":",1),'Raw Data'!K96))</f>
        <v>23:30</v>
      </c>
      <c r="L96" t="str">
        <f>IF('Raw Data'!L96="","",'Raw Data'!L96)</f>
        <v/>
      </c>
      <c r="M96">
        <f>IF('Raw Data'!M96="","",'Raw Data'!M96)</f>
        <v>13.4</v>
      </c>
      <c r="N96">
        <f>IF('Raw Data'!N96="","",IF('Raw Data'!N96="-",0,'Raw Data'!N96))</f>
        <v>5.8</v>
      </c>
      <c r="O96">
        <f>IF('Raw Data'!O96="","",'Raw Data'!O96)</f>
        <v>104.5</v>
      </c>
      <c r="P96" t="str">
        <f>IF('Raw Data'!P96="","",'Raw Data'!P96)</f>
        <v/>
      </c>
      <c r="Q96" t="str">
        <f t="shared" si="37"/>
        <v xml:space="preserve"> </v>
      </c>
      <c r="R96" s="3" t="str">
        <f t="shared" si="46"/>
        <v>-</v>
      </c>
      <c r="S96" s="3">
        <f t="shared" si="47"/>
        <v>259.66666666666669</v>
      </c>
      <c r="T96" s="3">
        <f t="shared" si="48"/>
        <v>79.666666666666671</v>
      </c>
      <c r="U96" s="3">
        <f t="shared" si="45"/>
        <v>23.5</v>
      </c>
      <c r="W96" s="4">
        <f t="shared" si="43"/>
        <v>13.389077086022811</v>
      </c>
      <c r="X96" s="4">
        <f t="shared" si="44"/>
        <v>5.8217364063085943</v>
      </c>
      <c r="Y96" s="3">
        <f t="shared" si="39"/>
        <v>79.666666666666686</v>
      </c>
    </row>
    <row r="97" spans="1:25" x14ac:dyDescent="0.25">
      <c r="A97" t="str">
        <f>IF('Raw Data'!A97="","",'Raw Data'!A97)</f>
        <v>AX</v>
      </c>
      <c r="B97" t="str">
        <f>IF('Raw Data'!B97="","",'Raw Data'!B97)</f>
        <v>AY</v>
      </c>
      <c r="C97">
        <f>IF('Raw Data'!C97="","",'Raw Data'!C97)</f>
        <v>15</v>
      </c>
      <c r="D97">
        <f>IF('Raw Data'!D97="","",'Raw Data'!D97)</f>
        <v>6</v>
      </c>
      <c r="E97">
        <f>IF('Raw Data'!E97="","",'Raw Data'!E97)</f>
        <v>10</v>
      </c>
      <c r="F97">
        <f>IF('Raw Data'!F97="","",'Raw Data'!F97)</f>
        <v>5</v>
      </c>
      <c r="G97" s="7" t="str">
        <f>IF('Raw Data'!G97="","",SUBSTITUTE('Raw Data'!G97," ",":",1))</f>
        <v>128:00</v>
      </c>
      <c r="H97" s="7" t="str">
        <f>IF('Raw Data'!H97="","",SUBSTITUTE('Raw Data'!H97," ",":",1))</f>
        <v>-</v>
      </c>
      <c r="I97" s="7" t="str">
        <f>IF('Raw Data'!I97="","",SUBSTITUTE('Raw Data'!I97," ",":",1))</f>
        <v>128:00</v>
      </c>
      <c r="J97" s="8">
        <f>IF('Raw Data'!J97="","",IF(LEN(K97)&gt;6,SQRT('Raw Data'!J97^2+N97^2),'Raw Data'!J97))</f>
        <v>15</v>
      </c>
      <c r="K97" s="7" t="str">
        <f>IF('Raw Data'!K97="","",IF(LEN('Raw Data'!K97)&lt;7,SUBSTITUTE('Raw Data'!K97," ",":",1),'Raw Data'!K97))</f>
        <v>13:30</v>
      </c>
      <c r="L97" t="str">
        <f>IF('Raw Data'!L97="","",'Raw Data'!L97)</f>
        <v/>
      </c>
      <c r="M97">
        <f>IF('Raw Data'!M97="","",'Raw Data'!M97)</f>
        <v>14.6</v>
      </c>
      <c r="N97">
        <f>IF('Raw Data'!N97="","",IF('Raw Data'!N97="-",0,'Raw Data'!N97))</f>
        <v>3.5</v>
      </c>
      <c r="O97">
        <f>IF('Raw Data'!O97="","",'Raw Data'!O97)</f>
        <v>110.3</v>
      </c>
      <c r="P97" t="str">
        <f>IF('Raw Data'!P97="","",'Raw Data'!P97)</f>
        <v>AY is on stumpy stalagmite on cascade on E side of passage.</v>
      </c>
      <c r="Q97" t="str">
        <f t="shared" si="37"/>
        <v xml:space="preserve"> </v>
      </c>
      <c r="R97" s="3">
        <f t="shared" si="46"/>
        <v>128</v>
      </c>
      <c r="S97" s="3" t="str">
        <f t="shared" si="47"/>
        <v>-</v>
      </c>
      <c r="T97" s="3">
        <f t="shared" si="48"/>
        <v>128</v>
      </c>
      <c r="U97" s="3">
        <f t="shared" si="45"/>
        <v>13.5</v>
      </c>
      <c r="W97" s="4">
        <f t="shared" si="43"/>
        <v>14.585548805965148</v>
      </c>
      <c r="X97" s="4">
        <f t="shared" si="44"/>
        <v>3.5016804578385807</v>
      </c>
      <c r="Y97" s="3">
        <f t="shared" si="39"/>
        <v>128</v>
      </c>
    </row>
    <row r="98" spans="1:25" x14ac:dyDescent="0.25">
      <c r="A98" t="str">
        <f>IF('Raw Data'!A98="","",'Raw Data'!A98)</f>
        <v>AY</v>
      </c>
      <c r="B98" t="str">
        <f>IF('Raw Data'!B98="","",'Raw Data'!B98)</f>
        <v/>
      </c>
      <c r="C98" t="str">
        <f>IF('Raw Data'!C98="","",'Raw Data'!C98)</f>
        <v/>
      </c>
      <c r="D98" t="str">
        <f>IF('Raw Data'!D98="","",'Raw Data'!D98)</f>
        <v/>
      </c>
      <c r="E98" t="str">
        <f>IF('Raw Data'!E98="","",'Raw Data'!E98)</f>
        <v/>
      </c>
      <c r="F98" t="str">
        <f>IF('Raw Data'!F98="","",'Raw Data'!F98)</f>
        <v/>
      </c>
      <c r="G98" s="7" t="str">
        <f>IF('Raw Data'!G98="","",SUBSTITUTE('Raw Data'!G98," ",":",1))</f>
        <v/>
      </c>
      <c r="H98" s="7" t="str">
        <f>IF('Raw Data'!H98="","",SUBSTITUTE('Raw Data'!H98," ",":",1))</f>
        <v/>
      </c>
      <c r="I98" s="7" t="str">
        <f>IF('Raw Data'!I98="","",SUBSTITUTE('Raw Data'!I98," ",":",1))</f>
        <v/>
      </c>
      <c r="J98" s="8" t="str">
        <f>IF('Raw Data'!J98="","",IF(LEN(K98)&gt;6,SQRT('Raw Data'!J98^2+N98^2),'Raw Data'!J98))</f>
        <v/>
      </c>
      <c r="K98" s="7" t="str">
        <f>IF('Raw Data'!K98="","",IF(LEN('Raw Data'!K98)&lt;7,SUBSTITUTE('Raw Data'!K98," ",":",1),'Raw Data'!K98))</f>
        <v/>
      </c>
      <c r="L98" t="str">
        <f>IF('Raw Data'!L98="","",'Raw Data'!L98)</f>
        <v/>
      </c>
      <c r="M98" t="str">
        <f>IF('Raw Data'!M98="","",'Raw Data'!M98)</f>
        <v/>
      </c>
      <c r="N98" t="str">
        <f>IF('Raw Data'!N98="","",IF('Raw Data'!N98="-",0,'Raw Data'!N98))</f>
        <v/>
      </c>
      <c r="O98">
        <f>IF('Raw Data'!O98="","",'Raw Data'!O98)</f>
        <v>113.8</v>
      </c>
      <c r="P98" t="str">
        <f>IF('Raw Data'!P98="","",'Raw Data'!P98)</f>
        <v>Total = 2,188'</v>
      </c>
      <c r="Q98" t="str">
        <f t="shared" si="37"/>
        <v xml:space="preserve"> </v>
      </c>
      <c r="W98" s="4"/>
      <c r="X98" s="4"/>
      <c r="Y98" s="3"/>
    </row>
    <row r="99" spans="1:25" x14ac:dyDescent="0.25">
      <c r="A99" t="str">
        <f>IF('Raw Data'!A99="","",'Raw Data'!A99)</f>
        <v/>
      </c>
      <c r="B99" t="str">
        <f>IF('Raw Data'!B99="","",'Raw Data'!B99)</f>
        <v/>
      </c>
      <c r="C99" t="str">
        <f>IF('Raw Data'!C99="","",'Raw Data'!C99)</f>
        <v/>
      </c>
      <c r="D99" t="str">
        <f>IF('Raw Data'!D99="","",'Raw Data'!D99)</f>
        <v/>
      </c>
      <c r="E99" t="str">
        <f>IF('Raw Data'!E99="","",'Raw Data'!E99)</f>
        <v/>
      </c>
      <c r="F99" t="str">
        <f>IF('Raw Data'!F99="","",'Raw Data'!F99)</f>
        <v/>
      </c>
      <c r="G99" s="7" t="str">
        <f>IF('Raw Data'!G99="","",SUBSTITUTE('Raw Data'!G99," ",":",1))</f>
        <v/>
      </c>
      <c r="H99" s="7" t="str">
        <f>IF('Raw Data'!H99="","",SUBSTITUTE('Raw Data'!H99," ",":",1))</f>
        <v/>
      </c>
      <c r="I99" s="7" t="str">
        <f>IF('Raw Data'!I99="","",SUBSTITUTE('Raw Data'!I99," ",":",1))</f>
        <v/>
      </c>
      <c r="J99" s="8" t="str">
        <f>IF('Raw Data'!J99="","",IF(LEN(K99)&gt;6,SQRT('Raw Data'!J99^2+N99^2),'Raw Data'!J99))</f>
        <v/>
      </c>
      <c r="K99" s="7" t="str">
        <f>IF('Raw Data'!K99="","",IF(LEN('Raw Data'!K99)&lt;7,SUBSTITUTE('Raw Data'!K99," ",":",1),'Raw Data'!K99))</f>
        <v/>
      </c>
      <c r="L99" t="str">
        <f>IF('Raw Data'!L99="","",'Raw Data'!L99)</f>
        <v/>
      </c>
      <c r="M99" t="str">
        <f>IF('Raw Data'!M99="","",'Raw Data'!M99)</f>
        <v/>
      </c>
      <c r="N99" t="str">
        <f>IF('Raw Data'!N99="","",IF('Raw Data'!N99="-",0,'Raw Data'!N99))</f>
        <v/>
      </c>
      <c r="O99" t="str">
        <f>IF('Raw Data'!O99="","",'Raw Data'!O99)</f>
        <v/>
      </c>
      <c r="P99" t="str">
        <f>IF('Raw Data'!P99="","",'Raw Data'!P99)</f>
        <v/>
      </c>
      <c r="Q99" t="str">
        <f t="shared" si="37"/>
        <v xml:space="preserve"> </v>
      </c>
      <c r="W99" s="4"/>
      <c r="X99" s="4"/>
      <c r="Y99" s="3"/>
    </row>
    <row r="100" spans="1:25" x14ac:dyDescent="0.25">
      <c r="A100" t="str">
        <f>IF('Raw Data'!A100="","",'Raw Data'!A100)</f>
        <v>14th August '52</v>
      </c>
      <c r="B100" t="str">
        <f>IF('Raw Data'!B100="","",'Raw Data'!B100)</f>
        <v>Colin</v>
      </c>
      <c r="C100" t="str">
        <f>IF('Raw Data'!C100="","",'Raw Data'!C100)</f>
        <v>Contd from P.49. Upper Mud Series</v>
      </c>
      <c r="D100" t="str">
        <f>IF('Raw Data'!D100="","",'Raw Data'!D100)</f>
        <v/>
      </c>
      <c r="E100" t="str">
        <f>IF('Raw Data'!E100="","",'Raw Data'!E100)</f>
        <v/>
      </c>
      <c r="F100" t="str">
        <f>IF('Raw Data'!F100="","",'Raw Data'!F100)</f>
        <v/>
      </c>
      <c r="G100" s="7" t="str">
        <f>IF('Raw Data'!G100="","",SUBSTITUTE('Raw Data'!G100," ",":",1))</f>
        <v/>
      </c>
      <c r="H100" s="7" t="str">
        <f>IF('Raw Data'!H100="","",SUBSTITUTE('Raw Data'!H100," ",":",1))</f>
        <v/>
      </c>
      <c r="I100" s="7" t="str">
        <f>IF('Raw Data'!I100="","",SUBSTITUTE('Raw Data'!I100," ",":",1))</f>
        <v/>
      </c>
      <c r="J100" s="8" t="str">
        <f>IF('Raw Data'!J100="","",IF(LEN(K100)&gt;6,SQRT('Raw Data'!J100^2+N100^2),'Raw Data'!J100))</f>
        <v/>
      </c>
      <c r="K100" s="7" t="str">
        <f>IF('Raw Data'!K100="","",IF(LEN('Raw Data'!K100)&lt;7,SUBSTITUTE('Raw Data'!K100," ",":",1),'Raw Data'!K100))</f>
        <v/>
      </c>
      <c r="L100" t="str">
        <f>IF('Raw Data'!L100="","",'Raw Data'!L100)</f>
        <v/>
      </c>
      <c r="M100" t="str">
        <f>IF('Raw Data'!M100="","",'Raw Data'!M100)</f>
        <v/>
      </c>
      <c r="N100" t="str">
        <f>IF('Raw Data'!N100="","",IF('Raw Data'!N100="-",0,'Raw Data'!N100))</f>
        <v/>
      </c>
      <c r="O100" t="str">
        <f>IF('Raw Data'!O100="","",'Raw Data'!O100)</f>
        <v/>
      </c>
      <c r="P100" t="str">
        <f>IF('Raw Data'!P100="","",'Raw Data'!P100)</f>
        <v/>
      </c>
      <c r="Q100" t="str">
        <f t="shared" si="37"/>
        <v xml:space="preserve"> </v>
      </c>
      <c r="W100" s="4"/>
      <c r="X100" s="4"/>
      <c r="Y100" s="3"/>
    </row>
    <row r="101" spans="1:25" x14ac:dyDescent="0.25">
      <c r="A101">
        <f>IF('Raw Data'!A101="","",'Raw Data'!A101)</f>
        <v>18</v>
      </c>
      <c r="B101">
        <f>IF('Raw Data'!B101="","",'Raw Data'!B101)</f>
        <v>19</v>
      </c>
      <c r="C101">
        <f>IF('Raw Data'!C101="","",'Raw Data'!C101)</f>
        <v>3</v>
      </c>
      <c r="D101">
        <f>IF('Raw Data'!D101="","",'Raw Data'!D101)</f>
        <v>11</v>
      </c>
      <c r="E101">
        <f>IF('Raw Data'!E101="","",'Raw Data'!E101)</f>
        <v>2</v>
      </c>
      <c r="F101">
        <f>IF('Raw Data'!F101="","",'Raw Data'!F101)</f>
        <v>2</v>
      </c>
      <c r="G101" s="7" t="str">
        <f>IF('Raw Data'!G101="","",SUBSTITUTE('Raw Data'!G101," ",":",1))</f>
        <v>-</v>
      </c>
      <c r="H101" s="7" t="str">
        <f>IF('Raw Data'!H101="","",SUBSTITUTE('Raw Data'!H101," ",":",1))</f>
        <v>-</v>
      </c>
      <c r="I101" s="7" t="str">
        <f>IF('Raw Data'!I101="","",SUBSTITUTE('Raw Data'!I101," ",":",1))</f>
        <v>-</v>
      </c>
      <c r="J101" s="8">
        <f>IF('Raw Data'!J101="","",IF(LEN(K101)&gt;6,SQRT('Raw Data'!J101^2+N101^2),'Raw Data'!J101))</f>
        <v>10.1</v>
      </c>
      <c r="K101" s="7" t="str">
        <f>IF('Raw Data'!K101="","",IF(LEN('Raw Data'!K101)&lt;7,SUBSTITUTE('Raw Data'!K101," ",":",1),'Raw Data'!K101))</f>
        <v>-90:00</v>
      </c>
      <c r="L101" t="str">
        <f>IF('Raw Data'!L101="","",'Raw Data'!L101)</f>
        <v/>
      </c>
      <c r="M101" t="str">
        <f>IF('Raw Data'!M101="","",'Raw Data'!M101)</f>
        <v>-</v>
      </c>
      <c r="N101">
        <f>IF('Raw Data'!N101="","",IF('Raw Data'!N101="-",0,'Raw Data'!N101))</f>
        <v>-10.1</v>
      </c>
      <c r="O101">
        <f>IF('Raw Data'!O101="","",'Raw Data'!O101)</f>
        <v>76.400000000000006</v>
      </c>
      <c r="P101" t="str">
        <f>IF('Raw Data'!P101="","",'Raw Data'!P101)</f>
        <v>18 is in crack at top of 11 Foot Drop.</v>
      </c>
      <c r="Q101" t="str">
        <f t="shared" si="37"/>
        <v xml:space="preserve"> </v>
      </c>
      <c r="R101" s="3" t="str">
        <f t="shared" si="46"/>
        <v>-</v>
      </c>
      <c r="S101" s="3" t="str">
        <f t="shared" si="47"/>
        <v>-</v>
      </c>
      <c r="T101" s="3" t="str">
        <f t="shared" si="48"/>
        <v>-</v>
      </c>
      <c r="U101" s="3">
        <f t="shared" si="45"/>
        <v>-90</v>
      </c>
      <c r="W101" s="4">
        <f t="shared" si="43"/>
        <v>6.1869996972885311E-16</v>
      </c>
      <c r="X101" s="4">
        <f t="shared" si="44"/>
        <v>-10.1</v>
      </c>
      <c r="Y101" s="3" t="e">
        <f t="shared" si="39"/>
        <v>#VALUE!</v>
      </c>
    </row>
    <row r="102" spans="1:25" x14ac:dyDescent="0.25">
      <c r="A102">
        <f>IF('Raw Data'!A102="","",'Raw Data'!A102)</f>
        <v>19</v>
      </c>
      <c r="B102">
        <f>IF('Raw Data'!B102="","",'Raw Data'!B102)</f>
        <v>20</v>
      </c>
      <c r="C102" t="str">
        <f>IF('Raw Data'!C102="","",'Raw Data'!C102)</f>
        <v>/</v>
      </c>
      <c r="D102">
        <f>IF('Raw Data'!D102="","",'Raw Data'!D102)</f>
        <v>1</v>
      </c>
      <c r="E102">
        <f>IF('Raw Data'!E102="","",'Raw Data'!E102)</f>
        <v>3</v>
      </c>
      <c r="F102">
        <f>IF('Raw Data'!F102="","",'Raw Data'!F102)</f>
        <v>3</v>
      </c>
      <c r="G102" s="7" t="str">
        <f>IF('Raw Data'!G102="","",SUBSTITUTE('Raw Data'!G102," ",":",1))</f>
        <v>-</v>
      </c>
      <c r="H102" s="7" t="str">
        <f>IF('Raw Data'!H102="","",SUBSTITUTE('Raw Data'!H102," ",":",1))</f>
        <v>355:00</v>
      </c>
      <c r="I102" s="7" t="str">
        <f>IF('Raw Data'!I102="","",SUBSTITUTE('Raw Data'!I102," ",":",1))</f>
        <v>175:00</v>
      </c>
      <c r="J102" s="8">
        <f>IF('Raw Data'!J102="","",IF(LEN(K102)&gt;6,SQRT('Raw Data'!J102^2+N102^2),'Raw Data'!J102))</f>
        <v>8</v>
      </c>
      <c r="K102" s="7" t="str">
        <f>IF('Raw Data'!K102="","",IF(LEN('Raw Data'!K102)&lt;7,SUBSTITUTE('Raw Data'!K102," ",":",1),'Raw Data'!K102))</f>
        <v>1:00</v>
      </c>
      <c r="L102" t="str">
        <f>IF('Raw Data'!L102="","",'Raw Data'!L102)</f>
        <v/>
      </c>
      <c r="M102">
        <f>IF('Raw Data'!M102="","",'Raw Data'!M102)</f>
        <v>8</v>
      </c>
      <c r="N102">
        <f>IF('Raw Data'!N102="","",IF('Raw Data'!N102="-",0,'Raw Data'!N102))</f>
        <v>0.1</v>
      </c>
      <c r="O102">
        <f>IF('Raw Data'!O102="","",'Raw Data'!O102)</f>
        <v>66.3</v>
      </c>
      <c r="P102" t="str">
        <f>IF('Raw Data'!P102="","",'Raw Data'!P102)</f>
        <v>(sketch of 18 - 24)</v>
      </c>
      <c r="Q102" t="str">
        <f t="shared" si="37"/>
        <v xml:space="preserve"> </v>
      </c>
      <c r="R102" s="3" t="str">
        <f t="shared" ref="R102:R119" si="49">IF(ISERROR(FIND(":",G102)),IF(G102&lt;&gt;"-",1*G102,G102),1*LEFT(G102,FIND(":",G102)-1)+RIGHT(G102,LEN(G102)-FIND(":",G102))/60)</f>
        <v>-</v>
      </c>
      <c r="S102" s="3">
        <f t="shared" ref="S102:S119" si="50">IF(ISERROR(FIND(":",H102)),IF(H102&lt;&gt;"-",1*H102,H102),1*LEFT(H102,FIND(":",H102)-1)+RIGHT(H102,LEN(H102)-FIND(":",H102))/60)</f>
        <v>355</v>
      </c>
      <c r="T102" s="3">
        <f t="shared" ref="T102:T119" si="51">IF(ISERROR(FIND(":",I102)),IF(I102&lt;&gt;"-",1*I102,I102),1*LEFT(I102,FIND(":",I102)-1)+RIGHT(I102,LEN(I102)-FIND(":",I102))/60)</f>
        <v>175</v>
      </c>
      <c r="U102" s="3">
        <f t="shared" si="45"/>
        <v>1</v>
      </c>
      <c r="W102" s="4">
        <f t="shared" si="43"/>
        <v>7.9987815612511302</v>
      </c>
      <c r="X102" s="4">
        <f t="shared" si="44"/>
        <v>0.13961925149826809</v>
      </c>
      <c r="Y102" s="3">
        <f t="shared" si="39"/>
        <v>175</v>
      </c>
    </row>
    <row r="103" spans="1:25" x14ac:dyDescent="0.25">
      <c r="A103">
        <f>IF('Raw Data'!A103="","",'Raw Data'!A103)</f>
        <v>20</v>
      </c>
      <c r="B103">
        <f>IF('Raw Data'!B103="","",'Raw Data'!B103)</f>
        <v>21</v>
      </c>
      <c r="C103">
        <f>IF('Raw Data'!C103="","",'Raw Data'!C103)</f>
        <v>3</v>
      </c>
      <c r="D103">
        <f>IF('Raw Data'!D103="","",'Raw Data'!D103)</f>
        <v>1</v>
      </c>
      <c r="E103">
        <f>IF('Raw Data'!E103="","",'Raw Data'!E103)</f>
        <v>3</v>
      </c>
      <c r="F103">
        <f>IF('Raw Data'!F103="","",'Raw Data'!F103)</f>
        <v>2</v>
      </c>
      <c r="G103" s="7" t="str">
        <f>IF('Raw Data'!G103="","",SUBSTITUTE('Raw Data'!G103," ",":",1))</f>
        <v>091:00</v>
      </c>
      <c r="H103" s="7" t="str">
        <f>IF('Raw Data'!H103="","",SUBSTITUTE('Raw Data'!H103," ",":",1))</f>
        <v>-</v>
      </c>
      <c r="I103" s="7" t="str">
        <f>IF('Raw Data'!I103="","",SUBSTITUTE('Raw Data'!I103," ",":",1))</f>
        <v>091:00</v>
      </c>
      <c r="J103" s="8">
        <f>IF('Raw Data'!J103="","",IF(LEN(K103)&gt;6,SQRT('Raw Data'!J103^2+N103^2),'Raw Data'!J103))</f>
        <v>24.8</v>
      </c>
      <c r="K103" s="7" t="str">
        <f>IF('Raw Data'!K103="","",IF(LEN('Raw Data'!K103)&lt;7,SUBSTITUTE('Raw Data'!K103," ",":",1),'Raw Data'!K103))</f>
        <v>23:00</v>
      </c>
      <c r="L103" t="str">
        <f>IF('Raw Data'!L103="","",'Raw Data'!L103)</f>
        <v/>
      </c>
      <c r="M103">
        <f>IF('Raw Data'!M103="","",'Raw Data'!M103)</f>
        <v>22.8</v>
      </c>
      <c r="N103">
        <f>IF('Raw Data'!N103="","",IF('Raw Data'!N103="-",0,'Raw Data'!N103))</f>
        <v>9.6999999999999993</v>
      </c>
      <c r="O103">
        <f>IF('Raw Data'!O103="","",'Raw Data'!O103)</f>
        <v>66.400000000000006</v>
      </c>
      <c r="P103" t="str">
        <f>IF('Raw Data'!P103="","",'Raw Data'!P103)</f>
        <v/>
      </c>
      <c r="Q103" t="str">
        <f t="shared" si="37"/>
        <v xml:space="preserve"> </v>
      </c>
      <c r="R103" s="3">
        <f t="shared" si="49"/>
        <v>91</v>
      </c>
      <c r="S103" s="3" t="str">
        <f t="shared" si="50"/>
        <v>-</v>
      </c>
      <c r="T103" s="3">
        <f t="shared" si="51"/>
        <v>91</v>
      </c>
      <c r="U103" s="3">
        <f t="shared" si="45"/>
        <v>23</v>
      </c>
      <c r="W103" s="4">
        <f t="shared" si="43"/>
        <v>22.828520365620523</v>
      </c>
      <c r="X103" s="4">
        <f t="shared" si="44"/>
        <v>9.6901319865339879</v>
      </c>
      <c r="Y103" s="3">
        <f t="shared" si="39"/>
        <v>91</v>
      </c>
    </row>
    <row r="104" spans="1:25" x14ac:dyDescent="0.25">
      <c r="A104">
        <f>IF('Raw Data'!A104="","",'Raw Data'!A104)</f>
        <v>21</v>
      </c>
      <c r="B104">
        <f>IF('Raw Data'!B104="","",'Raw Data'!B104)</f>
        <v>22</v>
      </c>
      <c r="C104">
        <f>IF('Raw Data'!C104="","",'Raw Data'!C104)</f>
        <v>1</v>
      </c>
      <c r="D104">
        <f>IF('Raw Data'!D104="","",'Raw Data'!D104)</f>
        <v>0.5</v>
      </c>
      <c r="E104">
        <f>IF('Raw Data'!E104="","",'Raw Data'!E104)</f>
        <v>1.5</v>
      </c>
      <c r="F104">
        <f>IF('Raw Data'!F104="","",'Raw Data'!F104)</f>
        <v>3</v>
      </c>
      <c r="G104" s="7" t="str">
        <f>IF('Raw Data'!G104="","",SUBSTITUTE('Raw Data'!G104," ",":",1))</f>
        <v>-</v>
      </c>
      <c r="H104" s="7" t="str">
        <f>IF('Raw Data'!H104="","",SUBSTITUTE('Raw Data'!H104," ",":",1))</f>
        <v>302:00</v>
      </c>
      <c r="I104" s="7" t="str">
        <f>IF('Raw Data'!I104="","",SUBSTITUTE('Raw Data'!I104," ",":",1))</f>
        <v>122:00</v>
      </c>
      <c r="J104" s="8">
        <f>IF('Raw Data'!J104="","",IF(LEN(K104)&gt;6,SQRT('Raw Data'!J104^2+N104^2),'Raw Data'!J104))</f>
        <v>11.2</v>
      </c>
      <c r="K104" s="7" t="str">
        <f>IF('Raw Data'!K104="","",IF(LEN('Raw Data'!K104)&lt;7,SUBSTITUTE('Raw Data'!K104," ",":",1),'Raw Data'!K104))</f>
        <v>10:00</v>
      </c>
      <c r="L104" t="str">
        <f>IF('Raw Data'!L104="","",'Raw Data'!L104)</f>
        <v/>
      </c>
      <c r="M104">
        <f>IF('Raw Data'!M104="","",'Raw Data'!M104)</f>
        <v>11</v>
      </c>
      <c r="N104">
        <f>IF('Raw Data'!N104="","",IF('Raw Data'!N104="-",0,'Raw Data'!N104))</f>
        <v>1.9</v>
      </c>
      <c r="O104">
        <f>IF('Raw Data'!O104="","",'Raw Data'!O104)</f>
        <v>76.099999999999994</v>
      </c>
      <c r="P104" t="str">
        <f>IF('Raw Data'!P104="","",'Raw Data'!P104)</f>
        <v/>
      </c>
      <c r="Q104" t="str">
        <f t="shared" si="37"/>
        <v xml:space="preserve"> </v>
      </c>
      <c r="R104" s="3" t="str">
        <f t="shared" si="49"/>
        <v>-</v>
      </c>
      <c r="S104" s="3">
        <f t="shared" si="50"/>
        <v>302</v>
      </c>
      <c r="T104" s="3">
        <f t="shared" si="51"/>
        <v>122</v>
      </c>
      <c r="U104" s="3">
        <f t="shared" si="45"/>
        <v>10</v>
      </c>
      <c r="W104" s="4">
        <f t="shared" si="43"/>
        <v>11.029846833736729</v>
      </c>
      <c r="X104" s="4">
        <f t="shared" si="44"/>
        <v>1.9448595898696195</v>
      </c>
      <c r="Y104" s="3">
        <f t="shared" si="39"/>
        <v>122</v>
      </c>
    </row>
    <row r="105" spans="1:25" x14ac:dyDescent="0.25">
      <c r="A105">
        <f>IF('Raw Data'!A105="","",'Raw Data'!A105)</f>
        <v>22</v>
      </c>
      <c r="B105">
        <f>IF('Raw Data'!B105="","",'Raw Data'!B105)</f>
        <v>23</v>
      </c>
      <c r="C105">
        <f>IF('Raw Data'!C105="","",'Raw Data'!C105)</f>
        <v>1</v>
      </c>
      <c r="D105">
        <f>IF('Raw Data'!D105="","",'Raw Data'!D105)</f>
        <v>1</v>
      </c>
      <c r="E105">
        <f>IF('Raw Data'!E105="","",'Raw Data'!E105)</f>
        <v>2</v>
      </c>
      <c r="F105">
        <f>IF('Raw Data'!F105="","",'Raw Data'!F105)</f>
        <v>3</v>
      </c>
      <c r="G105" s="7" t="str">
        <f>IF('Raw Data'!G105="","",SUBSTITUTE('Raw Data'!G105," ",":",1))</f>
        <v>172:40</v>
      </c>
      <c r="H105" s="7" t="str">
        <f>IF('Raw Data'!H105="","",SUBSTITUTE('Raw Data'!H105," ",":",1))</f>
        <v>-</v>
      </c>
      <c r="I105" s="7" t="str">
        <f>IF('Raw Data'!I105="","",SUBSTITUTE('Raw Data'!I105," ",":",1))</f>
        <v>172:40</v>
      </c>
      <c r="J105" s="8">
        <f>IF('Raw Data'!J105="","",IF(LEN(K105)&gt;6,SQRT('Raw Data'!J105^2+N105^2),'Raw Data'!J105))</f>
        <v>25.5</v>
      </c>
      <c r="K105" s="7" t="str">
        <f>IF('Raw Data'!K105="","",IF(LEN('Raw Data'!K105)&lt;7,SUBSTITUTE('Raw Data'!K105," ",":",1),'Raw Data'!K105))</f>
        <v>-9:00</v>
      </c>
      <c r="L105" t="str">
        <f>IF('Raw Data'!L105="","",'Raw Data'!L105)</f>
        <v/>
      </c>
      <c r="M105">
        <f>IF('Raw Data'!M105="","",'Raw Data'!M105)</f>
        <v>25.2</v>
      </c>
      <c r="N105">
        <f>IF('Raw Data'!N105="","",IF('Raw Data'!N105="-",0,'Raw Data'!N105))</f>
        <v>-4</v>
      </c>
      <c r="O105">
        <f>IF('Raw Data'!O105="","",'Raw Data'!O105)</f>
        <v>78</v>
      </c>
      <c r="P105" t="str">
        <f>IF('Raw Data'!P105="","",'Raw Data'!P105)</f>
        <v/>
      </c>
      <c r="Q105" t="str">
        <f t="shared" si="37"/>
        <v xml:space="preserve"> </v>
      </c>
      <c r="R105" s="3">
        <f t="shared" si="49"/>
        <v>172.66666666666666</v>
      </c>
      <c r="S105" s="3" t="str">
        <f t="shared" si="50"/>
        <v>-</v>
      </c>
      <c r="T105" s="3">
        <f t="shared" si="51"/>
        <v>172.66666666666666</v>
      </c>
      <c r="U105" s="3">
        <f t="shared" si="45"/>
        <v>-9</v>
      </c>
      <c r="W105" s="4">
        <f t="shared" si="43"/>
        <v>25.186052685176012</v>
      </c>
      <c r="X105" s="4">
        <f t="shared" si="44"/>
        <v>-3.989078858525887</v>
      </c>
      <c r="Y105" s="3">
        <f t="shared" si="39"/>
        <v>172.66666666666666</v>
      </c>
    </row>
    <row r="106" spans="1:25" x14ac:dyDescent="0.25">
      <c r="A106">
        <f>IF('Raw Data'!A106="","",'Raw Data'!A106)</f>
        <v>23</v>
      </c>
      <c r="B106">
        <f>IF('Raw Data'!B106="","",'Raw Data'!B106)</f>
        <v>24</v>
      </c>
      <c r="C106">
        <f>IF('Raw Data'!C106="","",'Raw Data'!C106)</f>
        <v>1</v>
      </c>
      <c r="D106">
        <f>IF('Raw Data'!D106="","",'Raw Data'!D106)</f>
        <v>3</v>
      </c>
      <c r="E106">
        <f>IF('Raw Data'!E106="","",'Raw Data'!E106)</f>
        <v>5</v>
      </c>
      <c r="F106">
        <f>IF('Raw Data'!F106="","",'Raw Data'!F106)</f>
        <v>0</v>
      </c>
      <c r="G106" s="7" t="str">
        <f>IF('Raw Data'!G106="","",SUBSTITUTE('Raw Data'!G106," ",":",1))</f>
        <v>-</v>
      </c>
      <c r="H106" s="7" t="str">
        <f>IF('Raw Data'!H106="","",SUBSTITUTE('Raw Data'!H106," ",":",1))</f>
        <v>248:00</v>
      </c>
      <c r="I106" s="7" t="str">
        <f>IF('Raw Data'!I106="","",SUBSTITUTE('Raw Data'!I106," ",":",1))</f>
        <v>068:00</v>
      </c>
      <c r="J106" s="8">
        <f>IF('Raw Data'!J106="","",IF(LEN(K106)&gt;6,SQRT('Raw Data'!J106^2+N106^2),'Raw Data'!J106))</f>
        <v>50.7</v>
      </c>
      <c r="K106" s="7" t="str">
        <f>IF('Raw Data'!K106="","",IF(LEN('Raw Data'!K106)&lt;7,SUBSTITUTE('Raw Data'!K106," ",":",1),'Raw Data'!K106))</f>
        <v>18:00</v>
      </c>
      <c r="L106" t="str">
        <f>IF('Raw Data'!L106="","",'Raw Data'!L106)</f>
        <v/>
      </c>
      <c r="M106">
        <f>IF('Raw Data'!M106="","",'Raw Data'!M106)</f>
        <v>48.2</v>
      </c>
      <c r="N106">
        <f>IF('Raw Data'!N106="","",IF('Raw Data'!N106="-",0,'Raw Data'!N106))</f>
        <v>15.6</v>
      </c>
      <c r="O106">
        <f>IF('Raw Data'!O106="","",'Raw Data'!O106)</f>
        <v>74</v>
      </c>
      <c r="P106" t="str">
        <f>IF('Raw Data'!P106="","",'Raw Data'!P106)</f>
        <v/>
      </c>
      <c r="Q106" t="str">
        <f t="shared" si="37"/>
        <v xml:space="preserve"> </v>
      </c>
      <c r="R106" s="3" t="str">
        <f t="shared" si="49"/>
        <v>-</v>
      </c>
      <c r="S106" s="3">
        <f t="shared" si="50"/>
        <v>248</v>
      </c>
      <c r="T106" s="3">
        <f t="shared" si="51"/>
        <v>68</v>
      </c>
      <c r="U106" s="3">
        <f t="shared" si="45"/>
        <v>18</v>
      </c>
      <c r="W106" s="4">
        <f t="shared" si="43"/>
        <v>48.218565376164285</v>
      </c>
      <c r="X106" s="4">
        <f t="shared" si="44"/>
        <v>15.667161614809833</v>
      </c>
      <c r="Y106" s="3">
        <f t="shared" si="39"/>
        <v>68</v>
      </c>
    </row>
    <row r="107" spans="1:25" x14ac:dyDescent="0.25">
      <c r="A107">
        <f>IF('Raw Data'!A107="","",'Raw Data'!A107)</f>
        <v>24</v>
      </c>
      <c r="B107">
        <f>IF('Raw Data'!B107="","",'Raw Data'!B107)</f>
        <v>25</v>
      </c>
      <c r="C107" t="str">
        <f>IF('Raw Data'!C107="","",'Raw Data'!C107)</f>
        <v>3 (30)</v>
      </c>
      <c r="D107">
        <f>IF('Raw Data'!D107="","",'Raw Data'!D107)</f>
        <v>1</v>
      </c>
      <c r="E107">
        <f>IF('Raw Data'!E107="","",'Raw Data'!E107)</f>
        <v>20</v>
      </c>
      <c r="F107">
        <f>IF('Raw Data'!F107="","",'Raw Data'!F107)</f>
        <v>20</v>
      </c>
      <c r="G107" s="7" t="str">
        <f>IF('Raw Data'!G107="","",SUBSTITUTE('Raw Data'!G107," ",":",1))</f>
        <v>046:00</v>
      </c>
      <c r="H107" s="7" t="str">
        <f>IF('Raw Data'!H107="","",SUBSTITUTE('Raw Data'!H107," ",":",1))</f>
        <v>-</v>
      </c>
      <c r="I107" s="7" t="str">
        <f>IF('Raw Data'!I107="","",SUBSTITUTE('Raw Data'!I107," ",":",1))</f>
        <v>046:00</v>
      </c>
      <c r="J107" s="8">
        <f>IF('Raw Data'!J107="","",IF(LEN(K107)&gt;6,SQRT('Raw Data'!J107^2+N107^2),'Raw Data'!J107))</f>
        <v>14</v>
      </c>
      <c r="K107" s="7" t="str">
        <f>IF('Raw Data'!K107="","",IF(LEN('Raw Data'!K107)&lt;7,SUBSTITUTE('Raw Data'!K107," ",":",1),'Raw Data'!K107))</f>
        <v>-46:00</v>
      </c>
      <c r="L107" t="str">
        <f>IF('Raw Data'!L107="","",'Raw Data'!L107)</f>
        <v/>
      </c>
      <c r="M107">
        <f>IF('Raw Data'!M107="","",'Raw Data'!M107)</f>
        <v>9.6999999999999993</v>
      </c>
      <c r="N107">
        <f>IF('Raw Data'!N107="","",IF('Raw Data'!N107="-",0,'Raw Data'!N107))</f>
        <v>-10.1</v>
      </c>
      <c r="O107">
        <f>IF('Raw Data'!O107="","",'Raw Data'!O107)</f>
        <v>89.6</v>
      </c>
      <c r="P107" t="str">
        <f>IF('Raw Data'!P107="","",'Raw Data'!P107)</f>
        <v>(sketch of 24 - 35)</v>
      </c>
      <c r="Q107" t="str">
        <f t="shared" si="37"/>
        <v xml:space="preserve"> </v>
      </c>
      <c r="R107" s="3">
        <f t="shared" si="49"/>
        <v>46</v>
      </c>
      <c r="S107" s="3" t="str">
        <f t="shared" si="50"/>
        <v>-</v>
      </c>
      <c r="T107" s="3">
        <f t="shared" si="51"/>
        <v>46</v>
      </c>
      <c r="U107" s="3">
        <f t="shared" si="45"/>
        <v>-46</v>
      </c>
      <c r="W107" s="4">
        <f t="shared" si="43"/>
        <v>9.7252171864259633</v>
      </c>
      <c r="X107" s="4">
        <f t="shared" si="44"/>
        <v>-10.070757204741115</v>
      </c>
      <c r="Y107" s="3">
        <f t="shared" si="39"/>
        <v>46</v>
      </c>
    </row>
    <row r="108" spans="1:25" x14ac:dyDescent="0.25">
      <c r="A108">
        <f>IF('Raw Data'!A108="","",'Raw Data'!A108)</f>
        <v>25</v>
      </c>
      <c r="B108">
        <f>IF('Raw Data'!B108="","",'Raw Data'!B108)</f>
        <v>26</v>
      </c>
      <c r="C108" t="str">
        <f>IF('Raw Data'!C108="","",'Raw Data'!C108)</f>
        <v>/</v>
      </c>
      <c r="D108" t="str">
        <f>IF('Raw Data'!D108="","",'Raw Data'!D108)</f>
        <v>/</v>
      </c>
      <c r="E108" t="str">
        <f>IF('Raw Data'!E108="","",'Raw Data'!E108)</f>
        <v>/</v>
      </c>
      <c r="F108" t="str">
        <f>IF('Raw Data'!F108="","",'Raw Data'!F108)</f>
        <v>/</v>
      </c>
      <c r="G108" s="7" t="str">
        <f>IF('Raw Data'!G108="","",SUBSTITUTE('Raw Data'!G108," ",":",1))</f>
        <v>-</v>
      </c>
      <c r="H108" s="7" t="str">
        <f>IF('Raw Data'!H108="","",SUBSTITUTE('Raw Data'!H108," ",":",1))</f>
        <v>293:00</v>
      </c>
      <c r="I108" s="7" t="str">
        <f>IF('Raw Data'!I108="","",SUBSTITUTE('Raw Data'!I108," ",":",1))</f>
        <v>113:00</v>
      </c>
      <c r="J108" s="8">
        <f>IF('Raw Data'!J108="","",IF(LEN(K108)&gt;6,SQRT('Raw Data'!J108^2+N108^2),'Raw Data'!J108))</f>
        <v>15.3</v>
      </c>
      <c r="K108" s="7" t="str">
        <f>IF('Raw Data'!K108="","",IF(LEN('Raw Data'!K108)&lt;7,SUBSTITUTE('Raw Data'!K108," ",":",1),'Raw Data'!K108))</f>
        <v>-43:00</v>
      </c>
      <c r="L108" t="str">
        <f>IF('Raw Data'!L108="","",'Raw Data'!L108)</f>
        <v/>
      </c>
      <c r="M108">
        <f>IF('Raw Data'!M108="","",'Raw Data'!M108)</f>
        <v>11.2</v>
      </c>
      <c r="N108">
        <f>IF('Raw Data'!N108="","",IF('Raw Data'!N108="-",0,'Raw Data'!N108))</f>
        <v>-10.4</v>
      </c>
      <c r="O108">
        <f>IF('Raw Data'!O108="","",'Raw Data'!O108)</f>
        <v>79.5</v>
      </c>
      <c r="P108" t="str">
        <f>IF('Raw Data'!P108="","",'Raw Data'!P108)</f>
        <v/>
      </c>
      <c r="Q108" t="str">
        <f t="shared" si="37"/>
        <v xml:space="preserve"> </v>
      </c>
      <c r="R108" s="3" t="str">
        <f t="shared" si="49"/>
        <v>-</v>
      </c>
      <c r="S108" s="3">
        <f t="shared" si="50"/>
        <v>293</v>
      </c>
      <c r="T108" s="3">
        <f t="shared" si="51"/>
        <v>113</v>
      </c>
      <c r="U108" s="3">
        <f t="shared" si="45"/>
        <v>-43</v>
      </c>
      <c r="W108" s="4">
        <f t="shared" si="43"/>
        <v>11.18971163477331</v>
      </c>
      <c r="X108" s="4">
        <f t="shared" si="44"/>
        <v>-10.434574908956227</v>
      </c>
      <c r="Y108" s="3">
        <f t="shared" si="39"/>
        <v>113</v>
      </c>
    </row>
    <row r="109" spans="1:25" x14ac:dyDescent="0.25">
      <c r="A109">
        <f>IF('Raw Data'!A109="","",'Raw Data'!A109)</f>
        <v>26</v>
      </c>
      <c r="B109">
        <f>IF('Raw Data'!B109="","",'Raw Data'!B109)</f>
        <v>27</v>
      </c>
      <c r="C109" t="str">
        <f>IF('Raw Data'!C109="","",'Raw Data'!C109)</f>
        <v>/</v>
      </c>
      <c r="D109" t="str">
        <f>IF('Raw Data'!D109="","",'Raw Data'!D109)</f>
        <v>/</v>
      </c>
      <c r="E109" t="str">
        <f>IF('Raw Data'!E109="","",'Raw Data'!E109)</f>
        <v>/</v>
      </c>
      <c r="F109" t="str">
        <f>IF('Raw Data'!F109="","",'Raw Data'!F109)</f>
        <v>/</v>
      </c>
      <c r="G109" s="7" t="str">
        <f>IF('Raw Data'!G109="","",SUBSTITUTE('Raw Data'!G109," ",":",1))</f>
        <v>061:00</v>
      </c>
      <c r="H109" s="7" t="str">
        <f>IF('Raw Data'!H109="","",SUBSTITUTE('Raw Data'!H109," ",":",1))</f>
        <v>-</v>
      </c>
      <c r="I109" s="7" t="str">
        <f>IF('Raw Data'!I109="","",SUBSTITUTE('Raw Data'!I109," ",":",1))</f>
        <v>061:00</v>
      </c>
      <c r="J109" s="8">
        <f>IF('Raw Data'!J109="","",IF(LEN(K109)&gt;6,SQRT('Raw Data'!J109^2+N109^2),'Raw Data'!J109))</f>
        <v>23.2</v>
      </c>
      <c r="K109" s="7" t="str">
        <f>IF('Raw Data'!K109="","",IF(LEN('Raw Data'!K109)&lt;7,SUBSTITUTE('Raw Data'!K109," ",":",1),'Raw Data'!K109))</f>
        <v>-55:00</v>
      </c>
      <c r="L109" t="str">
        <f>IF('Raw Data'!L109="","",'Raw Data'!L109)</f>
        <v/>
      </c>
      <c r="M109">
        <f>IF('Raw Data'!M109="","",'Raw Data'!M109)</f>
        <v>13.3</v>
      </c>
      <c r="N109">
        <f>IF('Raw Data'!N109="","",IF('Raw Data'!N109="-",0,'Raw Data'!N109))</f>
        <v>-19</v>
      </c>
      <c r="O109">
        <f>IF('Raw Data'!O109="","",'Raw Data'!O109)</f>
        <v>69.099999999999994</v>
      </c>
      <c r="P109" t="str">
        <f>IF('Raw Data'!P109="","",'Raw Data'!P109)</f>
        <v/>
      </c>
      <c r="Q109" t="str">
        <f t="shared" si="37"/>
        <v xml:space="preserve"> </v>
      </c>
      <c r="R109" s="3">
        <f t="shared" si="49"/>
        <v>61</v>
      </c>
      <c r="S109" s="3" t="str">
        <f t="shared" si="50"/>
        <v>-</v>
      </c>
      <c r="T109" s="3">
        <f t="shared" si="51"/>
        <v>61</v>
      </c>
      <c r="U109" s="3">
        <f t="shared" si="45"/>
        <v>-55</v>
      </c>
      <c r="W109" s="4">
        <f t="shared" si="43"/>
        <v>13.30697332334427</v>
      </c>
      <c r="X109" s="4">
        <f t="shared" si="44"/>
        <v>-19.004327427504609</v>
      </c>
      <c r="Y109" s="3">
        <f t="shared" si="39"/>
        <v>61</v>
      </c>
    </row>
    <row r="110" spans="1:25" x14ac:dyDescent="0.25">
      <c r="A110">
        <f>IF('Raw Data'!A110="","",'Raw Data'!A110)</f>
        <v>27</v>
      </c>
      <c r="B110">
        <f>IF('Raw Data'!B110="","",'Raw Data'!B110)</f>
        <v>28</v>
      </c>
      <c r="C110" t="str">
        <f>IF('Raw Data'!C110="","",'Raw Data'!C110)</f>
        <v>/</v>
      </c>
      <c r="D110">
        <f>IF('Raw Data'!D110="","",'Raw Data'!D110)</f>
        <v>5</v>
      </c>
      <c r="E110" t="str">
        <f>IF('Raw Data'!E110="","",'Raw Data'!E110)</f>
        <v>-</v>
      </c>
      <c r="F110">
        <f>IF('Raw Data'!F110="","",'Raw Data'!F110)</f>
        <v>12</v>
      </c>
      <c r="G110" s="7" t="str">
        <f>IF('Raw Data'!G110="","",SUBSTITUTE('Raw Data'!G110," ",":",1))</f>
        <v>-</v>
      </c>
      <c r="H110" s="7" t="str">
        <f>IF('Raw Data'!H110="","",SUBSTITUTE('Raw Data'!H110," ",":",1))</f>
        <v>015:30</v>
      </c>
      <c r="I110" s="7" t="str">
        <f>IF('Raw Data'!I110="","",SUBSTITUTE('Raw Data'!I110," ",":",1))</f>
        <v>195:30</v>
      </c>
      <c r="J110" s="8">
        <f>IF('Raw Data'!J110="","",IF(LEN(K110)&gt;6,SQRT('Raw Data'!J110^2+N110^2),'Raw Data'!J110))</f>
        <v>25.3</v>
      </c>
      <c r="K110" s="7" t="str">
        <f>IF('Raw Data'!K110="","",IF(LEN('Raw Data'!K110)&lt;7,SUBSTITUTE('Raw Data'!K110," ",":",1),'Raw Data'!K110))</f>
        <v>-24:30</v>
      </c>
      <c r="L110" t="str">
        <f>IF('Raw Data'!L110="","",'Raw Data'!L110)</f>
        <v/>
      </c>
      <c r="M110">
        <f>IF('Raw Data'!M110="","",'Raw Data'!M110)</f>
        <v>23</v>
      </c>
      <c r="N110">
        <f>IF('Raw Data'!N110="","",IF('Raw Data'!N110="-",0,'Raw Data'!N110))</f>
        <v>-10.5</v>
      </c>
      <c r="O110">
        <f>IF('Raw Data'!O110="","",'Raw Data'!O110)</f>
        <v>50.1</v>
      </c>
      <c r="P110" t="str">
        <f>IF('Raw Data'!P110="","",'Raw Data'!P110)</f>
        <v/>
      </c>
      <c r="Q110" t="str">
        <f t="shared" si="37"/>
        <v xml:space="preserve"> </v>
      </c>
      <c r="R110" s="3" t="str">
        <f t="shared" si="49"/>
        <v>-</v>
      </c>
      <c r="S110" s="3">
        <f t="shared" si="50"/>
        <v>15.5</v>
      </c>
      <c r="T110" s="3">
        <f t="shared" si="51"/>
        <v>195.5</v>
      </c>
      <c r="U110" s="3">
        <f t="shared" si="45"/>
        <v>-24.5</v>
      </c>
      <c r="W110" s="4">
        <f t="shared" si="43"/>
        <v>23.022020153176545</v>
      </c>
      <c r="X110" s="4">
        <f t="shared" si="44"/>
        <v>-10.491739039202848</v>
      </c>
      <c r="Y110" s="3">
        <f t="shared" si="39"/>
        <v>195.5</v>
      </c>
    </row>
    <row r="111" spans="1:25" x14ac:dyDescent="0.25">
      <c r="A111">
        <f>IF('Raw Data'!A111="","",'Raw Data'!A111)</f>
        <v>28</v>
      </c>
      <c r="B111">
        <f>IF('Raw Data'!B111="","",'Raw Data'!B111)</f>
        <v>29</v>
      </c>
      <c r="C111">
        <f>IF('Raw Data'!C111="","",'Raw Data'!C111)</f>
        <v>3</v>
      </c>
      <c r="D111">
        <f>IF('Raw Data'!D111="","",'Raw Data'!D111)</f>
        <v>1</v>
      </c>
      <c r="E111">
        <f>IF('Raw Data'!E111="","",'Raw Data'!E111)</f>
        <v>3</v>
      </c>
      <c r="F111">
        <f>IF('Raw Data'!F111="","",'Raw Data'!F111)</f>
        <v>4</v>
      </c>
      <c r="G111" s="7" t="str">
        <f>IF('Raw Data'!G111="","",SUBSTITUTE('Raw Data'!G111," ",":",1))</f>
        <v>242:00</v>
      </c>
      <c r="H111" s="7" t="str">
        <f>IF('Raw Data'!H111="","",SUBSTITUTE('Raw Data'!H111," ",":",1))</f>
        <v>-</v>
      </c>
      <c r="I111" s="7" t="str">
        <f>IF('Raw Data'!I111="","",SUBSTITUTE('Raw Data'!I111," ",":",1))</f>
        <v>242:00</v>
      </c>
      <c r="J111" s="8">
        <f>IF('Raw Data'!J111="","",IF(LEN(K111)&gt;6,SQRT('Raw Data'!J111^2+N111^2),'Raw Data'!J111))</f>
        <v>51</v>
      </c>
      <c r="K111" s="7" t="str">
        <f>IF('Raw Data'!K111="","",IF(LEN('Raw Data'!K111)&lt;7,SUBSTITUTE('Raw Data'!K111," ",":",1),'Raw Data'!K111))</f>
        <v>-23:30</v>
      </c>
      <c r="L111" t="str">
        <f>IF('Raw Data'!L111="","",'Raw Data'!L111)</f>
        <v/>
      </c>
      <c r="M111">
        <f>IF('Raw Data'!M111="","",'Raw Data'!M111)</f>
        <v>46.8</v>
      </c>
      <c r="N111">
        <f>IF('Raw Data'!N111="","",IF('Raw Data'!N111="-",0,'Raw Data'!N111))</f>
        <v>-20.3</v>
      </c>
      <c r="O111">
        <f>IF('Raw Data'!O111="","",'Raw Data'!O111)</f>
        <v>39.6</v>
      </c>
      <c r="P111" t="str">
        <f>IF('Raw Data'!P111="","",'Raw Data'!P111)</f>
        <v/>
      </c>
      <c r="Q111" t="str">
        <f t="shared" si="37"/>
        <v xml:space="preserve"> </v>
      </c>
      <c r="R111" s="3">
        <f t="shared" si="49"/>
        <v>242</v>
      </c>
      <c r="S111" s="3" t="str">
        <f t="shared" si="50"/>
        <v>-</v>
      </c>
      <c r="T111" s="3">
        <f t="shared" si="51"/>
        <v>242</v>
      </c>
      <c r="U111" s="3">
        <f t="shared" si="45"/>
        <v>-23.5</v>
      </c>
      <c r="W111" s="4">
        <f t="shared" si="43"/>
        <v>46.770063793641327</v>
      </c>
      <c r="X111" s="4">
        <f t="shared" si="44"/>
        <v>-20.336202515187555</v>
      </c>
      <c r="Y111" s="3">
        <f t="shared" si="39"/>
        <v>242</v>
      </c>
    </row>
    <row r="112" spans="1:25" x14ac:dyDescent="0.25">
      <c r="A112">
        <f>IF('Raw Data'!A112="","",'Raw Data'!A112)</f>
        <v>29</v>
      </c>
      <c r="B112">
        <f>IF('Raw Data'!B112="","",'Raw Data'!B112)</f>
        <v>30</v>
      </c>
      <c r="C112">
        <f>IF('Raw Data'!C112="","",'Raw Data'!C112)</f>
        <v>3</v>
      </c>
      <c r="D112">
        <f>IF('Raw Data'!D112="","",'Raw Data'!D112)</f>
        <v>1</v>
      </c>
      <c r="E112" t="str">
        <f>IF('Raw Data'!E112="","",'Raw Data'!E112)</f>
        <v>/</v>
      </c>
      <c r="F112">
        <f>IF('Raw Data'!F112="","",'Raw Data'!F112)</f>
        <v>3</v>
      </c>
      <c r="G112" s="7" t="str">
        <f>IF('Raw Data'!G112="","",SUBSTITUTE('Raw Data'!G112," ",":",1))</f>
        <v>-</v>
      </c>
      <c r="H112" s="7" t="str">
        <f>IF('Raw Data'!H112="","",SUBSTITUTE('Raw Data'!H112," ",":",1))</f>
        <v>340:00</v>
      </c>
      <c r="I112" s="7" t="str">
        <f>IF('Raw Data'!I112="","",SUBSTITUTE('Raw Data'!I112," ",":",1))</f>
        <v>160:00</v>
      </c>
      <c r="J112" s="8">
        <f>IF('Raw Data'!J112="","",IF(LEN(K112)&gt;6,SQRT('Raw Data'!J112^2+N112^2),'Raw Data'!J112))</f>
        <v>13.7</v>
      </c>
      <c r="K112" s="7" t="str">
        <f>IF('Raw Data'!K112="","",IF(LEN('Raw Data'!K112)&lt;7,SUBSTITUTE('Raw Data'!K112," ",":",1),'Raw Data'!K112))</f>
        <v>-3:00</v>
      </c>
      <c r="L112" t="str">
        <f>IF('Raw Data'!L112="","",'Raw Data'!L112)</f>
        <v/>
      </c>
      <c r="M112">
        <f>IF('Raw Data'!M112="","",'Raw Data'!M112)</f>
        <v>13.6</v>
      </c>
      <c r="N112">
        <f>IF('Raw Data'!N112="","",IF('Raw Data'!N112="-",0,'Raw Data'!N112))</f>
        <v>-0.7</v>
      </c>
      <c r="O112">
        <f>IF('Raw Data'!O112="","",'Raw Data'!O112)</f>
        <v>19.3</v>
      </c>
      <c r="P112" t="str">
        <f>IF('Raw Data'!P112="","",'Raw Data'!P112)</f>
        <v/>
      </c>
      <c r="Q112" t="str">
        <f t="shared" si="37"/>
        <v xml:space="preserve"> </v>
      </c>
      <c r="R112" s="3" t="str">
        <f t="shared" si="49"/>
        <v>-</v>
      </c>
      <c r="S112" s="3">
        <f t="shared" si="50"/>
        <v>340</v>
      </c>
      <c r="T112" s="3">
        <f t="shared" si="51"/>
        <v>160</v>
      </c>
      <c r="U112" s="3">
        <f t="shared" si="45"/>
        <v>-3</v>
      </c>
      <c r="W112" s="4">
        <f t="shared" si="43"/>
        <v>13.681224626137661</v>
      </c>
      <c r="X112" s="4">
        <f t="shared" si="44"/>
        <v>-0.71700260052833042</v>
      </c>
      <c r="Y112" s="3">
        <f t="shared" si="39"/>
        <v>160</v>
      </c>
    </row>
    <row r="113" spans="1:25" x14ac:dyDescent="0.25">
      <c r="A113">
        <f>IF('Raw Data'!A113="","",'Raw Data'!A113)</f>
        <v>30</v>
      </c>
      <c r="B113">
        <f>IF('Raw Data'!B113="","",'Raw Data'!B113)</f>
        <v>31</v>
      </c>
      <c r="C113">
        <f>IF('Raw Data'!C113="","",'Raw Data'!C113)</f>
        <v>2</v>
      </c>
      <c r="D113">
        <f>IF('Raw Data'!D113="","",'Raw Data'!D113)</f>
        <v>1</v>
      </c>
      <c r="E113">
        <f>IF('Raw Data'!E113="","",'Raw Data'!E113)</f>
        <v>5</v>
      </c>
      <c r="F113" t="str">
        <f>IF('Raw Data'!F113="","",'Raw Data'!F113)</f>
        <v>/</v>
      </c>
      <c r="G113" s="7" t="str">
        <f>IF('Raw Data'!G113="","",SUBSTITUTE('Raw Data'!G113," ",":",1))</f>
        <v>239:00</v>
      </c>
      <c r="H113" s="7" t="str">
        <f>IF('Raw Data'!H113="","",SUBSTITUTE('Raw Data'!H113," ",":",1))</f>
        <v>-</v>
      </c>
      <c r="I113" s="7" t="str">
        <f>IF('Raw Data'!I113="","",SUBSTITUTE('Raw Data'!I113," ",":",1))</f>
        <v>239:00</v>
      </c>
      <c r="J113" s="8">
        <f>IF('Raw Data'!J113="","",IF(LEN(K113)&gt;6,SQRT('Raw Data'!J113^2+N113^2),'Raw Data'!J113))</f>
        <v>25.4</v>
      </c>
      <c r="K113" s="7" t="str">
        <f>IF('Raw Data'!K113="","",IF(LEN('Raw Data'!K113)&lt;7,SUBSTITUTE('Raw Data'!K113," ",":",1),'Raw Data'!K113))</f>
        <v>-19:00</v>
      </c>
      <c r="L113" t="str">
        <f>IF('Raw Data'!L113="","",'Raw Data'!L113)</f>
        <v/>
      </c>
      <c r="M113">
        <f>IF('Raw Data'!M113="","",'Raw Data'!M113)</f>
        <v>24</v>
      </c>
      <c r="N113">
        <f>IF('Raw Data'!N113="","",IF('Raw Data'!N113="-",0,'Raw Data'!N113))</f>
        <v>-8.3000000000000007</v>
      </c>
      <c r="O113">
        <f>IF('Raw Data'!O113="","",'Raw Data'!O113)</f>
        <v>18.600000000000001</v>
      </c>
      <c r="P113" t="str">
        <f>IF('Raw Data'!P113="","",'Raw Data'!P113)</f>
        <v/>
      </c>
      <c r="Q113" t="str">
        <f t="shared" si="37"/>
        <v xml:space="preserve"> </v>
      </c>
      <c r="R113" s="3">
        <f t="shared" si="49"/>
        <v>239</v>
      </c>
      <c r="S113" s="3" t="str">
        <f t="shared" si="50"/>
        <v>-</v>
      </c>
      <c r="T113" s="3">
        <f t="shared" si="51"/>
        <v>239</v>
      </c>
      <c r="U113" s="3">
        <f t="shared" si="45"/>
        <v>-19</v>
      </c>
      <c r="W113" s="4">
        <f t="shared" si="43"/>
        <v>24.016171820222645</v>
      </c>
      <c r="X113" s="4">
        <f t="shared" si="44"/>
        <v>-8.2694311232117776</v>
      </c>
      <c r="Y113" s="3">
        <f t="shared" si="39"/>
        <v>239</v>
      </c>
    </row>
    <row r="114" spans="1:25" x14ac:dyDescent="0.25">
      <c r="A114">
        <f>IF('Raw Data'!A114="","",'Raw Data'!A114)</f>
        <v>31</v>
      </c>
      <c r="B114">
        <f>IF('Raw Data'!B114="","",'Raw Data'!B114)</f>
        <v>32</v>
      </c>
      <c r="C114">
        <f>IF('Raw Data'!C114="","",'Raw Data'!C114)</f>
        <v>6</v>
      </c>
      <c r="D114">
        <f>IF('Raw Data'!D114="","",'Raw Data'!D114)</f>
        <v>2</v>
      </c>
      <c r="E114">
        <f>IF('Raw Data'!E114="","",'Raw Data'!E114)</f>
        <v>5</v>
      </c>
      <c r="F114">
        <f>IF('Raw Data'!F114="","",'Raw Data'!F114)</f>
        <v>4</v>
      </c>
      <c r="G114" s="7" t="str">
        <f>IF('Raw Data'!G114="","",SUBSTITUTE('Raw Data'!G114," ",":",1))</f>
        <v>-</v>
      </c>
      <c r="H114" s="7" t="str">
        <f>IF('Raw Data'!H114="","",SUBSTITUTE('Raw Data'!H114," ",":",1))</f>
        <v>106:00</v>
      </c>
      <c r="I114" s="7" t="str">
        <f>IF('Raw Data'!I114="","",SUBSTITUTE('Raw Data'!I114," ",":",1))</f>
        <v>286:00</v>
      </c>
      <c r="J114" s="8">
        <f>IF('Raw Data'!J114="","",IF(LEN(K114)&gt;6,SQRT('Raw Data'!J114^2+N114^2),'Raw Data'!J114))</f>
        <v>11.244554237496477</v>
      </c>
      <c r="K114" s="7" t="str">
        <f>IF('Raw Data'!K114="","",IF(LEN('Raw Data'!K114)&lt;7,SUBSTITUTE('Raw Data'!K114," ",":",1),'Raw Data'!K114))</f>
        <v>fall 1 foot</v>
      </c>
      <c r="L114" t="str">
        <f>IF('Raw Data'!L114="","",'Raw Data'!L114)</f>
        <v/>
      </c>
      <c r="M114">
        <f>IF('Raw Data'!M114="","",'Raw Data'!M114)</f>
        <v>11.1</v>
      </c>
      <c r="N114">
        <f>IF('Raw Data'!N114="","",IF('Raw Data'!N114="-",0,'Raw Data'!N114))</f>
        <v>-1</v>
      </c>
      <c r="O114">
        <f>IF('Raw Data'!O114="","",'Raw Data'!O114)</f>
        <v>10.3</v>
      </c>
      <c r="P114" t="str">
        <f>IF('Raw Data'!P114="","",'Raw Data'!P114)</f>
        <v/>
      </c>
      <c r="Q114" t="str">
        <f t="shared" si="37"/>
        <v xml:space="preserve"> </v>
      </c>
      <c r="R114" s="3" t="str">
        <f t="shared" si="49"/>
        <v>-</v>
      </c>
      <c r="S114" s="3">
        <f t="shared" si="50"/>
        <v>106</v>
      </c>
      <c r="T114" s="3">
        <f t="shared" si="51"/>
        <v>286</v>
      </c>
      <c r="U114" s="12">
        <f>ASIN(N114/J114)*180/PI()</f>
        <v>-5.1021652523581906</v>
      </c>
      <c r="W114" s="4">
        <f t="shared" si="43"/>
        <v>11.199999999999998</v>
      </c>
      <c r="X114" s="4">
        <f t="shared" si="44"/>
        <v>-1</v>
      </c>
      <c r="Y114" s="3">
        <f t="shared" si="39"/>
        <v>286</v>
      </c>
    </row>
    <row r="115" spans="1:25" x14ac:dyDescent="0.25">
      <c r="A115">
        <f>IF('Raw Data'!A115="","",'Raw Data'!A115)</f>
        <v>32</v>
      </c>
      <c r="B115">
        <f>IF('Raw Data'!B115="","",'Raw Data'!B115)</f>
        <v>33</v>
      </c>
      <c r="C115">
        <f>IF('Raw Data'!C115="","",'Raw Data'!C115)</f>
        <v>0.5</v>
      </c>
      <c r="D115">
        <f>IF('Raw Data'!D115="","",'Raw Data'!D115)</f>
        <v>0.5</v>
      </c>
      <c r="E115" t="str">
        <f>IF('Raw Data'!E115="","",'Raw Data'!E115)</f>
        <v>/</v>
      </c>
      <c r="F115">
        <f>IF('Raw Data'!F115="","",'Raw Data'!F115)</f>
        <v>1</v>
      </c>
      <c r="G115" s="7" t="str">
        <f>IF('Raw Data'!G115="","",SUBSTITUTE('Raw Data'!G115," ",":",1))</f>
        <v>182:00</v>
      </c>
      <c r="H115" s="7" t="str">
        <f>IF('Raw Data'!H115="","",SUBSTITUTE('Raw Data'!H115," ",":",1))</f>
        <v>-</v>
      </c>
      <c r="I115" s="7" t="str">
        <f>IF('Raw Data'!I115="","",SUBSTITUTE('Raw Data'!I115," ",":",1))</f>
        <v>182:00</v>
      </c>
      <c r="J115" s="8">
        <f>IF('Raw Data'!J115="","",IF(LEN(K115)&gt;6,SQRT('Raw Data'!J115^2+N115^2),'Raw Data'!J115))</f>
        <v>14.1</v>
      </c>
      <c r="K115" s="7" t="str">
        <f>IF('Raw Data'!K115="","",IF(LEN('Raw Data'!K115)&lt;7,SUBSTITUTE('Raw Data'!K115," ",":",1),'Raw Data'!K115))</f>
        <v>-9:00</v>
      </c>
      <c r="L115" t="str">
        <f>IF('Raw Data'!L115="","",'Raw Data'!L115)</f>
        <v/>
      </c>
      <c r="M115">
        <f>IF('Raw Data'!M115="","",'Raw Data'!M115)</f>
        <v>13.9</v>
      </c>
      <c r="N115">
        <f>IF('Raw Data'!N115="","",IF('Raw Data'!N115="-",0,'Raw Data'!N115))</f>
        <v>-2.2000000000000002</v>
      </c>
      <c r="O115">
        <f>IF('Raw Data'!O115="","",'Raw Data'!O115)</f>
        <v>9.3000000000000007</v>
      </c>
      <c r="P115" t="str">
        <f>IF('Raw Data'!P115="","",'Raw Data'!P115)</f>
        <v/>
      </c>
      <c r="Q115" t="str">
        <f t="shared" si="37"/>
        <v xml:space="preserve"> </v>
      </c>
      <c r="R115" s="3">
        <f t="shared" si="49"/>
        <v>182</v>
      </c>
      <c r="S115" s="3" t="str">
        <f t="shared" si="50"/>
        <v>-</v>
      </c>
      <c r="T115" s="3">
        <f t="shared" si="51"/>
        <v>182</v>
      </c>
      <c r="U115" s="3">
        <f t="shared" si="45"/>
        <v>-9</v>
      </c>
      <c r="W115" s="4">
        <f t="shared" si="43"/>
        <v>13.926405602391442</v>
      </c>
      <c r="X115" s="4">
        <f t="shared" si="44"/>
        <v>-2.2057259570672554</v>
      </c>
      <c r="Y115" s="3">
        <f t="shared" si="39"/>
        <v>182</v>
      </c>
    </row>
    <row r="116" spans="1:25" x14ac:dyDescent="0.25">
      <c r="A116">
        <f>IF('Raw Data'!A116="","",'Raw Data'!A116)</f>
        <v>33</v>
      </c>
      <c r="B116">
        <f>IF('Raw Data'!B116="","",'Raw Data'!B116)</f>
        <v>34</v>
      </c>
      <c r="C116">
        <f>IF('Raw Data'!C116="","",'Raw Data'!C116)</f>
        <v>0.5</v>
      </c>
      <c r="D116">
        <f>IF('Raw Data'!D116="","",'Raw Data'!D116)</f>
        <v>0.5</v>
      </c>
      <c r="E116" t="str">
        <f>IF('Raw Data'!E116="","",'Raw Data'!E116)</f>
        <v>-</v>
      </c>
      <c r="F116">
        <f>IF('Raw Data'!F116="","",'Raw Data'!F116)</f>
        <v>2</v>
      </c>
      <c r="G116" s="7" t="str">
        <f>IF('Raw Data'!G116="","",SUBSTITUTE('Raw Data'!G116," ",":",1))</f>
        <v>-</v>
      </c>
      <c r="H116" s="7" t="str">
        <f>IF('Raw Data'!H116="","",SUBSTITUTE('Raw Data'!H116," ",":",1))</f>
        <v>339:00</v>
      </c>
      <c r="I116" s="7" t="str">
        <f>IF('Raw Data'!I116="","",SUBSTITUTE('Raw Data'!I116," ",":",1))</f>
        <v>159:00</v>
      </c>
      <c r="J116" s="8">
        <f>IF('Raw Data'!J116="","",IF(LEN(K116)&gt;6,SQRT('Raw Data'!J116^2+N116^2),'Raw Data'!J116))</f>
        <v>17.029386365926403</v>
      </c>
      <c r="K116" s="7" t="str">
        <f>IF('Raw Data'!K116="","",IF(LEN('Raw Data'!K116)&lt;7,SUBSTITUTE('Raw Data'!K116," ",":",1),'Raw Data'!K116))</f>
        <v>rise 1 foot</v>
      </c>
      <c r="L116" t="str">
        <f>IF('Raw Data'!L116="","",'Raw Data'!L116)</f>
        <v/>
      </c>
      <c r="M116">
        <f>IF('Raw Data'!M116="","",'Raw Data'!M116)</f>
        <v>16.8</v>
      </c>
      <c r="N116">
        <f>IF('Raw Data'!N116="","",IF('Raw Data'!N116="-",0,'Raw Data'!N116))</f>
        <v>1</v>
      </c>
      <c r="O116">
        <f>IF('Raw Data'!O116="","",'Raw Data'!O116)</f>
        <v>7.1</v>
      </c>
      <c r="P116" t="str">
        <f>IF('Raw Data'!P116="","",'Raw Data'!P116)</f>
        <v/>
      </c>
      <c r="Q116" t="str">
        <f t="shared" si="37"/>
        <v xml:space="preserve"> </v>
      </c>
      <c r="R116" s="3" t="str">
        <f t="shared" si="49"/>
        <v>-</v>
      </c>
      <c r="S116" s="3">
        <f t="shared" si="50"/>
        <v>339</v>
      </c>
      <c r="T116" s="3">
        <f t="shared" si="51"/>
        <v>159</v>
      </c>
      <c r="U116" s="12">
        <f>ASIN(N116/J116)*180/PI()</f>
        <v>3.3664606634298013</v>
      </c>
      <c r="W116" s="4">
        <f t="shared" si="43"/>
        <v>17</v>
      </c>
      <c r="X116" s="4">
        <f t="shared" si="44"/>
        <v>1.0000000000000002</v>
      </c>
      <c r="Y116" s="3">
        <f t="shared" si="39"/>
        <v>159</v>
      </c>
    </row>
    <row r="117" spans="1:25" x14ac:dyDescent="0.25">
      <c r="A117">
        <f>IF('Raw Data'!A117="","",'Raw Data'!A117)</f>
        <v>34</v>
      </c>
      <c r="B117">
        <f>IF('Raw Data'!B117="","",'Raw Data'!B117)</f>
        <v>35</v>
      </c>
      <c r="C117">
        <f>IF('Raw Data'!C117="","",'Raw Data'!C117)</f>
        <v>3</v>
      </c>
      <c r="D117">
        <f>IF('Raw Data'!D117="","",'Raw Data'!D117)</f>
        <v>2</v>
      </c>
      <c r="E117">
        <f>IF('Raw Data'!E117="","",'Raw Data'!E117)</f>
        <v>2</v>
      </c>
      <c r="F117" t="str">
        <f>IF('Raw Data'!F117="","",'Raw Data'!F117)</f>
        <v>/</v>
      </c>
      <c r="G117" s="7" t="str">
        <f>IF('Raw Data'!G117="","",SUBSTITUTE('Raw Data'!G117," ",":",1))</f>
        <v>-</v>
      </c>
      <c r="H117" s="7" t="str">
        <f>IF('Raw Data'!H117="","",SUBSTITUTE('Raw Data'!H117," ",":",1))</f>
        <v>341:00</v>
      </c>
      <c r="I117" s="7" t="str">
        <f>IF('Raw Data'!I117="","",SUBSTITUTE('Raw Data'!I117," ",":",1))</f>
        <v>161:00</v>
      </c>
      <c r="J117" s="8">
        <f>IF('Raw Data'!J117="","",IF(LEN(K117)&gt;6,SQRT('Raw Data'!J117^2+N117^2),'Raw Data'!J117))</f>
        <v>13.9</v>
      </c>
      <c r="K117" s="7" t="str">
        <f>IF('Raw Data'!K117="","",IF(LEN('Raw Data'!K117)&lt;7,SUBSTITUTE('Raw Data'!K117," ",":",1),'Raw Data'!K117))</f>
        <v>-12:30</v>
      </c>
      <c r="L117" t="str">
        <f>IF('Raw Data'!L117="","",'Raw Data'!L117)</f>
        <v/>
      </c>
      <c r="M117">
        <f>IF('Raw Data'!M117="","",'Raw Data'!M117)</f>
        <v>13.7</v>
      </c>
      <c r="N117">
        <f>IF('Raw Data'!N117="","",IF('Raw Data'!N117="-",0,'Raw Data'!N117))</f>
        <v>-3</v>
      </c>
      <c r="O117">
        <f>IF('Raw Data'!O117="","",'Raw Data'!O117)</f>
        <v>8.1</v>
      </c>
      <c r="P117" t="str">
        <f>IF('Raw Data'!P117="","",'Raw Data'!P117)</f>
        <v>35 = A on p.25 = Big rock by D on p.46 (Top of)</v>
      </c>
      <c r="Q117" t="str">
        <f t="shared" si="37"/>
        <v xml:space="preserve"> </v>
      </c>
      <c r="R117" s="3" t="str">
        <f t="shared" si="49"/>
        <v>-</v>
      </c>
      <c r="S117" s="3">
        <f t="shared" si="50"/>
        <v>341</v>
      </c>
      <c r="T117" s="3">
        <f t="shared" si="51"/>
        <v>161</v>
      </c>
      <c r="U117" s="3">
        <f t="shared" si="45"/>
        <v>-12.5</v>
      </c>
      <c r="W117" s="4">
        <f t="shared" si="43"/>
        <v>13.570514498967075</v>
      </c>
      <c r="X117" s="4">
        <f t="shared" si="44"/>
        <v>-3.0085106337396299</v>
      </c>
      <c r="Y117" s="3">
        <f t="shared" si="39"/>
        <v>161</v>
      </c>
    </row>
    <row r="118" spans="1:25" x14ac:dyDescent="0.25">
      <c r="A118">
        <f>IF('Raw Data'!A118="","",'Raw Data'!A118)</f>
        <v>35</v>
      </c>
      <c r="B118" t="str">
        <f>IF('Raw Data'!B118="","",'Raw Data'!B118)</f>
        <v/>
      </c>
      <c r="C118" t="str">
        <f>IF('Raw Data'!C118="","",'Raw Data'!C118)</f>
        <v/>
      </c>
      <c r="D118" t="str">
        <f>IF('Raw Data'!D118="","",'Raw Data'!D118)</f>
        <v/>
      </c>
      <c r="E118" t="str">
        <f>IF('Raw Data'!E118="","",'Raw Data'!E118)</f>
        <v/>
      </c>
      <c r="F118" t="str">
        <f>IF('Raw Data'!F118="","",'Raw Data'!F118)</f>
        <v/>
      </c>
      <c r="G118" s="7" t="str">
        <f>IF('Raw Data'!G118="","",SUBSTITUTE('Raw Data'!G118," ",":",1))</f>
        <v/>
      </c>
      <c r="H118" s="7" t="str">
        <f>IF('Raw Data'!H118="","",SUBSTITUTE('Raw Data'!H118," ",":",1))</f>
        <v/>
      </c>
      <c r="I118" s="7" t="str">
        <f>IF('Raw Data'!I118="","",SUBSTITUTE('Raw Data'!I118," ",":",1))</f>
        <v/>
      </c>
      <c r="J118" s="8" t="str">
        <f>IF('Raw Data'!J118="","",IF(LEN(K118)&gt;6,SQRT('Raw Data'!J118^2+N118^2),'Raw Data'!J118))</f>
        <v/>
      </c>
      <c r="K118" s="7" t="str">
        <f>IF('Raw Data'!K118="","",IF(LEN('Raw Data'!K118)&lt;7,SUBSTITUTE('Raw Data'!K118," ",":",1),'Raw Data'!K118))</f>
        <v/>
      </c>
      <c r="L118" t="str">
        <f>IF('Raw Data'!L118="","",'Raw Data'!L118)</f>
        <v/>
      </c>
      <c r="M118" t="str">
        <f>IF('Raw Data'!M118="","",'Raw Data'!M118)</f>
        <v/>
      </c>
      <c r="N118" t="str">
        <f>IF('Raw Data'!N118="","",IF('Raw Data'!N118="-",0,'Raw Data'!N118))</f>
        <v/>
      </c>
      <c r="O118">
        <f>IF('Raw Data'!O118="","",'Raw Data'!O118)</f>
        <v>5.0999999999999996</v>
      </c>
      <c r="P118" t="str">
        <f>IF('Raw Data'!P118="","",'Raw Data'!P118)</f>
        <v>Total = 2,642'</v>
      </c>
      <c r="Q118" t="str">
        <f t="shared" si="37"/>
        <v xml:space="preserve"> </v>
      </c>
      <c r="W118" s="4"/>
      <c r="X118" s="4"/>
      <c r="Y118" s="3"/>
    </row>
    <row r="119" spans="1:25" x14ac:dyDescent="0.25">
      <c r="A119">
        <f>IF('Raw Data'!A119="","",'Raw Data'!A119)</f>
        <v>35</v>
      </c>
      <c r="B119" t="str">
        <f>IF('Raw Data'!B119="","",'Raw Data'!B119)</f>
        <v>e</v>
      </c>
      <c r="C119" t="str">
        <f>IF('Raw Data'!C119="","",'Raw Data'!C119)</f>
        <v/>
      </c>
      <c r="D119" t="str">
        <f>IF('Raw Data'!D119="","",'Raw Data'!D119)</f>
        <v/>
      </c>
      <c r="E119" t="str">
        <f>IF('Raw Data'!E119="","",'Raw Data'!E119)</f>
        <v/>
      </c>
      <c r="F119" t="str">
        <f>IF('Raw Data'!F119="","",'Raw Data'!F119)</f>
        <v/>
      </c>
      <c r="G119" s="7">
        <v>234</v>
      </c>
      <c r="H119" s="7" t="s">
        <v>16</v>
      </c>
      <c r="I119" s="7" t="str">
        <f>IF('Raw Data'!I119="","",SUBSTITUTE('Raw Data'!I119," ",":",1))</f>
        <v>234</v>
      </c>
      <c r="J119" s="8">
        <f>IF('Raw Data'!J119="","",IF(LEN(K119)&gt;6,SQRT('Raw Data'!J119^2+N119^2),'Raw Data'!J119))</f>
        <v>18</v>
      </c>
      <c r="K119" s="7" t="str">
        <f>IF('Raw Data'!K119="","",IF(LEN('Raw Data'!K119)&lt;7,SUBSTITUTE('Raw Data'!K119," ",":",1),'Raw Data'!K119))</f>
        <v>45</v>
      </c>
      <c r="L119" t="str">
        <f>IF('Raw Data'!L119="","",'Raw Data'!L119)</f>
        <v/>
      </c>
      <c r="M119">
        <f>IF('Raw Data'!M119="","",'Raw Data'!M119)</f>
        <v>12.7</v>
      </c>
      <c r="N119">
        <f>IF('Raw Data'!N119="","",IF('Raw Data'!N119="-",0,'Raw Data'!N119))</f>
        <v>12.7</v>
      </c>
      <c r="O119" t="str">
        <f>IF('Raw Data'!O119="","",'Raw Data'!O119)</f>
        <v/>
      </c>
      <c r="P119" t="str">
        <f>IF('Raw Data'!P119="","",'Raw Data'!P119)</f>
        <v>(e) is where passage rejoins streamway. Stn 35 (p.52)-(e) is F.S. 234 (TRUE), Dist 18', Clino +45 (deg), HD 12.7, VD +12.7</v>
      </c>
      <c r="Q119" t="str">
        <f t="shared" si="37"/>
        <v xml:space="preserve"> </v>
      </c>
      <c r="R119" s="3">
        <f t="shared" si="49"/>
        <v>234</v>
      </c>
      <c r="S119" s="3" t="str">
        <f t="shared" si="50"/>
        <v>-</v>
      </c>
      <c r="T119" s="3">
        <f t="shared" si="51"/>
        <v>234</v>
      </c>
      <c r="U119" s="3" t="str">
        <f t="shared" si="45"/>
        <v>45</v>
      </c>
      <c r="W119" s="4">
        <f t="shared" si="43"/>
        <v>12.727922061357857</v>
      </c>
      <c r="X119" s="4">
        <f t="shared" si="44"/>
        <v>12.727922061357855</v>
      </c>
      <c r="Y119" s="3">
        <f t="shared" si="39"/>
        <v>234</v>
      </c>
    </row>
    <row r="120" spans="1:25" x14ac:dyDescent="0.25">
      <c r="G120" s="7"/>
      <c r="H120" s="7"/>
      <c r="I120" s="7"/>
      <c r="K120" s="7"/>
      <c r="W120" s="4"/>
      <c r="X120" s="4"/>
    </row>
    <row r="121" spans="1:25" x14ac:dyDescent="0.25">
      <c r="G121" s="7"/>
      <c r="H121" s="7"/>
      <c r="I121" s="7"/>
      <c r="K121" s="7"/>
      <c r="W121" s="4"/>
      <c r="X121" s="4"/>
    </row>
    <row r="122" spans="1:25" x14ac:dyDescent="0.25">
      <c r="G122" s="7"/>
      <c r="H122" s="7"/>
      <c r="I122" s="7"/>
      <c r="K122" s="7"/>
      <c r="W122" s="4"/>
      <c r="X122" s="4"/>
    </row>
    <row r="123" spans="1:25" x14ac:dyDescent="0.25">
      <c r="G123" s="7"/>
      <c r="H123" s="7"/>
      <c r="I123" s="7"/>
      <c r="K123" s="7"/>
      <c r="W123" s="4"/>
      <c r="X123" s="4"/>
    </row>
    <row r="124" spans="1:25" x14ac:dyDescent="0.25">
      <c r="G124" s="7"/>
      <c r="H124" s="7"/>
      <c r="I124" s="7"/>
      <c r="K124" s="7"/>
      <c r="W124" s="4"/>
      <c r="X124" s="4"/>
    </row>
    <row r="125" spans="1:25" x14ac:dyDescent="0.25">
      <c r="G125" s="7"/>
      <c r="H125" s="7"/>
      <c r="I125" s="7"/>
      <c r="K125" s="7"/>
      <c r="W125" s="4"/>
      <c r="X125" s="4"/>
    </row>
    <row r="126" spans="1:25" x14ac:dyDescent="0.25">
      <c r="G126" s="7"/>
      <c r="H126" s="7"/>
      <c r="I126" s="7"/>
      <c r="K126" s="7"/>
      <c r="W126" s="4"/>
      <c r="X126" s="4"/>
    </row>
    <row r="127" spans="1:25" x14ac:dyDescent="0.25">
      <c r="G127" s="7"/>
      <c r="H127" s="7"/>
      <c r="I127" s="7"/>
      <c r="K127" s="7"/>
      <c r="W127" s="4"/>
      <c r="X127" s="4"/>
    </row>
    <row r="128" spans="1:25" x14ac:dyDescent="0.25">
      <c r="G128" s="7"/>
      <c r="H128" s="7"/>
      <c r="I128" s="7"/>
      <c r="K128" s="7"/>
      <c r="W128" s="4"/>
      <c r="X128" s="4"/>
    </row>
    <row r="129" spans="7:24" x14ac:dyDescent="0.25">
      <c r="G129" s="7"/>
      <c r="H129" s="7"/>
      <c r="I129" s="7"/>
      <c r="K129" s="7"/>
      <c r="W129" s="4"/>
      <c r="X129" s="4"/>
    </row>
    <row r="130" spans="7:24" x14ac:dyDescent="0.25">
      <c r="G130" s="7"/>
      <c r="H130" s="7"/>
      <c r="I130" s="7"/>
      <c r="K130" s="7"/>
      <c r="W130" s="4"/>
      <c r="X130" s="4"/>
    </row>
    <row r="131" spans="7:24" x14ac:dyDescent="0.25">
      <c r="G131" s="7"/>
      <c r="H131" s="7"/>
      <c r="I131" s="7"/>
      <c r="K131" s="7"/>
      <c r="W131" s="4"/>
      <c r="X131" s="4"/>
    </row>
    <row r="132" spans="7:24" x14ac:dyDescent="0.25">
      <c r="G132" s="7"/>
      <c r="H132" s="7"/>
      <c r="I132" s="7"/>
      <c r="K132" s="7"/>
      <c r="W132" s="4"/>
      <c r="X132" s="4"/>
    </row>
    <row r="133" spans="7:24" x14ac:dyDescent="0.25">
      <c r="G133" s="7"/>
      <c r="H133" s="7"/>
      <c r="I133" s="7"/>
      <c r="K133" s="7"/>
      <c r="W133" s="4"/>
      <c r="X133" s="4"/>
    </row>
    <row r="134" spans="7:24" x14ac:dyDescent="0.25">
      <c r="G134" s="7"/>
      <c r="H134" s="7"/>
      <c r="I134" s="7"/>
      <c r="K134" s="7"/>
      <c r="W134" s="4"/>
      <c r="X134" s="4"/>
    </row>
    <row r="135" spans="7:24" x14ac:dyDescent="0.25">
      <c r="G135" s="7"/>
      <c r="H135" s="7"/>
      <c r="I135" s="7"/>
      <c r="K135" s="7"/>
      <c r="W135" s="4"/>
      <c r="X135" s="4"/>
    </row>
    <row r="136" spans="7:24" x14ac:dyDescent="0.25">
      <c r="G136" s="7"/>
      <c r="H136" s="7"/>
      <c r="I136" s="7"/>
      <c r="K136" s="7"/>
      <c r="W136" s="4"/>
      <c r="X136" s="4"/>
    </row>
    <row r="137" spans="7:24" x14ac:dyDescent="0.25">
      <c r="G137" s="7"/>
      <c r="H137" s="7"/>
      <c r="I137" s="7"/>
      <c r="K137" s="7"/>
      <c r="W137" s="4"/>
      <c r="X137" s="4"/>
    </row>
    <row r="138" spans="7:24" x14ac:dyDescent="0.25">
      <c r="G138" s="7"/>
      <c r="H138" s="7"/>
      <c r="I138" s="7"/>
      <c r="K138" s="7"/>
      <c r="W138" s="4"/>
      <c r="X138" s="4"/>
    </row>
    <row r="139" spans="7:24" x14ac:dyDescent="0.25">
      <c r="G139" s="7"/>
      <c r="H139" s="7"/>
      <c r="I139" s="7"/>
      <c r="K139" s="7"/>
      <c r="W139" s="4"/>
      <c r="X139" s="4"/>
    </row>
    <row r="140" spans="7:24" x14ac:dyDescent="0.25">
      <c r="G140" s="7"/>
      <c r="H140" s="7"/>
      <c r="I140" s="7"/>
      <c r="K140" s="7"/>
      <c r="W140" s="4"/>
      <c r="X140" s="4"/>
    </row>
    <row r="141" spans="7:24" x14ac:dyDescent="0.25">
      <c r="G141" s="7"/>
      <c r="H141" s="7"/>
      <c r="I141" s="7"/>
      <c r="K141" s="7"/>
      <c r="W141" s="4"/>
      <c r="X141" s="4"/>
    </row>
    <row r="142" spans="7:24" x14ac:dyDescent="0.25">
      <c r="G142" s="7"/>
      <c r="H142" s="7"/>
      <c r="I142" s="7"/>
      <c r="K142" s="7"/>
      <c r="W142" s="4"/>
      <c r="X142" s="4"/>
    </row>
    <row r="143" spans="7:24" x14ac:dyDescent="0.25">
      <c r="G143" s="7"/>
      <c r="H143" s="7"/>
      <c r="I143" s="7"/>
      <c r="K143" s="7"/>
      <c r="W143" s="4"/>
      <c r="X143" s="4"/>
    </row>
    <row r="144" spans="7:24" x14ac:dyDescent="0.25">
      <c r="G144" s="7"/>
      <c r="H144" s="7"/>
      <c r="I144" s="7"/>
      <c r="K144" s="7"/>
      <c r="W144" s="4"/>
      <c r="X144" s="4"/>
    </row>
    <row r="145" spans="7:24" x14ac:dyDescent="0.25">
      <c r="G145" s="7"/>
      <c r="H145" s="7"/>
      <c r="I145" s="7"/>
      <c r="K145" s="7"/>
      <c r="W145" s="4"/>
      <c r="X145" s="4"/>
    </row>
    <row r="146" spans="7:24" x14ac:dyDescent="0.25">
      <c r="G146" s="7"/>
      <c r="H146" s="7"/>
      <c r="I146" s="7"/>
      <c r="K146" s="7"/>
      <c r="W146" s="4"/>
      <c r="X146" s="4"/>
    </row>
    <row r="147" spans="7:24" x14ac:dyDescent="0.25">
      <c r="G147" s="7"/>
      <c r="H147" s="7"/>
      <c r="I147" s="7"/>
      <c r="K147" s="7"/>
      <c r="W147" s="4"/>
      <c r="X147" s="4"/>
    </row>
    <row r="148" spans="7:24" x14ac:dyDescent="0.25">
      <c r="G148" s="7"/>
      <c r="H148" s="7"/>
      <c r="I148" s="7"/>
      <c r="K148" s="7"/>
      <c r="W148" s="4"/>
      <c r="X148" s="4"/>
    </row>
    <row r="149" spans="7:24" x14ac:dyDescent="0.25">
      <c r="G149" s="7"/>
      <c r="H149" s="7"/>
      <c r="I149" s="7"/>
      <c r="K149" s="7"/>
      <c r="W149" s="4"/>
      <c r="X149" s="4"/>
    </row>
    <row r="150" spans="7:24" x14ac:dyDescent="0.25">
      <c r="G150" s="7"/>
      <c r="H150" s="7"/>
      <c r="I150" s="7"/>
      <c r="K150" s="7"/>
      <c r="W150" s="4"/>
      <c r="X150" s="4"/>
    </row>
    <row r="151" spans="7:24" x14ac:dyDescent="0.25">
      <c r="G151" s="7"/>
      <c r="H151" s="7"/>
      <c r="I151" s="7"/>
      <c r="K151" s="7"/>
      <c r="W151" s="4"/>
      <c r="X151" s="4"/>
    </row>
    <row r="152" spans="7:24" x14ac:dyDescent="0.25">
      <c r="G152" s="7"/>
      <c r="H152" s="7"/>
      <c r="I152" s="7"/>
      <c r="K152" s="7"/>
      <c r="W152" s="4"/>
      <c r="X152" s="4"/>
    </row>
    <row r="153" spans="7:24" x14ac:dyDescent="0.25">
      <c r="G153" s="7"/>
      <c r="H153" s="7"/>
      <c r="I153" s="7"/>
      <c r="K153" s="7"/>
      <c r="W153" s="4"/>
      <c r="X153" s="4"/>
    </row>
    <row r="154" spans="7:24" x14ac:dyDescent="0.25">
      <c r="G154" s="7"/>
      <c r="H154" s="7"/>
      <c r="I154" s="7"/>
      <c r="K154" s="7"/>
      <c r="W154" s="4"/>
      <c r="X154" s="4"/>
    </row>
    <row r="155" spans="7:24" x14ac:dyDescent="0.25">
      <c r="G155" s="7"/>
      <c r="H155" s="7"/>
      <c r="I155" s="7"/>
      <c r="K155" s="7"/>
      <c r="W155" s="4"/>
      <c r="X155" s="4"/>
    </row>
    <row r="156" spans="7:24" x14ac:dyDescent="0.25">
      <c r="G156" s="7"/>
      <c r="H156" s="7"/>
      <c r="I156" s="7"/>
      <c r="K156" s="7"/>
      <c r="W156" s="4"/>
      <c r="X156" s="4"/>
    </row>
    <row r="157" spans="7:24" x14ac:dyDescent="0.25">
      <c r="G157" s="7"/>
      <c r="H157" s="7"/>
      <c r="I157" s="7"/>
      <c r="K157" s="7"/>
      <c r="W157" s="4"/>
      <c r="X157" s="4"/>
    </row>
    <row r="158" spans="7:24" x14ac:dyDescent="0.25">
      <c r="G158" s="7"/>
      <c r="H158" s="7"/>
      <c r="I158" s="7"/>
      <c r="K158" s="7"/>
      <c r="W158" s="4"/>
      <c r="X158" s="4"/>
    </row>
    <row r="159" spans="7:24" x14ac:dyDescent="0.25">
      <c r="G159" s="7"/>
      <c r="H159" s="7"/>
      <c r="I159" s="7"/>
      <c r="K159" s="7"/>
      <c r="W159" s="4"/>
      <c r="X159" s="4"/>
    </row>
    <row r="160" spans="7:24" x14ac:dyDescent="0.25">
      <c r="G160" s="7"/>
      <c r="H160" s="7"/>
      <c r="I160" s="7"/>
      <c r="K160" s="7"/>
      <c r="W160" s="4"/>
      <c r="X160" s="4"/>
    </row>
    <row r="161" spans="7:24" x14ac:dyDescent="0.25">
      <c r="G161" s="7"/>
      <c r="H161" s="7"/>
      <c r="I161" s="7"/>
      <c r="K161" s="7"/>
      <c r="W161" s="4"/>
      <c r="X161" s="4"/>
    </row>
    <row r="162" spans="7:24" x14ac:dyDescent="0.25">
      <c r="G162" s="7"/>
      <c r="H162" s="7"/>
      <c r="I162" s="7"/>
      <c r="K162" s="7"/>
      <c r="W162" s="4"/>
      <c r="X162" s="4"/>
    </row>
    <row r="163" spans="7:24" x14ac:dyDescent="0.25">
      <c r="G163" s="7"/>
      <c r="H163" s="7"/>
      <c r="I163" s="7"/>
      <c r="K163" s="7"/>
      <c r="W163" s="4"/>
      <c r="X163" s="4"/>
    </row>
    <row r="164" spans="7:24" x14ac:dyDescent="0.25">
      <c r="G164" s="7"/>
      <c r="H164" s="7"/>
      <c r="I164" s="7"/>
      <c r="K164" s="7"/>
      <c r="W164" s="4"/>
      <c r="X164" s="4"/>
    </row>
    <row r="165" spans="7:24" x14ac:dyDescent="0.25">
      <c r="G165" s="7"/>
      <c r="H165" s="7"/>
      <c r="I165" s="7"/>
      <c r="K165" s="7"/>
      <c r="W165" s="4"/>
      <c r="X165" s="4"/>
    </row>
    <row r="166" spans="7:24" x14ac:dyDescent="0.25">
      <c r="G166" s="7"/>
      <c r="H166" s="7"/>
      <c r="I166" s="7"/>
      <c r="K166" s="7"/>
      <c r="W166" s="4"/>
      <c r="X166" s="4"/>
    </row>
    <row r="167" spans="7:24" x14ac:dyDescent="0.25">
      <c r="G167" s="7"/>
      <c r="H167" s="7"/>
      <c r="I167" s="7"/>
      <c r="K167" s="7"/>
      <c r="W167" s="4"/>
      <c r="X167" s="4"/>
    </row>
    <row r="168" spans="7:24" x14ac:dyDescent="0.25">
      <c r="G168" s="7"/>
      <c r="H168" s="7"/>
      <c r="I168" s="7"/>
      <c r="K168" s="7"/>
      <c r="W168" s="4"/>
      <c r="X168" s="4"/>
    </row>
    <row r="169" spans="7:24" x14ac:dyDescent="0.25">
      <c r="G169" s="7"/>
      <c r="H169" s="7"/>
      <c r="I169" s="7"/>
      <c r="K169" s="7"/>
      <c r="W169" s="4"/>
      <c r="X169" s="4"/>
    </row>
    <row r="170" spans="7:24" x14ac:dyDescent="0.25">
      <c r="G170" s="7"/>
      <c r="H170" s="7"/>
      <c r="I170" s="7"/>
      <c r="K170" s="7"/>
      <c r="W170" s="4"/>
      <c r="X170" s="4"/>
    </row>
    <row r="171" spans="7:24" x14ac:dyDescent="0.25">
      <c r="G171" s="7"/>
      <c r="H171" s="7"/>
      <c r="I171" s="7"/>
      <c r="K171" s="7"/>
      <c r="W171" s="4"/>
      <c r="X171" s="4"/>
    </row>
    <row r="172" spans="7:24" x14ac:dyDescent="0.25">
      <c r="G172" s="7"/>
      <c r="H172" s="7"/>
      <c r="I172" s="7"/>
      <c r="K172" s="7"/>
      <c r="W172" s="4"/>
      <c r="X172" s="4"/>
    </row>
    <row r="173" spans="7:24" x14ac:dyDescent="0.25">
      <c r="G173" s="7"/>
      <c r="H173" s="7"/>
      <c r="I173" s="7"/>
      <c r="K173" s="7"/>
      <c r="W173" s="4"/>
      <c r="X173" s="4"/>
    </row>
    <row r="174" spans="7:24" x14ac:dyDescent="0.25">
      <c r="G174" s="7"/>
      <c r="H174" s="7"/>
      <c r="I174" s="7"/>
      <c r="K174" s="7"/>
      <c r="W174" s="4"/>
      <c r="X174" s="4"/>
    </row>
    <row r="175" spans="7:24" x14ac:dyDescent="0.25">
      <c r="G175" s="7"/>
      <c r="H175" s="7"/>
      <c r="I175" s="7"/>
      <c r="K175" s="7"/>
      <c r="W175" s="4"/>
      <c r="X175" s="4"/>
    </row>
    <row r="176" spans="7:24" x14ac:dyDescent="0.25">
      <c r="G176" s="7"/>
      <c r="H176" s="7"/>
      <c r="I176" s="7"/>
      <c r="K176" s="7"/>
      <c r="W176" s="4"/>
      <c r="X176" s="4"/>
    </row>
    <row r="177" spans="7:24" x14ac:dyDescent="0.25">
      <c r="G177" s="7"/>
      <c r="H177" s="7"/>
      <c r="I177" s="7"/>
      <c r="K177" s="7"/>
      <c r="W177" s="4"/>
      <c r="X177" s="4"/>
    </row>
    <row r="178" spans="7:24" x14ac:dyDescent="0.25">
      <c r="G178" s="7"/>
      <c r="H178" s="7"/>
      <c r="I178" s="7"/>
      <c r="K178" s="7"/>
      <c r="W178" s="4"/>
      <c r="X178" s="4"/>
    </row>
    <row r="179" spans="7:24" x14ac:dyDescent="0.25">
      <c r="G179" s="7"/>
      <c r="H179" s="7"/>
      <c r="I179" s="7"/>
      <c r="K179" s="7"/>
      <c r="W179" s="4"/>
      <c r="X179" s="4"/>
    </row>
    <row r="180" spans="7:24" x14ac:dyDescent="0.25">
      <c r="G180" s="7"/>
      <c r="H180" s="7"/>
      <c r="I180" s="7"/>
      <c r="K180" s="7"/>
      <c r="W180" s="4"/>
      <c r="X180" s="4"/>
    </row>
    <row r="181" spans="7:24" x14ac:dyDescent="0.25">
      <c r="G181" s="7"/>
      <c r="H181" s="7"/>
      <c r="I181" s="7"/>
      <c r="K181" s="7"/>
      <c r="W181" s="4"/>
      <c r="X181" s="4"/>
    </row>
    <row r="182" spans="7:24" x14ac:dyDescent="0.25">
      <c r="G182" s="7"/>
      <c r="H182" s="7"/>
      <c r="I182" s="7"/>
      <c r="K182" s="7"/>
      <c r="W182" s="4"/>
      <c r="X182" s="4"/>
    </row>
    <row r="183" spans="7:24" x14ac:dyDescent="0.25">
      <c r="G183" s="7"/>
      <c r="H183" s="7"/>
      <c r="I183" s="7"/>
      <c r="K183" s="7"/>
      <c r="W183" s="4"/>
      <c r="X183" s="4"/>
    </row>
    <row r="184" spans="7:24" x14ac:dyDescent="0.25">
      <c r="G184" s="7"/>
      <c r="H184" s="7"/>
      <c r="I184" s="7"/>
      <c r="K184" s="7"/>
      <c r="W184" s="4"/>
      <c r="X184" s="4"/>
    </row>
    <row r="185" spans="7:24" x14ac:dyDescent="0.25">
      <c r="G185" s="7"/>
      <c r="H185" s="7"/>
      <c r="I185" s="7"/>
      <c r="K185" s="7"/>
      <c r="W185" s="4"/>
      <c r="X185" s="4"/>
    </row>
    <row r="186" spans="7:24" x14ac:dyDescent="0.25">
      <c r="G186" s="7"/>
      <c r="H186" s="7"/>
      <c r="I186" s="7"/>
      <c r="K186" s="7"/>
      <c r="W186" s="4"/>
      <c r="X186" s="4"/>
    </row>
    <row r="187" spans="7:24" x14ac:dyDescent="0.25">
      <c r="G187" s="7"/>
      <c r="H187" s="7"/>
      <c r="I187" s="7"/>
      <c r="K187" s="7"/>
      <c r="W187" s="4"/>
      <c r="X187" s="4"/>
    </row>
    <row r="188" spans="7:24" x14ac:dyDescent="0.25">
      <c r="G188" s="7"/>
      <c r="H188" s="7"/>
      <c r="I188" s="7"/>
      <c r="K188" s="7"/>
      <c r="W188" s="4"/>
      <c r="X188" s="4"/>
    </row>
    <row r="189" spans="7:24" x14ac:dyDescent="0.25">
      <c r="G189" s="7"/>
      <c r="H189" s="7"/>
      <c r="I189" s="7"/>
      <c r="K189" s="7"/>
      <c r="W189" s="4"/>
      <c r="X189" s="4"/>
    </row>
    <row r="190" spans="7:24" x14ac:dyDescent="0.25">
      <c r="G190" s="7"/>
      <c r="H190" s="7"/>
      <c r="I190" s="7"/>
      <c r="K190" s="7"/>
      <c r="W190" s="4"/>
      <c r="X190" s="4"/>
    </row>
    <row r="191" spans="7:24" x14ac:dyDescent="0.25">
      <c r="G191" s="7"/>
      <c r="H191" s="7"/>
      <c r="I191" s="7"/>
      <c r="K191" s="7"/>
      <c r="W191" s="4"/>
      <c r="X191" s="4"/>
    </row>
    <row r="192" spans="7:24" x14ac:dyDescent="0.25">
      <c r="G192" s="7"/>
      <c r="H192" s="7"/>
      <c r="I192" s="7"/>
      <c r="K192" s="7"/>
      <c r="W192" s="4"/>
      <c r="X192" s="4"/>
    </row>
    <row r="193" spans="7:24" x14ac:dyDescent="0.25">
      <c r="G193" s="7"/>
      <c r="H193" s="7"/>
      <c r="I193" s="7"/>
      <c r="K193" s="7"/>
      <c r="W193" s="4"/>
      <c r="X193" s="4"/>
    </row>
    <row r="194" spans="7:24" x14ac:dyDescent="0.25">
      <c r="G194" s="7"/>
      <c r="H194" s="7"/>
      <c r="I194" s="7"/>
      <c r="K194" s="7"/>
      <c r="W194" s="4"/>
      <c r="X194" s="4"/>
    </row>
    <row r="195" spans="7:24" x14ac:dyDescent="0.25">
      <c r="G195" s="7"/>
      <c r="H195" s="7"/>
      <c r="I195" s="7"/>
      <c r="K195" s="7"/>
      <c r="W195" s="4"/>
      <c r="X195" s="4"/>
    </row>
    <row r="196" spans="7:24" x14ac:dyDescent="0.25">
      <c r="G196" s="7"/>
      <c r="H196" s="7"/>
      <c r="I196" s="7"/>
      <c r="K196" s="7"/>
      <c r="W196" s="4"/>
      <c r="X196" s="4"/>
    </row>
    <row r="197" spans="7:24" x14ac:dyDescent="0.25">
      <c r="G197" s="7"/>
      <c r="H197" s="7"/>
      <c r="I197" s="7"/>
      <c r="K197" s="7"/>
      <c r="W197" s="4"/>
      <c r="X197" s="4"/>
    </row>
    <row r="198" spans="7:24" x14ac:dyDescent="0.25">
      <c r="G198" s="7"/>
      <c r="H198" s="7"/>
      <c r="I198" s="7"/>
      <c r="K198" s="7"/>
      <c r="W198" s="4"/>
      <c r="X198" s="4"/>
    </row>
    <row r="199" spans="7:24" x14ac:dyDescent="0.25">
      <c r="G199" s="7"/>
      <c r="H199" s="7"/>
      <c r="I199" s="7"/>
      <c r="K199" s="7"/>
      <c r="W199" s="4"/>
      <c r="X199" s="4"/>
    </row>
    <row r="200" spans="7:24" x14ac:dyDescent="0.25">
      <c r="G200" s="7"/>
      <c r="H200" s="7"/>
      <c r="I200" s="7"/>
      <c r="K200" s="7"/>
      <c r="W200" s="4"/>
      <c r="X200" s="4"/>
    </row>
    <row r="201" spans="7:24" x14ac:dyDescent="0.25">
      <c r="G201" s="7"/>
      <c r="H201" s="7"/>
      <c r="I201" s="7"/>
      <c r="K201" s="7"/>
      <c r="W201" s="4"/>
      <c r="X201" s="4"/>
    </row>
    <row r="202" spans="7:24" x14ac:dyDescent="0.25">
      <c r="G202" s="7"/>
      <c r="H202" s="7"/>
      <c r="I202" s="7"/>
      <c r="K202" s="7"/>
      <c r="W202" s="4"/>
      <c r="X202" s="4"/>
    </row>
    <row r="203" spans="7:24" x14ac:dyDescent="0.25">
      <c r="G203" s="7"/>
      <c r="H203" s="7"/>
      <c r="I203" s="7"/>
      <c r="K203" s="7"/>
      <c r="W203" s="4"/>
      <c r="X203" s="4"/>
    </row>
    <row r="204" spans="7:24" x14ac:dyDescent="0.25">
      <c r="G204" s="7"/>
      <c r="H204" s="7"/>
      <c r="I204" s="7"/>
      <c r="K204" s="7"/>
      <c r="W204" s="4"/>
      <c r="X204" s="4"/>
    </row>
    <row r="205" spans="7:24" x14ac:dyDescent="0.25">
      <c r="G205" s="7"/>
      <c r="H205" s="7"/>
      <c r="I205" s="7"/>
      <c r="K205" s="7"/>
      <c r="W205" s="4"/>
      <c r="X205" s="4"/>
    </row>
    <row r="206" spans="7:24" x14ac:dyDescent="0.25">
      <c r="G206" s="7"/>
      <c r="H206" s="7"/>
      <c r="I206" s="7"/>
      <c r="K206" s="7"/>
      <c r="W206" s="4"/>
      <c r="X206" s="4"/>
    </row>
    <row r="207" spans="7:24" x14ac:dyDescent="0.25">
      <c r="G207" s="7"/>
      <c r="H207" s="7"/>
      <c r="I207" s="7"/>
      <c r="K207" s="7"/>
      <c r="W207" s="4"/>
      <c r="X207" s="4"/>
    </row>
    <row r="208" spans="7:24" x14ac:dyDescent="0.25">
      <c r="G208" s="7"/>
      <c r="H208" s="7"/>
      <c r="I208" s="7"/>
      <c r="K208" s="7"/>
      <c r="W208" s="4"/>
      <c r="X208" s="4"/>
    </row>
    <row r="209" spans="7:24" x14ac:dyDescent="0.25">
      <c r="G209" s="7"/>
      <c r="H209" s="7"/>
      <c r="I209" s="7"/>
      <c r="K209" s="7"/>
      <c r="W209" s="4"/>
      <c r="X209" s="4"/>
    </row>
    <row r="210" spans="7:24" x14ac:dyDescent="0.25">
      <c r="G210" s="7"/>
      <c r="H210" s="7"/>
      <c r="I210" s="7"/>
      <c r="K210" s="7"/>
      <c r="W210" s="4"/>
      <c r="X210" s="4"/>
    </row>
    <row r="211" spans="7:24" x14ac:dyDescent="0.25">
      <c r="G211" s="7"/>
      <c r="H211" s="7"/>
      <c r="I211" s="7"/>
      <c r="K211" s="7"/>
      <c r="W211" s="4"/>
      <c r="X211" s="4"/>
    </row>
    <row r="212" spans="7:24" x14ac:dyDescent="0.25">
      <c r="G212" s="7"/>
      <c r="H212" s="7"/>
      <c r="I212" s="7"/>
      <c r="K212" s="7"/>
      <c r="W212" s="4"/>
      <c r="X212" s="4"/>
    </row>
    <row r="213" spans="7:24" x14ac:dyDescent="0.25">
      <c r="G213" s="7"/>
      <c r="H213" s="7"/>
      <c r="I213" s="7"/>
      <c r="K213" s="7"/>
      <c r="W213" s="4"/>
      <c r="X213" s="4"/>
    </row>
    <row r="214" spans="7:24" x14ac:dyDescent="0.25">
      <c r="G214" s="7"/>
      <c r="H214" s="7"/>
      <c r="I214" s="7"/>
      <c r="K214" s="7"/>
      <c r="W214" s="4"/>
      <c r="X214" s="4"/>
    </row>
    <row r="215" spans="7:24" x14ac:dyDescent="0.25">
      <c r="G215" s="7"/>
      <c r="H215" s="7"/>
      <c r="I215" s="7"/>
      <c r="K215" s="7"/>
      <c r="W215" s="4"/>
      <c r="X215" s="4"/>
    </row>
    <row r="216" spans="7:24" x14ac:dyDescent="0.25">
      <c r="G216" s="7"/>
      <c r="H216" s="7"/>
      <c r="I216" s="7"/>
      <c r="K216" s="7"/>
      <c r="W216" s="4"/>
      <c r="X216" s="4"/>
    </row>
    <row r="217" spans="7:24" x14ac:dyDescent="0.25">
      <c r="G217" s="7"/>
      <c r="H217" s="7"/>
      <c r="I217" s="7"/>
      <c r="K217" s="7"/>
      <c r="W217" s="4"/>
      <c r="X217" s="4"/>
    </row>
    <row r="218" spans="7:24" x14ac:dyDescent="0.25">
      <c r="G218" s="7"/>
      <c r="H218" s="7"/>
      <c r="I218" s="7"/>
      <c r="K218" s="7"/>
      <c r="W218" s="4"/>
      <c r="X218" s="4"/>
    </row>
    <row r="219" spans="7:24" x14ac:dyDescent="0.25">
      <c r="G219" s="7"/>
      <c r="H219" s="7"/>
      <c r="I219" s="7"/>
      <c r="K219" s="7"/>
      <c r="W219" s="4"/>
      <c r="X219" s="4"/>
    </row>
    <row r="220" spans="7:24" x14ac:dyDescent="0.25">
      <c r="G220" s="7"/>
      <c r="H220" s="7"/>
      <c r="I220" s="7"/>
      <c r="K220" s="7"/>
      <c r="W220" s="4"/>
      <c r="X220" s="4"/>
    </row>
    <row r="221" spans="7:24" x14ac:dyDescent="0.25">
      <c r="G221" s="7"/>
      <c r="H221" s="7"/>
      <c r="I221" s="7"/>
      <c r="K221" s="7"/>
      <c r="W221" s="4"/>
      <c r="X221" s="4"/>
    </row>
    <row r="222" spans="7:24" x14ac:dyDescent="0.25">
      <c r="G222" s="7"/>
      <c r="H222" s="7"/>
      <c r="I222" s="7"/>
      <c r="K222" s="7"/>
      <c r="W222" s="4"/>
      <c r="X222" s="4"/>
    </row>
    <row r="223" spans="7:24" x14ac:dyDescent="0.25">
      <c r="G223" s="7"/>
      <c r="H223" s="7"/>
      <c r="I223" s="7"/>
      <c r="K223" s="7"/>
      <c r="W223" s="4"/>
      <c r="X223" s="4"/>
    </row>
    <row r="224" spans="7:24" x14ac:dyDescent="0.25">
      <c r="G224" s="7"/>
      <c r="H224" s="7"/>
      <c r="I224" s="7"/>
      <c r="K224" s="7"/>
      <c r="W224" s="4"/>
      <c r="X224" s="4"/>
    </row>
    <row r="225" spans="7:24" x14ac:dyDescent="0.25">
      <c r="G225" s="7"/>
      <c r="H225" s="7"/>
      <c r="I225" s="7"/>
      <c r="K225" s="7"/>
      <c r="W225" s="4"/>
      <c r="X225" s="4"/>
    </row>
    <row r="226" spans="7:24" x14ac:dyDescent="0.25">
      <c r="G226" s="7"/>
      <c r="H226" s="7"/>
      <c r="I226" s="7"/>
      <c r="K226" s="7"/>
      <c r="W226" s="4"/>
      <c r="X226" s="4"/>
    </row>
    <row r="227" spans="7:24" x14ac:dyDescent="0.25">
      <c r="G227" s="7"/>
      <c r="H227" s="7"/>
      <c r="I227" s="7"/>
      <c r="K227" s="7"/>
      <c r="W227" s="4"/>
      <c r="X227" s="4"/>
    </row>
    <row r="228" spans="7:24" x14ac:dyDescent="0.25">
      <c r="G228" s="7"/>
      <c r="H228" s="7"/>
      <c r="I228" s="7"/>
      <c r="K228" s="7"/>
      <c r="W228" s="4"/>
      <c r="X228" s="4"/>
    </row>
    <row r="229" spans="7:24" x14ac:dyDescent="0.25">
      <c r="G229" s="7"/>
      <c r="H229" s="7"/>
      <c r="I229" s="7"/>
      <c r="K229" s="7"/>
      <c r="W229" s="4"/>
      <c r="X229" s="4"/>
    </row>
    <row r="230" spans="7:24" x14ac:dyDescent="0.25">
      <c r="G230" s="7"/>
      <c r="H230" s="7"/>
      <c r="I230" s="7"/>
      <c r="K230" s="7"/>
      <c r="W230" s="4"/>
      <c r="X230" s="4"/>
    </row>
    <row r="231" spans="7:24" x14ac:dyDescent="0.25">
      <c r="G231" s="7"/>
      <c r="H231" s="7"/>
      <c r="I231" s="7"/>
      <c r="K231" s="7"/>
      <c r="W231" s="4"/>
      <c r="X231" s="4"/>
    </row>
    <row r="232" spans="7:24" x14ac:dyDescent="0.25">
      <c r="G232" s="7"/>
      <c r="H232" s="7"/>
      <c r="I232" s="7"/>
      <c r="K232" s="7"/>
      <c r="W232" s="4"/>
      <c r="X232" s="4"/>
    </row>
    <row r="233" spans="7:24" x14ac:dyDescent="0.25">
      <c r="G233" s="7"/>
      <c r="H233" s="7"/>
      <c r="I233" s="7"/>
      <c r="K233" s="7"/>
      <c r="W233" s="4"/>
      <c r="X233" s="4"/>
    </row>
    <row r="234" spans="7:24" x14ac:dyDescent="0.25">
      <c r="G234" s="7"/>
      <c r="H234" s="7"/>
      <c r="I234" s="7"/>
      <c r="K234" s="7"/>
      <c r="W234" s="4"/>
      <c r="X234" s="4"/>
    </row>
    <row r="235" spans="7:24" x14ac:dyDescent="0.25">
      <c r="G235" s="7"/>
      <c r="H235" s="7"/>
      <c r="I235" s="7"/>
      <c r="K235" s="7"/>
      <c r="W235" s="4"/>
      <c r="X235" s="4"/>
    </row>
    <row r="236" spans="7:24" x14ac:dyDescent="0.25">
      <c r="G236" s="7"/>
      <c r="H236" s="7"/>
      <c r="I236" s="7"/>
      <c r="K236" s="7"/>
      <c r="W236" s="4"/>
      <c r="X236" s="4"/>
    </row>
    <row r="237" spans="7:24" x14ac:dyDescent="0.25">
      <c r="G237" s="7"/>
      <c r="H237" s="7"/>
      <c r="I237" s="7"/>
      <c r="K237" s="7"/>
      <c r="W237" s="4"/>
      <c r="X237" s="4"/>
    </row>
    <row r="238" spans="7:24" x14ac:dyDescent="0.25">
      <c r="G238" s="7"/>
      <c r="H238" s="7"/>
      <c r="I238" s="7"/>
      <c r="K238" s="7"/>
      <c r="W238" s="4"/>
      <c r="X238" s="4"/>
    </row>
    <row r="239" spans="7:24" x14ac:dyDescent="0.25">
      <c r="G239" s="7"/>
      <c r="H239" s="7"/>
      <c r="I239" s="7"/>
      <c r="K239" s="7"/>
      <c r="W239" s="4"/>
      <c r="X239" s="4"/>
    </row>
    <row r="240" spans="7:24" x14ac:dyDescent="0.25">
      <c r="G240" s="7"/>
      <c r="H240" s="7"/>
      <c r="I240" s="7"/>
      <c r="K240" s="7"/>
      <c r="W240" s="4"/>
      <c r="X240" s="4"/>
    </row>
    <row r="241" spans="7:24" x14ac:dyDescent="0.25">
      <c r="G241" s="7"/>
      <c r="H241" s="7"/>
      <c r="I241" s="7"/>
      <c r="K241" s="7"/>
      <c r="W241" s="4"/>
      <c r="X241" s="4"/>
    </row>
    <row r="242" spans="7:24" x14ac:dyDescent="0.25">
      <c r="G242" s="7"/>
      <c r="H242" s="7"/>
      <c r="I242" s="7"/>
      <c r="K242" s="7"/>
      <c r="W242" s="4"/>
      <c r="X242" s="4"/>
    </row>
    <row r="243" spans="7:24" x14ac:dyDescent="0.25">
      <c r="G243" s="7"/>
      <c r="H243" s="7"/>
      <c r="I243" s="7"/>
      <c r="K243" s="7"/>
      <c r="W243" s="4"/>
      <c r="X243" s="4"/>
    </row>
    <row r="244" spans="7:24" x14ac:dyDescent="0.25">
      <c r="G244" s="7"/>
      <c r="H244" s="7"/>
      <c r="I244" s="7"/>
      <c r="K244" s="7"/>
      <c r="W244" s="4"/>
      <c r="X244" s="4"/>
    </row>
    <row r="245" spans="7:24" x14ac:dyDescent="0.25">
      <c r="G245" s="7"/>
      <c r="H245" s="7"/>
      <c r="I245" s="7"/>
      <c r="K245" s="7"/>
      <c r="W245" s="4"/>
      <c r="X245" s="4"/>
    </row>
    <row r="246" spans="7:24" x14ac:dyDescent="0.25">
      <c r="G246" s="7"/>
      <c r="H246" s="7"/>
      <c r="I246" s="7"/>
      <c r="K246" s="7"/>
      <c r="W246" s="4"/>
      <c r="X246" s="4"/>
    </row>
    <row r="247" spans="7:24" x14ac:dyDescent="0.25">
      <c r="G247" s="7"/>
      <c r="H247" s="7"/>
      <c r="I247" s="7"/>
      <c r="K247" s="7"/>
      <c r="W247" s="4"/>
      <c r="X247" s="4"/>
    </row>
    <row r="248" spans="7:24" x14ac:dyDescent="0.25">
      <c r="G248" s="7"/>
      <c r="H248" s="7"/>
      <c r="I248" s="7"/>
      <c r="K248" s="7"/>
      <c r="W248" s="4"/>
      <c r="X248" s="4"/>
    </row>
    <row r="249" spans="7:24" x14ac:dyDescent="0.25">
      <c r="G249" s="7"/>
      <c r="H249" s="7"/>
      <c r="I249" s="7"/>
      <c r="K249" s="7"/>
      <c r="W249" s="4"/>
      <c r="X249" s="4"/>
    </row>
    <row r="250" spans="7:24" x14ac:dyDescent="0.25">
      <c r="G250" s="7"/>
      <c r="H250" s="7"/>
      <c r="I250" s="7"/>
      <c r="K250" s="7"/>
      <c r="W250" s="4"/>
      <c r="X250" s="4"/>
    </row>
    <row r="251" spans="7:24" x14ac:dyDescent="0.25">
      <c r="G251" s="7"/>
      <c r="H251" s="7"/>
      <c r="I251" s="7"/>
      <c r="K251" s="7"/>
      <c r="W251" s="4"/>
      <c r="X251" s="4"/>
    </row>
    <row r="252" spans="7:24" x14ac:dyDescent="0.25">
      <c r="G252" s="7"/>
      <c r="H252" s="7"/>
      <c r="I252" s="7"/>
      <c r="K252" s="7"/>
      <c r="W252" s="4"/>
      <c r="X252" s="4"/>
    </row>
    <row r="253" spans="7:24" x14ac:dyDescent="0.25">
      <c r="G253" s="7"/>
      <c r="H253" s="7"/>
      <c r="I253" s="7"/>
      <c r="K253" s="7"/>
      <c r="W253" s="4"/>
      <c r="X253" s="4"/>
    </row>
    <row r="254" spans="7:24" x14ac:dyDescent="0.25">
      <c r="G254" s="7"/>
      <c r="H254" s="7"/>
      <c r="I254" s="7"/>
      <c r="K254" s="7"/>
      <c r="W254" s="4"/>
      <c r="X254" s="4"/>
    </row>
    <row r="255" spans="7:24" x14ac:dyDescent="0.25">
      <c r="G255" s="7"/>
      <c r="H255" s="7"/>
      <c r="I255" s="7"/>
      <c r="K255" s="7"/>
      <c r="W255" s="4"/>
      <c r="X255" s="4"/>
    </row>
    <row r="256" spans="7:24" x14ac:dyDescent="0.25">
      <c r="G256" s="7"/>
      <c r="H256" s="7"/>
      <c r="I256" s="7"/>
      <c r="K256" s="7"/>
      <c r="W256" s="4"/>
      <c r="X256" s="4"/>
    </row>
    <row r="257" spans="7:24" x14ac:dyDescent="0.25">
      <c r="G257" s="7"/>
      <c r="H257" s="7"/>
      <c r="I257" s="7"/>
      <c r="K257" s="7"/>
      <c r="W257" s="4"/>
      <c r="X257" s="4"/>
    </row>
    <row r="258" spans="7:24" x14ac:dyDescent="0.25">
      <c r="G258" s="7"/>
      <c r="H258" s="7"/>
      <c r="I258" s="7"/>
      <c r="K258" s="7"/>
      <c r="W258" s="4"/>
      <c r="X258" s="4"/>
    </row>
    <row r="259" spans="7:24" x14ac:dyDescent="0.25">
      <c r="G259" s="7"/>
      <c r="H259" s="7"/>
      <c r="I259" s="7"/>
      <c r="K259" s="7"/>
      <c r="W259" s="4"/>
      <c r="X259" s="4"/>
    </row>
    <row r="260" spans="7:24" x14ac:dyDescent="0.25">
      <c r="G260" s="7"/>
      <c r="H260" s="7"/>
      <c r="I260" s="7"/>
      <c r="K260" s="7"/>
      <c r="W260" s="4"/>
      <c r="X260" s="4"/>
    </row>
  </sheetData>
  <mergeCells count="1">
    <mergeCell ref="E3:F3"/>
  </mergeCells>
  <conditionalFormatting sqref="X5:X260">
    <cfRule type="expression" dxfId="2" priority="5">
      <formula>ABS(X5-N5)&gt;0.15</formula>
    </cfRule>
  </conditionalFormatting>
  <conditionalFormatting sqref="W5:W260">
    <cfRule type="expression" dxfId="1" priority="2">
      <formula>ABS(W5-M5)&gt;0.15</formula>
    </cfRule>
  </conditionalFormatting>
  <conditionalFormatting sqref="Y5:Y119">
    <cfRule type="expression" dxfId="0" priority="1">
      <formula>T5-Y5&gt;0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192"/>
  <sheetViews>
    <sheetView topLeftCell="A2" workbookViewId="0">
      <selection activeCell="E119" sqref="A5:E119"/>
    </sheetView>
  </sheetViews>
  <sheetFormatPr defaultRowHeight="15" x14ac:dyDescent="0.25"/>
  <sheetData>
    <row r="3" spans="1:5" x14ac:dyDescent="0.25">
      <c r="C3" t="s">
        <v>258</v>
      </c>
      <c r="D3" s="11" t="s">
        <v>259</v>
      </c>
      <c r="E3" s="11"/>
    </row>
    <row r="4" spans="1:5" x14ac:dyDescent="0.25">
      <c r="A4" t="s">
        <v>59</v>
      </c>
      <c r="B4" t="s">
        <v>54</v>
      </c>
      <c r="C4" t="s">
        <v>55</v>
      </c>
      <c r="D4" t="s">
        <v>56</v>
      </c>
      <c r="E4" t="s">
        <v>57</v>
      </c>
    </row>
    <row r="5" spans="1:5" x14ac:dyDescent="0.25">
      <c r="A5" t="str">
        <f>'Interpreted Data'!A5</f>
        <v>A</v>
      </c>
      <c r="B5" t="str">
        <f>'Interpreted Data'!B5</f>
        <v>B</v>
      </c>
      <c r="C5" s="2">
        <f>'Interpreted Data'!J5/'Interpreted Data'!$H$1</f>
        <v>6.4024390243902447</v>
      </c>
      <c r="D5" s="13">
        <f>'Interpreted Data'!T5</f>
        <v>283</v>
      </c>
      <c r="E5" s="14">
        <f>'Interpreted Data'!U5</f>
        <v>8.5</v>
      </c>
    </row>
    <row r="6" spans="1:5" x14ac:dyDescent="0.25">
      <c r="A6" t="str">
        <f>'Interpreted Data'!A6</f>
        <v>B</v>
      </c>
      <c r="B6" t="str">
        <f>'Interpreted Data'!B6</f>
        <v>C</v>
      </c>
      <c r="C6" s="2">
        <f>'Interpreted Data'!J6/'Interpreted Data'!$H$1</f>
        <v>8.2317073170731714</v>
      </c>
      <c r="D6" s="13">
        <f>'Interpreted Data'!T6</f>
        <v>322.5</v>
      </c>
      <c r="E6" s="14">
        <f>'Interpreted Data'!U6</f>
        <v>-9.5</v>
      </c>
    </row>
    <row r="7" spans="1:5" x14ac:dyDescent="0.25">
      <c r="A7" t="str">
        <f>'Interpreted Data'!A7</f>
        <v>C</v>
      </c>
      <c r="B7" t="str">
        <f>'Interpreted Data'!B7</f>
        <v>D</v>
      </c>
      <c r="C7" s="2">
        <f>'Interpreted Data'!J7/'Interpreted Data'!$H$1</f>
        <v>11.289753939808246</v>
      </c>
      <c r="D7" s="13">
        <f>'Interpreted Data'!T7</f>
        <v>263</v>
      </c>
      <c r="E7" s="14">
        <f>'Interpreted Data'!U7</f>
        <v>2.3215305898327188</v>
      </c>
    </row>
    <row r="8" spans="1:5" x14ac:dyDescent="0.25">
      <c r="A8" t="str">
        <f>'Interpreted Data'!A8</f>
        <v>D</v>
      </c>
      <c r="B8" t="str">
        <f>'Interpreted Data'!B8</f>
        <v>E</v>
      </c>
      <c r="C8" s="2">
        <f>'Interpreted Data'!J8/'Interpreted Data'!$H$1</f>
        <v>4.9390243902439028</v>
      </c>
      <c r="D8" s="13">
        <f>'Interpreted Data'!T8</f>
        <v>192.5</v>
      </c>
      <c r="E8" s="14">
        <f>'Interpreted Data'!U8</f>
        <v>4.5</v>
      </c>
    </row>
    <row r="9" spans="1:5" x14ac:dyDescent="0.25">
      <c r="A9" t="str">
        <f>'Interpreted Data'!A9</f>
        <v>E</v>
      </c>
      <c r="B9" t="str">
        <f>'Interpreted Data'!B9</f>
        <v>F</v>
      </c>
      <c r="C9" s="2">
        <f>'Interpreted Data'!J9/'Interpreted Data'!$H$1</f>
        <v>14.329268292682928</v>
      </c>
      <c r="D9" s="13">
        <f>'Interpreted Data'!T9</f>
        <v>258</v>
      </c>
      <c r="E9" s="14">
        <f>'Interpreted Data'!U9</f>
        <v>-5.5</v>
      </c>
    </row>
    <row r="10" spans="1:5" x14ac:dyDescent="0.25">
      <c r="A10" t="str">
        <f>'Interpreted Data'!A10</f>
        <v>F</v>
      </c>
      <c r="B10" t="str">
        <f>'Interpreted Data'!B10</f>
        <v>G</v>
      </c>
      <c r="C10" s="2">
        <f>'Interpreted Data'!J10/'Interpreted Data'!$H$1</f>
        <v>14.653981730140559</v>
      </c>
      <c r="D10" s="13">
        <f>'Interpreted Data'!T10</f>
        <v>292</v>
      </c>
      <c r="E10" s="14">
        <f>'Interpreted Data'!U10</f>
        <v>-2.9814612199821924</v>
      </c>
    </row>
    <row r="11" spans="1:5" x14ac:dyDescent="0.25">
      <c r="A11" t="str">
        <f>'Interpreted Data'!A11</f>
        <v>G</v>
      </c>
      <c r="B11" t="str">
        <f>'Interpreted Data'!B11</f>
        <v>H</v>
      </c>
      <c r="C11" s="2">
        <f>'Interpreted Data'!J11/'Interpreted Data'!$H$1</f>
        <v>10.975609756097562</v>
      </c>
      <c r="D11" s="13">
        <f>'Interpreted Data'!T11</f>
        <v>339</v>
      </c>
      <c r="E11" s="14">
        <f>'Interpreted Data'!U11</f>
        <v>0</v>
      </c>
    </row>
    <row r="12" spans="1:5" x14ac:dyDescent="0.25">
      <c r="A12" t="str">
        <f>'Interpreted Data'!A12</f>
        <v>H</v>
      </c>
      <c r="B12" t="str">
        <f>'Interpreted Data'!B12</f>
        <v>I</v>
      </c>
      <c r="C12" s="2">
        <f>'Interpreted Data'!J12/'Interpreted Data'!$H$1</f>
        <v>9.4512195121951219</v>
      </c>
      <c r="D12" s="13">
        <f>'Interpreted Data'!T12</f>
        <v>247</v>
      </c>
      <c r="E12" s="14">
        <f>'Interpreted Data'!U12</f>
        <v>-2.5</v>
      </c>
    </row>
    <row r="13" spans="1:5" x14ac:dyDescent="0.25">
      <c r="A13" t="str">
        <f>'Interpreted Data'!A13</f>
        <v>I</v>
      </c>
      <c r="B13" t="str">
        <f>'Interpreted Data'!B13</f>
        <v>J</v>
      </c>
      <c r="C13" s="2">
        <f>'Interpreted Data'!J13/'Interpreted Data'!$H$1</f>
        <v>7.9268292682926838</v>
      </c>
      <c r="D13" s="13">
        <f>'Interpreted Data'!T13</f>
        <v>275</v>
      </c>
      <c r="E13" s="14" t="str">
        <f>'Interpreted Data'!U13</f>
        <v>2</v>
      </c>
    </row>
    <row r="14" spans="1:5" x14ac:dyDescent="0.25">
      <c r="A14" t="str">
        <f>'Interpreted Data'!A14</f>
        <v>J</v>
      </c>
      <c r="B14" t="str">
        <f>'Interpreted Data'!B14</f>
        <v>K</v>
      </c>
      <c r="C14" s="2">
        <f>'Interpreted Data'!J14/'Interpreted Data'!$H$1</f>
        <v>8.0792682926829276</v>
      </c>
      <c r="D14" s="13">
        <f>'Interpreted Data'!T14</f>
        <v>320</v>
      </c>
      <c r="E14" s="14" t="str">
        <f>'Interpreted Data'!U14</f>
        <v>1</v>
      </c>
    </row>
    <row r="15" spans="1:5" x14ac:dyDescent="0.25">
      <c r="A15" t="str">
        <f>'Interpreted Data'!A15</f>
        <v>K</v>
      </c>
      <c r="B15" t="str">
        <f>'Interpreted Data'!B15</f>
        <v>L</v>
      </c>
      <c r="C15" s="2">
        <f>'Interpreted Data'!J15/'Interpreted Data'!$H$1</f>
        <v>5.3353658536585371</v>
      </c>
      <c r="D15" s="13">
        <f>'Interpreted Data'!T15</f>
        <v>13</v>
      </c>
      <c r="E15" s="14" t="str">
        <f>'Interpreted Data'!U15</f>
        <v>-9</v>
      </c>
    </row>
    <row r="16" spans="1:5" x14ac:dyDescent="0.25">
      <c r="A16" t="str">
        <f>'Interpreted Data'!A16</f>
        <v>L</v>
      </c>
      <c r="B16" t="str">
        <f>'Interpreted Data'!B16</f>
        <v>M</v>
      </c>
      <c r="C16" s="2">
        <f>'Interpreted Data'!J16/'Interpreted Data'!$H$1</f>
        <v>10.060975609756099</v>
      </c>
      <c r="D16" s="13">
        <f>'Interpreted Data'!T16</f>
        <v>299</v>
      </c>
      <c r="E16" s="14" t="str">
        <f>'Interpreted Data'!U16</f>
        <v>-3</v>
      </c>
    </row>
    <row r="17" spans="1:5" x14ac:dyDescent="0.25">
      <c r="A17" t="str">
        <f>'Interpreted Data'!A17</f>
        <v>M</v>
      </c>
      <c r="B17" t="str">
        <f>'Interpreted Data'!B17</f>
        <v>N</v>
      </c>
      <c r="C17" s="2">
        <f>'Interpreted Data'!J17/'Interpreted Data'!$H$1</f>
        <v>13.109756097560977</v>
      </c>
      <c r="D17" s="13">
        <f>'Interpreted Data'!T17</f>
        <v>322</v>
      </c>
      <c r="E17" s="14" t="str">
        <f>'Interpreted Data'!U17</f>
        <v>-7.3</v>
      </c>
    </row>
    <row r="18" spans="1:5" x14ac:dyDescent="0.25">
      <c r="A18" t="str">
        <f>'Interpreted Data'!A18</f>
        <v>N</v>
      </c>
      <c r="B18" t="str">
        <f>'Interpreted Data'!B18</f>
        <v>O</v>
      </c>
      <c r="C18" s="2">
        <f>'Interpreted Data'!J18/'Interpreted Data'!$H$1</f>
        <v>4.725609756097561</v>
      </c>
      <c r="D18" s="13">
        <f>'Interpreted Data'!T18</f>
        <v>281</v>
      </c>
      <c r="E18" s="14" t="str">
        <f>'Interpreted Data'!U18</f>
        <v>-2</v>
      </c>
    </row>
    <row r="19" spans="1:5" x14ac:dyDescent="0.25">
      <c r="A19" t="str">
        <f>'Interpreted Data'!A19</f>
        <v>O</v>
      </c>
      <c r="B19" t="str">
        <f>'Interpreted Data'!B19</f>
        <v>P</v>
      </c>
      <c r="C19" s="2">
        <f>'Interpreted Data'!J19/'Interpreted Data'!$H$1</f>
        <v>17.073170731707318</v>
      </c>
      <c r="D19" s="13">
        <f>'Interpreted Data'!T19</f>
        <v>307</v>
      </c>
      <c r="E19" s="14" t="str">
        <f>'Interpreted Data'!U19</f>
        <v>-5</v>
      </c>
    </row>
    <row r="20" spans="1:5" x14ac:dyDescent="0.25">
      <c r="A20" t="str">
        <f>'Interpreted Data'!A20</f>
        <v>P</v>
      </c>
      <c r="B20" t="str">
        <f>'Interpreted Data'!B20</f>
        <v>Q</v>
      </c>
      <c r="C20" s="2">
        <f>'Interpreted Data'!J20/'Interpreted Data'!$H$1</f>
        <v>4.8170731707317076</v>
      </c>
      <c r="D20" s="13">
        <f>'Interpreted Data'!T20</f>
        <v>283</v>
      </c>
      <c r="E20" s="14">
        <f>'Interpreted Data'!U20</f>
        <v>-0.36263393697894891</v>
      </c>
    </row>
    <row r="21" spans="1:5" x14ac:dyDescent="0.25">
      <c r="A21" t="str">
        <f>'Interpreted Data'!A21</f>
        <v>Q</v>
      </c>
      <c r="B21" t="str">
        <f>'Interpreted Data'!B21</f>
        <v>R</v>
      </c>
      <c r="C21" s="2">
        <f>'Interpreted Data'!J21/'Interpreted Data'!$H$1</f>
        <v>4.8214128337309923</v>
      </c>
      <c r="D21" s="13">
        <f>'Interpreted Data'!T21</f>
        <v>217</v>
      </c>
      <c r="E21" s="14">
        <f>'Interpreted Data'!U21</f>
        <v>-14.65135857182217</v>
      </c>
    </row>
    <row r="22" spans="1:5" x14ac:dyDescent="0.25">
      <c r="A22" t="str">
        <f>'Interpreted Data'!A22</f>
        <v>R</v>
      </c>
      <c r="B22" t="str">
        <f>'Interpreted Data'!B22</f>
        <v>S</v>
      </c>
      <c r="C22" s="2">
        <f>'Interpreted Data'!J22/'Interpreted Data'!$H$1</f>
        <v>12.104272884820316</v>
      </c>
      <c r="D22" s="13">
        <f>'Interpreted Data'!T22</f>
        <v>310</v>
      </c>
      <c r="E22" s="14">
        <f>'Interpreted Data'!U22</f>
        <v>5.782392322364041</v>
      </c>
    </row>
    <row r="23" spans="1:5" x14ac:dyDescent="0.25">
      <c r="A23" t="str">
        <f>'Interpreted Data'!A23</f>
        <v>S</v>
      </c>
      <c r="B23" t="str">
        <f>'Interpreted Data'!B23</f>
        <v>T</v>
      </c>
      <c r="C23" s="2">
        <f>'Interpreted Data'!J23/'Interpreted Data'!$H$1</f>
        <v>12.073170731707318</v>
      </c>
      <c r="D23" s="13">
        <f>'Interpreted Data'!T23</f>
        <v>238</v>
      </c>
      <c r="E23" s="14">
        <f>'Interpreted Data'!U23</f>
        <v>-2.5</v>
      </c>
    </row>
    <row r="24" spans="1:5" x14ac:dyDescent="0.25">
      <c r="A24" t="str">
        <f>'Interpreted Data'!A24</f>
        <v>T</v>
      </c>
      <c r="B24" t="str">
        <f>'Interpreted Data'!B24</f>
        <v>U</v>
      </c>
      <c r="C24" s="2">
        <f>'Interpreted Data'!J24/'Interpreted Data'!$H$1</f>
        <v>14.948012477833892</v>
      </c>
      <c r="D24" s="13">
        <f>'Interpreted Data'!T24</f>
        <v>148</v>
      </c>
      <c r="E24" s="14">
        <f>'Interpreted Data'!U24</f>
        <v>-1.987015780474414</v>
      </c>
    </row>
    <row r="25" spans="1:5" x14ac:dyDescent="0.25">
      <c r="A25" t="str">
        <f>'Interpreted Data'!A25</f>
        <v>U</v>
      </c>
      <c r="B25" t="str">
        <f>'Interpreted Data'!B25</f>
        <v/>
      </c>
      <c r="C25" s="2" t="e">
        <f>'Interpreted Data'!J25/'Interpreted Data'!$H$1</f>
        <v>#VALUE!</v>
      </c>
      <c r="D25" s="13">
        <f>'Interpreted Data'!T25</f>
        <v>0</v>
      </c>
      <c r="E25" s="14">
        <f>'Interpreted Data'!U25</f>
        <v>0</v>
      </c>
    </row>
    <row r="26" spans="1:5" x14ac:dyDescent="0.25">
      <c r="A26" t="str">
        <f>'Interpreted Data'!A26</f>
        <v>A1</v>
      </c>
      <c r="B26" t="str">
        <f>'Interpreted Data'!B26</f>
        <v>B1</v>
      </c>
      <c r="C26" s="2">
        <f>'Interpreted Data'!J26/'Interpreted Data'!$H$1</f>
        <v>9.2682926829268286</v>
      </c>
      <c r="D26" s="13">
        <f>'Interpreted Data'!T26</f>
        <v>146</v>
      </c>
      <c r="E26" s="14">
        <f>'Interpreted Data'!U26</f>
        <v>0</v>
      </c>
    </row>
    <row r="27" spans="1:5" x14ac:dyDescent="0.25">
      <c r="A27" t="str">
        <f>'Interpreted Data'!A27</f>
        <v>B1</v>
      </c>
      <c r="B27" t="str">
        <f>'Interpreted Data'!B27</f>
        <v>C1</v>
      </c>
      <c r="C27" s="2">
        <f>'Interpreted Data'!J27/'Interpreted Data'!$H$1</f>
        <v>11.432926829268293</v>
      </c>
      <c r="D27" s="13">
        <f>'Interpreted Data'!T27</f>
        <v>248</v>
      </c>
      <c r="E27" s="14" t="str">
        <f>'Interpreted Data'!U27</f>
        <v>-6</v>
      </c>
    </row>
    <row r="28" spans="1:5" x14ac:dyDescent="0.25">
      <c r="A28" t="str">
        <f>'Interpreted Data'!A28</f>
        <v/>
      </c>
      <c r="B28" t="str">
        <f>'Interpreted Data'!B28</f>
        <v/>
      </c>
      <c r="C28" s="2" t="e">
        <f>'Interpreted Data'!J28/'Interpreted Data'!$H$1</f>
        <v>#VALUE!</v>
      </c>
      <c r="D28" s="13">
        <f>'Interpreted Data'!T28</f>
        <v>0</v>
      </c>
      <c r="E28" s="14">
        <f>'Interpreted Data'!U28</f>
        <v>0</v>
      </c>
    </row>
    <row r="29" spans="1:5" x14ac:dyDescent="0.25">
      <c r="A29" t="str">
        <f>'Interpreted Data'!A29</f>
        <v>5th August 1951</v>
      </c>
      <c r="B29" t="str">
        <f>'Interpreted Data'!B29</f>
        <v/>
      </c>
      <c r="C29" s="2" t="e">
        <f>'Interpreted Data'!J29/'Interpreted Data'!$H$1</f>
        <v>#VALUE!</v>
      </c>
      <c r="D29" s="13">
        <f>'Interpreted Data'!T29</f>
        <v>0</v>
      </c>
      <c r="E29" s="14">
        <f>'Interpreted Data'!U29</f>
        <v>0</v>
      </c>
    </row>
    <row r="30" spans="1:5" x14ac:dyDescent="0.25">
      <c r="A30" t="str">
        <f>'Interpreted Data'!A30</f>
        <v>C1</v>
      </c>
      <c r="B30" t="str">
        <f>'Interpreted Data'!B30</f>
        <v>D1</v>
      </c>
      <c r="C30" s="2">
        <f>'Interpreted Data'!J30/'Interpreted Data'!$H$1</f>
        <v>3.5975609756097566</v>
      </c>
      <c r="D30" s="13">
        <f>'Interpreted Data'!T30</f>
        <v>265</v>
      </c>
      <c r="E30" s="14" t="str">
        <f>'Interpreted Data'!U30</f>
        <v>-24</v>
      </c>
    </row>
    <row r="31" spans="1:5" x14ac:dyDescent="0.25">
      <c r="A31" t="str">
        <f>'Interpreted Data'!A31</f>
        <v>D1</v>
      </c>
      <c r="B31" t="str">
        <f>'Interpreted Data'!B31</f>
        <v>A</v>
      </c>
      <c r="C31" s="2">
        <f>'Interpreted Data'!J31/'Interpreted Data'!$H$1</f>
        <v>11.24140394705098</v>
      </c>
      <c r="D31" s="13">
        <f>'Interpreted Data'!T31</f>
        <v>251</v>
      </c>
      <c r="E31" s="14">
        <f>'Interpreted Data'!U31</f>
        <v>-3.576334374997352</v>
      </c>
    </row>
    <row r="32" spans="1:5" x14ac:dyDescent="0.25">
      <c r="A32" t="str">
        <f>'Interpreted Data'!A32</f>
        <v>U</v>
      </c>
      <c r="B32" t="str">
        <f>'Interpreted Data'!B32</f>
        <v>V</v>
      </c>
      <c r="C32" s="2">
        <f>'Interpreted Data'!J32/'Interpreted Data'!$H$1</f>
        <v>8.8414634146341466</v>
      </c>
      <c r="D32" s="13">
        <f>'Interpreted Data'!T32</f>
        <v>186.5</v>
      </c>
      <c r="E32" s="14">
        <f>'Interpreted Data'!U32</f>
        <v>0</v>
      </c>
    </row>
    <row r="33" spans="1:5" x14ac:dyDescent="0.25">
      <c r="A33" t="str">
        <f>'Interpreted Data'!A33</f>
        <v>V</v>
      </c>
      <c r="B33" t="str">
        <f>'Interpreted Data'!B33</f>
        <v>W</v>
      </c>
      <c r="C33" s="2">
        <f>'Interpreted Data'!J33/'Interpreted Data'!$H$1</f>
        <v>10.304878048780488</v>
      </c>
      <c r="D33" s="13">
        <f>'Interpreted Data'!T33</f>
        <v>141.5</v>
      </c>
      <c r="E33" s="14">
        <f>'Interpreted Data'!U33</f>
        <v>0</v>
      </c>
    </row>
    <row r="34" spans="1:5" x14ac:dyDescent="0.25">
      <c r="A34" t="str">
        <f>'Interpreted Data'!A34</f>
        <v>W</v>
      </c>
      <c r="B34" t="str">
        <f>'Interpreted Data'!B34</f>
        <v>X</v>
      </c>
      <c r="C34" s="2">
        <f>'Interpreted Data'!J34/'Interpreted Data'!$H$1</f>
        <v>14.329268292682928</v>
      </c>
      <c r="D34" s="13">
        <f>'Interpreted Data'!T34</f>
        <v>132.16666666666666</v>
      </c>
      <c r="E34" s="14">
        <f>'Interpreted Data'!U34</f>
        <v>0</v>
      </c>
    </row>
    <row r="35" spans="1:5" x14ac:dyDescent="0.25">
      <c r="A35" t="str">
        <f>'Interpreted Data'!A35</f>
        <v>X</v>
      </c>
      <c r="B35" t="str">
        <f>'Interpreted Data'!B35</f>
        <v>Y</v>
      </c>
      <c r="C35" s="2">
        <f>'Interpreted Data'!J35/'Interpreted Data'!$H$1</f>
        <v>25.458211609813009</v>
      </c>
      <c r="D35" s="13">
        <f>'Interpreted Data'!T35</f>
        <v>174</v>
      </c>
      <c r="E35" s="14">
        <f>'Interpreted Data'!U35</f>
        <v>-0.4803126484196561</v>
      </c>
    </row>
    <row r="36" spans="1:5" x14ac:dyDescent="0.25">
      <c r="A36" t="str">
        <f>'Interpreted Data'!A36</f>
        <v>Y</v>
      </c>
      <c r="B36" t="str">
        <f>'Interpreted Data'!B36</f>
        <v/>
      </c>
      <c r="C36" s="2" t="e">
        <f>'Interpreted Data'!J36/'Interpreted Data'!$H$1</f>
        <v>#VALUE!</v>
      </c>
      <c r="D36" s="13">
        <f>'Interpreted Data'!T36</f>
        <v>0</v>
      </c>
      <c r="E36" s="14">
        <f>'Interpreted Data'!U36</f>
        <v>0</v>
      </c>
    </row>
    <row r="37" spans="1:5" x14ac:dyDescent="0.25">
      <c r="A37" t="str">
        <f>'Interpreted Data'!A37</f>
        <v>T</v>
      </c>
      <c r="B37" t="str">
        <f>'Interpreted Data'!B37</f>
        <v>Ri</v>
      </c>
      <c r="C37" s="2">
        <f>'Interpreted Data'!J37/'Interpreted Data'!$H$1</f>
        <v>6.7378048780487809</v>
      </c>
      <c r="D37" s="13">
        <f>'Interpreted Data'!T37</f>
        <v>19</v>
      </c>
      <c r="E37" s="14" t="str">
        <f>'Interpreted Data'!U37</f>
        <v>20</v>
      </c>
    </row>
    <row r="38" spans="1:5" x14ac:dyDescent="0.25">
      <c r="A38" t="str">
        <f>'Interpreted Data'!A38</f>
        <v>Ri</v>
      </c>
      <c r="B38" t="str">
        <f>'Interpreted Data'!B38</f>
        <v>Rii</v>
      </c>
      <c r="C38" s="2">
        <f>'Interpreted Data'!J38/'Interpreted Data'!$H$1</f>
        <v>14.02439024390244</v>
      </c>
      <c r="D38" s="13">
        <f>'Interpreted Data'!T38</f>
        <v>315</v>
      </c>
      <c r="E38" s="14" t="str">
        <f>'Interpreted Data'!U38</f>
        <v>-3</v>
      </c>
    </row>
    <row r="39" spans="1:5" x14ac:dyDescent="0.25">
      <c r="A39" t="str">
        <f>'Interpreted Data'!A39</f>
        <v>Rii</v>
      </c>
      <c r="B39" t="str">
        <f>'Interpreted Data'!B39</f>
        <v>Riii</v>
      </c>
      <c r="C39" s="2">
        <f>'Interpreted Data'!J39/'Interpreted Data'!$H$1</f>
        <v>9.7560975609756095</v>
      </c>
      <c r="D39" s="13">
        <f>'Interpreted Data'!T39</f>
        <v>348</v>
      </c>
      <c r="E39" s="14" t="str">
        <f>'Interpreted Data'!U39</f>
        <v>2</v>
      </c>
    </row>
    <row r="40" spans="1:5" x14ac:dyDescent="0.25">
      <c r="A40" t="str">
        <f>'Interpreted Data'!A40</f>
        <v>Riii</v>
      </c>
      <c r="B40" t="str">
        <f>'Interpreted Data'!B40</f>
        <v>Riv</v>
      </c>
      <c r="C40" s="2">
        <f>'Interpreted Data'!J40/'Interpreted Data'!$H$1</f>
        <v>8.4120378638710669</v>
      </c>
      <c r="D40" s="13">
        <f>'Interpreted Data'!T40</f>
        <v>284</v>
      </c>
      <c r="E40" s="14">
        <f>'Interpreted Data'!U40</f>
        <v>-8.3356732078743381</v>
      </c>
    </row>
    <row r="41" spans="1:5" x14ac:dyDescent="0.25">
      <c r="A41" t="str">
        <f>CONCATENATE('Interpreted Data'!A41,"2")</f>
        <v>a2</v>
      </c>
      <c r="B41" t="str">
        <f>CONCATENATE('Interpreted Data'!B41,"2")</f>
        <v>b2</v>
      </c>
      <c r="C41" s="2">
        <f>'Interpreted Data'!J41/'Interpreted Data'!$H$1</f>
        <v>13.109756097560977</v>
      </c>
      <c r="D41" s="13">
        <f>'Interpreted Data'!T41</f>
        <v>83</v>
      </c>
      <c r="E41" s="14" t="str">
        <f>'Interpreted Data'!U41</f>
        <v>15</v>
      </c>
    </row>
    <row r="42" spans="1:5" x14ac:dyDescent="0.25">
      <c r="A42" t="str">
        <f>CONCATENATE('Interpreted Data'!A42,"2")</f>
        <v>b2</v>
      </c>
      <c r="B42" t="str">
        <f>CONCATENATE('Interpreted Data'!B42,"2")</f>
        <v>c2</v>
      </c>
      <c r="C42" s="2">
        <f>'Interpreted Data'!J42/'Interpreted Data'!$H$1</f>
        <v>6.3109756097560981</v>
      </c>
      <c r="D42" s="13">
        <f>'Interpreted Data'!T42</f>
        <v>6</v>
      </c>
      <c r="E42" s="14" t="str">
        <f>'Interpreted Data'!U42</f>
        <v>8</v>
      </c>
    </row>
    <row r="43" spans="1:5" x14ac:dyDescent="0.25">
      <c r="A43" t="str">
        <f>CONCATENATE('Interpreted Data'!A43,"2")</f>
        <v>c2</v>
      </c>
      <c r="B43" t="str">
        <f>CONCATENATE('Interpreted Data'!B43,"2")</f>
        <v>d2</v>
      </c>
      <c r="C43" s="2">
        <f>'Interpreted Data'!J43/'Interpreted Data'!$H$1</f>
        <v>3.4451219512195128</v>
      </c>
      <c r="D43" s="13">
        <f>'Interpreted Data'!T43</f>
        <v>42</v>
      </c>
      <c r="E43" s="14" t="str">
        <f>'Interpreted Data'!U43</f>
        <v>10</v>
      </c>
    </row>
    <row r="44" spans="1:5" x14ac:dyDescent="0.25">
      <c r="A44" t="str">
        <f>CONCATENATE('Interpreted Data'!A44,"2")</f>
        <v>d2</v>
      </c>
      <c r="B44" t="str">
        <f>CONCATENATE('Interpreted Data'!B44,"2")</f>
        <v>e2</v>
      </c>
      <c r="C44" s="2">
        <f>'Interpreted Data'!J44/'Interpreted Data'!$H$1</f>
        <v>5.7621951219512191</v>
      </c>
      <c r="D44" s="13">
        <f>'Interpreted Data'!T44</f>
        <v>139</v>
      </c>
      <c r="E44" s="14">
        <f>'Interpreted Data'!U44</f>
        <v>0</v>
      </c>
    </row>
    <row r="45" spans="1:5" x14ac:dyDescent="0.25">
      <c r="A45" t="str">
        <f>CONCATENATE('Interpreted Data'!A45,"2")</f>
        <v>d2</v>
      </c>
      <c r="B45" t="str">
        <f>CONCATENATE('Interpreted Data'!B45,"2")</f>
        <v>f2</v>
      </c>
      <c r="C45" s="2">
        <f>'Interpreted Data'!J45/'Interpreted Data'!$H$1</f>
        <v>3.1402439024390247</v>
      </c>
      <c r="D45" s="13">
        <f>'Interpreted Data'!T45</f>
        <v>245</v>
      </c>
      <c r="E45" s="14" t="str">
        <f>'Interpreted Data'!U45</f>
        <v>60</v>
      </c>
    </row>
    <row r="46" spans="1:5" x14ac:dyDescent="0.25">
      <c r="A46" t="str">
        <f>CONCATENATE('Interpreted Data'!A46,"2")</f>
        <v>f2</v>
      </c>
      <c r="B46" t="str">
        <f>CONCATENATE('Interpreted Data'!B46,"2")</f>
        <v>g2</v>
      </c>
      <c r="C46" s="2">
        <f>'Interpreted Data'!J46/'Interpreted Data'!$H$1</f>
        <v>1.8902439024390245</v>
      </c>
      <c r="D46" s="13">
        <f>'Interpreted Data'!T46</f>
        <v>319</v>
      </c>
      <c r="E46" s="14">
        <f>'Interpreted Data'!U46</f>
        <v>0</v>
      </c>
    </row>
    <row r="47" spans="1:5" x14ac:dyDescent="0.25">
      <c r="A47" t="str">
        <f>CONCATENATE('Interpreted Data'!A47,"2")</f>
        <v>g2</v>
      </c>
      <c r="B47" t="str">
        <f>CONCATENATE('Interpreted Data'!B47,"2")</f>
        <v>h2</v>
      </c>
      <c r="C47" s="2">
        <f>'Interpreted Data'!J47/'Interpreted Data'!$H$1</f>
        <v>4.8780487804878048</v>
      </c>
      <c r="D47" s="13">
        <f>'Interpreted Data'!T47</f>
        <v>237</v>
      </c>
      <c r="E47" s="14" t="str">
        <f>'Interpreted Data'!U47</f>
        <v>65</v>
      </c>
    </row>
    <row r="48" spans="1:5" x14ac:dyDescent="0.25">
      <c r="A48" t="str">
        <f>CONCATENATE('Interpreted Data'!A48,"2")</f>
        <v>h2</v>
      </c>
      <c r="B48" t="str">
        <f>CONCATENATE('Interpreted Data'!B48,"2")</f>
        <v>i2</v>
      </c>
      <c r="C48" s="2">
        <f>'Interpreted Data'!J48/'Interpreted Data'!$H$1</f>
        <v>14.02439024390244</v>
      </c>
      <c r="D48" s="13">
        <f>'Interpreted Data'!T48</f>
        <v>329</v>
      </c>
      <c r="E48" s="14">
        <f>'Interpreted Data'!U48</f>
        <v>0</v>
      </c>
    </row>
    <row r="49" spans="1:5" x14ac:dyDescent="0.25">
      <c r="A49" t="str">
        <f>'Interpreted Data'!A49</f>
        <v>M</v>
      </c>
      <c r="B49">
        <f>'Interpreted Data'!B49</f>
        <v>1</v>
      </c>
      <c r="C49" s="2">
        <f>'Interpreted Data'!J49/'Interpreted Data'!$H$1</f>
        <v>3.5670731707317072</v>
      </c>
      <c r="D49" s="13">
        <f>'Interpreted Data'!T49</f>
        <v>325</v>
      </c>
      <c r="E49" s="14" t="str">
        <f>'Interpreted Data'!U49</f>
        <v>-20</v>
      </c>
    </row>
    <row r="50" spans="1:5" x14ac:dyDescent="0.25">
      <c r="A50">
        <f>'Interpreted Data'!A50</f>
        <v>1</v>
      </c>
      <c r="B50">
        <f>'Interpreted Data'!B50</f>
        <v>2</v>
      </c>
      <c r="C50" s="2">
        <f>'Interpreted Data'!J50/'Interpreted Data'!$H$1</f>
        <v>8.6890243902439028</v>
      </c>
      <c r="D50" s="13">
        <f>'Interpreted Data'!T50</f>
        <v>35</v>
      </c>
      <c r="E50" s="14" t="str">
        <f>'Interpreted Data'!U50</f>
        <v>85</v>
      </c>
    </row>
    <row r="51" spans="1:5" x14ac:dyDescent="0.25">
      <c r="A51">
        <f>'Interpreted Data'!A51</f>
        <v>2</v>
      </c>
      <c r="B51">
        <f>'Interpreted Data'!B51</f>
        <v>3</v>
      </c>
      <c r="C51" s="2">
        <f>'Interpreted Data'!J51/'Interpreted Data'!$H$1</f>
        <v>6.0670731707317076</v>
      </c>
      <c r="D51" s="13">
        <f>'Interpreted Data'!T51</f>
        <v>50</v>
      </c>
      <c r="E51" s="14" t="str">
        <f>'Interpreted Data'!U51</f>
        <v>16</v>
      </c>
    </row>
    <row r="52" spans="1:5" x14ac:dyDescent="0.25">
      <c r="A52">
        <f>'Interpreted Data'!A52</f>
        <v>3</v>
      </c>
      <c r="B52">
        <f>'Interpreted Data'!B52</f>
        <v>4</v>
      </c>
      <c r="C52" s="2">
        <f>'Interpreted Data'!J52/'Interpreted Data'!$H$1</f>
        <v>4.8780487804878048</v>
      </c>
      <c r="D52" s="13">
        <f>'Interpreted Data'!T52</f>
        <v>122</v>
      </c>
      <c r="E52" s="14" t="str">
        <f>'Interpreted Data'!U52</f>
        <v>7</v>
      </c>
    </row>
    <row r="53" spans="1:5" x14ac:dyDescent="0.25">
      <c r="A53">
        <f>'Interpreted Data'!A53</f>
        <v>4</v>
      </c>
      <c r="B53">
        <f>'Interpreted Data'!B53</f>
        <v>5</v>
      </c>
      <c r="C53" s="2">
        <f>'Interpreted Data'!J53/'Interpreted Data'!$H$1</f>
        <v>5.4878048780487809</v>
      </c>
      <c r="D53" s="13">
        <f>'Interpreted Data'!T53</f>
        <v>59</v>
      </c>
      <c r="E53" s="14" t="str">
        <f>'Interpreted Data'!U53</f>
        <v>15</v>
      </c>
    </row>
    <row r="54" spans="1:5" x14ac:dyDescent="0.25">
      <c r="A54">
        <f>'Interpreted Data'!A54</f>
        <v>5</v>
      </c>
      <c r="B54">
        <f>'Interpreted Data'!B54</f>
        <v>6</v>
      </c>
      <c r="C54" s="2">
        <f>'Interpreted Data'!J54/'Interpreted Data'!$H$1</f>
        <v>2.8963414634146343</v>
      </c>
      <c r="D54" s="13">
        <f>'Interpreted Data'!T54</f>
        <v>17</v>
      </c>
      <c r="E54" s="14" t="str">
        <f>'Interpreted Data'!U54</f>
        <v>10</v>
      </c>
    </row>
    <row r="55" spans="1:5" x14ac:dyDescent="0.25">
      <c r="A55">
        <f>'Interpreted Data'!A55</f>
        <v>6</v>
      </c>
      <c r="B55">
        <f>'Interpreted Data'!B55</f>
        <v>7</v>
      </c>
      <c r="C55" s="2">
        <f>'Interpreted Data'!J55/'Interpreted Data'!$H$1</f>
        <v>4.1158536585365857</v>
      </c>
      <c r="D55" s="13">
        <f>'Interpreted Data'!T55</f>
        <v>46</v>
      </c>
      <c r="E55" s="14" t="str">
        <f>'Interpreted Data'!U55</f>
        <v>17</v>
      </c>
    </row>
    <row r="56" spans="1:5" x14ac:dyDescent="0.25">
      <c r="A56">
        <f>'Interpreted Data'!A56</f>
        <v>7</v>
      </c>
      <c r="B56">
        <f>'Interpreted Data'!B56</f>
        <v>8</v>
      </c>
      <c r="C56" s="2">
        <f>'Interpreted Data'!J56/'Interpreted Data'!$H$1</f>
        <v>7.3780487804878048</v>
      </c>
      <c r="D56" s="13">
        <f>'Interpreted Data'!T56</f>
        <v>74</v>
      </c>
      <c r="E56" s="14" t="str">
        <f>'Interpreted Data'!U56</f>
        <v>13</v>
      </c>
    </row>
    <row r="57" spans="1:5" x14ac:dyDescent="0.25">
      <c r="A57">
        <f>'Interpreted Data'!A57</f>
        <v>8</v>
      </c>
      <c r="B57">
        <f>'Interpreted Data'!B57</f>
        <v>9</v>
      </c>
      <c r="C57" s="2">
        <f>'Interpreted Data'!J57/'Interpreted Data'!$H$1</f>
        <v>2.6829268292682928</v>
      </c>
      <c r="D57" s="13">
        <f>'Interpreted Data'!T57</f>
        <v>137</v>
      </c>
      <c r="E57" s="14" t="str">
        <f>'Interpreted Data'!U57</f>
        <v>10</v>
      </c>
    </row>
    <row r="58" spans="1:5" x14ac:dyDescent="0.25">
      <c r="A58">
        <f>'Interpreted Data'!A58</f>
        <v>9</v>
      </c>
      <c r="B58">
        <f>'Interpreted Data'!B58</f>
        <v>10</v>
      </c>
      <c r="C58" s="2">
        <f>'Interpreted Data'!J58/'Interpreted Data'!$H$1</f>
        <v>6.036585365853659</v>
      </c>
      <c r="D58" s="13">
        <f>'Interpreted Data'!T58</f>
        <v>89</v>
      </c>
      <c r="E58" s="14" t="str">
        <f>'Interpreted Data'!U58</f>
        <v>15</v>
      </c>
    </row>
    <row r="59" spans="1:5" x14ac:dyDescent="0.25">
      <c r="A59">
        <f>'Interpreted Data'!A59</f>
        <v>10</v>
      </c>
      <c r="B59">
        <f>'Interpreted Data'!B59</f>
        <v>11</v>
      </c>
      <c r="C59" s="2">
        <f>'Interpreted Data'!J59/'Interpreted Data'!$H$1</f>
        <v>2.7439024390243905</v>
      </c>
      <c r="D59" s="13">
        <f>'Interpreted Data'!T59</f>
        <v>26</v>
      </c>
      <c r="E59" s="14" t="str">
        <f>'Interpreted Data'!U59</f>
        <v>12</v>
      </c>
    </row>
    <row r="60" spans="1:5" x14ac:dyDescent="0.25">
      <c r="A60">
        <f>'Interpreted Data'!A60</f>
        <v>11</v>
      </c>
      <c r="B60">
        <f>'Interpreted Data'!B60</f>
        <v>12</v>
      </c>
      <c r="C60" s="2">
        <f>'Interpreted Data'!J60/'Interpreted Data'!$H$1</f>
        <v>3.2621951219512195</v>
      </c>
      <c r="D60" s="13">
        <f>'Interpreted Data'!T60</f>
        <v>78</v>
      </c>
      <c r="E60" s="14" t="str">
        <f>'Interpreted Data'!U60</f>
        <v>10</v>
      </c>
    </row>
    <row r="61" spans="1:5" x14ac:dyDescent="0.25">
      <c r="A61">
        <f>'Interpreted Data'!A61</f>
        <v>12</v>
      </c>
      <c r="B61">
        <f>'Interpreted Data'!B61</f>
        <v>13</v>
      </c>
      <c r="C61" s="2">
        <f>'Interpreted Data'!J61/'Interpreted Data'!$H$1</f>
        <v>2.6622331092336862</v>
      </c>
      <c r="D61" s="13">
        <f>'Interpreted Data'!T61</f>
        <v>25</v>
      </c>
      <c r="E61" s="14">
        <f>'Interpreted Data'!U61</f>
        <v>-13.240519915187205</v>
      </c>
    </row>
    <row r="62" spans="1:5" x14ac:dyDescent="0.25">
      <c r="A62">
        <f>'Interpreted Data'!A62</f>
        <v>13</v>
      </c>
      <c r="B62">
        <f>'Interpreted Data'!B62</f>
        <v>14</v>
      </c>
      <c r="C62" s="2">
        <f>'Interpreted Data'!J62/'Interpreted Data'!$H$1</f>
        <v>3.7500000000000004</v>
      </c>
      <c r="D62" s="13">
        <f>'Interpreted Data'!T62</f>
        <v>85</v>
      </c>
      <c r="E62" s="14" t="str">
        <f>'Interpreted Data'!U62</f>
        <v>9</v>
      </c>
    </row>
    <row r="63" spans="1:5" x14ac:dyDescent="0.25">
      <c r="A63">
        <f>'Interpreted Data'!A63</f>
        <v>14</v>
      </c>
      <c r="B63">
        <f>'Interpreted Data'!B63</f>
        <v>15</v>
      </c>
      <c r="C63" s="2">
        <f>'Interpreted Data'!J63/'Interpreted Data'!$H$1</f>
        <v>3.5365853658536586</v>
      </c>
      <c r="D63" s="13">
        <f>'Interpreted Data'!T63</f>
        <v>63</v>
      </c>
      <c r="E63" s="14" t="str">
        <f>'Interpreted Data'!U63</f>
        <v>10</v>
      </c>
    </row>
    <row r="64" spans="1:5" x14ac:dyDescent="0.25">
      <c r="A64">
        <f>'Interpreted Data'!A64</f>
        <v>15</v>
      </c>
      <c r="B64">
        <f>'Interpreted Data'!B64</f>
        <v>16</v>
      </c>
      <c r="C64" s="2">
        <f>'Interpreted Data'!J64/'Interpreted Data'!$H$1</f>
        <v>3.8109756097560976</v>
      </c>
      <c r="D64" s="13">
        <f>'Interpreted Data'!T64</f>
        <v>125</v>
      </c>
      <c r="E64" s="14">
        <f>'Interpreted Data'!U64</f>
        <v>-16.26020470831196</v>
      </c>
    </row>
    <row r="65" spans="1:5" x14ac:dyDescent="0.25">
      <c r="A65">
        <f>'Interpreted Data'!A65</f>
        <v>16</v>
      </c>
      <c r="B65">
        <f>'Interpreted Data'!B65</f>
        <v>17</v>
      </c>
      <c r="C65" s="2">
        <f>'Interpreted Data'!J65/'Interpreted Data'!$H$1</f>
        <v>4.4207317073170733</v>
      </c>
      <c r="D65" s="13">
        <f>'Interpreted Data'!T65</f>
        <v>85</v>
      </c>
      <c r="E65" s="14" t="str">
        <f>'Interpreted Data'!U65</f>
        <v>6</v>
      </c>
    </row>
    <row r="66" spans="1:5" x14ac:dyDescent="0.25">
      <c r="A66">
        <f>'Interpreted Data'!A66</f>
        <v>17</v>
      </c>
      <c r="B66">
        <f>'Interpreted Data'!B66</f>
        <v>18</v>
      </c>
      <c r="C66" s="2">
        <f>'Interpreted Data'!J66/'Interpreted Data'!$H$1</f>
        <v>3.8414634146341466</v>
      </c>
      <c r="D66" s="13">
        <f>'Interpreted Data'!T66</f>
        <v>22</v>
      </c>
      <c r="E66" s="14" t="str">
        <f>'Interpreted Data'!U66</f>
        <v>6</v>
      </c>
    </row>
    <row r="67" spans="1:5" x14ac:dyDescent="0.25">
      <c r="A67">
        <f>'Interpreted Data'!A67</f>
        <v>18</v>
      </c>
      <c r="B67">
        <f>'Interpreted Data'!B67</f>
        <v>19</v>
      </c>
      <c r="C67" s="2">
        <f>'Interpreted Data'!J67/'Interpreted Data'!$H$1</f>
        <v>3.3536585365853662</v>
      </c>
      <c r="D67" s="13" t="str">
        <f>'Interpreted Data'!T67</f>
        <v>-</v>
      </c>
      <c r="E67" s="14" t="str">
        <f>'Interpreted Data'!U67</f>
        <v>-90</v>
      </c>
    </row>
    <row r="68" spans="1:5" x14ac:dyDescent="0.25">
      <c r="A68" t="str">
        <f>'Interpreted Data'!A68</f>
        <v/>
      </c>
      <c r="B68" t="str">
        <f>'Interpreted Data'!B68</f>
        <v/>
      </c>
      <c r="C68" s="2" t="e">
        <f>'Interpreted Data'!J68/'Interpreted Data'!$H$1</f>
        <v>#VALUE!</v>
      </c>
      <c r="D68" s="13">
        <f>'Interpreted Data'!T68</f>
        <v>0</v>
      </c>
      <c r="E68" s="14">
        <f>'Interpreted Data'!U68</f>
        <v>0</v>
      </c>
    </row>
    <row r="69" spans="1:5" x14ac:dyDescent="0.25">
      <c r="A69" t="str">
        <f>'Interpreted Data'!A69</f>
        <v/>
      </c>
      <c r="B69" t="str">
        <f>'Interpreted Data'!B69</f>
        <v/>
      </c>
      <c r="C69" s="2" t="e">
        <f>'Interpreted Data'!J69/'Interpreted Data'!$H$1</f>
        <v>#VALUE!</v>
      </c>
      <c r="D69" s="13">
        <f>'Interpreted Data'!T69</f>
        <v>0</v>
      </c>
      <c r="E69" s="14">
        <f>'Interpreted Data'!U69</f>
        <v>0</v>
      </c>
    </row>
    <row r="70" spans="1:5" x14ac:dyDescent="0.25">
      <c r="A70" t="str">
        <f>'Interpreted Data'!A70</f>
        <v>30th March 1952</v>
      </c>
      <c r="B70" t="str">
        <f>'Interpreted Data'!B70</f>
        <v/>
      </c>
      <c r="C70" s="2" t="e">
        <f>'Interpreted Data'!J70/'Interpreted Data'!$H$1</f>
        <v>#VALUE!</v>
      </c>
      <c r="D70" s="13">
        <f>'Interpreted Data'!T70</f>
        <v>0</v>
      </c>
      <c r="E70" s="14">
        <f>'Interpreted Data'!U70</f>
        <v>0</v>
      </c>
    </row>
    <row r="71" spans="1:5" x14ac:dyDescent="0.25">
      <c r="A71" t="str">
        <f>'Interpreted Data'!A71</f>
        <v>B1</v>
      </c>
      <c r="B71" t="str">
        <f>'Interpreted Data'!B71</f>
        <v>AA</v>
      </c>
      <c r="C71" s="2">
        <f>'Interpreted Data'!J71/'Interpreted Data'!$H$1</f>
        <v>23.810975609756099</v>
      </c>
      <c r="D71" s="13">
        <f>'Interpreted Data'!T71</f>
        <v>113.66666666666667</v>
      </c>
      <c r="E71" s="14">
        <f>'Interpreted Data'!U71</f>
        <v>9.5</v>
      </c>
    </row>
    <row r="72" spans="1:5" x14ac:dyDescent="0.25">
      <c r="A72" t="str">
        <f>'Interpreted Data'!A72</f>
        <v>AA</v>
      </c>
      <c r="B72" t="str">
        <f>'Interpreted Data'!B72</f>
        <v>AB</v>
      </c>
      <c r="C72" s="2">
        <f>'Interpreted Data'!J72/'Interpreted Data'!$H$1</f>
        <v>7.3475609756097571</v>
      </c>
      <c r="D72" s="13">
        <f>'Interpreted Data'!T72</f>
        <v>115.5</v>
      </c>
      <c r="E72" s="14">
        <f>'Interpreted Data'!U72</f>
        <v>-5.5</v>
      </c>
    </row>
    <row r="73" spans="1:5" x14ac:dyDescent="0.25">
      <c r="A73" t="str">
        <f>'Interpreted Data'!A73</f>
        <v>AB</v>
      </c>
      <c r="B73" t="str">
        <f>'Interpreted Data'!B73</f>
        <v>AC</v>
      </c>
      <c r="C73" s="2">
        <f>'Interpreted Data'!J73/'Interpreted Data'!$H$1</f>
        <v>8.9024390243902438</v>
      </c>
      <c r="D73" s="13">
        <f>'Interpreted Data'!T73</f>
        <v>97.833333333333329</v>
      </c>
      <c r="E73" s="14">
        <f>'Interpreted Data'!U73</f>
        <v>0.5</v>
      </c>
    </row>
    <row r="74" spans="1:5" x14ac:dyDescent="0.25">
      <c r="A74" t="str">
        <f>'Interpreted Data'!A74</f>
        <v>AC</v>
      </c>
      <c r="B74" t="str">
        <f>'Interpreted Data'!B74</f>
        <v>AD</v>
      </c>
      <c r="C74" s="2">
        <f>'Interpreted Data'!J74/'Interpreted Data'!$H$1</f>
        <v>3.2317073170731709</v>
      </c>
      <c r="D74" s="13">
        <f>'Interpreted Data'!T74</f>
        <v>121</v>
      </c>
      <c r="E74" s="14">
        <f>'Interpreted Data'!U74</f>
        <v>22.5</v>
      </c>
    </row>
    <row r="75" spans="1:5" x14ac:dyDescent="0.25">
      <c r="A75" t="str">
        <f>'Interpreted Data'!A75</f>
        <v>AD</v>
      </c>
      <c r="B75" t="str">
        <f>'Interpreted Data'!B75</f>
        <v>AE</v>
      </c>
      <c r="C75" s="2">
        <f>'Interpreted Data'!J75/'Interpreted Data'!$H$1</f>
        <v>14.725609756097562</v>
      </c>
      <c r="D75" s="13">
        <f>'Interpreted Data'!T75</f>
        <v>110</v>
      </c>
      <c r="E75" s="14">
        <f>'Interpreted Data'!U75</f>
        <v>9.6666666600000006</v>
      </c>
    </row>
    <row r="76" spans="1:5" x14ac:dyDescent="0.25">
      <c r="A76" t="str">
        <f>'Interpreted Data'!A76</f>
        <v>AE</v>
      </c>
      <c r="B76" t="str">
        <f>'Interpreted Data'!B76</f>
        <v>AF</v>
      </c>
      <c r="C76" s="2">
        <f>'Interpreted Data'!J76/'Interpreted Data'!$H$1</f>
        <v>5.1829268292682933</v>
      </c>
      <c r="D76" s="13">
        <f>'Interpreted Data'!T76</f>
        <v>50.5</v>
      </c>
      <c r="E76" s="14">
        <f>'Interpreted Data'!U76</f>
        <v>10.33333333</v>
      </c>
    </row>
    <row r="77" spans="1:5" x14ac:dyDescent="0.25">
      <c r="A77" t="str">
        <f>'Interpreted Data'!A77</f>
        <v>AF</v>
      </c>
      <c r="B77" t="str">
        <f>'Interpreted Data'!B77</f>
        <v>AG</v>
      </c>
      <c r="C77" s="2">
        <f>'Interpreted Data'!J77/'Interpreted Data'!$H$1</f>
        <v>6.1585365853658542</v>
      </c>
      <c r="D77" s="13">
        <f>'Interpreted Data'!T77</f>
        <v>133</v>
      </c>
      <c r="E77" s="14">
        <f>'Interpreted Data'!U77</f>
        <v>3</v>
      </c>
    </row>
    <row r="78" spans="1:5" x14ac:dyDescent="0.25">
      <c r="A78" t="str">
        <f>'Interpreted Data'!A78</f>
        <v>AG</v>
      </c>
      <c r="B78" t="str">
        <f>'Interpreted Data'!B78</f>
        <v>AH</v>
      </c>
      <c r="C78" s="2">
        <f>'Interpreted Data'!J78/'Interpreted Data'!$H$1</f>
        <v>3.0792682926829271</v>
      </c>
      <c r="D78" s="13">
        <f>'Interpreted Data'!T78</f>
        <v>192.83333333333334</v>
      </c>
      <c r="E78" s="14">
        <f>'Interpreted Data'!U78</f>
        <v>11.33333333</v>
      </c>
    </row>
    <row r="79" spans="1:5" x14ac:dyDescent="0.25">
      <c r="A79" t="str">
        <f>'Interpreted Data'!A79</f>
        <v>AH</v>
      </c>
      <c r="B79" t="str">
        <f>'Interpreted Data'!B79</f>
        <v>AI</v>
      </c>
      <c r="C79" s="2">
        <f>'Interpreted Data'!J79/'Interpreted Data'!$H$1</f>
        <v>12.682926829268293</v>
      </c>
      <c r="D79" s="13">
        <f>'Interpreted Data'!T79</f>
        <v>112.16666666666667</v>
      </c>
      <c r="E79" s="14">
        <f>'Interpreted Data'!U79</f>
        <v>4.8333333300000003</v>
      </c>
    </row>
    <row r="80" spans="1:5" x14ac:dyDescent="0.25">
      <c r="A80" t="str">
        <f>'Interpreted Data'!A80</f>
        <v>AI</v>
      </c>
      <c r="B80" t="str">
        <f>'Interpreted Data'!B80</f>
        <v>AJ</v>
      </c>
      <c r="C80" s="2">
        <f>'Interpreted Data'!J80/'Interpreted Data'!$H$1</f>
        <v>10.426829268292684</v>
      </c>
      <c r="D80" s="13">
        <f>'Interpreted Data'!T80</f>
        <v>138.5</v>
      </c>
      <c r="E80" s="14">
        <f>'Interpreted Data'!U80</f>
        <v>6.5</v>
      </c>
    </row>
    <row r="81" spans="1:5" x14ac:dyDescent="0.25">
      <c r="A81" t="str">
        <f>'Interpreted Data'!A81</f>
        <v>AJ</v>
      </c>
      <c r="B81" t="str">
        <f>'Interpreted Data'!B81</f>
        <v>AK</v>
      </c>
      <c r="C81" s="2">
        <f>'Interpreted Data'!J81/'Interpreted Data'!$H$1</f>
        <v>9.6951219512195124</v>
      </c>
      <c r="D81" s="13">
        <f>'Interpreted Data'!T81</f>
        <v>106</v>
      </c>
      <c r="E81" s="14">
        <f>'Interpreted Data'!U81</f>
        <v>14.5</v>
      </c>
    </row>
    <row r="82" spans="1:5" x14ac:dyDescent="0.25">
      <c r="A82" t="str">
        <f>'Interpreted Data'!A82</f>
        <v>AK</v>
      </c>
      <c r="B82" t="str">
        <f>'Interpreted Data'!B82</f>
        <v>AL</v>
      </c>
      <c r="C82" s="2">
        <f>'Interpreted Data'!J82/'Interpreted Data'!$H$1</f>
        <v>3.4451219512195128</v>
      </c>
      <c r="D82" s="13">
        <f>'Interpreted Data'!T82</f>
        <v>44</v>
      </c>
      <c r="E82" s="14">
        <f>'Interpreted Data'!U82</f>
        <v>-0.5</v>
      </c>
    </row>
    <row r="83" spans="1:5" x14ac:dyDescent="0.25">
      <c r="A83" t="str">
        <f>'Interpreted Data'!A83</f>
        <v>AL</v>
      </c>
      <c r="B83" t="str">
        <f>'Interpreted Data'!B83</f>
        <v/>
      </c>
      <c r="C83" s="2" t="e">
        <f>'Interpreted Data'!J83/'Interpreted Data'!$H$1</f>
        <v>#VALUE!</v>
      </c>
      <c r="D83" s="13">
        <f>'Interpreted Data'!T83</f>
        <v>0</v>
      </c>
      <c r="E83" s="14">
        <f>'Interpreted Data'!U83</f>
        <v>0</v>
      </c>
    </row>
    <row r="84" spans="1:5" x14ac:dyDescent="0.25">
      <c r="A84" t="str">
        <f>'Interpreted Data'!A84</f>
        <v/>
      </c>
      <c r="B84" t="str">
        <f>'Interpreted Data'!B84</f>
        <v/>
      </c>
      <c r="C84" s="2" t="e">
        <f>'Interpreted Data'!J84/'Interpreted Data'!$H$1</f>
        <v>#VALUE!</v>
      </c>
      <c r="D84" s="13">
        <f>'Interpreted Data'!T84</f>
        <v>0</v>
      </c>
      <c r="E84" s="14">
        <f>'Interpreted Data'!U84</f>
        <v>0</v>
      </c>
    </row>
    <row r="85" spans="1:5" x14ac:dyDescent="0.25">
      <c r="A85" t="str">
        <f>'Interpreted Data'!A85</f>
        <v>2nd April 1952</v>
      </c>
      <c r="B85" t="str">
        <f>'Interpreted Data'!B85</f>
        <v>Cono &amp; Roy Blewett</v>
      </c>
      <c r="C85" s="2" t="e">
        <f>'Interpreted Data'!J85/'Interpreted Data'!$H$1</f>
        <v>#VALUE!</v>
      </c>
      <c r="D85" s="13">
        <f>'Interpreted Data'!T85</f>
        <v>0</v>
      </c>
      <c r="E85" s="14">
        <f>'Interpreted Data'!U85</f>
        <v>0</v>
      </c>
    </row>
    <row r="86" spans="1:5" x14ac:dyDescent="0.25">
      <c r="A86" t="str">
        <f>'Interpreted Data'!A86</f>
        <v>AL</v>
      </c>
      <c r="B86" t="str">
        <f>'Interpreted Data'!B86</f>
        <v>AN</v>
      </c>
      <c r="C86" s="2">
        <f>'Interpreted Data'!J86/'Interpreted Data'!$H$1</f>
        <v>3.9024390243902443</v>
      </c>
      <c r="D86" s="13">
        <f>'Interpreted Data'!T86</f>
        <v>306.66666666666669</v>
      </c>
      <c r="E86" s="14">
        <f>'Interpreted Data'!U86</f>
        <v>-4.5</v>
      </c>
    </row>
    <row r="87" spans="1:5" x14ac:dyDescent="0.25">
      <c r="A87" t="str">
        <f>'Interpreted Data'!A87</f>
        <v>AN</v>
      </c>
      <c r="B87" t="str">
        <f>'Interpreted Data'!B87</f>
        <v>AO</v>
      </c>
      <c r="C87" s="2">
        <f>'Interpreted Data'!J87/'Interpreted Data'!$H$1</f>
        <v>5.1219512195121952</v>
      </c>
      <c r="D87" s="13">
        <f>'Interpreted Data'!T87</f>
        <v>25.333333333333332</v>
      </c>
      <c r="E87" s="14">
        <f>'Interpreted Data'!U87</f>
        <v>26</v>
      </c>
    </row>
    <row r="88" spans="1:5" x14ac:dyDescent="0.25">
      <c r="A88" t="str">
        <f>'Interpreted Data'!A88</f>
        <v>AO</v>
      </c>
      <c r="B88" t="str">
        <f>'Interpreted Data'!B88</f>
        <v>AP</v>
      </c>
      <c r="C88" s="2">
        <f>'Interpreted Data'!J88/'Interpreted Data'!$H$1</f>
        <v>8.4451219512195124</v>
      </c>
      <c r="D88" s="13">
        <f>'Interpreted Data'!T88</f>
        <v>63.833333333333336</v>
      </c>
      <c r="E88" s="14">
        <f>'Interpreted Data'!U88</f>
        <v>12</v>
      </c>
    </row>
    <row r="89" spans="1:5" x14ac:dyDescent="0.25">
      <c r="A89" t="str">
        <f>'Interpreted Data'!A89</f>
        <v>AP</v>
      </c>
      <c r="B89" t="str">
        <f>'Interpreted Data'!B89</f>
        <v>AQ</v>
      </c>
      <c r="C89" s="2">
        <f>'Interpreted Data'!J89/'Interpreted Data'!$H$1</f>
        <v>7.0731707317073171</v>
      </c>
      <c r="D89" s="13">
        <f>'Interpreted Data'!T89</f>
        <v>94</v>
      </c>
      <c r="E89" s="14">
        <f>'Interpreted Data'!U89</f>
        <v>10.5</v>
      </c>
    </row>
    <row r="90" spans="1:5" x14ac:dyDescent="0.25">
      <c r="A90" t="str">
        <f>'Interpreted Data'!A90</f>
        <v>AQ</v>
      </c>
      <c r="B90" t="str">
        <f>'Interpreted Data'!B90</f>
        <v>AR</v>
      </c>
      <c r="C90" s="2">
        <f>'Interpreted Data'!J90/'Interpreted Data'!$H$1</f>
        <v>3.2621951219512195</v>
      </c>
      <c r="D90" s="13">
        <f>'Interpreted Data'!T90</f>
        <v>136</v>
      </c>
      <c r="E90" s="14">
        <f>'Interpreted Data'!U90</f>
        <v>-5.5</v>
      </c>
    </row>
    <row r="91" spans="1:5" x14ac:dyDescent="0.25">
      <c r="A91" t="str">
        <f>'Interpreted Data'!A91</f>
        <v>AR</v>
      </c>
      <c r="B91" t="str">
        <f>'Interpreted Data'!B91</f>
        <v>AS</v>
      </c>
      <c r="C91" s="2">
        <f>'Interpreted Data'!J91/'Interpreted Data'!$H$1</f>
        <v>8.0792682926829276</v>
      </c>
      <c r="D91" s="13">
        <f>'Interpreted Data'!T91</f>
        <v>12.333333333333334</v>
      </c>
      <c r="E91" s="14">
        <f>'Interpreted Data'!U91</f>
        <v>28.5</v>
      </c>
    </row>
    <row r="92" spans="1:5" x14ac:dyDescent="0.25">
      <c r="A92" t="str">
        <f>'Interpreted Data'!A92</f>
        <v>AS</v>
      </c>
      <c r="B92" t="str">
        <f>'Interpreted Data'!B92</f>
        <v>AT</v>
      </c>
      <c r="C92" s="2">
        <f>'Interpreted Data'!J92/'Interpreted Data'!$H$1</f>
        <v>11.76829268292683</v>
      </c>
      <c r="D92" s="13">
        <f>'Interpreted Data'!T92</f>
        <v>349.5</v>
      </c>
      <c r="E92" s="14">
        <f>'Interpreted Data'!U92</f>
        <v>10.5</v>
      </c>
    </row>
    <row r="93" spans="1:5" x14ac:dyDescent="0.25">
      <c r="A93" t="str">
        <f>'Interpreted Data'!A93</f>
        <v>AT</v>
      </c>
      <c r="B93" t="str">
        <f>'Interpreted Data'!B93</f>
        <v>AU</v>
      </c>
      <c r="C93" s="2">
        <f>'Interpreted Data'!J93/'Interpreted Data'!$H$1</f>
        <v>7.1036585365853666</v>
      </c>
      <c r="D93" s="13">
        <f>'Interpreted Data'!T93</f>
        <v>321.66666666666669</v>
      </c>
      <c r="E93" s="14">
        <f>'Interpreted Data'!U93</f>
        <v>-4</v>
      </c>
    </row>
    <row r="94" spans="1:5" x14ac:dyDescent="0.25">
      <c r="A94" t="str">
        <f>'Interpreted Data'!A94</f>
        <v>AU</v>
      </c>
      <c r="B94" t="str">
        <f>'Interpreted Data'!B94</f>
        <v>AV</v>
      </c>
      <c r="C94" s="2">
        <f>'Interpreted Data'!J94/'Interpreted Data'!$H$1</f>
        <v>7.1036585365853666</v>
      </c>
      <c r="D94" s="13">
        <f>'Interpreted Data'!T94</f>
        <v>65.5</v>
      </c>
      <c r="E94" s="14">
        <f>'Interpreted Data'!U94</f>
        <v>9</v>
      </c>
    </row>
    <row r="95" spans="1:5" x14ac:dyDescent="0.25">
      <c r="A95" t="str">
        <f>'Interpreted Data'!A95</f>
        <v>AV</v>
      </c>
      <c r="B95" t="str">
        <f>'Interpreted Data'!B95</f>
        <v>AW</v>
      </c>
      <c r="C95" s="2">
        <f>'Interpreted Data'!J95/'Interpreted Data'!$H$1</f>
        <v>7.3475609756097571</v>
      </c>
      <c r="D95" s="13">
        <f>'Interpreted Data'!T95</f>
        <v>108.5</v>
      </c>
      <c r="E95" s="14">
        <f>'Interpreted Data'!U95</f>
        <v>27.5</v>
      </c>
    </row>
    <row r="96" spans="1:5" x14ac:dyDescent="0.25">
      <c r="A96" t="str">
        <f>'Interpreted Data'!A96</f>
        <v>AW</v>
      </c>
      <c r="B96" t="str">
        <f>'Interpreted Data'!B96</f>
        <v>AX</v>
      </c>
      <c r="C96" s="2">
        <f>'Interpreted Data'!J96/'Interpreted Data'!$H$1</f>
        <v>4.4512195121951219</v>
      </c>
      <c r="D96" s="13">
        <f>'Interpreted Data'!T96</f>
        <v>79.666666666666671</v>
      </c>
      <c r="E96" s="14">
        <f>'Interpreted Data'!U96</f>
        <v>23.5</v>
      </c>
    </row>
    <row r="97" spans="1:5" x14ac:dyDescent="0.25">
      <c r="A97" t="str">
        <f>'Interpreted Data'!A97</f>
        <v>AX</v>
      </c>
      <c r="B97" t="str">
        <f>'Interpreted Data'!B97</f>
        <v>AY</v>
      </c>
      <c r="C97" s="2">
        <f>'Interpreted Data'!J97/'Interpreted Data'!$H$1</f>
        <v>4.5731707317073171</v>
      </c>
      <c r="D97" s="13">
        <f>'Interpreted Data'!T97</f>
        <v>128</v>
      </c>
      <c r="E97" s="14">
        <f>'Interpreted Data'!U97</f>
        <v>13.5</v>
      </c>
    </row>
    <row r="98" spans="1:5" x14ac:dyDescent="0.25">
      <c r="A98" t="str">
        <f>'Interpreted Data'!A98</f>
        <v>AY</v>
      </c>
      <c r="B98" t="str">
        <f>'Interpreted Data'!B98</f>
        <v/>
      </c>
      <c r="C98" s="2" t="e">
        <f>'Interpreted Data'!J98/'Interpreted Data'!$H$1</f>
        <v>#VALUE!</v>
      </c>
      <c r="D98" s="13">
        <f>'Interpreted Data'!T98</f>
        <v>0</v>
      </c>
      <c r="E98" s="14">
        <f>'Interpreted Data'!U98</f>
        <v>0</v>
      </c>
    </row>
    <row r="99" spans="1:5" x14ac:dyDescent="0.25">
      <c r="A99" t="str">
        <f>'Interpreted Data'!A99</f>
        <v/>
      </c>
      <c r="B99" t="str">
        <f>'Interpreted Data'!B99</f>
        <v/>
      </c>
      <c r="C99" s="2" t="e">
        <f>'Interpreted Data'!J99/'Interpreted Data'!$H$1</f>
        <v>#VALUE!</v>
      </c>
      <c r="D99" s="13">
        <f>'Interpreted Data'!T99</f>
        <v>0</v>
      </c>
      <c r="E99" s="14">
        <f>'Interpreted Data'!U99</f>
        <v>0</v>
      </c>
    </row>
    <row r="100" spans="1:5" x14ac:dyDescent="0.25">
      <c r="A100" t="str">
        <f>'Interpreted Data'!A100</f>
        <v>14th August '52</v>
      </c>
      <c r="B100" t="str">
        <f>'Interpreted Data'!B100</f>
        <v>Colin</v>
      </c>
      <c r="C100" s="2" t="e">
        <f>'Interpreted Data'!J100/'Interpreted Data'!$H$1</f>
        <v>#VALUE!</v>
      </c>
      <c r="D100" s="13">
        <f>'Interpreted Data'!T100</f>
        <v>0</v>
      </c>
      <c r="E100" s="14">
        <f>'Interpreted Data'!U100</f>
        <v>0</v>
      </c>
    </row>
    <row r="101" spans="1:5" x14ac:dyDescent="0.25">
      <c r="A101">
        <f>'Interpreted Data'!A101</f>
        <v>18</v>
      </c>
      <c r="B101">
        <f>'Interpreted Data'!B101</f>
        <v>19</v>
      </c>
      <c r="C101" s="2">
        <f>'Interpreted Data'!J101/'Interpreted Data'!$H$1</f>
        <v>3.0792682926829271</v>
      </c>
      <c r="D101" s="13" t="str">
        <f>'Interpreted Data'!T101</f>
        <v>-</v>
      </c>
      <c r="E101" s="14">
        <f>'Interpreted Data'!U101</f>
        <v>-90</v>
      </c>
    </row>
    <row r="102" spans="1:5" x14ac:dyDescent="0.25">
      <c r="A102">
        <f>'Interpreted Data'!A102</f>
        <v>19</v>
      </c>
      <c r="B102">
        <f>'Interpreted Data'!B102</f>
        <v>20</v>
      </c>
      <c r="C102" s="2">
        <f>'Interpreted Data'!J102/'Interpreted Data'!$H$1</f>
        <v>2.4390243902439024</v>
      </c>
      <c r="D102" s="13">
        <f>'Interpreted Data'!T102</f>
        <v>175</v>
      </c>
      <c r="E102" s="14">
        <f>'Interpreted Data'!U102</f>
        <v>1</v>
      </c>
    </row>
    <row r="103" spans="1:5" x14ac:dyDescent="0.25">
      <c r="A103">
        <f>'Interpreted Data'!A103</f>
        <v>20</v>
      </c>
      <c r="B103">
        <f>'Interpreted Data'!B103</f>
        <v>21</v>
      </c>
      <c r="C103" s="2">
        <f>'Interpreted Data'!J103/'Interpreted Data'!$H$1</f>
        <v>7.5609756097560981</v>
      </c>
      <c r="D103" s="13">
        <f>'Interpreted Data'!T103</f>
        <v>91</v>
      </c>
      <c r="E103" s="14">
        <f>'Interpreted Data'!U103</f>
        <v>23</v>
      </c>
    </row>
    <row r="104" spans="1:5" x14ac:dyDescent="0.25">
      <c r="A104">
        <f>'Interpreted Data'!A104</f>
        <v>21</v>
      </c>
      <c r="B104">
        <f>'Interpreted Data'!B104</f>
        <v>22</v>
      </c>
      <c r="C104" s="2">
        <f>'Interpreted Data'!J104/'Interpreted Data'!$H$1</f>
        <v>3.4146341463414633</v>
      </c>
      <c r="D104" s="13">
        <f>'Interpreted Data'!T104</f>
        <v>122</v>
      </c>
      <c r="E104" s="14">
        <f>'Interpreted Data'!U104</f>
        <v>10</v>
      </c>
    </row>
    <row r="105" spans="1:5" x14ac:dyDescent="0.25">
      <c r="A105">
        <f>'Interpreted Data'!A105</f>
        <v>22</v>
      </c>
      <c r="B105">
        <f>'Interpreted Data'!B105</f>
        <v>23</v>
      </c>
      <c r="C105" s="2">
        <f>'Interpreted Data'!J105/'Interpreted Data'!$H$1</f>
        <v>7.774390243902439</v>
      </c>
      <c r="D105" s="13">
        <f>'Interpreted Data'!T105</f>
        <v>172.66666666666666</v>
      </c>
      <c r="E105" s="14">
        <f>'Interpreted Data'!U105</f>
        <v>-9</v>
      </c>
    </row>
    <row r="106" spans="1:5" x14ac:dyDescent="0.25">
      <c r="A106">
        <f>'Interpreted Data'!A106</f>
        <v>23</v>
      </c>
      <c r="B106">
        <f>'Interpreted Data'!B106</f>
        <v>24</v>
      </c>
      <c r="C106" s="2">
        <f>'Interpreted Data'!J106/'Interpreted Data'!$H$1</f>
        <v>15.457317073170733</v>
      </c>
      <c r="D106" s="13">
        <f>'Interpreted Data'!T106</f>
        <v>68</v>
      </c>
      <c r="E106" s="14">
        <f>'Interpreted Data'!U106</f>
        <v>18</v>
      </c>
    </row>
    <row r="107" spans="1:5" x14ac:dyDescent="0.25">
      <c r="A107">
        <f>'Interpreted Data'!A107</f>
        <v>24</v>
      </c>
      <c r="B107">
        <f>'Interpreted Data'!B107</f>
        <v>25</v>
      </c>
      <c r="C107" s="2">
        <f>'Interpreted Data'!J107/'Interpreted Data'!$H$1</f>
        <v>4.2682926829268295</v>
      </c>
      <c r="D107" s="13">
        <f>'Interpreted Data'!T107</f>
        <v>46</v>
      </c>
      <c r="E107" s="14">
        <f>'Interpreted Data'!U107</f>
        <v>-46</v>
      </c>
    </row>
    <row r="108" spans="1:5" x14ac:dyDescent="0.25">
      <c r="A108">
        <f>'Interpreted Data'!A108</f>
        <v>25</v>
      </c>
      <c r="B108">
        <f>'Interpreted Data'!B108</f>
        <v>26</v>
      </c>
      <c r="C108" s="2">
        <f>'Interpreted Data'!J108/'Interpreted Data'!$H$1</f>
        <v>4.6646341463414638</v>
      </c>
      <c r="D108" s="13">
        <f>'Interpreted Data'!T108</f>
        <v>113</v>
      </c>
      <c r="E108" s="14">
        <f>'Interpreted Data'!U108</f>
        <v>-43</v>
      </c>
    </row>
    <row r="109" spans="1:5" x14ac:dyDescent="0.25">
      <c r="A109">
        <f>'Interpreted Data'!A109</f>
        <v>26</v>
      </c>
      <c r="B109">
        <f>'Interpreted Data'!B109</f>
        <v>27</v>
      </c>
      <c r="C109" s="2">
        <f>'Interpreted Data'!J109/'Interpreted Data'!$H$1</f>
        <v>7.0731707317073171</v>
      </c>
      <c r="D109" s="13">
        <f>'Interpreted Data'!T109</f>
        <v>61</v>
      </c>
      <c r="E109" s="14">
        <f>'Interpreted Data'!U109</f>
        <v>-55</v>
      </c>
    </row>
    <row r="110" spans="1:5" x14ac:dyDescent="0.25">
      <c r="A110">
        <f>'Interpreted Data'!A110</f>
        <v>27</v>
      </c>
      <c r="B110">
        <f>'Interpreted Data'!B110</f>
        <v>28</v>
      </c>
      <c r="C110" s="2">
        <f>'Interpreted Data'!J110/'Interpreted Data'!$H$1</f>
        <v>7.7134146341463419</v>
      </c>
      <c r="D110" s="13">
        <f>'Interpreted Data'!T110</f>
        <v>195.5</v>
      </c>
      <c r="E110" s="14">
        <f>'Interpreted Data'!U110</f>
        <v>-24.5</v>
      </c>
    </row>
    <row r="111" spans="1:5" x14ac:dyDescent="0.25">
      <c r="A111">
        <f>'Interpreted Data'!A111</f>
        <v>28</v>
      </c>
      <c r="B111">
        <f>'Interpreted Data'!B111</f>
        <v>29</v>
      </c>
      <c r="C111" s="2">
        <f>'Interpreted Data'!J111/'Interpreted Data'!$H$1</f>
        <v>15.548780487804878</v>
      </c>
      <c r="D111" s="13">
        <f>'Interpreted Data'!T111</f>
        <v>242</v>
      </c>
      <c r="E111" s="14">
        <f>'Interpreted Data'!U111</f>
        <v>-23.5</v>
      </c>
    </row>
    <row r="112" spans="1:5" x14ac:dyDescent="0.25">
      <c r="A112">
        <f>'Interpreted Data'!A112</f>
        <v>29</v>
      </c>
      <c r="B112">
        <f>'Interpreted Data'!B112</f>
        <v>30</v>
      </c>
      <c r="C112" s="2">
        <f>'Interpreted Data'!J112/'Interpreted Data'!$H$1</f>
        <v>4.1768292682926829</v>
      </c>
      <c r="D112" s="13">
        <f>'Interpreted Data'!T112</f>
        <v>160</v>
      </c>
      <c r="E112" s="14">
        <f>'Interpreted Data'!U112</f>
        <v>-3</v>
      </c>
    </row>
    <row r="113" spans="1:5" x14ac:dyDescent="0.25">
      <c r="A113">
        <f>'Interpreted Data'!A113</f>
        <v>30</v>
      </c>
      <c r="B113">
        <f>'Interpreted Data'!B113</f>
        <v>31</v>
      </c>
      <c r="C113" s="2">
        <f>'Interpreted Data'!J113/'Interpreted Data'!$H$1</f>
        <v>7.7439024390243905</v>
      </c>
      <c r="D113" s="13">
        <f>'Interpreted Data'!T113</f>
        <v>239</v>
      </c>
      <c r="E113" s="14">
        <f>'Interpreted Data'!U113</f>
        <v>-19</v>
      </c>
    </row>
    <row r="114" spans="1:5" x14ac:dyDescent="0.25">
      <c r="A114">
        <f>'Interpreted Data'!A114</f>
        <v>31</v>
      </c>
      <c r="B114">
        <f>'Interpreted Data'!B114</f>
        <v>32</v>
      </c>
      <c r="C114" s="2">
        <f>'Interpreted Data'!J114/'Interpreted Data'!$H$1</f>
        <v>3.4282177553342921</v>
      </c>
      <c r="D114" s="13">
        <f>'Interpreted Data'!T114</f>
        <v>286</v>
      </c>
      <c r="E114" s="14">
        <f>'Interpreted Data'!U114</f>
        <v>-5.1021652523581906</v>
      </c>
    </row>
    <row r="115" spans="1:5" x14ac:dyDescent="0.25">
      <c r="A115">
        <f>'Interpreted Data'!A115</f>
        <v>32</v>
      </c>
      <c r="B115">
        <f>'Interpreted Data'!B115</f>
        <v>33</v>
      </c>
      <c r="C115" s="2">
        <f>'Interpreted Data'!J115/'Interpreted Data'!$H$1</f>
        <v>4.2987804878048781</v>
      </c>
      <c r="D115" s="13">
        <f>'Interpreted Data'!T115</f>
        <v>182</v>
      </c>
      <c r="E115" s="14">
        <f>'Interpreted Data'!U115</f>
        <v>-9</v>
      </c>
    </row>
    <row r="116" spans="1:5" x14ac:dyDescent="0.25">
      <c r="A116">
        <f>'Interpreted Data'!A116</f>
        <v>33</v>
      </c>
      <c r="B116">
        <f>'Interpreted Data'!B116</f>
        <v>34</v>
      </c>
      <c r="C116" s="2">
        <f>'Interpreted Data'!J116/'Interpreted Data'!$H$1</f>
        <v>5.1918860871726844</v>
      </c>
      <c r="D116" s="13">
        <f>'Interpreted Data'!T116</f>
        <v>159</v>
      </c>
      <c r="E116" s="14">
        <f>'Interpreted Data'!U116</f>
        <v>3.3664606634298013</v>
      </c>
    </row>
    <row r="117" spans="1:5" x14ac:dyDescent="0.25">
      <c r="A117">
        <f>'Interpreted Data'!A117</f>
        <v>34</v>
      </c>
      <c r="B117">
        <f>'Interpreted Data'!B117</f>
        <v>35</v>
      </c>
      <c r="C117" s="2">
        <f>'Interpreted Data'!J117/'Interpreted Data'!$H$1</f>
        <v>4.2378048780487809</v>
      </c>
      <c r="D117" s="13">
        <f>'Interpreted Data'!T117</f>
        <v>161</v>
      </c>
      <c r="E117" s="14">
        <f>'Interpreted Data'!U117</f>
        <v>-12.5</v>
      </c>
    </row>
    <row r="118" spans="1:5" x14ac:dyDescent="0.25">
      <c r="A118">
        <f>'Interpreted Data'!A118</f>
        <v>35</v>
      </c>
      <c r="B118" t="str">
        <f>'Interpreted Data'!B118</f>
        <v/>
      </c>
      <c r="C118" s="2" t="e">
        <f>'Interpreted Data'!J118/'Interpreted Data'!$H$1</f>
        <v>#VALUE!</v>
      </c>
      <c r="D118" s="13">
        <f>'Interpreted Data'!T118</f>
        <v>0</v>
      </c>
      <c r="E118" s="14">
        <f>'Interpreted Data'!U118</f>
        <v>0</v>
      </c>
    </row>
    <row r="119" spans="1:5" x14ac:dyDescent="0.25">
      <c r="A119">
        <f>'Interpreted Data'!A119</f>
        <v>35</v>
      </c>
      <c r="B119" t="str">
        <f>CONCATENATE('Interpreted Data'!B119,"2")</f>
        <v>e2</v>
      </c>
      <c r="C119" s="2">
        <f>'Interpreted Data'!J119/'Interpreted Data'!$H$1</f>
        <v>5.4878048780487809</v>
      </c>
      <c r="D119" s="13">
        <f>'Interpreted Data'!T119</f>
        <v>234</v>
      </c>
      <c r="E119" s="14" t="str">
        <f>'Interpreted Data'!U119</f>
        <v>45</v>
      </c>
    </row>
    <row r="120" spans="1:5" x14ac:dyDescent="0.25">
      <c r="C120" s="2"/>
      <c r="D120" s="13"/>
      <c r="E120" s="14"/>
    </row>
    <row r="121" spans="1:5" x14ac:dyDescent="0.25">
      <c r="C121" s="2"/>
      <c r="D121" s="13"/>
      <c r="E121" s="14"/>
    </row>
    <row r="122" spans="1:5" x14ac:dyDescent="0.25">
      <c r="C122" s="2"/>
      <c r="D122" s="13"/>
      <c r="E122" s="14"/>
    </row>
    <row r="123" spans="1:5" x14ac:dyDescent="0.25">
      <c r="C123" s="2"/>
      <c r="D123" s="13"/>
      <c r="E123" s="14"/>
    </row>
    <row r="124" spans="1:5" x14ac:dyDescent="0.25">
      <c r="C124" s="2"/>
      <c r="D124" s="13"/>
      <c r="E124" s="14"/>
    </row>
    <row r="125" spans="1:5" x14ac:dyDescent="0.25">
      <c r="C125" s="2"/>
      <c r="D125" s="13"/>
      <c r="E125" s="14"/>
    </row>
    <row r="126" spans="1:5" x14ac:dyDescent="0.25">
      <c r="C126" s="2"/>
      <c r="D126" s="13"/>
      <c r="E126" s="14"/>
    </row>
    <row r="127" spans="1:5" x14ac:dyDescent="0.25">
      <c r="C127" s="2"/>
      <c r="D127" s="13"/>
      <c r="E127" s="14"/>
    </row>
    <row r="128" spans="1:5" x14ac:dyDescent="0.25">
      <c r="C128" s="2"/>
      <c r="D128" s="13"/>
      <c r="E128" s="14"/>
    </row>
    <row r="129" spans="3:5" x14ac:dyDescent="0.25">
      <c r="C129" s="2"/>
      <c r="D129" s="13"/>
      <c r="E129" s="14"/>
    </row>
    <row r="130" spans="3:5" x14ac:dyDescent="0.25">
      <c r="C130" s="2"/>
      <c r="D130" s="13"/>
      <c r="E130" s="14"/>
    </row>
    <row r="131" spans="3:5" x14ac:dyDescent="0.25">
      <c r="C131" s="2"/>
      <c r="D131" s="13"/>
      <c r="E131" s="14"/>
    </row>
    <row r="132" spans="3:5" x14ac:dyDescent="0.25">
      <c r="C132" s="2"/>
      <c r="D132" s="13"/>
      <c r="E132" s="14"/>
    </row>
    <row r="133" spans="3:5" x14ac:dyDescent="0.25">
      <c r="C133" s="2"/>
      <c r="D133" s="13"/>
      <c r="E133" s="14"/>
    </row>
    <row r="134" spans="3:5" x14ac:dyDescent="0.25">
      <c r="C134" s="2"/>
      <c r="D134" s="13"/>
      <c r="E134" s="14"/>
    </row>
    <row r="135" spans="3:5" x14ac:dyDescent="0.25">
      <c r="C135" s="2"/>
      <c r="D135" s="13"/>
      <c r="E135" s="14"/>
    </row>
    <row r="136" spans="3:5" x14ac:dyDescent="0.25">
      <c r="C136" s="2"/>
      <c r="D136" s="13"/>
      <c r="E136" s="14"/>
    </row>
    <row r="137" spans="3:5" x14ac:dyDescent="0.25">
      <c r="C137" s="2"/>
      <c r="D137" s="13"/>
      <c r="E137" s="14"/>
    </row>
    <row r="138" spans="3:5" x14ac:dyDescent="0.25">
      <c r="C138" s="2"/>
      <c r="D138" s="13"/>
      <c r="E138" s="14"/>
    </row>
    <row r="139" spans="3:5" x14ac:dyDescent="0.25">
      <c r="C139" s="2"/>
      <c r="D139" s="13"/>
      <c r="E139" s="14"/>
    </row>
    <row r="140" spans="3:5" x14ac:dyDescent="0.25">
      <c r="C140" s="2"/>
      <c r="D140" s="13"/>
      <c r="E140" s="14"/>
    </row>
    <row r="141" spans="3:5" x14ac:dyDescent="0.25">
      <c r="C141" s="2"/>
      <c r="D141" s="13"/>
      <c r="E141" s="14"/>
    </row>
    <row r="142" spans="3:5" x14ac:dyDescent="0.25">
      <c r="C142" s="2"/>
      <c r="D142" s="13"/>
      <c r="E142" s="14"/>
    </row>
    <row r="143" spans="3:5" x14ac:dyDescent="0.25">
      <c r="C143" s="2"/>
      <c r="D143" s="13"/>
      <c r="E143" s="14"/>
    </row>
    <row r="144" spans="3:5" x14ac:dyDescent="0.25">
      <c r="C144" s="2"/>
      <c r="D144" s="13"/>
      <c r="E144" s="14"/>
    </row>
    <row r="145" spans="3:5" x14ac:dyDescent="0.25">
      <c r="C145" s="2"/>
      <c r="D145" s="13"/>
      <c r="E145" s="14"/>
    </row>
    <row r="146" spans="3:5" x14ac:dyDescent="0.25">
      <c r="C146" s="2"/>
      <c r="D146" s="13"/>
      <c r="E146" s="14"/>
    </row>
    <row r="147" spans="3:5" x14ac:dyDescent="0.25">
      <c r="C147" s="2"/>
      <c r="D147" s="13"/>
      <c r="E147" s="14"/>
    </row>
    <row r="148" spans="3:5" x14ac:dyDescent="0.25">
      <c r="C148" s="2"/>
      <c r="D148" s="13"/>
      <c r="E148" s="14"/>
    </row>
    <row r="149" spans="3:5" x14ac:dyDescent="0.25">
      <c r="C149" s="2"/>
      <c r="D149" s="13"/>
      <c r="E149" s="14"/>
    </row>
    <row r="150" spans="3:5" x14ac:dyDescent="0.25">
      <c r="C150" s="2"/>
      <c r="D150" s="13"/>
      <c r="E150" s="14"/>
    </row>
    <row r="151" spans="3:5" x14ac:dyDescent="0.25">
      <c r="C151" s="2"/>
      <c r="D151" s="13"/>
      <c r="E151" s="14"/>
    </row>
    <row r="152" spans="3:5" x14ac:dyDescent="0.25">
      <c r="C152" s="2"/>
      <c r="D152" s="13"/>
      <c r="E152" s="14"/>
    </row>
    <row r="153" spans="3:5" x14ac:dyDescent="0.25">
      <c r="C153" s="2"/>
      <c r="D153" s="13"/>
      <c r="E153" s="14"/>
    </row>
    <row r="154" spans="3:5" x14ac:dyDescent="0.25">
      <c r="C154" s="2"/>
      <c r="D154" s="13"/>
      <c r="E154" s="14"/>
    </row>
    <row r="155" spans="3:5" x14ac:dyDescent="0.25">
      <c r="C155" s="2"/>
      <c r="D155" s="13"/>
      <c r="E155" s="14"/>
    </row>
    <row r="156" spans="3:5" x14ac:dyDescent="0.25">
      <c r="C156" s="2"/>
      <c r="D156" s="13"/>
      <c r="E156" s="14"/>
    </row>
    <row r="157" spans="3:5" x14ac:dyDescent="0.25">
      <c r="C157" s="2"/>
      <c r="D157" s="13"/>
      <c r="E157" s="14"/>
    </row>
    <row r="158" spans="3:5" x14ac:dyDescent="0.25">
      <c r="C158" s="2"/>
      <c r="D158" s="13"/>
      <c r="E158" s="14"/>
    </row>
    <row r="159" spans="3:5" x14ac:dyDescent="0.25">
      <c r="C159" s="2"/>
      <c r="D159" s="13"/>
      <c r="E159" s="14"/>
    </row>
    <row r="160" spans="3:5" x14ac:dyDescent="0.25">
      <c r="C160" s="2"/>
      <c r="D160" s="13"/>
      <c r="E160" s="14"/>
    </row>
    <row r="161" spans="3:5" x14ac:dyDescent="0.25">
      <c r="C161" s="2"/>
      <c r="D161" s="13"/>
      <c r="E161" s="14"/>
    </row>
    <row r="162" spans="3:5" x14ac:dyDescent="0.25">
      <c r="C162" s="2"/>
      <c r="D162" s="13"/>
      <c r="E162" s="14"/>
    </row>
    <row r="163" spans="3:5" x14ac:dyDescent="0.25">
      <c r="C163" s="2"/>
      <c r="D163" s="13"/>
      <c r="E163" s="14"/>
    </row>
    <row r="164" spans="3:5" x14ac:dyDescent="0.25">
      <c r="C164" s="2"/>
      <c r="D164" s="13"/>
      <c r="E164" s="14"/>
    </row>
    <row r="165" spans="3:5" x14ac:dyDescent="0.25">
      <c r="C165" s="2"/>
      <c r="D165" s="13"/>
      <c r="E165" s="14"/>
    </row>
    <row r="166" spans="3:5" x14ac:dyDescent="0.25">
      <c r="C166" s="2"/>
      <c r="D166" s="13"/>
      <c r="E166" s="14"/>
    </row>
    <row r="167" spans="3:5" x14ac:dyDescent="0.25">
      <c r="C167" s="2"/>
      <c r="D167" s="13"/>
      <c r="E167" s="14"/>
    </row>
    <row r="168" spans="3:5" x14ac:dyDescent="0.25">
      <c r="C168" s="2"/>
      <c r="D168" s="13"/>
      <c r="E168" s="14"/>
    </row>
    <row r="169" spans="3:5" x14ac:dyDescent="0.25">
      <c r="C169" s="2"/>
      <c r="D169" s="13"/>
      <c r="E169" s="14"/>
    </row>
    <row r="170" spans="3:5" x14ac:dyDescent="0.25">
      <c r="C170" s="2"/>
      <c r="D170" s="13"/>
      <c r="E170" s="14"/>
    </row>
    <row r="171" spans="3:5" x14ac:dyDescent="0.25">
      <c r="C171" s="2"/>
      <c r="D171" s="13"/>
      <c r="E171" s="14"/>
    </row>
    <row r="172" spans="3:5" x14ac:dyDescent="0.25">
      <c r="C172" s="2"/>
      <c r="D172" s="13"/>
      <c r="E172" s="14"/>
    </row>
    <row r="173" spans="3:5" x14ac:dyDescent="0.25">
      <c r="C173" s="2"/>
      <c r="D173" s="13"/>
      <c r="E173" s="14"/>
    </row>
    <row r="174" spans="3:5" x14ac:dyDescent="0.25">
      <c r="C174" s="2"/>
      <c r="D174" s="13"/>
      <c r="E174" s="14"/>
    </row>
    <row r="175" spans="3:5" x14ac:dyDescent="0.25">
      <c r="C175" s="2"/>
      <c r="D175" s="13"/>
      <c r="E175" s="14"/>
    </row>
    <row r="176" spans="3:5" x14ac:dyDescent="0.25">
      <c r="C176" s="2"/>
      <c r="D176" s="13"/>
      <c r="E176" s="14"/>
    </row>
    <row r="177" spans="3:5" x14ac:dyDescent="0.25">
      <c r="C177" s="2"/>
      <c r="D177" s="13"/>
      <c r="E177" s="14"/>
    </row>
    <row r="178" spans="3:5" x14ac:dyDescent="0.25">
      <c r="C178" s="2"/>
      <c r="D178" s="13"/>
      <c r="E178" s="14"/>
    </row>
    <row r="179" spans="3:5" x14ac:dyDescent="0.25">
      <c r="C179" s="2"/>
      <c r="D179" s="13"/>
      <c r="E179" s="14"/>
    </row>
    <row r="180" spans="3:5" x14ac:dyDescent="0.25">
      <c r="C180" s="2"/>
      <c r="D180" s="13"/>
      <c r="E180" s="14"/>
    </row>
    <row r="181" spans="3:5" x14ac:dyDescent="0.25">
      <c r="C181" s="2"/>
      <c r="D181" s="13"/>
      <c r="E181" s="14"/>
    </row>
    <row r="182" spans="3:5" x14ac:dyDescent="0.25">
      <c r="C182" s="2"/>
      <c r="D182" s="13"/>
      <c r="E182" s="14"/>
    </row>
    <row r="183" spans="3:5" x14ac:dyDescent="0.25">
      <c r="C183" s="2"/>
      <c r="D183" s="13"/>
      <c r="E183" s="14"/>
    </row>
    <row r="184" spans="3:5" x14ac:dyDescent="0.25">
      <c r="C184" s="2"/>
      <c r="D184" s="13"/>
      <c r="E184" s="14"/>
    </row>
    <row r="185" spans="3:5" x14ac:dyDescent="0.25">
      <c r="C185" s="2"/>
      <c r="D185" s="13"/>
      <c r="E185" s="14"/>
    </row>
    <row r="186" spans="3:5" x14ac:dyDescent="0.25">
      <c r="C186" s="2"/>
      <c r="D186" s="13"/>
      <c r="E186" s="14"/>
    </row>
    <row r="187" spans="3:5" x14ac:dyDescent="0.25">
      <c r="C187" s="2"/>
      <c r="D187" s="13"/>
      <c r="E187" s="14"/>
    </row>
    <row r="188" spans="3:5" x14ac:dyDescent="0.25">
      <c r="C188" s="2"/>
      <c r="D188" s="13"/>
      <c r="E188" s="14"/>
    </row>
    <row r="189" spans="3:5" x14ac:dyDescent="0.25">
      <c r="C189" s="2"/>
      <c r="D189" s="13"/>
      <c r="E189" s="14"/>
    </row>
    <row r="190" spans="3:5" x14ac:dyDescent="0.25">
      <c r="C190" s="2"/>
      <c r="D190" s="13"/>
      <c r="E190" s="14"/>
    </row>
    <row r="191" spans="3:5" x14ac:dyDescent="0.25">
      <c r="C191" s="2"/>
      <c r="D191" s="13"/>
      <c r="E191" s="14"/>
    </row>
    <row r="192" spans="3:5" x14ac:dyDescent="0.25">
      <c r="C192" s="2"/>
      <c r="D192" s="13"/>
      <c r="E192" s="14"/>
    </row>
  </sheetData>
  <mergeCells count="1">
    <mergeCell ref="D3:E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4"/>
  <sheetViews>
    <sheetView tabSelected="1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L142" sqref="L142"/>
    </sheetView>
  </sheetViews>
  <sheetFormatPr defaultRowHeight="15" x14ac:dyDescent="0.25"/>
  <cols>
    <col min="6" max="6" width="13.85546875" bestFit="1" customWidth="1"/>
    <col min="8" max="8" width="42.42578125" customWidth="1"/>
  </cols>
  <sheetData>
    <row r="1" spans="1:16" x14ac:dyDescent="0.25">
      <c r="A1" s="1" t="s">
        <v>60</v>
      </c>
      <c r="I1" t="str">
        <f>" "</f>
        <v xml:space="preserve"> </v>
      </c>
      <c r="J1" s="3" t="s">
        <v>80</v>
      </c>
    </row>
    <row r="2" spans="1:16" x14ac:dyDescent="0.25">
      <c r="A2" s="9" t="s">
        <v>66</v>
      </c>
      <c r="I2" t="str">
        <f t="shared" ref="I2:I66" si="0">" "</f>
        <v xml:space="preserve"> </v>
      </c>
      <c r="J2" s="3" t="s">
        <v>81</v>
      </c>
    </row>
    <row r="3" spans="1:16" x14ac:dyDescent="0.25">
      <c r="A3" t="s">
        <v>63</v>
      </c>
      <c r="B3" t="s">
        <v>54</v>
      </c>
      <c r="C3" t="s">
        <v>55</v>
      </c>
      <c r="D3" t="s">
        <v>61</v>
      </c>
      <c r="E3" t="s">
        <v>62</v>
      </c>
      <c r="F3" t="s">
        <v>57</v>
      </c>
      <c r="G3" t="s">
        <v>64</v>
      </c>
      <c r="H3" t="s">
        <v>51</v>
      </c>
      <c r="I3" t="str">
        <f t="shared" si="0"/>
        <v xml:space="preserve"> </v>
      </c>
    </row>
    <row r="4" spans="1:16" x14ac:dyDescent="0.25">
      <c r="A4" t="str">
        <f>'Raw Data'!A1</f>
        <v>21st July 1951</v>
      </c>
      <c r="I4" t="str">
        <f t="shared" si="0"/>
        <v xml:space="preserve"> </v>
      </c>
      <c r="J4" t="str">
        <f>A4</f>
        <v>21st July 1951</v>
      </c>
    </row>
    <row r="5" spans="1:16" x14ac:dyDescent="0.25">
      <c r="J5" t="str">
        <f>$J$1</f>
        <v>data normal from to tape compass backcompass clino ignoreall</v>
      </c>
    </row>
    <row r="6" spans="1:16" x14ac:dyDescent="0.25">
      <c r="A6" t="str">
        <f>'Raw Data'!A5</f>
        <v>A</v>
      </c>
      <c r="B6" t="str">
        <f>'Raw Data'!B5</f>
        <v>B</v>
      </c>
      <c r="C6">
        <f>'Raw Data'!J5</f>
        <v>21</v>
      </c>
      <c r="D6" t="str">
        <f>'Interpreted Data'!G5</f>
        <v>-</v>
      </c>
      <c r="E6" t="str">
        <f>'Interpreted Data'!H5</f>
        <v>103</v>
      </c>
      <c r="F6" t="str">
        <f>SUBSTITUTE('Raw Data'!K5," ",":",1)</f>
        <v>8:30</v>
      </c>
      <c r="G6">
        <f>'Interpreted Data'!N5</f>
        <v>3.1</v>
      </c>
      <c r="H6" t="str">
        <f>'Interpreted Data'!P5</f>
        <v>A is at the base of the cable spike on the downstream side of Sump I</v>
      </c>
      <c r="I6" t="str">
        <f t="shared" si="0"/>
        <v xml:space="preserve"> </v>
      </c>
      <c r="J6" t="str">
        <f>A6</f>
        <v>A</v>
      </c>
      <c r="K6" t="str">
        <f>B6</f>
        <v>B</v>
      </c>
      <c r="L6">
        <f>C6</f>
        <v>21</v>
      </c>
      <c r="M6" t="str">
        <f>D6</f>
        <v>-</v>
      </c>
      <c r="N6" t="str">
        <f>E6</f>
        <v>103</v>
      </c>
      <c r="O6" t="str">
        <f t="shared" ref="O6:O7" si="1">IF(AND(D6="-",E6="-"),IF(1*F6=-90,"DOWN",IF(1*F6=90,"UP","no compass")),F6)</f>
        <v>8:30</v>
      </c>
      <c r="P6" t="str">
        <f>H6</f>
        <v>A is at the base of the cable spike on the downstream side of Sump I</v>
      </c>
    </row>
    <row r="7" spans="1:16" x14ac:dyDescent="0.25">
      <c r="A7" t="str">
        <f>'Raw Data'!A6</f>
        <v>B</v>
      </c>
      <c r="B7" t="str">
        <f>'Raw Data'!B6</f>
        <v>C</v>
      </c>
      <c r="C7">
        <f>'Raw Data'!J6</f>
        <v>27</v>
      </c>
      <c r="D7" t="str">
        <f>'Interpreted Data'!G6</f>
        <v>322:30</v>
      </c>
      <c r="E7" t="str">
        <f>'Interpreted Data'!H6</f>
        <v>-</v>
      </c>
      <c r="F7" t="str">
        <f>SUBSTITUTE('Raw Data'!K6," ",":",1)</f>
        <v>-9:30</v>
      </c>
      <c r="G7">
        <f>'Interpreted Data'!N6</f>
        <v>-4.5</v>
      </c>
      <c r="H7" t="str">
        <f>'Interpreted Data'!P6</f>
        <v>B is on a rock at upstream end of pool</v>
      </c>
      <c r="I7" t="str">
        <f t="shared" si="0"/>
        <v xml:space="preserve"> </v>
      </c>
      <c r="J7" t="str">
        <f>A7</f>
        <v>B</v>
      </c>
      <c r="K7" t="str">
        <f>B7</f>
        <v>C</v>
      </c>
      <c r="L7">
        <f>C7</f>
        <v>27</v>
      </c>
      <c r="M7" t="str">
        <f>D7</f>
        <v>322:30</v>
      </c>
      <c r="N7" t="str">
        <f>E7</f>
        <v>-</v>
      </c>
      <c r="O7" t="str">
        <f t="shared" si="1"/>
        <v>-9:30</v>
      </c>
      <c r="P7" t="str">
        <f>H7</f>
        <v>B is on a rock at upstream end of pool</v>
      </c>
    </row>
    <row r="8" spans="1:16" x14ac:dyDescent="0.25">
      <c r="A8" t="str">
        <f>'Raw Data'!A7</f>
        <v>C</v>
      </c>
      <c r="B8" t="str">
        <f>'Raw Data'!B7</f>
        <v>D</v>
      </c>
      <c r="C8">
        <f>'Raw Data'!J7</f>
        <v>37</v>
      </c>
      <c r="D8" t="str">
        <f>'Interpreted Data'!G7</f>
        <v>-</v>
      </c>
      <c r="E8" t="str">
        <f>'Interpreted Data'!H7</f>
        <v>83</v>
      </c>
      <c r="F8" t="str">
        <f>SUBSTITUTE('Raw Data'!K7," ",":",1)</f>
        <v>rise:of 1.5 feet</v>
      </c>
      <c r="G8">
        <f>'Interpreted Data'!N7</f>
        <v>1.5</v>
      </c>
      <c r="H8" t="str">
        <f>'Interpreted Data'!P7</f>
        <v>C is on edge of pool 10' before Duck I</v>
      </c>
      <c r="I8" t="str">
        <f t="shared" si="0"/>
        <v xml:space="preserve"> </v>
      </c>
      <c r="J8" t="str">
        <f>$J$2</f>
        <v>data diving from to tape compass backcompass depthchange ignoreall</v>
      </c>
    </row>
    <row r="9" spans="1:16" x14ac:dyDescent="0.25">
      <c r="A9" t="str">
        <f>'Raw Data'!A8</f>
        <v>D</v>
      </c>
      <c r="B9" t="str">
        <f>'Raw Data'!B8</f>
        <v>E</v>
      </c>
      <c r="C9">
        <f>'Raw Data'!J8</f>
        <v>16.2</v>
      </c>
      <c r="D9" t="str">
        <f>'Interpreted Data'!G8</f>
        <v>192:30</v>
      </c>
      <c r="E9" t="str">
        <f>'Interpreted Data'!H8</f>
        <v>-</v>
      </c>
      <c r="F9" t="str">
        <f>SUBSTITUTE('Raw Data'!K8," ",":",1)</f>
        <v>4:30</v>
      </c>
      <c r="G9">
        <f>'Interpreted Data'!N8</f>
        <v>1.3</v>
      </c>
      <c r="H9" t="str">
        <f>'Interpreted Data'!P8</f>
        <v>D is in stream. Big rock (start of New Series survey) 10' away at 350 (deg). Big passage starts as continuation of Howards Dig.</v>
      </c>
      <c r="I9" t="str">
        <f t="shared" si="0"/>
        <v xml:space="preserve"> </v>
      </c>
      <c r="J9" t="str">
        <f>A8</f>
        <v>C</v>
      </c>
      <c r="K9" t="str">
        <f>B8</f>
        <v>D</v>
      </c>
      <c r="L9">
        <f>C8</f>
        <v>37</v>
      </c>
      <c r="M9" t="str">
        <f>D8</f>
        <v>-</v>
      </c>
      <c r="N9" t="str">
        <f>E8</f>
        <v>83</v>
      </c>
      <c r="O9">
        <f>G8</f>
        <v>1.5</v>
      </c>
      <c r="P9" t="str">
        <f>H8</f>
        <v>C is on edge of pool 10' before Duck I</v>
      </c>
    </row>
    <row r="10" spans="1:16" x14ac:dyDescent="0.25">
      <c r="A10" t="str">
        <f>'Raw Data'!A9</f>
        <v>E</v>
      </c>
      <c r="B10" t="str">
        <f>'Raw Data'!B9</f>
        <v>F</v>
      </c>
      <c r="C10">
        <f>'Raw Data'!J9</f>
        <v>47</v>
      </c>
      <c r="D10" t="str">
        <f>'Interpreted Data'!G9</f>
        <v>-</v>
      </c>
      <c r="E10" t="str">
        <f>'Interpreted Data'!H9</f>
        <v>78</v>
      </c>
      <c r="F10" t="str">
        <f>SUBSTITUTE('Raw Data'!K9," ",":",1)</f>
        <v>-5:30</v>
      </c>
      <c r="G10">
        <f>'Interpreted Data'!N9</f>
        <v>-4.5</v>
      </c>
      <c r="H10" t="str">
        <f>'Interpreted Data'!P9</f>
        <v/>
      </c>
      <c r="I10" t="str">
        <f t="shared" si="0"/>
        <v xml:space="preserve"> </v>
      </c>
      <c r="J10" t="str">
        <f>$J$1</f>
        <v>data normal from to tape compass backcompass clino ignoreall</v>
      </c>
    </row>
    <row r="11" spans="1:16" x14ac:dyDescent="0.25">
      <c r="A11" t="str">
        <f>'Raw Data'!A10</f>
        <v>F</v>
      </c>
      <c r="B11" t="str">
        <f>'Raw Data'!B10</f>
        <v>G</v>
      </c>
      <c r="C11">
        <f>'Raw Data'!J10</f>
        <v>48</v>
      </c>
      <c r="D11" t="str">
        <f>'Interpreted Data'!G10</f>
        <v>292</v>
      </c>
      <c r="E11" t="str">
        <f>'Interpreted Data'!H10</f>
        <v>-</v>
      </c>
      <c r="F11" t="str">
        <f>SUBSTITUTE('Raw Data'!K10," ",":",1)</f>
        <v>fall:of 2.5 feet</v>
      </c>
      <c r="G11">
        <f>'Interpreted Data'!N10</f>
        <v>-2.5</v>
      </c>
      <c r="H11" t="str">
        <f>'Interpreted Data'!P10</f>
        <v>At 40' the roof lowers suddenly to Creep I. The big Bedding Plane passage comes in on the right, from -5' to 40'</v>
      </c>
      <c r="I11" t="str">
        <f t="shared" si="0"/>
        <v xml:space="preserve"> </v>
      </c>
      <c r="J11" t="str">
        <f>A9</f>
        <v>D</v>
      </c>
      <c r="K11" t="str">
        <f>B9</f>
        <v>E</v>
      </c>
      <c r="L11">
        <f>C9</f>
        <v>16.2</v>
      </c>
      <c r="M11" t="str">
        <f>D9</f>
        <v>192:30</v>
      </c>
      <c r="N11" t="str">
        <f>E9</f>
        <v>-</v>
      </c>
      <c r="O11" t="str">
        <f t="shared" ref="O11:O12" si="2">IF(AND(D9="-",E9="-"),IF(1*F9=-90,"DOWN",IF(1*F9=90,"UP","no compass")),F9)</f>
        <v>4:30</v>
      </c>
      <c r="P11" t="str">
        <f>H9</f>
        <v>D is in stream. Big rock (start of New Series survey) 10' away at 350 (deg). Big passage starts as continuation of Howards Dig.</v>
      </c>
    </row>
    <row r="12" spans="1:16" x14ac:dyDescent="0.25">
      <c r="A12" t="str">
        <f>'Raw Data'!A11</f>
        <v>G</v>
      </c>
      <c r="B12" t="str">
        <f>'Raw Data'!B11</f>
        <v>H</v>
      </c>
      <c r="C12">
        <f>'Raw Data'!J11</f>
        <v>36</v>
      </c>
      <c r="D12" t="str">
        <f>'Interpreted Data'!G11</f>
        <v>-</v>
      </c>
      <c r="E12" t="str">
        <f>'Interpreted Data'!H11</f>
        <v>159</v>
      </c>
      <c r="F12" t="str">
        <f>SUBSTITUTE('Raw Data'!K11," ",":",1)</f>
        <v>level</v>
      </c>
      <c r="G12">
        <f>'Interpreted Data'!N11</f>
        <v>0</v>
      </c>
      <c r="H12" t="str">
        <f>'Interpreted Data'!P11</f>
        <v/>
      </c>
      <c r="I12" t="str">
        <f t="shared" si="0"/>
        <v xml:space="preserve"> </v>
      </c>
      <c r="J12" t="str">
        <f>A10</f>
        <v>E</v>
      </c>
      <c r="K12" t="str">
        <f>B10</f>
        <v>F</v>
      </c>
      <c r="L12">
        <f>C10</f>
        <v>47</v>
      </c>
      <c r="M12" t="str">
        <f>D10</f>
        <v>-</v>
      </c>
      <c r="N12" t="str">
        <f>E10</f>
        <v>78</v>
      </c>
      <c r="O12" t="str">
        <f t="shared" si="2"/>
        <v>-5:30</v>
      </c>
      <c r="P12" t="str">
        <f>H10</f>
        <v/>
      </c>
    </row>
    <row r="13" spans="1:16" x14ac:dyDescent="0.25">
      <c r="A13" t="str">
        <f>'Raw Data'!A12</f>
        <v>H</v>
      </c>
      <c r="B13" t="str">
        <f>'Raw Data'!B12</f>
        <v>I</v>
      </c>
      <c r="C13">
        <f>'Raw Data'!J12</f>
        <v>31</v>
      </c>
      <c r="D13" t="str">
        <f>'Interpreted Data'!G12</f>
        <v>247</v>
      </c>
      <c r="E13" t="str">
        <f>'Interpreted Data'!H12</f>
        <v>-</v>
      </c>
      <c r="F13" t="str">
        <f>SUBSTITUTE('Raw Data'!K12," ",":",1)</f>
        <v>-2:30</v>
      </c>
      <c r="G13">
        <f>'Interpreted Data'!N12</f>
        <v>-1.3</v>
      </c>
      <c r="H13" t="str">
        <f>'Interpreted Data'!P12</f>
        <v/>
      </c>
      <c r="I13" t="str">
        <f t="shared" si="0"/>
        <v xml:space="preserve"> </v>
      </c>
      <c r="J13" t="str">
        <f>$J$2</f>
        <v>data diving from to tape compass backcompass depthchange ignoreall</v>
      </c>
    </row>
    <row r="14" spans="1:16" x14ac:dyDescent="0.25">
      <c r="A14" t="str">
        <f>'Raw Data'!A13</f>
        <v>I</v>
      </c>
      <c r="B14" t="str">
        <f>'Raw Data'!B13</f>
        <v>J</v>
      </c>
      <c r="C14">
        <f>'Raw Data'!J13</f>
        <v>26</v>
      </c>
      <c r="D14" t="str">
        <f>'Interpreted Data'!G13</f>
        <v>-</v>
      </c>
      <c r="E14" t="str">
        <f>'Interpreted Data'!H13</f>
        <v>95</v>
      </c>
      <c r="F14" t="str">
        <f>SUBSTITUTE('Raw Data'!K13," ",":",1)</f>
        <v>2</v>
      </c>
      <c r="G14">
        <f>'Interpreted Data'!N13</f>
        <v>0.9</v>
      </c>
      <c r="H14" t="str">
        <f>'Interpreted Data'!P13</f>
        <v/>
      </c>
      <c r="I14" t="str">
        <f t="shared" si="0"/>
        <v xml:space="preserve"> </v>
      </c>
      <c r="J14" t="str">
        <f t="shared" ref="J14:N15" si="3">A11</f>
        <v>F</v>
      </c>
      <c r="K14" t="str">
        <f t="shared" si="3"/>
        <v>G</v>
      </c>
      <c r="L14">
        <f t="shared" si="3"/>
        <v>48</v>
      </c>
      <c r="M14" t="str">
        <f t="shared" si="3"/>
        <v>292</v>
      </c>
      <c r="N14" t="str">
        <f t="shared" si="3"/>
        <v>-</v>
      </c>
      <c r="O14">
        <f>G11</f>
        <v>-2.5</v>
      </c>
      <c r="P14" t="str">
        <f>H11</f>
        <v>At 40' the roof lowers suddenly to Creep I. The big Bedding Plane passage comes in on the right, from -5' to 40'</v>
      </c>
    </row>
    <row r="15" spans="1:16" x14ac:dyDescent="0.25">
      <c r="A15" t="str">
        <f>'Raw Data'!A14</f>
        <v>J</v>
      </c>
      <c r="B15" t="str">
        <f>'Raw Data'!B14</f>
        <v>K</v>
      </c>
      <c r="C15">
        <f>'Raw Data'!J14</f>
        <v>26.5</v>
      </c>
      <c r="D15" t="str">
        <f>'Interpreted Data'!G14</f>
        <v>320</v>
      </c>
      <c r="E15" t="str">
        <f>'Interpreted Data'!H14</f>
        <v>-</v>
      </c>
      <c r="F15" t="str">
        <f>SUBSTITUTE('Raw Data'!K14," ",":",1)</f>
        <v>1</v>
      </c>
      <c r="G15">
        <f>'Interpreted Data'!N14</f>
        <v>0.5</v>
      </c>
      <c r="H15" t="str">
        <f>'Interpreted Data'!P14</f>
        <v>Pots</v>
      </c>
      <c r="I15" t="str">
        <f t="shared" si="0"/>
        <v xml:space="preserve"> </v>
      </c>
      <c r="J15" t="str">
        <f t="shared" si="3"/>
        <v>G</v>
      </c>
      <c r="K15" t="str">
        <f t="shared" si="3"/>
        <v>H</v>
      </c>
      <c r="L15">
        <f t="shared" si="3"/>
        <v>36</v>
      </c>
      <c r="M15" t="str">
        <f t="shared" si="3"/>
        <v>-</v>
      </c>
      <c r="N15" t="str">
        <f t="shared" si="3"/>
        <v>159</v>
      </c>
      <c r="O15">
        <f>G12</f>
        <v>0</v>
      </c>
      <c r="P15" t="str">
        <f>H12</f>
        <v/>
      </c>
    </row>
    <row r="16" spans="1:16" x14ac:dyDescent="0.25">
      <c r="A16" t="str">
        <f>'Raw Data'!A15</f>
        <v>K</v>
      </c>
      <c r="B16" t="str">
        <f>'Raw Data'!B15</f>
        <v>L</v>
      </c>
      <c r="C16">
        <f>'Raw Data'!J15</f>
        <v>17.5</v>
      </c>
      <c r="D16" t="str">
        <f>'Interpreted Data'!G15</f>
        <v>-</v>
      </c>
      <c r="E16" t="str">
        <f>'Interpreted Data'!H15</f>
        <v>193</v>
      </c>
      <c r="F16" t="str">
        <f>SUBSTITUTE('Raw Data'!K15," ",":",1)</f>
        <v>-9</v>
      </c>
      <c r="G16">
        <f>'Interpreted Data'!N15</f>
        <v>-2.7</v>
      </c>
      <c r="H16" t="str">
        <f>'Interpreted Data'!P15</f>
        <v>Pots</v>
      </c>
      <c r="I16" t="str">
        <f t="shared" si="0"/>
        <v xml:space="preserve"> </v>
      </c>
      <c r="J16" t="str">
        <f>$J$1</f>
        <v>data normal from to tape compass backcompass clino ignoreall</v>
      </c>
    </row>
    <row r="17" spans="1:16" x14ac:dyDescent="0.25">
      <c r="A17" t="str">
        <f>'Raw Data'!A16</f>
        <v>L</v>
      </c>
      <c r="B17" t="str">
        <f>'Raw Data'!B16</f>
        <v>M</v>
      </c>
      <c r="C17">
        <f>'Raw Data'!J16</f>
        <v>33</v>
      </c>
      <c r="D17" t="str">
        <f>'Interpreted Data'!G16</f>
        <v>299</v>
      </c>
      <c r="E17" t="str">
        <f>'Interpreted Data'!H16</f>
        <v>-</v>
      </c>
      <c r="F17" t="str">
        <f>SUBSTITUTE('Raw Data'!K16," ",":",1)</f>
        <v>-3</v>
      </c>
      <c r="G17">
        <f>'Interpreted Data'!N16</f>
        <v>-1.7</v>
      </c>
      <c r="H17" t="str">
        <f>'Interpreted Data'!P16</f>
        <v>L is at foot of climb to Approach passage. Clay fill remains 6' up on left wall.</v>
      </c>
      <c r="I17" t="str">
        <f t="shared" si="0"/>
        <v xml:space="preserve"> </v>
      </c>
      <c r="J17" t="str">
        <f t="shared" ref="J17:J25" si="4">A13</f>
        <v>H</v>
      </c>
      <c r="K17" t="str">
        <f t="shared" ref="K17:K25" si="5">B13</f>
        <v>I</v>
      </c>
      <c r="L17">
        <f t="shared" ref="L17:L25" si="6">C13</f>
        <v>31</v>
      </c>
      <c r="M17" t="str">
        <f t="shared" ref="M17:M25" si="7">D13</f>
        <v>247</v>
      </c>
      <c r="N17" t="str">
        <f t="shared" ref="N17:N25" si="8">E13</f>
        <v>-</v>
      </c>
      <c r="O17" t="str">
        <f t="shared" ref="O17:O21" si="9">IF(AND(D13="-",E13="-"),IF(1*F13=-90,"DOWN",IF(1*F13=90,"UP","no compass")),F13)</f>
        <v>-2:30</v>
      </c>
      <c r="P17" t="str">
        <f t="shared" ref="P17:P25" si="10">H13</f>
        <v/>
      </c>
    </row>
    <row r="18" spans="1:16" x14ac:dyDescent="0.25">
      <c r="A18" t="str">
        <f>'Raw Data'!A17</f>
        <v>M</v>
      </c>
      <c r="B18" t="str">
        <f>'Raw Data'!B17</f>
        <v>N</v>
      </c>
      <c r="C18">
        <f>'Raw Data'!J17</f>
        <v>43</v>
      </c>
      <c r="D18" t="str">
        <f>'Interpreted Data'!G17</f>
        <v>-</v>
      </c>
      <c r="E18" t="str">
        <f>'Interpreted Data'!H17</f>
        <v>142</v>
      </c>
      <c r="F18" t="str">
        <f>SUBSTITUTE('Raw Data'!K17," ",":",1)</f>
        <v>-7.3</v>
      </c>
      <c r="G18">
        <f>'Interpreted Data'!N17</f>
        <v>-5.6</v>
      </c>
      <c r="H18" t="str">
        <f>'Interpreted Data'!P17</f>
        <v>Pots</v>
      </c>
      <c r="I18" t="str">
        <f t="shared" si="0"/>
        <v xml:space="preserve"> </v>
      </c>
      <c r="J18" t="str">
        <f t="shared" si="4"/>
        <v>I</v>
      </c>
      <c r="K18" t="str">
        <f t="shared" si="5"/>
        <v>J</v>
      </c>
      <c r="L18">
        <f t="shared" si="6"/>
        <v>26</v>
      </c>
      <c r="M18" t="str">
        <f t="shared" si="7"/>
        <v>-</v>
      </c>
      <c r="N18" t="str">
        <f t="shared" si="8"/>
        <v>95</v>
      </c>
      <c r="O18" t="str">
        <f t="shared" si="9"/>
        <v>2</v>
      </c>
      <c r="P18" t="str">
        <f t="shared" si="10"/>
        <v/>
      </c>
    </row>
    <row r="19" spans="1:16" x14ac:dyDescent="0.25">
      <c r="A19" t="str">
        <f>'Raw Data'!A18</f>
        <v>N</v>
      </c>
      <c r="B19" t="str">
        <f>'Raw Data'!B18</f>
        <v>O</v>
      </c>
      <c r="C19">
        <f>'Raw Data'!J18</f>
        <v>15.5</v>
      </c>
      <c r="D19" t="str">
        <f>'Interpreted Data'!G18</f>
        <v>281</v>
      </c>
      <c r="E19" t="str">
        <f>'Interpreted Data'!H18</f>
        <v>-</v>
      </c>
      <c r="F19" t="str">
        <f>SUBSTITUTE('Raw Data'!K18," ",":",1)</f>
        <v>-2</v>
      </c>
      <c r="G19">
        <f>'Interpreted Data'!N18</f>
        <v>-0.5</v>
      </c>
      <c r="H19" t="str">
        <f>'Interpreted Data'!P18</f>
        <v>Pots</v>
      </c>
      <c r="I19" t="str">
        <f t="shared" si="0"/>
        <v xml:space="preserve"> </v>
      </c>
      <c r="J19" t="str">
        <f t="shared" si="4"/>
        <v>J</v>
      </c>
      <c r="K19" t="str">
        <f t="shared" si="5"/>
        <v>K</v>
      </c>
      <c r="L19">
        <f t="shared" si="6"/>
        <v>26.5</v>
      </c>
      <c r="M19" t="str">
        <f t="shared" si="7"/>
        <v>320</v>
      </c>
      <c r="N19" t="str">
        <f t="shared" si="8"/>
        <v>-</v>
      </c>
      <c r="O19" t="str">
        <f t="shared" si="9"/>
        <v>1</v>
      </c>
      <c r="P19" t="str">
        <f t="shared" si="10"/>
        <v>Pots</v>
      </c>
    </row>
    <row r="20" spans="1:16" x14ac:dyDescent="0.25">
      <c r="A20" t="str">
        <f>'Raw Data'!A19</f>
        <v>O</v>
      </c>
      <c r="B20" t="str">
        <f>'Raw Data'!B19</f>
        <v>P</v>
      </c>
      <c r="C20">
        <f>'Raw Data'!J19</f>
        <v>56</v>
      </c>
      <c r="D20" t="str">
        <f>'Interpreted Data'!G19</f>
        <v>-</v>
      </c>
      <c r="E20" t="str">
        <f>'Interpreted Data'!H19</f>
        <v>127</v>
      </c>
      <c r="F20" t="str">
        <f>SUBSTITUTE('Raw Data'!K19," ",":",1)</f>
        <v>-5</v>
      </c>
      <c r="G20">
        <f>'Interpreted Data'!N19</f>
        <v>-4.9000000000000004</v>
      </c>
      <c r="H20" t="str">
        <f>'Interpreted Data'!P19</f>
        <v>Pots. Very pretty coral on left wall</v>
      </c>
      <c r="I20" t="str">
        <f t="shared" si="0"/>
        <v xml:space="preserve"> </v>
      </c>
      <c r="J20" t="str">
        <f t="shared" si="4"/>
        <v>K</v>
      </c>
      <c r="K20" t="str">
        <f t="shared" si="5"/>
        <v>L</v>
      </c>
      <c r="L20">
        <f t="shared" si="6"/>
        <v>17.5</v>
      </c>
      <c r="M20" t="str">
        <f t="shared" si="7"/>
        <v>-</v>
      </c>
      <c r="N20" t="str">
        <f t="shared" si="8"/>
        <v>193</v>
      </c>
      <c r="O20" t="str">
        <f t="shared" si="9"/>
        <v>-9</v>
      </c>
      <c r="P20" t="str">
        <f t="shared" si="10"/>
        <v>Pots</v>
      </c>
    </row>
    <row r="21" spans="1:16" x14ac:dyDescent="0.25">
      <c r="A21" t="str">
        <f>'Raw Data'!A20</f>
        <v>P</v>
      </c>
      <c r="B21" t="str">
        <f>'Raw Data'!B20</f>
        <v>Q</v>
      </c>
      <c r="C21">
        <f>'Raw Data'!J20</f>
        <v>15.8</v>
      </c>
      <c r="D21" t="str">
        <f>'Interpreted Data'!G20</f>
        <v>283</v>
      </c>
      <c r="E21" t="str">
        <f>'Interpreted Data'!H20</f>
        <v>-</v>
      </c>
      <c r="F21" t="str">
        <f>SUBSTITUTE('Raw Data'!K20," ",":",1)</f>
        <v>-0:15</v>
      </c>
      <c r="G21">
        <f>'Interpreted Data'!N20</f>
        <v>-0.1</v>
      </c>
      <c r="H21" t="str">
        <f>'Interpreted Data'!P20</f>
        <v/>
      </c>
      <c r="I21" t="str">
        <f t="shared" si="0"/>
        <v xml:space="preserve"> </v>
      </c>
      <c r="J21" t="str">
        <f t="shared" si="4"/>
        <v>L</v>
      </c>
      <c r="K21" t="str">
        <f t="shared" si="5"/>
        <v>M</v>
      </c>
      <c r="L21">
        <f t="shared" si="6"/>
        <v>33</v>
      </c>
      <c r="M21" t="str">
        <f t="shared" si="7"/>
        <v>299</v>
      </c>
      <c r="N21" t="str">
        <f t="shared" si="8"/>
        <v>-</v>
      </c>
      <c r="O21" t="str">
        <f t="shared" si="9"/>
        <v>-3</v>
      </c>
      <c r="P21" t="str">
        <f t="shared" si="10"/>
        <v>L is at foot of climb to Approach passage. Clay fill remains 6' up on left wall.</v>
      </c>
    </row>
    <row r="22" spans="1:16" x14ac:dyDescent="0.25">
      <c r="A22" t="str">
        <f>'Raw Data'!A21</f>
        <v>Q</v>
      </c>
      <c r="B22" t="str">
        <f>'Raw Data'!B21</f>
        <v>R</v>
      </c>
      <c r="C22">
        <f>'Raw Data'!J21</f>
        <v>15.3</v>
      </c>
      <c r="D22" t="str">
        <f>'Interpreted Data'!G21</f>
        <v>-</v>
      </c>
      <c r="E22" t="str">
        <f>'Interpreted Data'!H21</f>
        <v>37</v>
      </c>
      <c r="F22" t="str">
        <f>SUBSTITUTE('Raw Data'!K21," ",":",1)</f>
        <v>fall:of 4 feet</v>
      </c>
      <c r="G22">
        <f>'Interpreted Data'!N21</f>
        <v>-4</v>
      </c>
      <c r="H22" t="str">
        <f>'Interpreted Data'!P21</f>
        <v>1.5 foot deep pool starts at P.</v>
      </c>
      <c r="I22" t="str">
        <f t="shared" si="0"/>
        <v xml:space="preserve"> </v>
      </c>
      <c r="J22" t="str">
        <f t="shared" si="4"/>
        <v>M</v>
      </c>
      <c r="K22" t="str">
        <f t="shared" si="5"/>
        <v>N</v>
      </c>
      <c r="L22">
        <f t="shared" si="6"/>
        <v>43</v>
      </c>
      <c r="M22" t="str">
        <f t="shared" si="7"/>
        <v>-</v>
      </c>
      <c r="N22" t="str">
        <f t="shared" si="8"/>
        <v>142</v>
      </c>
      <c r="O22" t="str">
        <f>IF(AND(D18="-",E18="-"),IF(1*F18=-90,"DOWN",IF(1*F18=90,"UP","no compass")),F18)</f>
        <v>-7.3</v>
      </c>
      <c r="P22" t="str">
        <f t="shared" si="10"/>
        <v>Pots</v>
      </c>
    </row>
    <row r="23" spans="1:16" x14ac:dyDescent="0.25">
      <c r="A23" t="str">
        <f>'Raw Data'!A22</f>
        <v>R</v>
      </c>
      <c r="B23" t="str">
        <f>'Raw Data'!B22</f>
        <v>S</v>
      </c>
      <c r="C23">
        <f>'Raw Data'!J22</f>
        <v>39.5</v>
      </c>
      <c r="D23" t="str">
        <f>'Interpreted Data'!G22</f>
        <v>310</v>
      </c>
      <c r="E23" t="str">
        <f>'Interpreted Data'!H22</f>
        <v>-</v>
      </c>
      <c r="F23" t="str">
        <f>SUBSTITUTE('Raw Data'!K22," ",":",1)</f>
        <v>rise:of 4 feet</v>
      </c>
      <c r="G23">
        <f>'Interpreted Data'!N22</f>
        <v>4</v>
      </c>
      <c r="H23" t="str">
        <f>'Interpreted Data'!P22</f>
        <v>Pool 2.5' deep at R, ends 15' on. Scalloping as in Goughs 1st Sandy Chamber.</v>
      </c>
      <c r="I23" t="str">
        <f t="shared" si="0"/>
        <v xml:space="preserve"> </v>
      </c>
      <c r="J23" t="str">
        <f t="shared" si="4"/>
        <v>N</v>
      </c>
      <c r="K23" t="str">
        <f t="shared" si="5"/>
        <v>O</v>
      </c>
      <c r="L23">
        <f t="shared" si="6"/>
        <v>15.5</v>
      </c>
      <c r="M23" t="str">
        <f t="shared" si="7"/>
        <v>281</v>
      </c>
      <c r="N23" t="str">
        <f t="shared" si="8"/>
        <v>-</v>
      </c>
      <c r="O23" t="str">
        <f t="shared" ref="O23:O25" si="11">IF(AND(D19="-",E19="-"),IF(1*F19=-90,"DOWN",IF(1*F19=90,"UP","no compass")),F19)</f>
        <v>-2</v>
      </c>
      <c r="P23" t="str">
        <f t="shared" si="10"/>
        <v>Pots</v>
      </c>
    </row>
    <row r="24" spans="1:16" x14ac:dyDescent="0.25">
      <c r="A24" t="str">
        <f>'Raw Data'!A23</f>
        <v>S</v>
      </c>
      <c r="B24" t="str">
        <f>'Raw Data'!B23</f>
        <v>T</v>
      </c>
      <c r="C24">
        <f>'Raw Data'!J23</f>
        <v>39.6</v>
      </c>
      <c r="D24" t="str">
        <f>'Interpreted Data'!G23</f>
        <v>-</v>
      </c>
      <c r="E24" t="str">
        <f>'Interpreted Data'!H23</f>
        <v>58</v>
      </c>
      <c r="F24" t="str">
        <f>SUBSTITUTE('Raw Data'!K23," ",":",1)</f>
        <v>-2:30</v>
      </c>
      <c r="G24">
        <f>'Interpreted Data'!N23</f>
        <v>-1.9</v>
      </c>
      <c r="H24" t="str">
        <f>'Interpreted Data'!P23</f>
        <v>S is marked on wall. At 20' there is a muddy chamber overhead.</v>
      </c>
      <c r="I24" t="str">
        <f t="shared" si="0"/>
        <v xml:space="preserve"> </v>
      </c>
      <c r="J24" t="str">
        <f t="shared" si="4"/>
        <v>O</v>
      </c>
      <c r="K24" t="str">
        <f t="shared" si="5"/>
        <v>P</v>
      </c>
      <c r="L24">
        <f t="shared" si="6"/>
        <v>56</v>
      </c>
      <c r="M24" t="str">
        <f t="shared" si="7"/>
        <v>-</v>
      </c>
      <c r="N24" t="str">
        <f t="shared" si="8"/>
        <v>127</v>
      </c>
      <c r="O24" t="str">
        <f t="shared" si="11"/>
        <v>-5</v>
      </c>
      <c r="P24" t="str">
        <f t="shared" si="10"/>
        <v>Pots. Very pretty coral on left wall</v>
      </c>
    </row>
    <row r="25" spans="1:16" x14ac:dyDescent="0.25">
      <c r="A25" t="str">
        <f>'Raw Data'!A24</f>
        <v>T</v>
      </c>
      <c r="B25" t="str">
        <f>'Raw Data'!B24</f>
        <v>U</v>
      </c>
      <c r="C25">
        <f>'Raw Data'!J24</f>
        <v>49</v>
      </c>
      <c r="D25" t="str">
        <f>'Interpreted Data'!G24</f>
        <v>148</v>
      </c>
      <c r="E25" t="str">
        <f>'Interpreted Data'!H24</f>
        <v>-</v>
      </c>
      <c r="F25" t="str">
        <f>SUBSTITUTE('Raw Data'!K24," ",":",1)</f>
        <v>fall:of 1.7 feet</v>
      </c>
      <c r="G25">
        <f>'Interpreted Data'!N24</f>
        <v>-1.7</v>
      </c>
      <c r="H25" t="str">
        <f>'Interpreted Data'!P24</f>
        <v/>
      </c>
      <c r="I25" t="str">
        <f t="shared" si="0"/>
        <v xml:space="preserve"> </v>
      </c>
      <c r="J25" t="str">
        <f t="shared" si="4"/>
        <v>P</v>
      </c>
      <c r="K25" t="str">
        <f t="shared" si="5"/>
        <v>Q</v>
      </c>
      <c r="L25">
        <f t="shared" si="6"/>
        <v>15.8</v>
      </c>
      <c r="M25" t="str">
        <f t="shared" si="7"/>
        <v>283</v>
      </c>
      <c r="N25" t="str">
        <f t="shared" si="8"/>
        <v>-</v>
      </c>
      <c r="O25" t="str">
        <f t="shared" si="11"/>
        <v>-0:15</v>
      </c>
      <c r="P25" t="str">
        <f t="shared" si="10"/>
        <v/>
      </c>
    </row>
    <row r="26" spans="1:16" x14ac:dyDescent="0.25">
      <c r="A26" t="str">
        <f>'Raw Data'!A25</f>
        <v>U</v>
      </c>
      <c r="B26">
        <f>'Raw Data'!B25</f>
        <v>0</v>
      </c>
      <c r="C26">
        <f>'Raw Data'!J25</f>
        <v>0</v>
      </c>
      <c r="D26" t="str">
        <f>'Interpreted Data'!G25</f>
        <v/>
      </c>
      <c r="E26" t="str">
        <f>'Interpreted Data'!H25</f>
        <v/>
      </c>
      <c r="F26" t="str">
        <f>SUBSTITUTE('Raw Data'!K25," ",":",1)</f>
        <v/>
      </c>
      <c r="G26" t="str">
        <f>'Interpreted Data'!N25</f>
        <v/>
      </c>
      <c r="H26" t="str">
        <f>'Interpreted Data'!P25</f>
        <v>Bearls (sp.?) seen here.    Total = 650'</v>
      </c>
      <c r="I26" t="str">
        <f t="shared" si="0"/>
        <v xml:space="preserve"> </v>
      </c>
      <c r="J26" t="str">
        <f>$J$2</f>
        <v>data diving from to tape compass backcompass depthchange ignoreall</v>
      </c>
    </row>
    <row r="27" spans="1:16" x14ac:dyDescent="0.25">
      <c r="A27" t="str">
        <f>'Raw Data'!A26</f>
        <v>A1</v>
      </c>
      <c r="B27" t="str">
        <f>'Raw Data'!B26</f>
        <v>B1</v>
      </c>
      <c r="C27">
        <f>'Raw Data'!J26</f>
        <v>30.4</v>
      </c>
      <c r="D27" t="str">
        <f>'Interpreted Data'!G26</f>
        <v>-</v>
      </c>
      <c r="E27" t="str">
        <f>'Interpreted Data'!H26</f>
        <v>326</v>
      </c>
      <c r="F27" t="str">
        <f>SUBSTITUTE('Raw Data'!K26," ",":",1)</f>
        <v>level</v>
      </c>
      <c r="G27">
        <f>'Interpreted Data'!N26</f>
        <v>0</v>
      </c>
      <c r="H27" t="str">
        <f>'Interpreted Data'!P26</f>
        <v>A1 is far end of "Priddy Green" passage. At choke</v>
      </c>
      <c r="I27" t="str">
        <f t="shared" si="0"/>
        <v xml:space="preserve"> </v>
      </c>
      <c r="J27" t="str">
        <f t="shared" ref="J27:N28" si="12">A22</f>
        <v>Q</v>
      </c>
      <c r="K27" t="str">
        <f t="shared" si="12"/>
        <v>R</v>
      </c>
      <c r="L27">
        <f t="shared" si="12"/>
        <v>15.3</v>
      </c>
      <c r="M27" t="str">
        <f t="shared" si="12"/>
        <v>-</v>
      </c>
      <c r="N27" t="str">
        <f t="shared" si="12"/>
        <v>37</v>
      </c>
      <c r="O27">
        <f>G22</f>
        <v>-4</v>
      </c>
      <c r="P27" t="str">
        <f>H22</f>
        <v>1.5 foot deep pool starts at P.</v>
      </c>
    </row>
    <row r="28" spans="1:16" x14ac:dyDescent="0.25">
      <c r="A28" t="str">
        <f>'Raw Data'!A27</f>
        <v>B1</v>
      </c>
      <c r="B28" t="str">
        <f>'Raw Data'!B27</f>
        <v>C1</v>
      </c>
      <c r="C28">
        <f>'Raw Data'!J27</f>
        <v>37.5</v>
      </c>
      <c r="D28" t="str">
        <f>'Interpreted Data'!G27</f>
        <v>248</v>
      </c>
      <c r="E28" t="str">
        <f>'Interpreted Data'!H27</f>
        <v>-</v>
      </c>
      <c r="F28" t="str">
        <f>SUBSTITUTE('Raw Data'!K27," ",":",1)</f>
        <v>-6</v>
      </c>
      <c r="G28">
        <f>'Interpreted Data'!N27</f>
        <v>-3.9</v>
      </c>
      <c r="H28" t="str">
        <f>'Interpreted Data'!P27</f>
        <v>B1 is ent to P.G. pass, above stalagmite keloid (sp.?)</v>
      </c>
      <c r="I28" t="str">
        <f t="shared" si="0"/>
        <v xml:space="preserve"> </v>
      </c>
      <c r="J28" t="str">
        <f t="shared" si="12"/>
        <v>R</v>
      </c>
      <c r="K28" t="str">
        <f t="shared" si="12"/>
        <v>S</v>
      </c>
      <c r="L28">
        <f t="shared" si="12"/>
        <v>39.5</v>
      </c>
      <c r="M28" t="str">
        <f t="shared" si="12"/>
        <v>310</v>
      </c>
      <c r="N28" t="str">
        <f t="shared" si="12"/>
        <v>-</v>
      </c>
      <c r="O28">
        <f>G23</f>
        <v>4</v>
      </c>
      <c r="P28" t="str">
        <f>H23</f>
        <v>Pool 2.5' deep at R, ends 15' on. Scalloping as in Goughs 1st Sandy Chamber.</v>
      </c>
    </row>
    <row r="29" spans="1:16" x14ac:dyDescent="0.25">
      <c r="I29" t="str">
        <f t="shared" si="0"/>
        <v xml:space="preserve"> </v>
      </c>
      <c r="J29" t="str">
        <f>$J$1</f>
        <v>data normal from to tape compass backcompass clino ignoreall</v>
      </c>
    </row>
    <row r="30" spans="1:16" x14ac:dyDescent="0.25">
      <c r="I30" t="str">
        <f t="shared" si="0"/>
        <v xml:space="preserve"> </v>
      </c>
      <c r="J30" t="str">
        <f>A24</f>
        <v>S</v>
      </c>
      <c r="K30" t="str">
        <f>B24</f>
        <v>T</v>
      </c>
      <c r="L30">
        <f>C24</f>
        <v>39.6</v>
      </c>
      <c r="M30" t="str">
        <f>D24</f>
        <v>-</v>
      </c>
      <c r="N30" t="str">
        <f>E24</f>
        <v>58</v>
      </c>
      <c r="O30" t="str">
        <f>IF(AND(D24="-",E24="-"),IF(1*F24=-90,"DOWN",IF(1*F24=90,"UP","no compass")),F24)</f>
        <v>-2:30</v>
      </c>
      <c r="P30" t="str">
        <f>H24</f>
        <v>S is marked on wall. At 20' there is a muddy chamber overhead.</v>
      </c>
    </row>
    <row r="31" spans="1:16" x14ac:dyDescent="0.25">
      <c r="I31" t="str">
        <f t="shared" si="0"/>
        <v xml:space="preserve"> </v>
      </c>
      <c r="J31" t="str">
        <f>$J$2</f>
        <v>data diving from to tape compass backcompass depthchange ignoreall</v>
      </c>
    </row>
    <row r="32" spans="1:16" x14ac:dyDescent="0.25">
      <c r="I32" t="str">
        <f t="shared" si="0"/>
        <v xml:space="preserve"> </v>
      </c>
      <c r="J32" t="str">
        <f>A25</f>
        <v>T</v>
      </c>
      <c r="K32" t="str">
        <f>B25</f>
        <v>U</v>
      </c>
      <c r="L32">
        <f>C25</f>
        <v>49</v>
      </c>
      <c r="M32" t="str">
        <f>D25</f>
        <v>148</v>
      </c>
      <c r="N32" t="str">
        <f>E25</f>
        <v>-</v>
      </c>
      <c r="O32">
        <f>G25</f>
        <v>-1.7</v>
      </c>
      <c r="P32" t="str">
        <f>H25</f>
        <v/>
      </c>
    </row>
    <row r="33" spans="1:16" x14ac:dyDescent="0.25">
      <c r="I33" t="str">
        <f t="shared" si="0"/>
        <v xml:space="preserve"> </v>
      </c>
      <c r="J33" t="s">
        <v>79</v>
      </c>
      <c r="K33" t="s">
        <v>39</v>
      </c>
      <c r="P33" t="str">
        <f>H26</f>
        <v>Bearls (sp.?) seen here.    Total = 650'</v>
      </c>
    </row>
    <row r="34" spans="1:16" x14ac:dyDescent="0.25">
      <c r="I34" t="str">
        <f t="shared" si="0"/>
        <v xml:space="preserve"> </v>
      </c>
      <c r="J34" t="str">
        <f>A27</f>
        <v>A1</v>
      </c>
      <c r="K34" t="str">
        <f>B27</f>
        <v>B1</v>
      </c>
      <c r="L34">
        <f>C27</f>
        <v>30.4</v>
      </c>
      <c r="M34" t="str">
        <f>D27</f>
        <v>-</v>
      </c>
      <c r="N34" t="str">
        <f>E27</f>
        <v>326</v>
      </c>
      <c r="O34">
        <f>G27</f>
        <v>0</v>
      </c>
      <c r="P34" t="str">
        <f>H27</f>
        <v>A1 is far end of "Priddy Green" passage. At choke</v>
      </c>
    </row>
    <row r="35" spans="1:16" x14ac:dyDescent="0.25">
      <c r="I35" t="str">
        <f t="shared" si="0"/>
        <v xml:space="preserve"> </v>
      </c>
      <c r="J35" t="str">
        <f t="shared" ref="J35:N35" si="13">A28</f>
        <v>B1</v>
      </c>
      <c r="K35" t="str">
        <f t="shared" si="13"/>
        <v>C1</v>
      </c>
      <c r="L35">
        <f t="shared" si="13"/>
        <v>37.5</v>
      </c>
      <c r="M35" t="str">
        <f t="shared" si="13"/>
        <v>248</v>
      </c>
      <c r="N35" t="str">
        <f t="shared" si="13"/>
        <v>-</v>
      </c>
      <c r="O35">
        <f t="shared" ref="O35:P35" si="14">G28</f>
        <v>-3.9</v>
      </c>
      <c r="P35" t="str">
        <f t="shared" si="14"/>
        <v>B1 is ent to P.G. pass, above stalagmite keloid (sp.?)</v>
      </c>
    </row>
    <row r="36" spans="1:16" x14ac:dyDescent="0.25">
      <c r="I36" t="str">
        <f t="shared" si="0"/>
        <v xml:space="preserve"> </v>
      </c>
    </row>
    <row r="37" spans="1:16" x14ac:dyDescent="0.25">
      <c r="I37" t="str">
        <f t="shared" si="0"/>
        <v xml:space="preserve"> </v>
      </c>
      <c r="J37" t="str">
        <f>A39</f>
        <v>5th August 1951</v>
      </c>
    </row>
    <row r="38" spans="1:16" x14ac:dyDescent="0.25">
      <c r="I38" t="str">
        <f t="shared" si="0"/>
        <v xml:space="preserve"> </v>
      </c>
      <c r="J38" t="str">
        <f>$J$1</f>
        <v>data normal from to tape compass backcompass clino ignoreall</v>
      </c>
    </row>
    <row r="39" spans="1:16" x14ac:dyDescent="0.25">
      <c r="A39" t="str">
        <f>'Raw Data'!A29</f>
        <v>5th August 1951</v>
      </c>
      <c r="I39" t="str">
        <f t="shared" si="0"/>
        <v xml:space="preserve"> </v>
      </c>
      <c r="J39" t="str">
        <f>A40</f>
        <v>C1</v>
      </c>
      <c r="K39" t="str">
        <f>B40</f>
        <v>D1</v>
      </c>
      <c r="L39">
        <f>C40</f>
        <v>11.8</v>
      </c>
      <c r="M39" t="str">
        <f>D40</f>
        <v>-</v>
      </c>
      <c r="N39" t="str">
        <f>E40</f>
        <v>85</v>
      </c>
      <c r="O39" t="str">
        <f>IF(AND(D40="-",E40="-"),IF(1*F40=-90,"DOWN",IF(1*F40=90,"UP","no compass")),F40)</f>
        <v>-24</v>
      </c>
      <c r="P39" t="str">
        <f>H40</f>
        <v>On rocky bank.</v>
      </c>
    </row>
    <row r="40" spans="1:16" x14ac:dyDescent="0.25">
      <c r="A40" t="str">
        <f>'Raw Data'!A30</f>
        <v>C1</v>
      </c>
      <c r="B40" t="str">
        <f>'Raw Data'!B30</f>
        <v>D1</v>
      </c>
      <c r="C40">
        <f>'Raw Data'!J30</f>
        <v>11.8</v>
      </c>
      <c r="D40" t="str">
        <f>'Interpreted Data'!G30</f>
        <v>-</v>
      </c>
      <c r="E40" t="str">
        <f>'Interpreted Data'!H30</f>
        <v>85</v>
      </c>
      <c r="F40" t="str">
        <f>SUBSTITUTE('Raw Data'!K30," ",":",1)</f>
        <v>-24</v>
      </c>
      <c r="G40">
        <f>'Interpreted Data'!N30</f>
        <v>-4.8</v>
      </c>
      <c r="H40" t="str">
        <f>'Interpreted Data'!P30</f>
        <v>On rocky bank.</v>
      </c>
      <c r="I40" t="str">
        <f t="shared" si="0"/>
        <v xml:space="preserve"> </v>
      </c>
      <c r="J40" t="str">
        <f>A41</f>
        <v>D1</v>
      </c>
      <c r="K40" t="str">
        <f>B41</f>
        <v>A</v>
      </c>
      <c r="L40">
        <f>C41</f>
        <v>36.799999999999997</v>
      </c>
      <c r="M40" t="str">
        <f>D41</f>
        <v>251</v>
      </c>
      <c r="N40" t="str">
        <f>E41</f>
        <v>-</v>
      </c>
      <c r="O40">
        <v>0</v>
      </c>
      <c r="P40" t="str">
        <f>H41</f>
        <v>D1 to near side of Sump I 11.8'. D1 to far side of Sump I 18'. D1 is in pool at stake for cable.</v>
      </c>
    </row>
    <row r="41" spans="1:16" x14ac:dyDescent="0.25">
      <c r="A41" t="str">
        <f>'Raw Data'!A31</f>
        <v>D1</v>
      </c>
      <c r="B41" t="str">
        <f>'Raw Data'!B31</f>
        <v>A</v>
      </c>
      <c r="C41">
        <f>'Raw Data'!J31</f>
        <v>36.799999999999997</v>
      </c>
      <c r="D41" t="str">
        <f>'Interpreted Data'!G31</f>
        <v>251</v>
      </c>
      <c r="E41" t="str">
        <f>'Interpreted Data'!H31</f>
        <v>-</v>
      </c>
      <c r="F41" t="str">
        <f>SUBSTITUTE('Raw Data'!K31," ",":",1)</f>
        <v>water:level</v>
      </c>
      <c r="G41">
        <f>'Interpreted Data'!N31</f>
        <v>-2.2999999999999998</v>
      </c>
      <c r="H41" t="str">
        <f>'Interpreted Data'!P31</f>
        <v>D1 to near side of Sump I 11.8'. D1 to far side of Sump I 18'. D1 is in pool at stake for cable.</v>
      </c>
      <c r="I41" t="str">
        <f t="shared" si="0"/>
        <v xml:space="preserve"> </v>
      </c>
      <c r="J41" t="str">
        <f>A42</f>
        <v>U</v>
      </c>
      <c r="K41" t="str">
        <f>B42</f>
        <v>V</v>
      </c>
      <c r="L41">
        <f>C42</f>
        <v>29</v>
      </c>
      <c r="M41" t="str">
        <f>D42</f>
        <v>-</v>
      </c>
      <c r="N41" t="str">
        <f>E42</f>
        <v>6:30</v>
      </c>
      <c r="O41">
        <f t="shared" ref="O41:O43" si="15">G42</f>
        <v>0</v>
      </c>
      <c r="P41" t="str">
        <f>H42</f>
        <v>Lake begins as 10'. (Little sketch)</v>
      </c>
    </row>
    <row r="42" spans="1:16" x14ac:dyDescent="0.25">
      <c r="A42" t="str">
        <f>'Raw Data'!A32</f>
        <v>U</v>
      </c>
      <c r="B42" t="str">
        <f>'Raw Data'!B32</f>
        <v>V</v>
      </c>
      <c r="C42">
        <f>'Raw Data'!J32</f>
        <v>29</v>
      </c>
      <c r="D42" t="str">
        <f>'Interpreted Data'!G32</f>
        <v>-</v>
      </c>
      <c r="E42" t="str">
        <f>'Interpreted Data'!H32</f>
        <v>6:30</v>
      </c>
      <c r="F42" t="str">
        <f>SUBSTITUTE('Raw Data'!K32," ",":",1)</f>
        <v>water:level</v>
      </c>
      <c r="G42">
        <f>'Interpreted Data'!N32</f>
        <v>0</v>
      </c>
      <c r="H42" t="str">
        <f>'Interpreted Data'!P32</f>
        <v>Lake begins as 10'. (Little sketch)</v>
      </c>
      <c r="I42" t="str">
        <f t="shared" si="0"/>
        <v xml:space="preserve"> </v>
      </c>
      <c r="J42" t="str">
        <f>A43</f>
        <v>V</v>
      </c>
      <c r="K42" t="str">
        <f>B43</f>
        <v>W</v>
      </c>
      <c r="L42">
        <f>C43</f>
        <v>33.799999999999997</v>
      </c>
      <c r="M42" t="str">
        <f>D43</f>
        <v>141:30</v>
      </c>
      <c r="N42" t="str">
        <f>E43</f>
        <v>-</v>
      </c>
      <c r="O42">
        <f t="shared" si="15"/>
        <v>0</v>
      </c>
      <c r="P42" t="str">
        <f>H43</f>
        <v>Lake</v>
      </c>
    </row>
    <row r="43" spans="1:16" x14ac:dyDescent="0.25">
      <c r="A43" t="str">
        <f>'Raw Data'!A33</f>
        <v>V</v>
      </c>
      <c r="B43" t="str">
        <f>'Raw Data'!B33</f>
        <v>W</v>
      </c>
      <c r="C43">
        <f>'Raw Data'!J33</f>
        <v>33.799999999999997</v>
      </c>
      <c r="D43" t="str">
        <f>'Interpreted Data'!G33</f>
        <v>141:30</v>
      </c>
      <c r="E43" t="str">
        <f>'Interpreted Data'!H33</f>
        <v>-</v>
      </c>
      <c r="F43" t="str">
        <f>SUBSTITUTE('Raw Data'!K33," ",":",1)</f>
        <v>water:level</v>
      </c>
      <c r="G43">
        <f>'Interpreted Data'!N33</f>
        <v>0</v>
      </c>
      <c r="H43" t="str">
        <f>'Interpreted Data'!P33</f>
        <v>Lake</v>
      </c>
      <c r="I43" t="str">
        <f t="shared" si="0"/>
        <v xml:space="preserve"> </v>
      </c>
      <c r="J43" t="str">
        <f>A44</f>
        <v>W</v>
      </c>
      <c r="K43" t="str">
        <f>B44</f>
        <v>X</v>
      </c>
      <c r="L43">
        <f>C44</f>
        <v>47</v>
      </c>
      <c r="M43" t="str">
        <f>D44</f>
        <v>132:10</v>
      </c>
      <c r="N43" t="str">
        <f>E44</f>
        <v>-</v>
      </c>
      <c r="O43">
        <f t="shared" si="15"/>
        <v>0</v>
      </c>
      <c r="P43" t="str">
        <f>H44</f>
        <v>Bearing from 2' to right. W to near side Duck II = 3.5. W to far side Duck II = 20.4</v>
      </c>
    </row>
    <row r="44" spans="1:16" x14ac:dyDescent="0.25">
      <c r="A44" t="str">
        <f>'Raw Data'!A34</f>
        <v>W</v>
      </c>
      <c r="B44" t="str">
        <f>'Raw Data'!B34</f>
        <v>X</v>
      </c>
      <c r="C44">
        <f>'Raw Data'!J34</f>
        <v>47</v>
      </c>
      <c r="D44" t="str">
        <f>'Interpreted Data'!G34</f>
        <v>132:10</v>
      </c>
      <c r="E44" t="str">
        <f>'Interpreted Data'!H34</f>
        <v>-</v>
      </c>
      <c r="F44" t="str">
        <f>SUBSTITUTE('Raw Data'!K34," ",":",1)</f>
        <v>water:level</v>
      </c>
      <c r="G44">
        <f>'Interpreted Data'!N34</f>
        <v>0</v>
      </c>
      <c r="H44" t="str">
        <f>'Interpreted Data'!P34</f>
        <v>Bearing from 2' to right. W to near side Duck II = 3.5. W to far side Duck II = 20.4</v>
      </c>
      <c r="I44" t="str">
        <f t="shared" si="0"/>
        <v xml:space="preserve"> </v>
      </c>
      <c r="J44" t="str">
        <f>$J$2</f>
        <v>data diving from to tape compass backcompass depthchange ignoreall</v>
      </c>
    </row>
    <row r="45" spans="1:16" x14ac:dyDescent="0.25">
      <c r="A45" t="str">
        <f>'Raw Data'!A35</f>
        <v>X</v>
      </c>
      <c r="B45" t="str">
        <f>'Raw Data'!B35</f>
        <v>Y</v>
      </c>
      <c r="C45">
        <f>'Raw Data'!J35</f>
        <v>83.5</v>
      </c>
      <c r="D45" t="str">
        <f>'Interpreted Data'!G35</f>
        <v>-</v>
      </c>
      <c r="E45" t="str">
        <f>'Interpreted Data'!H35</f>
        <v>354</v>
      </c>
      <c r="F45" t="str">
        <f>SUBSTITUTE('Raw Data'!K35," ",":",1)</f>
        <v>fall:0.7'</v>
      </c>
      <c r="G45">
        <f>'Interpreted Data'!N35</f>
        <v>-0.7</v>
      </c>
      <c r="H45" t="str">
        <f>'Interpreted Data'!P35</f>
        <v>Y at lip of Sump II, 3" air space goes on 10 more</v>
      </c>
      <c r="I45" t="str">
        <f t="shared" si="0"/>
        <v xml:space="preserve"> </v>
      </c>
      <c r="J45" t="str">
        <f>A45</f>
        <v>X</v>
      </c>
      <c r="K45" t="str">
        <f>B45</f>
        <v>Y</v>
      </c>
      <c r="L45">
        <f>C45</f>
        <v>83.5</v>
      </c>
      <c r="M45" t="str">
        <f>D45</f>
        <v>-</v>
      </c>
      <c r="N45" t="str">
        <f>E45</f>
        <v>354</v>
      </c>
      <c r="O45">
        <f>G45</f>
        <v>-0.7</v>
      </c>
      <c r="P45" t="str">
        <f>H45</f>
        <v>Y at lip of Sump II, 3" air space goes on 10 more</v>
      </c>
    </row>
    <row r="46" spans="1:16" x14ac:dyDescent="0.25">
      <c r="A46" t="str">
        <f>'Raw Data'!A36</f>
        <v>Y</v>
      </c>
      <c r="B46">
        <f>'Raw Data'!B36</f>
        <v>0</v>
      </c>
      <c r="C46">
        <f>'Raw Data'!J36</f>
        <v>0</v>
      </c>
      <c r="D46" t="str">
        <f>'Interpreted Data'!G36</f>
        <v/>
      </c>
      <c r="E46" t="str">
        <f>'Interpreted Data'!H36</f>
        <v/>
      </c>
      <c r="F46" t="str">
        <f>SUBSTITUTE('Raw Data'!K36," ",":",1)</f>
        <v/>
      </c>
      <c r="G46" t="str">
        <f>'Interpreted Data'!N36</f>
        <v/>
      </c>
      <c r="H46" t="str">
        <f>'Interpreted Data'!P36</f>
        <v>(Little sketch). Total 1010'</v>
      </c>
      <c r="I46" t="str">
        <f t="shared" si="0"/>
        <v xml:space="preserve"> </v>
      </c>
      <c r="J46" t="str">
        <f>$J$1</f>
        <v>data normal from to tape compass backcompass clino ignoreall</v>
      </c>
    </row>
    <row r="47" spans="1:16" x14ac:dyDescent="0.25">
      <c r="A47" t="str">
        <f>'Raw Data'!A37</f>
        <v>T</v>
      </c>
      <c r="B47" t="str">
        <f>'Raw Data'!B37</f>
        <v>Ri</v>
      </c>
      <c r="C47">
        <f>'Raw Data'!J37</f>
        <v>22.1</v>
      </c>
      <c r="D47" t="str">
        <f>'Interpreted Data'!G37</f>
        <v>19</v>
      </c>
      <c r="E47" t="str">
        <f>'Interpreted Data'!H37</f>
        <v>-</v>
      </c>
      <c r="F47" t="str">
        <f>SUBSTITUTE('Raw Data'!K37," ",":",1)</f>
        <v>20</v>
      </c>
      <c r="G47">
        <f>'Interpreted Data'!N37</f>
        <v>7.6</v>
      </c>
      <c r="H47" t="str">
        <f>'Interpreted Data'!P37</f>
        <v/>
      </c>
      <c r="I47" t="str">
        <f t="shared" si="0"/>
        <v xml:space="preserve"> </v>
      </c>
      <c r="J47" t="s">
        <v>79</v>
      </c>
      <c r="K47" t="str">
        <f>A46</f>
        <v>Y</v>
      </c>
      <c r="M47" t="str">
        <f>D46</f>
        <v/>
      </c>
      <c r="N47" t="str">
        <f>E46</f>
        <v/>
      </c>
      <c r="O47" t="str">
        <f>F46</f>
        <v/>
      </c>
      <c r="P47" t="str">
        <f>H46</f>
        <v>(Little sketch). Total 1010'</v>
      </c>
    </row>
    <row r="48" spans="1:16" x14ac:dyDescent="0.25">
      <c r="A48" t="str">
        <f>'Raw Data'!A38</f>
        <v>Ri</v>
      </c>
      <c r="B48" t="str">
        <f>'Raw Data'!B38</f>
        <v>Rii</v>
      </c>
      <c r="C48">
        <f>'Raw Data'!J38</f>
        <v>46</v>
      </c>
      <c r="D48" t="str">
        <f>'Interpreted Data'!G38</f>
        <v>315</v>
      </c>
      <c r="E48" t="str">
        <f>'Interpreted Data'!H38</f>
        <v>-</v>
      </c>
      <c r="F48" t="str">
        <f>SUBSTITUTE('Raw Data'!K38," ",":",1)</f>
        <v>-3</v>
      </c>
      <c r="G48">
        <f>'Interpreted Data'!N38</f>
        <v>-2.4</v>
      </c>
      <c r="H48" t="str">
        <f>'Interpreted Data'!P38</f>
        <v>Sump on left at 41' feet</v>
      </c>
      <c r="I48" t="str">
        <f t="shared" si="0"/>
        <v xml:space="preserve"> </v>
      </c>
      <c r="J48" t="str">
        <f>A47</f>
        <v>T</v>
      </c>
      <c r="K48" t="str">
        <f>B47</f>
        <v>Ri</v>
      </c>
      <c r="L48">
        <f>C47</f>
        <v>22.1</v>
      </c>
      <c r="M48" t="str">
        <f>D47</f>
        <v>19</v>
      </c>
      <c r="N48" t="str">
        <f>E47</f>
        <v>-</v>
      </c>
      <c r="O48" t="str">
        <f>IF(AND(D47="-",E47="-"),IF(1*F47=-90,"DOWN",IF(1*F47=90,"UP","no compass")),F47)</f>
        <v>20</v>
      </c>
      <c r="P48" t="str">
        <f>H47</f>
        <v/>
      </c>
    </row>
    <row r="49" spans="1:16" x14ac:dyDescent="0.25">
      <c r="A49" t="str">
        <f>'Raw Data'!A39</f>
        <v>Rii</v>
      </c>
      <c r="B49" t="str">
        <f>'Raw Data'!B39</f>
        <v>Riii</v>
      </c>
      <c r="C49">
        <f>'Raw Data'!J39</f>
        <v>32</v>
      </c>
      <c r="D49" t="str">
        <f>'Interpreted Data'!G39</f>
        <v>348</v>
      </c>
      <c r="E49" t="str">
        <f>'Interpreted Data'!H39</f>
        <v>-</v>
      </c>
      <c r="F49" t="str">
        <f>SUBSTITUTE('Raw Data'!K39," ",":",1)</f>
        <v>2</v>
      </c>
      <c r="G49">
        <f>'Interpreted Data'!N39</f>
        <v>1.1000000000000001</v>
      </c>
      <c r="H49" t="str">
        <f>'Interpreted Data'!P39</f>
        <v>Bearing from 3 feet to left</v>
      </c>
      <c r="I49" t="str">
        <f t="shared" si="0"/>
        <v xml:space="preserve"> </v>
      </c>
      <c r="J49" t="str">
        <f>A48</f>
        <v>Ri</v>
      </c>
      <c r="K49" t="str">
        <f>B48</f>
        <v>Rii</v>
      </c>
      <c r="L49">
        <f>C48</f>
        <v>46</v>
      </c>
      <c r="M49" t="str">
        <f>D48</f>
        <v>315</v>
      </c>
      <c r="N49" t="str">
        <f>E48</f>
        <v>-</v>
      </c>
      <c r="O49" t="str">
        <f t="shared" ref="O49:O50" si="16">IF(AND(D48="-",E48="-"),IF(1*F48=-90,"DOWN",IF(1*F48=90,"UP","no compass")),F48)</f>
        <v>-3</v>
      </c>
      <c r="P49" t="str">
        <f>H48</f>
        <v>Sump on left at 41' feet</v>
      </c>
    </row>
    <row r="50" spans="1:16" x14ac:dyDescent="0.25">
      <c r="A50" t="str">
        <f>'Raw Data'!A40</f>
        <v>Riii</v>
      </c>
      <c r="B50" t="str">
        <f>'Raw Data'!B40</f>
        <v>Riv</v>
      </c>
      <c r="C50">
        <f>'Raw Data'!J40</f>
        <v>27.3</v>
      </c>
      <c r="D50" t="str">
        <f>'Interpreted Data'!G40</f>
        <v>284</v>
      </c>
      <c r="E50" t="str">
        <f>'Interpreted Data'!H40</f>
        <v>-</v>
      </c>
      <c r="F50" t="str">
        <f>SUBSTITUTE('Raw Data'!K40," ",":",1)</f>
        <v>fall:4 feet</v>
      </c>
      <c r="G50">
        <f>'Interpreted Data'!N40</f>
        <v>-4</v>
      </c>
      <c r="H50" t="str">
        <f>'Interpreted Data'!P40</f>
        <v>Bearing from 2' to left. Iv is Muddy Sump. Dp below Sump I is 20.6 feet. Total 1127'</v>
      </c>
      <c r="I50" t="str">
        <f t="shared" si="0"/>
        <v xml:space="preserve"> </v>
      </c>
      <c r="J50" t="str">
        <f>A49</f>
        <v>Rii</v>
      </c>
      <c r="K50" t="str">
        <f>B49</f>
        <v>Riii</v>
      </c>
      <c r="L50">
        <f>C49</f>
        <v>32</v>
      </c>
      <c r="M50" t="str">
        <f>D49</f>
        <v>348</v>
      </c>
      <c r="N50" t="str">
        <f>E49</f>
        <v>-</v>
      </c>
      <c r="O50" t="str">
        <f t="shared" si="16"/>
        <v>2</v>
      </c>
      <c r="P50" t="str">
        <f>H49</f>
        <v>Bearing from 3 feet to left</v>
      </c>
    </row>
    <row r="51" spans="1:16" x14ac:dyDescent="0.25">
      <c r="A51" t="str">
        <f>'Raw Data'!A41</f>
        <v>a</v>
      </c>
      <c r="B51" t="str">
        <f>'Raw Data'!B41</f>
        <v>b</v>
      </c>
      <c r="C51">
        <f>'Raw Data'!J41</f>
        <v>43</v>
      </c>
      <c r="D51" t="str">
        <f>'Interpreted Data'!G41</f>
        <v>83</v>
      </c>
      <c r="E51" t="str">
        <f>'Interpreted Data'!H41</f>
        <v>-</v>
      </c>
      <c r="F51" t="str">
        <f>SUBSTITUTE('Raw Data'!K41," ",":",1)</f>
        <v>15</v>
      </c>
      <c r="G51">
        <f>'Interpreted Data'!N41</f>
        <v>11.1</v>
      </c>
      <c r="H51" t="str">
        <f>'Interpreted Data'!P41</f>
        <v>a is on N.Side of passage just before Creep I -&gt; (sketch)</v>
      </c>
      <c r="I51" t="str">
        <f t="shared" si="0"/>
        <v xml:space="preserve"> </v>
      </c>
      <c r="J51" t="str">
        <f>$J$2</f>
        <v>data diving from to tape compass backcompass depthchange ignoreall</v>
      </c>
    </row>
    <row r="52" spans="1:16" x14ac:dyDescent="0.25">
      <c r="A52" t="str">
        <f>'Raw Data'!A42</f>
        <v>b</v>
      </c>
      <c r="B52" t="str">
        <f>'Raw Data'!B42</f>
        <v>c</v>
      </c>
      <c r="C52">
        <f>'Raw Data'!J42</f>
        <v>20.7</v>
      </c>
      <c r="D52" t="str">
        <f>'Interpreted Data'!G42</f>
        <v>6</v>
      </c>
      <c r="E52" t="str">
        <f>'Interpreted Data'!H42</f>
        <v>-</v>
      </c>
      <c r="F52" t="str">
        <f>SUBSTITUTE('Raw Data'!K42," ",":",1)</f>
        <v>8</v>
      </c>
      <c r="G52">
        <f>'Interpreted Data'!N42</f>
        <v>2.9</v>
      </c>
      <c r="H52" t="str">
        <f>'Interpreted Data'!P42</f>
        <v/>
      </c>
      <c r="I52" t="str">
        <f t="shared" si="0"/>
        <v xml:space="preserve"> </v>
      </c>
      <c r="J52" t="str">
        <f>A50</f>
        <v>Riii</v>
      </c>
      <c r="K52" t="str">
        <f>B50</f>
        <v>Riv</v>
      </c>
      <c r="L52">
        <f>C50</f>
        <v>27.3</v>
      </c>
      <c r="M52" t="str">
        <f>D50</f>
        <v>284</v>
      </c>
      <c r="N52" t="str">
        <f>E50</f>
        <v>-</v>
      </c>
      <c r="O52">
        <f>G50</f>
        <v>-4</v>
      </c>
      <c r="P52" t="str">
        <f>H50</f>
        <v>Bearing from 2' to left. Iv is Muddy Sump. Dp below Sump I is 20.6 feet. Total 1127'</v>
      </c>
    </row>
    <row r="53" spans="1:16" x14ac:dyDescent="0.25">
      <c r="A53" t="str">
        <f>'Raw Data'!A43</f>
        <v>c</v>
      </c>
      <c r="B53" t="str">
        <f>'Raw Data'!B43</f>
        <v>d</v>
      </c>
      <c r="C53">
        <f>'Raw Data'!J43</f>
        <v>11.3</v>
      </c>
      <c r="D53" t="str">
        <f>'Interpreted Data'!G43</f>
        <v>42</v>
      </c>
      <c r="E53" t="str">
        <f>'Interpreted Data'!H43</f>
        <v>-</v>
      </c>
      <c r="F53" t="str">
        <f>SUBSTITUTE('Raw Data'!K43," ",":",1)</f>
        <v>10</v>
      </c>
      <c r="G53">
        <f>'Interpreted Data'!N43</f>
        <v>2</v>
      </c>
      <c r="H53" t="str">
        <f>'Interpreted Data'!P43</f>
        <v/>
      </c>
      <c r="I53" t="str">
        <f t="shared" si="0"/>
        <v xml:space="preserve"> </v>
      </c>
      <c r="J53" t="str">
        <f>$J$1</f>
        <v>data normal from to tape compass backcompass clino ignoreall</v>
      </c>
    </row>
    <row r="54" spans="1:16" x14ac:dyDescent="0.25">
      <c r="A54" t="str">
        <f>'Raw Data'!A44</f>
        <v>d</v>
      </c>
      <c r="B54" t="str">
        <f>'Raw Data'!B44</f>
        <v>e</v>
      </c>
      <c r="C54">
        <f>'Raw Data'!J44</f>
        <v>18.899999999999999</v>
      </c>
      <c r="D54" t="str">
        <f>'Interpreted Data'!G44</f>
        <v>139</v>
      </c>
      <c r="E54" t="str">
        <f>'Interpreted Data'!H44</f>
        <v>-</v>
      </c>
      <c r="F54" t="str">
        <f>SUBSTITUTE('Raw Data'!K44," ",":",1)</f>
        <v>level</v>
      </c>
      <c r="G54">
        <f>'Interpreted Data'!N44</f>
        <v>0</v>
      </c>
      <c r="H54" t="str">
        <f>'Interpreted Data'!P44</f>
        <v>(e) is where passage rejoins streamway. Stn 35 (p.52)-(e) is F.S. 234 (TRUE), Dist 18', Clino +45 (deg), HD 12.7, VD +12.7</v>
      </c>
      <c r="I54" t="str">
        <f t="shared" si="0"/>
        <v xml:space="preserve"> </v>
      </c>
      <c r="J54" t="str">
        <f>CONCATENATE(A51,"2")</f>
        <v>a2</v>
      </c>
      <c r="K54" t="str">
        <f>CONCATENATE(B51,"2")</f>
        <v>b2</v>
      </c>
      <c r="L54">
        <f>C51</f>
        <v>43</v>
      </c>
      <c r="M54" t="str">
        <f>D51</f>
        <v>83</v>
      </c>
      <c r="N54" t="str">
        <f>E51</f>
        <v>-</v>
      </c>
      <c r="O54" t="str">
        <f>IF(AND(D51="-",E51="-"),IF(1*F51=-90,"DOWN",IF(1*F51=90,"UP","no compass")),F51)</f>
        <v>15</v>
      </c>
      <c r="P54" t="str">
        <f>H51</f>
        <v>a is on N.Side of passage just before Creep I -&gt; (sketch)</v>
      </c>
    </row>
    <row r="55" spans="1:16" x14ac:dyDescent="0.25">
      <c r="A55" t="str">
        <f>'Raw Data'!A45</f>
        <v>d</v>
      </c>
      <c r="B55" t="str">
        <f>'Raw Data'!B45</f>
        <v>f</v>
      </c>
      <c r="C55">
        <f>'Raw Data'!J45</f>
        <v>10.3</v>
      </c>
      <c r="D55" t="str">
        <f>'Interpreted Data'!G45</f>
        <v>245</v>
      </c>
      <c r="E55" t="str">
        <f>'Interpreted Data'!H45</f>
        <v>-</v>
      </c>
      <c r="F55" t="str">
        <f>SUBSTITUTE('Raw Data'!K45," ",":",1)</f>
        <v>60</v>
      </c>
      <c r="G55">
        <f>'Interpreted Data'!N45</f>
        <v>8.9</v>
      </c>
      <c r="H55" t="str">
        <f>'Interpreted Data'!P45</f>
        <v/>
      </c>
      <c r="I55" t="str">
        <f t="shared" si="0"/>
        <v xml:space="preserve"> </v>
      </c>
      <c r="J55" t="str">
        <f t="shared" ref="J55:K55" si="17">CONCATENATE(A52,"2")</f>
        <v>b2</v>
      </c>
      <c r="K55" t="str">
        <f t="shared" si="17"/>
        <v>c2</v>
      </c>
      <c r="L55">
        <f>C52</f>
        <v>20.7</v>
      </c>
      <c r="M55" t="str">
        <f>D52</f>
        <v>6</v>
      </c>
      <c r="N55" t="str">
        <f>E52</f>
        <v>-</v>
      </c>
      <c r="O55" t="str">
        <f>IF(AND(D52="-",E52="-"),IF(1*F52=-90,"DOWN",IF(1*F52=90,"UP","no compass")),F52)</f>
        <v>8</v>
      </c>
      <c r="P55" t="str">
        <f>H52</f>
        <v/>
      </c>
    </row>
    <row r="56" spans="1:16" x14ac:dyDescent="0.25">
      <c r="A56" t="str">
        <f>'Raw Data'!A46</f>
        <v>f</v>
      </c>
      <c r="B56" t="str">
        <f>'Raw Data'!B46</f>
        <v>g</v>
      </c>
      <c r="C56">
        <f>'Raw Data'!J46</f>
        <v>6.2</v>
      </c>
      <c r="D56" t="str">
        <f>'Interpreted Data'!G46</f>
        <v>319</v>
      </c>
      <c r="E56" t="str">
        <f>'Interpreted Data'!H46</f>
        <v>-</v>
      </c>
      <c r="F56" t="str">
        <f>SUBSTITUTE('Raw Data'!K46," ",":",1)</f>
        <v>level</v>
      </c>
      <c r="G56">
        <f>'Interpreted Data'!N46</f>
        <v>0</v>
      </c>
      <c r="H56" t="str">
        <f>'Interpreted Data'!P46</f>
        <v/>
      </c>
      <c r="I56" t="str">
        <f t="shared" si="0"/>
        <v xml:space="preserve"> </v>
      </c>
      <c r="J56" t="str">
        <f t="shared" ref="J56:K56" si="18">CONCATENATE(A53,"2")</f>
        <v>c2</v>
      </c>
      <c r="K56" t="str">
        <f t="shared" si="18"/>
        <v>d2</v>
      </c>
      <c r="L56">
        <f>C53</f>
        <v>11.3</v>
      </c>
      <c r="M56" t="str">
        <f>D53</f>
        <v>42</v>
      </c>
      <c r="N56" t="str">
        <f>E53</f>
        <v>-</v>
      </c>
      <c r="O56" t="str">
        <f>IF(AND(D53="-",E53="-"),IF(1*F53=-90,"DOWN",IF(1*F53=90,"UP","no compass")),F53)</f>
        <v>10</v>
      </c>
      <c r="P56" t="str">
        <f>H53</f>
        <v/>
      </c>
    </row>
    <row r="57" spans="1:16" x14ac:dyDescent="0.25">
      <c r="A57" t="str">
        <f>'Raw Data'!A47</f>
        <v>g</v>
      </c>
      <c r="B57" t="str">
        <f>'Raw Data'!B47</f>
        <v>h</v>
      </c>
      <c r="C57">
        <f>'Raw Data'!J47</f>
        <v>16</v>
      </c>
      <c r="D57" t="str">
        <f>'Interpreted Data'!G47</f>
        <v>237</v>
      </c>
      <c r="E57" t="str">
        <f>'Interpreted Data'!H47</f>
        <v>-</v>
      </c>
      <c r="F57" t="str">
        <f>SUBSTITUTE('Raw Data'!K47," ",":",1)</f>
        <v>65</v>
      </c>
      <c r="G57">
        <f>'Interpreted Data'!N47</f>
        <v>14.5</v>
      </c>
      <c r="H57" t="str">
        <f>'Interpreted Data'!P47</f>
        <v/>
      </c>
      <c r="I57" t="str">
        <f t="shared" si="0"/>
        <v xml:space="preserve"> </v>
      </c>
      <c r="J57" t="str">
        <f t="shared" ref="J57:K57" si="19">CONCATENATE(A54,"2")</f>
        <v>d2</v>
      </c>
      <c r="K57" t="str">
        <f t="shared" si="19"/>
        <v>e2</v>
      </c>
      <c r="L57">
        <f>C54</f>
        <v>18.899999999999999</v>
      </c>
      <c r="M57" t="str">
        <f>D54</f>
        <v>139</v>
      </c>
      <c r="N57" t="str">
        <f>E54</f>
        <v>-</v>
      </c>
      <c r="O57">
        <f>G54</f>
        <v>0</v>
      </c>
      <c r="P57" t="str">
        <f>H54</f>
        <v>(e) is where passage rejoins streamway. Stn 35 (p.52)-(e) is F.S. 234 (TRUE), Dist 18', Clino +45 (deg), HD 12.7, VD +12.7</v>
      </c>
    </row>
    <row r="58" spans="1:16" x14ac:dyDescent="0.25">
      <c r="A58" t="str">
        <f>'Raw Data'!A48</f>
        <v>h</v>
      </c>
      <c r="B58" t="str">
        <f>'Raw Data'!B48</f>
        <v>i</v>
      </c>
      <c r="C58">
        <f>'Raw Data'!J48</f>
        <v>46</v>
      </c>
      <c r="D58" t="str">
        <f>'Interpreted Data'!G48</f>
        <v>329</v>
      </c>
      <c r="E58" t="str">
        <f>'Interpreted Data'!H48</f>
        <v>-</v>
      </c>
      <c r="F58" t="str">
        <f>SUBSTITUTE('Raw Data'!K48," ",":",1)</f>
        <v>level</v>
      </c>
      <c r="G58">
        <f>'Interpreted Data'!N48</f>
        <v>0</v>
      </c>
      <c r="H58" t="str">
        <f>'Interpreted Data'!P48</f>
        <v>(i) is where passage gets too low. (some indistinct numbers follow. Too faint to read on logbook scan). Total 1207' (?)</v>
      </c>
      <c r="I58" t="str">
        <f t="shared" si="0"/>
        <v xml:space="preserve"> </v>
      </c>
      <c r="J58" t="str">
        <f t="shared" ref="J58:K58" si="20">CONCATENATE(A55,"2")</f>
        <v>d2</v>
      </c>
      <c r="K58" t="str">
        <f t="shared" si="20"/>
        <v>f2</v>
      </c>
      <c r="L58">
        <f>C55</f>
        <v>10.3</v>
      </c>
      <c r="M58" t="str">
        <f>D55</f>
        <v>245</v>
      </c>
      <c r="N58" t="str">
        <f>E55</f>
        <v>-</v>
      </c>
      <c r="O58" t="str">
        <f>IF(AND(D55="-",E55="-"),IF(1*F55=-90,"DOWN",IF(1*F55=90,"UP","no compass")),F55)</f>
        <v>60</v>
      </c>
      <c r="P58" t="str">
        <f>H55</f>
        <v/>
      </c>
    </row>
    <row r="59" spans="1:16" x14ac:dyDescent="0.25">
      <c r="A59" t="str">
        <f>'Raw Data'!A49</f>
        <v>M</v>
      </c>
      <c r="B59">
        <f>'Raw Data'!B49</f>
        <v>1</v>
      </c>
      <c r="C59">
        <f>'Raw Data'!J49</f>
        <v>11.7</v>
      </c>
      <c r="D59" t="str">
        <f>'Interpreted Data'!G49</f>
        <v>-</v>
      </c>
      <c r="E59" t="str">
        <f>'Interpreted Data'!H49</f>
        <v>145</v>
      </c>
      <c r="F59" t="str">
        <f>SUBSTITUTE('Raw Data'!K49," ",":",1)</f>
        <v>-20</v>
      </c>
      <c r="G59">
        <f>'Interpreted Data'!N49</f>
        <v>-4</v>
      </c>
      <c r="H59" t="str">
        <f>'Interpreted Data'!P49</f>
        <v/>
      </c>
      <c r="I59" t="str">
        <f t="shared" si="0"/>
        <v xml:space="preserve"> </v>
      </c>
      <c r="J59" t="str">
        <f t="shared" ref="J59:K59" si="21">CONCATENATE(A56,"2")</f>
        <v>f2</v>
      </c>
      <c r="K59" t="str">
        <f t="shared" si="21"/>
        <v>g2</v>
      </c>
      <c r="L59">
        <f>C56</f>
        <v>6.2</v>
      </c>
      <c r="M59" t="str">
        <f>D56</f>
        <v>319</v>
      </c>
      <c r="N59" t="str">
        <f>E56</f>
        <v>-</v>
      </c>
      <c r="O59">
        <f>G56</f>
        <v>0</v>
      </c>
      <c r="P59" t="str">
        <f>H56</f>
        <v/>
      </c>
    </row>
    <row r="60" spans="1:16" x14ac:dyDescent="0.25">
      <c r="A60">
        <f>'Raw Data'!A50</f>
        <v>1</v>
      </c>
      <c r="B60">
        <f>'Raw Data'!B50</f>
        <v>2</v>
      </c>
      <c r="C60">
        <f>'Raw Data'!J50</f>
        <v>28.5</v>
      </c>
      <c r="D60" t="str">
        <f>'Interpreted Data'!G50</f>
        <v>35</v>
      </c>
      <c r="E60" t="str">
        <f>'Interpreted Data'!H50</f>
        <v>-</v>
      </c>
      <c r="F60" t="str">
        <f>SUBSTITUTE('Raw Data'!K50," ",":",1)</f>
        <v>85</v>
      </c>
      <c r="G60">
        <f>'Interpreted Data'!N50</f>
        <v>28.4</v>
      </c>
      <c r="H60" t="str">
        <f>'Interpreted Data'!P50</f>
        <v/>
      </c>
      <c r="I60" t="str">
        <f t="shared" si="0"/>
        <v xml:space="preserve"> </v>
      </c>
      <c r="J60" t="str">
        <f t="shared" ref="J60:K60" si="22">CONCATENATE(A57,"2")</f>
        <v>g2</v>
      </c>
      <c r="K60" t="str">
        <f t="shared" si="22"/>
        <v>h2</v>
      </c>
      <c r="L60">
        <f>C57</f>
        <v>16</v>
      </c>
      <c r="M60" t="str">
        <f>D57</f>
        <v>237</v>
      </c>
      <c r="N60" t="str">
        <f>E57</f>
        <v>-</v>
      </c>
      <c r="O60" t="str">
        <f>IF(AND(D57="-",E57="-"),IF(1*F57=-90,"DOWN",IF(1*F57=90,"UP","no compass")),F57)</f>
        <v>65</v>
      </c>
      <c r="P60" t="str">
        <f>H57</f>
        <v/>
      </c>
    </row>
    <row r="61" spans="1:16" x14ac:dyDescent="0.25">
      <c r="A61">
        <f>'Raw Data'!A51</f>
        <v>2</v>
      </c>
      <c r="B61">
        <f>'Raw Data'!B51</f>
        <v>3</v>
      </c>
      <c r="C61">
        <f>'Raw Data'!J51</f>
        <v>19.899999999999999</v>
      </c>
      <c r="D61" t="str">
        <f>'Interpreted Data'!G51</f>
        <v>-</v>
      </c>
      <c r="E61" t="str">
        <f>'Interpreted Data'!H51</f>
        <v>230</v>
      </c>
      <c r="F61" t="str">
        <f>SUBSTITUTE('Raw Data'!K51," ",":",1)</f>
        <v>16</v>
      </c>
      <c r="G61">
        <f>'Interpreted Data'!N51</f>
        <v>5.5</v>
      </c>
      <c r="H61" t="str">
        <f>'Interpreted Data'!P51</f>
        <v>2 is on lip of Approach passage. Little passage starts 15 back.</v>
      </c>
      <c r="I61" t="str">
        <f t="shared" si="0"/>
        <v xml:space="preserve"> </v>
      </c>
      <c r="J61" t="str">
        <f t="shared" ref="J61:K61" si="23">CONCATENATE(A58,"2")</f>
        <v>h2</v>
      </c>
      <c r="K61" t="str">
        <f t="shared" si="23"/>
        <v>i2</v>
      </c>
      <c r="L61">
        <f>C58</f>
        <v>46</v>
      </c>
      <c r="M61" t="str">
        <f>D58</f>
        <v>329</v>
      </c>
      <c r="N61" t="str">
        <f>E58</f>
        <v>-</v>
      </c>
      <c r="O61">
        <f>G58</f>
        <v>0</v>
      </c>
      <c r="P61" t="str">
        <f>H58</f>
        <v>(i) is where passage gets too low. (some indistinct numbers follow. Too faint to read on logbook scan). Total 1207' (?)</v>
      </c>
    </row>
    <row r="62" spans="1:16" x14ac:dyDescent="0.25">
      <c r="A62">
        <f>'Raw Data'!A52</f>
        <v>3</v>
      </c>
      <c r="B62">
        <f>'Raw Data'!B52</f>
        <v>4</v>
      </c>
      <c r="C62">
        <f>'Raw Data'!J52</f>
        <v>16</v>
      </c>
      <c r="D62" t="str">
        <f>'Interpreted Data'!G52</f>
        <v>122</v>
      </c>
      <c r="E62" t="str">
        <f>'Interpreted Data'!H52</f>
        <v>-</v>
      </c>
      <c r="F62" t="str">
        <f>SUBSTITUTE('Raw Data'!K52," ",":",1)</f>
        <v>7</v>
      </c>
      <c r="G62">
        <f>'Interpreted Data'!N52</f>
        <v>1.9</v>
      </c>
      <c r="H62" t="str">
        <f>'Interpreted Data'!P52</f>
        <v>3 - 12 Trench up to 2 feet deep in floor of this passage</v>
      </c>
      <c r="I62" t="str">
        <f t="shared" si="0"/>
        <v xml:space="preserve"> </v>
      </c>
      <c r="J62" t="str">
        <f>A59</f>
        <v>M</v>
      </c>
      <c r="K62">
        <f>B59</f>
        <v>1</v>
      </c>
      <c r="L62">
        <f>C59</f>
        <v>11.7</v>
      </c>
      <c r="M62" t="str">
        <f>D59</f>
        <v>-</v>
      </c>
      <c r="N62" t="str">
        <f>E59</f>
        <v>145</v>
      </c>
      <c r="O62" t="str">
        <f>IF(AND(D59="-",E59="-"),IF(1*F59=-90,"DOWN",IF(1*F59=90,"UP","no compass")),F59)</f>
        <v>-20</v>
      </c>
      <c r="P62" t="str">
        <f>H59</f>
        <v/>
      </c>
    </row>
    <row r="63" spans="1:16" x14ac:dyDescent="0.25">
      <c r="A63">
        <f>'Raw Data'!A53</f>
        <v>4</v>
      </c>
      <c r="B63">
        <f>'Raw Data'!B53</f>
        <v>5</v>
      </c>
      <c r="C63">
        <f>'Raw Data'!J53</f>
        <v>18</v>
      </c>
      <c r="D63" t="str">
        <f>'Interpreted Data'!G53</f>
        <v>59</v>
      </c>
      <c r="E63" t="str">
        <f>'Interpreted Data'!H53</f>
        <v>-</v>
      </c>
      <c r="F63" t="str">
        <f>SUBSTITUTE('Raw Data'!K53," ",":",1)</f>
        <v>15</v>
      </c>
      <c r="G63">
        <f>'Interpreted Data'!N53</f>
        <v>4.7</v>
      </c>
      <c r="H63" t="str">
        <f>'Interpreted Data'!P53</f>
        <v>Little passage off to South from 4</v>
      </c>
      <c r="I63" t="str">
        <f t="shared" si="0"/>
        <v xml:space="preserve"> </v>
      </c>
      <c r="J63">
        <f>A60</f>
        <v>1</v>
      </c>
      <c r="K63">
        <f>B60</f>
        <v>2</v>
      </c>
      <c r="L63">
        <f>C60</f>
        <v>28.5</v>
      </c>
      <c r="M63" t="str">
        <f>D60</f>
        <v>35</v>
      </c>
      <c r="N63" t="str">
        <f>E60</f>
        <v>-</v>
      </c>
      <c r="O63" t="str">
        <f>IF(AND(D60="-",E60="-"),IF(1*F60=-90,"DOWN",IF(1*F60=90,"UP","no compass")),F60)</f>
        <v>85</v>
      </c>
      <c r="P63" t="str">
        <f>H60</f>
        <v/>
      </c>
    </row>
    <row r="64" spans="1:16" x14ac:dyDescent="0.25">
      <c r="A64">
        <f>'Raw Data'!A54</f>
        <v>5</v>
      </c>
      <c r="B64">
        <f>'Raw Data'!B54</f>
        <v>6</v>
      </c>
      <c r="C64">
        <f>'Raw Data'!J54</f>
        <v>9.5</v>
      </c>
      <c r="D64" t="str">
        <f>'Interpreted Data'!G54</f>
        <v>17</v>
      </c>
      <c r="E64" t="str">
        <f>'Interpreted Data'!H54</f>
        <v>-</v>
      </c>
      <c r="F64" t="str">
        <f>SUBSTITUTE('Raw Data'!K54," ",":",1)</f>
        <v>10</v>
      </c>
      <c r="G64">
        <f>'Interpreted Data'!N54</f>
        <v>1.6</v>
      </c>
      <c r="H64" t="str">
        <f>'Interpreted Data'!P54</f>
        <v/>
      </c>
      <c r="I64" t="str">
        <f t="shared" si="0"/>
        <v xml:space="preserve"> </v>
      </c>
      <c r="J64">
        <f>A61</f>
        <v>2</v>
      </c>
      <c r="K64">
        <f>B61</f>
        <v>3</v>
      </c>
      <c r="L64">
        <f>C61</f>
        <v>19.899999999999999</v>
      </c>
      <c r="M64" t="str">
        <f>D61</f>
        <v>-</v>
      </c>
      <c r="N64" t="str">
        <f>E61</f>
        <v>230</v>
      </c>
      <c r="O64" t="str">
        <f>IF(AND(D61="-",E61="-"),IF(1*F61=-90,"DOWN",IF(1*F61=90,"UP","no compass")),F61)</f>
        <v>16</v>
      </c>
      <c r="P64" t="str">
        <f>H61</f>
        <v>2 is on lip of Approach passage. Little passage starts 15 back.</v>
      </c>
    </row>
    <row r="65" spans="1:16" x14ac:dyDescent="0.25">
      <c r="A65">
        <f>'Raw Data'!A55</f>
        <v>6</v>
      </c>
      <c r="B65">
        <f>'Raw Data'!B55</f>
        <v>7</v>
      </c>
      <c r="C65">
        <f>'Raw Data'!J55</f>
        <v>13.5</v>
      </c>
      <c r="D65" t="str">
        <f>'Interpreted Data'!G55</f>
        <v>46</v>
      </c>
      <c r="E65" t="str">
        <f>'Interpreted Data'!H55</f>
        <v>-</v>
      </c>
      <c r="F65" t="str">
        <f>SUBSTITUTE('Raw Data'!K55," ",":",1)</f>
        <v>17</v>
      </c>
      <c r="G65">
        <f>'Interpreted Data'!N55</f>
        <v>4</v>
      </c>
      <c r="H65" t="str">
        <f>'Interpreted Data'!P55</f>
        <v/>
      </c>
      <c r="I65" t="str">
        <f t="shared" si="0"/>
        <v xml:space="preserve"> </v>
      </c>
      <c r="J65">
        <f>A62</f>
        <v>3</v>
      </c>
      <c r="K65">
        <f>B62</f>
        <v>4</v>
      </c>
      <c r="L65">
        <f>C62</f>
        <v>16</v>
      </c>
      <c r="M65" t="str">
        <f>D62</f>
        <v>122</v>
      </c>
      <c r="N65" t="str">
        <f>E62</f>
        <v>-</v>
      </c>
      <c r="O65" t="str">
        <f>IF(AND(D62="-",E62="-"),IF(1*F62=-90,"DOWN",IF(1*F62=90,"UP","no compass")),F62)</f>
        <v>7</v>
      </c>
      <c r="P65" t="str">
        <f>H62</f>
        <v>3 - 12 Trench up to 2 feet deep in floor of this passage</v>
      </c>
    </row>
    <row r="66" spans="1:16" x14ac:dyDescent="0.25">
      <c r="A66">
        <f>'Raw Data'!A56</f>
        <v>7</v>
      </c>
      <c r="B66">
        <f>'Raw Data'!B56</f>
        <v>8</v>
      </c>
      <c r="C66">
        <f>'Raw Data'!J56</f>
        <v>24.2</v>
      </c>
      <c r="D66" t="str">
        <f>'Interpreted Data'!G56</f>
        <v>74</v>
      </c>
      <c r="E66" t="str">
        <f>'Interpreted Data'!H56</f>
        <v>-</v>
      </c>
      <c r="F66" t="str">
        <f>SUBSTITUTE('Raw Data'!K56," ",":",1)</f>
        <v>13</v>
      </c>
      <c r="G66">
        <f>'Interpreted Data'!N56</f>
        <v>5.4</v>
      </c>
      <c r="H66" t="str">
        <f>'Interpreted Data'!P56</f>
        <v/>
      </c>
      <c r="I66" t="str">
        <f t="shared" si="0"/>
        <v xml:space="preserve"> </v>
      </c>
      <c r="J66">
        <f>A63</f>
        <v>4</v>
      </c>
      <c r="K66">
        <f>B63</f>
        <v>5</v>
      </c>
      <c r="L66">
        <f>C63</f>
        <v>18</v>
      </c>
      <c r="M66" t="str">
        <f>D63</f>
        <v>59</v>
      </c>
      <c r="N66" t="str">
        <f>E63</f>
        <v>-</v>
      </c>
      <c r="O66" t="str">
        <f>IF(AND(D63="-",E63="-"),IF(1*F63=-90,"DOWN",IF(1*F63=90,"UP","no compass")),F63)</f>
        <v>15</v>
      </c>
      <c r="P66" t="str">
        <f>H63</f>
        <v>Little passage off to South from 4</v>
      </c>
    </row>
    <row r="67" spans="1:16" x14ac:dyDescent="0.25">
      <c r="A67">
        <f>'Raw Data'!A57</f>
        <v>8</v>
      </c>
      <c r="B67">
        <f>'Raw Data'!B57</f>
        <v>9</v>
      </c>
      <c r="C67">
        <f>'Raw Data'!J57</f>
        <v>8.8000000000000007</v>
      </c>
      <c r="D67" t="str">
        <f>'Interpreted Data'!G57</f>
        <v>137</v>
      </c>
      <c r="E67" t="str">
        <f>'Interpreted Data'!H57</f>
        <v>-</v>
      </c>
      <c r="F67" t="str">
        <f>SUBSTITUTE('Raw Data'!K57," ",":",1)</f>
        <v>10</v>
      </c>
      <c r="G67">
        <f>'Interpreted Data'!N57</f>
        <v>1.5</v>
      </c>
      <c r="H67" t="str">
        <f>'Interpreted Data'!P57</f>
        <v/>
      </c>
      <c r="I67" t="str">
        <f t="shared" ref="I67:I133" si="24">" "</f>
        <v xml:space="preserve"> </v>
      </c>
      <c r="J67">
        <f>A64</f>
        <v>5</v>
      </c>
      <c r="K67">
        <f>B64</f>
        <v>6</v>
      </c>
      <c r="L67">
        <f>C64</f>
        <v>9.5</v>
      </c>
      <c r="M67" t="str">
        <f>D64</f>
        <v>17</v>
      </c>
      <c r="N67" t="str">
        <f>E64</f>
        <v>-</v>
      </c>
      <c r="O67" t="str">
        <f>IF(AND(D64="-",E64="-"),IF(1*F64=-90,"DOWN",IF(1*F64=90,"UP","no compass")),F64)</f>
        <v>10</v>
      </c>
      <c r="P67" t="str">
        <f>H64</f>
        <v/>
      </c>
    </row>
    <row r="68" spans="1:16" x14ac:dyDescent="0.25">
      <c r="A68">
        <f>'Raw Data'!A58</f>
        <v>9</v>
      </c>
      <c r="B68">
        <f>'Raw Data'!B58</f>
        <v>10</v>
      </c>
      <c r="C68">
        <f>'Raw Data'!J58</f>
        <v>19.8</v>
      </c>
      <c r="D68" t="str">
        <f>'Interpreted Data'!G58</f>
        <v>89</v>
      </c>
      <c r="E68" t="str">
        <f>'Interpreted Data'!H58</f>
        <v>-</v>
      </c>
      <c r="F68" t="str">
        <f>SUBSTITUTE('Raw Data'!K58," ",":",1)</f>
        <v>15</v>
      </c>
      <c r="G68">
        <f>'Interpreted Data'!N58</f>
        <v>5.0999999999999996</v>
      </c>
      <c r="H68" t="str">
        <f>'Interpreted Data'!P58</f>
        <v/>
      </c>
      <c r="I68" t="str">
        <f t="shared" si="24"/>
        <v xml:space="preserve"> </v>
      </c>
      <c r="J68">
        <f>A65</f>
        <v>6</v>
      </c>
      <c r="K68">
        <f>B65</f>
        <v>7</v>
      </c>
      <c r="L68">
        <f>C65</f>
        <v>13.5</v>
      </c>
      <c r="M68" t="str">
        <f>D65</f>
        <v>46</v>
      </c>
      <c r="N68" t="str">
        <f>E65</f>
        <v>-</v>
      </c>
      <c r="O68" t="str">
        <f>IF(AND(D65="-",E65="-"),IF(1*F65=-90,"DOWN",IF(1*F65=90,"UP","no compass")),F65)</f>
        <v>17</v>
      </c>
      <c r="P68" t="str">
        <f>H65</f>
        <v/>
      </c>
    </row>
    <row r="69" spans="1:16" x14ac:dyDescent="0.25">
      <c r="A69">
        <f>'Raw Data'!A59</f>
        <v>10</v>
      </c>
      <c r="B69">
        <f>'Raw Data'!B59</f>
        <v>11</v>
      </c>
      <c r="C69">
        <f>'Raw Data'!J59</f>
        <v>9</v>
      </c>
      <c r="D69" t="str">
        <f>'Interpreted Data'!G59</f>
        <v>26</v>
      </c>
      <c r="E69" t="str">
        <f>'Interpreted Data'!H59</f>
        <v>-</v>
      </c>
      <c r="F69" t="str">
        <f>SUBSTITUTE('Raw Data'!K59," ",":",1)</f>
        <v>12</v>
      </c>
      <c r="G69">
        <f>'Interpreted Data'!N59</f>
        <v>1.9</v>
      </c>
      <c r="H69" t="str">
        <f>'Interpreted Data'!P59</f>
        <v/>
      </c>
      <c r="I69" t="str">
        <f t="shared" si="24"/>
        <v xml:space="preserve"> </v>
      </c>
      <c r="J69">
        <f>A66</f>
        <v>7</v>
      </c>
      <c r="K69">
        <f>B66</f>
        <v>8</v>
      </c>
      <c r="L69">
        <f>C66</f>
        <v>24.2</v>
      </c>
      <c r="M69" t="str">
        <f>D66</f>
        <v>74</v>
      </c>
      <c r="N69" t="str">
        <f>E66</f>
        <v>-</v>
      </c>
      <c r="O69" t="str">
        <f>IF(AND(D66="-",E66="-"),IF(1*F66=-90,"DOWN",IF(1*F66=90,"UP","no compass")),F66)</f>
        <v>13</v>
      </c>
      <c r="P69" t="str">
        <f>H66</f>
        <v/>
      </c>
    </row>
    <row r="70" spans="1:16" x14ac:dyDescent="0.25">
      <c r="A70">
        <f>'Raw Data'!A60</f>
        <v>11</v>
      </c>
      <c r="B70">
        <f>'Raw Data'!B60</f>
        <v>12</v>
      </c>
      <c r="C70">
        <f>'Raw Data'!J60</f>
        <v>10.7</v>
      </c>
      <c r="D70" t="str">
        <f>'Interpreted Data'!G60</f>
        <v>78</v>
      </c>
      <c r="E70" t="str">
        <f>'Interpreted Data'!H60</f>
        <v>-</v>
      </c>
      <c r="F70" t="str">
        <f>SUBSTITUTE('Raw Data'!K60," ",":",1)</f>
        <v>10</v>
      </c>
      <c r="G70">
        <f>'Interpreted Data'!N60</f>
        <v>1.9</v>
      </c>
      <c r="H70" t="str">
        <f>'Interpreted Data'!P60</f>
        <v/>
      </c>
      <c r="I70" t="str">
        <f t="shared" si="24"/>
        <v xml:space="preserve"> </v>
      </c>
      <c r="J70">
        <f>A67</f>
        <v>8</v>
      </c>
      <c r="K70">
        <f>B67</f>
        <v>9</v>
      </c>
      <c r="L70">
        <f>C67</f>
        <v>8.8000000000000007</v>
      </c>
      <c r="M70" t="str">
        <f>D67</f>
        <v>137</v>
      </c>
      <c r="N70" t="str">
        <f>E67</f>
        <v>-</v>
      </c>
      <c r="O70" t="str">
        <f>IF(AND(D67="-",E67="-"),IF(1*F67=-90,"DOWN",IF(1*F67=90,"UP","no compass")),F67)</f>
        <v>10</v>
      </c>
      <c r="P70" t="str">
        <f>H67</f>
        <v/>
      </c>
    </row>
    <row r="71" spans="1:16" x14ac:dyDescent="0.25">
      <c r="A71">
        <f>'Raw Data'!A61</f>
        <v>12</v>
      </c>
      <c r="B71">
        <f>'Raw Data'!B61</f>
        <v>13</v>
      </c>
      <c r="C71">
        <f>'Raw Data'!J61</f>
        <v>8.5</v>
      </c>
      <c r="D71" t="str">
        <f>'Interpreted Data'!G61</f>
        <v>25</v>
      </c>
      <c r="E71" t="str">
        <f>'Interpreted Data'!H61</f>
        <v>-</v>
      </c>
      <c r="F71" t="str">
        <f>SUBSTITUTE('Raw Data'!K61," ",":",1)</f>
        <v>fall:2 feet</v>
      </c>
      <c r="G71">
        <f>'Interpreted Data'!N61</f>
        <v>-2</v>
      </c>
      <c r="H71" t="str">
        <f>'Interpreted Data'!P61</f>
        <v>Little passage goes uphill straight on</v>
      </c>
      <c r="I71" t="str">
        <f t="shared" si="24"/>
        <v xml:space="preserve"> </v>
      </c>
      <c r="J71">
        <f>A68</f>
        <v>9</v>
      </c>
      <c r="K71">
        <f>B68</f>
        <v>10</v>
      </c>
      <c r="L71">
        <f>C68</f>
        <v>19.8</v>
      </c>
      <c r="M71" t="str">
        <f>D68</f>
        <v>89</v>
      </c>
      <c r="N71" t="str">
        <f>E68</f>
        <v>-</v>
      </c>
      <c r="O71" t="str">
        <f>IF(AND(D68="-",E68="-"),IF(1*F68=-90,"DOWN",IF(1*F68=90,"UP","no compass")),F68)</f>
        <v>15</v>
      </c>
      <c r="P71" t="str">
        <f>H68</f>
        <v/>
      </c>
    </row>
    <row r="72" spans="1:16" x14ac:dyDescent="0.25">
      <c r="A72">
        <f>'Raw Data'!A62</f>
        <v>13</v>
      </c>
      <c r="B72">
        <f>'Raw Data'!B62</f>
        <v>14</v>
      </c>
      <c r="C72">
        <f>'Raw Data'!J62</f>
        <v>12.3</v>
      </c>
      <c r="D72" t="str">
        <f>'Interpreted Data'!G62</f>
        <v>85</v>
      </c>
      <c r="E72" t="str">
        <f>'Interpreted Data'!H62</f>
        <v>-</v>
      </c>
      <c r="F72" t="str">
        <f>SUBSTITUTE('Raw Data'!K62," ",":",1)</f>
        <v>9</v>
      </c>
      <c r="G72">
        <f>'Interpreted Data'!N62</f>
        <v>1.9</v>
      </c>
      <c r="H72" t="str">
        <f>'Interpreted Data'!P62</f>
        <v/>
      </c>
      <c r="I72" t="str">
        <f t="shared" si="24"/>
        <v xml:space="preserve"> </v>
      </c>
      <c r="J72">
        <f>A69</f>
        <v>10</v>
      </c>
      <c r="K72">
        <f>B69</f>
        <v>11</v>
      </c>
      <c r="L72">
        <f>C69</f>
        <v>9</v>
      </c>
      <c r="M72" t="str">
        <f>D69</f>
        <v>26</v>
      </c>
      <c r="N72" t="str">
        <f>E69</f>
        <v>-</v>
      </c>
      <c r="O72" t="str">
        <f t="shared" ref="O72:O73" si="25">IF(AND(D69="-",E69="-"),IF(1*F69=-90,"DOWN",IF(1*F69=90,"UP","no compass")),F69)</f>
        <v>12</v>
      </c>
      <c r="P72" t="str">
        <f>H69</f>
        <v/>
      </c>
    </row>
    <row r="73" spans="1:16" x14ac:dyDescent="0.25">
      <c r="A73">
        <f>'Raw Data'!A63</f>
        <v>14</v>
      </c>
      <c r="B73">
        <f>'Raw Data'!B63</f>
        <v>15</v>
      </c>
      <c r="C73">
        <f>'Raw Data'!J63</f>
        <v>11.6</v>
      </c>
      <c r="D73" t="str">
        <f>'Interpreted Data'!G63</f>
        <v>63</v>
      </c>
      <c r="E73" t="str">
        <f>'Interpreted Data'!H63</f>
        <v>-</v>
      </c>
      <c r="F73" t="str">
        <f>SUBSTITUTE('Raw Data'!K63," ",":",1)</f>
        <v>10</v>
      </c>
      <c r="G73">
        <f>'Interpreted Data'!N63</f>
        <v>2</v>
      </c>
      <c r="H73" t="str">
        <f>'Interpreted Data'!P63</f>
        <v/>
      </c>
      <c r="I73" t="str">
        <f t="shared" si="24"/>
        <v xml:space="preserve"> </v>
      </c>
      <c r="J73">
        <f>A70</f>
        <v>11</v>
      </c>
      <c r="K73">
        <f>B70</f>
        <v>12</v>
      </c>
      <c r="L73">
        <f>C70</f>
        <v>10.7</v>
      </c>
      <c r="M73" t="str">
        <f>D70</f>
        <v>78</v>
      </c>
      <c r="N73" t="str">
        <f>E70</f>
        <v>-</v>
      </c>
      <c r="O73" t="str">
        <f t="shared" si="25"/>
        <v>10</v>
      </c>
      <c r="P73" t="str">
        <f>H70</f>
        <v/>
      </c>
    </row>
    <row r="74" spans="1:16" x14ac:dyDescent="0.25">
      <c r="A74">
        <f>'Raw Data'!A64</f>
        <v>15</v>
      </c>
      <c r="B74">
        <f>'Raw Data'!B64</f>
        <v>16</v>
      </c>
      <c r="C74">
        <f>'Raw Data'!J64</f>
        <v>12</v>
      </c>
      <c r="D74" t="str">
        <f>'Interpreted Data'!G64</f>
        <v>125</v>
      </c>
      <c r="E74" t="str">
        <f>'Interpreted Data'!H64</f>
        <v>-</v>
      </c>
      <c r="F74" t="str">
        <f>SUBSTITUTE('Raw Data'!K64," ",":",1)</f>
        <v>fall:3.5 feet</v>
      </c>
      <c r="G74">
        <f>'Interpreted Data'!N64</f>
        <v>-3.5</v>
      </c>
      <c r="H74" t="str">
        <f>'Interpreted Data'!P64</f>
        <v>Low creep at 4-10 feet. Chamber goes 15' in same line</v>
      </c>
      <c r="I74" t="str">
        <f t="shared" si="24"/>
        <v xml:space="preserve"> </v>
      </c>
      <c r="J74" t="str">
        <f>$J$2</f>
        <v>data diving from to tape compass backcompass depthchange ignoreall</v>
      </c>
    </row>
    <row r="75" spans="1:16" x14ac:dyDescent="0.25">
      <c r="A75">
        <f>'Raw Data'!A65</f>
        <v>16</v>
      </c>
      <c r="B75">
        <f>'Raw Data'!B65</f>
        <v>17</v>
      </c>
      <c r="C75">
        <f>'Raw Data'!J65</f>
        <v>14.5</v>
      </c>
      <c r="D75" t="str">
        <f>'Interpreted Data'!G65</f>
        <v>-</v>
      </c>
      <c r="E75" t="str">
        <f>'Interpreted Data'!H65</f>
        <v>265</v>
      </c>
      <c r="F75" t="str">
        <f>SUBSTITUTE('Raw Data'!K65," ",":",1)</f>
        <v>6</v>
      </c>
      <c r="G75">
        <f>'Interpreted Data'!N65</f>
        <v>1.5</v>
      </c>
      <c r="H75" t="str">
        <f>'Interpreted Data'!P65</f>
        <v/>
      </c>
      <c r="I75" t="str">
        <f t="shared" si="24"/>
        <v xml:space="preserve"> </v>
      </c>
      <c r="J75">
        <f>A71</f>
        <v>12</v>
      </c>
      <c r="K75">
        <f>B71</f>
        <v>13</v>
      </c>
      <c r="L75">
        <f>C71</f>
        <v>8.5</v>
      </c>
      <c r="M75" t="str">
        <f>D71</f>
        <v>25</v>
      </c>
      <c r="N75" t="str">
        <f>E71</f>
        <v>-</v>
      </c>
      <c r="O75">
        <f>G71</f>
        <v>-2</v>
      </c>
      <c r="P75" t="str">
        <f>H71</f>
        <v>Little passage goes uphill straight on</v>
      </c>
    </row>
    <row r="76" spans="1:16" x14ac:dyDescent="0.25">
      <c r="A76">
        <f>'Raw Data'!A66</f>
        <v>17</v>
      </c>
      <c r="B76">
        <f>'Raw Data'!B66</f>
        <v>18</v>
      </c>
      <c r="C76">
        <f>'Raw Data'!J66</f>
        <v>12.6</v>
      </c>
      <c r="D76" t="str">
        <f>'Interpreted Data'!G66</f>
        <v>22</v>
      </c>
      <c r="E76" t="str">
        <f>'Interpreted Data'!H66</f>
        <v>-</v>
      </c>
      <c r="F76" t="str">
        <f>SUBSTITUTE('Raw Data'!K66," ",":",1)</f>
        <v>6</v>
      </c>
      <c r="G76">
        <f>'Interpreted Data'!N66</f>
        <v>1.3</v>
      </c>
      <c r="H76" t="str">
        <f>'Interpreted Data'!P66</f>
        <v/>
      </c>
      <c r="I76" t="str">
        <f t="shared" si="24"/>
        <v xml:space="preserve"> </v>
      </c>
      <c r="J76" t="str">
        <f>$J$1</f>
        <v>data normal from to tape compass backcompass clino ignoreall</v>
      </c>
    </row>
    <row r="77" spans="1:16" x14ac:dyDescent="0.25">
      <c r="A77">
        <f>'Raw Data'!A67</f>
        <v>18</v>
      </c>
      <c r="B77">
        <f>'Raw Data'!B67</f>
        <v>19</v>
      </c>
      <c r="C77">
        <f>'Raw Data'!J67</f>
        <v>11</v>
      </c>
      <c r="D77" t="str">
        <f>'Interpreted Data'!G67</f>
        <v>-</v>
      </c>
      <c r="E77" t="str">
        <f>'Interpreted Data'!H67</f>
        <v>-</v>
      </c>
      <c r="F77" t="str">
        <f>SUBSTITUTE('Raw Data'!K67," ",":",1)</f>
        <v>-90</v>
      </c>
      <c r="G77">
        <f>'Interpreted Data'!N67</f>
        <v>-11</v>
      </c>
      <c r="H77" t="str">
        <f>'Interpreted Data'!P67</f>
        <v>18 is in crack at top of "11 foot drop"</v>
      </c>
      <c r="I77" t="str">
        <f t="shared" si="24"/>
        <v xml:space="preserve"> </v>
      </c>
      <c r="J77">
        <f>A72</f>
        <v>13</v>
      </c>
      <c r="K77">
        <f>B72</f>
        <v>14</v>
      </c>
      <c r="L77">
        <f>C72</f>
        <v>12.3</v>
      </c>
      <c r="M77" t="str">
        <f>D72</f>
        <v>85</v>
      </c>
      <c r="N77" t="str">
        <f>E72</f>
        <v>-</v>
      </c>
      <c r="O77" t="str">
        <f>IF(AND(D72="-",E72="-"),IF(1*SUBSTITUTE(F72,":",".")=-90,"DOWN",IF(1*SUBSTITUTE(F72,":",".")=90,"UP","no compass")),F72)</f>
        <v>9</v>
      </c>
      <c r="P77" t="str">
        <f>H72</f>
        <v/>
      </c>
    </row>
    <row r="78" spans="1:16" x14ac:dyDescent="0.25">
      <c r="I78" t="str">
        <f t="shared" si="24"/>
        <v xml:space="preserve"> </v>
      </c>
      <c r="J78">
        <f>A73</f>
        <v>14</v>
      </c>
      <c r="K78">
        <f>B73</f>
        <v>15</v>
      </c>
      <c r="L78">
        <f>C73</f>
        <v>11.6</v>
      </c>
      <c r="M78" t="str">
        <f>D73</f>
        <v>63</v>
      </c>
      <c r="N78" t="str">
        <f>E73</f>
        <v>-</v>
      </c>
      <c r="O78" t="str">
        <f>IF(AND(D73="-",E73="-"),IF(1*SUBSTITUTE(F73,":",".")=-90,"DOWN",IF(1*SUBSTITUTE(F73,":",".")=90,"UP","no compass")),F73)</f>
        <v>10</v>
      </c>
      <c r="P78" t="str">
        <f>H73</f>
        <v/>
      </c>
    </row>
    <row r="79" spans="1:16" x14ac:dyDescent="0.25">
      <c r="I79" t="str">
        <f t="shared" si="24"/>
        <v xml:space="preserve"> </v>
      </c>
      <c r="J79" t="str">
        <f>$J$2</f>
        <v>data diving from to tape compass backcompass depthchange ignoreall</v>
      </c>
    </row>
    <row r="80" spans="1:16" x14ac:dyDescent="0.25">
      <c r="I80" t="str">
        <f t="shared" si="24"/>
        <v xml:space="preserve"> </v>
      </c>
      <c r="J80">
        <f>A74</f>
        <v>15</v>
      </c>
      <c r="K80">
        <f>B74</f>
        <v>16</v>
      </c>
      <c r="L80">
        <f>C74</f>
        <v>12</v>
      </c>
      <c r="M80" t="str">
        <f>D74</f>
        <v>125</v>
      </c>
      <c r="N80" t="str">
        <f>E74</f>
        <v>-</v>
      </c>
      <c r="O80">
        <f>G74</f>
        <v>-3.5</v>
      </c>
      <c r="P80" t="str">
        <f>H74</f>
        <v>Low creep at 4-10 feet. Chamber goes 15' in same line</v>
      </c>
    </row>
    <row r="81" spans="1:16" x14ac:dyDescent="0.25">
      <c r="I81" t="str">
        <f t="shared" si="24"/>
        <v xml:space="preserve"> </v>
      </c>
      <c r="J81" t="str">
        <f>$J$1</f>
        <v>data normal from to tape compass backcompass clino ignoreall</v>
      </c>
    </row>
    <row r="82" spans="1:16" x14ac:dyDescent="0.25">
      <c r="I82" t="str">
        <f t="shared" si="24"/>
        <v xml:space="preserve"> </v>
      </c>
      <c r="J82">
        <f>A75</f>
        <v>16</v>
      </c>
      <c r="K82">
        <f>B75</f>
        <v>17</v>
      </c>
      <c r="L82">
        <f>C75</f>
        <v>14.5</v>
      </c>
      <c r="M82" t="str">
        <f>D75</f>
        <v>-</v>
      </c>
      <c r="N82" t="str">
        <f>E75</f>
        <v>265</v>
      </c>
      <c r="O82" t="str">
        <f t="shared" ref="O82:O83" si="26">IF(AND(D75="-",E75="-"),IF(1*SUBSTITUTE(F75,":",".")=-90,"DOWN",IF(1*SUBSTITUTE(F75,":",".")=90,"UP","no compass")),F75)</f>
        <v>6</v>
      </c>
      <c r="P82" t="str">
        <f>H75</f>
        <v/>
      </c>
    </row>
    <row r="83" spans="1:16" x14ac:dyDescent="0.25">
      <c r="I83" t="str">
        <f t="shared" si="24"/>
        <v xml:space="preserve"> </v>
      </c>
      <c r="J83">
        <f>A76</f>
        <v>17</v>
      </c>
      <c r="K83">
        <f>B76</f>
        <v>18</v>
      </c>
      <c r="L83">
        <f>C76</f>
        <v>12.6</v>
      </c>
      <c r="M83" t="str">
        <f>D76</f>
        <v>22</v>
      </c>
      <c r="N83" t="str">
        <f>E76</f>
        <v>-</v>
      </c>
      <c r="O83" t="str">
        <f t="shared" si="26"/>
        <v>6</v>
      </c>
      <c r="P83" t="str">
        <f>H76</f>
        <v/>
      </c>
    </row>
    <row r="84" spans="1:16" x14ac:dyDescent="0.25">
      <c r="I84" t="str">
        <f t="shared" si="24"/>
        <v xml:space="preserve"> </v>
      </c>
      <c r="J84" t="s">
        <v>281</v>
      </c>
      <c r="K84">
        <f>B77</f>
        <v>19</v>
      </c>
      <c r="L84">
        <f>C77</f>
        <v>11</v>
      </c>
      <c r="M84" t="str">
        <f>D77</f>
        <v>-</v>
      </c>
      <c r="N84" t="str">
        <f>E77</f>
        <v>-</v>
      </c>
      <c r="O84" t="str">
        <f>IF(AND(D77="-",E77="-"),IF(1*SUBSTITUTE(F77,":",".")=-90,"DOWN",IF(1*SUBSTITUTE(F77,":",".")=90,"UP","no compass")),F77)</f>
        <v>DOWN</v>
      </c>
      <c r="P84" t="str">
        <f>H77</f>
        <v>18 is in crack at top of "11 foot drop"</v>
      </c>
    </row>
    <row r="85" spans="1:16" x14ac:dyDescent="0.25">
      <c r="I85" t="str">
        <f t="shared" si="24"/>
        <v xml:space="preserve"> </v>
      </c>
    </row>
    <row r="86" spans="1:16" x14ac:dyDescent="0.25">
      <c r="I86" t="str">
        <f t="shared" si="24"/>
        <v xml:space="preserve"> </v>
      </c>
    </row>
    <row r="87" spans="1:16" x14ac:dyDescent="0.25">
      <c r="A87" t="str">
        <f>'Raw Data'!A70</f>
        <v>30th March 1952</v>
      </c>
      <c r="I87" t="str">
        <f t="shared" si="24"/>
        <v xml:space="preserve"> </v>
      </c>
      <c r="J87" t="str">
        <f>A87</f>
        <v>30th March 1952</v>
      </c>
    </row>
    <row r="88" spans="1:16" x14ac:dyDescent="0.25">
      <c r="I88" t="str">
        <f t="shared" si="24"/>
        <v xml:space="preserve"> </v>
      </c>
      <c r="J88" t="str">
        <f>$J$1</f>
        <v>data normal from to tape compass backcompass clino ignoreall</v>
      </c>
    </row>
    <row r="89" spans="1:16" x14ac:dyDescent="0.25">
      <c r="A89" t="str">
        <f>'Raw Data'!A71</f>
        <v>B1</v>
      </c>
      <c r="B89" t="str">
        <f>'Raw Data'!B71</f>
        <v>AA</v>
      </c>
      <c r="C89">
        <f>'Raw Data'!J71</f>
        <v>78.099999999999994</v>
      </c>
      <c r="D89" t="str">
        <f>'Interpreted Data'!G71</f>
        <v>-</v>
      </c>
      <c r="E89" t="str">
        <f>'Interpreted Data'!H71</f>
        <v>293:40</v>
      </c>
      <c r="F89" t="str">
        <f>SUBSTITUTE('Raw Data'!K71," ",":",1)</f>
        <v>9:30</v>
      </c>
      <c r="G89">
        <f>'Interpreted Data'!N71</f>
        <v>12.9</v>
      </c>
      <c r="H89" t="str">
        <f>'Interpreted Data'!P71</f>
        <v>B1 is station B1 of page 45, at entrance to "P.G." passage</v>
      </c>
      <c r="J89" t="str">
        <f>A89</f>
        <v>B1</v>
      </c>
      <c r="K89" t="str">
        <f>B89</f>
        <v>AA</v>
      </c>
      <c r="L89">
        <f>C89</f>
        <v>78.099999999999994</v>
      </c>
      <c r="M89" t="str">
        <f>D89</f>
        <v>-</v>
      </c>
      <c r="N89" t="str">
        <f>E89</f>
        <v>293:40</v>
      </c>
      <c r="O89" t="str">
        <f t="shared" ref="O89:O100" si="27">IF(AND(D89="-",E89="-"),IF(1*SUBSTITUTE(F89,":",".")=-90,"DOWN",IF(1*SUBSTITUTE(F89,":",".")=90,"UP","no compass")),F89)</f>
        <v>9:30</v>
      </c>
      <c r="P89" t="str">
        <f>H89</f>
        <v>B1 is station B1 of page 45, at entrance to "P.G." passage</v>
      </c>
    </row>
    <row r="90" spans="1:16" x14ac:dyDescent="0.25">
      <c r="A90" t="str">
        <f>'Raw Data'!A72</f>
        <v>AA</v>
      </c>
      <c r="B90" t="str">
        <f>'Raw Data'!B72</f>
        <v>AB</v>
      </c>
      <c r="C90">
        <f>'Raw Data'!J72</f>
        <v>24.1</v>
      </c>
      <c r="D90" t="str">
        <f>'Interpreted Data'!G72</f>
        <v>115:30</v>
      </c>
      <c r="E90" t="str">
        <f>'Interpreted Data'!H72</f>
        <v>-</v>
      </c>
      <c r="F90" t="str">
        <f>SUBSTITUTE('Raw Data'!K72," ",":",1)</f>
        <v>-5:30</v>
      </c>
      <c r="G90">
        <f>'Interpreted Data'!N72</f>
        <v>-2.2999999999999998</v>
      </c>
      <c r="H90" t="str">
        <f>'Interpreted Data'!P72</f>
        <v>AA on a big high rock</v>
      </c>
      <c r="I90" t="str">
        <f t="shared" si="24"/>
        <v xml:space="preserve"> </v>
      </c>
      <c r="J90" t="str">
        <f>A90</f>
        <v>AA</v>
      </c>
      <c r="K90" t="str">
        <f>B90</f>
        <v>AB</v>
      </c>
      <c r="L90">
        <f>C90</f>
        <v>24.1</v>
      </c>
      <c r="M90" t="str">
        <f>D90</f>
        <v>115:30</v>
      </c>
      <c r="N90" t="str">
        <f>E90</f>
        <v>-</v>
      </c>
      <c r="O90" t="str">
        <f t="shared" si="27"/>
        <v>-5:30</v>
      </c>
      <c r="P90" t="str">
        <f>H90</f>
        <v>AA on a big high rock</v>
      </c>
    </row>
    <row r="91" spans="1:16" x14ac:dyDescent="0.25">
      <c r="A91" t="str">
        <f>'Raw Data'!A73</f>
        <v>AB</v>
      </c>
      <c r="B91" t="str">
        <f>'Raw Data'!B73</f>
        <v>AC</v>
      </c>
      <c r="C91">
        <f>'Raw Data'!J73</f>
        <v>29.2</v>
      </c>
      <c r="D91" t="str">
        <f>'Interpreted Data'!G73</f>
        <v>-</v>
      </c>
      <c r="E91" t="str">
        <f>'Interpreted Data'!H73</f>
        <v>277:50</v>
      </c>
      <c r="F91" t="str">
        <f>SUBSTITUTE('Raw Data'!K73," ",":",1)</f>
        <v>0:30</v>
      </c>
      <c r="G91">
        <f>'Interpreted Data'!N73</f>
        <v>0.3</v>
      </c>
      <c r="H91" t="str">
        <f>'Interpreted Data'!P73</f>
        <v>AB on big rock. Stream sinks below boulders.</v>
      </c>
      <c r="I91" t="str">
        <f t="shared" si="24"/>
        <v xml:space="preserve"> </v>
      </c>
      <c r="J91" t="str">
        <f>A91</f>
        <v>AB</v>
      </c>
      <c r="K91" t="str">
        <f>B91</f>
        <v>AC</v>
      </c>
      <c r="L91">
        <f>C91</f>
        <v>29.2</v>
      </c>
      <c r="M91" t="str">
        <f>D91</f>
        <v>-</v>
      </c>
      <c r="N91" t="str">
        <f>E91</f>
        <v>277:50</v>
      </c>
      <c r="O91" t="str">
        <f t="shared" si="27"/>
        <v>0:30</v>
      </c>
      <c r="P91" t="str">
        <f>H91</f>
        <v>AB on big rock. Stream sinks below boulders.</v>
      </c>
    </row>
    <row r="92" spans="1:16" x14ac:dyDescent="0.25">
      <c r="A92" t="str">
        <f>'Raw Data'!A74</f>
        <v>AC</v>
      </c>
      <c r="B92" t="str">
        <f>'Raw Data'!B74</f>
        <v>AD</v>
      </c>
      <c r="C92">
        <f>'Raw Data'!J74</f>
        <v>10.6</v>
      </c>
      <c r="D92" t="str">
        <f>'Interpreted Data'!G74</f>
        <v>121:00</v>
      </c>
      <c r="E92" t="str">
        <f>'Interpreted Data'!H74</f>
        <v>-</v>
      </c>
      <c r="F92" t="str">
        <f>SUBSTITUTE('Raw Data'!K74," ",":",1)</f>
        <v>22:30</v>
      </c>
      <c r="G92">
        <f>'Interpreted Data'!N74</f>
        <v>4.0999999999999996</v>
      </c>
      <c r="H92" t="str">
        <f>'Interpreted Data'!P74</f>
        <v>AC on dirty great big rock.</v>
      </c>
      <c r="I92" t="str">
        <f t="shared" si="24"/>
        <v xml:space="preserve"> </v>
      </c>
      <c r="J92" t="str">
        <f>A92</f>
        <v>AC</v>
      </c>
      <c r="K92" t="str">
        <f>B92</f>
        <v>AD</v>
      </c>
      <c r="L92">
        <f>C92</f>
        <v>10.6</v>
      </c>
      <c r="M92" t="str">
        <f>D92</f>
        <v>121:00</v>
      </c>
      <c r="N92" t="str">
        <f>E92</f>
        <v>-</v>
      </c>
      <c r="O92" t="str">
        <f t="shared" si="27"/>
        <v>22:30</v>
      </c>
      <c r="P92" t="str">
        <f>H92</f>
        <v>AC on dirty great big rock.</v>
      </c>
    </row>
    <row r="93" spans="1:16" x14ac:dyDescent="0.25">
      <c r="A93" t="str">
        <f>'Raw Data'!A75</f>
        <v>AD</v>
      </c>
      <c r="B93" t="str">
        <f>'Raw Data'!B75</f>
        <v>AE</v>
      </c>
      <c r="C93">
        <f>'Raw Data'!J75</f>
        <v>48.3</v>
      </c>
      <c r="D93" t="str">
        <f>'Interpreted Data'!G75</f>
        <v>-</v>
      </c>
      <c r="E93" t="str">
        <f>'Interpreted Data'!H75</f>
        <v>290:00</v>
      </c>
      <c r="F93" t="str">
        <f>SUBSTITUTE('Raw Data'!K75," ",":",1)</f>
        <v>9:40</v>
      </c>
      <c r="G93">
        <f>'Interpreted Data'!N75</f>
        <v>8.1</v>
      </c>
      <c r="H93" t="str">
        <f>'Interpreted Data'!P75</f>
        <v>Stream rises from boulders.</v>
      </c>
      <c r="I93" t="str">
        <f t="shared" si="24"/>
        <v xml:space="preserve"> </v>
      </c>
      <c r="J93" t="str">
        <f>A93</f>
        <v>AD</v>
      </c>
      <c r="K93" t="str">
        <f>B93</f>
        <v>AE</v>
      </c>
      <c r="L93">
        <f>C93</f>
        <v>48.3</v>
      </c>
      <c r="M93" t="str">
        <f>D93</f>
        <v>-</v>
      </c>
      <c r="N93" t="str">
        <f>E93</f>
        <v>290:00</v>
      </c>
      <c r="O93" t="str">
        <f t="shared" si="27"/>
        <v>9:40</v>
      </c>
      <c r="P93" t="str">
        <f>H93</f>
        <v>Stream rises from boulders.</v>
      </c>
    </row>
    <row r="94" spans="1:16" x14ac:dyDescent="0.25">
      <c r="A94" t="str">
        <f>'Raw Data'!A76</f>
        <v>AE</v>
      </c>
      <c r="B94" t="str">
        <f>'Raw Data'!B76</f>
        <v>AF</v>
      </c>
      <c r="C94">
        <f>'Raw Data'!J76</f>
        <v>17</v>
      </c>
      <c r="D94" t="str">
        <f>'Interpreted Data'!G76</f>
        <v>050:30</v>
      </c>
      <c r="E94" t="str">
        <f>'Interpreted Data'!H76</f>
        <v>-</v>
      </c>
      <c r="F94" t="str">
        <f>SUBSTITUTE('Raw Data'!K76," ",":",1)</f>
        <v>10:20</v>
      </c>
      <c r="G94">
        <f>'Interpreted Data'!N76</f>
        <v>3</v>
      </c>
      <c r="H94" t="str">
        <f>'Interpreted Data'!P76</f>
        <v>Stream sinks below boulders.</v>
      </c>
      <c r="I94" t="str">
        <f t="shared" si="24"/>
        <v xml:space="preserve"> </v>
      </c>
      <c r="J94" t="str">
        <f>A94</f>
        <v>AE</v>
      </c>
      <c r="K94" t="str">
        <f>B94</f>
        <v>AF</v>
      </c>
      <c r="L94">
        <f>C94</f>
        <v>17</v>
      </c>
      <c r="M94" t="str">
        <f>D94</f>
        <v>050:30</v>
      </c>
      <c r="N94" t="str">
        <f>E94</f>
        <v>-</v>
      </c>
      <c r="O94" t="str">
        <f t="shared" si="27"/>
        <v>10:20</v>
      </c>
      <c r="P94" t="str">
        <f>H94</f>
        <v>Stream sinks below boulders.</v>
      </c>
    </row>
    <row r="95" spans="1:16" x14ac:dyDescent="0.25">
      <c r="A95" t="str">
        <f>'Raw Data'!A77</f>
        <v>AF</v>
      </c>
      <c r="B95" t="str">
        <f>'Raw Data'!B77</f>
        <v>AG</v>
      </c>
      <c r="C95">
        <f>'Raw Data'!J77</f>
        <v>20.2</v>
      </c>
      <c r="D95" t="str">
        <f>'Interpreted Data'!G77</f>
        <v>-</v>
      </c>
      <c r="E95" t="str">
        <f>'Interpreted Data'!H77</f>
        <v>313:00</v>
      </c>
      <c r="F95" t="str">
        <f>SUBSTITUTE('Raw Data'!K77," ",":",1)</f>
        <v>3:00</v>
      </c>
      <c r="G95">
        <f>'Interpreted Data'!N77</f>
        <v>1.1000000000000001</v>
      </c>
      <c r="H95" t="str">
        <f>'Interpreted Data'!P77</f>
        <v>AF above waterfall.</v>
      </c>
      <c r="I95" t="str">
        <f t="shared" si="24"/>
        <v xml:space="preserve"> </v>
      </c>
      <c r="J95" t="str">
        <f>A95</f>
        <v>AF</v>
      </c>
      <c r="K95" t="str">
        <f>B95</f>
        <v>AG</v>
      </c>
      <c r="L95">
        <f>C95</f>
        <v>20.2</v>
      </c>
      <c r="M95" t="str">
        <f>D95</f>
        <v>-</v>
      </c>
      <c r="N95" t="str">
        <f>E95</f>
        <v>313:00</v>
      </c>
      <c r="O95" t="str">
        <f t="shared" si="27"/>
        <v>3:00</v>
      </c>
      <c r="P95" t="str">
        <f>H95</f>
        <v>AF above waterfall.</v>
      </c>
    </row>
    <row r="96" spans="1:16" x14ac:dyDescent="0.25">
      <c r="A96" t="str">
        <f>'Raw Data'!A78</f>
        <v>AG</v>
      </c>
      <c r="B96" t="str">
        <f>'Raw Data'!B78</f>
        <v>AH</v>
      </c>
      <c r="C96">
        <f>'Raw Data'!J78</f>
        <v>10.1</v>
      </c>
      <c r="D96" t="str">
        <f>'Interpreted Data'!G78</f>
        <v>195:50</v>
      </c>
      <c r="E96" t="str">
        <f>'Interpreted Data'!H78</f>
        <v>-</v>
      </c>
      <c r="F96" t="str">
        <f>SUBSTITUTE('Raw Data'!K78," ",":",1)</f>
        <v>11:20</v>
      </c>
      <c r="G96">
        <f>'Interpreted Data'!N78</f>
        <v>2</v>
      </c>
      <c r="H96" t="str">
        <f>'Interpreted Data'!P78</f>
        <v/>
      </c>
      <c r="I96" t="str">
        <f t="shared" si="24"/>
        <v xml:space="preserve"> </v>
      </c>
      <c r="J96" t="str">
        <f>A96</f>
        <v>AG</v>
      </c>
      <c r="K96" t="str">
        <f>B96</f>
        <v>AH</v>
      </c>
      <c r="L96">
        <f>C96</f>
        <v>10.1</v>
      </c>
      <c r="M96" t="str">
        <f>D96</f>
        <v>195:50</v>
      </c>
      <c r="N96" t="str">
        <f>E96</f>
        <v>-</v>
      </c>
      <c r="O96" t="str">
        <f t="shared" si="27"/>
        <v>11:20</v>
      </c>
      <c r="P96" t="str">
        <f>H96</f>
        <v/>
      </c>
    </row>
    <row r="97" spans="1:16" x14ac:dyDescent="0.25">
      <c r="A97" t="str">
        <f>'Raw Data'!A79</f>
        <v>AH</v>
      </c>
      <c r="B97" t="str">
        <f>'Raw Data'!B79</f>
        <v>AI</v>
      </c>
      <c r="C97">
        <f>'Raw Data'!J79</f>
        <v>41.6</v>
      </c>
      <c r="D97" t="str">
        <f>'Interpreted Data'!G79</f>
        <v>-</v>
      </c>
      <c r="E97" t="str">
        <f>'Interpreted Data'!H79</f>
        <v>292:10</v>
      </c>
      <c r="F97" t="str">
        <f>SUBSTITUTE('Raw Data'!K79," ",":",1)</f>
        <v>4:50</v>
      </c>
      <c r="G97">
        <f>'Interpreted Data'!N79</f>
        <v>3.5</v>
      </c>
      <c r="H97" t="str">
        <f>'Interpreted Data'!P79</f>
        <v/>
      </c>
      <c r="I97" t="str">
        <f t="shared" si="24"/>
        <v xml:space="preserve"> </v>
      </c>
      <c r="J97" t="str">
        <f>A97</f>
        <v>AH</v>
      </c>
      <c r="K97" t="str">
        <f>B97</f>
        <v>AI</v>
      </c>
      <c r="L97">
        <f>C97</f>
        <v>41.6</v>
      </c>
      <c r="M97" t="str">
        <f>D97</f>
        <v>-</v>
      </c>
      <c r="N97" t="str">
        <f>E97</f>
        <v>292:10</v>
      </c>
      <c r="O97" t="str">
        <f t="shared" si="27"/>
        <v>4:50</v>
      </c>
      <c r="P97" t="str">
        <f>H97</f>
        <v/>
      </c>
    </row>
    <row r="98" spans="1:16" x14ac:dyDescent="0.25">
      <c r="A98" t="str">
        <f>'Raw Data'!A80</f>
        <v>AI</v>
      </c>
      <c r="B98" t="str">
        <f>'Raw Data'!B80</f>
        <v>AJ</v>
      </c>
      <c r="C98">
        <f>'Raw Data'!J80</f>
        <v>34.200000000000003</v>
      </c>
      <c r="D98" t="str">
        <f>'Interpreted Data'!G80</f>
        <v>138:30</v>
      </c>
      <c r="E98" t="str">
        <f>'Interpreted Data'!H80</f>
        <v>-</v>
      </c>
      <c r="F98" t="str">
        <f>SUBSTITUTE('Raw Data'!K80," ",":",1)</f>
        <v>6:30</v>
      </c>
      <c r="G98">
        <f>'Interpreted Data'!N80</f>
        <v>3.9</v>
      </c>
      <c r="H98" t="str">
        <f>'Interpreted Data'!P80</f>
        <v/>
      </c>
      <c r="I98" t="str">
        <f t="shared" si="24"/>
        <v xml:space="preserve"> </v>
      </c>
      <c r="J98" t="str">
        <f>A98</f>
        <v>AI</v>
      </c>
      <c r="K98" t="str">
        <f>B98</f>
        <v>AJ</v>
      </c>
      <c r="L98">
        <f>C98</f>
        <v>34.200000000000003</v>
      </c>
      <c r="M98" t="str">
        <f>D98</f>
        <v>138:30</v>
      </c>
      <c r="N98" t="str">
        <f>E98</f>
        <v>-</v>
      </c>
      <c r="O98" t="str">
        <f t="shared" si="27"/>
        <v>6:30</v>
      </c>
      <c r="P98" t="str">
        <f>H98</f>
        <v/>
      </c>
    </row>
    <row r="99" spans="1:16" x14ac:dyDescent="0.25">
      <c r="A99" t="str">
        <f>'Raw Data'!A81</f>
        <v>AJ</v>
      </c>
      <c r="B99" t="str">
        <f>'Raw Data'!B81</f>
        <v>AK</v>
      </c>
      <c r="C99">
        <f>'Raw Data'!J81</f>
        <v>31.8</v>
      </c>
      <c r="D99" t="str">
        <f>'Interpreted Data'!G81</f>
        <v>-</v>
      </c>
      <c r="E99" t="str">
        <f>'Interpreted Data'!H81</f>
        <v>286:00</v>
      </c>
      <c r="F99" t="str">
        <f>SUBSTITUTE('Raw Data'!K81," ",":",1)</f>
        <v>14:30</v>
      </c>
      <c r="G99">
        <f>'Interpreted Data'!N81</f>
        <v>8</v>
      </c>
      <c r="H99" t="str">
        <f>'Interpreted Data'!P81</f>
        <v/>
      </c>
      <c r="I99" t="str">
        <f t="shared" si="24"/>
        <v xml:space="preserve"> </v>
      </c>
      <c r="J99" t="str">
        <f>A99</f>
        <v>AJ</v>
      </c>
      <c r="K99" t="str">
        <f>B99</f>
        <v>AK</v>
      </c>
      <c r="L99">
        <f>C99</f>
        <v>31.8</v>
      </c>
      <c r="M99" t="str">
        <f>D99</f>
        <v>-</v>
      </c>
      <c r="N99" t="str">
        <f>E99</f>
        <v>286:00</v>
      </c>
      <c r="O99" t="str">
        <f t="shared" si="27"/>
        <v>14:30</v>
      </c>
      <c r="P99" t="str">
        <f>H99</f>
        <v/>
      </c>
    </row>
    <row r="100" spans="1:16" x14ac:dyDescent="0.25">
      <c r="A100" t="str">
        <f>'Raw Data'!A82</f>
        <v>AK</v>
      </c>
      <c r="B100" t="str">
        <f>'Raw Data'!B82</f>
        <v>AL</v>
      </c>
      <c r="C100">
        <f>'Raw Data'!J82</f>
        <v>11.3</v>
      </c>
      <c r="D100" t="str">
        <f>'Interpreted Data'!G82</f>
        <v>044:00</v>
      </c>
      <c r="E100" t="str">
        <f>'Interpreted Data'!H82</f>
        <v>-</v>
      </c>
      <c r="F100" t="str">
        <f>SUBSTITUTE('Raw Data'!K82," ",":",1)</f>
        <v>-0:30</v>
      </c>
      <c r="G100">
        <f>'Interpreted Data'!N82</f>
        <v>-0.1</v>
      </c>
      <c r="H100" t="str">
        <f>'Interpreted Data'!P82</f>
        <v>AK is below hole into Upper Grottos. Asellus (sp?) present.</v>
      </c>
      <c r="I100" t="str">
        <f t="shared" si="24"/>
        <v xml:space="preserve"> </v>
      </c>
      <c r="J100" t="str">
        <f>A100</f>
        <v>AK</v>
      </c>
      <c r="K100" t="str">
        <f>B100</f>
        <v>AL</v>
      </c>
      <c r="L100">
        <f>C100</f>
        <v>11.3</v>
      </c>
      <c r="M100" t="str">
        <f>D100</f>
        <v>044:00</v>
      </c>
      <c r="N100" t="str">
        <f>E100</f>
        <v>-</v>
      </c>
      <c r="O100" t="str">
        <f t="shared" si="27"/>
        <v>-0:30</v>
      </c>
      <c r="P100" t="str">
        <f>H100</f>
        <v>AK is below hole into Upper Grottos. Asellus (sp?) present.</v>
      </c>
    </row>
    <row r="101" spans="1:16" x14ac:dyDescent="0.25">
      <c r="A101" t="str">
        <f>'Raw Data'!A83</f>
        <v>AL</v>
      </c>
      <c r="B101">
        <f>'Raw Data'!B83</f>
        <v>0</v>
      </c>
      <c r="C101">
        <f>'Raw Data'!J83</f>
        <v>0</v>
      </c>
      <c r="D101" t="str">
        <f>'Interpreted Data'!G83</f>
        <v/>
      </c>
      <c r="E101" t="str">
        <f>'Interpreted Data'!H83</f>
        <v/>
      </c>
      <c r="F101" t="str">
        <f>SUBSTITUTE('Raw Data'!K83," ",":",1)</f>
        <v/>
      </c>
      <c r="G101" t="str">
        <f>'Interpreted Data'!N83</f>
        <v/>
      </c>
      <c r="H101" t="str">
        <f>'Interpreted Data'!P83</f>
        <v>Total = 1,918'</v>
      </c>
      <c r="I101" t="str">
        <f t="shared" si="24"/>
        <v xml:space="preserve"> </v>
      </c>
      <c r="J101" t="s">
        <v>79</v>
      </c>
      <c r="K101" t="str">
        <f>A101</f>
        <v>AL</v>
      </c>
      <c r="M101" t="str">
        <f>D101</f>
        <v/>
      </c>
      <c r="N101" t="str">
        <f>E101</f>
        <v/>
      </c>
      <c r="O101" t="str">
        <f>F101</f>
        <v/>
      </c>
      <c r="P101" t="str">
        <f>H101</f>
        <v>Total = 1,918'</v>
      </c>
    </row>
    <row r="102" spans="1:16" x14ac:dyDescent="0.25">
      <c r="A102">
        <f>'Raw Data'!A84</f>
        <v>0</v>
      </c>
      <c r="B102">
        <f>'Raw Data'!B84</f>
        <v>0</v>
      </c>
      <c r="C102">
        <f>'Raw Data'!J84</f>
        <v>0</v>
      </c>
      <c r="D102" t="str">
        <f>'Interpreted Data'!G84</f>
        <v/>
      </c>
      <c r="E102" t="str">
        <f>'Interpreted Data'!H84</f>
        <v/>
      </c>
      <c r="F102" t="str">
        <f>SUBSTITUTE('Raw Data'!K84," ",":",1)</f>
        <v/>
      </c>
      <c r="G102" t="str">
        <f>'Interpreted Data'!N84</f>
        <v/>
      </c>
      <c r="H102" t="str">
        <f>'Interpreted Data'!P84</f>
        <v/>
      </c>
      <c r="I102" t="str">
        <f t="shared" si="24"/>
        <v xml:space="preserve"> </v>
      </c>
      <c r="M102" t="str">
        <f>D102</f>
        <v/>
      </c>
      <c r="N102" t="str">
        <f>E102</f>
        <v/>
      </c>
      <c r="O102" t="str">
        <f>F102</f>
        <v/>
      </c>
      <c r="P102" t="str">
        <f>H102</f>
        <v/>
      </c>
    </row>
    <row r="103" spans="1:16" x14ac:dyDescent="0.25">
      <c r="A103" t="str">
        <f>'Raw Data'!A85</f>
        <v>2nd April 1952</v>
      </c>
      <c r="B103" t="str">
        <f>'Raw Data'!B85</f>
        <v>Cono &amp; Roy Blewett</v>
      </c>
      <c r="C103">
        <f>'Raw Data'!J85</f>
        <v>0</v>
      </c>
      <c r="D103" t="str">
        <f>'Interpreted Data'!G85</f>
        <v/>
      </c>
      <c r="E103" t="str">
        <f>'Interpreted Data'!H85</f>
        <v/>
      </c>
      <c r="F103" t="str">
        <f>SUBSTITUTE('Raw Data'!K85," ",":",1)</f>
        <v/>
      </c>
      <c r="G103" t="str">
        <f>'Interpreted Data'!N85</f>
        <v/>
      </c>
      <c r="H103" t="str">
        <f>'Interpreted Data'!P85</f>
        <v/>
      </c>
      <c r="I103" t="str">
        <f t="shared" si="24"/>
        <v xml:space="preserve"> </v>
      </c>
      <c r="J103" t="str">
        <f>A103</f>
        <v>2nd April 1952</v>
      </c>
      <c r="K103" t="str">
        <f>B103</f>
        <v>Cono &amp; Roy Blewett</v>
      </c>
      <c r="M103" t="str">
        <f>D103</f>
        <v/>
      </c>
      <c r="N103" t="str">
        <f>E103</f>
        <v/>
      </c>
      <c r="O103" t="str">
        <f>F103</f>
        <v/>
      </c>
      <c r="P103" t="str">
        <f>H103</f>
        <v/>
      </c>
    </row>
    <row r="104" spans="1:16" x14ac:dyDescent="0.25">
      <c r="I104" t="str">
        <f t="shared" si="24"/>
        <v xml:space="preserve"> </v>
      </c>
      <c r="J104" t="str">
        <f>$J$1</f>
        <v>data normal from to tape compass backcompass clino ignoreall</v>
      </c>
    </row>
    <row r="105" spans="1:16" x14ac:dyDescent="0.25">
      <c r="A105" t="str">
        <f>'Raw Data'!A86</f>
        <v>AL</v>
      </c>
      <c r="B105" t="str">
        <f>'Raw Data'!B86</f>
        <v>AN</v>
      </c>
      <c r="C105">
        <f>'Raw Data'!J86</f>
        <v>12.8</v>
      </c>
      <c r="D105" t="str">
        <f>'Interpreted Data'!G86</f>
        <v>-</v>
      </c>
      <c r="E105" t="str">
        <f>'Interpreted Data'!H86</f>
        <v>126:40</v>
      </c>
      <c r="F105" t="str">
        <f>SUBSTITUTE('Raw Data'!K86," ",":",1)</f>
        <v>-4:30</v>
      </c>
      <c r="G105">
        <f>'Interpreted Data'!N86</f>
        <v>-1</v>
      </c>
      <c r="H105" t="str">
        <f>'Interpreted Data'!P86</f>
        <v>AL is start of St. Pauls survey</v>
      </c>
      <c r="J105" t="str">
        <f>A105</f>
        <v>AL</v>
      </c>
      <c r="K105" t="str">
        <f>B105</f>
        <v>AN</v>
      </c>
      <c r="L105">
        <f>C105</f>
        <v>12.8</v>
      </c>
      <c r="M105" t="str">
        <f>D105</f>
        <v>-</v>
      </c>
      <c r="N105" t="str">
        <f>E105</f>
        <v>126:40</v>
      </c>
      <c r="O105" t="str">
        <f t="shared" ref="O105:O116" si="28">IF(AND(D105="-",E105="-"),IF(1*SUBSTITUTE(F105,":",".")=-90,"DOWN",IF(1*SUBSTITUTE(F105,":",".")=90,"UP","no compass")),F105)</f>
        <v>-4:30</v>
      </c>
      <c r="P105" t="str">
        <f>H105</f>
        <v>AL is start of St. Pauls survey</v>
      </c>
    </row>
    <row r="106" spans="1:16" x14ac:dyDescent="0.25">
      <c r="A106" t="str">
        <f>'Raw Data'!A87</f>
        <v>AN</v>
      </c>
      <c r="B106" t="str">
        <f>'Raw Data'!B87</f>
        <v>AO</v>
      </c>
      <c r="C106">
        <f>'Raw Data'!J87</f>
        <v>16.8</v>
      </c>
      <c r="D106" t="str">
        <f>'Interpreted Data'!G87</f>
        <v>025:20</v>
      </c>
      <c r="E106" t="str">
        <f>'Interpreted Data'!H87</f>
        <v>-</v>
      </c>
      <c r="F106" t="str">
        <f>SUBSTITUTE('Raw Data'!K87," ",":",1)</f>
        <v>26:00</v>
      </c>
      <c r="G106">
        <f>'Interpreted Data'!N87</f>
        <v>7.4</v>
      </c>
      <c r="H106" t="str">
        <f>'Interpreted Data'!P87</f>
        <v>AN is at S. end of lower big pot.</v>
      </c>
      <c r="I106" t="str">
        <f t="shared" si="24"/>
        <v xml:space="preserve"> </v>
      </c>
      <c r="J106" t="str">
        <f>A106</f>
        <v>AN</v>
      </c>
      <c r="K106" t="str">
        <f>B106</f>
        <v>AO</v>
      </c>
      <c r="L106">
        <f>C106</f>
        <v>16.8</v>
      </c>
      <c r="M106" t="str">
        <f>D106</f>
        <v>025:20</v>
      </c>
      <c r="N106" t="str">
        <f>E106</f>
        <v>-</v>
      </c>
      <c r="O106" t="str">
        <f t="shared" si="28"/>
        <v>26:00</v>
      </c>
      <c r="P106" t="str">
        <f>H106</f>
        <v>AN is at S. end of lower big pot.</v>
      </c>
    </row>
    <row r="107" spans="1:16" x14ac:dyDescent="0.25">
      <c r="A107" t="str">
        <f>'Raw Data'!A88</f>
        <v>AO</v>
      </c>
      <c r="B107" t="str">
        <f>'Raw Data'!B88</f>
        <v>AP</v>
      </c>
      <c r="C107">
        <f>'Raw Data'!J88</f>
        <v>27.7</v>
      </c>
      <c r="D107" t="str">
        <f>'Interpreted Data'!G88</f>
        <v>-</v>
      </c>
      <c r="E107" t="str">
        <f>'Interpreted Data'!H88</f>
        <v>243:50</v>
      </c>
      <c r="F107" t="str">
        <f>SUBSTITUTE('Raw Data'!K88," ",":",1)</f>
        <v>12:00</v>
      </c>
      <c r="G107">
        <f>'Interpreted Data'!N88</f>
        <v>5.8</v>
      </c>
      <c r="H107" t="str">
        <f>'Interpreted Data'!P88</f>
        <v/>
      </c>
      <c r="I107" t="str">
        <f t="shared" si="24"/>
        <v xml:space="preserve"> </v>
      </c>
      <c r="J107" t="str">
        <f>A107</f>
        <v>AO</v>
      </c>
      <c r="K107" t="str">
        <f>B107</f>
        <v>AP</v>
      </c>
      <c r="L107">
        <f>C107</f>
        <v>27.7</v>
      </c>
      <c r="M107" t="str">
        <f>D107</f>
        <v>-</v>
      </c>
      <c r="N107" t="str">
        <f>E107</f>
        <v>243:50</v>
      </c>
      <c r="O107" t="str">
        <f t="shared" si="28"/>
        <v>12:00</v>
      </c>
      <c r="P107" t="str">
        <f>H107</f>
        <v/>
      </c>
    </row>
    <row r="108" spans="1:16" x14ac:dyDescent="0.25">
      <c r="A108" t="str">
        <f>'Raw Data'!A89</f>
        <v>AP</v>
      </c>
      <c r="B108" t="str">
        <f>'Raw Data'!B89</f>
        <v>AQ</v>
      </c>
      <c r="C108">
        <f>'Raw Data'!J89</f>
        <v>23.2</v>
      </c>
      <c r="D108" t="str">
        <f>'Interpreted Data'!G89</f>
        <v>094:00</v>
      </c>
      <c r="E108" t="str">
        <f>'Interpreted Data'!H89</f>
        <v>-</v>
      </c>
      <c r="F108" t="str">
        <f>SUBSTITUTE('Raw Data'!K89," ",":",1)</f>
        <v>10:30</v>
      </c>
      <c r="G108">
        <f>'Interpreted Data'!N89</f>
        <v>4.0999999999999996</v>
      </c>
      <c r="H108" t="str">
        <f>'Interpreted Data'!P89</f>
        <v/>
      </c>
      <c r="I108" t="str">
        <f t="shared" si="24"/>
        <v xml:space="preserve"> </v>
      </c>
      <c r="J108" t="str">
        <f>A108</f>
        <v>AP</v>
      </c>
      <c r="K108" t="str">
        <f>B108</f>
        <v>AQ</v>
      </c>
      <c r="L108">
        <f>C108</f>
        <v>23.2</v>
      </c>
      <c r="M108" t="str">
        <f>D108</f>
        <v>094:00</v>
      </c>
      <c r="N108" t="str">
        <f>E108</f>
        <v>-</v>
      </c>
      <c r="O108" t="str">
        <f t="shared" si="28"/>
        <v>10:30</v>
      </c>
      <c r="P108" t="str">
        <f>H108</f>
        <v/>
      </c>
    </row>
    <row r="109" spans="1:16" x14ac:dyDescent="0.25">
      <c r="A109" t="str">
        <f>'Raw Data'!A90</f>
        <v>AQ</v>
      </c>
      <c r="B109" t="str">
        <f>'Raw Data'!B90</f>
        <v>AR</v>
      </c>
      <c r="C109">
        <f>'Raw Data'!J90</f>
        <v>10.7</v>
      </c>
      <c r="D109" t="str">
        <f>'Interpreted Data'!G90</f>
        <v>-</v>
      </c>
      <c r="E109" t="str">
        <f>'Interpreted Data'!H90</f>
        <v>316:00</v>
      </c>
      <c r="F109" t="str">
        <f>SUBSTITUTE('Raw Data'!K90," ",":",1)</f>
        <v>-5:30</v>
      </c>
      <c r="G109">
        <f>'Interpreted Data'!N90</f>
        <v>-1</v>
      </c>
      <c r="H109" t="str">
        <f>'Interpreted Data'!P90</f>
        <v/>
      </c>
      <c r="I109" t="str">
        <f t="shared" si="24"/>
        <v xml:space="preserve"> </v>
      </c>
      <c r="J109" t="str">
        <f>A109</f>
        <v>AQ</v>
      </c>
      <c r="K109" t="str">
        <f>B109</f>
        <v>AR</v>
      </c>
      <c r="L109">
        <f>C109</f>
        <v>10.7</v>
      </c>
      <c r="M109" t="str">
        <f>D109</f>
        <v>-</v>
      </c>
      <c r="N109" t="str">
        <f>E109</f>
        <v>316:00</v>
      </c>
      <c r="O109" t="str">
        <f t="shared" si="28"/>
        <v>-5:30</v>
      </c>
      <c r="P109" t="str">
        <f>H109</f>
        <v/>
      </c>
    </row>
    <row r="110" spans="1:16" x14ac:dyDescent="0.25">
      <c r="A110" t="str">
        <f>'Raw Data'!A91</f>
        <v>AR</v>
      </c>
      <c r="B110" t="str">
        <f>'Raw Data'!B91</f>
        <v>AS</v>
      </c>
      <c r="C110">
        <f>'Raw Data'!J91</f>
        <v>26.5</v>
      </c>
      <c r="D110" t="str">
        <f>'Interpreted Data'!G91</f>
        <v>012:20</v>
      </c>
      <c r="E110" t="str">
        <f>'Interpreted Data'!H91</f>
        <v>-</v>
      </c>
      <c r="F110" t="str">
        <f>SUBSTITUTE('Raw Data'!K91," ",":",1)</f>
        <v>28:30</v>
      </c>
      <c r="G110">
        <f>'Interpreted Data'!N91</f>
        <v>12.6</v>
      </c>
      <c r="H110" t="str">
        <f>'Interpreted Data'!P91</f>
        <v/>
      </c>
      <c r="I110" t="str">
        <f t="shared" si="24"/>
        <v xml:space="preserve"> </v>
      </c>
      <c r="J110" t="str">
        <f>A110</f>
        <v>AR</v>
      </c>
      <c r="K110" t="str">
        <f>B110</f>
        <v>AS</v>
      </c>
      <c r="L110">
        <f>C110</f>
        <v>26.5</v>
      </c>
      <c r="M110" t="str">
        <f>D110</f>
        <v>012:20</v>
      </c>
      <c r="N110" t="str">
        <f>E110</f>
        <v>-</v>
      </c>
      <c r="O110" t="str">
        <f t="shared" si="28"/>
        <v>28:30</v>
      </c>
      <c r="P110" t="str">
        <f>H110</f>
        <v/>
      </c>
    </row>
    <row r="111" spans="1:16" x14ac:dyDescent="0.25">
      <c r="A111" t="str">
        <f>'Raw Data'!A92</f>
        <v>AS</v>
      </c>
      <c r="B111" t="str">
        <f>'Raw Data'!B92</f>
        <v>AT</v>
      </c>
      <c r="C111">
        <f>'Raw Data'!J92</f>
        <v>38.6</v>
      </c>
      <c r="D111" t="str">
        <f>'Interpreted Data'!G92</f>
        <v>-</v>
      </c>
      <c r="E111" t="str">
        <f>'Interpreted Data'!H92</f>
        <v>169:30</v>
      </c>
      <c r="F111" t="str">
        <f>SUBSTITUTE('Raw Data'!K92," ",":",1)</f>
        <v>10:30</v>
      </c>
      <c r="G111">
        <f>'Interpreted Data'!N92</f>
        <v>7</v>
      </c>
      <c r="H111" t="str">
        <f>'Interpreted Data'!P92</f>
        <v/>
      </c>
      <c r="I111" t="str">
        <f t="shared" si="24"/>
        <v xml:space="preserve"> </v>
      </c>
      <c r="J111" t="str">
        <f>A111</f>
        <v>AS</v>
      </c>
      <c r="K111" t="str">
        <f>B111</f>
        <v>AT</v>
      </c>
      <c r="L111">
        <f>C111</f>
        <v>38.6</v>
      </c>
      <c r="M111" t="str">
        <f>D111</f>
        <v>-</v>
      </c>
      <c r="N111" t="str">
        <f>E111</f>
        <v>169:30</v>
      </c>
      <c r="O111" t="str">
        <f t="shared" si="28"/>
        <v>10:30</v>
      </c>
      <c r="P111" t="str">
        <f>H111</f>
        <v/>
      </c>
    </row>
    <row r="112" spans="1:16" x14ac:dyDescent="0.25">
      <c r="A112" t="str">
        <f>'Raw Data'!A93</f>
        <v>AT</v>
      </c>
      <c r="B112" t="str">
        <f>'Raw Data'!B93</f>
        <v>AU</v>
      </c>
      <c r="C112">
        <f>'Raw Data'!J93</f>
        <v>23.3</v>
      </c>
      <c r="D112" t="str">
        <f>'Interpreted Data'!G93</f>
        <v>321:40</v>
      </c>
      <c r="E112" t="str">
        <f>'Interpreted Data'!H93</f>
        <v>-</v>
      </c>
      <c r="F112" t="str">
        <f>SUBSTITUTE('Raw Data'!K93," ",":",1)</f>
        <v>-4:00</v>
      </c>
      <c r="G112">
        <f>'Interpreted Data'!N93</f>
        <v>-1.6</v>
      </c>
      <c r="H112" t="str">
        <f>'Interpreted Data'!P93</f>
        <v/>
      </c>
      <c r="I112" t="str">
        <f t="shared" si="24"/>
        <v xml:space="preserve"> </v>
      </c>
      <c r="J112" t="str">
        <f>A112</f>
        <v>AT</v>
      </c>
      <c r="K112" t="str">
        <f>B112</f>
        <v>AU</v>
      </c>
      <c r="L112">
        <f>C112</f>
        <v>23.3</v>
      </c>
      <c r="M112" t="str">
        <f>D112</f>
        <v>321:40</v>
      </c>
      <c r="N112" t="str">
        <f>E112</f>
        <v>-</v>
      </c>
      <c r="O112" t="str">
        <f t="shared" si="28"/>
        <v>-4:00</v>
      </c>
      <c r="P112" t="str">
        <f>H112</f>
        <v/>
      </c>
    </row>
    <row r="113" spans="1:16" x14ac:dyDescent="0.25">
      <c r="A113" t="str">
        <f>'Raw Data'!A94</f>
        <v>AU</v>
      </c>
      <c r="B113" t="str">
        <f>'Raw Data'!B94</f>
        <v>AV</v>
      </c>
      <c r="C113">
        <f>'Raw Data'!J94</f>
        <v>23.3</v>
      </c>
      <c r="D113" t="str">
        <f>'Interpreted Data'!G94</f>
        <v>-</v>
      </c>
      <c r="E113" t="str">
        <f>'Interpreted Data'!H94</f>
        <v>245:30</v>
      </c>
      <c r="F113" t="str">
        <f>SUBSTITUTE('Raw Data'!K94," ",":",1)</f>
        <v>9:00</v>
      </c>
      <c r="G113">
        <f>'Interpreted Data'!N94</f>
        <v>3.6</v>
      </c>
      <c r="H113" t="str">
        <f>'Interpreted Data'!P94</f>
        <v/>
      </c>
      <c r="I113" t="str">
        <f t="shared" si="24"/>
        <v xml:space="preserve"> </v>
      </c>
      <c r="J113" t="str">
        <f>A113</f>
        <v>AU</v>
      </c>
      <c r="K113" t="str">
        <f>B113</f>
        <v>AV</v>
      </c>
      <c r="L113">
        <f>C113</f>
        <v>23.3</v>
      </c>
      <c r="M113" t="str">
        <f>D113</f>
        <v>-</v>
      </c>
      <c r="N113" t="str">
        <f>E113</f>
        <v>245:30</v>
      </c>
      <c r="O113" t="str">
        <f t="shared" si="28"/>
        <v>9:00</v>
      </c>
      <c r="P113" t="str">
        <f>H113</f>
        <v/>
      </c>
    </row>
    <row r="114" spans="1:16" x14ac:dyDescent="0.25">
      <c r="A114" t="str">
        <f>'Raw Data'!A95</f>
        <v>AV</v>
      </c>
      <c r="B114" t="str">
        <f>'Raw Data'!B95</f>
        <v>AW</v>
      </c>
      <c r="C114">
        <f>'Raw Data'!J95</f>
        <v>24.1</v>
      </c>
      <c r="D114" t="str">
        <f>'Interpreted Data'!G95</f>
        <v>108:30</v>
      </c>
      <c r="E114" t="str">
        <f>'Interpreted Data'!H95</f>
        <v>-</v>
      </c>
      <c r="F114" t="str">
        <f>SUBSTITUTE('Raw Data'!K95," ",":",1)</f>
        <v>27:30</v>
      </c>
      <c r="G114">
        <f>'Interpreted Data'!N95</f>
        <v>11.1</v>
      </c>
      <c r="H114" t="str">
        <f>'Interpreted Data'!P95</f>
        <v>AV is in middle of upper big pot.</v>
      </c>
      <c r="I114" t="str">
        <f t="shared" si="24"/>
        <v xml:space="preserve"> </v>
      </c>
      <c r="J114" t="str">
        <f>A114</f>
        <v>AV</v>
      </c>
      <c r="K114" t="str">
        <f>B114</f>
        <v>AW</v>
      </c>
      <c r="L114">
        <f>C114</f>
        <v>24.1</v>
      </c>
      <c r="M114" t="str">
        <f>D114</f>
        <v>108:30</v>
      </c>
      <c r="N114" t="str">
        <f>E114</f>
        <v>-</v>
      </c>
      <c r="O114" t="str">
        <f t="shared" si="28"/>
        <v>27:30</v>
      </c>
      <c r="P114" t="str">
        <f>H114</f>
        <v>AV is in middle of upper big pot.</v>
      </c>
    </row>
    <row r="115" spans="1:16" x14ac:dyDescent="0.25">
      <c r="A115" t="str">
        <f>'Raw Data'!A96</f>
        <v>AW</v>
      </c>
      <c r="B115" t="str">
        <f>'Raw Data'!B96</f>
        <v>AX</v>
      </c>
      <c r="C115">
        <f>'Raw Data'!J96</f>
        <v>14.6</v>
      </c>
      <c r="D115" t="str">
        <f>'Interpreted Data'!G96</f>
        <v>-</v>
      </c>
      <c r="E115" t="str">
        <f>'Interpreted Data'!H96</f>
        <v>259:40</v>
      </c>
      <c r="F115" t="str">
        <f>SUBSTITUTE('Raw Data'!K96," ",":",1)</f>
        <v>23:30</v>
      </c>
      <c r="G115">
        <f>'Interpreted Data'!N96</f>
        <v>5.8</v>
      </c>
      <c r="H115" t="str">
        <f>'Interpreted Data'!P96</f>
        <v/>
      </c>
      <c r="I115" t="str">
        <f t="shared" si="24"/>
        <v xml:space="preserve"> </v>
      </c>
      <c r="J115" t="str">
        <f>A115</f>
        <v>AW</v>
      </c>
      <c r="K115" t="str">
        <f>B115</f>
        <v>AX</v>
      </c>
      <c r="L115">
        <f>C115</f>
        <v>14.6</v>
      </c>
      <c r="M115" t="str">
        <f>D115</f>
        <v>-</v>
      </c>
      <c r="N115" t="str">
        <f>E115</f>
        <v>259:40</v>
      </c>
      <c r="O115" t="str">
        <f t="shared" si="28"/>
        <v>23:30</v>
      </c>
      <c r="P115" t="str">
        <f>H115</f>
        <v/>
      </c>
    </row>
    <row r="116" spans="1:16" x14ac:dyDescent="0.25">
      <c r="A116" t="str">
        <f>'Raw Data'!A97</f>
        <v>AX</v>
      </c>
      <c r="B116" t="str">
        <f>'Raw Data'!B97</f>
        <v>AY</v>
      </c>
      <c r="C116">
        <f>'Raw Data'!J97</f>
        <v>15</v>
      </c>
      <c r="D116" t="str">
        <f>'Interpreted Data'!G97</f>
        <v>128:00</v>
      </c>
      <c r="E116" t="str">
        <f>'Interpreted Data'!H97</f>
        <v>-</v>
      </c>
      <c r="F116" t="str">
        <f>SUBSTITUTE('Raw Data'!K97," ",":",1)</f>
        <v>13:30</v>
      </c>
      <c r="G116">
        <f>'Interpreted Data'!N97</f>
        <v>3.5</v>
      </c>
      <c r="H116" t="str">
        <f>'Interpreted Data'!P97</f>
        <v>AY is on stumpy stalagmite on cascade on E side of passage.</v>
      </c>
      <c r="I116" t="str">
        <f t="shared" si="24"/>
        <v xml:space="preserve"> </v>
      </c>
      <c r="J116" t="str">
        <f>A116</f>
        <v>AX</v>
      </c>
      <c r="K116" t="str">
        <f>B116</f>
        <v>AY</v>
      </c>
      <c r="L116">
        <f>C116</f>
        <v>15</v>
      </c>
      <c r="M116" t="str">
        <f>D116</f>
        <v>128:00</v>
      </c>
      <c r="N116" t="str">
        <f>E116</f>
        <v>-</v>
      </c>
      <c r="O116" t="str">
        <f t="shared" si="28"/>
        <v>13:30</v>
      </c>
      <c r="P116" t="str">
        <f>H116</f>
        <v>AY is on stumpy stalagmite on cascade on E side of passage.</v>
      </c>
    </row>
    <row r="117" spans="1:16" x14ac:dyDescent="0.25">
      <c r="A117" t="str">
        <f>'Raw Data'!A98</f>
        <v>AY</v>
      </c>
      <c r="B117">
        <f>'Raw Data'!B98</f>
        <v>0</v>
      </c>
      <c r="C117">
        <f>'Raw Data'!J98</f>
        <v>0</v>
      </c>
      <c r="D117" t="str">
        <f>'Interpreted Data'!G98</f>
        <v/>
      </c>
      <c r="E117" t="str">
        <f>'Interpreted Data'!H98</f>
        <v/>
      </c>
      <c r="F117" t="str">
        <f>SUBSTITUTE('Raw Data'!K98," ",":",1)</f>
        <v/>
      </c>
      <c r="G117" t="str">
        <f>'Interpreted Data'!N98</f>
        <v/>
      </c>
      <c r="H117" t="str">
        <f>'Interpreted Data'!P98</f>
        <v>Total = 2,188'</v>
      </c>
      <c r="I117" t="str">
        <f t="shared" si="24"/>
        <v xml:space="preserve"> </v>
      </c>
      <c r="J117" t="s">
        <v>79</v>
      </c>
      <c r="K117" t="str">
        <f>A117</f>
        <v>AY</v>
      </c>
      <c r="M117" t="str">
        <f>D117</f>
        <v/>
      </c>
      <c r="N117" t="str">
        <f>E117</f>
        <v/>
      </c>
      <c r="O117" t="str">
        <f>F117</f>
        <v/>
      </c>
      <c r="P117" t="str">
        <f>H117</f>
        <v>Total = 2,188'</v>
      </c>
    </row>
    <row r="118" spans="1:16" x14ac:dyDescent="0.25">
      <c r="A118">
        <f>'Raw Data'!A99</f>
        <v>0</v>
      </c>
      <c r="B118">
        <f>'Raw Data'!B99</f>
        <v>0</v>
      </c>
      <c r="C118">
        <f>'Raw Data'!J99</f>
        <v>0</v>
      </c>
      <c r="D118" t="str">
        <f>'Interpreted Data'!G99</f>
        <v/>
      </c>
      <c r="E118" t="str">
        <f>'Interpreted Data'!H99</f>
        <v/>
      </c>
      <c r="F118" t="str">
        <f>SUBSTITUTE('Raw Data'!K99," ",":",1)</f>
        <v/>
      </c>
      <c r="G118" t="str">
        <f>'Interpreted Data'!N99</f>
        <v/>
      </c>
      <c r="H118" t="str">
        <f>'Interpreted Data'!P99</f>
        <v/>
      </c>
      <c r="I118" t="str">
        <f t="shared" si="24"/>
        <v xml:space="preserve"> </v>
      </c>
      <c r="M118" t="str">
        <f>D118</f>
        <v/>
      </c>
      <c r="N118" t="str">
        <f>E118</f>
        <v/>
      </c>
      <c r="O118" t="str">
        <f>F118</f>
        <v/>
      </c>
      <c r="P118" t="str">
        <f>H118</f>
        <v/>
      </c>
    </row>
    <row r="119" spans="1:16" x14ac:dyDescent="0.25">
      <c r="A119" t="str">
        <f>'Raw Data'!A100</f>
        <v>14th August '52</v>
      </c>
      <c r="B119" t="str">
        <f>'Raw Data'!B100</f>
        <v>Colin</v>
      </c>
      <c r="C119">
        <f>'Raw Data'!J100</f>
        <v>0</v>
      </c>
      <c r="D119" t="str">
        <f>'Interpreted Data'!G100</f>
        <v/>
      </c>
      <c r="E119" t="str">
        <f>'Interpreted Data'!H100</f>
        <v/>
      </c>
      <c r="F119" t="str">
        <f>SUBSTITUTE('Raw Data'!K100," ",":",1)</f>
        <v/>
      </c>
      <c r="G119" t="str">
        <f>'Interpreted Data'!N100</f>
        <v/>
      </c>
      <c r="H119" t="str">
        <f>'Interpreted Data'!P100</f>
        <v/>
      </c>
      <c r="I119" t="str">
        <f t="shared" si="24"/>
        <v xml:space="preserve"> </v>
      </c>
      <c r="J119" t="str">
        <f>A119</f>
        <v>14th August '52</v>
      </c>
      <c r="K119" t="str">
        <f>B119</f>
        <v>Colin</v>
      </c>
      <c r="M119" t="str">
        <f>D119</f>
        <v/>
      </c>
      <c r="N119" t="str">
        <f>E119</f>
        <v/>
      </c>
      <c r="O119" t="str">
        <f>F119</f>
        <v/>
      </c>
      <c r="P119" t="str">
        <f>H119</f>
        <v/>
      </c>
    </row>
    <row r="120" spans="1:16" x14ac:dyDescent="0.25">
      <c r="I120" t="str">
        <f t="shared" si="24"/>
        <v xml:space="preserve"> </v>
      </c>
      <c r="J120" t="str">
        <f>$J$1</f>
        <v>data normal from to tape compass backcompass clino ignoreall</v>
      </c>
    </row>
    <row r="121" spans="1:16" x14ac:dyDescent="0.25">
      <c r="A121">
        <f>'Raw Data'!A101</f>
        <v>18</v>
      </c>
      <c r="B121">
        <f>'Raw Data'!B101</f>
        <v>19</v>
      </c>
      <c r="C121">
        <f>'Raw Data'!J101</f>
        <v>10.1</v>
      </c>
      <c r="D121" t="str">
        <f>'Interpreted Data'!G101</f>
        <v>-</v>
      </c>
      <c r="E121" t="str">
        <f>'Interpreted Data'!H101</f>
        <v>-</v>
      </c>
      <c r="F121" t="str">
        <f>SUBSTITUTE('Raw Data'!K101," ",":",1)</f>
        <v>-90:00</v>
      </c>
      <c r="G121">
        <f>'Interpreted Data'!N101</f>
        <v>-10.1</v>
      </c>
      <c r="H121" t="str">
        <f>'Interpreted Data'!P101</f>
        <v>18 is in crack at top of 11 Foot Drop.</v>
      </c>
      <c r="J121">
        <f>A121</f>
        <v>18</v>
      </c>
      <c r="K121">
        <f>B121</f>
        <v>19</v>
      </c>
      <c r="L121">
        <f>C121</f>
        <v>10.1</v>
      </c>
      <c r="M121" t="str">
        <f>D121</f>
        <v>-</v>
      </c>
      <c r="N121" t="str">
        <f>E121</f>
        <v>-</v>
      </c>
      <c r="O121" t="str">
        <f>IF(AND(D121="-",E121="-"),IF(1*SUBSTITUTE(F121,":",".")=-90,"DOWN",IF(1*SUBSTITUTE(F121,":",".")=90,"UP","no compass")),F121)</f>
        <v>DOWN</v>
      </c>
      <c r="P121" t="str">
        <f>H121</f>
        <v>18 is in crack at top of 11 Foot Drop.</v>
      </c>
    </row>
    <row r="122" spans="1:16" x14ac:dyDescent="0.25">
      <c r="A122">
        <f>'Raw Data'!A102</f>
        <v>19</v>
      </c>
      <c r="B122">
        <f>'Raw Data'!B102</f>
        <v>20</v>
      </c>
      <c r="C122">
        <f>'Raw Data'!J102</f>
        <v>8</v>
      </c>
      <c r="D122" t="str">
        <f>'Interpreted Data'!G102</f>
        <v>-</v>
      </c>
      <c r="E122" t="str">
        <f>'Interpreted Data'!H102</f>
        <v>355:00</v>
      </c>
      <c r="F122" t="str">
        <f>SUBSTITUTE('Raw Data'!K102," ",":",1)</f>
        <v>1:00</v>
      </c>
      <c r="G122">
        <f>'Interpreted Data'!N102</f>
        <v>0.1</v>
      </c>
      <c r="H122" t="str">
        <f>'Interpreted Data'!P102</f>
        <v>(sketch of 18 - 24)</v>
      </c>
      <c r="I122" t="str">
        <f t="shared" si="24"/>
        <v xml:space="preserve"> </v>
      </c>
      <c r="J122">
        <f>A122</f>
        <v>19</v>
      </c>
      <c r="K122">
        <f>B122</f>
        <v>20</v>
      </c>
      <c r="L122">
        <f>C122</f>
        <v>8</v>
      </c>
      <c r="M122" t="str">
        <f>D122</f>
        <v>-</v>
      </c>
      <c r="N122" t="str">
        <f>E122</f>
        <v>355:00</v>
      </c>
      <c r="O122" t="str">
        <f t="shared" ref="O122:O143" si="29">IF(AND(D122="-",E122="-"),IF(1*SUBSTITUTE(F122,":",".")=-90,"DOWN",IF(1*SUBSTITUTE(F122,":",".")=90,"UP","no compass")),F122)</f>
        <v>1:00</v>
      </c>
      <c r="P122" t="str">
        <f>H122</f>
        <v>(sketch of 18 - 24)</v>
      </c>
    </row>
    <row r="123" spans="1:16" x14ac:dyDescent="0.25">
      <c r="A123">
        <f>'Raw Data'!A103</f>
        <v>20</v>
      </c>
      <c r="B123">
        <f>'Raw Data'!B103</f>
        <v>21</v>
      </c>
      <c r="C123">
        <f>'Raw Data'!J103</f>
        <v>24.8</v>
      </c>
      <c r="D123" t="str">
        <f>'Interpreted Data'!G103</f>
        <v>091:00</v>
      </c>
      <c r="E123" t="str">
        <f>'Interpreted Data'!H103</f>
        <v>-</v>
      </c>
      <c r="F123" t="str">
        <f>SUBSTITUTE('Raw Data'!K103," ",":",1)</f>
        <v>23:00</v>
      </c>
      <c r="G123">
        <f>'Interpreted Data'!N103</f>
        <v>9.6999999999999993</v>
      </c>
      <c r="H123" t="str">
        <f>'Interpreted Data'!P103</f>
        <v/>
      </c>
      <c r="I123" t="str">
        <f t="shared" si="24"/>
        <v xml:space="preserve"> </v>
      </c>
      <c r="J123">
        <f>A123</f>
        <v>20</v>
      </c>
      <c r="K123">
        <f>B123</f>
        <v>21</v>
      </c>
      <c r="L123">
        <f>C123</f>
        <v>24.8</v>
      </c>
      <c r="M123" t="str">
        <f>D123</f>
        <v>091:00</v>
      </c>
      <c r="N123" t="str">
        <f>E123</f>
        <v>-</v>
      </c>
      <c r="O123" t="str">
        <f t="shared" si="29"/>
        <v>23:00</v>
      </c>
      <c r="P123" t="str">
        <f>H123</f>
        <v/>
      </c>
    </row>
    <row r="124" spans="1:16" x14ac:dyDescent="0.25">
      <c r="A124">
        <f>'Raw Data'!A104</f>
        <v>21</v>
      </c>
      <c r="B124">
        <f>'Raw Data'!B104</f>
        <v>22</v>
      </c>
      <c r="C124">
        <f>'Raw Data'!J104</f>
        <v>11.2</v>
      </c>
      <c r="D124" t="str">
        <f>'Interpreted Data'!G104</f>
        <v>-</v>
      </c>
      <c r="E124" t="str">
        <f>'Interpreted Data'!H104</f>
        <v>302:00</v>
      </c>
      <c r="F124" t="str">
        <f>SUBSTITUTE('Raw Data'!K104," ",":",1)</f>
        <v>10:00</v>
      </c>
      <c r="G124">
        <f>'Interpreted Data'!N104</f>
        <v>1.9</v>
      </c>
      <c r="H124" t="str">
        <f>'Interpreted Data'!P104</f>
        <v/>
      </c>
      <c r="I124" t="str">
        <f t="shared" si="24"/>
        <v xml:space="preserve"> </v>
      </c>
      <c r="J124">
        <f>A124</f>
        <v>21</v>
      </c>
      <c r="K124">
        <f>B124</f>
        <v>22</v>
      </c>
      <c r="L124">
        <f>C124</f>
        <v>11.2</v>
      </c>
      <c r="M124" t="str">
        <f>D124</f>
        <v>-</v>
      </c>
      <c r="N124" t="str">
        <f>E124</f>
        <v>302:00</v>
      </c>
      <c r="O124" t="str">
        <f t="shared" si="29"/>
        <v>10:00</v>
      </c>
      <c r="P124" t="str">
        <f>H124</f>
        <v/>
      </c>
    </row>
    <row r="125" spans="1:16" x14ac:dyDescent="0.25">
      <c r="A125">
        <f>'Raw Data'!A105</f>
        <v>22</v>
      </c>
      <c r="B125">
        <f>'Raw Data'!B105</f>
        <v>23</v>
      </c>
      <c r="C125">
        <f>'Raw Data'!J105</f>
        <v>25.5</v>
      </c>
      <c r="D125" t="str">
        <f>'Interpreted Data'!G105</f>
        <v>172:40</v>
      </c>
      <c r="E125" t="str">
        <f>'Interpreted Data'!H105</f>
        <v>-</v>
      </c>
      <c r="F125" t="str">
        <f>SUBSTITUTE('Raw Data'!K105," ",":",1)</f>
        <v>-9:00</v>
      </c>
      <c r="G125">
        <f>'Interpreted Data'!N105</f>
        <v>-4</v>
      </c>
      <c r="H125" t="str">
        <f>'Interpreted Data'!P105</f>
        <v/>
      </c>
      <c r="I125" t="str">
        <f t="shared" si="24"/>
        <v xml:space="preserve"> </v>
      </c>
      <c r="J125">
        <f>A125</f>
        <v>22</v>
      </c>
      <c r="K125">
        <f>B125</f>
        <v>23</v>
      </c>
      <c r="L125">
        <f>C125</f>
        <v>25.5</v>
      </c>
      <c r="M125" t="str">
        <f>D125</f>
        <v>172:40</v>
      </c>
      <c r="N125" t="str">
        <f>E125</f>
        <v>-</v>
      </c>
      <c r="O125" t="str">
        <f t="shared" si="29"/>
        <v>-9:00</v>
      </c>
      <c r="P125" t="str">
        <f>H125</f>
        <v/>
      </c>
    </row>
    <row r="126" spans="1:16" x14ac:dyDescent="0.25">
      <c r="A126">
        <f>'Raw Data'!A106</f>
        <v>23</v>
      </c>
      <c r="B126">
        <f>'Raw Data'!B106</f>
        <v>24</v>
      </c>
      <c r="C126">
        <f>'Raw Data'!J106</f>
        <v>50.7</v>
      </c>
      <c r="D126" t="str">
        <f>'Interpreted Data'!G106</f>
        <v>-</v>
      </c>
      <c r="E126" t="str">
        <f>'Interpreted Data'!H106</f>
        <v>248:00</v>
      </c>
      <c r="F126" t="str">
        <f>SUBSTITUTE('Raw Data'!K106," ",":",1)</f>
        <v>18:00</v>
      </c>
      <c r="G126">
        <f>'Interpreted Data'!N106</f>
        <v>15.6</v>
      </c>
      <c r="H126" t="str">
        <f>'Interpreted Data'!P106</f>
        <v/>
      </c>
      <c r="I126" t="str">
        <f t="shared" si="24"/>
        <v xml:space="preserve"> </v>
      </c>
      <c r="J126">
        <f>A126</f>
        <v>23</v>
      </c>
      <c r="K126">
        <f>B126</f>
        <v>24</v>
      </c>
      <c r="L126">
        <f>C126</f>
        <v>50.7</v>
      </c>
      <c r="M126" t="str">
        <f>D126</f>
        <v>-</v>
      </c>
      <c r="N126" t="str">
        <f>E126</f>
        <v>248:00</v>
      </c>
      <c r="O126" t="str">
        <f t="shared" si="29"/>
        <v>18:00</v>
      </c>
      <c r="P126" t="str">
        <f>H126</f>
        <v/>
      </c>
    </row>
    <row r="127" spans="1:16" x14ac:dyDescent="0.25">
      <c r="A127">
        <f>'Raw Data'!A107</f>
        <v>24</v>
      </c>
      <c r="B127">
        <f>'Raw Data'!B107</f>
        <v>25</v>
      </c>
      <c r="C127">
        <f>'Raw Data'!J107</f>
        <v>14</v>
      </c>
      <c r="D127" t="str">
        <f>'Interpreted Data'!G107</f>
        <v>046:00</v>
      </c>
      <c r="E127" t="str">
        <f>'Interpreted Data'!H107</f>
        <v>-</v>
      </c>
      <c r="F127" t="str">
        <f>SUBSTITUTE('Raw Data'!K107," ",":",1)</f>
        <v>-46:00</v>
      </c>
      <c r="G127">
        <f>'Interpreted Data'!N107</f>
        <v>-10.1</v>
      </c>
      <c r="H127" t="str">
        <f>'Interpreted Data'!P107</f>
        <v>(sketch of 24 - 35)</v>
      </c>
      <c r="I127" t="str">
        <f t="shared" si="24"/>
        <v xml:space="preserve"> </v>
      </c>
      <c r="J127">
        <f>A127</f>
        <v>24</v>
      </c>
      <c r="K127">
        <f>B127</f>
        <v>25</v>
      </c>
      <c r="L127">
        <f>C127</f>
        <v>14</v>
      </c>
      <c r="M127" t="str">
        <f>D127</f>
        <v>046:00</v>
      </c>
      <c r="N127" t="str">
        <f>E127</f>
        <v>-</v>
      </c>
      <c r="O127" t="str">
        <f t="shared" si="29"/>
        <v>-46:00</v>
      </c>
      <c r="P127" t="str">
        <f>H127</f>
        <v>(sketch of 24 - 35)</v>
      </c>
    </row>
    <row r="128" spans="1:16" x14ac:dyDescent="0.25">
      <c r="A128">
        <f>'Raw Data'!A108</f>
        <v>25</v>
      </c>
      <c r="B128">
        <f>'Raw Data'!B108</f>
        <v>26</v>
      </c>
      <c r="C128">
        <f>'Raw Data'!J108</f>
        <v>15.3</v>
      </c>
      <c r="D128" t="str">
        <f>'Interpreted Data'!G108</f>
        <v>-</v>
      </c>
      <c r="E128" t="str">
        <f>'Interpreted Data'!H108</f>
        <v>293:00</v>
      </c>
      <c r="F128" t="str">
        <f>SUBSTITUTE('Raw Data'!K108," ",":",1)</f>
        <v>-43:00</v>
      </c>
      <c r="G128">
        <f>'Interpreted Data'!N108</f>
        <v>-10.4</v>
      </c>
      <c r="H128" t="str">
        <f>'Interpreted Data'!P108</f>
        <v/>
      </c>
      <c r="I128" t="str">
        <f t="shared" si="24"/>
        <v xml:space="preserve"> </v>
      </c>
      <c r="J128">
        <f>A128</f>
        <v>25</v>
      </c>
      <c r="K128">
        <f>B128</f>
        <v>26</v>
      </c>
      <c r="L128">
        <f>C128</f>
        <v>15.3</v>
      </c>
      <c r="M128" t="str">
        <f>D128</f>
        <v>-</v>
      </c>
      <c r="N128" t="str">
        <f>E128</f>
        <v>293:00</v>
      </c>
      <c r="O128" t="str">
        <f t="shared" si="29"/>
        <v>-43:00</v>
      </c>
      <c r="P128" t="str">
        <f>H128</f>
        <v/>
      </c>
    </row>
    <row r="129" spans="1:16" x14ac:dyDescent="0.25">
      <c r="A129">
        <f>'Raw Data'!A109</f>
        <v>26</v>
      </c>
      <c r="B129">
        <f>'Raw Data'!B109</f>
        <v>27</v>
      </c>
      <c r="C129">
        <f>'Raw Data'!J109</f>
        <v>23.2</v>
      </c>
      <c r="D129" t="str">
        <f>'Interpreted Data'!G109</f>
        <v>061:00</v>
      </c>
      <c r="E129" t="str">
        <f>'Interpreted Data'!H109</f>
        <v>-</v>
      </c>
      <c r="F129" t="str">
        <f>SUBSTITUTE('Raw Data'!K109," ",":",1)</f>
        <v>-55:00</v>
      </c>
      <c r="G129">
        <f>'Interpreted Data'!N109</f>
        <v>-19</v>
      </c>
      <c r="H129" t="str">
        <f>'Interpreted Data'!P109</f>
        <v/>
      </c>
      <c r="I129" t="str">
        <f t="shared" si="24"/>
        <v xml:space="preserve"> </v>
      </c>
      <c r="J129">
        <f>A129</f>
        <v>26</v>
      </c>
      <c r="K129">
        <f>B129</f>
        <v>27</v>
      </c>
      <c r="L129">
        <f>C129</f>
        <v>23.2</v>
      </c>
      <c r="M129" t="str">
        <f>D129</f>
        <v>061:00</v>
      </c>
      <c r="N129" t="str">
        <f>E129</f>
        <v>-</v>
      </c>
      <c r="O129" t="str">
        <f t="shared" si="29"/>
        <v>-55:00</v>
      </c>
      <c r="P129" t="str">
        <f>H129</f>
        <v/>
      </c>
    </row>
    <row r="130" spans="1:16" x14ac:dyDescent="0.25">
      <c r="A130">
        <f>'Raw Data'!A110</f>
        <v>27</v>
      </c>
      <c r="B130">
        <f>'Raw Data'!B110</f>
        <v>28</v>
      </c>
      <c r="C130">
        <f>'Raw Data'!J110</f>
        <v>25.3</v>
      </c>
      <c r="D130" t="str">
        <f>'Interpreted Data'!G110</f>
        <v>-</v>
      </c>
      <c r="E130" t="str">
        <f>'Interpreted Data'!H110</f>
        <v>015:30</v>
      </c>
      <c r="F130" t="str">
        <f>SUBSTITUTE('Raw Data'!K110," ",":",1)</f>
        <v>-24:30</v>
      </c>
      <c r="G130">
        <f>'Interpreted Data'!N110</f>
        <v>-10.5</v>
      </c>
      <c r="H130" t="str">
        <f>'Interpreted Data'!P110</f>
        <v/>
      </c>
      <c r="I130" t="str">
        <f t="shared" si="24"/>
        <v xml:space="preserve"> </v>
      </c>
      <c r="J130">
        <f>A130</f>
        <v>27</v>
      </c>
      <c r="K130">
        <f>B130</f>
        <v>28</v>
      </c>
      <c r="L130">
        <f>C130</f>
        <v>25.3</v>
      </c>
      <c r="M130" t="str">
        <f>D130</f>
        <v>-</v>
      </c>
      <c r="N130" t="str">
        <f>E130</f>
        <v>015:30</v>
      </c>
      <c r="O130" t="str">
        <f t="shared" si="29"/>
        <v>-24:30</v>
      </c>
      <c r="P130" t="str">
        <f>H130</f>
        <v/>
      </c>
    </row>
    <row r="131" spans="1:16" x14ac:dyDescent="0.25">
      <c r="A131">
        <f>'Raw Data'!A111</f>
        <v>28</v>
      </c>
      <c r="B131">
        <f>'Raw Data'!B111</f>
        <v>29</v>
      </c>
      <c r="C131">
        <f>'Raw Data'!J111</f>
        <v>51</v>
      </c>
      <c r="D131" t="str">
        <f>'Interpreted Data'!G111</f>
        <v>242:00</v>
      </c>
      <c r="E131" t="str">
        <f>'Interpreted Data'!H111</f>
        <v>-</v>
      </c>
      <c r="F131" t="str">
        <f>SUBSTITUTE('Raw Data'!K111," ",":",1)</f>
        <v>-23:30</v>
      </c>
      <c r="G131">
        <f>'Interpreted Data'!N111</f>
        <v>-20.3</v>
      </c>
      <c r="H131" t="str">
        <f>'Interpreted Data'!P111</f>
        <v/>
      </c>
      <c r="I131" t="str">
        <f t="shared" si="24"/>
        <v xml:space="preserve"> </v>
      </c>
      <c r="J131">
        <f>A131</f>
        <v>28</v>
      </c>
      <c r="K131">
        <f>B131</f>
        <v>29</v>
      </c>
      <c r="L131">
        <f>C131</f>
        <v>51</v>
      </c>
      <c r="M131" t="str">
        <f>D131</f>
        <v>242:00</v>
      </c>
      <c r="N131" t="str">
        <f>E131</f>
        <v>-</v>
      </c>
      <c r="O131" t="str">
        <f t="shared" si="29"/>
        <v>-23:30</v>
      </c>
      <c r="P131" t="str">
        <f>H131</f>
        <v/>
      </c>
    </row>
    <row r="132" spans="1:16" x14ac:dyDescent="0.25">
      <c r="A132">
        <f>'Raw Data'!A112</f>
        <v>29</v>
      </c>
      <c r="B132">
        <f>'Raw Data'!B112</f>
        <v>30</v>
      </c>
      <c r="C132">
        <f>'Raw Data'!J112</f>
        <v>13.7</v>
      </c>
      <c r="D132" t="str">
        <f>'Interpreted Data'!G112</f>
        <v>-</v>
      </c>
      <c r="E132" t="str">
        <f>'Interpreted Data'!H112</f>
        <v>340:00</v>
      </c>
      <c r="F132" t="str">
        <f>SUBSTITUTE('Raw Data'!K112," ",":",1)</f>
        <v>-3:00</v>
      </c>
      <c r="G132">
        <f>'Interpreted Data'!N112</f>
        <v>-0.7</v>
      </c>
      <c r="H132" t="str">
        <f>'Interpreted Data'!P112</f>
        <v/>
      </c>
      <c r="I132" t="str">
        <f t="shared" si="24"/>
        <v xml:space="preserve"> </v>
      </c>
      <c r="J132">
        <f>A132</f>
        <v>29</v>
      </c>
      <c r="K132">
        <f>B132</f>
        <v>30</v>
      </c>
      <c r="L132">
        <f>C132</f>
        <v>13.7</v>
      </c>
      <c r="M132" t="str">
        <f>D132</f>
        <v>-</v>
      </c>
      <c r="N132" t="str">
        <f>E132</f>
        <v>340:00</v>
      </c>
      <c r="O132" t="str">
        <f t="shared" si="29"/>
        <v>-3:00</v>
      </c>
      <c r="P132" t="str">
        <f>H132</f>
        <v/>
      </c>
    </row>
    <row r="133" spans="1:16" x14ac:dyDescent="0.25">
      <c r="A133">
        <f>'Raw Data'!A113</f>
        <v>30</v>
      </c>
      <c r="B133">
        <f>'Raw Data'!B113</f>
        <v>31</v>
      </c>
      <c r="C133">
        <f>'Raw Data'!J113</f>
        <v>25.4</v>
      </c>
      <c r="D133" t="str">
        <f>'Interpreted Data'!G113</f>
        <v>239:00</v>
      </c>
      <c r="E133" t="str">
        <f>'Interpreted Data'!H113</f>
        <v>-</v>
      </c>
      <c r="F133" t="str">
        <f>SUBSTITUTE('Raw Data'!K113," ",":",1)</f>
        <v>-19:00</v>
      </c>
      <c r="G133">
        <f>'Interpreted Data'!N113</f>
        <v>-8.3000000000000007</v>
      </c>
      <c r="H133" t="str">
        <f>'Interpreted Data'!P113</f>
        <v/>
      </c>
      <c r="I133" t="str">
        <f t="shared" si="24"/>
        <v xml:space="preserve"> </v>
      </c>
      <c r="J133">
        <f>A133</f>
        <v>30</v>
      </c>
      <c r="K133">
        <f>B133</f>
        <v>31</v>
      </c>
      <c r="L133">
        <f>C133</f>
        <v>25.4</v>
      </c>
      <c r="M133" t="str">
        <f>D133</f>
        <v>239:00</v>
      </c>
      <c r="N133" t="str">
        <f>E133</f>
        <v>-</v>
      </c>
      <c r="O133" t="str">
        <f t="shared" si="29"/>
        <v>-19:00</v>
      </c>
      <c r="P133" t="str">
        <f>H133</f>
        <v/>
      </c>
    </row>
    <row r="134" spans="1:16" x14ac:dyDescent="0.25">
      <c r="J134" t="str">
        <f>$J$2</f>
        <v>data diving from to tape compass backcompass depthchange ignoreall</v>
      </c>
    </row>
    <row r="135" spans="1:16" x14ac:dyDescent="0.25">
      <c r="A135">
        <f>'Raw Data'!A114</f>
        <v>31</v>
      </c>
      <c r="B135">
        <f>'Raw Data'!B114</f>
        <v>32</v>
      </c>
      <c r="C135">
        <f>'Raw Data'!J114</f>
        <v>11.2</v>
      </c>
      <c r="D135" t="str">
        <f>'Interpreted Data'!G114</f>
        <v>-</v>
      </c>
      <c r="E135" t="str">
        <f>'Interpreted Data'!H114</f>
        <v>106:00</v>
      </c>
      <c r="F135" t="str">
        <f>SUBSTITUTE('Raw Data'!K114," ",":",1)</f>
        <v>fall:1 foot</v>
      </c>
      <c r="G135">
        <f>'Interpreted Data'!N114</f>
        <v>-1</v>
      </c>
      <c r="H135" t="str">
        <f>'Interpreted Data'!P114</f>
        <v/>
      </c>
      <c r="I135" t="str">
        <f t="shared" ref="I135:I144" si="30">" "</f>
        <v xml:space="preserve"> </v>
      </c>
      <c r="J135">
        <f>A135</f>
        <v>31</v>
      </c>
      <c r="K135">
        <f>B135</f>
        <v>32</v>
      </c>
      <c r="L135">
        <f>C135</f>
        <v>11.2</v>
      </c>
      <c r="M135" t="str">
        <f>D135</f>
        <v>-</v>
      </c>
      <c r="N135" t="str">
        <f>E135</f>
        <v>106:00</v>
      </c>
      <c r="O135">
        <f>G135</f>
        <v>-1</v>
      </c>
      <c r="P135" t="str">
        <f>H135</f>
        <v/>
      </c>
    </row>
    <row r="136" spans="1:16" x14ac:dyDescent="0.25">
      <c r="J136" t="str">
        <f>$J$1</f>
        <v>data normal from to tape compass backcompass clino ignoreall</v>
      </c>
    </row>
    <row r="137" spans="1:16" x14ac:dyDescent="0.25">
      <c r="A137">
        <f>'Raw Data'!A115</f>
        <v>32</v>
      </c>
      <c r="B137">
        <f>'Raw Data'!B115</f>
        <v>33</v>
      </c>
      <c r="C137">
        <f>'Raw Data'!J115</f>
        <v>14.1</v>
      </c>
      <c r="D137" t="str">
        <f>'Interpreted Data'!G115</f>
        <v>182:00</v>
      </c>
      <c r="E137" t="str">
        <f>'Interpreted Data'!H115</f>
        <v>-</v>
      </c>
      <c r="F137" t="str">
        <f>SUBSTITUTE('Raw Data'!K115," ",":",1)</f>
        <v>-9:00</v>
      </c>
      <c r="G137">
        <f>'Interpreted Data'!N115</f>
        <v>-2.2000000000000002</v>
      </c>
      <c r="H137" t="str">
        <f>'Interpreted Data'!P115</f>
        <v/>
      </c>
      <c r="I137" t="str">
        <f t="shared" si="30"/>
        <v xml:space="preserve"> </v>
      </c>
      <c r="J137">
        <f>A137</f>
        <v>32</v>
      </c>
      <c r="K137">
        <f>B137</f>
        <v>33</v>
      </c>
      <c r="L137">
        <f>C137</f>
        <v>14.1</v>
      </c>
      <c r="M137" t="str">
        <f>D137</f>
        <v>182:00</v>
      </c>
      <c r="N137" t="str">
        <f>E137</f>
        <v>-</v>
      </c>
      <c r="O137" t="str">
        <f t="shared" si="29"/>
        <v>-9:00</v>
      </c>
      <c r="P137" t="str">
        <f>H137</f>
        <v/>
      </c>
    </row>
    <row r="138" spans="1:16" x14ac:dyDescent="0.25">
      <c r="J138" t="str">
        <f>$J$2</f>
        <v>data diving from to tape compass backcompass depthchange ignoreall</v>
      </c>
    </row>
    <row r="139" spans="1:16" x14ac:dyDescent="0.25">
      <c r="A139">
        <f>'Raw Data'!A116</f>
        <v>33</v>
      </c>
      <c r="B139">
        <f>'Raw Data'!B116</f>
        <v>34</v>
      </c>
      <c r="C139">
        <f>'Raw Data'!J116</f>
        <v>17</v>
      </c>
      <c r="D139" t="str">
        <f>'Interpreted Data'!G116</f>
        <v>-</v>
      </c>
      <c r="E139" t="str">
        <f>'Interpreted Data'!H116</f>
        <v>339:00</v>
      </c>
      <c r="F139" t="str">
        <f>SUBSTITUTE('Raw Data'!K116," ",":",1)</f>
        <v>rise:1 foot</v>
      </c>
      <c r="G139">
        <f>'Interpreted Data'!N116</f>
        <v>1</v>
      </c>
      <c r="H139" t="str">
        <f>'Interpreted Data'!P116</f>
        <v/>
      </c>
      <c r="I139" t="str">
        <f t="shared" si="30"/>
        <v xml:space="preserve"> </v>
      </c>
      <c r="J139">
        <f>A139</f>
        <v>33</v>
      </c>
      <c r="K139">
        <f>B139</f>
        <v>34</v>
      </c>
      <c r="L139">
        <f>C139</f>
        <v>17</v>
      </c>
      <c r="M139" t="str">
        <f>D139</f>
        <v>-</v>
      </c>
      <c r="N139" t="str">
        <f>E139</f>
        <v>339:00</v>
      </c>
      <c r="O139">
        <f>G139</f>
        <v>1</v>
      </c>
      <c r="P139" t="str">
        <f>H139</f>
        <v/>
      </c>
    </row>
    <row r="140" spans="1:16" x14ac:dyDescent="0.25">
      <c r="J140" t="str">
        <f>$J$1</f>
        <v>data normal from to tape compass backcompass clino ignoreall</v>
      </c>
    </row>
    <row r="141" spans="1:16" x14ac:dyDescent="0.25">
      <c r="A141">
        <f>'Raw Data'!A117</f>
        <v>34</v>
      </c>
      <c r="B141">
        <f>'Raw Data'!B117</f>
        <v>35</v>
      </c>
      <c r="C141">
        <f>'Raw Data'!J117</f>
        <v>13.9</v>
      </c>
      <c r="D141" t="str">
        <f>'Interpreted Data'!G117</f>
        <v>-</v>
      </c>
      <c r="E141" t="str">
        <f>'Interpreted Data'!H117</f>
        <v>341:00</v>
      </c>
      <c r="F141" t="str">
        <f>SUBSTITUTE('Raw Data'!K117," ",":",1)</f>
        <v>-12:30</v>
      </c>
      <c r="G141">
        <f>'Interpreted Data'!N117</f>
        <v>-3</v>
      </c>
      <c r="H141" t="str">
        <f>'Interpreted Data'!P117</f>
        <v>35 = A on p.25 = Big rock by D on p.46 (Top of)</v>
      </c>
      <c r="I141" t="str">
        <f t="shared" si="30"/>
        <v xml:space="preserve"> </v>
      </c>
      <c r="J141">
        <f>A141</f>
        <v>34</v>
      </c>
      <c r="K141">
        <f>B141</f>
        <v>35</v>
      </c>
      <c r="L141">
        <f>C141</f>
        <v>13.9</v>
      </c>
      <c r="M141" t="str">
        <f>D141</f>
        <v>-</v>
      </c>
      <c r="N141" t="str">
        <f>E141</f>
        <v>341:00</v>
      </c>
      <c r="O141" t="str">
        <f t="shared" si="29"/>
        <v>-12:30</v>
      </c>
      <c r="P141" t="str">
        <f>H141</f>
        <v>35 = A on p.25 = Big rock by D on p.46 (Top of)</v>
      </c>
    </row>
    <row r="142" spans="1:16" x14ac:dyDescent="0.25">
      <c r="A142">
        <f>'Raw Data'!A118</f>
        <v>35</v>
      </c>
      <c r="B142">
        <f>'Raw Data'!B118</f>
        <v>0</v>
      </c>
      <c r="C142">
        <f>'Raw Data'!J118</f>
        <v>0</v>
      </c>
      <c r="D142" t="str">
        <f>'Interpreted Data'!G118</f>
        <v/>
      </c>
      <c r="E142" t="str">
        <f>'Interpreted Data'!H118</f>
        <v/>
      </c>
      <c r="F142" t="str">
        <f>SUBSTITUTE('Raw Data'!K118," ",":",1)</f>
        <v/>
      </c>
      <c r="G142" t="str">
        <f>'Interpreted Data'!N118</f>
        <v/>
      </c>
      <c r="H142" t="str">
        <f>'Interpreted Data'!P118</f>
        <v>Total = 2,642'</v>
      </c>
      <c r="I142" t="str">
        <f t="shared" si="30"/>
        <v xml:space="preserve"> </v>
      </c>
      <c r="J142" t="s">
        <v>79</v>
      </c>
      <c r="K142">
        <f>A142</f>
        <v>35</v>
      </c>
      <c r="M142" t="str">
        <f>D142</f>
        <v/>
      </c>
      <c r="N142" t="str">
        <f>E142</f>
        <v/>
      </c>
      <c r="O142" t="str">
        <f t="shared" si="29"/>
        <v/>
      </c>
      <c r="P142" t="str">
        <f>H142</f>
        <v>Total = 2,642'</v>
      </c>
    </row>
    <row r="143" spans="1:16" x14ac:dyDescent="0.25">
      <c r="A143">
        <f>'Raw Data'!A119</f>
        <v>35</v>
      </c>
      <c r="B143" t="str">
        <f>'Raw Data'!B119</f>
        <v>e</v>
      </c>
      <c r="C143">
        <f>'Raw Data'!J119</f>
        <v>18</v>
      </c>
      <c r="D143">
        <f>'Interpreted Data'!G119</f>
        <v>234</v>
      </c>
      <c r="E143" t="str">
        <f>'Interpreted Data'!H119</f>
        <v>-</v>
      </c>
      <c r="F143" t="str">
        <f>SUBSTITUTE('Raw Data'!K119," ",":",1)</f>
        <v>45</v>
      </c>
      <c r="G143">
        <f>'Interpreted Data'!N119</f>
        <v>12.7</v>
      </c>
      <c r="H143" t="str">
        <f>'Interpreted Data'!P119</f>
        <v>(e) is where passage rejoins streamway. Stn 35 (p.52)-(e) is F.S. 234 (TRUE), Dist 18', Clino +45 (deg), HD 12.7, VD +12.7</v>
      </c>
      <c r="I143" t="str">
        <f t="shared" si="30"/>
        <v xml:space="preserve"> </v>
      </c>
      <c r="J143">
        <f>A143</f>
        <v>35</v>
      </c>
      <c r="K143" t="str">
        <f>CONCATENATE(B143,"2")</f>
        <v>e2</v>
      </c>
      <c r="L143">
        <f>C143</f>
        <v>18</v>
      </c>
      <c r="M143">
        <f>D143</f>
        <v>234</v>
      </c>
      <c r="N143" t="str">
        <f>E143</f>
        <v>-</v>
      </c>
      <c r="O143" t="str">
        <f t="shared" si="29"/>
        <v>45</v>
      </c>
      <c r="P143" t="str">
        <f>H143</f>
        <v>(e) is where passage rejoins streamway. Stn 35 (p.52)-(e) is F.S. 234 (TRUE), Dist 18', Clino +45 (deg), HD 12.7, VD +12.7</v>
      </c>
    </row>
    <row r="144" spans="1:16" x14ac:dyDescent="0.25">
      <c r="I144" t="str">
        <f t="shared" si="30"/>
        <v xml:space="preserve"> 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Interpreted Data</vt:lpstr>
      <vt:lpstr>Survex Formatted</vt:lpstr>
      <vt:lpstr>Therion Formatted</vt:lpstr>
    </vt:vector>
  </TitlesOfParts>
  <Company>Accelrys Software,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Fretwell</dc:creator>
  <cp:lastModifiedBy>Paul Fretwell</cp:lastModifiedBy>
  <dcterms:created xsi:type="dcterms:W3CDTF">2012-06-12T12:05:34Z</dcterms:created>
  <dcterms:modified xsi:type="dcterms:W3CDTF">2012-06-20T20:21:20Z</dcterms:modified>
</cp:coreProperties>
</file>