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525" windowWidth="22995" windowHeight="9090" activeTab="1"/>
  </bookViews>
  <sheets>
    <sheet name="Overview" sheetId="5" r:id="rId1"/>
    <sheet name="Raw Data" sheetId="1" r:id="rId2"/>
    <sheet name="Interpreted Data" sheetId="2" r:id="rId3"/>
    <sheet name="Survex Formatted" sheetId="3" r:id="rId4"/>
    <sheet name="Therion Formatted" sheetId="4" r:id="rId5"/>
    <sheet name="Mag to Grid Conversion" sheetId="6" r:id="rId6"/>
  </sheets>
  <calcPr calcId="145621"/>
</workbook>
</file>

<file path=xl/calcChain.xml><?xml version="1.0" encoding="utf-8"?>
<calcChain xmlns="http://schemas.openxmlformats.org/spreadsheetml/2006/main">
  <c r="K469" i="1" l="1"/>
  <c r="K464" i="1"/>
  <c r="H473" i="1"/>
  <c r="H471" i="1"/>
  <c r="H469" i="1"/>
  <c r="H467" i="1"/>
  <c r="H465" i="1"/>
  <c r="H463" i="1"/>
  <c r="G472" i="1"/>
  <c r="G470" i="1"/>
  <c r="G468" i="1"/>
  <c r="G466" i="1"/>
  <c r="G464" i="1"/>
  <c r="G462" i="1"/>
  <c r="E471" i="1"/>
  <c r="E470" i="1"/>
  <c r="K455" i="1"/>
  <c r="K454" i="1"/>
  <c r="K451" i="1"/>
  <c r="H459" i="1"/>
  <c r="H458" i="1"/>
  <c r="G457" i="1"/>
  <c r="H456" i="1"/>
  <c r="G456" i="1"/>
  <c r="G455" i="1"/>
  <c r="H454" i="1"/>
  <c r="G453" i="1"/>
  <c r="H452" i="1"/>
  <c r="G451" i="1"/>
  <c r="F459" i="1"/>
  <c r="E459" i="1"/>
  <c r="K448" i="1"/>
  <c r="K447" i="1"/>
  <c r="H448" i="1"/>
  <c r="G447" i="1"/>
  <c r="H446" i="1"/>
  <c r="G445" i="1"/>
  <c r="F446" i="1"/>
  <c r="E448" i="1"/>
  <c r="C40" i="6" l="1"/>
  <c r="C21" i="6"/>
  <c r="C20" i="6"/>
  <c r="C19" i="6"/>
  <c r="C18" i="6"/>
  <c r="C17" i="6"/>
  <c r="C16" i="6"/>
  <c r="C15" i="6"/>
  <c r="C14" i="6"/>
  <c r="C13" i="6"/>
  <c r="F472" i="4"/>
  <c r="O450" i="4"/>
  <c r="N450" i="4"/>
  <c r="M450" i="4"/>
  <c r="L450" i="4"/>
  <c r="K450" i="4"/>
  <c r="J450" i="4"/>
  <c r="J451" i="4"/>
  <c r="J449" i="4"/>
  <c r="J446" i="4" l="1"/>
  <c r="C445" i="4"/>
  <c r="L445" i="4" s="1"/>
  <c r="M460" i="4"/>
  <c r="K490" i="4"/>
  <c r="J501" i="4"/>
  <c r="K501" i="4"/>
  <c r="L501" i="4"/>
  <c r="M501" i="4"/>
  <c r="N501" i="4"/>
  <c r="O501" i="4"/>
  <c r="P501" i="4"/>
  <c r="J502" i="4"/>
  <c r="K502" i="4"/>
  <c r="L502" i="4"/>
  <c r="M502" i="4"/>
  <c r="N502" i="4"/>
  <c r="O502" i="4"/>
  <c r="P502" i="4"/>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6" i="3"/>
  <c r="F7" i="3"/>
  <c r="F8" i="3"/>
  <c r="F9" i="3"/>
  <c r="F10" i="3"/>
  <c r="F11" i="3"/>
  <c r="F12" i="3"/>
  <c r="F13" i="3"/>
  <c r="F5" i="3"/>
  <c r="A391" i="3"/>
  <c r="A439" i="3"/>
  <c r="A430" i="3"/>
  <c r="Z431" i="2"/>
  <c r="Z415" i="2"/>
  <c r="U441" i="2"/>
  <c r="U438" i="2"/>
  <c r="U437" i="2"/>
  <c r="U436" i="2"/>
  <c r="U435" i="2"/>
  <c r="U434" i="2"/>
  <c r="U433" i="2"/>
  <c r="U432" i="2"/>
  <c r="U431" i="2"/>
  <c r="U428" i="2"/>
  <c r="U427" i="2"/>
  <c r="U426" i="2"/>
  <c r="U425" i="2"/>
  <c r="U424" i="2"/>
  <c r="U423" i="2"/>
  <c r="U422" i="2"/>
  <c r="U421" i="2"/>
  <c r="U420" i="2"/>
  <c r="U419" i="2"/>
  <c r="U418" i="2"/>
  <c r="U417" i="2"/>
  <c r="U416" i="2"/>
  <c r="U415" i="2"/>
  <c r="U6" i="2"/>
  <c r="U5" i="2"/>
  <c r="U9" i="2"/>
  <c r="U8" i="2"/>
  <c r="U19" i="2"/>
  <c r="U18" i="2"/>
  <c r="U17" i="2"/>
  <c r="U16" i="2"/>
  <c r="U15" i="2"/>
  <c r="U14" i="2"/>
  <c r="U13" i="2"/>
  <c r="U12" i="2"/>
  <c r="U23" i="2"/>
  <c r="U27" i="2"/>
  <c r="U30" i="2"/>
  <c r="U39" i="2"/>
  <c r="U38" i="2"/>
  <c r="U37" i="2"/>
  <c r="U43" i="2"/>
  <c r="U42" i="2"/>
  <c r="U41" i="2"/>
  <c r="U45" i="2"/>
  <c r="U47" i="2"/>
  <c r="U60" i="2"/>
  <c r="U59" i="2"/>
  <c r="U58" i="2"/>
  <c r="U57" i="2"/>
  <c r="U56" i="2"/>
  <c r="U55" i="2"/>
  <c r="U54" i="2"/>
  <c r="U53" i="2"/>
  <c r="U52" i="2"/>
  <c r="U51" i="2"/>
  <c r="U50" i="2"/>
  <c r="U49" i="2"/>
  <c r="U63" i="2"/>
  <c r="U62" i="2"/>
  <c r="U67" i="2"/>
  <c r="U66" i="2"/>
  <c r="U65" i="2"/>
  <c r="U82" i="2"/>
  <c r="U81" i="2"/>
  <c r="U80" i="2"/>
  <c r="U79" i="2"/>
  <c r="U78" i="2"/>
  <c r="U77" i="2"/>
  <c r="U76" i="2"/>
  <c r="U75" i="2"/>
  <c r="U74" i="2"/>
  <c r="U73" i="2"/>
  <c r="U72" i="2"/>
  <c r="U71" i="2"/>
  <c r="U97" i="2"/>
  <c r="U96" i="2"/>
  <c r="U95" i="2"/>
  <c r="U94" i="2"/>
  <c r="U93" i="2"/>
  <c r="U92" i="2"/>
  <c r="U91" i="2"/>
  <c r="U90" i="2"/>
  <c r="U89" i="2"/>
  <c r="U88" i="2"/>
  <c r="U87" i="2"/>
  <c r="U86" i="2"/>
  <c r="U113" i="2"/>
  <c r="U112" i="2"/>
  <c r="U111" i="2"/>
  <c r="U110" i="2"/>
  <c r="U109" i="2"/>
  <c r="U108" i="2"/>
  <c r="U107" i="2"/>
  <c r="U106" i="2"/>
  <c r="U105" i="2"/>
  <c r="U104" i="2"/>
  <c r="U103" i="2"/>
  <c r="U102" i="2"/>
  <c r="U101" i="2"/>
  <c r="U115" i="2"/>
  <c r="U117" i="2"/>
  <c r="U120" i="2"/>
  <c r="U119" i="2"/>
  <c r="U140" i="2"/>
  <c r="U139" i="2"/>
  <c r="U138" i="2"/>
  <c r="U137" i="2"/>
  <c r="U136" i="2"/>
  <c r="U135" i="2"/>
  <c r="U134" i="2"/>
  <c r="U133" i="2"/>
  <c r="U132" i="2"/>
  <c r="U131" i="2"/>
  <c r="U130" i="2"/>
  <c r="U129" i="2"/>
  <c r="U128" i="2"/>
  <c r="U127" i="2"/>
  <c r="U126" i="2"/>
  <c r="U125" i="2"/>
  <c r="U124" i="2"/>
  <c r="U123" i="2"/>
  <c r="U161" i="2"/>
  <c r="U160" i="2"/>
  <c r="U159" i="2"/>
  <c r="U158" i="2"/>
  <c r="U157" i="2"/>
  <c r="U156" i="2"/>
  <c r="U155" i="2"/>
  <c r="U154" i="2"/>
  <c r="U153" i="2"/>
  <c r="U152" i="2"/>
  <c r="U151" i="2"/>
  <c r="U150" i="2"/>
  <c r="U149" i="2"/>
  <c r="U148" i="2"/>
  <c r="U147" i="2"/>
  <c r="U146" i="2"/>
  <c r="U145" i="2"/>
  <c r="U182" i="2"/>
  <c r="U181" i="2"/>
  <c r="U180" i="2"/>
  <c r="U179" i="2"/>
  <c r="U178" i="2"/>
  <c r="U177" i="2"/>
  <c r="U176" i="2"/>
  <c r="U175" i="2"/>
  <c r="U174" i="2"/>
  <c r="U173" i="2"/>
  <c r="U172" i="2"/>
  <c r="U171" i="2"/>
  <c r="U170" i="2"/>
  <c r="U169" i="2"/>
  <c r="U168" i="2"/>
  <c r="U167" i="2"/>
  <c r="U166" i="2"/>
  <c r="U165" i="2"/>
  <c r="U185" i="2"/>
  <c r="U184" i="2"/>
  <c r="U209" i="2"/>
  <c r="U208" i="2"/>
  <c r="U207" i="2"/>
  <c r="U206" i="2"/>
  <c r="U205" i="2"/>
  <c r="U204" i="2"/>
  <c r="U203" i="2"/>
  <c r="U202" i="2"/>
  <c r="U201" i="2"/>
  <c r="U200" i="2"/>
  <c r="U199" i="2"/>
  <c r="U198" i="2"/>
  <c r="U197" i="2"/>
  <c r="U196" i="2"/>
  <c r="U195" i="2"/>
  <c r="U194" i="2"/>
  <c r="U193" i="2"/>
  <c r="U192" i="2"/>
  <c r="U191" i="2"/>
  <c r="U190" i="2"/>
  <c r="U226" i="2"/>
  <c r="U225" i="2"/>
  <c r="U224" i="2"/>
  <c r="U223" i="2"/>
  <c r="U222" i="2"/>
  <c r="U221" i="2"/>
  <c r="U220" i="2"/>
  <c r="U219" i="2"/>
  <c r="U218" i="2"/>
  <c r="U217" i="2"/>
  <c r="U216" i="2"/>
  <c r="U215" i="2"/>
  <c r="U214" i="2"/>
  <c r="U213" i="2"/>
  <c r="U212" i="2"/>
  <c r="U211" i="2"/>
  <c r="U228" i="2"/>
  <c r="U238" i="2"/>
  <c r="U237" i="2"/>
  <c r="U236" i="2"/>
  <c r="U235" i="2"/>
  <c r="U234" i="2"/>
  <c r="U233" i="2"/>
  <c r="U246" i="2"/>
  <c r="U245" i="2"/>
  <c r="U244" i="2"/>
  <c r="U243" i="2"/>
  <c r="U242" i="2"/>
  <c r="U241" i="2"/>
  <c r="U240" i="2"/>
  <c r="U250" i="2"/>
  <c r="U249" i="2"/>
  <c r="U253" i="2"/>
  <c r="U252" i="2"/>
  <c r="U271" i="2"/>
  <c r="U270" i="2"/>
  <c r="U269" i="2"/>
  <c r="U268" i="2"/>
  <c r="U267" i="2"/>
  <c r="U266" i="2"/>
  <c r="U265" i="2"/>
  <c r="U264" i="2"/>
  <c r="U263" i="2"/>
  <c r="U262" i="2"/>
  <c r="U261" i="2"/>
  <c r="U260" i="2"/>
  <c r="U259" i="2"/>
  <c r="U258" i="2"/>
  <c r="U257" i="2"/>
  <c r="U256" i="2"/>
  <c r="U255" i="2"/>
  <c r="U276" i="2"/>
  <c r="U275" i="2"/>
  <c r="U274" i="2"/>
  <c r="U273" i="2"/>
  <c r="U303" i="2"/>
  <c r="U302" i="2"/>
  <c r="U301" i="2"/>
  <c r="U300" i="2"/>
  <c r="U299" i="2"/>
  <c r="U298" i="2"/>
  <c r="U297" i="2"/>
  <c r="U296" i="2"/>
  <c r="U295" i="2"/>
  <c r="U294" i="2"/>
  <c r="U293" i="2"/>
  <c r="U292" i="2"/>
  <c r="U291" i="2"/>
  <c r="U290" i="2"/>
  <c r="U289" i="2"/>
  <c r="U288" i="2"/>
  <c r="U287" i="2"/>
  <c r="U286" i="2"/>
  <c r="U285" i="2"/>
  <c r="U306" i="2"/>
  <c r="U305" i="2"/>
  <c r="U317" i="2"/>
  <c r="U316" i="2"/>
  <c r="U315" i="2"/>
  <c r="U314" i="2"/>
  <c r="U313" i="2"/>
  <c r="U325" i="2"/>
  <c r="U324" i="2"/>
  <c r="U323" i="2"/>
  <c r="U322" i="2"/>
  <c r="U321" i="2"/>
  <c r="U332" i="2"/>
  <c r="U331" i="2"/>
  <c r="U330" i="2"/>
  <c r="U329" i="2"/>
  <c r="U328" i="2"/>
  <c r="U327" i="2"/>
  <c r="U335" i="2"/>
  <c r="U365" i="2"/>
  <c r="U364" i="2"/>
  <c r="U363" i="2"/>
  <c r="U362" i="2"/>
  <c r="U361" i="2"/>
  <c r="U360" i="2"/>
  <c r="U359" i="2"/>
  <c r="U358" i="2"/>
  <c r="U357" i="2"/>
  <c r="U356" i="2"/>
  <c r="U355" i="2"/>
  <c r="U354" i="2"/>
  <c r="U353" i="2"/>
  <c r="U352" i="2"/>
  <c r="U351" i="2"/>
  <c r="U350" i="2"/>
  <c r="U349" i="2"/>
  <c r="U348" i="2"/>
  <c r="U347" i="2"/>
  <c r="U346" i="2"/>
  <c r="U345" i="2"/>
  <c r="U344" i="2"/>
  <c r="U343" i="2"/>
  <c r="U342" i="2"/>
  <c r="U341" i="2"/>
  <c r="U340" i="2"/>
  <c r="U339" i="2"/>
  <c r="U338" i="2"/>
  <c r="U337" i="2"/>
  <c r="U381" i="2"/>
  <c r="U380" i="2"/>
  <c r="U379" i="2"/>
  <c r="U378" i="2"/>
  <c r="U377" i="2"/>
  <c r="U376" i="2"/>
  <c r="U375" i="2"/>
  <c r="U374" i="2"/>
  <c r="U373" i="2"/>
  <c r="U372" i="2"/>
  <c r="U371" i="2"/>
  <c r="U370" i="2"/>
  <c r="U369" i="2"/>
  <c r="U368" i="2"/>
  <c r="U367" i="2"/>
  <c r="U387" i="2"/>
  <c r="U386" i="2"/>
  <c r="U385" i="2"/>
  <c r="U384" i="2"/>
  <c r="U383" i="2"/>
  <c r="U392" i="2"/>
  <c r="U391" i="2"/>
  <c r="U409" i="2"/>
  <c r="U408" i="2"/>
  <c r="U407" i="2"/>
  <c r="W407" i="2" s="1"/>
  <c r="U406" i="2"/>
  <c r="W406" i="2" s="1"/>
  <c r="U405" i="2"/>
  <c r="U404" i="2"/>
  <c r="U403" i="2"/>
  <c r="X403" i="2" s="1"/>
  <c r="U402" i="2"/>
  <c r="W402" i="2" s="1"/>
  <c r="U401" i="2"/>
  <c r="U400" i="2"/>
  <c r="U399" i="2"/>
  <c r="X399" i="2" s="1"/>
  <c r="U398" i="2"/>
  <c r="W398" i="2" s="1"/>
  <c r="U397" i="2"/>
  <c r="U396" i="2"/>
  <c r="U395" i="2"/>
  <c r="X395" i="2" s="1"/>
  <c r="U394" i="2"/>
  <c r="W394" i="2" s="1"/>
  <c r="U411" i="2"/>
  <c r="U412" i="2"/>
  <c r="U413" i="2"/>
  <c r="U414" i="2"/>
  <c r="A494" i="4"/>
  <c r="J494" i="4" s="1"/>
  <c r="B494" i="4"/>
  <c r="K494" i="4" s="1"/>
  <c r="C494" i="4"/>
  <c r="L494" i="4" s="1"/>
  <c r="D494" i="4"/>
  <c r="M494" i="4" s="1"/>
  <c r="E494" i="4"/>
  <c r="F494" i="4"/>
  <c r="G494" i="4"/>
  <c r="H494" i="4"/>
  <c r="P494" i="4" s="1"/>
  <c r="A495" i="4"/>
  <c r="J495" i="4" s="1"/>
  <c r="B495" i="4"/>
  <c r="K495" i="4" s="1"/>
  <c r="C495" i="4"/>
  <c r="L495" i="4" s="1"/>
  <c r="D495" i="4"/>
  <c r="M495" i="4" s="1"/>
  <c r="E495" i="4"/>
  <c r="N495" i="4" s="1"/>
  <c r="F495" i="4"/>
  <c r="G495" i="4"/>
  <c r="H495" i="4"/>
  <c r="P495" i="4" s="1"/>
  <c r="A496" i="4"/>
  <c r="J496" i="4" s="1"/>
  <c r="B496" i="4"/>
  <c r="K496" i="4" s="1"/>
  <c r="C496" i="4"/>
  <c r="L496" i="4" s="1"/>
  <c r="D496" i="4"/>
  <c r="M496" i="4" s="1"/>
  <c r="E496" i="4"/>
  <c r="N496" i="4" s="1"/>
  <c r="F496" i="4"/>
  <c r="G496" i="4"/>
  <c r="H496" i="4"/>
  <c r="P496" i="4" s="1"/>
  <c r="A497" i="4"/>
  <c r="J497" i="4" s="1"/>
  <c r="B497" i="4"/>
  <c r="C497" i="4"/>
  <c r="D497" i="4"/>
  <c r="E497" i="4"/>
  <c r="F497" i="4"/>
  <c r="G497" i="4"/>
  <c r="H497" i="4"/>
  <c r="P497" i="4" s="1"/>
  <c r="A499" i="4"/>
  <c r="J499" i="4" s="1"/>
  <c r="B499" i="4"/>
  <c r="K499" i="4" s="1"/>
  <c r="C499" i="4"/>
  <c r="L499" i="4" s="1"/>
  <c r="D499" i="4"/>
  <c r="O499" i="4" s="1"/>
  <c r="E499" i="4"/>
  <c r="N499" i="4" s="1"/>
  <c r="F499" i="4"/>
  <c r="G499" i="4"/>
  <c r="H499" i="4"/>
  <c r="P499" i="4" s="1"/>
  <c r="A500" i="4"/>
  <c r="J500" i="4" s="1"/>
  <c r="B500" i="4"/>
  <c r="K500" i="4" s="1"/>
  <c r="C500" i="4"/>
  <c r="L500" i="4" s="1"/>
  <c r="D500" i="4"/>
  <c r="O500" i="4" s="1"/>
  <c r="E500" i="4"/>
  <c r="N500" i="4" s="1"/>
  <c r="F500" i="4"/>
  <c r="G500" i="4"/>
  <c r="H500" i="4"/>
  <c r="P500" i="4" s="1"/>
  <c r="A475" i="4"/>
  <c r="J475" i="4" s="1"/>
  <c r="B475" i="4"/>
  <c r="K475" i="4" s="1"/>
  <c r="C475" i="4"/>
  <c r="L475" i="4" s="1"/>
  <c r="D475" i="4"/>
  <c r="M475" i="4" s="1"/>
  <c r="E475" i="4"/>
  <c r="N475" i="4" s="1"/>
  <c r="F475" i="4"/>
  <c r="G475" i="4"/>
  <c r="H475" i="4"/>
  <c r="P475" i="4" s="1"/>
  <c r="A476" i="4"/>
  <c r="J476" i="4" s="1"/>
  <c r="B476" i="4"/>
  <c r="K476" i="4" s="1"/>
  <c r="C476" i="4"/>
  <c r="L476" i="4" s="1"/>
  <c r="D476" i="4"/>
  <c r="M476" i="4" s="1"/>
  <c r="E476" i="4"/>
  <c r="N476" i="4" s="1"/>
  <c r="F476" i="4"/>
  <c r="G476" i="4"/>
  <c r="H476" i="4"/>
  <c r="P476" i="4" s="1"/>
  <c r="A477" i="4"/>
  <c r="J477" i="4" s="1"/>
  <c r="B477" i="4"/>
  <c r="K477" i="4" s="1"/>
  <c r="C477" i="4"/>
  <c r="L477" i="4" s="1"/>
  <c r="D477" i="4"/>
  <c r="M477" i="4" s="1"/>
  <c r="E477" i="4"/>
  <c r="N477" i="4" s="1"/>
  <c r="F477" i="4"/>
  <c r="G477" i="4"/>
  <c r="H477" i="4"/>
  <c r="P477" i="4" s="1"/>
  <c r="A478" i="4"/>
  <c r="J478" i="4" s="1"/>
  <c r="B478" i="4"/>
  <c r="K478" i="4" s="1"/>
  <c r="C478" i="4"/>
  <c r="L478" i="4" s="1"/>
  <c r="D478" i="4"/>
  <c r="M478" i="4" s="1"/>
  <c r="E478" i="4"/>
  <c r="F478" i="4"/>
  <c r="G478" i="4"/>
  <c r="H478" i="4"/>
  <c r="P478" i="4" s="1"/>
  <c r="A479" i="4"/>
  <c r="J479" i="4" s="1"/>
  <c r="B479" i="4"/>
  <c r="K479" i="4" s="1"/>
  <c r="C479" i="4"/>
  <c r="L479" i="4" s="1"/>
  <c r="D479" i="4"/>
  <c r="M479" i="4" s="1"/>
  <c r="E479" i="4"/>
  <c r="N479" i="4" s="1"/>
  <c r="F479" i="4"/>
  <c r="G479" i="4"/>
  <c r="H479" i="4"/>
  <c r="P479" i="4" s="1"/>
  <c r="A480" i="4"/>
  <c r="J480" i="4" s="1"/>
  <c r="B480" i="4"/>
  <c r="K480" i="4" s="1"/>
  <c r="C480" i="4"/>
  <c r="L480" i="4" s="1"/>
  <c r="D480" i="4"/>
  <c r="M480" i="4" s="1"/>
  <c r="E480" i="4"/>
  <c r="N480" i="4" s="1"/>
  <c r="F480" i="4"/>
  <c r="G480" i="4"/>
  <c r="H480" i="4"/>
  <c r="P480" i="4" s="1"/>
  <c r="A481" i="4"/>
  <c r="J481" i="4" s="1"/>
  <c r="B481" i="4"/>
  <c r="K481" i="4" s="1"/>
  <c r="C481" i="4"/>
  <c r="L481" i="4" s="1"/>
  <c r="D481" i="4"/>
  <c r="E481" i="4"/>
  <c r="N481" i="4" s="1"/>
  <c r="F481" i="4"/>
  <c r="G481" i="4"/>
  <c r="H481" i="4"/>
  <c r="P481" i="4" s="1"/>
  <c r="A482" i="4"/>
  <c r="J482" i="4" s="1"/>
  <c r="B482" i="4"/>
  <c r="K482" i="4" s="1"/>
  <c r="C482" i="4"/>
  <c r="L482" i="4" s="1"/>
  <c r="D482" i="4"/>
  <c r="M482" i="4" s="1"/>
  <c r="E482" i="4"/>
  <c r="F482" i="4"/>
  <c r="G482" i="4"/>
  <c r="H482" i="4"/>
  <c r="P482" i="4" s="1"/>
  <c r="A483" i="4"/>
  <c r="J483" i="4" s="1"/>
  <c r="B483" i="4"/>
  <c r="K483" i="4" s="1"/>
  <c r="C483" i="4"/>
  <c r="L483" i="4" s="1"/>
  <c r="D483" i="4"/>
  <c r="M483" i="4" s="1"/>
  <c r="E483" i="4"/>
  <c r="N483" i="4" s="1"/>
  <c r="F483" i="4"/>
  <c r="G483" i="4"/>
  <c r="H483" i="4"/>
  <c r="P483" i="4" s="1"/>
  <c r="A484" i="4"/>
  <c r="J484" i="4" s="1"/>
  <c r="B484" i="4"/>
  <c r="K484" i="4" s="1"/>
  <c r="C484" i="4"/>
  <c r="L484" i="4" s="1"/>
  <c r="D484" i="4"/>
  <c r="M484" i="4" s="1"/>
  <c r="E484" i="4"/>
  <c r="N484" i="4" s="1"/>
  <c r="F484" i="4"/>
  <c r="G484" i="4"/>
  <c r="H484" i="4"/>
  <c r="P484" i="4" s="1"/>
  <c r="A485" i="4"/>
  <c r="J485" i="4" s="1"/>
  <c r="B485" i="4"/>
  <c r="K485" i="4" s="1"/>
  <c r="C485" i="4"/>
  <c r="L485" i="4" s="1"/>
  <c r="D485" i="4"/>
  <c r="M485" i="4" s="1"/>
  <c r="E485" i="4"/>
  <c r="N485" i="4" s="1"/>
  <c r="F485" i="4"/>
  <c r="G485" i="4"/>
  <c r="H485" i="4"/>
  <c r="P485" i="4" s="1"/>
  <c r="A486" i="4"/>
  <c r="J486" i="4" s="1"/>
  <c r="B486" i="4"/>
  <c r="K486" i="4" s="1"/>
  <c r="C486" i="4"/>
  <c r="L486" i="4" s="1"/>
  <c r="D486" i="4"/>
  <c r="M486" i="4" s="1"/>
  <c r="E486" i="4"/>
  <c r="F486" i="4"/>
  <c r="G486" i="4"/>
  <c r="H486" i="4"/>
  <c r="P486" i="4" s="1"/>
  <c r="A487" i="4"/>
  <c r="B487" i="4"/>
  <c r="C487" i="4"/>
  <c r="D487" i="4"/>
  <c r="E487" i="4"/>
  <c r="F487" i="4"/>
  <c r="G487" i="4"/>
  <c r="H487" i="4"/>
  <c r="P487" i="4" s="1"/>
  <c r="A488" i="4"/>
  <c r="J488" i="4" s="1"/>
  <c r="B488" i="4"/>
  <c r="K488" i="4" s="1"/>
  <c r="C488" i="4"/>
  <c r="D488" i="4"/>
  <c r="E488" i="4"/>
  <c r="F488" i="4"/>
  <c r="G488" i="4"/>
  <c r="H488" i="4"/>
  <c r="P488" i="4" s="1"/>
  <c r="A489" i="4"/>
  <c r="J489" i="4" s="1"/>
  <c r="B489" i="4"/>
  <c r="K489" i="4" s="1"/>
  <c r="C489" i="4"/>
  <c r="L489" i="4" s="1"/>
  <c r="D489" i="4"/>
  <c r="E489" i="4"/>
  <c r="N489" i="4" s="1"/>
  <c r="F489" i="4"/>
  <c r="G489" i="4"/>
  <c r="H489" i="4"/>
  <c r="P489" i="4" s="1"/>
  <c r="A490" i="4"/>
  <c r="J490" i="4" s="1"/>
  <c r="B490" i="4"/>
  <c r="C490" i="4"/>
  <c r="L490" i="4" s="1"/>
  <c r="D490" i="4"/>
  <c r="M490" i="4" s="1"/>
  <c r="E490" i="4"/>
  <c r="F490" i="4"/>
  <c r="G490" i="4"/>
  <c r="H490" i="4"/>
  <c r="P490" i="4" s="1"/>
  <c r="A491" i="4"/>
  <c r="J491" i="4" s="1"/>
  <c r="B491" i="4"/>
  <c r="K491" i="4" s="1"/>
  <c r="C491" i="4"/>
  <c r="L491" i="4" s="1"/>
  <c r="D491" i="4"/>
  <c r="M491" i="4" s="1"/>
  <c r="E491" i="4"/>
  <c r="N491" i="4" s="1"/>
  <c r="F491" i="4"/>
  <c r="G491" i="4"/>
  <c r="H491" i="4"/>
  <c r="P491" i="4" s="1"/>
  <c r="A492" i="4"/>
  <c r="J492" i="4" s="1"/>
  <c r="B492" i="4"/>
  <c r="K492" i="4" s="1"/>
  <c r="C492" i="4"/>
  <c r="L492" i="4" s="1"/>
  <c r="D492" i="4"/>
  <c r="M492" i="4" s="1"/>
  <c r="E492" i="4"/>
  <c r="N492" i="4" s="1"/>
  <c r="F492" i="4"/>
  <c r="G492" i="4"/>
  <c r="H492" i="4"/>
  <c r="P492" i="4" s="1"/>
  <c r="A493" i="4"/>
  <c r="J493" i="4" s="1"/>
  <c r="B493" i="4"/>
  <c r="K493" i="4" s="1"/>
  <c r="C493" i="4"/>
  <c r="L493" i="4" s="1"/>
  <c r="D493" i="4"/>
  <c r="M493" i="4" s="1"/>
  <c r="E493" i="4"/>
  <c r="N493" i="4" s="1"/>
  <c r="F493" i="4"/>
  <c r="G493" i="4"/>
  <c r="H493" i="4"/>
  <c r="P493" i="4" s="1"/>
  <c r="H468" i="4"/>
  <c r="P468" i="4" s="1"/>
  <c r="F468" i="4"/>
  <c r="A459" i="4"/>
  <c r="J459" i="4" s="1"/>
  <c r="B459" i="4"/>
  <c r="K459" i="4" s="1"/>
  <c r="C459" i="4"/>
  <c r="L459" i="4" s="1"/>
  <c r="D459" i="4"/>
  <c r="M459" i="4" s="1"/>
  <c r="E459" i="4"/>
  <c r="N459" i="4" s="1"/>
  <c r="F459" i="4"/>
  <c r="G459" i="4"/>
  <c r="H459" i="4"/>
  <c r="P459" i="4" s="1"/>
  <c r="A460" i="4"/>
  <c r="J460" i="4" s="1"/>
  <c r="B460" i="4"/>
  <c r="K460" i="4" s="1"/>
  <c r="C460" i="4"/>
  <c r="L460" i="4" s="1"/>
  <c r="D460" i="4"/>
  <c r="E460" i="4"/>
  <c r="N460" i="4" s="1"/>
  <c r="F460" i="4"/>
  <c r="G460" i="4"/>
  <c r="H460" i="4"/>
  <c r="P460" i="4" s="1"/>
  <c r="A461" i="4"/>
  <c r="J461" i="4" s="1"/>
  <c r="B461" i="4"/>
  <c r="K461" i="4" s="1"/>
  <c r="C461" i="4"/>
  <c r="L461" i="4" s="1"/>
  <c r="D461" i="4"/>
  <c r="E461" i="4"/>
  <c r="N461" i="4" s="1"/>
  <c r="F461" i="4"/>
  <c r="G461" i="4"/>
  <c r="H461" i="4"/>
  <c r="P461" i="4" s="1"/>
  <c r="A462" i="4"/>
  <c r="J462" i="4" s="1"/>
  <c r="B462" i="4"/>
  <c r="K462" i="4" s="1"/>
  <c r="C462" i="4"/>
  <c r="L462" i="4" s="1"/>
  <c r="D462" i="4"/>
  <c r="M462" i="4" s="1"/>
  <c r="E462" i="4"/>
  <c r="F462" i="4"/>
  <c r="G462" i="4"/>
  <c r="H462" i="4"/>
  <c r="P462" i="4" s="1"/>
  <c r="A463" i="4"/>
  <c r="J463" i="4" s="1"/>
  <c r="B463" i="4"/>
  <c r="K463" i="4" s="1"/>
  <c r="C463" i="4"/>
  <c r="L463" i="4" s="1"/>
  <c r="D463" i="4"/>
  <c r="M463" i="4" s="1"/>
  <c r="E463" i="4"/>
  <c r="N463" i="4" s="1"/>
  <c r="F463" i="4"/>
  <c r="G463" i="4"/>
  <c r="H463" i="4"/>
  <c r="P463" i="4" s="1"/>
  <c r="A464" i="4"/>
  <c r="J464" i="4" s="1"/>
  <c r="B464" i="4"/>
  <c r="K464" i="4" s="1"/>
  <c r="C464" i="4"/>
  <c r="L464" i="4" s="1"/>
  <c r="D464" i="4"/>
  <c r="M464" i="4" s="1"/>
  <c r="E464" i="4"/>
  <c r="N464" i="4" s="1"/>
  <c r="F464" i="4"/>
  <c r="G464" i="4"/>
  <c r="H464" i="4"/>
  <c r="P464" i="4" s="1"/>
  <c r="A465" i="4"/>
  <c r="J465" i="4" s="1"/>
  <c r="B465" i="4"/>
  <c r="K465" i="4" s="1"/>
  <c r="C465" i="4"/>
  <c r="L465" i="4" s="1"/>
  <c r="D465" i="4"/>
  <c r="E465" i="4"/>
  <c r="N465" i="4" s="1"/>
  <c r="F465" i="4"/>
  <c r="G465" i="4"/>
  <c r="H465" i="4"/>
  <c r="P465" i="4" s="1"/>
  <c r="A466" i="4"/>
  <c r="J466" i="4" s="1"/>
  <c r="B466" i="4"/>
  <c r="K466" i="4" s="1"/>
  <c r="C466" i="4"/>
  <c r="L466" i="4" s="1"/>
  <c r="D466" i="4"/>
  <c r="M466" i="4" s="1"/>
  <c r="E466" i="4"/>
  <c r="F466" i="4"/>
  <c r="G466" i="4"/>
  <c r="H466" i="4"/>
  <c r="P466" i="4" s="1"/>
  <c r="A467" i="4"/>
  <c r="J467" i="4" s="1"/>
  <c r="B467" i="4"/>
  <c r="K467" i="4" s="1"/>
  <c r="C467" i="4"/>
  <c r="L467" i="4" s="1"/>
  <c r="D467" i="4"/>
  <c r="M467" i="4" s="1"/>
  <c r="E467" i="4"/>
  <c r="N467" i="4" s="1"/>
  <c r="F467" i="4"/>
  <c r="G467" i="4"/>
  <c r="H467" i="4"/>
  <c r="P467" i="4" s="1"/>
  <c r="A468" i="4"/>
  <c r="J468" i="4" s="1"/>
  <c r="B468" i="4"/>
  <c r="K468" i="4" s="1"/>
  <c r="C468" i="4"/>
  <c r="L468" i="4" s="1"/>
  <c r="D468" i="4"/>
  <c r="M468" i="4" s="1"/>
  <c r="E468" i="4"/>
  <c r="N468" i="4" s="1"/>
  <c r="G468" i="4"/>
  <c r="A469" i="4"/>
  <c r="J469" i="4" s="1"/>
  <c r="B469" i="4"/>
  <c r="K469" i="4" s="1"/>
  <c r="C469" i="4"/>
  <c r="L469" i="4" s="1"/>
  <c r="D469" i="4"/>
  <c r="M469" i="4" s="1"/>
  <c r="E469" i="4"/>
  <c r="N469" i="4" s="1"/>
  <c r="F469" i="4"/>
  <c r="G469" i="4"/>
  <c r="H469" i="4"/>
  <c r="P469" i="4" s="1"/>
  <c r="A470" i="4"/>
  <c r="J470" i="4" s="1"/>
  <c r="B470" i="4"/>
  <c r="K470" i="4" s="1"/>
  <c r="C470" i="4"/>
  <c r="L470" i="4" s="1"/>
  <c r="D470" i="4"/>
  <c r="M470" i="4" s="1"/>
  <c r="E470" i="4"/>
  <c r="F470" i="4"/>
  <c r="G470" i="4"/>
  <c r="H470" i="4"/>
  <c r="P470" i="4" s="1"/>
  <c r="A471" i="4"/>
  <c r="J471" i="4" s="1"/>
  <c r="B471" i="4"/>
  <c r="K471" i="4" s="1"/>
  <c r="C471" i="4"/>
  <c r="L471" i="4" s="1"/>
  <c r="D471" i="4"/>
  <c r="M471" i="4" s="1"/>
  <c r="E471" i="4"/>
  <c r="N471" i="4" s="1"/>
  <c r="F471" i="4"/>
  <c r="G471" i="4"/>
  <c r="H471" i="4"/>
  <c r="P471" i="4" s="1"/>
  <c r="A472" i="4"/>
  <c r="J472" i="4" s="1"/>
  <c r="B472" i="4"/>
  <c r="K472" i="4" s="1"/>
  <c r="C472" i="4"/>
  <c r="L472" i="4" s="1"/>
  <c r="D472" i="4"/>
  <c r="M472" i="4" s="1"/>
  <c r="E472" i="4"/>
  <c r="N472" i="4" s="1"/>
  <c r="G472" i="4"/>
  <c r="H472" i="4"/>
  <c r="P472" i="4" s="1"/>
  <c r="A473" i="4"/>
  <c r="J473" i="4" s="1"/>
  <c r="B473" i="4"/>
  <c r="K473" i="4" s="1"/>
  <c r="C473" i="4"/>
  <c r="L473" i="4" s="1"/>
  <c r="D473" i="4"/>
  <c r="E473" i="4"/>
  <c r="N473" i="4" s="1"/>
  <c r="F473" i="4"/>
  <c r="G473" i="4"/>
  <c r="H473" i="4"/>
  <c r="P473" i="4" s="1"/>
  <c r="A474" i="4"/>
  <c r="J474" i="4" s="1"/>
  <c r="B474" i="4"/>
  <c r="K474" i="4" s="1"/>
  <c r="C474" i="4"/>
  <c r="L474" i="4" s="1"/>
  <c r="D474" i="4"/>
  <c r="M474" i="4" s="1"/>
  <c r="E474" i="4"/>
  <c r="F474" i="4"/>
  <c r="G474" i="4"/>
  <c r="H474" i="4"/>
  <c r="P474" i="4" s="1"/>
  <c r="A402" i="3"/>
  <c r="B402" i="3"/>
  <c r="C402" i="3"/>
  <c r="D402" i="3"/>
  <c r="E402" i="3" s="1"/>
  <c r="A403" i="3"/>
  <c r="B403" i="3"/>
  <c r="C403" i="3"/>
  <c r="D403" i="3"/>
  <c r="E403" i="3" s="1"/>
  <c r="A404" i="3"/>
  <c r="B404" i="3"/>
  <c r="C404" i="3"/>
  <c r="D404" i="3"/>
  <c r="E404" i="3" s="1"/>
  <c r="A405" i="3"/>
  <c r="B405" i="3"/>
  <c r="C405" i="3"/>
  <c r="D405" i="3"/>
  <c r="E405" i="3"/>
  <c r="A406" i="3"/>
  <c r="B406" i="3"/>
  <c r="C406" i="3"/>
  <c r="D406" i="3"/>
  <c r="A407" i="3"/>
  <c r="B407" i="3"/>
  <c r="C407" i="3"/>
  <c r="D407" i="3"/>
  <c r="A408" i="3"/>
  <c r="B408" i="3"/>
  <c r="C408" i="3"/>
  <c r="D408" i="3"/>
  <c r="E408" i="3" s="1"/>
  <c r="A409" i="3"/>
  <c r="B409" i="3"/>
  <c r="C409" i="3"/>
  <c r="D409" i="3"/>
  <c r="E409" i="3"/>
  <c r="A410" i="3"/>
  <c r="B410" i="3"/>
  <c r="C410" i="3"/>
  <c r="D410" i="3"/>
  <c r="E410" i="3" s="1"/>
  <c r="A411" i="3"/>
  <c r="B411" i="3"/>
  <c r="C411" i="3"/>
  <c r="D411" i="3"/>
  <c r="E411" i="3" s="1"/>
  <c r="A412" i="3"/>
  <c r="B412" i="3"/>
  <c r="C412" i="3"/>
  <c r="D412" i="3"/>
  <c r="E412" i="3" s="1"/>
  <c r="A413" i="3"/>
  <c r="B413" i="3"/>
  <c r="C413" i="3"/>
  <c r="D413" i="3"/>
  <c r="E413" i="3"/>
  <c r="A414" i="3"/>
  <c r="B414" i="3"/>
  <c r="C414" i="3"/>
  <c r="D414" i="3"/>
  <c r="E414" i="3" s="1"/>
  <c r="A415" i="3"/>
  <c r="B415" i="3"/>
  <c r="C415" i="3"/>
  <c r="D415" i="3"/>
  <c r="E415" i="3" s="1"/>
  <c r="A416" i="3"/>
  <c r="B416" i="3"/>
  <c r="C416" i="3"/>
  <c r="D416" i="3"/>
  <c r="E416" i="3" s="1"/>
  <c r="A417" i="3"/>
  <c r="B417" i="3"/>
  <c r="C417" i="3"/>
  <c r="D417" i="3"/>
  <c r="E417" i="3"/>
  <c r="A418" i="3"/>
  <c r="B418" i="3"/>
  <c r="C418" i="3"/>
  <c r="D418" i="3"/>
  <c r="E418" i="3" s="1"/>
  <c r="A419" i="3"/>
  <c r="B419" i="3"/>
  <c r="C419" i="3"/>
  <c r="D419" i="3"/>
  <c r="E419" i="3" s="1"/>
  <c r="A420" i="3"/>
  <c r="B420" i="3"/>
  <c r="C420" i="3"/>
  <c r="D420" i="3"/>
  <c r="E420" i="3"/>
  <c r="A421" i="3"/>
  <c r="B421" i="3"/>
  <c r="C421" i="3"/>
  <c r="D421" i="3"/>
  <c r="E421" i="3"/>
  <c r="A422" i="3"/>
  <c r="B422" i="3"/>
  <c r="C422" i="3"/>
  <c r="D422" i="3"/>
  <c r="E422" i="3" s="1"/>
  <c r="A423" i="3"/>
  <c r="B423" i="3"/>
  <c r="C423" i="3"/>
  <c r="D423" i="3"/>
  <c r="E423" i="3" s="1"/>
  <c r="A424" i="3"/>
  <c r="B424" i="3"/>
  <c r="C424" i="3"/>
  <c r="D424" i="3"/>
  <c r="E424" i="3"/>
  <c r="A425" i="3"/>
  <c r="B425" i="3"/>
  <c r="C425" i="3"/>
  <c r="D425" i="3"/>
  <c r="E425" i="3"/>
  <c r="A426" i="3"/>
  <c r="B426" i="3"/>
  <c r="C426" i="3"/>
  <c r="D426" i="3"/>
  <c r="E426" i="3" s="1"/>
  <c r="A427" i="3"/>
  <c r="B427" i="3"/>
  <c r="C427" i="3"/>
  <c r="D427" i="3"/>
  <c r="E427" i="3"/>
  <c r="A428" i="3"/>
  <c r="B428" i="3"/>
  <c r="C428" i="3"/>
  <c r="D428" i="3"/>
  <c r="E428" i="3" s="1"/>
  <c r="A429" i="3"/>
  <c r="B429" i="3"/>
  <c r="B430" i="3"/>
  <c r="A431" i="3"/>
  <c r="B431" i="3"/>
  <c r="C431" i="3"/>
  <c r="D431" i="3"/>
  <c r="E431" i="3"/>
  <c r="A432" i="3"/>
  <c r="B432" i="3"/>
  <c r="C432" i="3"/>
  <c r="D432" i="3"/>
  <c r="E432" i="3" s="1"/>
  <c r="A433" i="3"/>
  <c r="B433" i="3"/>
  <c r="C433" i="3"/>
  <c r="D433" i="3"/>
  <c r="E433" i="3"/>
  <c r="A434" i="3"/>
  <c r="B434" i="3"/>
  <c r="C434" i="3"/>
  <c r="D434" i="3"/>
  <c r="E434" i="3" s="1"/>
  <c r="A435" i="3"/>
  <c r="B435" i="3"/>
  <c r="C435" i="3"/>
  <c r="D435" i="3"/>
  <c r="E435" i="3"/>
  <c r="A436" i="3"/>
  <c r="B436" i="3"/>
  <c r="C436" i="3"/>
  <c r="D436" i="3"/>
  <c r="E436" i="3" s="1"/>
  <c r="A437" i="3"/>
  <c r="B437" i="3"/>
  <c r="C437" i="3"/>
  <c r="D437" i="3"/>
  <c r="E437" i="3" s="1"/>
  <c r="A438" i="3"/>
  <c r="B438" i="3"/>
  <c r="C438" i="3"/>
  <c r="D438" i="3"/>
  <c r="E438" i="3" s="1"/>
  <c r="B439" i="3"/>
  <c r="C390" i="3"/>
  <c r="A390" i="3"/>
  <c r="B390" i="3"/>
  <c r="B391" i="3"/>
  <c r="C391" i="3"/>
  <c r="D391" i="3"/>
  <c r="A392" i="3"/>
  <c r="B392" i="3"/>
  <c r="C392" i="3"/>
  <c r="D392" i="3"/>
  <c r="E392" i="3" s="1"/>
  <c r="A393" i="3"/>
  <c r="B393" i="3"/>
  <c r="C393" i="3"/>
  <c r="D393" i="3"/>
  <c r="E393" i="3"/>
  <c r="A394" i="3"/>
  <c r="B394" i="3"/>
  <c r="C394" i="3"/>
  <c r="D394" i="3"/>
  <c r="A395" i="3"/>
  <c r="B395" i="3"/>
  <c r="C395" i="3"/>
  <c r="D395" i="3"/>
  <c r="E395" i="3"/>
  <c r="A396" i="3"/>
  <c r="B396" i="3"/>
  <c r="C396" i="3"/>
  <c r="D396" i="3"/>
  <c r="E396" i="3"/>
  <c r="A397" i="3"/>
  <c r="B397" i="3"/>
  <c r="C397" i="3"/>
  <c r="D397" i="3"/>
  <c r="E397" i="3" s="1"/>
  <c r="A398" i="3"/>
  <c r="B398" i="3"/>
  <c r="C398" i="3"/>
  <c r="D398" i="3"/>
  <c r="A399" i="3"/>
  <c r="B399" i="3"/>
  <c r="C399" i="3"/>
  <c r="D399" i="3"/>
  <c r="E399" i="3"/>
  <c r="A400" i="3"/>
  <c r="B400" i="3"/>
  <c r="C400" i="3"/>
  <c r="D400" i="3"/>
  <c r="E400" i="3"/>
  <c r="A401" i="3"/>
  <c r="B401" i="3"/>
  <c r="C401" i="3"/>
  <c r="D401" i="3"/>
  <c r="E401" i="3"/>
  <c r="U410" i="2"/>
  <c r="U393" i="2"/>
  <c r="K392" i="1"/>
  <c r="Z391" i="2"/>
  <c r="W391" i="2"/>
  <c r="X391" i="2"/>
  <c r="Y391" i="2"/>
  <c r="Y392" i="2"/>
  <c r="W393" i="2"/>
  <c r="X393" i="2"/>
  <c r="Y393" i="2"/>
  <c r="Y394" i="2"/>
  <c r="W395" i="2"/>
  <c r="Y395" i="2"/>
  <c r="W396" i="2"/>
  <c r="X396" i="2"/>
  <c r="Y396" i="2"/>
  <c r="W397" i="2"/>
  <c r="X397" i="2"/>
  <c r="Y397" i="2"/>
  <c r="Y398" i="2"/>
  <c r="W399" i="2"/>
  <c r="Y399" i="2"/>
  <c r="W400" i="2"/>
  <c r="X400" i="2"/>
  <c r="Y400" i="2"/>
  <c r="W401" i="2"/>
  <c r="X401" i="2"/>
  <c r="Y401" i="2"/>
  <c r="Y402" i="2"/>
  <c r="W403" i="2"/>
  <c r="Y403" i="2"/>
  <c r="W404" i="2"/>
  <c r="Y404" i="2"/>
  <c r="W405" i="2"/>
  <c r="Y405" i="2"/>
  <c r="Y406" i="2"/>
  <c r="Y407" i="2"/>
  <c r="Y408" i="2"/>
  <c r="Y409" i="2"/>
  <c r="Y410" i="2"/>
  <c r="Y411" i="2"/>
  <c r="Y412" i="2"/>
  <c r="Y413" i="2"/>
  <c r="Y414" i="2"/>
  <c r="Y415" i="2"/>
  <c r="Y416" i="2"/>
  <c r="Y417" i="2"/>
  <c r="Y418" i="2"/>
  <c r="Y419" i="2"/>
  <c r="Y420" i="2"/>
  <c r="Y421" i="2"/>
  <c r="Y422" i="2"/>
  <c r="Y423" i="2"/>
  <c r="Y424" i="2"/>
  <c r="Y425" i="2"/>
  <c r="Y426" i="2"/>
  <c r="Y427" i="2"/>
  <c r="Y428" i="2"/>
  <c r="Y431" i="2"/>
  <c r="Y432" i="2"/>
  <c r="Y433" i="2"/>
  <c r="Y434" i="2"/>
  <c r="Y435" i="2"/>
  <c r="Y436" i="2"/>
  <c r="Y437" i="2"/>
  <c r="Y438" i="2"/>
  <c r="A428" i="2"/>
  <c r="B428" i="2"/>
  <c r="C428" i="2"/>
  <c r="D428" i="2"/>
  <c r="E428" i="2"/>
  <c r="F428" i="2"/>
  <c r="G428" i="2"/>
  <c r="R428" i="2" s="1"/>
  <c r="H428" i="2"/>
  <c r="S428" i="2" s="1"/>
  <c r="I428" i="2"/>
  <c r="J428" i="2"/>
  <c r="K428" i="2"/>
  <c r="L428" i="2"/>
  <c r="M428" i="2"/>
  <c r="N428" i="2"/>
  <c r="O428" i="2"/>
  <c r="P428" i="2"/>
  <c r="T428" i="2"/>
  <c r="Z428" i="2"/>
  <c r="A429" i="2"/>
  <c r="B429" i="2"/>
  <c r="C429" i="2"/>
  <c r="D429" i="2"/>
  <c r="E429" i="2"/>
  <c r="F429" i="2"/>
  <c r="G429" i="2"/>
  <c r="H429" i="2"/>
  <c r="I429" i="2"/>
  <c r="K429" i="2"/>
  <c r="J429" i="2" s="1"/>
  <c r="L429" i="2"/>
  <c r="M429" i="2"/>
  <c r="N429" i="2"/>
  <c r="O429" i="2"/>
  <c r="P429" i="2"/>
  <c r="Z429" i="2"/>
  <c r="A430" i="2"/>
  <c r="B430" i="2"/>
  <c r="C430" i="2"/>
  <c r="D430" i="2"/>
  <c r="E430" i="2"/>
  <c r="F430" i="2"/>
  <c r="G430" i="2"/>
  <c r="H430" i="2"/>
  <c r="I430" i="2"/>
  <c r="K430" i="2"/>
  <c r="J430" i="2" s="1"/>
  <c r="L430" i="2"/>
  <c r="M430" i="2"/>
  <c r="N430" i="2"/>
  <c r="O430" i="2"/>
  <c r="P430" i="2"/>
  <c r="Z430" i="2"/>
  <c r="A431" i="2"/>
  <c r="B431" i="2"/>
  <c r="C431" i="2"/>
  <c r="D431" i="2"/>
  <c r="E431" i="2"/>
  <c r="F431" i="2"/>
  <c r="G431" i="2"/>
  <c r="R431" i="2" s="1"/>
  <c r="H431" i="2"/>
  <c r="S431" i="2" s="1"/>
  <c r="I431" i="2"/>
  <c r="J431" i="2"/>
  <c r="K431" i="2"/>
  <c r="L431" i="2"/>
  <c r="M431" i="2"/>
  <c r="N431" i="2"/>
  <c r="O431" i="2"/>
  <c r="P431" i="2"/>
  <c r="T431" i="2"/>
  <c r="A432" i="2"/>
  <c r="B432" i="2"/>
  <c r="C432" i="2"/>
  <c r="D432" i="2"/>
  <c r="E432" i="2"/>
  <c r="F432" i="2"/>
  <c r="G432" i="2"/>
  <c r="R432" i="2" s="1"/>
  <c r="H432" i="2"/>
  <c r="S432" i="2" s="1"/>
  <c r="I432" i="2"/>
  <c r="J432" i="2"/>
  <c r="K432" i="2"/>
  <c r="L432" i="2"/>
  <c r="M432" i="2"/>
  <c r="N432" i="2"/>
  <c r="O432" i="2"/>
  <c r="P432" i="2"/>
  <c r="T432" i="2"/>
  <c r="Z432" i="2"/>
  <c r="A433" i="2"/>
  <c r="B433" i="2"/>
  <c r="C433" i="2"/>
  <c r="D433" i="2"/>
  <c r="E433" i="2"/>
  <c r="F433" i="2"/>
  <c r="G433" i="2"/>
  <c r="R433" i="2" s="1"/>
  <c r="H433" i="2"/>
  <c r="S433" i="2" s="1"/>
  <c r="I433" i="2"/>
  <c r="J433" i="2"/>
  <c r="K433" i="2"/>
  <c r="L433" i="2"/>
  <c r="M433" i="2"/>
  <c r="N433" i="2"/>
  <c r="O433" i="2"/>
  <c r="P433" i="2"/>
  <c r="T433" i="2"/>
  <c r="Z433" i="2"/>
  <c r="A434" i="2"/>
  <c r="B434" i="2"/>
  <c r="C434" i="2"/>
  <c r="D434" i="2"/>
  <c r="E434" i="2"/>
  <c r="F434" i="2"/>
  <c r="G434" i="2"/>
  <c r="R434" i="2" s="1"/>
  <c r="H434" i="2"/>
  <c r="S434" i="2" s="1"/>
  <c r="I434" i="2"/>
  <c r="J434" i="2"/>
  <c r="K434" i="2"/>
  <c r="L434" i="2"/>
  <c r="M434" i="2"/>
  <c r="N434" i="2"/>
  <c r="O434" i="2"/>
  <c r="P434" i="2"/>
  <c r="T434" i="2"/>
  <c r="Z434" i="2"/>
  <c r="A435" i="2"/>
  <c r="B435" i="2"/>
  <c r="C435" i="2"/>
  <c r="D435" i="2"/>
  <c r="E435" i="2"/>
  <c r="F435" i="2"/>
  <c r="G435" i="2"/>
  <c r="R435" i="2" s="1"/>
  <c r="H435" i="2"/>
  <c r="S435" i="2" s="1"/>
  <c r="I435" i="2"/>
  <c r="J435" i="2"/>
  <c r="K435" i="2"/>
  <c r="L435" i="2"/>
  <c r="M435" i="2"/>
  <c r="N435" i="2"/>
  <c r="O435" i="2"/>
  <c r="P435" i="2"/>
  <c r="T435" i="2"/>
  <c r="Z435" i="2"/>
  <c r="A436" i="2"/>
  <c r="B436" i="2"/>
  <c r="C436" i="2"/>
  <c r="D436" i="2"/>
  <c r="E436" i="2"/>
  <c r="F436" i="2"/>
  <c r="G436" i="2"/>
  <c r="R436" i="2" s="1"/>
  <c r="H436" i="2"/>
  <c r="S436" i="2" s="1"/>
  <c r="I436" i="2"/>
  <c r="J436" i="2"/>
  <c r="K436" i="2"/>
  <c r="L436" i="2"/>
  <c r="M436" i="2"/>
  <c r="N436" i="2"/>
  <c r="O436" i="2"/>
  <c r="P436" i="2"/>
  <c r="T436" i="2"/>
  <c r="Z436" i="2"/>
  <c r="A437" i="2"/>
  <c r="B437" i="2"/>
  <c r="C437" i="2"/>
  <c r="D437" i="2"/>
  <c r="E437" i="2"/>
  <c r="F437" i="2"/>
  <c r="G437" i="2"/>
  <c r="R437" i="2" s="1"/>
  <c r="H437" i="2"/>
  <c r="S437" i="2" s="1"/>
  <c r="I437" i="2"/>
  <c r="J437" i="2"/>
  <c r="K437" i="2"/>
  <c r="L437" i="2"/>
  <c r="M437" i="2"/>
  <c r="N437" i="2"/>
  <c r="O437" i="2"/>
  <c r="P437" i="2"/>
  <c r="T437" i="2"/>
  <c r="Z437" i="2"/>
  <c r="A438" i="2"/>
  <c r="B438" i="2"/>
  <c r="C438" i="2"/>
  <c r="D438" i="2"/>
  <c r="E438" i="2"/>
  <c r="F438" i="2"/>
  <c r="G438" i="2"/>
  <c r="R438" i="2" s="1"/>
  <c r="H438" i="2"/>
  <c r="S438" i="2" s="1"/>
  <c r="I438" i="2"/>
  <c r="J438" i="2"/>
  <c r="K438" i="2"/>
  <c r="L438" i="2"/>
  <c r="M438" i="2"/>
  <c r="N438" i="2"/>
  <c r="O438" i="2"/>
  <c r="P438" i="2"/>
  <c r="T438" i="2"/>
  <c r="Z438" i="2"/>
  <c r="A439" i="2"/>
  <c r="B439" i="2"/>
  <c r="C439" i="2"/>
  <c r="D439" i="2"/>
  <c r="E439" i="2"/>
  <c r="F439" i="2"/>
  <c r="G439" i="2"/>
  <c r="H439" i="2"/>
  <c r="I439" i="2"/>
  <c r="K439" i="2"/>
  <c r="J439" i="2" s="1"/>
  <c r="L439" i="2"/>
  <c r="M439" i="2"/>
  <c r="N439" i="2"/>
  <c r="O439" i="2"/>
  <c r="P439" i="2"/>
  <c r="Z439" i="2"/>
  <c r="A440" i="2"/>
  <c r="B440" i="2"/>
  <c r="C440" i="2"/>
  <c r="D440" i="2"/>
  <c r="E440" i="2"/>
  <c r="F440" i="2"/>
  <c r="G440" i="2"/>
  <c r="H440" i="2"/>
  <c r="I440" i="2"/>
  <c r="K440" i="2"/>
  <c r="J440" i="2" s="1"/>
  <c r="L440" i="2"/>
  <c r="M440" i="2"/>
  <c r="N440" i="2"/>
  <c r="O440" i="2"/>
  <c r="P440" i="2"/>
  <c r="Z440" i="2"/>
  <c r="A441" i="2"/>
  <c r="B441" i="2"/>
  <c r="C441" i="2"/>
  <c r="D441" i="2"/>
  <c r="E441" i="2"/>
  <c r="F441" i="2"/>
  <c r="G441" i="2"/>
  <c r="R441" i="2" s="1"/>
  <c r="H441" i="2"/>
  <c r="S441" i="2" s="1"/>
  <c r="I441" i="2"/>
  <c r="K441" i="2"/>
  <c r="J441" i="2" s="1"/>
  <c r="L441" i="2"/>
  <c r="M441" i="2"/>
  <c r="N441" i="2"/>
  <c r="O441" i="2"/>
  <c r="P441" i="2"/>
  <c r="T441" i="2"/>
  <c r="Z441" i="2"/>
  <c r="A392" i="2"/>
  <c r="B392" i="2"/>
  <c r="C392" i="2"/>
  <c r="D392" i="2"/>
  <c r="E392" i="2"/>
  <c r="F392" i="2"/>
  <c r="G392" i="2"/>
  <c r="R392" i="2" s="1"/>
  <c r="H392" i="2"/>
  <c r="I392" i="2"/>
  <c r="J392" i="2"/>
  <c r="K392" i="2"/>
  <c r="W392" i="2" s="1"/>
  <c r="L392" i="2"/>
  <c r="M392" i="2"/>
  <c r="N392" i="2"/>
  <c r="O392" i="2"/>
  <c r="Z393" i="2" s="1"/>
  <c r="P392" i="2"/>
  <c r="S392" i="2"/>
  <c r="T392" i="2"/>
  <c r="Z392" i="2"/>
  <c r="A393" i="2"/>
  <c r="B393" i="2"/>
  <c r="C393" i="2"/>
  <c r="D393" i="2"/>
  <c r="E393" i="2"/>
  <c r="F393" i="2"/>
  <c r="G393" i="2"/>
  <c r="R393" i="2" s="1"/>
  <c r="H393" i="2"/>
  <c r="I393" i="2"/>
  <c r="J393" i="2"/>
  <c r="K393" i="2"/>
  <c r="L393" i="2"/>
  <c r="M393" i="2"/>
  <c r="N393" i="2"/>
  <c r="O393" i="2"/>
  <c r="Z394" i="2" s="1"/>
  <c r="P393" i="2"/>
  <c r="S393" i="2"/>
  <c r="T393" i="2"/>
  <c r="A394" i="2"/>
  <c r="B394" i="2"/>
  <c r="C394" i="2"/>
  <c r="D394" i="2"/>
  <c r="E394" i="2"/>
  <c r="F394" i="2"/>
  <c r="G394" i="2"/>
  <c r="R394" i="2" s="1"/>
  <c r="H394" i="2"/>
  <c r="S394" i="2" s="1"/>
  <c r="I394" i="2"/>
  <c r="J394" i="2"/>
  <c r="K394" i="2"/>
  <c r="L394" i="2"/>
  <c r="M394" i="2"/>
  <c r="N394" i="2"/>
  <c r="O394" i="2"/>
  <c r="Z395" i="2" s="1"/>
  <c r="P394" i="2"/>
  <c r="T394" i="2"/>
  <c r="A395" i="2"/>
  <c r="B395" i="2"/>
  <c r="C395" i="2"/>
  <c r="D395" i="2"/>
  <c r="E395" i="2"/>
  <c r="F395" i="2"/>
  <c r="G395" i="2"/>
  <c r="R395" i="2" s="1"/>
  <c r="H395" i="2"/>
  <c r="S395" i="2" s="1"/>
  <c r="I395" i="2"/>
  <c r="J395" i="2"/>
  <c r="K395" i="2"/>
  <c r="L395" i="2"/>
  <c r="M395" i="2"/>
  <c r="N395" i="2"/>
  <c r="O395" i="2"/>
  <c r="Z396" i="2" s="1"/>
  <c r="P395" i="2"/>
  <c r="T395" i="2"/>
  <c r="A396" i="2"/>
  <c r="B396" i="2"/>
  <c r="C396" i="2"/>
  <c r="D396" i="2"/>
  <c r="E396" i="2"/>
  <c r="F396" i="2"/>
  <c r="G396" i="2"/>
  <c r="R396" i="2" s="1"/>
  <c r="H396" i="2"/>
  <c r="S396" i="2" s="1"/>
  <c r="I396" i="2"/>
  <c r="J396" i="2"/>
  <c r="K396" i="2"/>
  <c r="L396" i="2"/>
  <c r="M396" i="2"/>
  <c r="N396" i="2"/>
  <c r="O396" i="2"/>
  <c r="Z397" i="2" s="1"/>
  <c r="P396" i="2"/>
  <c r="T396" i="2"/>
  <c r="A397" i="2"/>
  <c r="B397" i="2"/>
  <c r="C397" i="2"/>
  <c r="D397" i="2"/>
  <c r="E397" i="2"/>
  <c r="F397" i="2"/>
  <c r="G397" i="2"/>
  <c r="R397" i="2" s="1"/>
  <c r="H397" i="2"/>
  <c r="S397" i="2" s="1"/>
  <c r="I397" i="2"/>
  <c r="J397" i="2"/>
  <c r="K397" i="2"/>
  <c r="L397" i="2"/>
  <c r="M397" i="2"/>
  <c r="N397" i="2"/>
  <c r="O397" i="2"/>
  <c r="Z398" i="2" s="1"/>
  <c r="P397" i="2"/>
  <c r="T397" i="2"/>
  <c r="A398" i="2"/>
  <c r="B398" i="2"/>
  <c r="C398" i="2"/>
  <c r="D398" i="2"/>
  <c r="E398" i="2"/>
  <c r="F398" i="2"/>
  <c r="G398" i="2"/>
  <c r="R398" i="2" s="1"/>
  <c r="H398" i="2"/>
  <c r="S398" i="2" s="1"/>
  <c r="I398" i="2"/>
  <c r="J398" i="2"/>
  <c r="K398" i="2"/>
  <c r="L398" i="2"/>
  <c r="M398" i="2"/>
  <c r="N398" i="2"/>
  <c r="O398" i="2"/>
  <c r="Z399" i="2" s="1"/>
  <c r="P398" i="2"/>
  <c r="T398" i="2"/>
  <c r="A399" i="2"/>
  <c r="B399" i="2"/>
  <c r="C399" i="2"/>
  <c r="D399" i="2"/>
  <c r="E399" i="2"/>
  <c r="F399" i="2"/>
  <c r="G399" i="2"/>
  <c r="R399" i="2" s="1"/>
  <c r="H399" i="2"/>
  <c r="S399" i="2" s="1"/>
  <c r="I399" i="2"/>
  <c r="J399" i="2"/>
  <c r="K399" i="2"/>
  <c r="L399" i="2"/>
  <c r="M399" i="2"/>
  <c r="N399" i="2"/>
  <c r="O399" i="2"/>
  <c r="Z400" i="2" s="1"/>
  <c r="P399" i="2"/>
  <c r="T399" i="2"/>
  <c r="A400" i="2"/>
  <c r="B400" i="2"/>
  <c r="C400" i="2"/>
  <c r="D400" i="2"/>
  <c r="E400" i="2"/>
  <c r="F400" i="2"/>
  <c r="G400" i="2"/>
  <c r="R400" i="2" s="1"/>
  <c r="H400" i="2"/>
  <c r="S400" i="2" s="1"/>
  <c r="I400" i="2"/>
  <c r="J400" i="2"/>
  <c r="K400" i="2"/>
  <c r="L400" i="2"/>
  <c r="M400" i="2"/>
  <c r="N400" i="2"/>
  <c r="O400" i="2"/>
  <c r="Z401" i="2" s="1"/>
  <c r="P400" i="2"/>
  <c r="T400" i="2"/>
  <c r="A401" i="2"/>
  <c r="B401" i="2"/>
  <c r="C401" i="2"/>
  <c r="D401" i="2"/>
  <c r="E401" i="2"/>
  <c r="F401" i="2"/>
  <c r="G401" i="2"/>
  <c r="R401" i="2" s="1"/>
  <c r="H401" i="2"/>
  <c r="S401" i="2" s="1"/>
  <c r="I401" i="2"/>
  <c r="J401" i="2"/>
  <c r="K401" i="2"/>
  <c r="L401" i="2"/>
  <c r="M401" i="2"/>
  <c r="N401" i="2"/>
  <c r="O401" i="2"/>
  <c r="Z402" i="2" s="1"/>
  <c r="P401" i="2"/>
  <c r="T401" i="2"/>
  <c r="A402" i="2"/>
  <c r="B402" i="2"/>
  <c r="C402" i="2"/>
  <c r="D402" i="2"/>
  <c r="E402" i="2"/>
  <c r="F402" i="2"/>
  <c r="G402" i="2"/>
  <c r="R402" i="2" s="1"/>
  <c r="H402" i="2"/>
  <c r="S402" i="2" s="1"/>
  <c r="I402" i="2"/>
  <c r="J402" i="2"/>
  <c r="K402" i="2"/>
  <c r="L402" i="2"/>
  <c r="M402" i="2"/>
  <c r="N402" i="2"/>
  <c r="O402" i="2"/>
  <c r="Z403" i="2" s="1"/>
  <c r="P402" i="2"/>
  <c r="T402" i="2"/>
  <c r="A403" i="2"/>
  <c r="B403" i="2"/>
  <c r="C403" i="2"/>
  <c r="D403" i="2"/>
  <c r="E403" i="2"/>
  <c r="F403" i="2"/>
  <c r="G403" i="2"/>
  <c r="R403" i="2" s="1"/>
  <c r="H403" i="2"/>
  <c r="S403" i="2" s="1"/>
  <c r="I403" i="2"/>
  <c r="J403" i="2"/>
  <c r="K403" i="2"/>
  <c r="L403" i="2"/>
  <c r="M403" i="2"/>
  <c r="N403" i="2"/>
  <c r="O403" i="2"/>
  <c r="Z404" i="2" s="1"/>
  <c r="P403" i="2"/>
  <c r="T403" i="2"/>
  <c r="A404" i="2"/>
  <c r="B404" i="2"/>
  <c r="C404" i="2"/>
  <c r="D404" i="2"/>
  <c r="E404" i="2"/>
  <c r="F404" i="2"/>
  <c r="G404" i="2"/>
  <c r="R404" i="2" s="1"/>
  <c r="H404" i="2"/>
  <c r="S404" i="2" s="1"/>
  <c r="I404" i="2"/>
  <c r="J404" i="2"/>
  <c r="K404" i="2"/>
  <c r="L404" i="2"/>
  <c r="M404" i="2"/>
  <c r="N404" i="2"/>
  <c r="O404" i="2"/>
  <c r="Z405" i="2" s="1"/>
  <c r="P404" i="2"/>
  <c r="T404" i="2"/>
  <c r="A405" i="2"/>
  <c r="B405" i="2"/>
  <c r="C405" i="2"/>
  <c r="D405" i="2"/>
  <c r="E405" i="2"/>
  <c r="F405" i="2"/>
  <c r="G405" i="2"/>
  <c r="R405" i="2" s="1"/>
  <c r="H405" i="2"/>
  <c r="S405" i="2" s="1"/>
  <c r="I405" i="2"/>
  <c r="J405" i="2"/>
  <c r="K405" i="2"/>
  <c r="L405" i="2"/>
  <c r="M405" i="2"/>
  <c r="N405" i="2"/>
  <c r="O405" i="2"/>
  <c r="Z406" i="2" s="1"/>
  <c r="P405" i="2"/>
  <c r="T405" i="2"/>
  <c r="A406" i="2"/>
  <c r="B406" i="2"/>
  <c r="C406" i="2"/>
  <c r="D406" i="2"/>
  <c r="E406" i="2"/>
  <c r="F406" i="2"/>
  <c r="G406" i="2"/>
  <c r="R406" i="2" s="1"/>
  <c r="H406" i="2"/>
  <c r="S406" i="2" s="1"/>
  <c r="I406" i="2"/>
  <c r="J406" i="2"/>
  <c r="K406" i="2"/>
  <c r="L406" i="2"/>
  <c r="M406" i="2"/>
  <c r="N406" i="2"/>
  <c r="O406" i="2"/>
  <c r="Z407" i="2" s="1"/>
  <c r="P406" i="2"/>
  <c r="T406" i="2"/>
  <c r="A407" i="2"/>
  <c r="B407" i="2"/>
  <c r="C407" i="2"/>
  <c r="D407" i="2"/>
  <c r="E407" i="2"/>
  <c r="F407" i="2"/>
  <c r="G407" i="2"/>
  <c r="R407" i="2" s="1"/>
  <c r="H407" i="2"/>
  <c r="S407" i="2" s="1"/>
  <c r="I407" i="2"/>
  <c r="J407" i="2"/>
  <c r="K407" i="2"/>
  <c r="L407" i="2"/>
  <c r="M407" i="2"/>
  <c r="N407" i="2"/>
  <c r="O407" i="2"/>
  <c r="Z408" i="2" s="1"/>
  <c r="P407" i="2"/>
  <c r="T407" i="2"/>
  <c r="A408" i="2"/>
  <c r="B408" i="2"/>
  <c r="C408" i="2"/>
  <c r="D408" i="2"/>
  <c r="E408" i="2"/>
  <c r="F408" i="2"/>
  <c r="G408" i="2"/>
  <c r="R408" i="2" s="1"/>
  <c r="H408" i="2"/>
  <c r="S408" i="2" s="1"/>
  <c r="I408" i="2"/>
  <c r="J408" i="2"/>
  <c r="K408" i="2"/>
  <c r="L408" i="2"/>
  <c r="M408" i="2"/>
  <c r="N408" i="2"/>
  <c r="O408" i="2"/>
  <c r="Z409" i="2" s="1"/>
  <c r="P408" i="2"/>
  <c r="T408" i="2"/>
  <c r="A409" i="2"/>
  <c r="B409" i="2"/>
  <c r="C409" i="2"/>
  <c r="D409" i="2"/>
  <c r="E409" i="2"/>
  <c r="F409" i="2"/>
  <c r="G409" i="2"/>
  <c r="R409" i="2" s="1"/>
  <c r="H409" i="2"/>
  <c r="S409" i="2" s="1"/>
  <c r="I409" i="2"/>
  <c r="J409" i="2"/>
  <c r="K409" i="2"/>
  <c r="L409" i="2"/>
  <c r="M409" i="2"/>
  <c r="N409" i="2"/>
  <c r="O409" i="2"/>
  <c r="Z410" i="2" s="1"/>
  <c r="P409" i="2"/>
  <c r="T409" i="2"/>
  <c r="A410" i="2"/>
  <c r="B410" i="2"/>
  <c r="C410" i="2"/>
  <c r="D410" i="2"/>
  <c r="E410" i="2"/>
  <c r="F410" i="2"/>
  <c r="G410" i="2"/>
  <c r="R410" i="2" s="1"/>
  <c r="H410" i="2"/>
  <c r="S410" i="2" s="1"/>
  <c r="I410" i="2"/>
  <c r="J410" i="2"/>
  <c r="K410" i="2"/>
  <c r="L410" i="2"/>
  <c r="M410" i="2"/>
  <c r="N410" i="2"/>
  <c r="O410" i="2"/>
  <c r="Z411" i="2" s="1"/>
  <c r="P410" i="2"/>
  <c r="T410" i="2"/>
  <c r="A411" i="2"/>
  <c r="B411" i="2"/>
  <c r="C411" i="2"/>
  <c r="D411" i="2"/>
  <c r="E411" i="2"/>
  <c r="F411" i="2"/>
  <c r="G411" i="2"/>
  <c r="R411" i="2" s="1"/>
  <c r="H411" i="2"/>
  <c r="S411" i="2" s="1"/>
  <c r="I411" i="2"/>
  <c r="J411" i="2"/>
  <c r="K411" i="2"/>
  <c r="L411" i="2"/>
  <c r="M411" i="2"/>
  <c r="N411" i="2"/>
  <c r="O411" i="2"/>
  <c r="Z412" i="2" s="1"/>
  <c r="P411" i="2"/>
  <c r="T411" i="2"/>
  <c r="A412" i="2"/>
  <c r="B412" i="2"/>
  <c r="C412" i="2"/>
  <c r="D412" i="2"/>
  <c r="E412" i="2"/>
  <c r="F412" i="2"/>
  <c r="G412" i="2"/>
  <c r="R412" i="2" s="1"/>
  <c r="H412" i="2"/>
  <c r="S412" i="2" s="1"/>
  <c r="I412" i="2"/>
  <c r="J412" i="2"/>
  <c r="K412" i="2"/>
  <c r="L412" i="2"/>
  <c r="M412" i="2"/>
  <c r="N412" i="2"/>
  <c r="O412" i="2"/>
  <c r="Z413" i="2" s="1"/>
  <c r="P412" i="2"/>
  <c r="T412" i="2"/>
  <c r="A413" i="2"/>
  <c r="B413" i="2"/>
  <c r="C413" i="2"/>
  <c r="D413" i="2"/>
  <c r="E413" i="2"/>
  <c r="F413" i="2"/>
  <c r="G413" i="2"/>
  <c r="R413" i="2" s="1"/>
  <c r="H413" i="2"/>
  <c r="S413" i="2" s="1"/>
  <c r="I413" i="2"/>
  <c r="J413" i="2"/>
  <c r="K413" i="2"/>
  <c r="L413" i="2"/>
  <c r="M413" i="2"/>
  <c r="N413" i="2"/>
  <c r="O413" i="2"/>
  <c r="Z414" i="2" s="1"/>
  <c r="P413" i="2"/>
  <c r="T413" i="2"/>
  <c r="A414" i="2"/>
  <c r="B414" i="2"/>
  <c r="C414" i="2"/>
  <c r="D414" i="2"/>
  <c r="E414" i="2"/>
  <c r="F414" i="2"/>
  <c r="G414" i="2"/>
  <c r="R414" i="2" s="1"/>
  <c r="H414" i="2"/>
  <c r="S414" i="2" s="1"/>
  <c r="I414" i="2"/>
  <c r="J414" i="2"/>
  <c r="K414" i="2"/>
  <c r="L414" i="2"/>
  <c r="M414" i="2"/>
  <c r="N414" i="2"/>
  <c r="O414" i="2"/>
  <c r="P414" i="2"/>
  <c r="T414" i="2"/>
  <c r="A415" i="2"/>
  <c r="B415" i="2"/>
  <c r="C415" i="2"/>
  <c r="D415" i="2"/>
  <c r="E415" i="2"/>
  <c r="F415" i="2"/>
  <c r="G415" i="2"/>
  <c r="R415" i="2" s="1"/>
  <c r="H415" i="2"/>
  <c r="S415" i="2" s="1"/>
  <c r="I415" i="2"/>
  <c r="J415" i="2"/>
  <c r="K415" i="2"/>
  <c r="L415" i="2"/>
  <c r="M415" i="2"/>
  <c r="N415" i="2"/>
  <c r="O415" i="2"/>
  <c r="Z416" i="2" s="1"/>
  <c r="P415" i="2"/>
  <c r="T415" i="2"/>
  <c r="A416" i="2"/>
  <c r="B416" i="2"/>
  <c r="C416" i="2"/>
  <c r="D416" i="2"/>
  <c r="E416" i="2"/>
  <c r="F416" i="2"/>
  <c r="G416" i="2"/>
  <c r="R416" i="2" s="1"/>
  <c r="H416" i="2"/>
  <c r="S416" i="2" s="1"/>
  <c r="I416" i="2"/>
  <c r="J416" i="2"/>
  <c r="K416" i="2"/>
  <c r="L416" i="2"/>
  <c r="M416" i="2"/>
  <c r="N416" i="2"/>
  <c r="O416" i="2"/>
  <c r="Z417" i="2" s="1"/>
  <c r="P416" i="2"/>
  <c r="T416" i="2"/>
  <c r="A417" i="2"/>
  <c r="B417" i="2"/>
  <c r="C417" i="2"/>
  <c r="D417" i="2"/>
  <c r="E417" i="2"/>
  <c r="F417" i="2"/>
  <c r="G417" i="2"/>
  <c r="R417" i="2" s="1"/>
  <c r="H417" i="2"/>
  <c r="S417" i="2" s="1"/>
  <c r="I417" i="2"/>
  <c r="J417" i="2"/>
  <c r="K417" i="2"/>
  <c r="L417" i="2"/>
  <c r="M417" i="2"/>
  <c r="N417" i="2"/>
  <c r="O417" i="2"/>
  <c r="Z418" i="2" s="1"/>
  <c r="P417" i="2"/>
  <c r="T417" i="2"/>
  <c r="A418" i="2"/>
  <c r="B418" i="2"/>
  <c r="C418" i="2"/>
  <c r="D418" i="2"/>
  <c r="E418" i="2"/>
  <c r="F418" i="2"/>
  <c r="G418" i="2"/>
  <c r="R418" i="2" s="1"/>
  <c r="H418" i="2"/>
  <c r="S418" i="2" s="1"/>
  <c r="I418" i="2"/>
  <c r="J418" i="2"/>
  <c r="K418" i="2"/>
  <c r="L418" i="2"/>
  <c r="M418" i="2"/>
  <c r="N418" i="2"/>
  <c r="O418" i="2"/>
  <c r="Z419" i="2" s="1"/>
  <c r="P418" i="2"/>
  <c r="T418" i="2"/>
  <c r="A419" i="2"/>
  <c r="B419" i="2"/>
  <c r="C419" i="2"/>
  <c r="D419" i="2"/>
  <c r="E419" i="2"/>
  <c r="F419" i="2"/>
  <c r="G419" i="2"/>
  <c r="R419" i="2" s="1"/>
  <c r="H419" i="2"/>
  <c r="S419" i="2" s="1"/>
  <c r="I419" i="2"/>
  <c r="J419" i="2"/>
  <c r="K419" i="2"/>
  <c r="L419" i="2"/>
  <c r="M419" i="2"/>
  <c r="N419" i="2"/>
  <c r="O419" i="2"/>
  <c r="Z420" i="2" s="1"/>
  <c r="P419" i="2"/>
  <c r="T419" i="2"/>
  <c r="A420" i="2"/>
  <c r="B420" i="2"/>
  <c r="C420" i="2"/>
  <c r="D420" i="2"/>
  <c r="E420" i="2"/>
  <c r="F420" i="2"/>
  <c r="G420" i="2"/>
  <c r="R420" i="2" s="1"/>
  <c r="H420" i="2"/>
  <c r="S420" i="2" s="1"/>
  <c r="I420" i="2"/>
  <c r="J420" i="2"/>
  <c r="K420" i="2"/>
  <c r="L420" i="2"/>
  <c r="M420" i="2"/>
  <c r="N420" i="2"/>
  <c r="O420" i="2"/>
  <c r="Z421" i="2" s="1"/>
  <c r="P420" i="2"/>
  <c r="T420" i="2"/>
  <c r="A421" i="2"/>
  <c r="B421" i="2"/>
  <c r="C421" i="2"/>
  <c r="D421" i="2"/>
  <c r="E421" i="2"/>
  <c r="F421" i="2"/>
  <c r="G421" i="2"/>
  <c r="R421" i="2" s="1"/>
  <c r="H421" i="2"/>
  <c r="S421" i="2" s="1"/>
  <c r="I421" i="2"/>
  <c r="J421" i="2"/>
  <c r="K421" i="2"/>
  <c r="L421" i="2"/>
  <c r="M421" i="2"/>
  <c r="N421" i="2"/>
  <c r="O421" i="2"/>
  <c r="Z422" i="2" s="1"/>
  <c r="P421" i="2"/>
  <c r="T421" i="2"/>
  <c r="A422" i="2"/>
  <c r="B422" i="2"/>
  <c r="C422" i="2"/>
  <c r="D422" i="2"/>
  <c r="E422" i="2"/>
  <c r="F422" i="2"/>
  <c r="G422" i="2"/>
  <c r="R422" i="2" s="1"/>
  <c r="H422" i="2"/>
  <c r="S422" i="2" s="1"/>
  <c r="I422" i="2"/>
  <c r="J422" i="2"/>
  <c r="K422" i="2"/>
  <c r="L422" i="2"/>
  <c r="M422" i="2"/>
  <c r="N422" i="2"/>
  <c r="O422" i="2"/>
  <c r="Z423" i="2" s="1"/>
  <c r="P422" i="2"/>
  <c r="T422" i="2"/>
  <c r="A423" i="2"/>
  <c r="B423" i="2"/>
  <c r="C423" i="2"/>
  <c r="D423" i="2"/>
  <c r="E423" i="2"/>
  <c r="F423" i="2"/>
  <c r="G423" i="2"/>
  <c r="R423" i="2" s="1"/>
  <c r="H423" i="2"/>
  <c r="S423" i="2" s="1"/>
  <c r="I423" i="2"/>
  <c r="J423" i="2"/>
  <c r="K423" i="2"/>
  <c r="L423" i="2"/>
  <c r="M423" i="2"/>
  <c r="N423" i="2"/>
  <c r="O423" i="2"/>
  <c r="Z424" i="2" s="1"/>
  <c r="P423" i="2"/>
  <c r="T423" i="2"/>
  <c r="A424" i="2"/>
  <c r="B424" i="2"/>
  <c r="C424" i="2"/>
  <c r="D424" i="2"/>
  <c r="E424" i="2"/>
  <c r="F424" i="2"/>
  <c r="G424" i="2"/>
  <c r="R424" i="2" s="1"/>
  <c r="H424" i="2"/>
  <c r="S424" i="2" s="1"/>
  <c r="I424" i="2"/>
  <c r="J424" i="2"/>
  <c r="K424" i="2"/>
  <c r="L424" i="2"/>
  <c r="M424" i="2"/>
  <c r="N424" i="2"/>
  <c r="O424" i="2"/>
  <c r="Z425" i="2" s="1"/>
  <c r="P424" i="2"/>
  <c r="T424" i="2"/>
  <c r="A425" i="2"/>
  <c r="B425" i="2"/>
  <c r="C425" i="2"/>
  <c r="D425" i="2"/>
  <c r="E425" i="2"/>
  <c r="F425" i="2"/>
  <c r="G425" i="2"/>
  <c r="R425" i="2" s="1"/>
  <c r="H425" i="2"/>
  <c r="S425" i="2" s="1"/>
  <c r="I425" i="2"/>
  <c r="J425" i="2"/>
  <c r="K425" i="2"/>
  <c r="L425" i="2"/>
  <c r="M425" i="2"/>
  <c r="N425" i="2"/>
  <c r="O425" i="2"/>
  <c r="Z426" i="2" s="1"/>
  <c r="P425" i="2"/>
  <c r="T425" i="2"/>
  <c r="A426" i="2"/>
  <c r="B426" i="2"/>
  <c r="C426" i="2"/>
  <c r="D426" i="2"/>
  <c r="E426" i="2"/>
  <c r="F426" i="2"/>
  <c r="G426" i="2"/>
  <c r="R426" i="2" s="1"/>
  <c r="H426" i="2"/>
  <c r="S426" i="2" s="1"/>
  <c r="I426" i="2"/>
  <c r="J426" i="2"/>
  <c r="K426" i="2"/>
  <c r="L426" i="2"/>
  <c r="M426" i="2"/>
  <c r="N426" i="2"/>
  <c r="O426" i="2"/>
  <c r="Z427" i="2" s="1"/>
  <c r="P426" i="2"/>
  <c r="T426" i="2"/>
  <c r="A427" i="2"/>
  <c r="B427" i="2"/>
  <c r="C427" i="2"/>
  <c r="D427" i="2"/>
  <c r="E427" i="2"/>
  <c r="F427" i="2"/>
  <c r="G427" i="2"/>
  <c r="R427" i="2" s="1"/>
  <c r="H427" i="2"/>
  <c r="S427" i="2" s="1"/>
  <c r="I427" i="2"/>
  <c r="J427" i="2"/>
  <c r="K427" i="2"/>
  <c r="L427" i="2"/>
  <c r="M427" i="2"/>
  <c r="N427" i="2"/>
  <c r="O427" i="2"/>
  <c r="P427" i="2"/>
  <c r="T427" i="2"/>
  <c r="A390" i="2"/>
  <c r="B390" i="2"/>
  <c r="C390" i="2"/>
  <c r="D390" i="2"/>
  <c r="E390" i="2"/>
  <c r="F390" i="2"/>
  <c r="G390" i="2"/>
  <c r="H390" i="2"/>
  <c r="I390" i="2"/>
  <c r="K390" i="2"/>
  <c r="J390" i="2" s="1"/>
  <c r="L390" i="2"/>
  <c r="M390" i="2"/>
  <c r="N390" i="2"/>
  <c r="O390" i="2"/>
  <c r="P390" i="2"/>
  <c r="S391" i="2"/>
  <c r="R391" i="2"/>
  <c r="P391" i="2"/>
  <c r="O391" i="2"/>
  <c r="N391" i="2"/>
  <c r="M391" i="2"/>
  <c r="L391" i="2"/>
  <c r="K391" i="2"/>
  <c r="J391" i="2"/>
  <c r="I391" i="2"/>
  <c r="T391" i="2" s="1"/>
  <c r="H391" i="2"/>
  <c r="G391" i="2"/>
  <c r="F391" i="2"/>
  <c r="E391" i="2"/>
  <c r="D391" i="2"/>
  <c r="C391" i="2"/>
  <c r="B391" i="2"/>
  <c r="A391" i="2"/>
  <c r="K436" i="1"/>
  <c r="K435" i="1"/>
  <c r="K432" i="1"/>
  <c r="K431" i="1"/>
  <c r="H438" i="1"/>
  <c r="G437" i="1"/>
  <c r="H436" i="1"/>
  <c r="G435" i="1"/>
  <c r="H434" i="1"/>
  <c r="G433" i="1"/>
  <c r="H432" i="1"/>
  <c r="G431" i="1"/>
  <c r="F438" i="1"/>
  <c r="F433" i="1"/>
  <c r="F432" i="1"/>
  <c r="E431" i="1"/>
  <c r="N414" i="1"/>
  <c r="K428" i="1"/>
  <c r="K426" i="1"/>
  <c r="K424" i="1"/>
  <c r="K423" i="1"/>
  <c r="K420" i="1"/>
  <c r="K418" i="1"/>
  <c r="K416" i="1"/>
  <c r="K413" i="1"/>
  <c r="K411" i="1"/>
  <c r="K410" i="1"/>
  <c r="K409" i="1"/>
  <c r="K406" i="1"/>
  <c r="K405" i="1"/>
  <c r="K403" i="1"/>
  <c r="K401" i="1"/>
  <c r="K397" i="1"/>
  <c r="K395" i="1"/>
  <c r="K393" i="1"/>
  <c r="G410" i="1"/>
  <c r="H411" i="1"/>
  <c r="G412" i="1"/>
  <c r="H413" i="1"/>
  <c r="H406" i="1"/>
  <c r="G407" i="1"/>
  <c r="H408" i="1"/>
  <c r="G409" i="1"/>
  <c r="H414" i="1"/>
  <c r="G415" i="1"/>
  <c r="H416" i="1"/>
  <c r="G417" i="1"/>
  <c r="H418" i="1"/>
  <c r="G419" i="1"/>
  <c r="H420" i="1"/>
  <c r="G421" i="1"/>
  <c r="H422" i="1"/>
  <c r="G423" i="1"/>
  <c r="H424" i="1"/>
  <c r="G425" i="1"/>
  <c r="H426" i="1"/>
  <c r="G427" i="1"/>
  <c r="H428" i="1"/>
  <c r="H405" i="1"/>
  <c r="G404" i="1"/>
  <c r="H403" i="1"/>
  <c r="G402" i="1"/>
  <c r="H401" i="1"/>
  <c r="G400" i="1"/>
  <c r="H399" i="1"/>
  <c r="G398" i="1"/>
  <c r="H397" i="1"/>
  <c r="G396" i="1"/>
  <c r="H395" i="1"/>
  <c r="G394" i="1"/>
  <c r="H393" i="1"/>
  <c r="H392" i="1"/>
  <c r="G391" i="1"/>
  <c r="E423" i="1"/>
  <c r="E420" i="1"/>
  <c r="F410" i="1"/>
  <c r="F402" i="1"/>
  <c r="F401" i="1"/>
  <c r="E401" i="1"/>
  <c r="D401" i="1"/>
  <c r="C401" i="1"/>
  <c r="F391" i="1"/>
  <c r="E391" i="1"/>
  <c r="F392" i="1"/>
  <c r="E392" i="1"/>
  <c r="D392" i="1"/>
  <c r="C392" i="1"/>
  <c r="M500" i="4" l="1"/>
  <c r="N474" i="4"/>
  <c r="O474" i="4"/>
  <c r="N470" i="4"/>
  <c r="O470" i="4"/>
  <c r="N490" i="4"/>
  <c r="O490" i="4"/>
  <c r="N486" i="4"/>
  <c r="O486" i="4"/>
  <c r="N482" i="4"/>
  <c r="O482" i="4"/>
  <c r="N478" i="4"/>
  <c r="O478" i="4"/>
  <c r="N494" i="4"/>
  <c r="O494" i="4"/>
  <c r="N466" i="4"/>
  <c r="O466" i="4"/>
  <c r="N462" i="4"/>
  <c r="O462" i="4"/>
  <c r="O468" i="4"/>
  <c r="O465" i="4"/>
  <c r="O464" i="4"/>
  <c r="O461" i="4"/>
  <c r="O460" i="4"/>
  <c r="M499" i="4"/>
  <c r="O495" i="4"/>
  <c r="O479" i="4"/>
  <c r="O471" i="4"/>
  <c r="O463" i="4"/>
  <c r="M461" i="4"/>
  <c r="O473" i="4"/>
  <c r="O472" i="4"/>
  <c r="O469" i="4"/>
  <c r="O493" i="4"/>
  <c r="O492" i="4"/>
  <c r="O489" i="4"/>
  <c r="O485" i="4"/>
  <c r="O484" i="4"/>
  <c r="O481" i="4"/>
  <c r="O480" i="4"/>
  <c r="O477" i="4"/>
  <c r="O476" i="4"/>
  <c r="O496" i="4"/>
  <c r="O491" i="4"/>
  <c r="M489" i="4"/>
  <c r="O483" i="4"/>
  <c r="M481" i="4"/>
  <c r="O475" i="4"/>
  <c r="M473" i="4"/>
  <c r="O467" i="4"/>
  <c r="M465" i="4"/>
  <c r="O459" i="4"/>
  <c r="E391" i="3"/>
  <c r="E394" i="3"/>
  <c r="X402" i="2"/>
  <c r="X398" i="2"/>
  <c r="X394" i="2"/>
  <c r="E398" i="3"/>
  <c r="E407" i="3"/>
  <c r="E406" i="3"/>
  <c r="X392" i="2"/>
  <c r="W434" i="2"/>
  <c r="X434" i="2"/>
  <c r="W428" i="2"/>
  <c r="X428" i="2"/>
  <c r="W424" i="2"/>
  <c r="X424" i="2"/>
  <c r="W418" i="2"/>
  <c r="X418" i="2"/>
  <c r="W414" i="2"/>
  <c r="X414" i="2"/>
  <c r="W408" i="2"/>
  <c r="X408" i="2"/>
  <c r="W437" i="2"/>
  <c r="X437" i="2"/>
  <c r="W433" i="2"/>
  <c r="X433" i="2"/>
  <c r="W425" i="2"/>
  <c r="X425" i="2"/>
  <c r="W423" i="2"/>
  <c r="X423" i="2"/>
  <c r="W419" i="2"/>
  <c r="X419" i="2"/>
  <c r="W417" i="2"/>
  <c r="X417" i="2"/>
  <c r="W415" i="2"/>
  <c r="X415" i="2"/>
  <c r="W413" i="2"/>
  <c r="X413" i="2"/>
  <c r="W411" i="2"/>
  <c r="X411" i="2"/>
  <c r="W409" i="2"/>
  <c r="X409" i="2"/>
  <c r="W438" i="2"/>
  <c r="X438" i="2"/>
  <c r="W436" i="2"/>
  <c r="X436" i="2"/>
  <c r="W432" i="2"/>
  <c r="X432" i="2"/>
  <c r="W426" i="2"/>
  <c r="X426" i="2"/>
  <c r="W422" i="2"/>
  <c r="X422" i="2"/>
  <c r="W420" i="2"/>
  <c r="X420" i="2"/>
  <c r="W416" i="2"/>
  <c r="X416" i="2"/>
  <c r="W412" i="2"/>
  <c r="X412" i="2"/>
  <c r="W410" i="2"/>
  <c r="X410" i="2"/>
  <c r="W435" i="2"/>
  <c r="X435" i="2"/>
  <c r="W431" i="2"/>
  <c r="X431" i="2"/>
  <c r="W427" i="2"/>
  <c r="X427" i="2"/>
  <c r="W421" i="2"/>
  <c r="X421" i="2"/>
  <c r="X407" i="2"/>
  <c r="X406" i="2"/>
  <c r="X405" i="2"/>
  <c r="X404" i="2"/>
  <c r="B404" i="4"/>
  <c r="C404" i="4"/>
  <c r="L404" i="4" s="1"/>
  <c r="D404" i="4"/>
  <c r="E404" i="4"/>
  <c r="B363" i="4"/>
  <c r="C363" i="4"/>
  <c r="L363" i="4" s="1"/>
  <c r="D363" i="4"/>
  <c r="E363" i="4"/>
  <c r="C333" i="4"/>
  <c r="L333" i="4" s="1"/>
  <c r="D333" i="4"/>
  <c r="E333" i="4"/>
  <c r="C372" i="4"/>
  <c r="L372" i="4" s="1"/>
  <c r="B89" i="4"/>
  <c r="K89" i="4" s="1"/>
  <c r="J405" i="4" l="1"/>
  <c r="J373" i="4"/>
  <c r="J364" i="4"/>
  <c r="J357" i="4"/>
  <c r="A332" i="4" l="1"/>
  <c r="B332" i="4"/>
  <c r="C332" i="4"/>
  <c r="F332" i="4"/>
  <c r="J332" i="4"/>
  <c r="K332" i="4"/>
  <c r="A39" i="4"/>
  <c r="J39" i="4" s="1"/>
  <c r="B39" i="4"/>
  <c r="K39" i="4" s="1"/>
  <c r="I39" i="4"/>
  <c r="A89" i="4"/>
  <c r="J89" i="4" s="1"/>
  <c r="I89" i="4"/>
  <c r="A4" i="4"/>
  <c r="J4" i="4" s="1"/>
  <c r="B4" i="4"/>
  <c r="K4" i="4" s="1"/>
  <c r="C4" i="4"/>
  <c r="I4" i="4"/>
  <c r="K27" i="1"/>
  <c r="J36"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7" i="4"/>
  <c r="I40" i="4"/>
  <c r="I41" i="4"/>
  <c r="I42" i="4"/>
  <c r="J334" i="4"/>
  <c r="A336" i="4"/>
  <c r="J336" i="4" s="1"/>
  <c r="B336" i="4"/>
  <c r="K336" i="4" s="1"/>
  <c r="C336" i="4"/>
  <c r="L336" i="4" s="1"/>
  <c r="A337" i="4"/>
  <c r="J337" i="4" s="1"/>
  <c r="B337" i="4"/>
  <c r="K337" i="4" s="1"/>
  <c r="C337" i="4"/>
  <c r="L337" i="4" s="1"/>
  <c r="F337" i="4"/>
  <c r="A338" i="4"/>
  <c r="J338" i="4" s="1"/>
  <c r="B338" i="4"/>
  <c r="K338" i="4" s="1"/>
  <c r="C338" i="4"/>
  <c r="L338" i="4" s="1"/>
  <c r="F338" i="4"/>
  <c r="A339" i="4"/>
  <c r="J339" i="4" s="1"/>
  <c r="B339" i="4"/>
  <c r="K339" i="4" s="1"/>
  <c r="C339" i="4"/>
  <c r="L339" i="4" s="1"/>
  <c r="F339" i="4"/>
  <c r="A340" i="4"/>
  <c r="J340" i="4" s="1"/>
  <c r="B340" i="4"/>
  <c r="K340" i="4" s="1"/>
  <c r="C340" i="4"/>
  <c r="L340" i="4" s="1"/>
  <c r="F340" i="4"/>
  <c r="A341" i="4"/>
  <c r="J341" i="4" s="1"/>
  <c r="B341" i="4"/>
  <c r="K341" i="4" s="1"/>
  <c r="C341" i="4"/>
  <c r="L341" i="4" s="1"/>
  <c r="A342" i="4"/>
  <c r="J342" i="4" s="1"/>
  <c r="B342" i="4"/>
  <c r="K342" i="4" s="1"/>
  <c r="C342" i="4"/>
  <c r="L342" i="4" s="1"/>
  <c r="F342" i="4"/>
  <c r="A343" i="4"/>
  <c r="J343" i="4" s="1"/>
  <c r="B343" i="4"/>
  <c r="K343" i="4" s="1"/>
  <c r="C343" i="4"/>
  <c r="L343" i="4" s="1"/>
  <c r="F343" i="4"/>
  <c r="A344" i="4"/>
  <c r="J344" i="4" s="1"/>
  <c r="B344" i="4"/>
  <c r="K344" i="4" s="1"/>
  <c r="C344" i="4"/>
  <c r="L344" i="4" s="1"/>
  <c r="A345" i="4"/>
  <c r="J345" i="4" s="1"/>
  <c r="B345" i="4"/>
  <c r="K345" i="4" s="1"/>
  <c r="C345" i="4"/>
  <c r="L345" i="4" s="1"/>
  <c r="A346" i="4"/>
  <c r="J346" i="4" s="1"/>
  <c r="B346" i="4"/>
  <c r="K346" i="4" s="1"/>
  <c r="C346" i="4"/>
  <c r="L346" i="4" s="1"/>
  <c r="A347" i="4"/>
  <c r="J347" i="4" s="1"/>
  <c r="B347" i="4"/>
  <c r="K347" i="4" s="1"/>
  <c r="C347" i="4"/>
  <c r="L347" i="4" s="1"/>
  <c r="A348" i="4"/>
  <c r="J348" i="4" s="1"/>
  <c r="B348" i="4"/>
  <c r="K348" i="4" s="1"/>
  <c r="C348" i="4"/>
  <c r="L348" i="4" s="1"/>
  <c r="F348" i="4"/>
  <c r="A349" i="4"/>
  <c r="J349" i="4" s="1"/>
  <c r="B349" i="4"/>
  <c r="K349" i="4" s="1"/>
  <c r="C349" i="4"/>
  <c r="L349" i="4" s="1"/>
  <c r="F349" i="4"/>
  <c r="A350" i="4"/>
  <c r="J350" i="4" s="1"/>
  <c r="B350" i="4"/>
  <c r="K350" i="4" s="1"/>
  <c r="C350" i="4"/>
  <c r="L350" i="4" s="1"/>
  <c r="A351" i="4"/>
  <c r="J351" i="4" s="1"/>
  <c r="B351" i="4"/>
  <c r="K351" i="4" s="1"/>
  <c r="C351" i="4"/>
  <c r="L351" i="4" s="1"/>
  <c r="A352" i="4"/>
  <c r="J352" i="4" s="1"/>
  <c r="B352" i="4"/>
  <c r="K352" i="4" s="1"/>
  <c r="C352" i="4"/>
  <c r="L352" i="4" s="1"/>
  <c r="A353" i="4"/>
  <c r="J353" i="4" s="1"/>
  <c r="B353" i="4"/>
  <c r="K353" i="4" s="1"/>
  <c r="C353" i="4"/>
  <c r="L353" i="4" s="1"/>
  <c r="A354" i="4"/>
  <c r="J354" i="4" s="1"/>
  <c r="B354" i="4"/>
  <c r="C354" i="4"/>
  <c r="F354" i="4"/>
  <c r="A355" i="4"/>
  <c r="J355" i="4" s="1"/>
  <c r="B355" i="4"/>
  <c r="K355" i="4" s="1"/>
  <c r="C355" i="4"/>
  <c r="L355" i="4" s="1"/>
  <c r="F355" i="4"/>
  <c r="A356" i="4"/>
  <c r="J356" i="4" s="1"/>
  <c r="B356" i="4"/>
  <c r="K356" i="4" s="1"/>
  <c r="C356" i="4"/>
  <c r="L356" i="4" s="1"/>
  <c r="F356" i="4"/>
  <c r="A358" i="4"/>
  <c r="J358" i="4" s="1"/>
  <c r="B358" i="4"/>
  <c r="K358" i="4" s="1"/>
  <c r="C358" i="4"/>
  <c r="L358" i="4" s="1"/>
  <c r="A359" i="4"/>
  <c r="J359" i="4" s="1"/>
  <c r="B359" i="4"/>
  <c r="K359" i="4" s="1"/>
  <c r="C359" i="4"/>
  <c r="L359" i="4" s="1"/>
  <c r="A360" i="4"/>
  <c r="J360" i="4" s="1"/>
  <c r="B360" i="4"/>
  <c r="K360" i="4" s="1"/>
  <c r="C360" i="4"/>
  <c r="L360" i="4" s="1"/>
  <c r="A361" i="4"/>
  <c r="J361" i="4" s="1"/>
  <c r="B361" i="4"/>
  <c r="C361" i="4"/>
  <c r="F361" i="4"/>
  <c r="A363" i="4"/>
  <c r="J363" i="4" s="1"/>
  <c r="K363" i="4"/>
  <c r="F363" i="4"/>
  <c r="A365" i="4"/>
  <c r="J365" i="4" s="1"/>
  <c r="B365" i="4"/>
  <c r="K365" i="4" s="1"/>
  <c r="C365" i="4"/>
  <c r="L365" i="4" s="1"/>
  <c r="F365" i="4"/>
  <c r="A366" i="4"/>
  <c r="J366" i="4" s="1"/>
  <c r="B366" i="4"/>
  <c r="K366" i="4" s="1"/>
  <c r="C366" i="4"/>
  <c r="L366" i="4" s="1"/>
  <c r="F366" i="4"/>
  <c r="A367" i="4"/>
  <c r="J367" i="4" s="1"/>
  <c r="B367" i="4"/>
  <c r="K367" i="4" s="1"/>
  <c r="C367" i="4"/>
  <c r="L367" i="4" s="1"/>
  <c r="F367" i="4"/>
  <c r="A368" i="4"/>
  <c r="J368" i="4" s="1"/>
  <c r="B368" i="4"/>
  <c r="K368" i="4" s="1"/>
  <c r="C368" i="4"/>
  <c r="L368" i="4" s="1"/>
  <c r="F368" i="4"/>
  <c r="A369" i="4"/>
  <c r="J369" i="4" s="1"/>
  <c r="B369" i="4"/>
  <c r="K369" i="4" s="1"/>
  <c r="C369" i="4"/>
  <c r="L369" i="4" s="1"/>
  <c r="F369" i="4"/>
  <c r="A370" i="4"/>
  <c r="J370" i="4" s="1"/>
  <c r="B370" i="4"/>
  <c r="C370" i="4"/>
  <c r="F370" i="4"/>
  <c r="A372" i="4"/>
  <c r="J372" i="4" s="1"/>
  <c r="B372" i="4"/>
  <c r="K372" i="4" s="1"/>
  <c r="A374" i="4"/>
  <c r="J374" i="4" s="1"/>
  <c r="B374" i="4"/>
  <c r="K374" i="4" s="1"/>
  <c r="C374" i="4"/>
  <c r="L374" i="4" s="1"/>
  <c r="F374" i="4"/>
  <c r="A375" i="4"/>
  <c r="J375" i="4" s="1"/>
  <c r="B375" i="4"/>
  <c r="K375" i="4" s="1"/>
  <c r="C375" i="4"/>
  <c r="L375" i="4" s="1"/>
  <c r="A376" i="4"/>
  <c r="J376" i="4" s="1"/>
  <c r="B376" i="4"/>
  <c r="K376" i="4" s="1"/>
  <c r="C376" i="4"/>
  <c r="L376" i="4" s="1"/>
  <c r="A377" i="4"/>
  <c r="J377" i="4" s="1"/>
  <c r="B377" i="4"/>
  <c r="K377" i="4" s="1"/>
  <c r="C377" i="4"/>
  <c r="L377" i="4" s="1"/>
  <c r="A378" i="4"/>
  <c r="J378" i="4" s="1"/>
  <c r="B378" i="4"/>
  <c r="K378" i="4" s="1"/>
  <c r="C378" i="4"/>
  <c r="L378" i="4" s="1"/>
  <c r="A379" i="4"/>
  <c r="J379" i="4" s="1"/>
  <c r="B379" i="4"/>
  <c r="C379" i="4"/>
  <c r="F379" i="4"/>
  <c r="A380" i="4"/>
  <c r="J380" i="4" s="1"/>
  <c r="B380" i="4"/>
  <c r="K380" i="4" s="1"/>
  <c r="C380" i="4"/>
  <c r="L380" i="4" s="1"/>
  <c r="F380" i="4"/>
  <c r="A381" i="4"/>
  <c r="J381" i="4" s="1"/>
  <c r="B381" i="4"/>
  <c r="K381" i="4" s="1"/>
  <c r="C381" i="4"/>
  <c r="L381" i="4" s="1"/>
  <c r="F381" i="4"/>
  <c r="A382" i="4"/>
  <c r="J382" i="4" s="1"/>
  <c r="B382" i="4"/>
  <c r="K382" i="4" s="1"/>
  <c r="C382" i="4"/>
  <c r="L382" i="4" s="1"/>
  <c r="F382" i="4"/>
  <c r="A383" i="4"/>
  <c r="J383" i="4" s="1"/>
  <c r="B383" i="4"/>
  <c r="K383" i="4" s="1"/>
  <c r="C383" i="4"/>
  <c r="L383" i="4" s="1"/>
  <c r="F383" i="4"/>
  <c r="A384" i="4"/>
  <c r="J384" i="4" s="1"/>
  <c r="B384" i="4"/>
  <c r="K384" i="4" s="1"/>
  <c r="C384" i="4"/>
  <c r="L384" i="4" s="1"/>
  <c r="F384" i="4"/>
  <c r="A385" i="4"/>
  <c r="J385" i="4" s="1"/>
  <c r="B385" i="4"/>
  <c r="K385" i="4" s="1"/>
  <c r="C385" i="4"/>
  <c r="L385" i="4" s="1"/>
  <c r="F385" i="4"/>
  <c r="A386" i="4"/>
  <c r="J386" i="4" s="1"/>
  <c r="B386" i="4"/>
  <c r="C386" i="4"/>
  <c r="F386" i="4"/>
  <c r="A387" i="4"/>
  <c r="J387" i="4" s="1"/>
  <c r="B387" i="4"/>
  <c r="K387" i="4" s="1"/>
  <c r="C387" i="4"/>
  <c r="F387" i="4"/>
  <c r="A388" i="4"/>
  <c r="J388" i="4" s="1"/>
  <c r="B388" i="4"/>
  <c r="K388" i="4" s="1"/>
  <c r="C388" i="4"/>
  <c r="L388" i="4" s="1"/>
  <c r="F388" i="4"/>
  <c r="B389" i="4"/>
  <c r="C389" i="4"/>
  <c r="F389" i="4"/>
  <c r="A390" i="4"/>
  <c r="J390" i="4" s="1"/>
  <c r="B390" i="4"/>
  <c r="K390" i="4" s="1"/>
  <c r="C390" i="4"/>
  <c r="L390" i="4" s="1"/>
  <c r="F390" i="4"/>
  <c r="B391" i="4"/>
  <c r="K391" i="4" s="1"/>
  <c r="C391" i="4"/>
  <c r="L391" i="4" s="1"/>
  <c r="F391" i="4"/>
  <c r="B392" i="4"/>
  <c r="K392" i="4" s="1"/>
  <c r="C392" i="4"/>
  <c r="L392" i="4" s="1"/>
  <c r="F392" i="4"/>
  <c r="B393" i="4"/>
  <c r="K393" i="4" s="1"/>
  <c r="C393" i="4"/>
  <c r="L393" i="4" s="1"/>
  <c r="B394" i="4"/>
  <c r="K394" i="4" s="1"/>
  <c r="C394" i="4"/>
  <c r="L394" i="4" s="1"/>
  <c r="F394" i="4"/>
  <c r="B395" i="4"/>
  <c r="K395" i="4" s="1"/>
  <c r="C395" i="4"/>
  <c r="L395" i="4" s="1"/>
  <c r="F395" i="4"/>
  <c r="B396" i="4"/>
  <c r="K396" i="4" s="1"/>
  <c r="C396" i="4"/>
  <c r="L396" i="4" s="1"/>
  <c r="F396" i="4"/>
  <c r="B397" i="4"/>
  <c r="K397" i="4" s="1"/>
  <c r="C397" i="4"/>
  <c r="L397" i="4" s="1"/>
  <c r="F397" i="4"/>
  <c r="B398" i="4"/>
  <c r="K398" i="4" s="1"/>
  <c r="C398" i="4"/>
  <c r="L398" i="4" s="1"/>
  <c r="F398" i="4"/>
  <c r="B399" i="4"/>
  <c r="K399" i="4" s="1"/>
  <c r="C399" i="4"/>
  <c r="L399" i="4" s="1"/>
  <c r="F399" i="4"/>
  <c r="B400" i="4"/>
  <c r="K400" i="4" s="1"/>
  <c r="C400" i="4"/>
  <c r="L400" i="4" s="1"/>
  <c r="F400" i="4"/>
  <c r="B401" i="4"/>
  <c r="C401" i="4"/>
  <c r="F401" i="4"/>
  <c r="A402" i="4"/>
  <c r="B402" i="4"/>
  <c r="C402" i="4"/>
  <c r="F402" i="4"/>
  <c r="A404" i="4"/>
  <c r="J404" i="4" s="1"/>
  <c r="F404" i="4"/>
  <c r="A406" i="4"/>
  <c r="J406" i="4" s="1"/>
  <c r="B406" i="4"/>
  <c r="K406" i="4" s="1"/>
  <c r="C406" i="4"/>
  <c r="L406" i="4" s="1"/>
  <c r="F406" i="4"/>
  <c r="A407" i="4"/>
  <c r="J407" i="4" s="1"/>
  <c r="B407" i="4"/>
  <c r="K407" i="4" s="1"/>
  <c r="C407" i="4"/>
  <c r="L407" i="4" s="1"/>
  <c r="F407" i="4"/>
  <c r="A408" i="4"/>
  <c r="J408" i="4" s="1"/>
  <c r="B408" i="4"/>
  <c r="K408" i="4" s="1"/>
  <c r="C408" i="4"/>
  <c r="L408" i="4" s="1"/>
  <c r="F408" i="4"/>
  <c r="A409" i="4"/>
  <c r="J409" i="4" s="1"/>
  <c r="B409" i="4"/>
  <c r="K409" i="4" s="1"/>
  <c r="C409" i="4"/>
  <c r="L409" i="4" s="1"/>
  <c r="A410" i="4"/>
  <c r="J410" i="4" s="1"/>
  <c r="B410" i="4"/>
  <c r="K410" i="4" s="1"/>
  <c r="C410" i="4"/>
  <c r="L410" i="4" s="1"/>
  <c r="F410" i="4"/>
  <c r="A411" i="4"/>
  <c r="J411" i="4" s="1"/>
  <c r="B411" i="4"/>
  <c r="K411" i="4" s="1"/>
  <c r="C411" i="4"/>
  <c r="L411" i="4" s="1"/>
  <c r="F411" i="4"/>
  <c r="A412" i="4"/>
  <c r="J412" i="4" s="1"/>
  <c r="B412" i="4"/>
  <c r="K412" i="4" s="1"/>
  <c r="C412" i="4"/>
  <c r="L412" i="4" s="1"/>
  <c r="F412" i="4"/>
  <c r="A413" i="4"/>
  <c r="J413" i="4" s="1"/>
  <c r="B413" i="4"/>
  <c r="K413" i="4" s="1"/>
  <c r="C413" i="4"/>
  <c r="L413" i="4" s="1"/>
  <c r="A414" i="4"/>
  <c r="J414" i="4" s="1"/>
  <c r="B414" i="4"/>
  <c r="K414" i="4" s="1"/>
  <c r="C414" i="4"/>
  <c r="L414" i="4" s="1"/>
  <c r="A415" i="4"/>
  <c r="J415" i="4" s="1"/>
  <c r="B415" i="4"/>
  <c r="K415" i="4" s="1"/>
  <c r="C415" i="4"/>
  <c r="L415" i="4" s="1"/>
  <c r="F415" i="4"/>
  <c r="A416" i="4"/>
  <c r="J416" i="4" s="1"/>
  <c r="B416" i="4"/>
  <c r="K416" i="4" s="1"/>
  <c r="C416" i="4"/>
  <c r="L416" i="4" s="1"/>
  <c r="A417" i="4"/>
  <c r="J417" i="4" s="1"/>
  <c r="B417" i="4"/>
  <c r="K417" i="4" s="1"/>
  <c r="C417" i="4"/>
  <c r="L417" i="4" s="1"/>
  <c r="F417" i="4"/>
  <c r="A418" i="4"/>
  <c r="J418" i="4" s="1"/>
  <c r="B418" i="4"/>
  <c r="K418" i="4" s="1"/>
  <c r="C418" i="4"/>
  <c r="L418" i="4" s="1"/>
  <c r="F418" i="4"/>
  <c r="A419" i="4"/>
  <c r="J419" i="4" s="1"/>
  <c r="B419" i="4"/>
  <c r="K419" i="4" s="1"/>
  <c r="C419" i="4"/>
  <c r="L419" i="4" s="1"/>
  <c r="A420" i="4"/>
  <c r="J420" i="4" s="1"/>
  <c r="B420" i="4"/>
  <c r="K420" i="4" s="1"/>
  <c r="C420" i="4"/>
  <c r="L420" i="4" s="1"/>
  <c r="A421" i="4"/>
  <c r="J421" i="4" s="1"/>
  <c r="B421" i="4"/>
  <c r="K421" i="4" s="1"/>
  <c r="C421" i="4"/>
  <c r="L421" i="4" s="1"/>
  <c r="F421" i="4"/>
  <c r="A422" i="4"/>
  <c r="J422" i="4" s="1"/>
  <c r="B422" i="4"/>
  <c r="K422" i="4" s="1"/>
  <c r="C422" i="4"/>
  <c r="L422" i="4" s="1"/>
  <c r="F422" i="4"/>
  <c r="A423" i="4"/>
  <c r="J423" i="4" s="1"/>
  <c r="B423" i="4"/>
  <c r="K423" i="4" s="1"/>
  <c r="C423" i="4"/>
  <c r="L423" i="4" s="1"/>
  <c r="A424" i="4"/>
  <c r="J424" i="4" s="1"/>
  <c r="B424" i="4"/>
  <c r="K424" i="4" s="1"/>
  <c r="C424" i="4"/>
  <c r="L424" i="4" s="1"/>
  <c r="F424" i="4"/>
  <c r="A425" i="4"/>
  <c r="J425" i="4" s="1"/>
  <c r="B425" i="4"/>
  <c r="K425" i="4" s="1"/>
  <c r="C425" i="4"/>
  <c r="L425" i="4" s="1"/>
  <c r="F425" i="4"/>
  <c r="A426" i="4"/>
  <c r="J426" i="4" s="1"/>
  <c r="B426" i="4"/>
  <c r="K426" i="4" s="1"/>
  <c r="C426" i="4"/>
  <c r="L426" i="4" s="1"/>
  <c r="F426" i="4"/>
  <c r="A427" i="4"/>
  <c r="J427" i="4" s="1"/>
  <c r="B427" i="4"/>
  <c r="K427" i="4" s="1"/>
  <c r="C427" i="4"/>
  <c r="L427" i="4" s="1"/>
  <c r="F427" i="4"/>
  <c r="A428" i="4"/>
  <c r="J428" i="4" s="1"/>
  <c r="B428" i="4"/>
  <c r="K428" i="4" s="1"/>
  <c r="C428" i="4"/>
  <c r="L428" i="4" s="1"/>
  <c r="F428" i="4"/>
  <c r="A429" i="4"/>
  <c r="J429" i="4" s="1"/>
  <c r="B429" i="4"/>
  <c r="K429" i="4" s="1"/>
  <c r="C429" i="4"/>
  <c r="L429" i="4" s="1"/>
  <c r="F429" i="4"/>
  <c r="A430" i="4"/>
  <c r="J430" i="4" s="1"/>
  <c r="B430" i="4"/>
  <c r="K430" i="4" s="1"/>
  <c r="C430" i="4"/>
  <c r="L430" i="4" s="1"/>
  <c r="F430" i="4"/>
  <c r="A431" i="4"/>
  <c r="J431" i="4" s="1"/>
  <c r="B431" i="4"/>
  <c r="K431" i="4" s="1"/>
  <c r="C431" i="4"/>
  <c r="L431" i="4" s="1"/>
  <c r="F431" i="4"/>
  <c r="A432" i="4"/>
  <c r="J432" i="4" s="1"/>
  <c r="B432" i="4"/>
  <c r="K432" i="4" s="1"/>
  <c r="C432" i="4"/>
  <c r="L432" i="4" s="1"/>
  <c r="F432" i="4"/>
  <c r="A433" i="4"/>
  <c r="J433" i="4" s="1"/>
  <c r="B433" i="4"/>
  <c r="K433" i="4" s="1"/>
  <c r="C433" i="4"/>
  <c r="L433" i="4" s="1"/>
  <c r="F433" i="4"/>
  <c r="A434" i="4"/>
  <c r="J434" i="4" s="1"/>
  <c r="B434" i="4"/>
  <c r="K434" i="4" s="1"/>
  <c r="C434" i="4"/>
  <c r="L434" i="4" s="1"/>
  <c r="F434" i="4"/>
  <c r="A435" i="4"/>
  <c r="J435" i="4" s="1"/>
  <c r="B435" i="4"/>
  <c r="K435" i="4" s="1"/>
  <c r="C435" i="4"/>
  <c r="L435" i="4" s="1"/>
  <c r="F435" i="4"/>
  <c r="A436" i="4"/>
  <c r="J436" i="4" s="1"/>
  <c r="B436" i="4"/>
  <c r="K436" i="4" s="1"/>
  <c r="C436" i="4"/>
  <c r="L436" i="4" s="1"/>
  <c r="F436" i="4"/>
  <c r="A437" i="4"/>
  <c r="J437" i="4" s="1"/>
  <c r="B437" i="4"/>
  <c r="K437" i="4" s="1"/>
  <c r="C437" i="4"/>
  <c r="F437" i="4"/>
  <c r="A438" i="4"/>
  <c r="J438" i="4" s="1"/>
  <c r="B438" i="4"/>
  <c r="K438" i="4" s="1"/>
  <c r="C438" i="4"/>
  <c r="L438" i="4" s="1"/>
  <c r="F438" i="4"/>
  <c r="A439" i="4"/>
  <c r="J439" i="4" s="1"/>
  <c r="B439" i="4"/>
  <c r="K439" i="4" s="1"/>
  <c r="C439" i="4"/>
  <c r="L439" i="4" s="1"/>
  <c r="F439" i="4"/>
  <c r="A440" i="4"/>
  <c r="J440" i="4" s="1"/>
  <c r="B440" i="4"/>
  <c r="K440" i="4" s="1"/>
  <c r="C440" i="4"/>
  <c r="L440" i="4" s="1"/>
  <c r="F440" i="4"/>
  <c r="A441" i="4"/>
  <c r="J441" i="4" s="1"/>
  <c r="B441" i="4"/>
  <c r="K441" i="4" s="1"/>
  <c r="C441" i="4"/>
  <c r="L441" i="4" s="1"/>
  <c r="A442" i="4"/>
  <c r="J442" i="4" s="1"/>
  <c r="B442" i="4"/>
  <c r="K442" i="4" s="1"/>
  <c r="C442" i="4"/>
  <c r="L442" i="4" s="1"/>
  <c r="A443" i="4"/>
  <c r="J443" i="4" s="1"/>
  <c r="B443" i="4"/>
  <c r="C443" i="4"/>
  <c r="F443" i="4"/>
  <c r="A444" i="4"/>
  <c r="B444" i="4"/>
  <c r="C444" i="4"/>
  <c r="F444" i="4"/>
  <c r="A445" i="4"/>
  <c r="J445" i="4" s="1"/>
  <c r="B445" i="4"/>
  <c r="K445" i="4" s="1"/>
  <c r="H445" i="4"/>
  <c r="P445" i="4" s="1"/>
  <c r="A447" i="4"/>
  <c r="J447" i="4" s="1"/>
  <c r="B447" i="4"/>
  <c r="K447" i="4" s="1"/>
  <c r="C447" i="4"/>
  <c r="L447" i="4" s="1"/>
  <c r="D447" i="4"/>
  <c r="E447" i="4"/>
  <c r="N447" i="4" s="1"/>
  <c r="F447" i="4"/>
  <c r="G447" i="4"/>
  <c r="H447" i="4"/>
  <c r="P447" i="4" s="1"/>
  <c r="A448" i="4"/>
  <c r="J448" i="4" s="1"/>
  <c r="B448" i="4"/>
  <c r="K448" i="4" s="1"/>
  <c r="C448" i="4"/>
  <c r="L448" i="4" s="1"/>
  <c r="D448" i="4"/>
  <c r="E448" i="4"/>
  <c r="N448" i="4" s="1"/>
  <c r="F448" i="4"/>
  <c r="G448" i="4"/>
  <c r="H448" i="4"/>
  <c r="P448" i="4" s="1"/>
  <c r="A450" i="4"/>
  <c r="B450" i="4"/>
  <c r="C450" i="4"/>
  <c r="D450" i="4"/>
  <c r="E450" i="4"/>
  <c r="F450" i="4"/>
  <c r="G450" i="4"/>
  <c r="H450" i="4"/>
  <c r="P450" i="4" s="1"/>
  <c r="A452" i="4"/>
  <c r="J452" i="4" s="1"/>
  <c r="B452" i="4"/>
  <c r="K452" i="4" s="1"/>
  <c r="C452" i="4"/>
  <c r="L452" i="4" s="1"/>
  <c r="D452" i="4"/>
  <c r="E452" i="4"/>
  <c r="N452" i="4" s="1"/>
  <c r="F452" i="4"/>
  <c r="G452" i="4"/>
  <c r="H452" i="4"/>
  <c r="P452" i="4" s="1"/>
  <c r="A453" i="4"/>
  <c r="J453" i="4" s="1"/>
  <c r="B453" i="4"/>
  <c r="K453" i="4" s="1"/>
  <c r="C453" i="4"/>
  <c r="L453" i="4" s="1"/>
  <c r="D453" i="4"/>
  <c r="E453" i="4"/>
  <c r="N453" i="4" s="1"/>
  <c r="F453" i="4"/>
  <c r="G453" i="4"/>
  <c r="H453" i="4"/>
  <c r="P453" i="4" s="1"/>
  <c r="A454" i="4"/>
  <c r="J454" i="4" s="1"/>
  <c r="B454" i="4"/>
  <c r="K454" i="4" s="1"/>
  <c r="C454" i="4"/>
  <c r="L454" i="4" s="1"/>
  <c r="D454" i="4"/>
  <c r="E454" i="4"/>
  <c r="N454" i="4" s="1"/>
  <c r="F454" i="4"/>
  <c r="G454" i="4"/>
  <c r="H454" i="4"/>
  <c r="P454" i="4" s="1"/>
  <c r="A455" i="4"/>
  <c r="J455" i="4" s="1"/>
  <c r="B455" i="4"/>
  <c r="K455" i="4" s="1"/>
  <c r="C455" i="4"/>
  <c r="L455" i="4" s="1"/>
  <c r="D455" i="4"/>
  <c r="E455" i="4"/>
  <c r="N455" i="4" s="1"/>
  <c r="F455" i="4"/>
  <c r="G455" i="4"/>
  <c r="H455" i="4"/>
  <c r="P455" i="4" s="1"/>
  <c r="A456" i="4"/>
  <c r="J456" i="4" s="1"/>
  <c r="B456" i="4"/>
  <c r="K456" i="4" s="1"/>
  <c r="C456" i="4"/>
  <c r="L456" i="4" s="1"/>
  <c r="D456" i="4"/>
  <c r="E456" i="4"/>
  <c r="N456" i="4" s="1"/>
  <c r="F456" i="4"/>
  <c r="G456" i="4"/>
  <c r="H456" i="4"/>
  <c r="P456" i="4" s="1"/>
  <c r="A457" i="4"/>
  <c r="J457" i="4" s="1"/>
  <c r="B457" i="4"/>
  <c r="K457" i="4" s="1"/>
  <c r="C457" i="4"/>
  <c r="L457" i="4" s="1"/>
  <c r="D457" i="4"/>
  <c r="E457" i="4"/>
  <c r="N457" i="4" s="1"/>
  <c r="F457" i="4"/>
  <c r="G457" i="4"/>
  <c r="H457" i="4"/>
  <c r="P457" i="4" s="1"/>
  <c r="A458" i="4"/>
  <c r="J458" i="4" s="1"/>
  <c r="B458" i="4"/>
  <c r="K458" i="4" s="1"/>
  <c r="C458" i="4"/>
  <c r="L458" i="4" s="1"/>
  <c r="D458" i="4"/>
  <c r="E458" i="4"/>
  <c r="N458" i="4" s="1"/>
  <c r="F458" i="4"/>
  <c r="G458" i="4"/>
  <c r="H458" i="4"/>
  <c r="P458" i="4" s="1"/>
  <c r="A333" i="4"/>
  <c r="J333" i="4" s="1"/>
  <c r="B333" i="4"/>
  <c r="K333" i="4" s="1"/>
  <c r="F333" i="4"/>
  <c r="A335" i="4"/>
  <c r="J335" i="4" s="1"/>
  <c r="B335" i="4"/>
  <c r="K335" i="4" s="1"/>
  <c r="C335" i="4"/>
  <c r="L335" i="4" s="1"/>
  <c r="O43" i="2"/>
  <c r="I120" i="1"/>
  <c r="M458" i="4" l="1"/>
  <c r="O458" i="4"/>
  <c r="O456" i="4"/>
  <c r="M456" i="4"/>
  <c r="O447" i="4"/>
  <c r="M447" i="4"/>
  <c r="O457" i="4"/>
  <c r="M457" i="4"/>
  <c r="M455" i="4"/>
  <c r="O455" i="4"/>
  <c r="M454" i="4"/>
  <c r="O454" i="4"/>
  <c r="O453" i="4"/>
  <c r="M453" i="4"/>
  <c r="O452" i="4"/>
  <c r="M452" i="4"/>
  <c r="M448" i="4"/>
  <c r="O448" i="4"/>
  <c r="Z68" i="2"/>
  <c r="Z69" i="2"/>
  <c r="Z70" i="2"/>
  <c r="Z84" i="2"/>
  <c r="Z85" i="2"/>
  <c r="Z99" i="2"/>
  <c r="Z100" i="2"/>
  <c r="Z119" i="2"/>
  <c r="Z120" i="2"/>
  <c r="Z121" i="2"/>
  <c r="Z122" i="2"/>
  <c r="Z143" i="2"/>
  <c r="Z144" i="2"/>
  <c r="Z163" i="2"/>
  <c r="Z164" i="2"/>
  <c r="Z187" i="2"/>
  <c r="Z188" i="2"/>
  <c r="Z189" i="2"/>
  <c r="Z231" i="2"/>
  <c r="Z248" i="2"/>
  <c r="Z283" i="2"/>
  <c r="Z284" i="2"/>
  <c r="Z311" i="2"/>
  <c r="Z312" i="2"/>
  <c r="Z319" i="2"/>
  <c r="Z320" i="2"/>
  <c r="Z333" i="2"/>
  <c r="Z334" i="2"/>
  <c r="Z349" i="2"/>
  <c r="Z350" i="2"/>
  <c r="Z382"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3" i="2"/>
  <c r="O254" i="2"/>
  <c r="O256" i="2"/>
  <c r="O257" i="2"/>
  <c r="O258" i="2"/>
  <c r="O259" i="2"/>
  <c r="O260" i="2"/>
  <c r="O261" i="2"/>
  <c r="O262" i="2"/>
  <c r="O263" i="2"/>
  <c r="O264" i="2"/>
  <c r="O265" i="2"/>
  <c r="O266" i="2"/>
  <c r="O267"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Z123" i="2" s="1"/>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47" i="2"/>
  <c r="O48" i="2"/>
  <c r="O49" i="2"/>
  <c r="O50" i="2"/>
  <c r="O51" i="2"/>
  <c r="O52" i="2"/>
  <c r="O53" i="2"/>
  <c r="O54" i="2"/>
  <c r="O55" i="2"/>
  <c r="O56" i="2"/>
  <c r="O57" i="2"/>
  <c r="O58" i="2"/>
  <c r="O59" i="2"/>
  <c r="O60" i="2"/>
  <c r="O61" i="2"/>
  <c r="O62" i="2"/>
  <c r="O63" i="2"/>
  <c r="O64" i="2"/>
  <c r="O65" i="2"/>
  <c r="O66" i="2"/>
  <c r="O67" i="2"/>
  <c r="Z101" i="2" s="1"/>
  <c r="O31" i="2"/>
  <c r="O32" i="2"/>
  <c r="O33" i="2"/>
  <c r="O34" i="2"/>
  <c r="O35" i="2"/>
  <c r="O36" i="2"/>
  <c r="O37" i="2"/>
  <c r="O38" i="2"/>
  <c r="O39" i="2"/>
  <c r="O40" i="2"/>
  <c r="O41" i="2"/>
  <c r="O42" i="2"/>
  <c r="O44" i="2"/>
  <c r="O45" i="2"/>
  <c r="O46" i="2"/>
  <c r="O29" i="2"/>
  <c r="O30" i="2"/>
  <c r="O6" i="2"/>
  <c r="O7" i="2"/>
  <c r="O8" i="2"/>
  <c r="O9" i="2"/>
  <c r="O10" i="2"/>
  <c r="O11" i="2"/>
  <c r="O12" i="2"/>
  <c r="O13" i="2"/>
  <c r="O14" i="2"/>
  <c r="O15" i="2"/>
  <c r="O16" i="2"/>
  <c r="O17" i="2"/>
  <c r="O18" i="2"/>
  <c r="O19" i="2"/>
  <c r="O20" i="2"/>
  <c r="O21" i="2"/>
  <c r="O22" i="2"/>
  <c r="O23" i="2"/>
  <c r="O24" i="2"/>
  <c r="O25" i="2"/>
  <c r="O26" i="2"/>
  <c r="O27" i="2"/>
  <c r="O28" i="2"/>
  <c r="O5" i="2"/>
  <c r="Z26" i="2"/>
  <c r="Z28" i="2"/>
  <c r="J30" i="2"/>
  <c r="J31" i="2"/>
  <c r="J32" i="2"/>
  <c r="J33" i="2"/>
  <c r="J34" i="2"/>
  <c r="J35" i="2"/>
  <c r="J37" i="2"/>
  <c r="J38" i="2"/>
  <c r="J39" i="2"/>
  <c r="J41" i="2"/>
  <c r="J42" i="2"/>
  <c r="J43" i="2"/>
  <c r="J44" i="2"/>
  <c r="J45" i="2"/>
  <c r="J46" i="2"/>
  <c r="J47" i="2"/>
  <c r="J48" i="2"/>
  <c r="J49" i="2"/>
  <c r="J50" i="2"/>
  <c r="J51" i="2"/>
  <c r="J52" i="2"/>
  <c r="J53" i="2"/>
  <c r="J54" i="2"/>
  <c r="J55" i="2"/>
  <c r="J56" i="2"/>
  <c r="J57" i="2"/>
  <c r="J58" i="2"/>
  <c r="J59" i="2"/>
  <c r="J60" i="2"/>
  <c r="J61" i="2"/>
  <c r="J62" i="2"/>
  <c r="J63" i="2"/>
  <c r="J65" i="2"/>
  <c r="J66" i="2"/>
  <c r="J67" i="2"/>
  <c r="J71" i="2"/>
  <c r="J72" i="2"/>
  <c r="J73" i="2"/>
  <c r="J74" i="2"/>
  <c r="J75" i="2"/>
  <c r="J76" i="2"/>
  <c r="J77" i="2"/>
  <c r="J78" i="2"/>
  <c r="J79" i="2"/>
  <c r="J80" i="2"/>
  <c r="J81" i="2"/>
  <c r="J82" i="2"/>
  <c r="J86" i="2"/>
  <c r="J87" i="2"/>
  <c r="J88" i="2"/>
  <c r="J89" i="2"/>
  <c r="J90" i="2"/>
  <c r="J91" i="2"/>
  <c r="J92" i="2"/>
  <c r="J93" i="2"/>
  <c r="J94" i="2"/>
  <c r="J95" i="2"/>
  <c r="J96" i="2"/>
  <c r="J97" i="2"/>
  <c r="J101" i="2"/>
  <c r="J102" i="2"/>
  <c r="J103" i="2"/>
  <c r="J104" i="2"/>
  <c r="J105" i="2"/>
  <c r="J106" i="2"/>
  <c r="J107" i="2"/>
  <c r="J108" i="2"/>
  <c r="J109" i="2"/>
  <c r="J110" i="2"/>
  <c r="J111" i="2"/>
  <c r="J112" i="2"/>
  <c r="J113" i="2"/>
  <c r="J114" i="2"/>
  <c r="J115" i="2"/>
  <c r="J117" i="2"/>
  <c r="J119" i="2"/>
  <c r="J120" i="2"/>
  <c r="J121" i="2"/>
  <c r="J122" i="2"/>
  <c r="J123" i="2"/>
  <c r="J124" i="2"/>
  <c r="J125" i="2"/>
  <c r="J126" i="2"/>
  <c r="J127" i="2"/>
  <c r="J128" i="2"/>
  <c r="J129" i="2"/>
  <c r="J130" i="2"/>
  <c r="J131" i="2"/>
  <c r="J132" i="2"/>
  <c r="J133" i="2"/>
  <c r="J134" i="2"/>
  <c r="J135" i="2"/>
  <c r="J136" i="2"/>
  <c r="J137" i="2"/>
  <c r="J138" i="2"/>
  <c r="J139" i="2"/>
  <c r="J140" i="2"/>
  <c r="J145" i="2"/>
  <c r="J146" i="2"/>
  <c r="J147" i="2"/>
  <c r="J148" i="2"/>
  <c r="J149" i="2"/>
  <c r="J150" i="2"/>
  <c r="J151" i="2"/>
  <c r="J152" i="2"/>
  <c r="J153" i="2"/>
  <c r="J154" i="2"/>
  <c r="J155" i="2"/>
  <c r="J156" i="2"/>
  <c r="J157" i="2"/>
  <c r="J158" i="2"/>
  <c r="J159" i="2"/>
  <c r="J160" i="2"/>
  <c r="J161" i="2"/>
  <c r="J165" i="2"/>
  <c r="J166" i="2"/>
  <c r="J167" i="2"/>
  <c r="J168" i="2"/>
  <c r="J169" i="2"/>
  <c r="J170" i="2"/>
  <c r="J171" i="2"/>
  <c r="J172" i="2"/>
  <c r="J173" i="2"/>
  <c r="J174" i="2"/>
  <c r="J175" i="2"/>
  <c r="J176" i="2"/>
  <c r="J177" i="2"/>
  <c r="J178" i="2"/>
  <c r="J179" i="2"/>
  <c r="J180" i="2"/>
  <c r="J181" i="2"/>
  <c r="J182" i="2"/>
  <c r="J183" i="2"/>
  <c r="J184" i="2"/>
  <c r="J185"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32" i="2"/>
  <c r="J233" i="2"/>
  <c r="J234" i="2"/>
  <c r="J235" i="2"/>
  <c r="J236" i="2"/>
  <c r="J237" i="2"/>
  <c r="J238" i="2"/>
  <c r="J239" i="2"/>
  <c r="J240" i="2"/>
  <c r="J241" i="2"/>
  <c r="J242" i="2"/>
  <c r="J243" i="2"/>
  <c r="J244" i="2"/>
  <c r="J245" i="2"/>
  <c r="J246" i="2"/>
  <c r="J249" i="2"/>
  <c r="J250" i="2"/>
  <c r="J252" i="2"/>
  <c r="J253" i="2"/>
  <c r="J254" i="2"/>
  <c r="J255" i="2"/>
  <c r="J256" i="2"/>
  <c r="J257" i="2"/>
  <c r="J258" i="2"/>
  <c r="J259" i="2"/>
  <c r="J260" i="2"/>
  <c r="J261" i="2"/>
  <c r="J262" i="2"/>
  <c r="J263" i="2"/>
  <c r="J264" i="2"/>
  <c r="J265" i="2"/>
  <c r="J266" i="2"/>
  <c r="J267" i="2"/>
  <c r="J268" i="2"/>
  <c r="J269" i="2"/>
  <c r="J270" i="2"/>
  <c r="J271" i="2"/>
  <c r="J273" i="2"/>
  <c r="J274" i="2"/>
  <c r="J275" i="2"/>
  <c r="J276" i="2"/>
  <c r="J277" i="2"/>
  <c r="J278" i="2"/>
  <c r="J279" i="2"/>
  <c r="J285" i="2"/>
  <c r="C285" i="3" s="1"/>
  <c r="J286" i="2"/>
  <c r="C286" i="3" s="1"/>
  <c r="J287" i="2"/>
  <c r="C287" i="3" s="1"/>
  <c r="J288" i="2"/>
  <c r="C288" i="3" s="1"/>
  <c r="J289" i="2"/>
  <c r="C289" i="3" s="1"/>
  <c r="J290" i="2"/>
  <c r="C290" i="3" s="1"/>
  <c r="J291" i="2"/>
  <c r="C291" i="3" s="1"/>
  <c r="J292" i="2"/>
  <c r="C292" i="3" s="1"/>
  <c r="J293" i="2"/>
  <c r="C293" i="3" s="1"/>
  <c r="J294" i="2"/>
  <c r="J295" i="2"/>
  <c r="C295" i="3" s="1"/>
  <c r="J296" i="2"/>
  <c r="C296" i="3" s="1"/>
  <c r="J297" i="2"/>
  <c r="C297" i="3" s="1"/>
  <c r="J298" i="2"/>
  <c r="C298" i="3" s="1"/>
  <c r="J299" i="2"/>
  <c r="C299" i="3" s="1"/>
  <c r="J300" i="2"/>
  <c r="C300" i="3" s="1"/>
  <c r="J301" i="2"/>
  <c r="C301" i="3" s="1"/>
  <c r="J302" i="2"/>
  <c r="C302" i="3" s="1"/>
  <c r="J303" i="2"/>
  <c r="C303" i="3" s="1"/>
  <c r="J305" i="2"/>
  <c r="C305" i="3" s="1"/>
  <c r="J306" i="2"/>
  <c r="C306" i="3" s="1"/>
  <c r="J309" i="2"/>
  <c r="C309" i="3" s="1"/>
  <c r="J313" i="2"/>
  <c r="C313" i="3" s="1"/>
  <c r="J314" i="2"/>
  <c r="J315" i="2"/>
  <c r="C315" i="3" s="1"/>
  <c r="J316" i="2"/>
  <c r="C316" i="3" s="1"/>
  <c r="J317" i="2"/>
  <c r="C317" i="3" s="1"/>
  <c r="J321" i="2"/>
  <c r="C321" i="3" s="1"/>
  <c r="J322" i="2"/>
  <c r="J323" i="2"/>
  <c r="C323" i="3" s="1"/>
  <c r="J324" i="2"/>
  <c r="C324" i="3" s="1"/>
  <c r="J325" i="2"/>
  <c r="C325" i="3" s="1"/>
  <c r="J326" i="2"/>
  <c r="J327" i="2"/>
  <c r="C327" i="3" s="1"/>
  <c r="J328" i="2"/>
  <c r="C328" i="3" s="1"/>
  <c r="J329" i="2"/>
  <c r="C329" i="3" s="1"/>
  <c r="J330" i="2"/>
  <c r="J331" i="2"/>
  <c r="J332" i="2"/>
  <c r="C332" i="3" s="1"/>
  <c r="J335" i="2"/>
  <c r="J336" i="2"/>
  <c r="J337" i="2"/>
  <c r="C337" i="3" s="1"/>
  <c r="J338" i="2"/>
  <c r="C338" i="3" s="1"/>
  <c r="J339" i="2"/>
  <c r="C339" i="3" s="1"/>
  <c r="J340" i="2"/>
  <c r="C340" i="3" s="1"/>
  <c r="J341" i="2"/>
  <c r="C341" i="3" s="1"/>
  <c r="J342" i="2"/>
  <c r="C342" i="3" s="1"/>
  <c r="J343" i="2"/>
  <c r="J344" i="2"/>
  <c r="C344" i="3" s="1"/>
  <c r="J345" i="2"/>
  <c r="C345" i="3" s="1"/>
  <c r="J346" i="2"/>
  <c r="C346" i="3" s="1"/>
  <c r="J347" i="2"/>
  <c r="C347" i="3" s="1"/>
  <c r="J351" i="2"/>
  <c r="J352" i="2"/>
  <c r="C352" i="3" s="1"/>
  <c r="J353" i="2"/>
  <c r="C353" i="3" s="1"/>
  <c r="J354" i="2"/>
  <c r="C354" i="3" s="1"/>
  <c r="J355" i="2"/>
  <c r="C355" i="3" s="1"/>
  <c r="J356" i="2"/>
  <c r="C356" i="3" s="1"/>
  <c r="J357" i="2"/>
  <c r="C357" i="3" s="1"/>
  <c r="J358" i="2"/>
  <c r="J359" i="2"/>
  <c r="J360" i="2"/>
  <c r="C360" i="3" s="1"/>
  <c r="J361" i="2"/>
  <c r="C361" i="3" s="1"/>
  <c r="J362" i="2"/>
  <c r="J363" i="2"/>
  <c r="C363" i="3" s="1"/>
  <c r="J364" i="2"/>
  <c r="C364" i="3" s="1"/>
  <c r="J365" i="2"/>
  <c r="C365" i="3" s="1"/>
  <c r="J366" i="2"/>
  <c r="J367" i="2"/>
  <c r="J368" i="2"/>
  <c r="C368" i="3" s="1"/>
  <c r="J369" i="2"/>
  <c r="C369" i="3" s="1"/>
  <c r="J370" i="2"/>
  <c r="J371" i="2"/>
  <c r="C371" i="3" s="1"/>
  <c r="J372" i="2"/>
  <c r="C372" i="3" s="1"/>
  <c r="J373" i="2"/>
  <c r="C373" i="3" s="1"/>
  <c r="J374" i="2"/>
  <c r="J375" i="2"/>
  <c r="J376" i="2"/>
  <c r="C376" i="3" s="1"/>
  <c r="J377" i="2"/>
  <c r="C377" i="3" s="1"/>
  <c r="J378" i="2"/>
  <c r="J379" i="2"/>
  <c r="C379" i="3" s="1"/>
  <c r="J380" i="2"/>
  <c r="C380" i="3" s="1"/>
  <c r="J381" i="2"/>
  <c r="C381" i="3" s="1"/>
  <c r="J383" i="2"/>
  <c r="J384" i="2"/>
  <c r="C384" i="3" s="1"/>
  <c r="J385" i="2"/>
  <c r="C385" i="3" s="1"/>
  <c r="J386" i="2"/>
  <c r="J387" i="2"/>
  <c r="J13" i="2"/>
  <c r="J14" i="2"/>
  <c r="J15" i="2"/>
  <c r="J16" i="2"/>
  <c r="J17" i="2"/>
  <c r="J18" i="2"/>
  <c r="J19" i="2"/>
  <c r="J20" i="2"/>
  <c r="J23" i="2"/>
  <c r="J24" i="2"/>
  <c r="J26" i="2"/>
  <c r="J27" i="2"/>
  <c r="J8" i="2"/>
  <c r="J9" i="2"/>
  <c r="J10" i="2"/>
  <c r="J11" i="2"/>
  <c r="J12" i="2"/>
  <c r="J6" i="2"/>
  <c r="J7" i="2"/>
  <c r="J5" i="2"/>
  <c r="G283" i="2"/>
  <c r="D332" i="4" s="1"/>
  <c r="H283" i="2"/>
  <c r="E332" i="4" s="1"/>
  <c r="I283" i="2"/>
  <c r="G284" i="2"/>
  <c r="H284" i="2"/>
  <c r="I284" i="2"/>
  <c r="G285" i="2"/>
  <c r="D335" i="4" s="1"/>
  <c r="H285" i="2"/>
  <c r="E335" i="4" s="1"/>
  <c r="N335" i="4" s="1"/>
  <c r="I285" i="2"/>
  <c r="T285" i="2" s="1"/>
  <c r="D285" i="3" s="1"/>
  <c r="G286" i="2"/>
  <c r="H286" i="2"/>
  <c r="E336" i="4" s="1"/>
  <c r="N336" i="4" s="1"/>
  <c r="I286" i="2"/>
  <c r="G287" i="2"/>
  <c r="D337" i="4" s="1"/>
  <c r="M337" i="4" s="1"/>
  <c r="H287" i="2"/>
  <c r="I287" i="2"/>
  <c r="T287" i="2" s="1"/>
  <c r="D287" i="3" s="1"/>
  <c r="G288" i="2"/>
  <c r="D338" i="4" s="1"/>
  <c r="H288" i="2"/>
  <c r="E338" i="4" s="1"/>
  <c r="N338" i="4" s="1"/>
  <c r="I288" i="2"/>
  <c r="T288" i="2" s="1"/>
  <c r="D288" i="3" s="1"/>
  <c r="G289" i="2"/>
  <c r="D339" i="4" s="1"/>
  <c r="H289" i="2"/>
  <c r="I289" i="2"/>
  <c r="T289" i="2" s="1"/>
  <c r="D289" i="3" s="1"/>
  <c r="G290" i="2"/>
  <c r="H290" i="2"/>
  <c r="E340" i="4" s="1"/>
  <c r="N340" i="4" s="1"/>
  <c r="I290" i="2"/>
  <c r="G291" i="2"/>
  <c r="H291" i="2"/>
  <c r="I291" i="2"/>
  <c r="T291" i="2" s="1"/>
  <c r="D291" i="3" s="1"/>
  <c r="G292" i="2"/>
  <c r="D342" i="4" s="1"/>
  <c r="H292" i="2"/>
  <c r="E342" i="4" s="1"/>
  <c r="N342" i="4" s="1"/>
  <c r="I292" i="2"/>
  <c r="T292" i="2" s="1"/>
  <c r="D292" i="3" s="1"/>
  <c r="G293" i="2"/>
  <c r="D343" i="4" s="1"/>
  <c r="H293" i="2"/>
  <c r="E343" i="4" s="1"/>
  <c r="N343" i="4" s="1"/>
  <c r="I293" i="2"/>
  <c r="T293" i="2" s="1"/>
  <c r="D293" i="3" s="1"/>
  <c r="E293" i="3" s="1"/>
  <c r="G294" i="2"/>
  <c r="H294" i="2"/>
  <c r="E344" i="4" s="1"/>
  <c r="N344" i="4" s="1"/>
  <c r="I294" i="2"/>
  <c r="G295" i="2"/>
  <c r="D345" i="4" s="1"/>
  <c r="M345" i="4" s="1"/>
  <c r="H295" i="2"/>
  <c r="I295" i="2"/>
  <c r="T295" i="2" s="1"/>
  <c r="D295" i="3" s="1"/>
  <c r="G296" i="2"/>
  <c r="D346" i="4" s="1"/>
  <c r="H296" i="2"/>
  <c r="I296" i="2"/>
  <c r="T296" i="2" s="1"/>
  <c r="D296" i="3" s="1"/>
  <c r="G297" i="2"/>
  <c r="D347" i="4" s="1"/>
  <c r="H297" i="2"/>
  <c r="I297" i="2"/>
  <c r="T297" i="2" s="1"/>
  <c r="D297" i="3" s="1"/>
  <c r="G298" i="2"/>
  <c r="H298" i="2"/>
  <c r="E348" i="4" s="1"/>
  <c r="N348" i="4" s="1"/>
  <c r="I298" i="2"/>
  <c r="G299" i="2"/>
  <c r="D349" i="4" s="1"/>
  <c r="M349" i="4" s="1"/>
  <c r="H299" i="2"/>
  <c r="I299" i="2"/>
  <c r="G300" i="2"/>
  <c r="H300" i="2"/>
  <c r="I300" i="2"/>
  <c r="T300" i="2" s="1"/>
  <c r="D300" i="3" s="1"/>
  <c r="G301" i="2"/>
  <c r="D351" i="4" s="1"/>
  <c r="M351" i="4" s="1"/>
  <c r="H301" i="2"/>
  <c r="I301" i="2"/>
  <c r="T301" i="2" s="1"/>
  <c r="D301" i="3" s="1"/>
  <c r="G302" i="2"/>
  <c r="H302" i="2"/>
  <c r="E352" i="4" s="1"/>
  <c r="N352" i="4" s="1"/>
  <c r="I302" i="2"/>
  <c r="G303" i="2"/>
  <c r="H303" i="2"/>
  <c r="I303" i="2"/>
  <c r="G304" i="2"/>
  <c r="D354" i="4" s="1"/>
  <c r="H304" i="2"/>
  <c r="E354" i="4" s="1"/>
  <c r="I304" i="2"/>
  <c r="G305" i="2"/>
  <c r="D355" i="4" s="1"/>
  <c r="M355" i="4" s="1"/>
  <c r="H305" i="2"/>
  <c r="I305" i="2"/>
  <c r="T305" i="2" s="1"/>
  <c r="D305" i="3" s="1"/>
  <c r="G306" i="2"/>
  <c r="H306" i="2"/>
  <c r="E356" i="4" s="1"/>
  <c r="N356" i="4" s="1"/>
  <c r="I306" i="2"/>
  <c r="G307" i="2"/>
  <c r="D358" i="4" s="1"/>
  <c r="M358" i="4" s="1"/>
  <c r="H307" i="2"/>
  <c r="I307" i="2"/>
  <c r="T307" i="2" s="1"/>
  <c r="D307" i="3" s="1"/>
  <c r="G308" i="2"/>
  <c r="D359" i="4" s="1"/>
  <c r="M359" i="4" s="1"/>
  <c r="H308" i="2"/>
  <c r="I308" i="2"/>
  <c r="T308" i="2" s="1"/>
  <c r="D308" i="3" s="1"/>
  <c r="G309" i="2"/>
  <c r="D360" i="4" s="1"/>
  <c r="M360" i="4" s="1"/>
  <c r="H309" i="2"/>
  <c r="I309" i="2"/>
  <c r="G310" i="2"/>
  <c r="D361" i="4" s="1"/>
  <c r="H310" i="2"/>
  <c r="E361" i="4" s="1"/>
  <c r="I310" i="2"/>
  <c r="G311" i="2"/>
  <c r="H311" i="2"/>
  <c r="I311" i="2"/>
  <c r="G312" i="2"/>
  <c r="H312" i="2"/>
  <c r="I312" i="2"/>
  <c r="G313" i="2"/>
  <c r="D365" i="4" s="1"/>
  <c r="M365" i="4" s="1"/>
  <c r="H313" i="2"/>
  <c r="E365" i="4" s="1"/>
  <c r="N365" i="4" s="1"/>
  <c r="I313" i="2"/>
  <c r="T313" i="2" s="1"/>
  <c r="D313" i="3" s="1"/>
  <c r="E313" i="3" s="1"/>
  <c r="G314" i="2"/>
  <c r="H314" i="2"/>
  <c r="E366" i="4" s="1"/>
  <c r="N366" i="4" s="1"/>
  <c r="I314" i="2"/>
  <c r="G315" i="2"/>
  <c r="D367" i="4" s="1"/>
  <c r="M367" i="4" s="1"/>
  <c r="H315" i="2"/>
  <c r="I315" i="2"/>
  <c r="T315" i="2" s="1"/>
  <c r="D315" i="3" s="1"/>
  <c r="G316" i="2"/>
  <c r="D368" i="4" s="1"/>
  <c r="H316" i="2"/>
  <c r="E368" i="4" s="1"/>
  <c r="N368" i="4" s="1"/>
  <c r="I316" i="2"/>
  <c r="T316" i="2" s="1"/>
  <c r="D316" i="3" s="1"/>
  <c r="G317" i="2"/>
  <c r="D369" i="4" s="1"/>
  <c r="M369" i="4" s="1"/>
  <c r="H317" i="2"/>
  <c r="I317" i="2"/>
  <c r="T317" i="2" s="1"/>
  <c r="D317" i="3" s="1"/>
  <c r="G318" i="2"/>
  <c r="D370" i="4" s="1"/>
  <c r="H318" i="2"/>
  <c r="E370" i="4" s="1"/>
  <c r="I318" i="2"/>
  <c r="G319" i="2"/>
  <c r="H319" i="2"/>
  <c r="I319" i="2"/>
  <c r="G320" i="2"/>
  <c r="H320" i="2"/>
  <c r="I320" i="2"/>
  <c r="G321" i="2"/>
  <c r="D374" i="4" s="1"/>
  <c r="H321" i="2"/>
  <c r="E374" i="4" s="1"/>
  <c r="N374" i="4" s="1"/>
  <c r="I321" i="2"/>
  <c r="G322" i="2"/>
  <c r="H322" i="2"/>
  <c r="E375" i="4" s="1"/>
  <c r="N375" i="4" s="1"/>
  <c r="I322" i="2"/>
  <c r="T322" i="2" s="1"/>
  <c r="D322" i="3" s="1"/>
  <c r="G323" i="2"/>
  <c r="D376" i="4" s="1"/>
  <c r="M376" i="4" s="1"/>
  <c r="H323" i="2"/>
  <c r="I323" i="2"/>
  <c r="T323" i="2" s="1"/>
  <c r="D323" i="3" s="1"/>
  <c r="G324" i="2"/>
  <c r="D377" i="4" s="1"/>
  <c r="M377" i="4" s="1"/>
  <c r="H324" i="2"/>
  <c r="E377" i="4" s="1"/>
  <c r="N377" i="4" s="1"/>
  <c r="I324" i="2"/>
  <c r="T324" i="2" s="1"/>
  <c r="D324" i="3" s="1"/>
  <c r="G325" i="2"/>
  <c r="D378" i="4" s="1"/>
  <c r="M378" i="4" s="1"/>
  <c r="H325" i="2"/>
  <c r="I325" i="2"/>
  <c r="T325" i="2" s="1"/>
  <c r="D325" i="3" s="1"/>
  <c r="G326" i="2"/>
  <c r="D379" i="4" s="1"/>
  <c r="H326" i="2"/>
  <c r="E379" i="4" s="1"/>
  <c r="I326" i="2"/>
  <c r="G327" i="2"/>
  <c r="H327" i="2"/>
  <c r="I327" i="2"/>
  <c r="T327" i="2" s="1"/>
  <c r="D327" i="3" s="1"/>
  <c r="G328" i="2"/>
  <c r="H328" i="2"/>
  <c r="E381" i="4" s="1"/>
  <c r="N381" i="4" s="1"/>
  <c r="I328" i="2"/>
  <c r="T328" i="2" s="1"/>
  <c r="D328" i="3" s="1"/>
  <c r="G329" i="2"/>
  <c r="D382" i="4" s="1"/>
  <c r="H329" i="2"/>
  <c r="E382" i="4" s="1"/>
  <c r="N382" i="4" s="1"/>
  <c r="I329" i="2"/>
  <c r="G330" i="2"/>
  <c r="H330" i="2"/>
  <c r="E383" i="4" s="1"/>
  <c r="N383" i="4" s="1"/>
  <c r="I330" i="2"/>
  <c r="G331" i="2"/>
  <c r="D384" i="4" s="1"/>
  <c r="M384" i="4" s="1"/>
  <c r="H331" i="2"/>
  <c r="I331" i="2"/>
  <c r="T331" i="2" s="1"/>
  <c r="D331" i="3" s="1"/>
  <c r="G332" i="2"/>
  <c r="D385" i="4" s="1"/>
  <c r="H332" i="2"/>
  <c r="E385" i="4" s="1"/>
  <c r="N385" i="4" s="1"/>
  <c r="I332" i="2"/>
  <c r="T332" i="2" s="1"/>
  <c r="D332" i="3" s="1"/>
  <c r="G333" i="2"/>
  <c r="D386" i="4" s="1"/>
  <c r="H333" i="2"/>
  <c r="E386" i="4" s="1"/>
  <c r="I333" i="2"/>
  <c r="G334" i="2"/>
  <c r="D387" i="4" s="1"/>
  <c r="H334" i="2"/>
  <c r="E387" i="4" s="1"/>
  <c r="I334" i="2"/>
  <c r="G335" i="2"/>
  <c r="D388" i="4" s="1"/>
  <c r="M388" i="4" s="1"/>
  <c r="H335" i="2"/>
  <c r="I335" i="2"/>
  <c r="T335" i="2" s="1"/>
  <c r="D335" i="3" s="1"/>
  <c r="G336" i="2"/>
  <c r="D389" i="4" s="1"/>
  <c r="H336" i="2"/>
  <c r="E389" i="4" s="1"/>
  <c r="I336" i="2"/>
  <c r="G337" i="2"/>
  <c r="D390" i="4" s="1"/>
  <c r="H337" i="2"/>
  <c r="E390" i="4" s="1"/>
  <c r="N390" i="4" s="1"/>
  <c r="I337" i="2"/>
  <c r="T337" i="2" s="1"/>
  <c r="D337" i="3" s="1"/>
  <c r="G338" i="2"/>
  <c r="H338" i="2"/>
  <c r="E391" i="4" s="1"/>
  <c r="N391" i="4" s="1"/>
  <c r="I338" i="2"/>
  <c r="T338" i="2" s="1"/>
  <c r="D338" i="3" s="1"/>
  <c r="G339" i="2"/>
  <c r="D392" i="4" s="1"/>
  <c r="M392" i="4" s="1"/>
  <c r="H339" i="2"/>
  <c r="I339" i="2"/>
  <c r="T339" i="2" s="1"/>
  <c r="D339" i="3" s="1"/>
  <c r="G340" i="2"/>
  <c r="D393" i="4" s="1"/>
  <c r="M393" i="4" s="1"/>
  <c r="H340" i="2"/>
  <c r="E393" i="4" s="1"/>
  <c r="N393" i="4" s="1"/>
  <c r="I340" i="2"/>
  <c r="T340" i="2" s="1"/>
  <c r="D340" i="3" s="1"/>
  <c r="G341" i="2"/>
  <c r="D394" i="4" s="1"/>
  <c r="H341" i="2"/>
  <c r="I341" i="2"/>
  <c r="T341" i="2" s="1"/>
  <c r="D341" i="3" s="1"/>
  <c r="G342" i="2"/>
  <c r="H342" i="2"/>
  <c r="E395" i="4" s="1"/>
  <c r="N395" i="4" s="1"/>
  <c r="I342" i="2"/>
  <c r="G343" i="2"/>
  <c r="D396" i="4" s="1"/>
  <c r="M396" i="4" s="1"/>
  <c r="H343" i="2"/>
  <c r="I343" i="2"/>
  <c r="T343" i="2" s="1"/>
  <c r="D343" i="3" s="1"/>
  <c r="G344" i="2"/>
  <c r="D397" i="4" s="1"/>
  <c r="H344" i="2"/>
  <c r="I344" i="2"/>
  <c r="G345" i="2"/>
  <c r="D398" i="4" s="1"/>
  <c r="M398" i="4" s="1"/>
  <c r="H345" i="2"/>
  <c r="I345" i="2"/>
  <c r="G346" i="2"/>
  <c r="H346" i="2"/>
  <c r="E399" i="4" s="1"/>
  <c r="N399" i="4" s="1"/>
  <c r="I346" i="2"/>
  <c r="G347" i="2"/>
  <c r="D400" i="4" s="1"/>
  <c r="M400" i="4" s="1"/>
  <c r="H347" i="2"/>
  <c r="I347" i="2"/>
  <c r="G348" i="2"/>
  <c r="D401" i="4" s="1"/>
  <c r="H348" i="2"/>
  <c r="E401" i="4" s="1"/>
  <c r="I348" i="2"/>
  <c r="G349" i="2"/>
  <c r="D402" i="4" s="1"/>
  <c r="H349" i="2"/>
  <c r="E402" i="4" s="1"/>
  <c r="I349" i="2"/>
  <c r="G350" i="2"/>
  <c r="H350" i="2"/>
  <c r="I350" i="2"/>
  <c r="H351" i="2"/>
  <c r="I351" i="2"/>
  <c r="T351" i="2" s="1"/>
  <c r="D351" i="3" s="1"/>
  <c r="G352" i="2"/>
  <c r="D407" i="4" s="1"/>
  <c r="I352" i="2"/>
  <c r="T352" i="2" s="1"/>
  <c r="D352" i="3" s="1"/>
  <c r="H353" i="2"/>
  <c r="E408" i="4" s="1"/>
  <c r="N408" i="4" s="1"/>
  <c r="I353" i="2"/>
  <c r="T353" i="2" s="1"/>
  <c r="D353" i="3" s="1"/>
  <c r="G354" i="2"/>
  <c r="I354" i="2"/>
  <c r="H355" i="2"/>
  <c r="I355" i="2"/>
  <c r="T355" i="2" s="1"/>
  <c r="D355" i="3" s="1"/>
  <c r="H356" i="2"/>
  <c r="E411" i="4" s="1"/>
  <c r="N411" i="4" s="1"/>
  <c r="I356" i="2"/>
  <c r="T356" i="2" s="1"/>
  <c r="D356" i="3" s="1"/>
  <c r="G357" i="2"/>
  <c r="D412" i="4" s="1"/>
  <c r="I357" i="2"/>
  <c r="H358" i="2"/>
  <c r="E413" i="4" s="1"/>
  <c r="N413" i="4" s="1"/>
  <c r="I358" i="2"/>
  <c r="G359" i="2"/>
  <c r="I359" i="2"/>
  <c r="T359" i="2" s="1"/>
  <c r="D359" i="3" s="1"/>
  <c r="H360" i="2"/>
  <c r="E415" i="4" s="1"/>
  <c r="N415" i="4" s="1"/>
  <c r="I360" i="2"/>
  <c r="T360" i="2" s="1"/>
  <c r="D360" i="3" s="1"/>
  <c r="G361" i="2"/>
  <c r="D416" i="4" s="1"/>
  <c r="M416" i="4" s="1"/>
  <c r="I361" i="2"/>
  <c r="T361" i="2" s="1"/>
  <c r="D361" i="3" s="1"/>
  <c r="H362" i="2"/>
  <c r="E417" i="4" s="1"/>
  <c r="N417" i="4" s="1"/>
  <c r="I362" i="2"/>
  <c r="G363" i="2"/>
  <c r="D418" i="4" s="1"/>
  <c r="M418" i="4" s="1"/>
  <c r="I363" i="2"/>
  <c r="T363" i="2" s="1"/>
  <c r="D363" i="3" s="1"/>
  <c r="H364" i="2"/>
  <c r="E419" i="4" s="1"/>
  <c r="N419" i="4" s="1"/>
  <c r="I364" i="2"/>
  <c r="T364" i="2" s="1"/>
  <c r="D364" i="3" s="1"/>
  <c r="G365" i="2"/>
  <c r="D420" i="4" s="1"/>
  <c r="I365" i="2"/>
  <c r="H366" i="2"/>
  <c r="E421" i="4" s="1"/>
  <c r="N421" i="4" s="1"/>
  <c r="I366" i="2"/>
  <c r="T366" i="2" s="1"/>
  <c r="D366" i="3" s="1"/>
  <c r="H367" i="2"/>
  <c r="I367" i="2"/>
  <c r="T367" i="2" s="1"/>
  <c r="D367" i="3" s="1"/>
  <c r="G368" i="2"/>
  <c r="D423" i="4" s="1"/>
  <c r="M423" i="4" s="1"/>
  <c r="I368" i="2"/>
  <c r="T368" i="2" s="1"/>
  <c r="D368" i="3" s="1"/>
  <c r="H369" i="2"/>
  <c r="I369" i="2"/>
  <c r="T369" i="2" s="1"/>
  <c r="D369" i="3" s="1"/>
  <c r="G370" i="2"/>
  <c r="I370" i="2"/>
  <c r="H371" i="2"/>
  <c r="I371" i="2"/>
  <c r="T371" i="2" s="1"/>
  <c r="D371" i="3" s="1"/>
  <c r="G372" i="2"/>
  <c r="D427" i="4" s="1"/>
  <c r="I372" i="2"/>
  <c r="T372" i="2" s="1"/>
  <c r="D372" i="3" s="1"/>
  <c r="H373" i="2"/>
  <c r="E428" i="4" s="1"/>
  <c r="N428" i="4" s="1"/>
  <c r="I373" i="2"/>
  <c r="T373" i="2" s="1"/>
  <c r="D373" i="3" s="1"/>
  <c r="G374" i="2"/>
  <c r="I374" i="2"/>
  <c r="H375" i="2"/>
  <c r="I375" i="2"/>
  <c r="T375" i="2" s="1"/>
  <c r="D375" i="3" s="1"/>
  <c r="G376" i="2"/>
  <c r="D431" i="4" s="1"/>
  <c r="M431" i="4" s="1"/>
  <c r="I376" i="2"/>
  <c r="T376" i="2" s="1"/>
  <c r="D376" i="3" s="1"/>
  <c r="H377" i="2"/>
  <c r="E432" i="4" s="1"/>
  <c r="N432" i="4" s="1"/>
  <c r="I377" i="2"/>
  <c r="G378" i="2"/>
  <c r="I378" i="2"/>
  <c r="H379" i="2"/>
  <c r="I379" i="2"/>
  <c r="T379" i="2" s="1"/>
  <c r="D379" i="3" s="1"/>
  <c r="G380" i="2"/>
  <c r="D435" i="4" s="1"/>
  <c r="I380" i="2"/>
  <c r="T380" i="2" s="1"/>
  <c r="D380" i="3" s="1"/>
  <c r="H381" i="2"/>
  <c r="E436" i="4" s="1"/>
  <c r="N436" i="4" s="1"/>
  <c r="I381" i="2"/>
  <c r="T381" i="2" s="1"/>
  <c r="D381" i="3" s="1"/>
  <c r="G382" i="2"/>
  <c r="D437" i="4" s="1"/>
  <c r="H382" i="2"/>
  <c r="E437" i="4" s="1"/>
  <c r="I382" i="2"/>
  <c r="G383" i="2"/>
  <c r="D438" i="4" s="1"/>
  <c r="I383" i="2"/>
  <c r="H384" i="2"/>
  <c r="I384" i="2"/>
  <c r="T384" i="2" s="1"/>
  <c r="D384" i="3" s="1"/>
  <c r="G385" i="2"/>
  <c r="D440" i="4" s="1"/>
  <c r="M440" i="4" s="1"/>
  <c r="I385" i="2"/>
  <c r="H386" i="2"/>
  <c r="E441" i="4" s="1"/>
  <c r="N441" i="4" s="1"/>
  <c r="I386" i="2"/>
  <c r="T386" i="2" s="1"/>
  <c r="D386" i="3" s="1"/>
  <c r="G387" i="2"/>
  <c r="I387" i="2"/>
  <c r="G388" i="2"/>
  <c r="D443" i="4" s="1"/>
  <c r="H388" i="2"/>
  <c r="E443" i="4" s="1"/>
  <c r="I388" i="2"/>
  <c r="G389" i="2"/>
  <c r="D444" i="4" s="1"/>
  <c r="H389" i="2"/>
  <c r="E444" i="4" s="1"/>
  <c r="I389" i="2"/>
  <c r="G48" i="2"/>
  <c r="H48" i="2"/>
  <c r="I48" i="2"/>
  <c r="G49" i="2"/>
  <c r="H49" i="2"/>
  <c r="I49" i="2"/>
  <c r="G50" i="2"/>
  <c r="H50" i="2"/>
  <c r="I50" i="2"/>
  <c r="G51" i="2"/>
  <c r="H51" i="2"/>
  <c r="I51" i="2"/>
  <c r="G52" i="2"/>
  <c r="H52" i="2"/>
  <c r="I52" i="2"/>
  <c r="G53" i="2"/>
  <c r="H53" i="2"/>
  <c r="I53" i="2"/>
  <c r="G54" i="2"/>
  <c r="H54" i="2"/>
  <c r="I54" i="2"/>
  <c r="G55" i="2"/>
  <c r="H55" i="2"/>
  <c r="I55" i="2"/>
  <c r="G56" i="2"/>
  <c r="H56" i="2"/>
  <c r="I56" i="2"/>
  <c r="G57" i="2"/>
  <c r="H57" i="2"/>
  <c r="I57" i="2"/>
  <c r="G58" i="2"/>
  <c r="H58" i="2"/>
  <c r="I58" i="2"/>
  <c r="G59" i="2"/>
  <c r="H59" i="2"/>
  <c r="I59" i="2"/>
  <c r="G60" i="2"/>
  <c r="H60" i="2"/>
  <c r="I60" i="2"/>
  <c r="G61" i="2"/>
  <c r="H61" i="2"/>
  <c r="I61" i="2"/>
  <c r="G62" i="2"/>
  <c r="H62" i="2"/>
  <c r="I62" i="2"/>
  <c r="G63" i="2"/>
  <c r="H63" i="2"/>
  <c r="I63" i="2"/>
  <c r="G64" i="2"/>
  <c r="H64" i="2"/>
  <c r="I64" i="2"/>
  <c r="G65" i="2"/>
  <c r="H65" i="2"/>
  <c r="I65" i="2"/>
  <c r="G66" i="2"/>
  <c r="H66" i="2"/>
  <c r="I66" i="2"/>
  <c r="G67" i="2"/>
  <c r="H67" i="2"/>
  <c r="I67" i="2"/>
  <c r="G68" i="2"/>
  <c r="H68" i="2"/>
  <c r="I68" i="2"/>
  <c r="G69" i="2"/>
  <c r="H69" i="2"/>
  <c r="I69" i="2"/>
  <c r="G70" i="2"/>
  <c r="H70" i="2"/>
  <c r="I70" i="2"/>
  <c r="G71" i="2"/>
  <c r="H71" i="2"/>
  <c r="I71" i="2"/>
  <c r="G72" i="2"/>
  <c r="H72" i="2"/>
  <c r="I72" i="2"/>
  <c r="G73" i="2"/>
  <c r="H73" i="2"/>
  <c r="I73" i="2"/>
  <c r="G74" i="2"/>
  <c r="H74" i="2"/>
  <c r="I74" i="2"/>
  <c r="G75" i="2"/>
  <c r="H75" i="2"/>
  <c r="I75" i="2"/>
  <c r="G76" i="2"/>
  <c r="H76" i="2"/>
  <c r="I76" i="2"/>
  <c r="G77" i="2"/>
  <c r="H77" i="2"/>
  <c r="I77" i="2"/>
  <c r="G78" i="2"/>
  <c r="H78" i="2"/>
  <c r="I78" i="2"/>
  <c r="G79" i="2"/>
  <c r="H79" i="2"/>
  <c r="I79" i="2"/>
  <c r="G80" i="2"/>
  <c r="H80" i="2"/>
  <c r="I80" i="2"/>
  <c r="G81" i="2"/>
  <c r="H81" i="2"/>
  <c r="I81" i="2"/>
  <c r="G82" i="2"/>
  <c r="H82" i="2"/>
  <c r="I82" i="2"/>
  <c r="G83" i="2"/>
  <c r="H83" i="2"/>
  <c r="I83" i="2"/>
  <c r="G84" i="2"/>
  <c r="H84" i="2"/>
  <c r="I84" i="2"/>
  <c r="G85" i="2"/>
  <c r="H85" i="2"/>
  <c r="I85" i="2"/>
  <c r="G86" i="2"/>
  <c r="H86" i="2"/>
  <c r="I86" i="2"/>
  <c r="G87" i="2"/>
  <c r="H87" i="2"/>
  <c r="I87" i="2"/>
  <c r="G88" i="2"/>
  <c r="H88" i="2"/>
  <c r="I88" i="2"/>
  <c r="G89" i="2"/>
  <c r="H89" i="2"/>
  <c r="I89" i="2"/>
  <c r="G90" i="2"/>
  <c r="H90" i="2"/>
  <c r="I90" i="2"/>
  <c r="G91" i="2"/>
  <c r="H91" i="2"/>
  <c r="I91" i="2"/>
  <c r="G92" i="2"/>
  <c r="H92" i="2"/>
  <c r="I92" i="2"/>
  <c r="G93" i="2"/>
  <c r="H93" i="2"/>
  <c r="I93" i="2"/>
  <c r="G94" i="2"/>
  <c r="H94" i="2"/>
  <c r="I94" i="2"/>
  <c r="G95" i="2"/>
  <c r="H95" i="2"/>
  <c r="I95" i="2"/>
  <c r="G96" i="2"/>
  <c r="H96" i="2"/>
  <c r="I96" i="2"/>
  <c r="G97" i="2"/>
  <c r="H97" i="2"/>
  <c r="I97" i="2"/>
  <c r="G98" i="2"/>
  <c r="H98" i="2"/>
  <c r="I98" i="2"/>
  <c r="G99" i="2"/>
  <c r="H99" i="2"/>
  <c r="I99" i="2"/>
  <c r="G100" i="2"/>
  <c r="H100" i="2"/>
  <c r="I100" i="2"/>
  <c r="G101" i="2"/>
  <c r="H101" i="2"/>
  <c r="I101" i="2"/>
  <c r="G102" i="2"/>
  <c r="H102" i="2"/>
  <c r="I102" i="2"/>
  <c r="G103" i="2"/>
  <c r="H103" i="2"/>
  <c r="I103" i="2"/>
  <c r="G104" i="2"/>
  <c r="H104" i="2"/>
  <c r="I104" i="2"/>
  <c r="G105" i="2"/>
  <c r="H105" i="2"/>
  <c r="I105" i="2"/>
  <c r="G106" i="2"/>
  <c r="H106" i="2"/>
  <c r="I106" i="2"/>
  <c r="G107" i="2"/>
  <c r="H107" i="2"/>
  <c r="I107" i="2"/>
  <c r="G108" i="2"/>
  <c r="H108" i="2"/>
  <c r="I108" i="2"/>
  <c r="G109" i="2"/>
  <c r="H109" i="2"/>
  <c r="I109" i="2"/>
  <c r="G110" i="2"/>
  <c r="H110" i="2"/>
  <c r="I110" i="2"/>
  <c r="G111" i="2"/>
  <c r="H111" i="2"/>
  <c r="I111" i="2"/>
  <c r="G112" i="2"/>
  <c r="H112" i="2"/>
  <c r="I112" i="2"/>
  <c r="G113" i="2"/>
  <c r="H113" i="2"/>
  <c r="I113" i="2"/>
  <c r="G114" i="2"/>
  <c r="H114" i="2"/>
  <c r="I114" i="2"/>
  <c r="G115" i="2"/>
  <c r="H115" i="2"/>
  <c r="I115" i="2"/>
  <c r="G116" i="2"/>
  <c r="H116" i="2"/>
  <c r="I116" i="2"/>
  <c r="G117" i="2"/>
  <c r="H117" i="2"/>
  <c r="I117" i="2"/>
  <c r="G118" i="2"/>
  <c r="H118" i="2"/>
  <c r="I118" i="2"/>
  <c r="G119" i="2"/>
  <c r="H119" i="2"/>
  <c r="I119" i="2"/>
  <c r="G120" i="2"/>
  <c r="H120" i="2"/>
  <c r="I120" i="2"/>
  <c r="G121" i="2"/>
  <c r="H121" i="2"/>
  <c r="I121" i="2"/>
  <c r="G122" i="2"/>
  <c r="H122" i="2"/>
  <c r="I122" i="2"/>
  <c r="G123" i="2"/>
  <c r="H123" i="2"/>
  <c r="I123" i="2"/>
  <c r="G124" i="2"/>
  <c r="H124" i="2"/>
  <c r="I124" i="2"/>
  <c r="G125" i="2"/>
  <c r="H125" i="2"/>
  <c r="I125" i="2"/>
  <c r="G126" i="2"/>
  <c r="H126" i="2"/>
  <c r="I126" i="2"/>
  <c r="G127" i="2"/>
  <c r="H127" i="2"/>
  <c r="I127" i="2"/>
  <c r="G128" i="2"/>
  <c r="H128" i="2"/>
  <c r="I128" i="2"/>
  <c r="G129" i="2"/>
  <c r="H129" i="2"/>
  <c r="I129" i="2"/>
  <c r="G130" i="2"/>
  <c r="H130" i="2"/>
  <c r="I130" i="2"/>
  <c r="G131" i="2"/>
  <c r="H131" i="2"/>
  <c r="I131" i="2"/>
  <c r="G132" i="2"/>
  <c r="H132" i="2"/>
  <c r="I132" i="2"/>
  <c r="G133" i="2"/>
  <c r="H133" i="2"/>
  <c r="I133" i="2"/>
  <c r="G134" i="2"/>
  <c r="H134" i="2"/>
  <c r="I134" i="2"/>
  <c r="G135" i="2"/>
  <c r="H135" i="2"/>
  <c r="I135" i="2"/>
  <c r="G136" i="2"/>
  <c r="H136" i="2"/>
  <c r="I136" i="2"/>
  <c r="G137" i="2"/>
  <c r="H137" i="2"/>
  <c r="I137" i="2"/>
  <c r="G138" i="2"/>
  <c r="H138" i="2"/>
  <c r="I138" i="2"/>
  <c r="G139" i="2"/>
  <c r="H139" i="2"/>
  <c r="I139" i="2"/>
  <c r="G140" i="2"/>
  <c r="H140" i="2"/>
  <c r="I140" i="2"/>
  <c r="G141" i="2"/>
  <c r="H141" i="2"/>
  <c r="I141" i="2"/>
  <c r="G142" i="2"/>
  <c r="H142" i="2"/>
  <c r="I142" i="2"/>
  <c r="G143" i="2"/>
  <c r="H143" i="2"/>
  <c r="I143" i="2"/>
  <c r="G144" i="2"/>
  <c r="H144" i="2"/>
  <c r="I144" i="2"/>
  <c r="G145" i="2"/>
  <c r="H145" i="2"/>
  <c r="I145" i="2"/>
  <c r="G146" i="2"/>
  <c r="H146" i="2"/>
  <c r="I146" i="2"/>
  <c r="G147" i="2"/>
  <c r="H147" i="2"/>
  <c r="I147" i="2"/>
  <c r="G148" i="2"/>
  <c r="H148" i="2"/>
  <c r="I148" i="2"/>
  <c r="G149" i="2"/>
  <c r="H149" i="2"/>
  <c r="I149" i="2"/>
  <c r="G150" i="2"/>
  <c r="H150" i="2"/>
  <c r="I150" i="2"/>
  <c r="G151" i="2"/>
  <c r="H151" i="2"/>
  <c r="I151" i="2"/>
  <c r="G152" i="2"/>
  <c r="H152" i="2"/>
  <c r="I152" i="2"/>
  <c r="G153" i="2"/>
  <c r="H153" i="2"/>
  <c r="I153" i="2"/>
  <c r="G154" i="2"/>
  <c r="H154" i="2"/>
  <c r="I154" i="2"/>
  <c r="G155" i="2"/>
  <c r="H155" i="2"/>
  <c r="I155" i="2"/>
  <c r="G156" i="2"/>
  <c r="H156" i="2"/>
  <c r="I156" i="2"/>
  <c r="G157" i="2"/>
  <c r="H157" i="2"/>
  <c r="I157" i="2"/>
  <c r="G158" i="2"/>
  <c r="H158" i="2"/>
  <c r="I158" i="2"/>
  <c r="G159" i="2"/>
  <c r="H159" i="2"/>
  <c r="I159" i="2"/>
  <c r="G160" i="2"/>
  <c r="H160" i="2"/>
  <c r="I160" i="2"/>
  <c r="G161" i="2"/>
  <c r="H161" i="2"/>
  <c r="I161" i="2"/>
  <c r="G162" i="2"/>
  <c r="H162" i="2"/>
  <c r="I162" i="2"/>
  <c r="G163" i="2"/>
  <c r="H163" i="2"/>
  <c r="I163" i="2"/>
  <c r="G164" i="2"/>
  <c r="H164" i="2"/>
  <c r="I164" i="2"/>
  <c r="G165" i="2"/>
  <c r="H165" i="2"/>
  <c r="I165" i="2"/>
  <c r="G166" i="2"/>
  <c r="H166" i="2"/>
  <c r="I166" i="2"/>
  <c r="G167" i="2"/>
  <c r="H167" i="2"/>
  <c r="I167" i="2"/>
  <c r="G168" i="2"/>
  <c r="H168" i="2"/>
  <c r="I168" i="2"/>
  <c r="G169" i="2"/>
  <c r="H169" i="2"/>
  <c r="I169" i="2"/>
  <c r="G170" i="2"/>
  <c r="H170" i="2"/>
  <c r="I170" i="2"/>
  <c r="G171" i="2"/>
  <c r="H171" i="2"/>
  <c r="I171" i="2"/>
  <c r="G172" i="2"/>
  <c r="H172" i="2"/>
  <c r="I172" i="2"/>
  <c r="G173" i="2"/>
  <c r="H173" i="2"/>
  <c r="I173" i="2"/>
  <c r="G174" i="2"/>
  <c r="H174" i="2"/>
  <c r="I174" i="2"/>
  <c r="G175" i="2"/>
  <c r="H175" i="2"/>
  <c r="I175" i="2"/>
  <c r="G176" i="2"/>
  <c r="H176" i="2"/>
  <c r="I176" i="2"/>
  <c r="G177" i="2"/>
  <c r="H177" i="2"/>
  <c r="I177" i="2"/>
  <c r="G178" i="2"/>
  <c r="H178" i="2"/>
  <c r="I178" i="2"/>
  <c r="G179" i="2"/>
  <c r="H179" i="2"/>
  <c r="I179" i="2"/>
  <c r="G180" i="2"/>
  <c r="H180" i="2"/>
  <c r="I180" i="2"/>
  <c r="G181" i="2"/>
  <c r="H181" i="2"/>
  <c r="I181" i="2"/>
  <c r="G182" i="2"/>
  <c r="H182" i="2"/>
  <c r="I182" i="2"/>
  <c r="G183" i="2"/>
  <c r="H183" i="2"/>
  <c r="I183" i="2"/>
  <c r="G184" i="2"/>
  <c r="H184" i="2"/>
  <c r="I184" i="2"/>
  <c r="G185" i="2"/>
  <c r="H185" i="2"/>
  <c r="I185" i="2"/>
  <c r="G186" i="2"/>
  <c r="H186" i="2"/>
  <c r="I186" i="2"/>
  <c r="G187" i="2"/>
  <c r="H187" i="2"/>
  <c r="I187" i="2"/>
  <c r="G188" i="2"/>
  <c r="H188" i="2"/>
  <c r="I188" i="2"/>
  <c r="G189" i="2"/>
  <c r="H189" i="2"/>
  <c r="I189" i="2"/>
  <c r="G190" i="2"/>
  <c r="H190" i="2"/>
  <c r="I190" i="2"/>
  <c r="G191" i="2"/>
  <c r="H191" i="2"/>
  <c r="I191" i="2"/>
  <c r="G192" i="2"/>
  <c r="H192" i="2"/>
  <c r="I192" i="2"/>
  <c r="G193" i="2"/>
  <c r="H193" i="2"/>
  <c r="I193" i="2"/>
  <c r="G194" i="2"/>
  <c r="H194" i="2"/>
  <c r="I194" i="2"/>
  <c r="G195" i="2"/>
  <c r="H195" i="2"/>
  <c r="I195" i="2"/>
  <c r="G196" i="2"/>
  <c r="H196" i="2"/>
  <c r="I196" i="2"/>
  <c r="G197" i="2"/>
  <c r="H197" i="2"/>
  <c r="I197" i="2"/>
  <c r="G198" i="2"/>
  <c r="H198" i="2"/>
  <c r="I198" i="2"/>
  <c r="G199" i="2"/>
  <c r="H199" i="2"/>
  <c r="I199" i="2"/>
  <c r="G200" i="2"/>
  <c r="H200" i="2"/>
  <c r="I200" i="2"/>
  <c r="G201" i="2"/>
  <c r="H201" i="2"/>
  <c r="I201" i="2"/>
  <c r="G202" i="2"/>
  <c r="H202" i="2"/>
  <c r="I202" i="2"/>
  <c r="G203" i="2"/>
  <c r="H203" i="2"/>
  <c r="I203" i="2"/>
  <c r="G204" i="2"/>
  <c r="H204" i="2"/>
  <c r="I204" i="2"/>
  <c r="G205" i="2"/>
  <c r="H205" i="2"/>
  <c r="I205" i="2"/>
  <c r="G206" i="2"/>
  <c r="H206" i="2"/>
  <c r="I206" i="2"/>
  <c r="G207" i="2"/>
  <c r="H207" i="2"/>
  <c r="I207" i="2"/>
  <c r="G208" i="2"/>
  <c r="H208" i="2"/>
  <c r="I208" i="2"/>
  <c r="G209" i="2"/>
  <c r="H209" i="2"/>
  <c r="I209" i="2"/>
  <c r="G210" i="2"/>
  <c r="H210" i="2"/>
  <c r="I210" i="2"/>
  <c r="G211" i="2"/>
  <c r="H211" i="2"/>
  <c r="I211" i="2"/>
  <c r="G212" i="2"/>
  <c r="H212" i="2"/>
  <c r="I212" i="2"/>
  <c r="G213" i="2"/>
  <c r="H213" i="2"/>
  <c r="I213" i="2"/>
  <c r="G214" i="2"/>
  <c r="H214" i="2"/>
  <c r="I214" i="2"/>
  <c r="G215" i="2"/>
  <c r="H215" i="2"/>
  <c r="I215" i="2"/>
  <c r="G216" i="2"/>
  <c r="H216" i="2"/>
  <c r="I216" i="2"/>
  <c r="G217" i="2"/>
  <c r="H217" i="2"/>
  <c r="I217" i="2"/>
  <c r="G218" i="2"/>
  <c r="H218" i="2"/>
  <c r="I218" i="2"/>
  <c r="G219" i="2"/>
  <c r="H219" i="2"/>
  <c r="I219" i="2"/>
  <c r="G220" i="2"/>
  <c r="H220" i="2"/>
  <c r="I220" i="2"/>
  <c r="G221" i="2"/>
  <c r="H221" i="2"/>
  <c r="I221" i="2"/>
  <c r="G222" i="2"/>
  <c r="H222" i="2"/>
  <c r="I222" i="2"/>
  <c r="G223" i="2"/>
  <c r="H223" i="2"/>
  <c r="I223" i="2"/>
  <c r="G224" i="2"/>
  <c r="H224" i="2"/>
  <c r="I224" i="2"/>
  <c r="G225" i="2"/>
  <c r="H225" i="2"/>
  <c r="I225" i="2"/>
  <c r="G226" i="2"/>
  <c r="H226" i="2"/>
  <c r="I226" i="2"/>
  <c r="G227" i="2"/>
  <c r="H227" i="2"/>
  <c r="I227" i="2"/>
  <c r="G228" i="2"/>
  <c r="H228" i="2"/>
  <c r="I228" i="2"/>
  <c r="G229" i="2"/>
  <c r="H229" i="2"/>
  <c r="I229" i="2"/>
  <c r="G230" i="2"/>
  <c r="H230" i="2"/>
  <c r="I230" i="2"/>
  <c r="G231" i="2"/>
  <c r="H231" i="2"/>
  <c r="I231" i="2"/>
  <c r="G232" i="2"/>
  <c r="H232" i="2"/>
  <c r="I232" i="2"/>
  <c r="G233" i="2"/>
  <c r="H233" i="2"/>
  <c r="I233" i="2"/>
  <c r="G234" i="2"/>
  <c r="H234" i="2"/>
  <c r="I234" i="2"/>
  <c r="G235" i="2"/>
  <c r="H235" i="2"/>
  <c r="I235" i="2"/>
  <c r="G236" i="2"/>
  <c r="H236" i="2"/>
  <c r="I236" i="2"/>
  <c r="G237" i="2"/>
  <c r="H237" i="2"/>
  <c r="I237" i="2"/>
  <c r="G238" i="2"/>
  <c r="H238" i="2"/>
  <c r="I238" i="2"/>
  <c r="G239" i="2"/>
  <c r="H239" i="2"/>
  <c r="I239" i="2"/>
  <c r="G240" i="2"/>
  <c r="H240" i="2"/>
  <c r="I240" i="2"/>
  <c r="G241" i="2"/>
  <c r="H241" i="2"/>
  <c r="I241" i="2"/>
  <c r="G242" i="2"/>
  <c r="H242" i="2"/>
  <c r="I242" i="2"/>
  <c r="G243" i="2"/>
  <c r="H243" i="2"/>
  <c r="I243" i="2"/>
  <c r="G244" i="2"/>
  <c r="H244" i="2"/>
  <c r="I244" i="2"/>
  <c r="G245" i="2"/>
  <c r="H245" i="2"/>
  <c r="I245" i="2"/>
  <c r="G246" i="2"/>
  <c r="H246" i="2"/>
  <c r="I246" i="2"/>
  <c r="G247" i="2"/>
  <c r="H247" i="2"/>
  <c r="I247" i="2"/>
  <c r="G248" i="2"/>
  <c r="H248" i="2"/>
  <c r="I248" i="2"/>
  <c r="G249" i="2"/>
  <c r="H249" i="2"/>
  <c r="I249" i="2"/>
  <c r="G250" i="2"/>
  <c r="H250" i="2"/>
  <c r="I250" i="2"/>
  <c r="G251" i="2"/>
  <c r="H251" i="2"/>
  <c r="I251" i="2"/>
  <c r="G252" i="2"/>
  <c r="H252" i="2"/>
  <c r="I252" i="2"/>
  <c r="G253" i="2"/>
  <c r="H253" i="2"/>
  <c r="I253" i="2"/>
  <c r="G254" i="2"/>
  <c r="H254" i="2"/>
  <c r="I254" i="2"/>
  <c r="G255" i="2"/>
  <c r="H255" i="2"/>
  <c r="I255" i="2"/>
  <c r="G256" i="2"/>
  <c r="H256" i="2"/>
  <c r="I256" i="2"/>
  <c r="G257" i="2"/>
  <c r="H257" i="2"/>
  <c r="I257" i="2"/>
  <c r="G258" i="2"/>
  <c r="H258" i="2"/>
  <c r="I258" i="2"/>
  <c r="G259" i="2"/>
  <c r="H259" i="2"/>
  <c r="I259" i="2"/>
  <c r="G260" i="2"/>
  <c r="H260" i="2"/>
  <c r="I260" i="2"/>
  <c r="G261" i="2"/>
  <c r="H261" i="2"/>
  <c r="I261" i="2"/>
  <c r="G262" i="2"/>
  <c r="H262" i="2"/>
  <c r="I262" i="2"/>
  <c r="G263" i="2"/>
  <c r="H263" i="2"/>
  <c r="I263" i="2"/>
  <c r="G264" i="2"/>
  <c r="H264" i="2"/>
  <c r="I264" i="2"/>
  <c r="G265" i="2"/>
  <c r="H265" i="2"/>
  <c r="I265" i="2"/>
  <c r="G266" i="2"/>
  <c r="H266" i="2"/>
  <c r="I266" i="2"/>
  <c r="G267" i="2"/>
  <c r="H267" i="2"/>
  <c r="I267" i="2"/>
  <c r="G268" i="2"/>
  <c r="H268" i="2"/>
  <c r="I268" i="2"/>
  <c r="G269" i="2"/>
  <c r="H269" i="2"/>
  <c r="I269" i="2"/>
  <c r="G270" i="2"/>
  <c r="H270" i="2"/>
  <c r="I270" i="2"/>
  <c r="G271" i="2"/>
  <c r="H271" i="2"/>
  <c r="I271" i="2"/>
  <c r="G272" i="2"/>
  <c r="H272" i="2"/>
  <c r="I272" i="2"/>
  <c r="G273" i="2"/>
  <c r="H273" i="2"/>
  <c r="I273" i="2"/>
  <c r="G274" i="2"/>
  <c r="H274" i="2"/>
  <c r="I274" i="2"/>
  <c r="G275" i="2"/>
  <c r="H275" i="2"/>
  <c r="I275" i="2"/>
  <c r="G276" i="2"/>
  <c r="H276" i="2"/>
  <c r="I276" i="2"/>
  <c r="G277" i="2"/>
  <c r="H277" i="2"/>
  <c r="I277" i="2"/>
  <c r="G278" i="2"/>
  <c r="H278" i="2"/>
  <c r="I278" i="2"/>
  <c r="G279" i="2"/>
  <c r="H279" i="2"/>
  <c r="I279" i="2"/>
  <c r="G280" i="2"/>
  <c r="H280" i="2"/>
  <c r="I280" i="2"/>
  <c r="G281" i="2"/>
  <c r="H281" i="2"/>
  <c r="I281" i="2"/>
  <c r="G282" i="2"/>
  <c r="H282" i="2"/>
  <c r="I282" i="2"/>
  <c r="G19" i="2"/>
  <c r="H19" i="2"/>
  <c r="I19" i="2"/>
  <c r="G20" i="2"/>
  <c r="H20" i="2"/>
  <c r="I20" i="2"/>
  <c r="G21" i="2"/>
  <c r="H21" i="2"/>
  <c r="I21" i="2"/>
  <c r="G22" i="2"/>
  <c r="H22" i="2"/>
  <c r="I22" i="2"/>
  <c r="G23" i="2"/>
  <c r="H23" i="2"/>
  <c r="I23" i="2"/>
  <c r="G24" i="2"/>
  <c r="H24" i="2"/>
  <c r="I24" i="2"/>
  <c r="G25" i="2"/>
  <c r="H25" i="2"/>
  <c r="I25" i="2"/>
  <c r="G26" i="2"/>
  <c r="H26" i="2"/>
  <c r="I26" i="2"/>
  <c r="G27" i="2"/>
  <c r="H27" i="2"/>
  <c r="I27" i="2"/>
  <c r="G28" i="2"/>
  <c r="H28" i="2"/>
  <c r="I28" i="2"/>
  <c r="G29" i="2"/>
  <c r="H29" i="2"/>
  <c r="I29" i="2"/>
  <c r="G30" i="2"/>
  <c r="H30" i="2"/>
  <c r="I30" i="2"/>
  <c r="G31" i="2"/>
  <c r="H31" i="2"/>
  <c r="I31" i="2"/>
  <c r="G32" i="2"/>
  <c r="H32" i="2"/>
  <c r="I32" i="2"/>
  <c r="G33" i="2"/>
  <c r="H33" i="2"/>
  <c r="I33" i="2"/>
  <c r="G34" i="2"/>
  <c r="H34" i="2"/>
  <c r="I34" i="2"/>
  <c r="G35" i="2"/>
  <c r="H35" i="2"/>
  <c r="I35" i="2"/>
  <c r="G36" i="2"/>
  <c r="H36" i="2"/>
  <c r="I36" i="2"/>
  <c r="G37" i="2"/>
  <c r="H37" i="2"/>
  <c r="I37" i="2"/>
  <c r="G38" i="2"/>
  <c r="H38" i="2"/>
  <c r="I38" i="2"/>
  <c r="G39" i="2"/>
  <c r="H39" i="2"/>
  <c r="I39" i="2"/>
  <c r="G40" i="2"/>
  <c r="H40" i="2"/>
  <c r="I40" i="2"/>
  <c r="G41" i="2"/>
  <c r="H41" i="2"/>
  <c r="I41" i="2"/>
  <c r="G42" i="2"/>
  <c r="H42" i="2"/>
  <c r="I42" i="2"/>
  <c r="G43" i="2"/>
  <c r="H43" i="2"/>
  <c r="I43" i="2"/>
  <c r="G44" i="2"/>
  <c r="H44" i="2"/>
  <c r="I44" i="2"/>
  <c r="G45" i="2"/>
  <c r="H45" i="2"/>
  <c r="I45" i="2"/>
  <c r="G46" i="2"/>
  <c r="H46" i="2"/>
  <c r="I46" i="2"/>
  <c r="G47" i="2"/>
  <c r="H47" i="2"/>
  <c r="I47" i="2"/>
  <c r="G6" i="2"/>
  <c r="H6" i="2"/>
  <c r="I6" i="2"/>
  <c r="G7" i="2"/>
  <c r="H7" i="2"/>
  <c r="I7" i="2"/>
  <c r="G8" i="2"/>
  <c r="H8" i="2"/>
  <c r="I8" i="2"/>
  <c r="G9" i="2"/>
  <c r="H9" i="2"/>
  <c r="I9" i="2"/>
  <c r="G10" i="2"/>
  <c r="H10" i="2"/>
  <c r="I10" i="2"/>
  <c r="G11" i="2"/>
  <c r="H11" i="2"/>
  <c r="I11" i="2"/>
  <c r="G12" i="2"/>
  <c r="H12" i="2"/>
  <c r="I12" i="2"/>
  <c r="G13" i="2"/>
  <c r="H13" i="2"/>
  <c r="I13" i="2"/>
  <c r="G14" i="2"/>
  <c r="H14" i="2"/>
  <c r="I14" i="2"/>
  <c r="G15" i="2"/>
  <c r="H15" i="2"/>
  <c r="I15" i="2"/>
  <c r="G16" i="2"/>
  <c r="H16" i="2"/>
  <c r="I16" i="2"/>
  <c r="G17" i="2"/>
  <c r="H17" i="2"/>
  <c r="I17" i="2"/>
  <c r="G18" i="2"/>
  <c r="H18" i="2"/>
  <c r="I18" i="2"/>
  <c r="H5" i="2"/>
  <c r="I5" i="2"/>
  <c r="G5" i="2"/>
  <c r="T286" i="2"/>
  <c r="D286" i="3" s="1"/>
  <c r="S290" i="2"/>
  <c r="T290" i="2"/>
  <c r="D290" i="3" s="1"/>
  <c r="R292" i="2"/>
  <c r="S293" i="2"/>
  <c r="T294" i="2"/>
  <c r="D294" i="3" s="1"/>
  <c r="T298" i="2"/>
  <c r="D298" i="3" s="1"/>
  <c r="T299" i="2"/>
  <c r="D299" i="3" s="1"/>
  <c r="T302" i="2"/>
  <c r="D302" i="3" s="1"/>
  <c r="R305" i="2"/>
  <c r="T306" i="2"/>
  <c r="D306" i="3" s="1"/>
  <c r="R308" i="2"/>
  <c r="Y308" i="2" s="1"/>
  <c r="T314" i="2"/>
  <c r="D314" i="3" s="1"/>
  <c r="R316" i="2"/>
  <c r="Y316" i="2" s="1"/>
  <c r="S321" i="2"/>
  <c r="R324" i="2"/>
  <c r="R325" i="2"/>
  <c r="Y325" i="2" s="1"/>
  <c r="S329" i="2"/>
  <c r="T330" i="2"/>
  <c r="D330" i="3" s="1"/>
  <c r="R332" i="2"/>
  <c r="S337" i="2"/>
  <c r="R340" i="2"/>
  <c r="Y340" i="2" s="1"/>
  <c r="R341" i="2"/>
  <c r="T342" i="2"/>
  <c r="D342" i="3" s="1"/>
  <c r="R344" i="2"/>
  <c r="Y344" i="2" s="1"/>
  <c r="R352" i="2"/>
  <c r="Y352" i="2" s="1"/>
  <c r="T357" i="2"/>
  <c r="D357" i="3" s="1"/>
  <c r="T358" i="2"/>
  <c r="D358" i="3" s="1"/>
  <c r="S360" i="2"/>
  <c r="T362" i="2"/>
  <c r="D362" i="3" s="1"/>
  <c r="T365" i="2"/>
  <c r="D365" i="3" s="1"/>
  <c r="R368" i="2"/>
  <c r="Y368" i="2" s="1"/>
  <c r="T370" i="2"/>
  <c r="D370" i="3" s="1"/>
  <c r="T374" i="2"/>
  <c r="D374" i="3" s="1"/>
  <c r="R376" i="2"/>
  <c r="Y376" i="2" s="1"/>
  <c r="T377" i="2"/>
  <c r="D377" i="3" s="1"/>
  <c r="T378" i="2"/>
  <c r="D378" i="3" s="1"/>
  <c r="R383" i="2"/>
  <c r="Y383" i="2" s="1"/>
  <c r="T385" i="2"/>
  <c r="D385" i="3" s="1"/>
  <c r="A288" i="2"/>
  <c r="A288" i="3" s="1"/>
  <c r="B288" i="2"/>
  <c r="B288" i="3" s="1"/>
  <c r="C288" i="2"/>
  <c r="D288" i="2"/>
  <c r="E288" i="2"/>
  <c r="F288" i="2"/>
  <c r="S288" i="2"/>
  <c r="K288" i="2"/>
  <c r="L288" i="2"/>
  <c r="M288" i="2"/>
  <c r="N288" i="2"/>
  <c r="G338" i="4" s="1"/>
  <c r="P288" i="2"/>
  <c r="H338" i="4" s="1"/>
  <c r="P338" i="4" s="1"/>
  <c r="R288" i="2"/>
  <c r="Y288" i="2" s="1"/>
  <c r="A289" i="2"/>
  <c r="A289" i="3" s="1"/>
  <c r="B289" i="2"/>
  <c r="B289" i="3" s="1"/>
  <c r="C289" i="2"/>
  <c r="D289" i="2"/>
  <c r="E289" i="2"/>
  <c r="F289" i="2"/>
  <c r="K289" i="2"/>
  <c r="L289" i="2"/>
  <c r="M289" i="2"/>
  <c r="N289" i="2"/>
  <c r="G339" i="4" s="1"/>
  <c r="P289" i="2"/>
  <c r="H339" i="4" s="1"/>
  <c r="P339" i="4" s="1"/>
  <c r="A290" i="2"/>
  <c r="A290" i="3" s="1"/>
  <c r="B290" i="2"/>
  <c r="B290" i="3" s="1"/>
  <c r="C290" i="2"/>
  <c r="D290" i="2"/>
  <c r="E290" i="2"/>
  <c r="K290" i="2"/>
  <c r="L290" i="2"/>
  <c r="M290" i="2"/>
  <c r="N290" i="2"/>
  <c r="G340" i="4" s="1"/>
  <c r="P290" i="2"/>
  <c r="H340" i="4" s="1"/>
  <c r="P340" i="4" s="1"/>
  <c r="A291" i="2"/>
  <c r="A291" i="3" s="1"/>
  <c r="B291" i="2"/>
  <c r="B291" i="3" s="1"/>
  <c r="C291" i="2"/>
  <c r="D291" i="2"/>
  <c r="E291" i="2"/>
  <c r="F291" i="2"/>
  <c r="L291" i="2"/>
  <c r="M291" i="2"/>
  <c r="N291" i="2"/>
  <c r="G341" i="4" s="1"/>
  <c r="P291" i="2"/>
  <c r="H341" i="4" s="1"/>
  <c r="P341" i="4" s="1"/>
  <c r="A292" i="2"/>
  <c r="A292" i="3" s="1"/>
  <c r="B292" i="2"/>
  <c r="B292" i="3" s="1"/>
  <c r="C292" i="2"/>
  <c r="D292" i="2"/>
  <c r="E292" i="2"/>
  <c r="K292" i="2"/>
  <c r="L292" i="2"/>
  <c r="M292" i="2"/>
  <c r="N292" i="2"/>
  <c r="G342" i="4" s="1"/>
  <c r="P292" i="2"/>
  <c r="H342" i="4" s="1"/>
  <c r="P342" i="4" s="1"/>
  <c r="A293" i="2"/>
  <c r="A293" i="3" s="1"/>
  <c r="B293" i="2"/>
  <c r="B293" i="3" s="1"/>
  <c r="C293" i="2"/>
  <c r="D293" i="2"/>
  <c r="E293" i="2"/>
  <c r="F293" i="2"/>
  <c r="K293" i="2"/>
  <c r="L293" i="2"/>
  <c r="M293" i="2"/>
  <c r="N293" i="2"/>
  <c r="G343" i="4" s="1"/>
  <c r="P293" i="2"/>
  <c r="H343" i="4" s="1"/>
  <c r="P343" i="4" s="1"/>
  <c r="A294" i="2"/>
  <c r="A294" i="3" s="1"/>
  <c r="B294" i="2"/>
  <c r="B294" i="3" s="1"/>
  <c r="C294" i="2"/>
  <c r="D294" i="2"/>
  <c r="E294" i="2"/>
  <c r="F294" i="2"/>
  <c r="L294" i="2"/>
  <c r="M294" i="2"/>
  <c r="N294" i="2"/>
  <c r="G344" i="4" s="1"/>
  <c r="P294" i="2"/>
  <c r="H344" i="4" s="1"/>
  <c r="P344" i="4" s="1"/>
  <c r="A295" i="2"/>
  <c r="A295" i="3" s="1"/>
  <c r="B295" i="2"/>
  <c r="B295" i="3" s="1"/>
  <c r="C295" i="2"/>
  <c r="D295" i="2"/>
  <c r="F295" i="2"/>
  <c r="L295" i="2"/>
  <c r="M295" i="2"/>
  <c r="N295" i="2"/>
  <c r="G345" i="4" s="1"/>
  <c r="P295" i="2"/>
  <c r="H345" i="4" s="1"/>
  <c r="P345" i="4" s="1"/>
  <c r="A296" i="2"/>
  <c r="A296" i="3" s="1"/>
  <c r="B296" i="2"/>
  <c r="B296" i="3" s="1"/>
  <c r="C296" i="2"/>
  <c r="D296" i="2"/>
  <c r="F296" i="2"/>
  <c r="R296" i="2"/>
  <c r="L296" i="2"/>
  <c r="M296" i="2"/>
  <c r="N296" i="2"/>
  <c r="G346" i="4" s="1"/>
  <c r="P296" i="2"/>
  <c r="H346" i="4" s="1"/>
  <c r="P346" i="4" s="1"/>
  <c r="A297" i="2"/>
  <c r="A297" i="3" s="1"/>
  <c r="B297" i="2"/>
  <c r="B297" i="3" s="1"/>
  <c r="C297" i="2"/>
  <c r="D297" i="2"/>
  <c r="E297" i="2"/>
  <c r="F297" i="2"/>
  <c r="L297" i="2"/>
  <c r="M297" i="2"/>
  <c r="N297" i="2"/>
  <c r="G347" i="4" s="1"/>
  <c r="P297" i="2"/>
  <c r="H347" i="4" s="1"/>
  <c r="P347" i="4" s="1"/>
  <c r="A298" i="2"/>
  <c r="A298" i="3" s="1"/>
  <c r="B298" i="2"/>
  <c r="B298" i="3" s="1"/>
  <c r="C298" i="2"/>
  <c r="D298" i="2"/>
  <c r="E298" i="2"/>
  <c r="F298" i="2"/>
  <c r="K298" i="2"/>
  <c r="L298" i="2"/>
  <c r="M298" i="2"/>
  <c r="N298" i="2"/>
  <c r="G348" i="4" s="1"/>
  <c r="P298" i="2"/>
  <c r="H348" i="4" s="1"/>
  <c r="P348" i="4" s="1"/>
  <c r="A299" i="2"/>
  <c r="A299" i="3" s="1"/>
  <c r="B299" i="2"/>
  <c r="B299" i="3" s="1"/>
  <c r="C299" i="2"/>
  <c r="D299" i="2"/>
  <c r="E299" i="2"/>
  <c r="F299" i="2"/>
  <c r="R299" i="2"/>
  <c r="Y299" i="2" s="1"/>
  <c r="K299" i="2"/>
  <c r="L299" i="2"/>
  <c r="M299" i="2"/>
  <c r="N299" i="2"/>
  <c r="G349" i="4" s="1"/>
  <c r="P299" i="2"/>
  <c r="H349" i="4" s="1"/>
  <c r="P349" i="4" s="1"/>
  <c r="A300" i="2"/>
  <c r="A300" i="3" s="1"/>
  <c r="B300" i="2"/>
  <c r="B300" i="3" s="1"/>
  <c r="C300" i="2"/>
  <c r="D300" i="2"/>
  <c r="E300" i="2"/>
  <c r="F300" i="2"/>
  <c r="L300" i="2"/>
  <c r="M300" i="2"/>
  <c r="N300" i="2"/>
  <c r="G350" i="4" s="1"/>
  <c r="P300" i="2"/>
  <c r="H350" i="4" s="1"/>
  <c r="P350" i="4" s="1"/>
  <c r="A301" i="2"/>
  <c r="A301" i="3" s="1"/>
  <c r="B301" i="2"/>
  <c r="B301" i="3" s="1"/>
  <c r="C301" i="2"/>
  <c r="D301" i="2"/>
  <c r="E301" i="2"/>
  <c r="F301" i="2"/>
  <c r="L301" i="2"/>
  <c r="M301" i="2"/>
  <c r="N301" i="2"/>
  <c r="G351" i="4" s="1"/>
  <c r="P301" i="2"/>
  <c r="H351" i="4" s="1"/>
  <c r="P351" i="4" s="1"/>
  <c r="A302" i="2"/>
  <c r="A302" i="3" s="1"/>
  <c r="B302" i="2"/>
  <c r="B302" i="3" s="1"/>
  <c r="C302" i="2"/>
  <c r="D302" i="2"/>
  <c r="E302" i="2"/>
  <c r="F302" i="2"/>
  <c r="L302" i="2"/>
  <c r="M302" i="2"/>
  <c r="N302" i="2"/>
  <c r="G352" i="4" s="1"/>
  <c r="P302" i="2"/>
  <c r="H352" i="4" s="1"/>
  <c r="P352" i="4" s="1"/>
  <c r="A303" i="2"/>
  <c r="A303" i="3" s="1"/>
  <c r="B303" i="2"/>
  <c r="B303" i="3" s="1"/>
  <c r="C303" i="2"/>
  <c r="D303" i="2"/>
  <c r="E303" i="2"/>
  <c r="F303" i="2"/>
  <c r="L303" i="2"/>
  <c r="M303" i="2"/>
  <c r="N303" i="2"/>
  <c r="G353" i="4" s="1"/>
  <c r="P303" i="2"/>
  <c r="H353" i="4" s="1"/>
  <c r="P353" i="4" s="1"/>
  <c r="T303" i="2"/>
  <c r="D303" i="3" s="1"/>
  <c r="A304" i="2"/>
  <c r="A304" i="3" s="1"/>
  <c r="B304" i="2"/>
  <c r="B304" i="3" s="1"/>
  <c r="C304" i="2"/>
  <c r="D304" i="2"/>
  <c r="E304" i="2"/>
  <c r="F304" i="2"/>
  <c r="K304" i="2"/>
  <c r="J304" i="2" s="1"/>
  <c r="L304" i="2"/>
  <c r="M304" i="2"/>
  <c r="N304" i="2"/>
  <c r="G354" i="4" s="1"/>
  <c r="P304" i="2"/>
  <c r="H354" i="4" s="1"/>
  <c r="P354" i="4" s="1"/>
  <c r="A305" i="2"/>
  <c r="A305" i="3" s="1"/>
  <c r="B305" i="2"/>
  <c r="B305" i="3" s="1"/>
  <c r="K305" i="2"/>
  <c r="L305" i="2"/>
  <c r="M305" i="2"/>
  <c r="N305" i="2"/>
  <c r="G355" i="4" s="1"/>
  <c r="P305" i="2"/>
  <c r="H355" i="4" s="1"/>
  <c r="P355" i="4" s="1"/>
  <c r="A306" i="2"/>
  <c r="A306" i="3" s="1"/>
  <c r="B306" i="2"/>
  <c r="B306" i="3" s="1"/>
  <c r="C306" i="2"/>
  <c r="D306" i="2"/>
  <c r="E306" i="2"/>
  <c r="F306" i="2"/>
  <c r="K306" i="2"/>
  <c r="L306" i="2"/>
  <c r="M306" i="2"/>
  <c r="N306" i="2"/>
  <c r="G356" i="4" s="1"/>
  <c r="P306" i="2"/>
  <c r="H356" i="4" s="1"/>
  <c r="P356" i="4" s="1"/>
  <c r="A307" i="2"/>
  <c r="A307" i="3" s="1"/>
  <c r="B307" i="2"/>
  <c r="B307" i="3" s="1"/>
  <c r="C307" i="2"/>
  <c r="D307" i="2"/>
  <c r="E307" i="2"/>
  <c r="F307" i="2"/>
  <c r="L307" i="2"/>
  <c r="M307" i="2"/>
  <c r="N307" i="2"/>
  <c r="G358" i="4" s="1"/>
  <c r="O358" i="4" s="1"/>
  <c r="P307" i="2"/>
  <c r="H358" i="4" s="1"/>
  <c r="P358" i="4" s="1"/>
  <c r="A308" i="2"/>
  <c r="A308" i="3" s="1"/>
  <c r="B308" i="2"/>
  <c r="B308" i="3" s="1"/>
  <c r="C308" i="2"/>
  <c r="D308" i="2"/>
  <c r="E308" i="2"/>
  <c r="F308" i="2"/>
  <c r="L308" i="2"/>
  <c r="M308" i="2"/>
  <c r="N308" i="2"/>
  <c r="G359" i="4" s="1"/>
  <c r="O359" i="4" s="1"/>
  <c r="P308" i="2"/>
  <c r="H359" i="4" s="1"/>
  <c r="P359" i="4" s="1"/>
  <c r="A309" i="2"/>
  <c r="A309" i="3" s="1"/>
  <c r="B309" i="2"/>
  <c r="B309" i="3" s="1"/>
  <c r="C309" i="2"/>
  <c r="D309" i="2"/>
  <c r="E309" i="2"/>
  <c r="F309" i="2"/>
  <c r="L309" i="2"/>
  <c r="M309" i="2"/>
  <c r="N309" i="2"/>
  <c r="P309" i="2"/>
  <c r="H360" i="4" s="1"/>
  <c r="P360" i="4" s="1"/>
  <c r="T309" i="2"/>
  <c r="D309" i="3" s="1"/>
  <c r="A310" i="2"/>
  <c r="A310" i="3" s="1"/>
  <c r="B310" i="2"/>
  <c r="B310" i="3" s="1"/>
  <c r="C310" i="2"/>
  <c r="D310" i="2"/>
  <c r="E310" i="2"/>
  <c r="F310" i="2"/>
  <c r="K310" i="2"/>
  <c r="J310" i="2" s="1"/>
  <c r="L310" i="2"/>
  <c r="M310" i="2"/>
  <c r="N310" i="2"/>
  <c r="G361" i="4" s="1"/>
  <c r="P310" i="2"/>
  <c r="H361" i="4" s="1"/>
  <c r="P361" i="4" s="1"/>
  <c r="A311" i="2"/>
  <c r="A311" i="3" s="1"/>
  <c r="B311" i="2"/>
  <c r="B311" i="3" s="1"/>
  <c r="C311" i="2"/>
  <c r="D311" i="2"/>
  <c r="E311" i="2"/>
  <c r="F311" i="2"/>
  <c r="K311" i="2"/>
  <c r="J311" i="2" s="1"/>
  <c r="L311" i="2"/>
  <c r="M311" i="2"/>
  <c r="N311" i="2"/>
  <c r="P311" i="2"/>
  <c r="A312" i="2"/>
  <c r="A312" i="3" s="1"/>
  <c r="B312" i="2"/>
  <c r="B312" i="3" s="1"/>
  <c r="C312" i="2"/>
  <c r="C312" i="3" s="1"/>
  <c r="D312" i="2"/>
  <c r="E312" i="2"/>
  <c r="F312" i="2"/>
  <c r="K312" i="2"/>
  <c r="J312" i="2" s="1"/>
  <c r="L312" i="2"/>
  <c r="M312" i="2"/>
  <c r="N312" i="2"/>
  <c r="G363" i="4" s="1"/>
  <c r="P312" i="2"/>
  <c r="H363" i="4" s="1"/>
  <c r="P363" i="4" s="1"/>
  <c r="A313" i="2"/>
  <c r="A313" i="3" s="1"/>
  <c r="B313" i="2"/>
  <c r="B313" i="3" s="1"/>
  <c r="C313" i="2"/>
  <c r="D313" i="2"/>
  <c r="E313" i="2"/>
  <c r="F313" i="2"/>
  <c r="S313" i="2"/>
  <c r="K313" i="2"/>
  <c r="L313" i="2"/>
  <c r="M313" i="2"/>
  <c r="N313" i="2"/>
  <c r="G365" i="4" s="1"/>
  <c r="P313" i="2"/>
  <c r="H365" i="4" s="1"/>
  <c r="P365" i="4" s="1"/>
  <c r="R313" i="2"/>
  <c r="A314" i="2"/>
  <c r="A314" i="3" s="1"/>
  <c r="B314" i="2"/>
  <c r="B314" i="3" s="1"/>
  <c r="C314" i="2"/>
  <c r="D314" i="2"/>
  <c r="E314" i="2"/>
  <c r="F314" i="2"/>
  <c r="S314" i="2"/>
  <c r="K314" i="2"/>
  <c r="L314" i="2"/>
  <c r="M314" i="2"/>
  <c r="N314" i="2"/>
  <c r="G366" i="4" s="1"/>
  <c r="P314" i="2"/>
  <c r="H366" i="4" s="1"/>
  <c r="P366" i="4" s="1"/>
  <c r="A315" i="2"/>
  <c r="A315" i="3" s="1"/>
  <c r="B315" i="2"/>
  <c r="B315" i="3" s="1"/>
  <c r="C315" i="2"/>
  <c r="D315" i="2"/>
  <c r="E315" i="2"/>
  <c r="F315" i="2"/>
  <c r="K315" i="2"/>
  <c r="L315" i="2"/>
  <c r="M315" i="2"/>
  <c r="N315" i="2"/>
  <c r="G367" i="4" s="1"/>
  <c r="P315" i="2"/>
  <c r="H367" i="4" s="1"/>
  <c r="P367" i="4" s="1"/>
  <c r="A316" i="2"/>
  <c r="A316" i="3" s="1"/>
  <c r="B316" i="2"/>
  <c r="B316" i="3" s="1"/>
  <c r="C316" i="2"/>
  <c r="D316" i="2"/>
  <c r="E316" i="2"/>
  <c r="F316" i="2"/>
  <c r="K316" i="2"/>
  <c r="L316" i="2"/>
  <c r="M316" i="2"/>
  <c r="N316" i="2"/>
  <c r="G368" i="4" s="1"/>
  <c r="P316" i="2"/>
  <c r="H368" i="4" s="1"/>
  <c r="P368" i="4" s="1"/>
  <c r="A317" i="2"/>
  <c r="A317" i="3" s="1"/>
  <c r="B317" i="2"/>
  <c r="B317" i="3" s="1"/>
  <c r="C317" i="2"/>
  <c r="D317" i="2"/>
  <c r="E317" i="2"/>
  <c r="F317" i="2"/>
  <c r="K317" i="2"/>
  <c r="L317" i="2"/>
  <c r="M317" i="2"/>
  <c r="N317" i="2"/>
  <c r="G369" i="4" s="1"/>
  <c r="P317" i="2"/>
  <c r="H369" i="4" s="1"/>
  <c r="P369" i="4" s="1"/>
  <c r="A318" i="2"/>
  <c r="A318" i="3" s="1"/>
  <c r="B318" i="2"/>
  <c r="B318" i="3" s="1"/>
  <c r="C318" i="2"/>
  <c r="D318" i="2"/>
  <c r="E318" i="2"/>
  <c r="F318" i="2"/>
  <c r="K318" i="2"/>
  <c r="J318" i="2" s="1"/>
  <c r="L318" i="2"/>
  <c r="M318" i="2"/>
  <c r="N318" i="2"/>
  <c r="G370" i="4" s="1"/>
  <c r="P318" i="2"/>
  <c r="H370" i="4" s="1"/>
  <c r="P370" i="4" s="1"/>
  <c r="A319" i="2"/>
  <c r="A319" i="3" s="1"/>
  <c r="B319" i="2"/>
  <c r="B319" i="3" s="1"/>
  <c r="C319" i="2"/>
  <c r="D319" i="2"/>
  <c r="E319" i="2"/>
  <c r="F319" i="2"/>
  <c r="K319" i="2"/>
  <c r="J319" i="2" s="1"/>
  <c r="L319" i="2"/>
  <c r="M319" i="2"/>
  <c r="N319" i="2"/>
  <c r="P319" i="2"/>
  <c r="A320" i="2"/>
  <c r="A320" i="3" s="1"/>
  <c r="B320" i="2"/>
  <c r="B320" i="3" s="1"/>
  <c r="C320" i="2"/>
  <c r="D320" i="2"/>
  <c r="E320" i="2"/>
  <c r="F320" i="2"/>
  <c r="K320" i="2"/>
  <c r="J320" i="2" s="1"/>
  <c r="L320" i="2"/>
  <c r="M320" i="2"/>
  <c r="N320" i="2"/>
  <c r="G372" i="4" s="1"/>
  <c r="P320" i="2"/>
  <c r="H372" i="4" s="1"/>
  <c r="P372" i="4" s="1"/>
  <c r="A321" i="2"/>
  <c r="A321" i="3" s="1"/>
  <c r="B321" i="2"/>
  <c r="B321" i="3" s="1"/>
  <c r="K321" i="2"/>
  <c r="L321" i="2"/>
  <c r="M321" i="2"/>
  <c r="N321" i="2"/>
  <c r="G374" i="4" s="1"/>
  <c r="P321" i="2"/>
  <c r="H374" i="4" s="1"/>
  <c r="P374" i="4" s="1"/>
  <c r="T321" i="2"/>
  <c r="D321" i="3" s="1"/>
  <c r="A322" i="2"/>
  <c r="A322" i="3" s="1"/>
  <c r="B322" i="2"/>
  <c r="B322" i="3" s="1"/>
  <c r="C322" i="2"/>
  <c r="D322" i="2"/>
  <c r="E322" i="2"/>
  <c r="F322" i="2"/>
  <c r="L322" i="2"/>
  <c r="M322" i="2"/>
  <c r="N322" i="2"/>
  <c r="G375" i="4" s="1"/>
  <c r="P322" i="2"/>
  <c r="H375" i="4" s="1"/>
  <c r="P375" i="4" s="1"/>
  <c r="A323" i="2"/>
  <c r="A323" i="3" s="1"/>
  <c r="B323" i="2"/>
  <c r="B323" i="3" s="1"/>
  <c r="C323" i="2"/>
  <c r="D323" i="2"/>
  <c r="L323" i="2"/>
  <c r="M323" i="2"/>
  <c r="N323" i="2"/>
  <c r="G376" i="4" s="1"/>
  <c r="P323" i="2"/>
  <c r="H376" i="4" s="1"/>
  <c r="P376" i="4" s="1"/>
  <c r="A324" i="2"/>
  <c r="A324" i="3" s="1"/>
  <c r="B324" i="2"/>
  <c r="B324" i="3" s="1"/>
  <c r="C324" i="2"/>
  <c r="D324" i="2"/>
  <c r="E324" i="2"/>
  <c r="F324" i="2"/>
  <c r="L324" i="2"/>
  <c r="M324" i="2"/>
  <c r="N324" i="2"/>
  <c r="G377" i="4" s="1"/>
  <c r="P324" i="2"/>
  <c r="H377" i="4" s="1"/>
  <c r="P377" i="4" s="1"/>
  <c r="A325" i="2"/>
  <c r="A325" i="3" s="1"/>
  <c r="B325" i="2"/>
  <c r="B325" i="3" s="1"/>
  <c r="C325" i="2"/>
  <c r="D325" i="2"/>
  <c r="E325" i="2"/>
  <c r="F325" i="2"/>
  <c r="L325" i="2"/>
  <c r="M325" i="2"/>
  <c r="N325" i="2"/>
  <c r="G378" i="4" s="1"/>
  <c r="P325" i="2"/>
  <c r="H378" i="4" s="1"/>
  <c r="P378" i="4" s="1"/>
  <c r="A326" i="2"/>
  <c r="A326" i="3" s="1"/>
  <c r="B326" i="2"/>
  <c r="B326" i="3" s="1"/>
  <c r="K326" i="2"/>
  <c r="L326" i="2"/>
  <c r="M326" i="2"/>
  <c r="N326" i="2"/>
  <c r="G379" i="4" s="1"/>
  <c r="P326" i="2"/>
  <c r="H379" i="4" s="1"/>
  <c r="P379" i="4" s="1"/>
  <c r="A327" i="2"/>
  <c r="A327" i="3" s="1"/>
  <c r="B327" i="2"/>
  <c r="B327" i="3" s="1"/>
  <c r="K327" i="2"/>
  <c r="L327" i="2"/>
  <c r="M327" i="2"/>
  <c r="N327" i="2"/>
  <c r="G380" i="4" s="1"/>
  <c r="P327" i="2"/>
  <c r="H380" i="4" s="1"/>
  <c r="P380" i="4" s="1"/>
  <c r="A328" i="2"/>
  <c r="A328" i="3" s="1"/>
  <c r="B328" i="2"/>
  <c r="B328" i="3" s="1"/>
  <c r="C328" i="2"/>
  <c r="D328" i="2"/>
  <c r="E328" i="2"/>
  <c r="F328" i="2"/>
  <c r="K328" i="2"/>
  <c r="L328" i="2"/>
  <c r="M328" i="2"/>
  <c r="N328" i="2"/>
  <c r="G381" i="4" s="1"/>
  <c r="P328" i="2"/>
  <c r="H381" i="4" s="1"/>
  <c r="P381" i="4" s="1"/>
  <c r="A329" i="2"/>
  <c r="A329" i="3" s="1"/>
  <c r="B329" i="2"/>
  <c r="B329" i="3" s="1"/>
  <c r="C329" i="2"/>
  <c r="D329" i="2"/>
  <c r="E329" i="2"/>
  <c r="F329" i="2"/>
  <c r="K329" i="2"/>
  <c r="L329" i="2"/>
  <c r="M329" i="2"/>
  <c r="N329" i="2"/>
  <c r="G382" i="4" s="1"/>
  <c r="P329" i="2"/>
  <c r="H382" i="4" s="1"/>
  <c r="P382" i="4" s="1"/>
  <c r="R329" i="2"/>
  <c r="Y329" i="2" s="1"/>
  <c r="T329" i="2"/>
  <c r="D329" i="3" s="1"/>
  <c r="E329" i="3" s="1"/>
  <c r="A330" i="2"/>
  <c r="A330" i="3" s="1"/>
  <c r="B330" i="2"/>
  <c r="B330" i="3" s="1"/>
  <c r="C330" i="2"/>
  <c r="D330" i="2"/>
  <c r="E330" i="2"/>
  <c r="F330" i="2"/>
  <c r="K330" i="2"/>
  <c r="L330" i="2"/>
  <c r="M330" i="2"/>
  <c r="N330" i="2"/>
  <c r="G383" i="4" s="1"/>
  <c r="P330" i="2"/>
  <c r="H383" i="4" s="1"/>
  <c r="P383" i="4" s="1"/>
  <c r="A331" i="2"/>
  <c r="A331" i="3" s="1"/>
  <c r="B331" i="2"/>
  <c r="B331" i="3" s="1"/>
  <c r="C331" i="2"/>
  <c r="D331" i="2"/>
  <c r="E331" i="2"/>
  <c r="K331" i="2"/>
  <c r="L331" i="2"/>
  <c r="M331" i="2"/>
  <c r="N331" i="2"/>
  <c r="G384" i="4" s="1"/>
  <c r="P331" i="2"/>
  <c r="H384" i="4" s="1"/>
  <c r="P384" i="4" s="1"/>
  <c r="A332" i="2"/>
  <c r="A332" i="3" s="1"/>
  <c r="B332" i="2"/>
  <c r="B332" i="3" s="1"/>
  <c r="C332" i="2"/>
  <c r="D332" i="2"/>
  <c r="E332" i="2"/>
  <c r="F332" i="2"/>
  <c r="K332" i="2"/>
  <c r="L332" i="2"/>
  <c r="M332" i="2"/>
  <c r="N332" i="2"/>
  <c r="G385" i="4" s="1"/>
  <c r="P332" i="2"/>
  <c r="H385" i="4" s="1"/>
  <c r="P385" i="4" s="1"/>
  <c r="A333" i="2"/>
  <c r="A333" i="3" s="1"/>
  <c r="B333" i="2"/>
  <c r="B333" i="3" s="1"/>
  <c r="C333" i="2"/>
  <c r="D333" i="2"/>
  <c r="E333" i="2"/>
  <c r="F333" i="2"/>
  <c r="K333" i="2"/>
  <c r="J333" i="2" s="1"/>
  <c r="L333" i="2"/>
  <c r="M333" i="2"/>
  <c r="N333" i="2"/>
  <c r="G386" i="4" s="1"/>
  <c r="P333" i="2"/>
  <c r="H386" i="4" s="1"/>
  <c r="P386" i="4" s="1"/>
  <c r="A334" i="2"/>
  <c r="A334" i="3" s="1"/>
  <c r="B334" i="2"/>
  <c r="B334" i="3" s="1"/>
  <c r="C334" i="2"/>
  <c r="D334" i="2"/>
  <c r="E334" i="2"/>
  <c r="F334" i="2"/>
  <c r="K334" i="2"/>
  <c r="J334" i="2" s="1"/>
  <c r="L334" i="2"/>
  <c r="M334" i="2"/>
  <c r="N334" i="2"/>
  <c r="G387" i="4" s="1"/>
  <c r="P334" i="2"/>
  <c r="H387" i="4" s="1"/>
  <c r="P387" i="4" s="1"/>
  <c r="A335" i="2"/>
  <c r="A335" i="3" s="1"/>
  <c r="B335" i="2"/>
  <c r="B335" i="3" s="1"/>
  <c r="C335" i="2"/>
  <c r="D335" i="2"/>
  <c r="E335" i="2"/>
  <c r="F335" i="2"/>
  <c r="K335" i="2"/>
  <c r="L335" i="2"/>
  <c r="M335" i="2"/>
  <c r="N335" i="2"/>
  <c r="G388" i="4" s="1"/>
  <c r="P335" i="2"/>
  <c r="H388" i="4" s="1"/>
  <c r="P388" i="4" s="1"/>
  <c r="B336" i="2"/>
  <c r="B336" i="3" s="1"/>
  <c r="K336" i="2"/>
  <c r="L336" i="2"/>
  <c r="M336" i="2"/>
  <c r="N336" i="2"/>
  <c r="G389" i="4" s="1"/>
  <c r="P336" i="2"/>
  <c r="H389" i="4" s="1"/>
  <c r="P389" i="4" s="1"/>
  <c r="A337" i="2"/>
  <c r="A337" i="3" s="1"/>
  <c r="B337" i="2"/>
  <c r="B337" i="3" s="1"/>
  <c r="K337" i="2"/>
  <c r="L337" i="2"/>
  <c r="M337" i="2"/>
  <c r="N337" i="2"/>
  <c r="G390" i="4" s="1"/>
  <c r="P337" i="2"/>
  <c r="H390" i="4" s="1"/>
  <c r="P390" i="4" s="1"/>
  <c r="B338" i="2"/>
  <c r="B338" i="3" s="1"/>
  <c r="C338" i="2"/>
  <c r="D338" i="2"/>
  <c r="E338" i="2"/>
  <c r="F338" i="2"/>
  <c r="K338" i="2"/>
  <c r="L338" i="2"/>
  <c r="M338" i="2"/>
  <c r="N338" i="2"/>
  <c r="G391" i="4" s="1"/>
  <c r="P338" i="2"/>
  <c r="H391" i="4" s="1"/>
  <c r="P391" i="4" s="1"/>
  <c r="B339" i="2"/>
  <c r="B339" i="3" s="1"/>
  <c r="C339" i="2"/>
  <c r="D339" i="2"/>
  <c r="E339" i="2"/>
  <c r="K339" i="2"/>
  <c r="L339" i="2"/>
  <c r="M339" i="2"/>
  <c r="N339" i="2"/>
  <c r="G392" i="4" s="1"/>
  <c r="P339" i="2"/>
  <c r="H392" i="4" s="1"/>
  <c r="P392" i="4" s="1"/>
  <c r="B340" i="2"/>
  <c r="B340" i="3" s="1"/>
  <c r="C340" i="2"/>
  <c r="D340" i="2"/>
  <c r="E340" i="2"/>
  <c r="F340" i="2"/>
  <c r="S340" i="2"/>
  <c r="L340" i="2"/>
  <c r="M340" i="2"/>
  <c r="N340" i="2"/>
  <c r="G393" i="4" s="1"/>
  <c r="P340" i="2"/>
  <c r="H393" i="4" s="1"/>
  <c r="P393" i="4" s="1"/>
  <c r="B341" i="2"/>
  <c r="B341" i="3" s="1"/>
  <c r="C341" i="2"/>
  <c r="D341" i="2"/>
  <c r="E341" i="2"/>
  <c r="F341" i="2"/>
  <c r="K341" i="2"/>
  <c r="W341" i="2" s="1"/>
  <c r="L341" i="2"/>
  <c r="M341" i="2"/>
  <c r="N341" i="2"/>
  <c r="G394" i="4" s="1"/>
  <c r="P341" i="2"/>
  <c r="H394" i="4" s="1"/>
  <c r="P394" i="4" s="1"/>
  <c r="B342" i="2"/>
  <c r="B342" i="3" s="1"/>
  <c r="C342" i="2"/>
  <c r="D342" i="2"/>
  <c r="E342" i="2"/>
  <c r="F342" i="2"/>
  <c r="K342" i="2"/>
  <c r="L342" i="2"/>
  <c r="M342" i="2"/>
  <c r="N342" i="2"/>
  <c r="G395" i="4" s="1"/>
  <c r="P342" i="2"/>
  <c r="H395" i="4" s="1"/>
  <c r="P395" i="4" s="1"/>
  <c r="B343" i="2"/>
  <c r="B343" i="3" s="1"/>
  <c r="C343" i="2"/>
  <c r="D343" i="2"/>
  <c r="E343" i="2"/>
  <c r="K343" i="2"/>
  <c r="L343" i="2"/>
  <c r="M343" i="2"/>
  <c r="N343" i="2"/>
  <c r="G396" i="4" s="1"/>
  <c r="P343" i="2"/>
  <c r="H396" i="4" s="1"/>
  <c r="P396" i="4" s="1"/>
  <c r="B344" i="2"/>
  <c r="B344" i="3" s="1"/>
  <c r="C344" i="2"/>
  <c r="D344" i="2"/>
  <c r="E344" i="2"/>
  <c r="F344" i="2"/>
  <c r="K344" i="2"/>
  <c r="L344" i="2"/>
  <c r="M344" i="2"/>
  <c r="N344" i="2"/>
  <c r="G397" i="4" s="1"/>
  <c r="P344" i="2"/>
  <c r="H397" i="4" s="1"/>
  <c r="P397" i="4" s="1"/>
  <c r="T344" i="2"/>
  <c r="D344" i="3" s="1"/>
  <c r="B345" i="2"/>
  <c r="B345" i="3" s="1"/>
  <c r="C345" i="2"/>
  <c r="D345" i="2"/>
  <c r="E345" i="2"/>
  <c r="F345" i="2"/>
  <c r="T345" i="2"/>
  <c r="D345" i="3" s="1"/>
  <c r="K345" i="2"/>
  <c r="X345" i="2" s="1"/>
  <c r="L345" i="2"/>
  <c r="M345" i="2"/>
  <c r="N345" i="2"/>
  <c r="G398" i="4" s="1"/>
  <c r="P345" i="2"/>
  <c r="H398" i="4" s="1"/>
  <c r="P398" i="4" s="1"/>
  <c r="B346" i="2"/>
  <c r="B346" i="3" s="1"/>
  <c r="C346" i="2"/>
  <c r="D346" i="2"/>
  <c r="E346" i="2"/>
  <c r="F346" i="2"/>
  <c r="T346" i="2"/>
  <c r="D346" i="3" s="1"/>
  <c r="K346" i="2"/>
  <c r="L346" i="2"/>
  <c r="M346" i="2"/>
  <c r="N346" i="2"/>
  <c r="G399" i="4" s="1"/>
  <c r="P346" i="2"/>
  <c r="H399" i="4" s="1"/>
  <c r="P399" i="4" s="1"/>
  <c r="B347" i="2"/>
  <c r="B347" i="3" s="1"/>
  <c r="C347" i="2"/>
  <c r="D347" i="2"/>
  <c r="E347" i="2"/>
  <c r="F347" i="2"/>
  <c r="K347" i="2"/>
  <c r="L347" i="2"/>
  <c r="M347" i="2"/>
  <c r="N347" i="2"/>
  <c r="G400" i="4" s="1"/>
  <c r="P347" i="2"/>
  <c r="H400" i="4" s="1"/>
  <c r="P400" i="4" s="1"/>
  <c r="T347" i="2"/>
  <c r="D347" i="3" s="1"/>
  <c r="E347" i="3" s="1"/>
  <c r="B348" i="2"/>
  <c r="B348" i="3" s="1"/>
  <c r="C348" i="2"/>
  <c r="D348" i="2"/>
  <c r="E348" i="2"/>
  <c r="F348" i="2"/>
  <c r="K348" i="2"/>
  <c r="J348" i="2" s="1"/>
  <c r="L348" i="2"/>
  <c r="M348" i="2"/>
  <c r="N348" i="2"/>
  <c r="G401" i="4" s="1"/>
  <c r="P348" i="2"/>
  <c r="H401" i="4" s="1"/>
  <c r="P401" i="4" s="1"/>
  <c r="A349" i="2"/>
  <c r="A349" i="3" s="1"/>
  <c r="B349" i="2"/>
  <c r="B349" i="3" s="1"/>
  <c r="C349" i="2"/>
  <c r="D349" i="2"/>
  <c r="E349" i="2"/>
  <c r="F349" i="2"/>
  <c r="K349" i="2"/>
  <c r="J349" i="2" s="1"/>
  <c r="L349" i="2"/>
  <c r="M349" i="2"/>
  <c r="N349" i="2"/>
  <c r="G402" i="4" s="1"/>
  <c r="P349" i="2"/>
  <c r="H402" i="4" s="1"/>
  <c r="P402" i="4" s="1"/>
  <c r="A350" i="2"/>
  <c r="A350" i="3" s="1"/>
  <c r="B350" i="2"/>
  <c r="B350" i="3" s="1"/>
  <c r="C350" i="2"/>
  <c r="D350" i="2"/>
  <c r="E350" i="2"/>
  <c r="F350" i="2"/>
  <c r="K350" i="2"/>
  <c r="J350" i="2" s="1"/>
  <c r="L350" i="2"/>
  <c r="M350" i="2"/>
  <c r="N350" i="2"/>
  <c r="G404" i="4" s="1"/>
  <c r="P350" i="2"/>
  <c r="H404" i="4" s="1"/>
  <c r="P404" i="4" s="1"/>
  <c r="A351" i="2"/>
  <c r="A351" i="3" s="1"/>
  <c r="B351" i="2"/>
  <c r="B351" i="3" s="1"/>
  <c r="K351" i="2"/>
  <c r="L351" i="2"/>
  <c r="M351" i="2"/>
  <c r="N351" i="2"/>
  <c r="G406" i="4" s="1"/>
  <c r="P351" i="2"/>
  <c r="H406" i="4" s="1"/>
  <c r="P406" i="4" s="1"/>
  <c r="A352" i="2"/>
  <c r="A352" i="3" s="1"/>
  <c r="B352" i="2"/>
  <c r="B352" i="3" s="1"/>
  <c r="C352" i="2"/>
  <c r="D352" i="2"/>
  <c r="E352" i="2"/>
  <c r="F352" i="2"/>
  <c r="K352" i="2"/>
  <c r="L352" i="2"/>
  <c r="M352" i="2"/>
  <c r="N352" i="2"/>
  <c r="G407" i="4" s="1"/>
  <c r="P352" i="2"/>
  <c r="H407" i="4" s="1"/>
  <c r="P407" i="4" s="1"/>
  <c r="A353" i="2"/>
  <c r="A353" i="3" s="1"/>
  <c r="B353" i="2"/>
  <c r="B353" i="3" s="1"/>
  <c r="C353" i="2"/>
  <c r="D353" i="2"/>
  <c r="E353" i="2"/>
  <c r="F353" i="2"/>
  <c r="K353" i="2"/>
  <c r="L353" i="2"/>
  <c r="M353" i="2"/>
  <c r="N353" i="2"/>
  <c r="G408" i="4" s="1"/>
  <c r="P353" i="2"/>
  <c r="H408" i="4" s="1"/>
  <c r="P408" i="4" s="1"/>
  <c r="A354" i="2"/>
  <c r="A354" i="3" s="1"/>
  <c r="B354" i="2"/>
  <c r="B354" i="3" s="1"/>
  <c r="C354" i="2"/>
  <c r="D354" i="2"/>
  <c r="E354" i="2"/>
  <c r="F354" i="2"/>
  <c r="T354" i="2"/>
  <c r="D354" i="3" s="1"/>
  <c r="L354" i="2"/>
  <c r="M354" i="2"/>
  <c r="N354" i="2"/>
  <c r="G409" i="4" s="1"/>
  <c r="P354" i="2"/>
  <c r="H409" i="4" s="1"/>
  <c r="P409" i="4" s="1"/>
  <c r="A355" i="2"/>
  <c r="A355" i="3" s="1"/>
  <c r="B355" i="2"/>
  <c r="B355" i="3" s="1"/>
  <c r="C355" i="2"/>
  <c r="D355" i="2"/>
  <c r="E355" i="2"/>
  <c r="F355" i="2"/>
  <c r="K355" i="2"/>
  <c r="L355" i="2"/>
  <c r="M355" i="2"/>
  <c r="N355" i="2"/>
  <c r="G410" i="4" s="1"/>
  <c r="P355" i="2"/>
  <c r="H410" i="4" s="1"/>
  <c r="P410" i="4" s="1"/>
  <c r="A356" i="2"/>
  <c r="A356" i="3" s="1"/>
  <c r="B356" i="2"/>
  <c r="B356" i="3" s="1"/>
  <c r="C356" i="2"/>
  <c r="D356" i="2"/>
  <c r="E356" i="2"/>
  <c r="F356" i="2"/>
  <c r="S356" i="2"/>
  <c r="K356" i="2"/>
  <c r="W356" i="2" s="1"/>
  <c r="L356" i="2"/>
  <c r="M356" i="2"/>
  <c r="N356" i="2"/>
  <c r="G411" i="4" s="1"/>
  <c r="P356" i="2"/>
  <c r="H411" i="4" s="1"/>
  <c r="P411" i="4" s="1"/>
  <c r="A357" i="2"/>
  <c r="A357" i="3" s="1"/>
  <c r="B357" i="2"/>
  <c r="B357" i="3" s="1"/>
  <c r="C357" i="2"/>
  <c r="D357" i="2"/>
  <c r="E357" i="2"/>
  <c r="F357" i="2"/>
  <c r="K357" i="2"/>
  <c r="L357" i="2"/>
  <c r="M357" i="2"/>
  <c r="N357" i="2"/>
  <c r="G412" i="4" s="1"/>
  <c r="P357" i="2"/>
  <c r="H412" i="4" s="1"/>
  <c r="P412" i="4" s="1"/>
  <c r="A358" i="2"/>
  <c r="A358" i="3" s="1"/>
  <c r="B358" i="2"/>
  <c r="B358" i="3" s="1"/>
  <c r="C358" i="2"/>
  <c r="D358" i="2"/>
  <c r="E358" i="2"/>
  <c r="F358" i="2"/>
  <c r="L358" i="2"/>
  <c r="M358" i="2"/>
  <c r="N358" i="2"/>
  <c r="G413" i="4" s="1"/>
  <c r="P358" i="2"/>
  <c r="H413" i="4" s="1"/>
  <c r="P413" i="4" s="1"/>
  <c r="A359" i="2"/>
  <c r="A359" i="3" s="1"/>
  <c r="B359" i="2"/>
  <c r="B359" i="3" s="1"/>
  <c r="C359" i="2"/>
  <c r="D359" i="2"/>
  <c r="E359" i="2"/>
  <c r="F359" i="2"/>
  <c r="L359" i="2"/>
  <c r="M359" i="2"/>
  <c r="N359" i="2"/>
  <c r="G414" i="4" s="1"/>
  <c r="P359" i="2"/>
  <c r="H414" i="4" s="1"/>
  <c r="P414" i="4" s="1"/>
  <c r="A360" i="2"/>
  <c r="A360" i="3" s="1"/>
  <c r="B360" i="2"/>
  <c r="B360" i="3" s="1"/>
  <c r="C360" i="2"/>
  <c r="D360" i="2"/>
  <c r="E360" i="2"/>
  <c r="F360" i="2"/>
  <c r="K360" i="2"/>
  <c r="W360" i="2" s="1"/>
  <c r="L360" i="2"/>
  <c r="M360" i="2"/>
  <c r="N360" i="2"/>
  <c r="G415" i="4" s="1"/>
  <c r="P360" i="2"/>
  <c r="H415" i="4" s="1"/>
  <c r="P415" i="4" s="1"/>
  <c r="A361" i="2"/>
  <c r="A361" i="3" s="1"/>
  <c r="B361" i="2"/>
  <c r="B361" i="3" s="1"/>
  <c r="C361" i="2"/>
  <c r="D361" i="2"/>
  <c r="E361" i="2"/>
  <c r="F361" i="2"/>
  <c r="L361" i="2"/>
  <c r="M361" i="2"/>
  <c r="N361" i="2"/>
  <c r="G416" i="4" s="1"/>
  <c r="P361" i="2"/>
  <c r="H416" i="4" s="1"/>
  <c r="P416" i="4" s="1"/>
  <c r="A362" i="2"/>
  <c r="A362" i="3" s="1"/>
  <c r="B362" i="2"/>
  <c r="B362" i="3" s="1"/>
  <c r="C362" i="2"/>
  <c r="D362" i="2"/>
  <c r="E362" i="2"/>
  <c r="K362" i="2"/>
  <c r="L362" i="2"/>
  <c r="M362" i="2"/>
  <c r="N362" i="2"/>
  <c r="G417" i="4" s="1"/>
  <c r="P362" i="2"/>
  <c r="H417" i="4" s="1"/>
  <c r="P417" i="4" s="1"/>
  <c r="A363" i="2"/>
  <c r="A363" i="3" s="1"/>
  <c r="B363" i="2"/>
  <c r="B363" i="3" s="1"/>
  <c r="C363" i="2"/>
  <c r="D363" i="2"/>
  <c r="E363" i="2"/>
  <c r="F363" i="2"/>
  <c r="W363" i="2"/>
  <c r="K363" i="2"/>
  <c r="L363" i="2"/>
  <c r="M363" i="2"/>
  <c r="N363" i="2"/>
  <c r="G418" i="4" s="1"/>
  <c r="P363" i="2"/>
  <c r="H418" i="4" s="1"/>
  <c r="P418" i="4" s="1"/>
  <c r="A364" i="2"/>
  <c r="A364" i="3" s="1"/>
  <c r="B364" i="2"/>
  <c r="B364" i="3" s="1"/>
  <c r="C364" i="2"/>
  <c r="D364" i="2"/>
  <c r="E364" i="2"/>
  <c r="F364" i="2"/>
  <c r="S364" i="2"/>
  <c r="L364" i="2"/>
  <c r="M364" i="2"/>
  <c r="N364" i="2"/>
  <c r="G419" i="4" s="1"/>
  <c r="P364" i="2"/>
  <c r="H419" i="4" s="1"/>
  <c r="P419" i="4" s="1"/>
  <c r="A365" i="2"/>
  <c r="A365" i="3" s="1"/>
  <c r="B365" i="2"/>
  <c r="B365" i="3" s="1"/>
  <c r="C365" i="2"/>
  <c r="D365" i="2"/>
  <c r="E365" i="2"/>
  <c r="F365" i="2"/>
  <c r="L365" i="2"/>
  <c r="M365" i="2"/>
  <c r="N365" i="2"/>
  <c r="G420" i="4" s="1"/>
  <c r="P365" i="2"/>
  <c r="H420" i="4" s="1"/>
  <c r="P420" i="4" s="1"/>
  <c r="A366" i="2"/>
  <c r="A366" i="3" s="1"/>
  <c r="B366" i="2"/>
  <c r="B366" i="3" s="1"/>
  <c r="C366" i="2"/>
  <c r="D366" i="2"/>
  <c r="E366" i="2"/>
  <c r="F366" i="2"/>
  <c r="K366" i="2"/>
  <c r="L366" i="2"/>
  <c r="M366" i="2"/>
  <c r="N366" i="2"/>
  <c r="P366" i="2"/>
  <c r="H421" i="4" s="1"/>
  <c r="P421" i="4" s="1"/>
  <c r="A367" i="2"/>
  <c r="A367" i="3" s="1"/>
  <c r="B367" i="2"/>
  <c r="B367" i="3" s="1"/>
  <c r="C367" i="2"/>
  <c r="D367" i="2"/>
  <c r="E367" i="2"/>
  <c r="F367" i="2"/>
  <c r="K367" i="2"/>
  <c r="L367" i="2"/>
  <c r="M367" i="2"/>
  <c r="N367" i="2"/>
  <c r="G422" i="4" s="1"/>
  <c r="P367" i="2"/>
  <c r="H422" i="4" s="1"/>
  <c r="P422" i="4" s="1"/>
  <c r="A368" i="2"/>
  <c r="A368" i="3" s="1"/>
  <c r="B368" i="2"/>
  <c r="B368" i="3" s="1"/>
  <c r="C368" i="2"/>
  <c r="D368" i="2"/>
  <c r="E368" i="2"/>
  <c r="F368" i="2"/>
  <c r="L368" i="2"/>
  <c r="M368" i="2"/>
  <c r="N368" i="2"/>
  <c r="G423" i="4" s="1"/>
  <c r="P368" i="2"/>
  <c r="H423" i="4" s="1"/>
  <c r="P423" i="4" s="1"/>
  <c r="A369" i="2"/>
  <c r="A369" i="3" s="1"/>
  <c r="B369" i="2"/>
  <c r="B369" i="3" s="1"/>
  <c r="C369" i="2"/>
  <c r="D369" i="2"/>
  <c r="E369" i="2"/>
  <c r="F369" i="2"/>
  <c r="K369" i="2"/>
  <c r="L369" i="2"/>
  <c r="M369" i="2"/>
  <c r="N369" i="2"/>
  <c r="G424" i="4" s="1"/>
  <c r="P369" i="2"/>
  <c r="H424" i="4" s="1"/>
  <c r="P424" i="4" s="1"/>
  <c r="A370" i="2"/>
  <c r="A370" i="3" s="1"/>
  <c r="B370" i="2"/>
  <c r="B370" i="3" s="1"/>
  <c r="C370" i="2"/>
  <c r="D370" i="2"/>
  <c r="E370" i="2"/>
  <c r="F370" i="2"/>
  <c r="K370" i="2"/>
  <c r="L370" i="2"/>
  <c r="M370" i="2"/>
  <c r="N370" i="2"/>
  <c r="G425" i="4" s="1"/>
  <c r="P370" i="2"/>
  <c r="H425" i="4" s="1"/>
  <c r="P425" i="4" s="1"/>
  <c r="A371" i="2"/>
  <c r="A371" i="3" s="1"/>
  <c r="B371" i="2"/>
  <c r="B371" i="3" s="1"/>
  <c r="C371" i="2"/>
  <c r="D371" i="2"/>
  <c r="E371" i="2"/>
  <c r="F371" i="2"/>
  <c r="K371" i="2"/>
  <c r="W371" i="2" s="1"/>
  <c r="L371" i="2"/>
  <c r="M371" i="2"/>
  <c r="N371" i="2"/>
  <c r="G426" i="4" s="1"/>
  <c r="P371" i="2"/>
  <c r="H426" i="4" s="1"/>
  <c r="P426" i="4" s="1"/>
  <c r="A372" i="2"/>
  <c r="A372" i="3" s="1"/>
  <c r="B372" i="2"/>
  <c r="B372" i="3" s="1"/>
  <c r="C372" i="2"/>
  <c r="D372" i="2"/>
  <c r="E372" i="2"/>
  <c r="F372" i="2"/>
  <c r="R372" i="2"/>
  <c r="Y372" i="2" s="1"/>
  <c r="K372" i="2"/>
  <c r="W372" i="2" s="1"/>
  <c r="L372" i="2"/>
  <c r="M372" i="2"/>
  <c r="N372" i="2"/>
  <c r="G427" i="4" s="1"/>
  <c r="P372" i="2"/>
  <c r="H427" i="4" s="1"/>
  <c r="P427" i="4" s="1"/>
  <c r="A373" i="2"/>
  <c r="A373" i="3" s="1"/>
  <c r="B373" i="2"/>
  <c r="B373" i="3" s="1"/>
  <c r="C373" i="2"/>
  <c r="D373" i="2"/>
  <c r="E373" i="2"/>
  <c r="F373" i="2"/>
  <c r="K373" i="2"/>
  <c r="L373" i="2"/>
  <c r="M373" i="2"/>
  <c r="N373" i="2"/>
  <c r="G428" i="4" s="1"/>
  <c r="P373" i="2"/>
  <c r="H428" i="4" s="1"/>
  <c r="P428" i="4" s="1"/>
  <c r="A374" i="2"/>
  <c r="A374" i="3" s="1"/>
  <c r="B374" i="2"/>
  <c r="B374" i="3" s="1"/>
  <c r="C374" i="2"/>
  <c r="D374" i="2"/>
  <c r="E374" i="2"/>
  <c r="F374" i="2"/>
  <c r="K374" i="2"/>
  <c r="L374" i="2"/>
  <c r="M374" i="2"/>
  <c r="N374" i="2"/>
  <c r="G429" i="4" s="1"/>
  <c r="P374" i="2"/>
  <c r="H429" i="4" s="1"/>
  <c r="P429" i="4" s="1"/>
  <c r="A375" i="2"/>
  <c r="A375" i="3" s="1"/>
  <c r="B375" i="2"/>
  <c r="B375" i="3" s="1"/>
  <c r="C375" i="2"/>
  <c r="D375" i="2"/>
  <c r="E375" i="2"/>
  <c r="F375" i="2"/>
  <c r="K375" i="2"/>
  <c r="L375" i="2"/>
  <c r="M375" i="2"/>
  <c r="N375" i="2"/>
  <c r="G430" i="4" s="1"/>
  <c r="P375" i="2"/>
  <c r="H430" i="4" s="1"/>
  <c r="P430" i="4" s="1"/>
  <c r="A376" i="2"/>
  <c r="A376" i="3" s="1"/>
  <c r="B376" i="2"/>
  <c r="B376" i="3" s="1"/>
  <c r="C376" i="2"/>
  <c r="D376" i="2"/>
  <c r="E376" i="2"/>
  <c r="F376" i="2"/>
  <c r="K376" i="2"/>
  <c r="W376" i="2" s="1"/>
  <c r="L376" i="2"/>
  <c r="M376" i="2"/>
  <c r="N376" i="2"/>
  <c r="G431" i="4" s="1"/>
  <c r="P376" i="2"/>
  <c r="H431" i="4" s="1"/>
  <c r="P431" i="4" s="1"/>
  <c r="A377" i="2"/>
  <c r="A377" i="3" s="1"/>
  <c r="B377" i="2"/>
  <c r="B377" i="3" s="1"/>
  <c r="C377" i="2"/>
  <c r="D377" i="2"/>
  <c r="E377" i="2"/>
  <c r="K377" i="2"/>
  <c r="W377" i="2" s="1"/>
  <c r="L377" i="2"/>
  <c r="M377" i="2"/>
  <c r="N377" i="2"/>
  <c r="G432" i="4" s="1"/>
  <c r="P377" i="2"/>
  <c r="H432" i="4" s="1"/>
  <c r="P432" i="4" s="1"/>
  <c r="A378" i="2"/>
  <c r="A378" i="3" s="1"/>
  <c r="B378" i="2"/>
  <c r="B378" i="3" s="1"/>
  <c r="C378" i="2"/>
  <c r="D378" i="2"/>
  <c r="E378" i="2"/>
  <c r="F378" i="2"/>
  <c r="K378" i="2"/>
  <c r="L378" i="2"/>
  <c r="M378" i="2"/>
  <c r="N378" i="2"/>
  <c r="G433" i="4" s="1"/>
  <c r="P378" i="2"/>
  <c r="H433" i="4" s="1"/>
  <c r="P433" i="4" s="1"/>
  <c r="A379" i="2"/>
  <c r="A379" i="3" s="1"/>
  <c r="B379" i="2"/>
  <c r="B379" i="3" s="1"/>
  <c r="C379" i="2"/>
  <c r="D379" i="2"/>
  <c r="E379" i="2"/>
  <c r="F379" i="2"/>
  <c r="K379" i="2"/>
  <c r="W379" i="2" s="1"/>
  <c r="L379" i="2"/>
  <c r="M379" i="2"/>
  <c r="N379" i="2"/>
  <c r="G434" i="4" s="1"/>
  <c r="P379" i="2"/>
  <c r="H434" i="4" s="1"/>
  <c r="P434" i="4" s="1"/>
  <c r="A380" i="2"/>
  <c r="A380" i="3" s="1"/>
  <c r="B380" i="2"/>
  <c r="B380" i="3" s="1"/>
  <c r="C380" i="2"/>
  <c r="D380" i="2"/>
  <c r="E380" i="2"/>
  <c r="F380" i="2"/>
  <c r="R380" i="2"/>
  <c r="Y380" i="2" s="1"/>
  <c r="K380" i="2"/>
  <c r="W380" i="2" s="1"/>
  <c r="L380" i="2"/>
  <c r="M380" i="2"/>
  <c r="N380" i="2"/>
  <c r="G435" i="4" s="1"/>
  <c r="P380" i="2"/>
  <c r="H435" i="4" s="1"/>
  <c r="P435" i="4" s="1"/>
  <c r="A381" i="2"/>
  <c r="A381" i="3" s="1"/>
  <c r="B381" i="2"/>
  <c r="B381" i="3" s="1"/>
  <c r="C381" i="2"/>
  <c r="D381" i="2"/>
  <c r="E381" i="2"/>
  <c r="F381" i="2"/>
  <c r="K381" i="2"/>
  <c r="W381" i="2" s="1"/>
  <c r="L381" i="2"/>
  <c r="M381" i="2"/>
  <c r="N381" i="2"/>
  <c r="G436" i="4" s="1"/>
  <c r="P381" i="2"/>
  <c r="H436" i="4" s="1"/>
  <c r="P436" i="4" s="1"/>
  <c r="A382" i="2"/>
  <c r="A382" i="3" s="1"/>
  <c r="B382" i="2"/>
  <c r="B382" i="3" s="1"/>
  <c r="C382" i="2"/>
  <c r="D382" i="2"/>
  <c r="E382" i="2"/>
  <c r="F382" i="2"/>
  <c r="K382" i="2"/>
  <c r="J382" i="2" s="1"/>
  <c r="L382" i="2"/>
  <c r="M382" i="2"/>
  <c r="N382" i="2"/>
  <c r="G437" i="4" s="1"/>
  <c r="P382" i="2"/>
  <c r="H437" i="4" s="1"/>
  <c r="P437" i="4" s="1"/>
  <c r="A383" i="2"/>
  <c r="A383" i="3" s="1"/>
  <c r="B383" i="2"/>
  <c r="B383" i="3" s="1"/>
  <c r="C383" i="2"/>
  <c r="D383" i="2"/>
  <c r="E383" i="2"/>
  <c r="F383" i="2"/>
  <c r="K383" i="2"/>
  <c r="X383" i="2" s="1"/>
  <c r="L383" i="2"/>
  <c r="M383" i="2"/>
  <c r="N383" i="2"/>
  <c r="G438" i="4" s="1"/>
  <c r="P383" i="2"/>
  <c r="H438" i="4" s="1"/>
  <c r="P438" i="4" s="1"/>
  <c r="T383" i="2"/>
  <c r="D383" i="3" s="1"/>
  <c r="E383" i="3" s="1"/>
  <c r="A384" i="2"/>
  <c r="A384" i="3" s="1"/>
  <c r="B384" i="2"/>
  <c r="B384" i="3" s="1"/>
  <c r="C384" i="2"/>
  <c r="D384" i="2"/>
  <c r="E384" i="2"/>
  <c r="F384" i="2"/>
  <c r="K384" i="2"/>
  <c r="L384" i="2"/>
  <c r="M384" i="2"/>
  <c r="N384" i="2"/>
  <c r="G439" i="4" s="1"/>
  <c r="P384" i="2"/>
  <c r="H439" i="4" s="1"/>
  <c r="P439" i="4" s="1"/>
  <c r="A385" i="2"/>
  <c r="A385" i="3" s="1"/>
  <c r="B385" i="2"/>
  <c r="B385" i="3" s="1"/>
  <c r="C385" i="2"/>
  <c r="D385" i="2"/>
  <c r="E385" i="2"/>
  <c r="F385" i="2"/>
  <c r="K385" i="2"/>
  <c r="W385" i="2" s="1"/>
  <c r="L385" i="2"/>
  <c r="M385" i="2"/>
  <c r="N385" i="2"/>
  <c r="G440" i="4" s="1"/>
  <c r="P385" i="2"/>
  <c r="H440" i="4" s="1"/>
  <c r="P440" i="4" s="1"/>
  <c r="A386" i="2"/>
  <c r="A386" i="3" s="1"/>
  <c r="B386" i="2"/>
  <c r="B386" i="3" s="1"/>
  <c r="C386" i="2"/>
  <c r="D386" i="2"/>
  <c r="E386" i="2"/>
  <c r="F386" i="2"/>
  <c r="L386" i="2"/>
  <c r="M386" i="2"/>
  <c r="N386" i="2"/>
  <c r="G441" i="4" s="1"/>
  <c r="P386" i="2"/>
  <c r="H441" i="4" s="1"/>
  <c r="P441" i="4" s="1"/>
  <c r="S386" i="2"/>
  <c r="A387" i="2"/>
  <c r="A387" i="3" s="1"/>
  <c r="B387" i="2"/>
  <c r="B387" i="3" s="1"/>
  <c r="C387" i="2"/>
  <c r="D387" i="2"/>
  <c r="E387" i="2"/>
  <c r="F387" i="2"/>
  <c r="L387" i="2"/>
  <c r="M387" i="2"/>
  <c r="N387" i="2"/>
  <c r="G442" i="4" s="1"/>
  <c r="P387" i="2"/>
  <c r="H442" i="4" s="1"/>
  <c r="P442" i="4" s="1"/>
  <c r="T387" i="2"/>
  <c r="D387" i="3" s="1"/>
  <c r="A388" i="2"/>
  <c r="A388" i="3" s="1"/>
  <c r="B388" i="2"/>
  <c r="B388" i="3" s="1"/>
  <c r="C388" i="2"/>
  <c r="D388" i="2"/>
  <c r="E388" i="2"/>
  <c r="F388" i="2"/>
  <c r="K388" i="2"/>
  <c r="J388" i="2" s="1"/>
  <c r="L388" i="2"/>
  <c r="M388" i="2"/>
  <c r="N388" i="2"/>
  <c r="G443" i="4" s="1"/>
  <c r="P388" i="2"/>
  <c r="H443" i="4" s="1"/>
  <c r="P443" i="4" s="1"/>
  <c r="A389" i="2"/>
  <c r="B389" i="2"/>
  <c r="C389" i="2"/>
  <c r="D389" i="2"/>
  <c r="E389" i="2"/>
  <c r="F389" i="2"/>
  <c r="K389" i="2"/>
  <c r="J389" i="2" s="1"/>
  <c r="L389" i="2"/>
  <c r="M389" i="2"/>
  <c r="N389" i="2"/>
  <c r="G444" i="4" s="1"/>
  <c r="P389" i="2"/>
  <c r="H444" i="4" s="1"/>
  <c r="A283" i="2"/>
  <c r="A283" i="3" s="1"/>
  <c r="B283" i="2"/>
  <c r="B283" i="3" s="1"/>
  <c r="C283" i="2"/>
  <c r="D283" i="2"/>
  <c r="E283" i="2"/>
  <c r="F283" i="2"/>
  <c r="K283" i="2"/>
  <c r="J283" i="2" s="1"/>
  <c r="L283" i="2"/>
  <c r="M283" i="2"/>
  <c r="N283" i="2"/>
  <c r="G332" i="4" s="1"/>
  <c r="P283" i="2"/>
  <c r="H332" i="4" s="1"/>
  <c r="P332" i="4" s="1"/>
  <c r="A284" i="2"/>
  <c r="A284" i="3" s="1"/>
  <c r="B284" i="2"/>
  <c r="B284" i="3" s="1"/>
  <c r="C284" i="2"/>
  <c r="D284" i="2"/>
  <c r="E284" i="2"/>
  <c r="F284" i="2"/>
  <c r="K284" i="2"/>
  <c r="J284" i="2" s="1"/>
  <c r="L284" i="2"/>
  <c r="M284" i="2"/>
  <c r="N284" i="2"/>
  <c r="G333" i="4" s="1"/>
  <c r="P284" i="2"/>
  <c r="H333" i="4" s="1"/>
  <c r="P333" i="4" s="1"/>
  <c r="A285" i="2"/>
  <c r="A285" i="3" s="1"/>
  <c r="B285" i="2"/>
  <c r="B285" i="3" s="1"/>
  <c r="C285" i="2"/>
  <c r="D285" i="2"/>
  <c r="E285" i="2"/>
  <c r="S285" i="2"/>
  <c r="L285" i="2"/>
  <c r="M285" i="2"/>
  <c r="N285" i="2"/>
  <c r="G335" i="4" s="1"/>
  <c r="P285" i="2"/>
  <c r="H335" i="4" s="1"/>
  <c r="P335" i="4" s="1"/>
  <c r="R285" i="2"/>
  <c r="A286" i="2"/>
  <c r="A286" i="3" s="1"/>
  <c r="B286" i="2"/>
  <c r="B286" i="3" s="1"/>
  <c r="C286" i="2"/>
  <c r="D286" i="2"/>
  <c r="E286" i="2"/>
  <c r="F286" i="2"/>
  <c r="S286" i="2"/>
  <c r="L286" i="2"/>
  <c r="M286" i="2"/>
  <c r="N286" i="2"/>
  <c r="G336" i="4" s="1"/>
  <c r="P286" i="2"/>
  <c r="H336" i="4" s="1"/>
  <c r="P336" i="4" s="1"/>
  <c r="A287" i="2"/>
  <c r="A287" i="3" s="1"/>
  <c r="B287" i="2"/>
  <c r="B287" i="3" s="1"/>
  <c r="C287" i="2"/>
  <c r="D287" i="2"/>
  <c r="E287" i="2"/>
  <c r="F287" i="2"/>
  <c r="K287" i="2"/>
  <c r="L287" i="2"/>
  <c r="M287" i="2"/>
  <c r="N287" i="2"/>
  <c r="G337" i="4" s="1"/>
  <c r="P287" i="2"/>
  <c r="H337" i="4" s="1"/>
  <c r="P337" i="4" s="1"/>
  <c r="R287" i="2"/>
  <c r="P282" i="2"/>
  <c r="N282" i="2"/>
  <c r="M282" i="2"/>
  <c r="L282" i="2"/>
  <c r="K282" i="2"/>
  <c r="J282" i="2" s="1"/>
  <c r="F282" i="2"/>
  <c r="E282" i="2"/>
  <c r="D282" i="2"/>
  <c r="C282" i="2"/>
  <c r="B282" i="2"/>
  <c r="B282" i="3" s="1"/>
  <c r="A282" i="2"/>
  <c r="A282" i="3" s="1"/>
  <c r="O343" i="4" l="1"/>
  <c r="R339" i="2"/>
  <c r="Y339" i="2" s="1"/>
  <c r="S332" i="2"/>
  <c r="R331" i="2"/>
  <c r="Y331" i="2" s="1"/>
  <c r="R295" i="2"/>
  <c r="Y295" i="2" s="1"/>
  <c r="S292" i="2"/>
  <c r="S353" i="2"/>
  <c r="E379" i="3"/>
  <c r="E367" i="3"/>
  <c r="E363" i="3"/>
  <c r="E355" i="3"/>
  <c r="Z288" i="2"/>
  <c r="W384" i="2"/>
  <c r="S373" i="2"/>
  <c r="R357" i="2"/>
  <c r="Y357" i="2" s="1"/>
  <c r="R335" i="2"/>
  <c r="Y335" i="2" s="1"/>
  <c r="S328" i="2"/>
  <c r="S316" i="2"/>
  <c r="X355" i="2"/>
  <c r="R323" i="2"/>
  <c r="R307" i="2"/>
  <c r="Y307" i="2" s="1"/>
  <c r="R347" i="2"/>
  <c r="Y347" i="2" s="1"/>
  <c r="R343" i="2"/>
  <c r="S324" i="2"/>
  <c r="Y324" i="2" s="1"/>
  <c r="R315" i="2"/>
  <c r="Y315" i="2" s="1"/>
  <c r="R363" i="2"/>
  <c r="Y363" i="2" s="1"/>
  <c r="E343" i="3"/>
  <c r="O390" i="4"/>
  <c r="O382" i="4"/>
  <c r="O374" i="4"/>
  <c r="W369" i="2"/>
  <c r="S362" i="2"/>
  <c r="R345" i="2"/>
  <c r="E317" i="3"/>
  <c r="S306" i="2"/>
  <c r="R317" i="2"/>
  <c r="Y317" i="2" s="1"/>
  <c r="S302" i="2"/>
  <c r="Z372" i="2"/>
  <c r="Z364" i="2"/>
  <c r="Z360" i="2"/>
  <c r="Z356" i="2"/>
  <c r="Z324" i="2"/>
  <c r="Z300" i="2"/>
  <c r="Z292" i="2"/>
  <c r="W373" i="2"/>
  <c r="S366" i="2"/>
  <c r="R365" i="2"/>
  <c r="Y365" i="2" s="1"/>
  <c r="R361" i="2"/>
  <c r="Y361" i="2" s="1"/>
  <c r="S358" i="2"/>
  <c r="W357" i="2"/>
  <c r="E344" i="3"/>
  <c r="S342" i="2"/>
  <c r="S338" i="2"/>
  <c r="S322" i="2"/>
  <c r="E306" i="3"/>
  <c r="R301" i="2"/>
  <c r="Y301" i="2" s="1"/>
  <c r="S294" i="2"/>
  <c r="Z379" i="2"/>
  <c r="Z359" i="2"/>
  <c r="Z331" i="2"/>
  <c r="E299" i="3"/>
  <c r="R385" i="2"/>
  <c r="Y385" i="2" s="1"/>
  <c r="X369" i="2"/>
  <c r="X353" i="2"/>
  <c r="S346" i="2"/>
  <c r="S298" i="2"/>
  <c r="R297" i="2"/>
  <c r="Y297" i="2" s="1"/>
  <c r="E357" i="3"/>
  <c r="R337" i="2"/>
  <c r="Y337" i="2" s="1"/>
  <c r="S330" i="2"/>
  <c r="R321" i="2"/>
  <c r="Y321" i="2" s="1"/>
  <c r="R309" i="2"/>
  <c r="Y309" i="2" s="1"/>
  <c r="E298" i="3"/>
  <c r="R293" i="2"/>
  <c r="Y293" i="2" s="1"/>
  <c r="R289" i="2"/>
  <c r="Y289" i="2" s="1"/>
  <c r="E380" i="3"/>
  <c r="M374" i="4"/>
  <c r="E345" i="3"/>
  <c r="E337" i="3"/>
  <c r="E331" i="3"/>
  <c r="E315" i="3"/>
  <c r="E378" i="3"/>
  <c r="E362" i="3"/>
  <c r="E330" i="3"/>
  <c r="E314" i="3"/>
  <c r="Z71" i="2"/>
  <c r="Z313" i="2"/>
  <c r="Z388" i="2"/>
  <c r="Z384" i="2"/>
  <c r="Z380" i="2"/>
  <c r="Z376" i="2"/>
  <c r="Z348" i="2"/>
  <c r="Z344" i="2"/>
  <c r="Z340" i="2"/>
  <c r="Z336" i="2"/>
  <c r="Z332" i="2"/>
  <c r="Z328" i="2"/>
  <c r="Z316" i="2"/>
  <c r="Z308" i="2"/>
  <c r="Z305" i="2"/>
  <c r="Z386" i="2"/>
  <c r="Z347" i="2"/>
  <c r="Z309" i="2"/>
  <c r="O365" i="4"/>
  <c r="X385" i="2"/>
  <c r="X377" i="2"/>
  <c r="E385" i="3"/>
  <c r="E377" i="3"/>
  <c r="E374" i="3"/>
  <c r="G421" i="4"/>
  <c r="O421" i="4" s="1"/>
  <c r="U366" i="2"/>
  <c r="E366" i="3" s="1"/>
  <c r="E341" i="3"/>
  <c r="G360" i="4"/>
  <c r="O360" i="4" s="1"/>
  <c r="U309" i="2"/>
  <c r="E309" i="3" s="1"/>
  <c r="E384" i="3"/>
  <c r="S379" i="2"/>
  <c r="E434" i="4"/>
  <c r="N434" i="4" s="1"/>
  <c r="R378" i="2"/>
  <c r="Y378" i="2" s="1"/>
  <c r="D433" i="4"/>
  <c r="E376" i="3"/>
  <c r="S375" i="2"/>
  <c r="E430" i="4"/>
  <c r="R374" i="2"/>
  <c r="Y374" i="2" s="1"/>
  <c r="D429" i="4"/>
  <c r="Z387" i="2"/>
  <c r="Z375" i="2"/>
  <c r="Z371" i="2"/>
  <c r="Z367" i="2"/>
  <c r="Z363" i="2"/>
  <c r="Z355" i="2"/>
  <c r="Z323" i="2"/>
  <c r="Z307" i="2"/>
  <c r="Z303" i="2"/>
  <c r="Z299" i="2"/>
  <c r="Z295" i="2"/>
  <c r="Z291" i="2"/>
  <c r="Z368" i="2"/>
  <c r="Z352" i="2"/>
  <c r="Z343" i="2"/>
  <c r="Z329" i="2"/>
  <c r="Z314" i="2"/>
  <c r="Z304" i="2"/>
  <c r="S381" i="2"/>
  <c r="E375" i="3"/>
  <c r="E371" i="3"/>
  <c r="E351" i="3"/>
  <c r="E346" i="3"/>
  <c r="E321" i="3"/>
  <c r="E289" i="3"/>
  <c r="S377" i="2"/>
  <c r="E342" i="3"/>
  <c r="E339" i="3"/>
  <c r="E335" i="3"/>
  <c r="Y292" i="2"/>
  <c r="E287" i="3"/>
  <c r="R387" i="2"/>
  <c r="Y387" i="2" s="1"/>
  <c r="D442" i="4"/>
  <c r="S384" i="2"/>
  <c r="E439" i="4"/>
  <c r="N439" i="4" s="1"/>
  <c r="E381" i="3"/>
  <c r="Z378" i="2"/>
  <c r="Z374" i="2"/>
  <c r="Z370" i="2"/>
  <c r="Z366" i="2"/>
  <c r="Z362" i="2"/>
  <c r="Z358" i="2"/>
  <c r="Z354" i="2"/>
  <c r="Z346" i="2"/>
  <c r="Z342" i="2"/>
  <c r="Z338" i="2"/>
  <c r="Z330" i="2"/>
  <c r="Z326" i="2"/>
  <c r="Z322" i="2"/>
  <c r="Z318" i="2"/>
  <c r="Z310" i="2"/>
  <c r="Z306" i="2"/>
  <c r="Z302" i="2"/>
  <c r="Z298" i="2"/>
  <c r="Z294" i="2"/>
  <c r="Z290" i="2"/>
  <c r="Z286" i="2"/>
  <c r="Z381" i="2"/>
  <c r="Z339" i="2"/>
  <c r="M438" i="4"/>
  <c r="E370" i="3"/>
  <c r="E327" i="3"/>
  <c r="E290" i="3"/>
  <c r="M435" i="4"/>
  <c r="M427" i="4"/>
  <c r="S369" i="2"/>
  <c r="E424" i="4"/>
  <c r="N424" i="4" s="1"/>
  <c r="M407" i="4"/>
  <c r="S345" i="2"/>
  <c r="E398" i="4"/>
  <c r="M397" i="4"/>
  <c r="S341" i="2"/>
  <c r="E394" i="4"/>
  <c r="N394" i="4" s="1"/>
  <c r="E338" i="3"/>
  <c r="O385" i="4"/>
  <c r="M385" i="4"/>
  <c r="R328" i="2"/>
  <c r="Y328" i="2" s="1"/>
  <c r="D381" i="4"/>
  <c r="S325" i="2"/>
  <c r="E378" i="4"/>
  <c r="S317" i="2"/>
  <c r="E369" i="4"/>
  <c r="O368" i="4"/>
  <c r="M368" i="4"/>
  <c r="S309" i="2"/>
  <c r="E360" i="4"/>
  <c r="N360" i="4" s="1"/>
  <c r="S305" i="2"/>
  <c r="E355" i="4"/>
  <c r="N355" i="4" s="1"/>
  <c r="S301" i="2"/>
  <c r="E351" i="4"/>
  <c r="N351" i="4" s="1"/>
  <c r="R300" i="2"/>
  <c r="Y300" i="2" s="1"/>
  <c r="D350" i="4"/>
  <c r="S297" i="2"/>
  <c r="E347" i="4"/>
  <c r="N347" i="4" s="1"/>
  <c r="M346" i="4"/>
  <c r="O342" i="4"/>
  <c r="M342" i="4"/>
  <c r="S289" i="2"/>
  <c r="E339" i="4"/>
  <c r="N339" i="4" s="1"/>
  <c r="M338" i="4"/>
  <c r="O338" i="4"/>
  <c r="Z389" i="2"/>
  <c r="Z385" i="2"/>
  <c r="Z373" i="2"/>
  <c r="Z369" i="2"/>
  <c r="Z365" i="2"/>
  <c r="Z361" i="2"/>
  <c r="Z357" i="2"/>
  <c r="Z353" i="2"/>
  <c r="Z345" i="2"/>
  <c r="Z341" i="2"/>
  <c r="Z301" i="2"/>
  <c r="Z297" i="2"/>
  <c r="Z293" i="2"/>
  <c r="Z289" i="2"/>
  <c r="Z377" i="2"/>
  <c r="Z296" i="2"/>
  <c r="C387" i="3"/>
  <c r="W383" i="2"/>
  <c r="C383" i="3"/>
  <c r="W375" i="2"/>
  <c r="C375" i="3"/>
  <c r="W367" i="2"/>
  <c r="C367" i="3"/>
  <c r="C359" i="3"/>
  <c r="W351" i="2"/>
  <c r="C351" i="3"/>
  <c r="W343" i="2"/>
  <c r="C343" i="3"/>
  <c r="W335" i="2"/>
  <c r="C335" i="3"/>
  <c r="W331" i="2"/>
  <c r="C331" i="3"/>
  <c r="C294" i="3"/>
  <c r="Z317" i="2"/>
  <c r="Z321" i="2"/>
  <c r="Z287" i="2"/>
  <c r="M339" i="4"/>
  <c r="M347" i="4"/>
  <c r="M420" i="4"/>
  <c r="M412" i="4"/>
  <c r="M343" i="4"/>
  <c r="M394" i="4"/>
  <c r="E372" i="3"/>
  <c r="S371" i="2"/>
  <c r="E426" i="4"/>
  <c r="N426" i="4" s="1"/>
  <c r="R370" i="2"/>
  <c r="Y370" i="2" s="1"/>
  <c r="D425" i="4"/>
  <c r="S367" i="2"/>
  <c r="E422" i="4"/>
  <c r="N422" i="4" s="1"/>
  <c r="E360" i="3"/>
  <c r="E356" i="3"/>
  <c r="S355" i="2"/>
  <c r="E410" i="4"/>
  <c r="N410" i="4" s="1"/>
  <c r="R354" i="2"/>
  <c r="Y354" i="2" s="1"/>
  <c r="D409" i="4"/>
  <c r="E352" i="3"/>
  <c r="S351" i="2"/>
  <c r="E406" i="4"/>
  <c r="N406" i="4" s="1"/>
  <c r="S347" i="2"/>
  <c r="E400" i="4"/>
  <c r="N400" i="4" s="1"/>
  <c r="R346" i="2"/>
  <c r="Y346" i="2" s="1"/>
  <c r="D399" i="4"/>
  <c r="S343" i="2"/>
  <c r="E396" i="4"/>
  <c r="N396" i="4" s="1"/>
  <c r="R342" i="2"/>
  <c r="Y342" i="2" s="1"/>
  <c r="D395" i="4"/>
  <c r="S339" i="2"/>
  <c r="E392" i="4"/>
  <c r="N392" i="4" s="1"/>
  <c r="R338" i="2"/>
  <c r="Y338" i="2" s="1"/>
  <c r="D391" i="4"/>
  <c r="S335" i="2"/>
  <c r="E388" i="4"/>
  <c r="N388" i="4" s="1"/>
  <c r="E332" i="3"/>
  <c r="S331" i="2"/>
  <c r="E384" i="4"/>
  <c r="N384" i="4" s="1"/>
  <c r="R330" i="2"/>
  <c r="Y330" i="2" s="1"/>
  <c r="D383" i="4"/>
  <c r="E328" i="3"/>
  <c r="S327" i="2"/>
  <c r="E380" i="4"/>
  <c r="N380" i="4" s="1"/>
  <c r="S323" i="2"/>
  <c r="E376" i="4"/>
  <c r="N376" i="4" s="1"/>
  <c r="R322" i="2"/>
  <c r="Y322" i="2" s="1"/>
  <c r="D375" i="4"/>
  <c r="E316" i="3"/>
  <c r="S315" i="2"/>
  <c r="E367" i="4"/>
  <c r="N367" i="4" s="1"/>
  <c r="R314" i="2"/>
  <c r="D366" i="4"/>
  <c r="S307" i="2"/>
  <c r="E358" i="4"/>
  <c r="N358" i="4" s="1"/>
  <c r="R306" i="2"/>
  <c r="Y306" i="2" s="1"/>
  <c r="D356" i="4"/>
  <c r="S303" i="2"/>
  <c r="E353" i="4"/>
  <c r="N353" i="4" s="1"/>
  <c r="R302" i="2"/>
  <c r="D352" i="4"/>
  <c r="S299" i="2"/>
  <c r="E349" i="4"/>
  <c r="N349" i="4" s="1"/>
  <c r="R298" i="2"/>
  <c r="D348" i="4"/>
  <c r="S295" i="2"/>
  <c r="E345" i="4"/>
  <c r="N345" i="4" s="1"/>
  <c r="R294" i="2"/>
  <c r="Y294" i="2" s="1"/>
  <c r="D344" i="4"/>
  <c r="E292" i="3"/>
  <c r="S291" i="2"/>
  <c r="E341" i="4"/>
  <c r="N341" i="4" s="1"/>
  <c r="R290" i="2"/>
  <c r="D340" i="4"/>
  <c r="E288" i="3"/>
  <c r="S287" i="2"/>
  <c r="Y287" i="2" s="1"/>
  <c r="E337" i="4"/>
  <c r="N337" i="4" s="1"/>
  <c r="R286" i="2"/>
  <c r="Y286" i="2" s="1"/>
  <c r="D336" i="4"/>
  <c r="C386" i="3"/>
  <c r="X378" i="2"/>
  <c r="C378" i="3"/>
  <c r="X374" i="2"/>
  <c r="C374" i="3"/>
  <c r="X370" i="2"/>
  <c r="C370" i="3"/>
  <c r="C366" i="3"/>
  <c r="X362" i="2"/>
  <c r="C362" i="3"/>
  <c r="C358" i="3"/>
  <c r="X330" i="2"/>
  <c r="C330" i="3"/>
  <c r="C322" i="3"/>
  <c r="X314" i="2"/>
  <c r="C314" i="3"/>
  <c r="Z383" i="2"/>
  <c r="M390" i="4"/>
  <c r="M382" i="4"/>
  <c r="M335" i="4"/>
  <c r="E373" i="3"/>
  <c r="E369" i="3"/>
  <c r="R359" i="2"/>
  <c r="Y359" i="2" s="1"/>
  <c r="D414" i="4"/>
  <c r="E353" i="3"/>
  <c r="S344" i="2"/>
  <c r="E397" i="4"/>
  <c r="N397" i="4" s="1"/>
  <c r="R327" i="2"/>
  <c r="Y327" i="2" s="1"/>
  <c r="D380" i="4"/>
  <c r="S308" i="2"/>
  <c r="E359" i="4"/>
  <c r="N359" i="4" s="1"/>
  <c r="E305" i="3"/>
  <c r="R303" i="2"/>
  <c r="Y303" i="2" s="1"/>
  <c r="D353" i="4"/>
  <c r="S300" i="2"/>
  <c r="E350" i="4"/>
  <c r="N350" i="4" s="1"/>
  <c r="S296" i="2"/>
  <c r="E346" i="4"/>
  <c r="N346" i="4" s="1"/>
  <c r="R291" i="2"/>
  <c r="Y291" i="2" s="1"/>
  <c r="D341" i="4"/>
  <c r="Z335" i="2"/>
  <c r="Z327" i="2"/>
  <c r="Z325" i="2"/>
  <c r="Z315" i="2"/>
  <c r="O400" i="4"/>
  <c r="X375" i="2"/>
  <c r="W374" i="2"/>
  <c r="X367" i="2"/>
  <c r="X351" i="2"/>
  <c r="X347" i="2"/>
  <c r="W314" i="2"/>
  <c r="X298" i="2"/>
  <c r="Y285" i="2"/>
  <c r="Y332" i="2"/>
  <c r="Y305" i="2"/>
  <c r="Y345" i="2"/>
  <c r="Y313" i="2"/>
  <c r="Y298" i="2"/>
  <c r="Y290" i="2"/>
  <c r="Y323" i="2"/>
  <c r="X329" i="2"/>
  <c r="W329" i="2"/>
  <c r="X321" i="2"/>
  <c r="W321" i="2"/>
  <c r="X379" i="2"/>
  <c r="W378" i="2"/>
  <c r="X373" i="2"/>
  <c r="X363" i="2"/>
  <c r="W362" i="2"/>
  <c r="X357" i="2"/>
  <c r="X343" i="2"/>
  <c r="X335" i="2"/>
  <c r="X331" i="2"/>
  <c r="W316" i="2"/>
  <c r="X316" i="2"/>
  <c r="W288" i="2"/>
  <c r="X288" i="2"/>
  <c r="X381" i="2"/>
  <c r="X371" i="2"/>
  <c r="W370" i="2"/>
  <c r="X341" i="2"/>
  <c r="X313" i="2"/>
  <c r="W313" i="2"/>
  <c r="Y343" i="2"/>
  <c r="W339" i="2"/>
  <c r="W337" i="2"/>
  <c r="X317" i="2"/>
  <c r="W317" i="2"/>
  <c r="X384" i="2"/>
  <c r="X380" i="2"/>
  <c r="X376" i="2"/>
  <c r="X372" i="2"/>
  <c r="X360" i="2"/>
  <c r="X356" i="2"/>
  <c r="W355" i="2"/>
  <c r="W353" i="2"/>
  <c r="W347" i="2"/>
  <c r="W345" i="2"/>
  <c r="Y341" i="2"/>
  <c r="X339" i="2"/>
  <c r="X337" i="2"/>
  <c r="W330" i="2"/>
  <c r="W328" i="2"/>
  <c r="X328" i="2"/>
  <c r="Y314" i="2"/>
  <c r="W306" i="2"/>
  <c r="Y302" i="2"/>
  <c r="Y296" i="2"/>
  <c r="W292" i="2"/>
  <c r="W290" i="2"/>
  <c r="X306" i="2"/>
  <c r="W298" i="2"/>
  <c r="X292" i="2"/>
  <c r="X290" i="2"/>
  <c r="W287" i="2"/>
  <c r="X287" i="2"/>
  <c r="N227" i="2"/>
  <c r="Z228" i="2" s="1"/>
  <c r="K387" i="1"/>
  <c r="K386" i="1"/>
  <c r="H385" i="1"/>
  <c r="H385" i="2" s="1"/>
  <c r="E440" i="4" s="1"/>
  <c r="N440" i="4" s="1"/>
  <c r="G386" i="1"/>
  <c r="G386" i="2" s="1"/>
  <c r="H387" i="1"/>
  <c r="H387" i="2" s="1"/>
  <c r="S387" i="2" s="1"/>
  <c r="G384" i="1"/>
  <c r="G384" i="2" s="1"/>
  <c r="D439" i="4" s="1"/>
  <c r="H383" i="1"/>
  <c r="H383" i="2" s="1"/>
  <c r="H380" i="1"/>
  <c r="H380" i="2" s="1"/>
  <c r="G381" i="1"/>
  <c r="G381" i="2" s="1"/>
  <c r="F377" i="1"/>
  <c r="F377" i="2" s="1"/>
  <c r="K368" i="1"/>
  <c r="O349" i="4" l="1"/>
  <c r="O384" i="4"/>
  <c r="X366" i="2"/>
  <c r="E435" i="4"/>
  <c r="S380" i="2"/>
  <c r="R384" i="2"/>
  <c r="Y384" i="2" s="1"/>
  <c r="E442" i="4"/>
  <c r="N442" i="4" s="1"/>
  <c r="D441" i="4"/>
  <c r="R386" i="2"/>
  <c r="Y386" i="2" s="1"/>
  <c r="F423" i="4"/>
  <c r="K368" i="2"/>
  <c r="E438" i="4"/>
  <c r="S383" i="2"/>
  <c r="F441" i="4"/>
  <c r="K386" i="2"/>
  <c r="D436" i="4"/>
  <c r="R381" i="2"/>
  <c r="Y381" i="2" s="1"/>
  <c r="F442" i="4"/>
  <c r="K387" i="2"/>
  <c r="O440" i="4"/>
  <c r="S385" i="2"/>
  <c r="O348" i="4"/>
  <c r="M348" i="4"/>
  <c r="N398" i="4"/>
  <c r="O398" i="4"/>
  <c r="O388" i="4"/>
  <c r="N430" i="4"/>
  <c r="M336" i="4"/>
  <c r="M352" i="4"/>
  <c r="M356" i="4"/>
  <c r="O356" i="4"/>
  <c r="O367" i="4"/>
  <c r="N378" i="4"/>
  <c r="O439" i="4"/>
  <c r="M439" i="4"/>
  <c r="O396" i="4"/>
  <c r="O355" i="4"/>
  <c r="M350" i="4"/>
  <c r="W366" i="2"/>
  <c r="M353" i="4"/>
  <c r="M340" i="4"/>
  <c r="O340" i="4"/>
  <c r="O366" i="4"/>
  <c r="M366" i="4"/>
  <c r="M391" i="4"/>
  <c r="O391" i="4"/>
  <c r="M409" i="4"/>
  <c r="M425" i="4"/>
  <c r="O392" i="4"/>
  <c r="N369" i="4"/>
  <c r="O369" i="4"/>
  <c r="O337" i="4"/>
  <c r="M442" i="4"/>
  <c r="M429" i="4"/>
  <c r="O339" i="4"/>
  <c r="O394" i="4"/>
  <c r="M341" i="4"/>
  <c r="M414" i="4"/>
  <c r="M380" i="4"/>
  <c r="O380" i="4"/>
  <c r="M344" i="4"/>
  <c r="M375" i="4"/>
  <c r="O383" i="4"/>
  <c r="M383" i="4"/>
  <c r="O395" i="4"/>
  <c r="M395" i="4"/>
  <c r="O399" i="4"/>
  <c r="M399" i="4"/>
  <c r="O381" i="4"/>
  <c r="M381" i="4"/>
  <c r="O397" i="4"/>
  <c r="M433" i="4"/>
  <c r="X338" i="2"/>
  <c r="W338" i="2"/>
  <c r="X332" i="2"/>
  <c r="W332" i="2"/>
  <c r="W327" i="2"/>
  <c r="X327" i="2"/>
  <c r="X289" i="2"/>
  <c r="W289" i="2"/>
  <c r="X344" i="2"/>
  <c r="W344" i="2"/>
  <c r="X305" i="2"/>
  <c r="W305" i="2"/>
  <c r="X352" i="2"/>
  <c r="W352" i="2"/>
  <c r="X299" i="2"/>
  <c r="W299" i="2"/>
  <c r="X309" i="2"/>
  <c r="W309" i="2"/>
  <c r="X342" i="2"/>
  <c r="W342" i="2"/>
  <c r="X293" i="2"/>
  <c r="W293" i="2"/>
  <c r="W315" i="2"/>
  <c r="X315" i="2"/>
  <c r="X346" i="2"/>
  <c r="W346" i="2"/>
  <c r="K365" i="1"/>
  <c r="K364" i="1"/>
  <c r="F362" i="1"/>
  <c r="F362" i="2" s="1"/>
  <c r="K361" i="1"/>
  <c r="K359" i="1"/>
  <c r="K358" i="1"/>
  <c r="K354" i="1"/>
  <c r="H376" i="1"/>
  <c r="H376" i="2" s="1"/>
  <c r="G377" i="1"/>
  <c r="G377" i="2" s="1"/>
  <c r="H378" i="1"/>
  <c r="H378" i="2" s="1"/>
  <c r="G379" i="1"/>
  <c r="G379" i="2" s="1"/>
  <c r="G375" i="1"/>
  <c r="G375" i="2" s="1"/>
  <c r="H374" i="1"/>
  <c r="H374" i="2" s="1"/>
  <c r="G373" i="1"/>
  <c r="G373" i="2" s="1"/>
  <c r="H372" i="1"/>
  <c r="H372" i="2" s="1"/>
  <c r="G371" i="1"/>
  <c r="G371" i="2" s="1"/>
  <c r="H370" i="1"/>
  <c r="H370" i="2" s="1"/>
  <c r="G369" i="1"/>
  <c r="G369" i="2" s="1"/>
  <c r="H368" i="1"/>
  <c r="H368" i="2" s="1"/>
  <c r="G367" i="1"/>
  <c r="G367" i="2" s="1"/>
  <c r="G366" i="1"/>
  <c r="G366" i="2" s="1"/>
  <c r="H365" i="1"/>
  <c r="H365" i="2" s="1"/>
  <c r="G364" i="1"/>
  <c r="G364" i="2" s="1"/>
  <c r="H363" i="1"/>
  <c r="H363" i="2" s="1"/>
  <c r="G362" i="1"/>
  <c r="G362" i="2" s="1"/>
  <c r="H361" i="1"/>
  <c r="H361" i="2" s="1"/>
  <c r="G360" i="1"/>
  <c r="G360" i="2" s="1"/>
  <c r="H359" i="1"/>
  <c r="H359" i="2" s="1"/>
  <c r="G358" i="1"/>
  <c r="G358" i="2" s="1"/>
  <c r="H357" i="1"/>
  <c r="H357" i="2" s="1"/>
  <c r="G356" i="1"/>
  <c r="G356" i="2" s="1"/>
  <c r="G355" i="1"/>
  <c r="G355" i="2" s="1"/>
  <c r="H354" i="1"/>
  <c r="H354" i="2" s="1"/>
  <c r="G353" i="1"/>
  <c r="G353" i="2" s="1"/>
  <c r="H352" i="1"/>
  <c r="H352" i="2" s="1"/>
  <c r="G351" i="1"/>
  <c r="G351" i="2" s="1"/>
  <c r="F351" i="1"/>
  <c r="F351" i="2" s="1"/>
  <c r="E351" i="1"/>
  <c r="E351" i="2" s="1"/>
  <c r="D351" i="1"/>
  <c r="D351" i="2" s="1"/>
  <c r="C351" i="1"/>
  <c r="C351" i="2" s="1"/>
  <c r="O442" i="4" l="1"/>
  <c r="E412" i="4"/>
  <c r="S357" i="2"/>
  <c r="E420" i="4"/>
  <c r="S365" i="2"/>
  <c r="E433" i="4"/>
  <c r="S378" i="2"/>
  <c r="F419" i="4"/>
  <c r="K364" i="2"/>
  <c r="W368" i="2"/>
  <c r="E368" i="3"/>
  <c r="X368" i="2"/>
  <c r="D408" i="4"/>
  <c r="R353" i="2"/>
  <c r="Y353" i="2" s="1"/>
  <c r="E416" i="4"/>
  <c r="S361" i="2"/>
  <c r="D424" i="4"/>
  <c r="R369" i="2"/>
  <c r="Y369" i="2" s="1"/>
  <c r="D428" i="4"/>
  <c r="R373" i="2"/>
  <c r="Y373" i="2" s="1"/>
  <c r="F413" i="4"/>
  <c r="K358" i="2"/>
  <c r="E409" i="4"/>
  <c r="S354" i="2"/>
  <c r="R358" i="2"/>
  <c r="Y358" i="2" s="1"/>
  <c r="D413" i="4"/>
  <c r="R362" i="2"/>
  <c r="Y362" i="2" s="1"/>
  <c r="D417" i="4"/>
  <c r="R366" i="2"/>
  <c r="Y366" i="2" s="1"/>
  <c r="D421" i="4"/>
  <c r="M421" i="4" s="1"/>
  <c r="E425" i="4"/>
  <c r="S370" i="2"/>
  <c r="E429" i="4"/>
  <c r="S374" i="2"/>
  <c r="D432" i="4"/>
  <c r="R377" i="2"/>
  <c r="Y377" i="2" s="1"/>
  <c r="F414" i="4"/>
  <c r="K359" i="2"/>
  <c r="F420" i="4"/>
  <c r="K365" i="2"/>
  <c r="M436" i="4"/>
  <c r="O436" i="4"/>
  <c r="N438" i="4"/>
  <c r="O438" i="4"/>
  <c r="R351" i="2"/>
  <c r="Y351" i="2" s="1"/>
  <c r="D406" i="4"/>
  <c r="S359" i="2"/>
  <c r="E414" i="4"/>
  <c r="R367" i="2"/>
  <c r="Y367" i="2" s="1"/>
  <c r="D422" i="4"/>
  <c r="D430" i="4"/>
  <c r="R375" i="2"/>
  <c r="Y375" i="2" s="1"/>
  <c r="F416" i="4"/>
  <c r="K361" i="2"/>
  <c r="W387" i="2"/>
  <c r="X387" i="2"/>
  <c r="E387" i="3"/>
  <c r="E386" i="3"/>
  <c r="X386" i="2"/>
  <c r="W386" i="2"/>
  <c r="R355" i="2"/>
  <c r="Y355" i="2" s="1"/>
  <c r="D410" i="4"/>
  <c r="E418" i="4"/>
  <c r="S363" i="2"/>
  <c r="D426" i="4"/>
  <c r="R371" i="2"/>
  <c r="Y371" i="2" s="1"/>
  <c r="S376" i="2"/>
  <c r="E431" i="4"/>
  <c r="E407" i="4"/>
  <c r="S352" i="2"/>
  <c r="D411" i="4"/>
  <c r="R356" i="2"/>
  <c r="Y356" i="2" s="1"/>
  <c r="D415" i="4"/>
  <c r="R360" i="2"/>
  <c r="Y360" i="2" s="1"/>
  <c r="D419" i="4"/>
  <c r="R364" i="2"/>
  <c r="Y364" i="2" s="1"/>
  <c r="E423" i="4"/>
  <c r="S368" i="2"/>
  <c r="E427" i="4"/>
  <c r="S372" i="2"/>
  <c r="R379" i="2"/>
  <c r="Y379" i="2" s="1"/>
  <c r="D434" i="4"/>
  <c r="F409" i="4"/>
  <c r="K354" i="2"/>
  <c r="O441" i="4"/>
  <c r="M441" i="4"/>
  <c r="N435" i="4"/>
  <c r="O435" i="4"/>
  <c r="K340" i="1"/>
  <c r="F343" i="1"/>
  <c r="F343" i="2" s="1"/>
  <c r="F339" i="1"/>
  <c r="F339" i="2" s="1"/>
  <c r="F337" i="1"/>
  <c r="F337" i="2" s="1"/>
  <c r="E337" i="1"/>
  <c r="E337" i="2" s="1"/>
  <c r="D337" i="1"/>
  <c r="D337" i="2" s="1"/>
  <c r="C337" i="1"/>
  <c r="C337" i="2" s="1"/>
  <c r="F336" i="1"/>
  <c r="F336" i="2" s="1"/>
  <c r="E336" i="1"/>
  <c r="E336" i="2" s="1"/>
  <c r="D336" i="1"/>
  <c r="D336" i="2" s="1"/>
  <c r="C336" i="1"/>
  <c r="C336" i="2" s="1"/>
  <c r="O434" i="4" l="1"/>
  <c r="M434" i="4"/>
  <c r="N423" i="4"/>
  <c r="O423" i="4"/>
  <c r="O415" i="4"/>
  <c r="M415" i="4"/>
  <c r="N407" i="4"/>
  <c r="O407" i="4"/>
  <c r="M426" i="4"/>
  <c r="O426" i="4"/>
  <c r="N429" i="4"/>
  <c r="O429" i="4"/>
  <c r="O424" i="4"/>
  <c r="M424" i="4"/>
  <c r="M408" i="4"/>
  <c r="O408" i="4"/>
  <c r="W364" i="2"/>
  <c r="E364" i="3"/>
  <c r="X364" i="2"/>
  <c r="F393" i="4"/>
  <c r="O393" i="4" s="1"/>
  <c r="K340" i="2"/>
  <c r="N431" i="4"/>
  <c r="O431" i="4"/>
  <c r="N414" i="4"/>
  <c r="O414" i="4"/>
  <c r="W365" i="2"/>
  <c r="X365" i="2"/>
  <c r="E365" i="3"/>
  <c r="M417" i="4"/>
  <c r="O417" i="4"/>
  <c r="N420" i="4"/>
  <c r="O420" i="4"/>
  <c r="E354" i="3"/>
  <c r="X354" i="2"/>
  <c r="W354" i="2"/>
  <c r="N427" i="4"/>
  <c r="O427" i="4"/>
  <c r="O419" i="4"/>
  <c r="M419" i="4"/>
  <c r="O411" i="4"/>
  <c r="M411" i="4"/>
  <c r="N418" i="4"/>
  <c r="O418" i="4"/>
  <c r="M430" i="4"/>
  <c r="O430" i="4"/>
  <c r="M432" i="4"/>
  <c r="O432" i="4"/>
  <c r="N425" i="4"/>
  <c r="O425" i="4"/>
  <c r="N409" i="4"/>
  <c r="O409" i="4"/>
  <c r="M428" i="4"/>
  <c r="O428" i="4"/>
  <c r="N416" i="4"/>
  <c r="O416" i="4"/>
  <c r="M410" i="4"/>
  <c r="O410" i="4"/>
  <c r="X361" i="2"/>
  <c r="W361" i="2"/>
  <c r="E361" i="3"/>
  <c r="M422" i="4"/>
  <c r="O422" i="4"/>
  <c r="M406" i="4"/>
  <c r="O406" i="4"/>
  <c r="E359" i="3"/>
  <c r="W359" i="2"/>
  <c r="X359" i="2"/>
  <c r="M413" i="4"/>
  <c r="O413" i="4"/>
  <c r="E358" i="3"/>
  <c r="X358" i="2"/>
  <c r="W358" i="2"/>
  <c r="N433" i="4"/>
  <c r="O433" i="4"/>
  <c r="N412" i="4"/>
  <c r="O412" i="4"/>
  <c r="A341" i="1"/>
  <c r="A342" i="1"/>
  <c r="A343" i="1"/>
  <c r="A344" i="1"/>
  <c r="A345" i="1"/>
  <c r="A346" i="1"/>
  <c r="A347" i="1"/>
  <c r="A348" i="1"/>
  <c r="A336" i="1"/>
  <c r="A338" i="1"/>
  <c r="A339" i="1"/>
  <c r="A340" i="1"/>
  <c r="K325" i="1"/>
  <c r="K324" i="1"/>
  <c r="K323" i="1"/>
  <c r="K322" i="1"/>
  <c r="F323" i="1"/>
  <c r="F323" i="2" s="1"/>
  <c r="E323" i="1"/>
  <c r="E323" i="2" s="1"/>
  <c r="F331" i="1"/>
  <c r="F331" i="2" s="1"/>
  <c r="F327" i="1"/>
  <c r="F327" i="2" s="1"/>
  <c r="E327" i="1"/>
  <c r="E327" i="2" s="1"/>
  <c r="D327" i="1"/>
  <c r="D327" i="2" s="1"/>
  <c r="C327" i="1"/>
  <c r="C327" i="2" s="1"/>
  <c r="F326" i="1"/>
  <c r="F326" i="2" s="1"/>
  <c r="E326" i="1"/>
  <c r="E326" i="2" s="1"/>
  <c r="D326" i="1"/>
  <c r="D326" i="2" s="1"/>
  <c r="C326" i="1"/>
  <c r="C326" i="2" s="1"/>
  <c r="F321" i="1"/>
  <c r="F321" i="2" s="1"/>
  <c r="E321" i="1"/>
  <c r="E321" i="2" s="1"/>
  <c r="D321" i="1"/>
  <c r="D321" i="2" s="1"/>
  <c r="C321" i="1"/>
  <c r="C321" i="2" s="1"/>
  <c r="K309" i="1"/>
  <c r="K308" i="1"/>
  <c r="K307" i="1"/>
  <c r="K303" i="1"/>
  <c r="K302" i="1"/>
  <c r="K301" i="1"/>
  <c r="K300" i="1"/>
  <c r="K297" i="1"/>
  <c r="K296" i="1"/>
  <c r="K295" i="1"/>
  <c r="K294" i="1"/>
  <c r="K291" i="1"/>
  <c r="K286" i="1"/>
  <c r="K285" i="1"/>
  <c r="F359" i="4" l="1"/>
  <c r="K308" i="2"/>
  <c r="J308" i="2" s="1"/>
  <c r="A389" i="4"/>
  <c r="J389" i="4" s="1"/>
  <c r="A336" i="2"/>
  <c r="A336" i="3" s="1"/>
  <c r="A394" i="4"/>
  <c r="J394" i="4" s="1"/>
  <c r="A341" i="2"/>
  <c r="A341" i="3" s="1"/>
  <c r="F346" i="4"/>
  <c r="O346" i="4" s="1"/>
  <c r="K296" i="2"/>
  <c r="F360" i="4"/>
  <c r="K309" i="2"/>
  <c r="F375" i="4"/>
  <c r="O375" i="4" s="1"/>
  <c r="K322" i="2"/>
  <c r="A393" i="4"/>
  <c r="J393" i="4" s="1"/>
  <c r="A340" i="2"/>
  <c r="A340" i="3" s="1"/>
  <c r="A401" i="4"/>
  <c r="J401" i="4" s="1"/>
  <c r="A348" i="2"/>
  <c r="A348" i="3" s="1"/>
  <c r="A397" i="4"/>
  <c r="J397" i="4" s="1"/>
  <c r="A344" i="2"/>
  <c r="A344" i="3" s="1"/>
  <c r="F345" i="4"/>
  <c r="O345" i="4" s="1"/>
  <c r="K295" i="2"/>
  <c r="A398" i="4"/>
  <c r="J398" i="4" s="1"/>
  <c r="A345" i="2"/>
  <c r="A345" i="3" s="1"/>
  <c r="F336" i="4"/>
  <c r="O336" i="4" s="1"/>
  <c r="K286" i="2"/>
  <c r="F341" i="4"/>
  <c r="O341" i="4" s="1"/>
  <c r="K291" i="2"/>
  <c r="F347" i="4"/>
  <c r="O347" i="4" s="1"/>
  <c r="K297" i="2"/>
  <c r="F353" i="4"/>
  <c r="O353" i="4" s="1"/>
  <c r="K303" i="2"/>
  <c r="F376" i="4"/>
  <c r="O376" i="4" s="1"/>
  <c r="K323" i="2"/>
  <c r="A392" i="4"/>
  <c r="J392" i="4" s="1"/>
  <c r="A339" i="2"/>
  <c r="A339" i="3" s="1"/>
  <c r="A400" i="4"/>
  <c r="J400" i="4" s="1"/>
  <c r="A347" i="2"/>
  <c r="A347" i="3" s="1"/>
  <c r="A396" i="4"/>
  <c r="J396" i="4" s="1"/>
  <c r="A343" i="2"/>
  <c r="A343" i="3" s="1"/>
  <c r="F335" i="4"/>
  <c r="O335" i="4" s="1"/>
  <c r="K285" i="2"/>
  <c r="F351" i="4"/>
  <c r="O351" i="4" s="1"/>
  <c r="K301" i="2"/>
  <c r="F378" i="4"/>
  <c r="O378" i="4" s="1"/>
  <c r="K325" i="2"/>
  <c r="F352" i="4"/>
  <c r="O352" i="4" s="1"/>
  <c r="K302" i="2"/>
  <c r="F344" i="4"/>
  <c r="O344" i="4" s="1"/>
  <c r="K294" i="2"/>
  <c r="F350" i="4"/>
  <c r="O350" i="4" s="1"/>
  <c r="K300" i="2"/>
  <c r="F358" i="4"/>
  <c r="K307" i="2"/>
  <c r="J307" i="2" s="1"/>
  <c r="F377" i="4"/>
  <c r="O377" i="4" s="1"/>
  <c r="K324" i="2"/>
  <c r="A391" i="4"/>
  <c r="J391" i="4" s="1"/>
  <c r="A338" i="2"/>
  <c r="A338" i="3" s="1"/>
  <c r="A399" i="4"/>
  <c r="J399" i="4" s="1"/>
  <c r="A346" i="2"/>
  <c r="A346" i="3" s="1"/>
  <c r="A395" i="4"/>
  <c r="J395" i="4" s="1"/>
  <c r="A342" i="2"/>
  <c r="A342" i="3" s="1"/>
  <c r="E340" i="3"/>
  <c r="X340" i="2"/>
  <c r="W340" i="2"/>
  <c r="F305" i="1"/>
  <c r="F305" i="2" s="1"/>
  <c r="E305" i="1"/>
  <c r="E305" i="2" s="1"/>
  <c r="D305" i="1"/>
  <c r="D305" i="2" s="1"/>
  <c r="C305" i="1"/>
  <c r="C305" i="2" s="1"/>
  <c r="E296" i="1"/>
  <c r="E296" i="2" s="1"/>
  <c r="E295" i="1"/>
  <c r="E295" i="2" s="1"/>
  <c r="F292" i="1"/>
  <c r="F292" i="2" s="1"/>
  <c r="F290" i="1"/>
  <c r="F290" i="2" s="1"/>
  <c r="F285" i="1"/>
  <c r="F285" i="2" s="1"/>
  <c r="X300" i="2" l="1"/>
  <c r="E300" i="3"/>
  <c r="W300" i="2"/>
  <c r="E294" i="3"/>
  <c r="W294" i="2"/>
  <c r="X294" i="2"/>
  <c r="X285" i="2"/>
  <c r="E285" i="3"/>
  <c r="W285" i="2"/>
  <c r="E323" i="3"/>
  <c r="W323" i="2"/>
  <c r="X323" i="2"/>
  <c r="E297" i="3"/>
  <c r="X297" i="2"/>
  <c r="W297" i="2"/>
  <c r="W286" i="2"/>
  <c r="X286" i="2"/>
  <c r="E286" i="3"/>
  <c r="E295" i="3"/>
  <c r="X295" i="2"/>
  <c r="W295" i="2"/>
  <c r="W322" i="2"/>
  <c r="X322" i="2"/>
  <c r="E322" i="3"/>
  <c r="W296" i="2"/>
  <c r="E296" i="3"/>
  <c r="X296" i="2"/>
  <c r="X302" i="2"/>
  <c r="W302" i="2"/>
  <c r="E302" i="3"/>
  <c r="C307" i="3"/>
  <c r="U307" i="2"/>
  <c r="E307" i="3" s="1"/>
  <c r="W325" i="2"/>
  <c r="E325" i="3"/>
  <c r="X325" i="2"/>
  <c r="W324" i="2"/>
  <c r="X324" i="2"/>
  <c r="E324" i="3"/>
  <c r="E301" i="3"/>
  <c r="X301" i="2"/>
  <c r="W301" i="2"/>
  <c r="E303" i="3"/>
  <c r="X303" i="2"/>
  <c r="W303" i="2"/>
  <c r="E291" i="3"/>
  <c r="X291" i="2"/>
  <c r="W291" i="2"/>
  <c r="C308" i="3"/>
  <c r="U308" i="2"/>
  <c r="E308" i="3" s="1"/>
  <c r="C290" i="4"/>
  <c r="C268" i="4"/>
  <c r="B219" i="4"/>
  <c r="C219" i="4"/>
  <c r="C193" i="4"/>
  <c r="C172" i="4"/>
  <c r="C122" i="4"/>
  <c r="L122" i="4" s="1"/>
  <c r="B40" i="4"/>
  <c r="K40" i="4" s="1"/>
  <c r="C5" i="4"/>
  <c r="L5" i="4" s="1"/>
  <c r="B5" i="4"/>
  <c r="K5" i="4" s="1"/>
  <c r="X308" i="2" l="1"/>
  <c r="W307" i="2"/>
  <c r="W308" i="2"/>
  <c r="X307" i="2"/>
  <c r="J328" i="4"/>
  <c r="J319" i="4"/>
  <c r="J299" i="4"/>
  <c r="J294" i="4"/>
  <c r="J321" i="4"/>
  <c r="J301" i="4"/>
  <c r="J296" i="4"/>
  <c r="J291" i="4"/>
  <c r="J278" i="4"/>
  <c r="J269" i="4"/>
  <c r="J271" i="4"/>
  <c r="J280" i="4"/>
  <c r="J262" i="4"/>
  <c r="J264" i="4"/>
  <c r="J260" i="4"/>
  <c r="J241" i="4"/>
  <c r="J243" i="4"/>
  <c r="J220" i="4"/>
  <c r="J194" i="4"/>
  <c r="J173" i="4"/>
  <c r="J168" i="4"/>
  <c r="A216" i="4"/>
  <c r="K216" i="4" s="1"/>
  <c r="B216" i="4"/>
  <c r="C216" i="4"/>
  <c r="I216" i="4"/>
  <c r="A218" i="4"/>
  <c r="J218" i="4" s="1"/>
  <c r="B218" i="4"/>
  <c r="K218" i="4" s="1"/>
  <c r="C218" i="4"/>
  <c r="F218" i="4"/>
  <c r="I218" i="4"/>
  <c r="A219" i="4"/>
  <c r="J219" i="4" s="1"/>
  <c r="L219" i="4"/>
  <c r="F219" i="4"/>
  <c r="I219" i="4"/>
  <c r="A221" i="4"/>
  <c r="J221" i="4" s="1"/>
  <c r="B221" i="4"/>
  <c r="K221" i="4" s="1"/>
  <c r="C221" i="4"/>
  <c r="L221" i="4" s="1"/>
  <c r="F221" i="4"/>
  <c r="I221" i="4"/>
  <c r="A222" i="4"/>
  <c r="J222" i="4" s="1"/>
  <c r="B222" i="4"/>
  <c r="K222" i="4" s="1"/>
  <c r="C222" i="4"/>
  <c r="L222" i="4" s="1"/>
  <c r="F222" i="4"/>
  <c r="I222" i="4"/>
  <c r="A223" i="4"/>
  <c r="J223" i="4" s="1"/>
  <c r="B223" i="4"/>
  <c r="K223" i="4" s="1"/>
  <c r="C223" i="4"/>
  <c r="L223" i="4" s="1"/>
  <c r="I223" i="4"/>
  <c r="A224" i="4"/>
  <c r="J224" i="4" s="1"/>
  <c r="B224" i="4"/>
  <c r="K224" i="4" s="1"/>
  <c r="C224" i="4"/>
  <c r="L224" i="4" s="1"/>
  <c r="F224" i="4"/>
  <c r="I224" i="4"/>
  <c r="A225" i="4"/>
  <c r="J225" i="4" s="1"/>
  <c r="B225" i="4"/>
  <c r="K225" i="4" s="1"/>
  <c r="C225" i="4"/>
  <c r="L225" i="4" s="1"/>
  <c r="F225" i="4"/>
  <c r="I225" i="4"/>
  <c r="A226" i="4"/>
  <c r="J226" i="4" s="1"/>
  <c r="B226" i="4"/>
  <c r="K226" i="4" s="1"/>
  <c r="C226" i="4"/>
  <c r="L226" i="4" s="1"/>
  <c r="I226" i="4"/>
  <c r="A227" i="4"/>
  <c r="J227" i="4" s="1"/>
  <c r="B227" i="4"/>
  <c r="K227" i="4" s="1"/>
  <c r="C227" i="4"/>
  <c r="L227" i="4" s="1"/>
  <c r="F227" i="4"/>
  <c r="I227" i="4"/>
  <c r="A228" i="4"/>
  <c r="J228" i="4" s="1"/>
  <c r="B228" i="4"/>
  <c r="K228" i="4" s="1"/>
  <c r="C228" i="4"/>
  <c r="L228" i="4" s="1"/>
  <c r="F228" i="4"/>
  <c r="I228" i="4"/>
  <c r="A229" i="4"/>
  <c r="J229" i="4" s="1"/>
  <c r="B229" i="4"/>
  <c r="K229" i="4" s="1"/>
  <c r="C229" i="4"/>
  <c r="L229" i="4" s="1"/>
  <c r="F229" i="4"/>
  <c r="I229" i="4"/>
  <c r="A230" i="4"/>
  <c r="J230" i="4" s="1"/>
  <c r="B230" i="4"/>
  <c r="K230" i="4" s="1"/>
  <c r="C230" i="4"/>
  <c r="L230" i="4" s="1"/>
  <c r="I230" i="4"/>
  <c r="A231" i="4"/>
  <c r="J231" i="4" s="1"/>
  <c r="B231" i="4"/>
  <c r="K231" i="4" s="1"/>
  <c r="C231" i="4"/>
  <c r="L231" i="4" s="1"/>
  <c r="F231" i="4"/>
  <c r="I231" i="4"/>
  <c r="A232" i="4"/>
  <c r="J232" i="4" s="1"/>
  <c r="B232" i="4"/>
  <c r="K232" i="4" s="1"/>
  <c r="C232" i="4"/>
  <c r="L232" i="4" s="1"/>
  <c r="F232" i="4"/>
  <c r="I232" i="4"/>
  <c r="A233" i="4"/>
  <c r="J233" i="4" s="1"/>
  <c r="B233" i="4"/>
  <c r="K233" i="4" s="1"/>
  <c r="C233" i="4"/>
  <c r="L233" i="4" s="1"/>
  <c r="I233" i="4"/>
  <c r="A234" i="4"/>
  <c r="J234" i="4" s="1"/>
  <c r="B234" i="4"/>
  <c r="K234" i="4" s="1"/>
  <c r="C234" i="4"/>
  <c r="L234" i="4" s="1"/>
  <c r="F234" i="4"/>
  <c r="I234" i="4"/>
  <c r="A235" i="4"/>
  <c r="J235" i="4" s="1"/>
  <c r="B235" i="4"/>
  <c r="K235" i="4" s="1"/>
  <c r="C235" i="4"/>
  <c r="L235" i="4" s="1"/>
  <c r="I235" i="4"/>
  <c r="A236" i="4"/>
  <c r="J236" i="4" s="1"/>
  <c r="B236" i="4"/>
  <c r="K236" i="4" s="1"/>
  <c r="C236" i="4"/>
  <c r="L236" i="4" s="1"/>
  <c r="F236" i="4"/>
  <c r="I236" i="4"/>
  <c r="A237" i="4"/>
  <c r="J237" i="4" s="1"/>
  <c r="B237" i="4"/>
  <c r="K237" i="4" s="1"/>
  <c r="C237" i="4"/>
  <c r="L237" i="4" s="1"/>
  <c r="F237" i="4"/>
  <c r="I237" i="4"/>
  <c r="A238" i="4"/>
  <c r="J238" i="4" s="1"/>
  <c r="B238" i="4"/>
  <c r="K238" i="4" s="1"/>
  <c r="C238" i="4"/>
  <c r="L238" i="4" s="1"/>
  <c r="F238" i="4"/>
  <c r="I238" i="4"/>
  <c r="A239" i="4"/>
  <c r="J239" i="4" s="1"/>
  <c r="B239" i="4"/>
  <c r="K239" i="4" s="1"/>
  <c r="C239" i="4"/>
  <c r="L239" i="4" s="1"/>
  <c r="F239" i="4"/>
  <c r="I239" i="4"/>
  <c r="A240" i="4"/>
  <c r="J240" i="4" s="1"/>
  <c r="B240" i="4"/>
  <c r="K240" i="4" s="1"/>
  <c r="C240" i="4"/>
  <c r="L240" i="4" s="1"/>
  <c r="I240" i="4"/>
  <c r="A242" i="4"/>
  <c r="J242" i="4" s="1"/>
  <c r="B242" i="4"/>
  <c r="K242" i="4" s="1"/>
  <c r="C242" i="4"/>
  <c r="L242" i="4" s="1"/>
  <c r="I242" i="4"/>
  <c r="A244" i="4"/>
  <c r="J244" i="4" s="1"/>
  <c r="B244" i="4"/>
  <c r="K244" i="4" s="1"/>
  <c r="C244" i="4"/>
  <c r="L244" i="4" s="1"/>
  <c r="F244" i="4"/>
  <c r="I244" i="4"/>
  <c r="A245" i="4"/>
  <c r="J245" i="4" s="1"/>
  <c r="B245" i="4"/>
  <c r="K245" i="4" s="1"/>
  <c r="C245" i="4"/>
  <c r="L245" i="4" s="1"/>
  <c r="I245" i="4"/>
  <c r="A246" i="4"/>
  <c r="J246" i="4" s="1"/>
  <c r="B246" i="4"/>
  <c r="K246" i="4" s="1"/>
  <c r="C246" i="4"/>
  <c r="L246" i="4" s="1"/>
  <c r="F246" i="4"/>
  <c r="I246" i="4"/>
  <c r="A247" i="4"/>
  <c r="J247" i="4" s="1"/>
  <c r="B247" i="4"/>
  <c r="K247" i="4" s="1"/>
  <c r="C247" i="4"/>
  <c r="L247" i="4" s="1"/>
  <c r="F247" i="4"/>
  <c r="I247" i="4"/>
  <c r="A248" i="4"/>
  <c r="J248" i="4" s="1"/>
  <c r="B248" i="4"/>
  <c r="K248" i="4" s="1"/>
  <c r="C248" i="4"/>
  <c r="L248" i="4" s="1"/>
  <c r="F248" i="4"/>
  <c r="I248" i="4"/>
  <c r="A249" i="4"/>
  <c r="J249" i="4" s="1"/>
  <c r="B249" i="4"/>
  <c r="K249" i="4" s="1"/>
  <c r="C249" i="4"/>
  <c r="L249" i="4" s="1"/>
  <c r="I249" i="4"/>
  <c r="A250" i="4"/>
  <c r="J250" i="4" s="1"/>
  <c r="B250" i="4"/>
  <c r="K250" i="4" s="1"/>
  <c r="C250" i="4"/>
  <c r="L250" i="4" s="1"/>
  <c r="F250" i="4"/>
  <c r="I250" i="4"/>
  <c r="A251" i="4"/>
  <c r="J251" i="4" s="1"/>
  <c r="B251" i="4"/>
  <c r="K251" i="4" s="1"/>
  <c r="C251" i="4"/>
  <c r="L251" i="4" s="1"/>
  <c r="F251" i="4"/>
  <c r="I251" i="4"/>
  <c r="A252" i="4"/>
  <c r="J252" i="4" s="1"/>
  <c r="B252" i="4"/>
  <c r="K252" i="4" s="1"/>
  <c r="C252" i="4"/>
  <c r="L252" i="4" s="1"/>
  <c r="F252" i="4"/>
  <c r="I252" i="4"/>
  <c r="A253" i="4"/>
  <c r="J253" i="4" s="1"/>
  <c r="B253" i="4"/>
  <c r="K253" i="4" s="1"/>
  <c r="C253" i="4"/>
  <c r="L253" i="4" s="1"/>
  <c r="F253" i="4"/>
  <c r="I253" i="4"/>
  <c r="A254" i="4"/>
  <c r="J254" i="4" s="1"/>
  <c r="B254" i="4"/>
  <c r="K254" i="4" s="1"/>
  <c r="C254" i="4"/>
  <c r="L254" i="4" s="1"/>
  <c r="F254" i="4"/>
  <c r="I254" i="4"/>
  <c r="A255" i="4"/>
  <c r="J255" i="4" s="1"/>
  <c r="B255" i="4"/>
  <c r="K255" i="4" s="1"/>
  <c r="C255" i="4"/>
  <c r="L255" i="4" s="1"/>
  <c r="I255" i="4"/>
  <c r="A256" i="4"/>
  <c r="J256" i="4" s="1"/>
  <c r="B256" i="4"/>
  <c r="K256" i="4" s="1"/>
  <c r="C256" i="4"/>
  <c r="L256" i="4" s="1"/>
  <c r="F256" i="4"/>
  <c r="I256" i="4"/>
  <c r="A257" i="4"/>
  <c r="J257" i="4" s="1"/>
  <c r="B257" i="4"/>
  <c r="K257" i="4" s="1"/>
  <c r="C257" i="4"/>
  <c r="L257" i="4" s="1"/>
  <c r="I257" i="4"/>
  <c r="A258" i="4"/>
  <c r="J258" i="4" s="1"/>
  <c r="B258" i="4"/>
  <c r="K258" i="4" s="1"/>
  <c r="C258" i="4"/>
  <c r="L258" i="4" s="1"/>
  <c r="F258" i="4"/>
  <c r="I258" i="4"/>
  <c r="A259" i="4"/>
  <c r="J259" i="4" s="1"/>
  <c r="B259" i="4"/>
  <c r="K259" i="4" s="1"/>
  <c r="C259" i="4"/>
  <c r="L259" i="4" s="1"/>
  <c r="I259" i="4"/>
  <c r="A261" i="4"/>
  <c r="J261" i="4" s="1"/>
  <c r="B261" i="4"/>
  <c r="K261" i="4" s="1"/>
  <c r="C261" i="4"/>
  <c r="L261" i="4" s="1"/>
  <c r="I261" i="4"/>
  <c r="A263" i="4"/>
  <c r="J263" i="4" s="1"/>
  <c r="B263" i="4"/>
  <c r="K263" i="4" s="1"/>
  <c r="C263" i="4"/>
  <c r="L263" i="4" s="1"/>
  <c r="F263" i="4"/>
  <c r="I263" i="4"/>
  <c r="A265" i="4"/>
  <c r="J265" i="4" s="1"/>
  <c r="B265" i="4"/>
  <c r="K265" i="4" s="1"/>
  <c r="C265" i="4"/>
  <c r="L265" i="4" s="1"/>
  <c r="I265" i="4"/>
  <c r="A266" i="4"/>
  <c r="K266" i="4" s="1"/>
  <c r="B266" i="4"/>
  <c r="C266" i="4"/>
  <c r="F266" i="4"/>
  <c r="I266" i="4"/>
  <c r="A268" i="4"/>
  <c r="J268" i="4" s="1"/>
  <c r="B268" i="4"/>
  <c r="K268" i="4" s="1"/>
  <c r="L268" i="4"/>
  <c r="F268" i="4"/>
  <c r="I268" i="4"/>
  <c r="A270" i="4"/>
  <c r="J270" i="4" s="1"/>
  <c r="B270" i="4"/>
  <c r="K270" i="4" s="1"/>
  <c r="C270" i="4"/>
  <c r="L270" i="4" s="1"/>
  <c r="I270" i="4"/>
  <c r="A272" i="4"/>
  <c r="J272" i="4" s="1"/>
  <c r="B272" i="4"/>
  <c r="K272" i="4" s="1"/>
  <c r="C272" i="4"/>
  <c r="L272" i="4" s="1"/>
  <c r="F272" i="4"/>
  <c r="I272" i="4"/>
  <c r="A273" i="4"/>
  <c r="J273" i="4" s="1"/>
  <c r="B273" i="4"/>
  <c r="K273" i="4" s="1"/>
  <c r="C273" i="4"/>
  <c r="L273" i="4" s="1"/>
  <c r="F273" i="4"/>
  <c r="I273" i="4"/>
  <c r="A274" i="4"/>
  <c r="J274" i="4" s="1"/>
  <c r="B274" i="4"/>
  <c r="K274" i="4" s="1"/>
  <c r="C274" i="4"/>
  <c r="L274" i="4" s="1"/>
  <c r="F274" i="4"/>
  <c r="I274" i="4"/>
  <c r="A275" i="4"/>
  <c r="J275" i="4" s="1"/>
  <c r="B275" i="4"/>
  <c r="K275" i="4" s="1"/>
  <c r="C275" i="4"/>
  <c r="L275" i="4" s="1"/>
  <c r="F275" i="4"/>
  <c r="I275" i="4"/>
  <c r="A276" i="4"/>
  <c r="J276" i="4" s="1"/>
  <c r="B276" i="4"/>
  <c r="K276" i="4" s="1"/>
  <c r="C276" i="4"/>
  <c r="L276" i="4" s="1"/>
  <c r="F276" i="4"/>
  <c r="I276" i="4"/>
  <c r="A277" i="4"/>
  <c r="J277" i="4" s="1"/>
  <c r="B277" i="4"/>
  <c r="K277" i="4" s="1"/>
  <c r="C277" i="4"/>
  <c r="L277" i="4" s="1"/>
  <c r="I277" i="4"/>
  <c r="A279" i="4"/>
  <c r="J279" i="4" s="1"/>
  <c r="B279" i="4"/>
  <c r="K279" i="4" s="1"/>
  <c r="C279" i="4"/>
  <c r="L279" i="4" s="1"/>
  <c r="I279" i="4"/>
  <c r="A281" i="4"/>
  <c r="J281" i="4" s="1"/>
  <c r="B281" i="4"/>
  <c r="K281" i="4" s="1"/>
  <c r="C281" i="4"/>
  <c r="L281" i="4" s="1"/>
  <c r="F281" i="4"/>
  <c r="I281" i="4"/>
  <c r="A282" i="4"/>
  <c r="J282" i="4" s="1"/>
  <c r="B282" i="4"/>
  <c r="K282" i="4" s="1"/>
  <c r="C282" i="4"/>
  <c r="L282" i="4" s="1"/>
  <c r="I282" i="4"/>
  <c r="A283" i="4"/>
  <c r="J283" i="4" s="1"/>
  <c r="B283" i="4"/>
  <c r="K283" i="4" s="1"/>
  <c r="C283" i="4"/>
  <c r="L283" i="4" s="1"/>
  <c r="I283" i="4"/>
  <c r="A284" i="4"/>
  <c r="J284" i="4" s="1"/>
  <c r="B284" i="4"/>
  <c r="K284" i="4" s="1"/>
  <c r="C284" i="4"/>
  <c r="L284" i="4" s="1"/>
  <c r="F284" i="4"/>
  <c r="I284" i="4"/>
  <c r="A285" i="4"/>
  <c r="J285" i="4" s="1"/>
  <c r="B285" i="4"/>
  <c r="K285" i="4" s="1"/>
  <c r="C285" i="4"/>
  <c r="L285" i="4" s="1"/>
  <c r="F285" i="4"/>
  <c r="I285" i="4"/>
  <c r="A286" i="4"/>
  <c r="J286" i="4" s="1"/>
  <c r="B286" i="4"/>
  <c r="K286" i="4" s="1"/>
  <c r="C286" i="4"/>
  <c r="L286" i="4" s="1"/>
  <c r="I286" i="4"/>
  <c r="A287" i="4"/>
  <c r="J287" i="4" s="1"/>
  <c r="B287" i="4"/>
  <c r="K287" i="4" s="1"/>
  <c r="C287" i="4"/>
  <c r="L287" i="4" s="1"/>
  <c r="I287" i="4"/>
  <c r="A288" i="4"/>
  <c r="K288" i="4" s="1"/>
  <c r="B288" i="4"/>
  <c r="C288" i="4"/>
  <c r="F288" i="4"/>
  <c r="I288" i="4"/>
  <c r="A290" i="4"/>
  <c r="J290" i="4" s="1"/>
  <c r="B290" i="4"/>
  <c r="K290" i="4" s="1"/>
  <c r="L290" i="4"/>
  <c r="F290" i="4"/>
  <c r="I290" i="4"/>
  <c r="A292" i="4"/>
  <c r="J292" i="4" s="1"/>
  <c r="B292" i="4"/>
  <c r="K292" i="4" s="1"/>
  <c r="C292" i="4"/>
  <c r="L292" i="4" s="1"/>
  <c r="I292" i="4"/>
  <c r="A293" i="4"/>
  <c r="J293" i="4" s="1"/>
  <c r="B293" i="4"/>
  <c r="K293" i="4" s="1"/>
  <c r="C293" i="4"/>
  <c r="L293" i="4" s="1"/>
  <c r="I293" i="4"/>
  <c r="A295" i="4"/>
  <c r="J295" i="4" s="1"/>
  <c r="B295" i="4"/>
  <c r="K295" i="4" s="1"/>
  <c r="C295" i="4"/>
  <c r="L295" i="4" s="1"/>
  <c r="I295" i="4"/>
  <c r="A297" i="4"/>
  <c r="J297" i="4" s="1"/>
  <c r="B297" i="4"/>
  <c r="K297" i="4" s="1"/>
  <c r="C297" i="4"/>
  <c r="L297" i="4" s="1"/>
  <c r="F297" i="4"/>
  <c r="I297" i="4"/>
  <c r="A298" i="4"/>
  <c r="J298" i="4" s="1"/>
  <c r="B298" i="4"/>
  <c r="K298" i="4" s="1"/>
  <c r="C298" i="4"/>
  <c r="L298" i="4" s="1"/>
  <c r="I298" i="4"/>
  <c r="A300" i="4"/>
  <c r="J300" i="4" s="1"/>
  <c r="B300" i="4"/>
  <c r="K300" i="4" s="1"/>
  <c r="C300" i="4"/>
  <c r="L300" i="4" s="1"/>
  <c r="I300" i="4"/>
  <c r="A302" i="4"/>
  <c r="J302" i="4" s="1"/>
  <c r="B302" i="4"/>
  <c r="K302" i="4" s="1"/>
  <c r="C302" i="4"/>
  <c r="L302" i="4" s="1"/>
  <c r="F302" i="4"/>
  <c r="I302" i="4"/>
  <c r="A303" i="4"/>
  <c r="J303" i="4" s="1"/>
  <c r="B303" i="4"/>
  <c r="K303" i="4" s="1"/>
  <c r="C303" i="4"/>
  <c r="L303" i="4" s="1"/>
  <c r="I303" i="4"/>
  <c r="A304" i="4"/>
  <c r="J304" i="4" s="1"/>
  <c r="B304" i="4"/>
  <c r="K304" i="4" s="1"/>
  <c r="C304" i="4"/>
  <c r="L304" i="4" s="1"/>
  <c r="F304" i="4"/>
  <c r="I304" i="4"/>
  <c r="A305" i="4"/>
  <c r="J305" i="4" s="1"/>
  <c r="B305" i="4"/>
  <c r="K305" i="4" s="1"/>
  <c r="C305" i="4"/>
  <c r="L305" i="4" s="1"/>
  <c r="F305" i="4"/>
  <c r="I305" i="4"/>
  <c r="A306" i="4"/>
  <c r="J306" i="4" s="1"/>
  <c r="B306" i="4"/>
  <c r="K306" i="4" s="1"/>
  <c r="C306" i="4"/>
  <c r="L306" i="4" s="1"/>
  <c r="I306" i="4"/>
  <c r="A307" i="4"/>
  <c r="J307" i="4" s="1"/>
  <c r="B307" i="4"/>
  <c r="K307" i="4" s="1"/>
  <c r="C307" i="4"/>
  <c r="L307" i="4" s="1"/>
  <c r="I307" i="4"/>
  <c r="A308" i="4"/>
  <c r="J308" i="4" s="1"/>
  <c r="B308" i="4"/>
  <c r="K308" i="4" s="1"/>
  <c r="C308" i="4"/>
  <c r="L308" i="4" s="1"/>
  <c r="I308" i="4"/>
  <c r="A309" i="4"/>
  <c r="J309" i="4" s="1"/>
  <c r="B309" i="4"/>
  <c r="K309" i="4" s="1"/>
  <c r="C309" i="4"/>
  <c r="L309" i="4" s="1"/>
  <c r="F309" i="4"/>
  <c r="I309" i="4"/>
  <c r="A310" i="4"/>
  <c r="J310" i="4" s="1"/>
  <c r="B310" i="4"/>
  <c r="K310" i="4" s="1"/>
  <c r="C310" i="4"/>
  <c r="L310" i="4" s="1"/>
  <c r="I310" i="4"/>
  <c r="A311" i="4"/>
  <c r="J311" i="4" s="1"/>
  <c r="B311" i="4"/>
  <c r="K311" i="4" s="1"/>
  <c r="C311" i="4"/>
  <c r="L311" i="4" s="1"/>
  <c r="F311" i="4"/>
  <c r="I311" i="4"/>
  <c r="A312" i="4"/>
  <c r="J312" i="4" s="1"/>
  <c r="B312" i="4"/>
  <c r="K312" i="4" s="1"/>
  <c r="C312" i="4"/>
  <c r="L312" i="4" s="1"/>
  <c r="I312" i="4"/>
  <c r="A313" i="4"/>
  <c r="J313" i="4" s="1"/>
  <c r="B313" i="4"/>
  <c r="K313" i="4" s="1"/>
  <c r="C313" i="4"/>
  <c r="L313" i="4" s="1"/>
  <c r="F313" i="4"/>
  <c r="I313" i="4"/>
  <c r="A314" i="4"/>
  <c r="J314" i="4" s="1"/>
  <c r="B314" i="4"/>
  <c r="K314" i="4" s="1"/>
  <c r="C314" i="4"/>
  <c r="L314" i="4" s="1"/>
  <c r="I314" i="4"/>
  <c r="A315" i="4"/>
  <c r="J315" i="4" s="1"/>
  <c r="B315" i="4"/>
  <c r="K315" i="4" s="1"/>
  <c r="C315" i="4"/>
  <c r="L315" i="4" s="1"/>
  <c r="F315" i="4"/>
  <c r="I315" i="4"/>
  <c r="A316" i="4"/>
  <c r="J316" i="4" s="1"/>
  <c r="B316" i="4"/>
  <c r="C316" i="4"/>
  <c r="L316" i="4" s="1"/>
  <c r="F316" i="4"/>
  <c r="I316" i="4"/>
  <c r="K316" i="4"/>
  <c r="A317" i="4"/>
  <c r="J317" i="4" s="1"/>
  <c r="B317" i="4"/>
  <c r="K317" i="4" s="1"/>
  <c r="C317" i="4"/>
  <c r="L317" i="4" s="1"/>
  <c r="F317" i="4"/>
  <c r="I317" i="4"/>
  <c r="A318" i="4"/>
  <c r="J318" i="4" s="1"/>
  <c r="B318" i="4"/>
  <c r="K318" i="4" s="1"/>
  <c r="C318" i="4"/>
  <c r="L318" i="4" s="1"/>
  <c r="I318" i="4"/>
  <c r="A320" i="4"/>
  <c r="J320" i="4" s="1"/>
  <c r="B320" i="4"/>
  <c r="K320" i="4" s="1"/>
  <c r="C320" i="4"/>
  <c r="L320" i="4" s="1"/>
  <c r="I320" i="4"/>
  <c r="A322" i="4"/>
  <c r="J322" i="4" s="1"/>
  <c r="B322" i="4"/>
  <c r="K322" i="4" s="1"/>
  <c r="C322" i="4"/>
  <c r="L322" i="4" s="1"/>
  <c r="F322" i="4"/>
  <c r="I322" i="4"/>
  <c r="A323" i="4"/>
  <c r="J323" i="4" s="1"/>
  <c r="B323" i="4"/>
  <c r="K323" i="4" s="1"/>
  <c r="C323" i="4"/>
  <c r="L323" i="4" s="1"/>
  <c r="F323" i="4"/>
  <c r="I323" i="4"/>
  <c r="A324" i="4"/>
  <c r="J324" i="4" s="1"/>
  <c r="B324" i="4"/>
  <c r="K324" i="4" s="1"/>
  <c r="C324" i="4"/>
  <c r="L324" i="4" s="1"/>
  <c r="I324" i="4"/>
  <c r="A325" i="4"/>
  <c r="J325" i="4" s="1"/>
  <c r="B325" i="4"/>
  <c r="K325" i="4" s="1"/>
  <c r="C325" i="4"/>
  <c r="L325" i="4" s="1"/>
  <c r="I325" i="4"/>
  <c r="A326" i="4"/>
  <c r="J326" i="4" s="1"/>
  <c r="B326" i="4"/>
  <c r="K326" i="4" s="1"/>
  <c r="C326" i="4"/>
  <c r="L326" i="4" s="1"/>
  <c r="F326" i="4"/>
  <c r="I326" i="4"/>
  <c r="A327" i="4"/>
  <c r="J327" i="4" s="1"/>
  <c r="B327" i="4"/>
  <c r="K327" i="4" s="1"/>
  <c r="C327" i="4"/>
  <c r="L327" i="4" s="1"/>
  <c r="F327" i="4"/>
  <c r="I327" i="4"/>
  <c r="A329" i="4"/>
  <c r="J329" i="4" s="1"/>
  <c r="B329" i="4"/>
  <c r="K329" i="4" s="1"/>
  <c r="C329" i="4"/>
  <c r="L329" i="4" s="1"/>
  <c r="I329" i="4"/>
  <c r="A330" i="4"/>
  <c r="J330" i="4" s="1"/>
  <c r="B330" i="4"/>
  <c r="K330" i="4" s="1"/>
  <c r="C330" i="4"/>
  <c r="L330" i="4" s="1"/>
  <c r="F330" i="4"/>
  <c r="I330" i="4"/>
  <c r="A239" i="2" l="1"/>
  <c r="A239" i="3" s="1"/>
  <c r="B239" i="2"/>
  <c r="B239" i="3" s="1"/>
  <c r="C239" i="2"/>
  <c r="D239" i="2"/>
  <c r="E239" i="2"/>
  <c r="F239" i="2"/>
  <c r="D279" i="4"/>
  <c r="M279" i="4" s="1"/>
  <c r="E279" i="4"/>
  <c r="N279" i="4" s="1"/>
  <c r="T239" i="2"/>
  <c r="L239" i="2"/>
  <c r="M239" i="2"/>
  <c r="N239" i="2"/>
  <c r="Z240" i="2" s="1"/>
  <c r="P239" i="2"/>
  <c r="H279" i="4" s="1"/>
  <c r="P279" i="4" s="1"/>
  <c r="A240" i="2"/>
  <c r="A240" i="3" s="1"/>
  <c r="B240" i="2"/>
  <c r="B240" i="3" s="1"/>
  <c r="C240" i="2"/>
  <c r="D240" i="2"/>
  <c r="E240" i="2"/>
  <c r="F240" i="2"/>
  <c r="E281" i="4"/>
  <c r="N281" i="4" s="1"/>
  <c r="T240" i="2"/>
  <c r="K240" i="2"/>
  <c r="L240" i="2"/>
  <c r="M240" i="2"/>
  <c r="N240" i="2"/>
  <c r="P240" i="2"/>
  <c r="H281" i="4" s="1"/>
  <c r="P281" i="4" s="1"/>
  <c r="A241" i="2"/>
  <c r="A241" i="3" s="1"/>
  <c r="B241" i="2"/>
  <c r="B241" i="3" s="1"/>
  <c r="C241" i="2"/>
  <c r="D241" i="2"/>
  <c r="E241" i="2"/>
  <c r="F241" i="2"/>
  <c r="T241" i="2"/>
  <c r="L241" i="2"/>
  <c r="M241" i="2"/>
  <c r="N241" i="2"/>
  <c r="P241" i="2"/>
  <c r="H282" i="4" s="1"/>
  <c r="P282" i="4" s="1"/>
  <c r="A242" i="2"/>
  <c r="A242" i="3" s="1"/>
  <c r="B242" i="2"/>
  <c r="B242" i="3" s="1"/>
  <c r="C242" i="2"/>
  <c r="D242" i="2"/>
  <c r="E242" i="2"/>
  <c r="F242" i="2"/>
  <c r="D283" i="4"/>
  <c r="M283" i="4" s="1"/>
  <c r="T242" i="2"/>
  <c r="L242" i="2"/>
  <c r="M242" i="2"/>
  <c r="N242" i="2"/>
  <c r="P242" i="2"/>
  <c r="H283" i="4" s="1"/>
  <c r="P283" i="4" s="1"/>
  <c r="A243" i="2"/>
  <c r="A243" i="3" s="1"/>
  <c r="B243" i="2"/>
  <c r="B243" i="3" s="1"/>
  <c r="C243" i="2"/>
  <c r="D243" i="2"/>
  <c r="E243" i="2"/>
  <c r="F243" i="2"/>
  <c r="D284" i="4"/>
  <c r="M284" i="4" s="1"/>
  <c r="E284" i="4"/>
  <c r="N284" i="4" s="1"/>
  <c r="T243" i="2"/>
  <c r="K243" i="2"/>
  <c r="L243" i="2"/>
  <c r="M243" i="2"/>
  <c r="N243" i="2"/>
  <c r="P243" i="2"/>
  <c r="H284" i="4" s="1"/>
  <c r="P284" i="4" s="1"/>
  <c r="A244" i="2"/>
  <c r="A244" i="3" s="1"/>
  <c r="B244" i="2"/>
  <c r="B244" i="3" s="1"/>
  <c r="C244" i="2"/>
  <c r="D244" i="2"/>
  <c r="E244" i="2"/>
  <c r="F244" i="2"/>
  <c r="E285" i="4"/>
  <c r="N285" i="4" s="1"/>
  <c r="K244" i="2"/>
  <c r="L244" i="2"/>
  <c r="M244" i="2"/>
  <c r="N244" i="2"/>
  <c r="P244" i="2"/>
  <c r="H285" i="4" s="1"/>
  <c r="P285" i="4" s="1"/>
  <c r="S244" i="2"/>
  <c r="T244" i="2"/>
  <c r="A245" i="2"/>
  <c r="A245" i="3" s="1"/>
  <c r="B245" i="2"/>
  <c r="B245" i="3" s="1"/>
  <c r="C245" i="2"/>
  <c r="D245" i="2"/>
  <c r="E245" i="2"/>
  <c r="F245" i="2"/>
  <c r="T245" i="2"/>
  <c r="L245" i="2"/>
  <c r="M245" i="2"/>
  <c r="N245" i="2"/>
  <c r="P245" i="2"/>
  <c r="H286" i="4" s="1"/>
  <c r="P286" i="4" s="1"/>
  <c r="A246" i="2"/>
  <c r="A246" i="3" s="1"/>
  <c r="B246" i="2"/>
  <c r="B246" i="3" s="1"/>
  <c r="C246" i="2"/>
  <c r="D246" i="2"/>
  <c r="E246" i="2"/>
  <c r="F246" i="2"/>
  <c r="D287" i="4"/>
  <c r="M287" i="4" s="1"/>
  <c r="T246" i="2"/>
  <c r="L246" i="2"/>
  <c r="M246" i="2"/>
  <c r="N246" i="2"/>
  <c r="P246" i="2"/>
  <c r="H287" i="4" s="1"/>
  <c r="P287" i="4" s="1"/>
  <c r="A247" i="2"/>
  <c r="A247" i="3" s="1"/>
  <c r="B247" i="2"/>
  <c r="B247" i="3" s="1"/>
  <c r="C247" i="2"/>
  <c r="D247" i="2"/>
  <c r="E247" i="2"/>
  <c r="F247" i="2"/>
  <c r="D288" i="4"/>
  <c r="E288" i="4"/>
  <c r="K247" i="2"/>
  <c r="J247" i="2" s="1"/>
  <c r="L247" i="2"/>
  <c r="M247" i="2"/>
  <c r="N247" i="2"/>
  <c r="G288" i="4" s="1"/>
  <c r="P247" i="2"/>
  <c r="H288" i="4" s="1"/>
  <c r="P288" i="4" s="1"/>
  <c r="A248" i="2"/>
  <c r="A248" i="3" s="1"/>
  <c r="B248" i="2"/>
  <c r="B248" i="3" s="1"/>
  <c r="C248" i="2"/>
  <c r="D248" i="2"/>
  <c r="E248" i="2"/>
  <c r="F248" i="2"/>
  <c r="E290" i="4"/>
  <c r="K248" i="2"/>
  <c r="J248" i="2" s="1"/>
  <c r="L248" i="2"/>
  <c r="M248" i="2"/>
  <c r="N248" i="2"/>
  <c r="G290" i="4" s="1"/>
  <c r="P248" i="2"/>
  <c r="H290" i="4" s="1"/>
  <c r="P290" i="4" s="1"/>
  <c r="A249" i="2"/>
  <c r="A249" i="3" s="1"/>
  <c r="B249" i="2"/>
  <c r="B249" i="3" s="1"/>
  <c r="C249" i="2"/>
  <c r="D249" i="2"/>
  <c r="E249" i="2"/>
  <c r="F249" i="2"/>
  <c r="T249" i="2"/>
  <c r="K249" i="2"/>
  <c r="L249" i="2"/>
  <c r="M249" i="2"/>
  <c r="N249" i="2"/>
  <c r="P249" i="2"/>
  <c r="H292" i="4" s="1"/>
  <c r="P292" i="4" s="1"/>
  <c r="A250" i="2"/>
  <c r="A250" i="3" s="1"/>
  <c r="B250" i="2"/>
  <c r="B250" i="3" s="1"/>
  <c r="C250" i="2"/>
  <c r="D250" i="2"/>
  <c r="E250" i="2"/>
  <c r="F250" i="2"/>
  <c r="D293" i="4"/>
  <c r="M293" i="4" s="1"/>
  <c r="T250" i="2"/>
  <c r="L250" i="2"/>
  <c r="M250" i="2"/>
  <c r="N250" i="2"/>
  <c r="P250" i="2"/>
  <c r="H293" i="4" s="1"/>
  <c r="P293" i="4" s="1"/>
  <c r="A251" i="2"/>
  <c r="A251" i="3" s="1"/>
  <c r="B251" i="2"/>
  <c r="B251" i="3" s="1"/>
  <c r="C251" i="2"/>
  <c r="D251" i="2"/>
  <c r="E251" i="2"/>
  <c r="D295" i="4"/>
  <c r="M295" i="4" s="1"/>
  <c r="E295" i="4"/>
  <c r="N295" i="4" s="1"/>
  <c r="T251" i="2"/>
  <c r="L251" i="2"/>
  <c r="M251" i="2"/>
  <c r="N251" i="2"/>
  <c r="P251" i="2"/>
  <c r="H295" i="4" s="1"/>
  <c r="P295" i="4" s="1"/>
  <c r="A252" i="2"/>
  <c r="A252" i="3" s="1"/>
  <c r="B252" i="2"/>
  <c r="B252" i="3" s="1"/>
  <c r="E297" i="4"/>
  <c r="N297" i="4" s="1"/>
  <c r="T252" i="2"/>
  <c r="K252" i="2"/>
  <c r="L252" i="2"/>
  <c r="M252" i="2"/>
  <c r="N252" i="2"/>
  <c r="P252" i="2"/>
  <c r="H297" i="4" s="1"/>
  <c r="P297" i="4" s="1"/>
  <c r="A253" i="2"/>
  <c r="A253" i="3" s="1"/>
  <c r="B253" i="2"/>
  <c r="B253" i="3" s="1"/>
  <c r="C253" i="2"/>
  <c r="D253" i="2"/>
  <c r="E253" i="2"/>
  <c r="F253" i="2"/>
  <c r="T253" i="2"/>
  <c r="L253" i="2"/>
  <c r="M253" i="2"/>
  <c r="N253" i="2"/>
  <c r="P253" i="2"/>
  <c r="H298" i="4" s="1"/>
  <c r="P298" i="4" s="1"/>
  <c r="A254" i="2"/>
  <c r="A254" i="3" s="1"/>
  <c r="B254" i="2"/>
  <c r="B254" i="3" s="1"/>
  <c r="C254" i="2"/>
  <c r="D254" i="2"/>
  <c r="F254" i="2"/>
  <c r="D300" i="4"/>
  <c r="M300" i="4" s="1"/>
  <c r="T254" i="2"/>
  <c r="L254" i="2"/>
  <c r="M254" i="2"/>
  <c r="N254" i="2"/>
  <c r="P254" i="2"/>
  <c r="H300" i="4" s="1"/>
  <c r="P300" i="4" s="1"/>
  <c r="A255" i="2"/>
  <c r="A255" i="3" s="1"/>
  <c r="B255" i="2"/>
  <c r="B255" i="3" s="1"/>
  <c r="D302" i="4"/>
  <c r="M302" i="4" s="1"/>
  <c r="E302" i="4"/>
  <c r="N302" i="4" s="1"/>
  <c r="T255" i="2"/>
  <c r="K255" i="2"/>
  <c r="L255" i="2"/>
  <c r="M255" i="2"/>
  <c r="N255" i="2"/>
  <c r="P255" i="2"/>
  <c r="H302" i="4" s="1"/>
  <c r="P302" i="4" s="1"/>
  <c r="S255" i="2"/>
  <c r="A256" i="2"/>
  <c r="A256" i="3" s="1"/>
  <c r="B256" i="2"/>
  <c r="B256" i="3" s="1"/>
  <c r="C256" i="2"/>
  <c r="D256" i="2"/>
  <c r="E256" i="2"/>
  <c r="F256" i="2"/>
  <c r="E303" i="4"/>
  <c r="N303" i="4" s="1"/>
  <c r="K256" i="2"/>
  <c r="L256" i="2"/>
  <c r="M256" i="2"/>
  <c r="N256" i="2"/>
  <c r="P256" i="2"/>
  <c r="H303" i="4" s="1"/>
  <c r="P303" i="4" s="1"/>
  <c r="S256" i="2"/>
  <c r="T256" i="2"/>
  <c r="A257" i="2"/>
  <c r="A257" i="3" s="1"/>
  <c r="B257" i="2"/>
  <c r="B257" i="3" s="1"/>
  <c r="C257" i="2"/>
  <c r="D257" i="2"/>
  <c r="E257" i="2"/>
  <c r="F257" i="2"/>
  <c r="T257" i="2"/>
  <c r="K257" i="2"/>
  <c r="L257" i="2"/>
  <c r="M257" i="2"/>
  <c r="N257" i="2"/>
  <c r="P257" i="2"/>
  <c r="H304" i="4" s="1"/>
  <c r="P304" i="4" s="1"/>
  <c r="A258" i="2"/>
  <c r="A258" i="3" s="1"/>
  <c r="B258" i="2"/>
  <c r="B258" i="3" s="1"/>
  <c r="C258" i="2"/>
  <c r="D258" i="2"/>
  <c r="E258" i="2"/>
  <c r="F258" i="2"/>
  <c r="D305" i="4"/>
  <c r="M305" i="4" s="1"/>
  <c r="T258" i="2"/>
  <c r="K258" i="2"/>
  <c r="L258" i="2"/>
  <c r="M258" i="2"/>
  <c r="N258" i="2"/>
  <c r="P258" i="2"/>
  <c r="H305" i="4" s="1"/>
  <c r="P305" i="4" s="1"/>
  <c r="A259" i="2"/>
  <c r="A259" i="3" s="1"/>
  <c r="B259" i="2"/>
  <c r="B259" i="3" s="1"/>
  <c r="C259" i="2"/>
  <c r="E259" i="2"/>
  <c r="F259" i="2"/>
  <c r="D306" i="4"/>
  <c r="M306" i="4" s="1"/>
  <c r="E306" i="4"/>
  <c r="N306" i="4" s="1"/>
  <c r="T259" i="2"/>
  <c r="D259" i="3" s="1"/>
  <c r="L259" i="2"/>
  <c r="M259" i="2"/>
  <c r="N259" i="2"/>
  <c r="P259" i="2"/>
  <c r="H306" i="4" s="1"/>
  <c r="P306" i="4" s="1"/>
  <c r="A260" i="2"/>
  <c r="A260" i="3" s="1"/>
  <c r="B260" i="2"/>
  <c r="B260" i="3" s="1"/>
  <c r="D260" i="2"/>
  <c r="E260" i="2"/>
  <c r="F260" i="2"/>
  <c r="E307" i="4"/>
  <c r="N307" i="4" s="1"/>
  <c r="T260" i="2"/>
  <c r="L260" i="2"/>
  <c r="M260" i="2"/>
  <c r="N260" i="2"/>
  <c r="P260" i="2"/>
  <c r="H307" i="4" s="1"/>
  <c r="P307" i="4" s="1"/>
  <c r="A261" i="2"/>
  <c r="A261" i="3" s="1"/>
  <c r="B261" i="2"/>
  <c r="B261" i="3" s="1"/>
  <c r="C261" i="2"/>
  <c r="D261" i="2"/>
  <c r="E261" i="2"/>
  <c r="F261" i="2"/>
  <c r="T261" i="2"/>
  <c r="L261" i="2"/>
  <c r="M261" i="2"/>
  <c r="N261" i="2"/>
  <c r="P261" i="2"/>
  <c r="H308" i="4" s="1"/>
  <c r="P308" i="4" s="1"/>
  <c r="A262" i="2"/>
  <c r="A262" i="3" s="1"/>
  <c r="B262" i="2"/>
  <c r="B262" i="3" s="1"/>
  <c r="C262" i="2"/>
  <c r="D262" i="2"/>
  <c r="E262" i="2"/>
  <c r="F262" i="2"/>
  <c r="D309" i="4"/>
  <c r="M309" i="4" s="1"/>
  <c r="T262" i="2"/>
  <c r="K262" i="2"/>
  <c r="L262" i="2"/>
  <c r="M262" i="2"/>
  <c r="N262" i="2"/>
  <c r="P262" i="2"/>
  <c r="H309" i="4" s="1"/>
  <c r="P309" i="4" s="1"/>
  <c r="A263" i="2"/>
  <c r="A263" i="3" s="1"/>
  <c r="B263" i="2"/>
  <c r="B263" i="3" s="1"/>
  <c r="C263" i="2"/>
  <c r="D263" i="2"/>
  <c r="E263" i="2"/>
  <c r="F263" i="2"/>
  <c r="D310" i="4"/>
  <c r="E310" i="4"/>
  <c r="N310" i="4" s="1"/>
  <c r="T263" i="2"/>
  <c r="L263" i="2"/>
  <c r="M263" i="2"/>
  <c r="N263" i="2"/>
  <c r="P263" i="2"/>
  <c r="H310" i="4" s="1"/>
  <c r="P310" i="4" s="1"/>
  <c r="A264" i="2"/>
  <c r="A264" i="3" s="1"/>
  <c r="B264" i="2"/>
  <c r="B264" i="3" s="1"/>
  <c r="C264" i="2"/>
  <c r="D264" i="2"/>
  <c r="E264" i="2"/>
  <c r="F264" i="2"/>
  <c r="E311" i="4"/>
  <c r="N311" i="4" s="1"/>
  <c r="T264" i="2"/>
  <c r="K264" i="2"/>
  <c r="L264" i="2"/>
  <c r="M264" i="2"/>
  <c r="N264" i="2"/>
  <c r="P264" i="2"/>
  <c r="H311" i="4" s="1"/>
  <c r="P311" i="4" s="1"/>
  <c r="A265" i="2"/>
  <c r="A265" i="3" s="1"/>
  <c r="B265" i="2"/>
  <c r="B265" i="3" s="1"/>
  <c r="C265" i="2"/>
  <c r="D265" i="2"/>
  <c r="E265" i="2"/>
  <c r="F265" i="2"/>
  <c r="T265" i="2"/>
  <c r="L265" i="2"/>
  <c r="M265" i="2"/>
  <c r="N265" i="2"/>
  <c r="P265" i="2"/>
  <c r="H312" i="4" s="1"/>
  <c r="P312" i="4" s="1"/>
  <c r="A266" i="2"/>
  <c r="A266" i="3" s="1"/>
  <c r="B266" i="2"/>
  <c r="B266" i="3" s="1"/>
  <c r="C266" i="2"/>
  <c r="D266" i="2"/>
  <c r="E266" i="2"/>
  <c r="F266" i="2"/>
  <c r="D313" i="4"/>
  <c r="M313" i="4" s="1"/>
  <c r="T266" i="2"/>
  <c r="K266" i="2"/>
  <c r="L266" i="2"/>
  <c r="M266" i="2"/>
  <c r="N266" i="2"/>
  <c r="P266" i="2"/>
  <c r="H313" i="4" s="1"/>
  <c r="P313" i="4" s="1"/>
  <c r="A267" i="2"/>
  <c r="A267" i="3" s="1"/>
  <c r="B267" i="2"/>
  <c r="B267" i="3" s="1"/>
  <c r="C267" i="2"/>
  <c r="D267" i="2"/>
  <c r="E267" i="2"/>
  <c r="F267" i="2"/>
  <c r="D314" i="4"/>
  <c r="M314" i="4" s="1"/>
  <c r="E314" i="4"/>
  <c r="N314" i="4" s="1"/>
  <c r="T267" i="2"/>
  <c r="L267" i="2"/>
  <c r="M267" i="2"/>
  <c r="N267" i="2"/>
  <c r="P267" i="2"/>
  <c r="H314" i="4" s="1"/>
  <c r="P314" i="4" s="1"/>
  <c r="A268" i="2"/>
  <c r="A268" i="3" s="1"/>
  <c r="B268" i="2"/>
  <c r="B268" i="3" s="1"/>
  <c r="E315" i="4"/>
  <c r="N315" i="4" s="1"/>
  <c r="T268" i="2"/>
  <c r="K268" i="2"/>
  <c r="L268" i="2"/>
  <c r="M268" i="2"/>
  <c r="N268" i="2"/>
  <c r="P268" i="2"/>
  <c r="H315" i="4" s="1"/>
  <c r="P315" i="4" s="1"/>
  <c r="A269" i="2"/>
  <c r="A269" i="3" s="1"/>
  <c r="B269" i="2"/>
  <c r="B269" i="3" s="1"/>
  <c r="T269" i="2"/>
  <c r="K269" i="2"/>
  <c r="L269" i="2"/>
  <c r="M269" i="2"/>
  <c r="N269" i="2"/>
  <c r="P269" i="2"/>
  <c r="H316" i="4" s="1"/>
  <c r="P316" i="4" s="1"/>
  <c r="A270" i="2"/>
  <c r="A270" i="3" s="1"/>
  <c r="B270" i="2"/>
  <c r="B270" i="3" s="1"/>
  <c r="D317" i="4"/>
  <c r="T270" i="2"/>
  <c r="K270" i="2"/>
  <c r="L270" i="2"/>
  <c r="M270" i="2"/>
  <c r="N270" i="2"/>
  <c r="P270" i="2"/>
  <c r="H317" i="4" s="1"/>
  <c r="P317" i="4" s="1"/>
  <c r="A271" i="2"/>
  <c r="A271" i="3" s="1"/>
  <c r="B271" i="2"/>
  <c r="B271" i="3" s="1"/>
  <c r="D318" i="4"/>
  <c r="E318" i="4"/>
  <c r="N318" i="4" s="1"/>
  <c r="T271" i="2"/>
  <c r="L271" i="2"/>
  <c r="M271" i="2"/>
  <c r="N271" i="2"/>
  <c r="P271" i="2"/>
  <c r="H318" i="4" s="1"/>
  <c r="P318" i="4" s="1"/>
  <c r="A272" i="2"/>
  <c r="A272" i="3" s="1"/>
  <c r="B272" i="2"/>
  <c r="B272" i="3" s="1"/>
  <c r="D320" i="4"/>
  <c r="M320" i="4" s="1"/>
  <c r="E320" i="4"/>
  <c r="N320" i="4" s="1"/>
  <c r="T272" i="2"/>
  <c r="L272" i="2"/>
  <c r="M272" i="2"/>
  <c r="N272" i="2"/>
  <c r="Z273" i="2" s="1"/>
  <c r="P272" i="2"/>
  <c r="H320" i="4" s="1"/>
  <c r="P320" i="4" s="1"/>
  <c r="A273" i="2"/>
  <c r="A273" i="3" s="1"/>
  <c r="B273" i="2"/>
  <c r="B273" i="3" s="1"/>
  <c r="T273" i="2"/>
  <c r="K273" i="2"/>
  <c r="L273" i="2"/>
  <c r="M273" i="2"/>
  <c r="N273" i="2"/>
  <c r="P273" i="2"/>
  <c r="H322" i="4" s="1"/>
  <c r="P322" i="4" s="1"/>
  <c r="A274" i="2"/>
  <c r="A274" i="3" s="1"/>
  <c r="B274" i="2"/>
  <c r="B274" i="3" s="1"/>
  <c r="T274" i="2"/>
  <c r="K274" i="2"/>
  <c r="L274" i="2"/>
  <c r="M274" i="2"/>
  <c r="N274" i="2"/>
  <c r="P274" i="2"/>
  <c r="H323" i="4" s="1"/>
  <c r="P323" i="4" s="1"/>
  <c r="A275" i="2"/>
  <c r="A275" i="3" s="1"/>
  <c r="B275" i="2"/>
  <c r="B275" i="3" s="1"/>
  <c r="D324" i="4"/>
  <c r="E324" i="4"/>
  <c r="N324" i="4" s="1"/>
  <c r="T275" i="2"/>
  <c r="L275" i="2"/>
  <c r="M275" i="2"/>
  <c r="N275" i="2"/>
  <c r="P275" i="2"/>
  <c r="H324" i="4" s="1"/>
  <c r="P324" i="4" s="1"/>
  <c r="A276" i="2"/>
  <c r="A276" i="3" s="1"/>
  <c r="B276" i="2"/>
  <c r="B276" i="3" s="1"/>
  <c r="D325" i="4"/>
  <c r="E325" i="4"/>
  <c r="N325" i="4" s="1"/>
  <c r="T276" i="2"/>
  <c r="L276" i="2"/>
  <c r="M276" i="2"/>
  <c r="N276" i="2"/>
  <c r="P276" i="2"/>
  <c r="H325" i="4" s="1"/>
  <c r="P325" i="4" s="1"/>
  <c r="A277" i="2"/>
  <c r="A277" i="3" s="1"/>
  <c r="B277" i="2"/>
  <c r="B277" i="3" s="1"/>
  <c r="T277" i="2"/>
  <c r="K277" i="2"/>
  <c r="C277" i="3" s="1"/>
  <c r="L277" i="2"/>
  <c r="M277" i="2"/>
  <c r="N277" i="2"/>
  <c r="P277" i="2"/>
  <c r="H326" i="4" s="1"/>
  <c r="P326" i="4" s="1"/>
  <c r="A278" i="2"/>
  <c r="A278" i="3" s="1"/>
  <c r="B278" i="2"/>
  <c r="B278" i="3" s="1"/>
  <c r="T278" i="2"/>
  <c r="K278" i="2"/>
  <c r="C278" i="3" s="1"/>
  <c r="L278" i="2"/>
  <c r="M278" i="2"/>
  <c r="N278" i="2"/>
  <c r="P278" i="2"/>
  <c r="H327" i="4" s="1"/>
  <c r="P327" i="4" s="1"/>
  <c r="A279" i="2"/>
  <c r="A279" i="3" s="1"/>
  <c r="B279" i="2"/>
  <c r="B279" i="3" s="1"/>
  <c r="D329" i="4"/>
  <c r="M329" i="4" s="1"/>
  <c r="E329" i="4"/>
  <c r="N329" i="4" s="1"/>
  <c r="T279" i="2"/>
  <c r="L279" i="2"/>
  <c r="M279" i="2"/>
  <c r="N279" i="2"/>
  <c r="Z280" i="2" s="1"/>
  <c r="P279" i="2"/>
  <c r="H329" i="4" s="1"/>
  <c r="P329" i="4" s="1"/>
  <c r="A280" i="2"/>
  <c r="A280" i="3" s="1"/>
  <c r="B280" i="2"/>
  <c r="B280" i="3" s="1"/>
  <c r="D330" i="4"/>
  <c r="M330" i="4" s="1"/>
  <c r="E330" i="4"/>
  <c r="N330" i="4" s="1"/>
  <c r="T280" i="2"/>
  <c r="K280" i="2"/>
  <c r="L280" i="2"/>
  <c r="M280" i="2"/>
  <c r="N280" i="2"/>
  <c r="Z281" i="2" s="1"/>
  <c r="P280" i="2"/>
  <c r="H330" i="4" s="1"/>
  <c r="P330" i="4" s="1"/>
  <c r="A281" i="2"/>
  <c r="A281" i="3" s="1"/>
  <c r="B281" i="2"/>
  <c r="B281" i="3" s="1"/>
  <c r="C281" i="2"/>
  <c r="D281" i="2"/>
  <c r="E281" i="2"/>
  <c r="F281" i="2"/>
  <c r="K281" i="2"/>
  <c r="J281" i="2" s="1"/>
  <c r="L281" i="2"/>
  <c r="M281" i="2"/>
  <c r="N281" i="2"/>
  <c r="P281" i="2"/>
  <c r="K279" i="1"/>
  <c r="F329" i="4" s="1"/>
  <c r="K276" i="1"/>
  <c r="F325" i="4" s="1"/>
  <c r="K275" i="1"/>
  <c r="F324" i="4" s="1"/>
  <c r="K272" i="1"/>
  <c r="F320" i="4" s="1"/>
  <c r="K271" i="1"/>
  <c r="F318" i="4" s="1"/>
  <c r="K267" i="1"/>
  <c r="F314" i="4" s="1"/>
  <c r="K265" i="1"/>
  <c r="F312" i="4" s="1"/>
  <c r="K263" i="1"/>
  <c r="F310" i="4" s="1"/>
  <c r="K261" i="1"/>
  <c r="F308" i="4" s="1"/>
  <c r="K260" i="1"/>
  <c r="F307" i="4" s="1"/>
  <c r="K259" i="1"/>
  <c r="F306" i="4" s="1"/>
  <c r="K256" i="1"/>
  <c r="F303" i="4" s="1"/>
  <c r="K254" i="1"/>
  <c r="F300" i="4" s="1"/>
  <c r="K253" i="1"/>
  <c r="F298" i="4" s="1"/>
  <c r="K251" i="1"/>
  <c r="F295" i="4" s="1"/>
  <c r="K250" i="1"/>
  <c r="F293" i="4" s="1"/>
  <c r="K249" i="1"/>
  <c r="F292" i="4" s="1"/>
  <c r="K246" i="1"/>
  <c r="F287" i="4" s="1"/>
  <c r="K245" i="1"/>
  <c r="F286" i="4" s="1"/>
  <c r="K242" i="1"/>
  <c r="F283" i="4" s="1"/>
  <c r="K241" i="1"/>
  <c r="F282" i="4" s="1"/>
  <c r="K239" i="1"/>
  <c r="F279" i="4" s="1"/>
  <c r="K238" i="1"/>
  <c r="F277" i="4" s="1"/>
  <c r="K239" i="2" l="1"/>
  <c r="K265" i="2"/>
  <c r="K261" i="2"/>
  <c r="K260" i="2"/>
  <c r="K245" i="2"/>
  <c r="K242" i="2"/>
  <c r="W242" i="2" s="1"/>
  <c r="K279" i="2"/>
  <c r="K275" i="2"/>
  <c r="K271" i="2"/>
  <c r="K267" i="2"/>
  <c r="K263" i="2"/>
  <c r="K259" i="2"/>
  <c r="K254" i="2"/>
  <c r="K250" i="2"/>
  <c r="W250" i="2" s="1"/>
  <c r="K241" i="2"/>
  <c r="K253" i="2"/>
  <c r="K276" i="2"/>
  <c r="K272" i="2"/>
  <c r="J272" i="2" s="1"/>
  <c r="C272" i="3" s="1"/>
  <c r="K251" i="2"/>
  <c r="J251" i="2" s="1"/>
  <c r="U251" i="2" s="1"/>
  <c r="K246" i="2"/>
  <c r="G326" i="4"/>
  <c r="O326" i="4" s="1"/>
  <c r="Z278" i="2"/>
  <c r="C261" i="3"/>
  <c r="G305" i="4"/>
  <c r="Z259" i="2"/>
  <c r="C257" i="3"/>
  <c r="G302" i="4"/>
  <c r="Z256" i="2"/>
  <c r="G295" i="4"/>
  <c r="O295" i="4" s="1"/>
  <c r="Z252" i="2"/>
  <c r="G287" i="4"/>
  <c r="Z249" i="2"/>
  <c r="Z247" i="2"/>
  <c r="G315" i="4"/>
  <c r="Z269" i="2"/>
  <c r="G311" i="4"/>
  <c r="Z265" i="2"/>
  <c r="G308" i="4"/>
  <c r="Z262" i="2"/>
  <c r="G307" i="4"/>
  <c r="Z261" i="2"/>
  <c r="G304" i="4"/>
  <c r="Z258" i="2"/>
  <c r="C241" i="3"/>
  <c r="G324" i="4"/>
  <c r="Z276" i="2"/>
  <c r="G318" i="4"/>
  <c r="Z272" i="2"/>
  <c r="G314" i="4"/>
  <c r="Z268" i="2"/>
  <c r="G310" i="4"/>
  <c r="Z264" i="2"/>
  <c r="G306" i="4"/>
  <c r="Z260" i="2"/>
  <c r="E259" i="3"/>
  <c r="G300" i="4"/>
  <c r="O300" i="4" s="1"/>
  <c r="Z255" i="2"/>
  <c r="C253" i="3"/>
  <c r="G293" i="4"/>
  <c r="Z251" i="2"/>
  <c r="C249" i="3"/>
  <c r="G282" i="4"/>
  <c r="Z242" i="2"/>
  <c r="G281" i="4"/>
  <c r="Z241" i="2"/>
  <c r="G327" i="4"/>
  <c r="O327" i="4" s="1"/>
  <c r="Z279" i="2"/>
  <c r="G325" i="4"/>
  <c r="Z277" i="2"/>
  <c r="G323" i="4"/>
  <c r="Z275" i="2"/>
  <c r="G322" i="4"/>
  <c r="Z274" i="2"/>
  <c r="G317" i="4"/>
  <c r="Z271" i="2"/>
  <c r="C269" i="3"/>
  <c r="X269" i="2"/>
  <c r="G313" i="4"/>
  <c r="Z267" i="2"/>
  <c r="C265" i="3"/>
  <c r="G309" i="4"/>
  <c r="Z263" i="2"/>
  <c r="C245" i="3"/>
  <c r="G316" i="4"/>
  <c r="Z270" i="2"/>
  <c r="G312" i="4"/>
  <c r="Z266" i="2"/>
  <c r="C250" i="3"/>
  <c r="G286" i="4"/>
  <c r="Z246" i="2"/>
  <c r="G283" i="4"/>
  <c r="Z243" i="2"/>
  <c r="J280" i="2"/>
  <c r="C274" i="3"/>
  <c r="C273" i="3"/>
  <c r="C270" i="3"/>
  <c r="C266" i="3"/>
  <c r="C262" i="3"/>
  <c r="X262" i="2"/>
  <c r="G303" i="4"/>
  <c r="Z257" i="2"/>
  <c r="C255" i="3"/>
  <c r="G298" i="4"/>
  <c r="Z254" i="2"/>
  <c r="G297" i="4"/>
  <c r="Z253" i="2"/>
  <c r="G292" i="4"/>
  <c r="Z250" i="2"/>
  <c r="C246" i="3"/>
  <c r="G285" i="4"/>
  <c r="Z245" i="2"/>
  <c r="G284" i="4"/>
  <c r="Z244" i="2"/>
  <c r="R250" i="2"/>
  <c r="Y250" i="2" s="1"/>
  <c r="D250" i="3" s="1"/>
  <c r="S271" i="2"/>
  <c r="S260" i="2"/>
  <c r="R263" i="2"/>
  <c r="Y263" i="2" s="1"/>
  <c r="D263" i="3" s="1"/>
  <c r="E263" i="3" s="1"/>
  <c r="C254" i="3"/>
  <c r="S267" i="2"/>
  <c r="S252" i="2"/>
  <c r="S240" i="2"/>
  <c r="S272" i="2"/>
  <c r="C264" i="3"/>
  <c r="C243" i="3"/>
  <c r="S263" i="2"/>
  <c r="R239" i="2"/>
  <c r="S275" i="2"/>
  <c r="O310" i="4"/>
  <c r="W276" i="2"/>
  <c r="O324" i="4"/>
  <c r="O318" i="4"/>
  <c r="U277" i="2"/>
  <c r="O325" i="4"/>
  <c r="S264" i="2"/>
  <c r="R259" i="2"/>
  <c r="R251" i="2"/>
  <c r="Y251" i="2" s="1"/>
  <c r="D251" i="3" s="1"/>
  <c r="S243" i="2"/>
  <c r="M310" i="4"/>
  <c r="S280" i="2"/>
  <c r="R275" i="2"/>
  <c r="Y275" i="2" s="1"/>
  <c r="D275" i="3" s="1"/>
  <c r="E275" i="3" s="1"/>
  <c r="R271" i="2"/>
  <c r="Y271" i="2" s="1"/>
  <c r="D271" i="3" s="1"/>
  <c r="E271" i="3" s="1"/>
  <c r="M324" i="4"/>
  <c r="S276" i="2"/>
  <c r="C252" i="3"/>
  <c r="R246" i="2"/>
  <c r="Y246" i="2" s="1"/>
  <c r="D246" i="3" s="1"/>
  <c r="R242" i="2"/>
  <c r="Y242" i="2" s="1"/>
  <c r="D242" i="3" s="1"/>
  <c r="C259" i="3"/>
  <c r="R279" i="2"/>
  <c r="Y279" i="2" s="1"/>
  <c r="D279" i="3" s="1"/>
  <c r="S278" i="2"/>
  <c r="E327" i="4"/>
  <c r="N327" i="4" s="1"/>
  <c r="S277" i="2"/>
  <c r="E326" i="4"/>
  <c r="N326" i="4" s="1"/>
  <c r="C275" i="3"/>
  <c r="S274" i="2"/>
  <c r="E323" i="4"/>
  <c r="N323" i="4" s="1"/>
  <c r="W271" i="2"/>
  <c r="C271" i="3"/>
  <c r="R270" i="2"/>
  <c r="Y270" i="2" s="1"/>
  <c r="D270" i="3" s="1"/>
  <c r="E270" i="3" s="1"/>
  <c r="S270" i="2"/>
  <c r="E317" i="4"/>
  <c r="N317" i="4" s="1"/>
  <c r="R266" i="2"/>
  <c r="S266" i="2"/>
  <c r="E313" i="4"/>
  <c r="N313" i="4" s="1"/>
  <c r="R264" i="2"/>
  <c r="D311" i="4"/>
  <c r="W263" i="2"/>
  <c r="C263" i="3"/>
  <c r="R261" i="2"/>
  <c r="Y261" i="2" s="1"/>
  <c r="D261" i="3" s="1"/>
  <c r="D308" i="4"/>
  <c r="S257" i="2"/>
  <c r="E304" i="4"/>
  <c r="N304" i="4" s="1"/>
  <c r="R252" i="2"/>
  <c r="D297" i="4"/>
  <c r="R249" i="2"/>
  <c r="D292" i="4"/>
  <c r="S239" i="2"/>
  <c r="G279" i="4"/>
  <c r="O279" i="4" s="1"/>
  <c r="M318" i="4"/>
  <c r="O306" i="4"/>
  <c r="R278" i="2"/>
  <c r="Y278" i="2" s="1"/>
  <c r="D278" i="3" s="1"/>
  <c r="D327" i="4"/>
  <c r="M327" i="4" s="1"/>
  <c r="R277" i="2"/>
  <c r="Y277" i="2" s="1"/>
  <c r="D277" i="3" s="1"/>
  <c r="E277" i="3" s="1"/>
  <c r="D326" i="4"/>
  <c r="M326" i="4" s="1"/>
  <c r="R268" i="2"/>
  <c r="D315" i="4"/>
  <c r="C267" i="3"/>
  <c r="S265" i="2"/>
  <c r="E312" i="4"/>
  <c r="N312" i="4" s="1"/>
  <c r="W264" i="2"/>
  <c r="C258" i="3"/>
  <c r="R257" i="2"/>
  <c r="D304" i="4"/>
  <c r="S245" i="2"/>
  <c r="E286" i="4"/>
  <c r="N286" i="4" s="1"/>
  <c r="R274" i="2"/>
  <c r="Y274" i="2" s="1"/>
  <c r="D274" i="3" s="1"/>
  <c r="D323" i="4"/>
  <c r="S273" i="2"/>
  <c r="E322" i="4"/>
  <c r="N322" i="4" s="1"/>
  <c r="R260" i="2"/>
  <c r="D307" i="4"/>
  <c r="S253" i="2"/>
  <c r="E298" i="4"/>
  <c r="N298" i="4" s="1"/>
  <c r="W252" i="2"/>
  <c r="S246" i="2"/>
  <c r="E287" i="4"/>
  <c r="N287" i="4" s="1"/>
  <c r="S242" i="2"/>
  <c r="E283" i="4"/>
  <c r="N283" i="4" s="1"/>
  <c r="R240" i="2"/>
  <c r="D281" i="4"/>
  <c r="C280" i="3"/>
  <c r="G330" i="4"/>
  <c r="O330" i="4" s="1"/>
  <c r="S269" i="2"/>
  <c r="E316" i="4"/>
  <c r="N316" i="4" s="1"/>
  <c r="X268" i="2"/>
  <c r="R267" i="2"/>
  <c r="Y267" i="2" s="1"/>
  <c r="D267" i="3" s="1"/>
  <c r="R265" i="2"/>
  <c r="Y265" i="2" s="1"/>
  <c r="D265" i="3" s="1"/>
  <c r="E265" i="3" s="1"/>
  <c r="D312" i="4"/>
  <c r="R255" i="2"/>
  <c r="Y255" i="2" s="1"/>
  <c r="D255" i="3" s="1"/>
  <c r="R253" i="2"/>
  <c r="Y253" i="2" s="1"/>
  <c r="D253" i="3" s="1"/>
  <c r="D298" i="4"/>
  <c r="S250" i="2"/>
  <c r="E293" i="4"/>
  <c r="N293" i="4" s="1"/>
  <c r="D290" i="4"/>
  <c r="R245" i="2"/>
  <c r="D286" i="4"/>
  <c r="R243" i="2"/>
  <c r="S241" i="2"/>
  <c r="E282" i="4"/>
  <c r="N282" i="4" s="1"/>
  <c r="U278" i="2"/>
  <c r="M325" i="4"/>
  <c r="M317" i="4"/>
  <c r="R276" i="2"/>
  <c r="Y276" i="2" s="1"/>
  <c r="D276" i="3" s="1"/>
  <c r="E276" i="3" s="1"/>
  <c r="R273" i="2"/>
  <c r="Y273" i="2" s="1"/>
  <c r="D273" i="3" s="1"/>
  <c r="E273" i="3" s="1"/>
  <c r="D322" i="4"/>
  <c r="G320" i="4"/>
  <c r="O320" i="4" s="1"/>
  <c r="R280" i="2"/>
  <c r="Y280" i="2" s="1"/>
  <c r="D280" i="3" s="1"/>
  <c r="S279" i="2"/>
  <c r="C279" i="3"/>
  <c r="G329" i="4"/>
  <c r="O329" i="4" s="1"/>
  <c r="X274" i="2"/>
  <c r="R272" i="2"/>
  <c r="Y272" i="2" s="1"/>
  <c r="D272" i="3" s="1"/>
  <c r="R269" i="2"/>
  <c r="Y269" i="2" s="1"/>
  <c r="D269" i="3" s="1"/>
  <c r="D316" i="4"/>
  <c r="S268" i="2"/>
  <c r="R262" i="2"/>
  <c r="S262" i="2"/>
  <c r="E309" i="4"/>
  <c r="N309" i="4" s="1"/>
  <c r="S261" i="2"/>
  <c r="E308" i="4"/>
  <c r="N308" i="4" s="1"/>
  <c r="S259" i="2"/>
  <c r="R258" i="2"/>
  <c r="Y258" i="2" s="1"/>
  <c r="D258" i="3" s="1"/>
  <c r="E258" i="3" s="1"/>
  <c r="S258" i="2"/>
  <c r="E305" i="4"/>
  <c r="R256" i="2"/>
  <c r="Y256" i="2" s="1"/>
  <c r="D256" i="3" s="1"/>
  <c r="E256" i="3" s="1"/>
  <c r="D303" i="4"/>
  <c r="R254" i="2"/>
  <c r="Y254" i="2" s="1"/>
  <c r="D254" i="3" s="1"/>
  <c r="S254" i="2"/>
  <c r="E300" i="4"/>
  <c r="N300" i="4" s="1"/>
  <c r="S251" i="2"/>
  <c r="S249" i="2"/>
  <c r="E292" i="4"/>
  <c r="N292" i="4" s="1"/>
  <c r="R244" i="2"/>
  <c r="Y244" i="2" s="1"/>
  <c r="D244" i="3" s="1"/>
  <c r="E244" i="3" s="1"/>
  <c r="D285" i="4"/>
  <c r="C242" i="3"/>
  <c r="R241" i="2"/>
  <c r="D282" i="4"/>
  <c r="U254" i="2"/>
  <c r="O284" i="4"/>
  <c r="O314" i="4"/>
  <c r="O302" i="4"/>
  <c r="W273" i="2"/>
  <c r="C260" i="3"/>
  <c r="C244" i="3"/>
  <c r="X275" i="2"/>
  <c r="X271" i="2"/>
  <c r="C256" i="3"/>
  <c r="X252" i="2"/>
  <c r="X241" i="2"/>
  <c r="C240" i="3"/>
  <c r="F280" i="1"/>
  <c r="F280" i="2" s="1"/>
  <c r="E280" i="1"/>
  <c r="E280" i="2" s="1"/>
  <c r="D280" i="1"/>
  <c r="D280" i="2" s="1"/>
  <c r="C280" i="1"/>
  <c r="C280" i="2" s="1"/>
  <c r="F279" i="1"/>
  <c r="F279" i="2" s="1"/>
  <c r="E279" i="1"/>
  <c r="E279" i="2" s="1"/>
  <c r="D279" i="1"/>
  <c r="D279" i="2" s="1"/>
  <c r="C279" i="1"/>
  <c r="C279" i="2" s="1"/>
  <c r="F278" i="1"/>
  <c r="F278" i="2" s="1"/>
  <c r="E278" i="1"/>
  <c r="E278" i="2" s="1"/>
  <c r="D278" i="1"/>
  <c r="D278" i="2" s="1"/>
  <c r="C278" i="1"/>
  <c r="C278" i="2" s="1"/>
  <c r="F277" i="1"/>
  <c r="F277" i="2" s="1"/>
  <c r="E277" i="1"/>
  <c r="E277" i="2" s="1"/>
  <c r="D277" i="1"/>
  <c r="D277" i="2" s="1"/>
  <c r="C277" i="1"/>
  <c r="C277" i="2" s="1"/>
  <c r="F276" i="1"/>
  <c r="F276" i="2" s="1"/>
  <c r="E276" i="1"/>
  <c r="E276" i="2" s="1"/>
  <c r="D276" i="1"/>
  <c r="D276" i="2" s="1"/>
  <c r="C276" i="1"/>
  <c r="C276" i="2" s="1"/>
  <c r="F275" i="1"/>
  <c r="F275" i="2" s="1"/>
  <c r="E275" i="1"/>
  <c r="E275" i="2" s="1"/>
  <c r="D275" i="1"/>
  <c r="D275" i="2" s="1"/>
  <c r="C275" i="1"/>
  <c r="C275" i="2" s="1"/>
  <c r="F274" i="1"/>
  <c r="F274" i="2" s="1"/>
  <c r="E274" i="1"/>
  <c r="E274" i="2" s="1"/>
  <c r="D274" i="1"/>
  <c r="D274" i="2" s="1"/>
  <c r="C274" i="1"/>
  <c r="C274" i="2" s="1"/>
  <c r="F273" i="1"/>
  <c r="F273" i="2" s="1"/>
  <c r="E273" i="1"/>
  <c r="E273" i="2" s="1"/>
  <c r="D273" i="1"/>
  <c r="D273" i="2" s="1"/>
  <c r="C273" i="1"/>
  <c r="C273" i="2" s="1"/>
  <c r="F272" i="1"/>
  <c r="F272" i="2" s="1"/>
  <c r="E272" i="1"/>
  <c r="E272" i="2" s="1"/>
  <c r="D272" i="1"/>
  <c r="D272" i="2" s="1"/>
  <c r="C272" i="1"/>
  <c r="C272" i="2" s="1"/>
  <c r="F271" i="1"/>
  <c r="F271" i="2" s="1"/>
  <c r="E271" i="1"/>
  <c r="E271" i="2" s="1"/>
  <c r="D271" i="1"/>
  <c r="D271" i="2" s="1"/>
  <c r="C271" i="1"/>
  <c r="C271" i="2" s="1"/>
  <c r="F270" i="1"/>
  <c r="F270" i="2" s="1"/>
  <c r="E270" i="1"/>
  <c r="E270" i="2" s="1"/>
  <c r="D270" i="1"/>
  <c r="D270" i="2" s="1"/>
  <c r="C270" i="1"/>
  <c r="C270" i="2" s="1"/>
  <c r="F269" i="1"/>
  <c r="F269" i="2" s="1"/>
  <c r="E269" i="1"/>
  <c r="E269" i="2" s="1"/>
  <c r="D269" i="1"/>
  <c r="D269" i="2" s="1"/>
  <c r="C269" i="1"/>
  <c r="C269" i="2" s="1"/>
  <c r="F268" i="1"/>
  <c r="F268" i="2" s="1"/>
  <c r="E268" i="1"/>
  <c r="E268" i="2" s="1"/>
  <c r="D268" i="1"/>
  <c r="D268" i="2" s="1"/>
  <c r="C268" i="1"/>
  <c r="C268" i="2" s="1"/>
  <c r="C260" i="1"/>
  <c r="C260" i="2" s="1"/>
  <c r="D259" i="1"/>
  <c r="D259" i="2" s="1"/>
  <c r="F255" i="1"/>
  <c r="F255" i="2" s="1"/>
  <c r="E255" i="1"/>
  <c r="E255" i="2" s="1"/>
  <c r="D255" i="1"/>
  <c r="D255" i="2" s="1"/>
  <c r="C255" i="1"/>
  <c r="C255" i="2" s="1"/>
  <c r="E254" i="1"/>
  <c r="E254" i="2" s="1"/>
  <c r="F251" i="1"/>
  <c r="F251" i="2" s="1"/>
  <c r="F252" i="1"/>
  <c r="F252" i="2" s="1"/>
  <c r="E252" i="1"/>
  <c r="E252" i="2" s="1"/>
  <c r="D252" i="1"/>
  <c r="D252" i="2" s="1"/>
  <c r="C252" i="1"/>
  <c r="C252" i="2" s="1"/>
  <c r="A238" i="2"/>
  <c r="A238" i="3" s="1"/>
  <c r="A237" i="2"/>
  <c r="A237" i="3" s="1"/>
  <c r="B237" i="2"/>
  <c r="B237" i="3" s="1"/>
  <c r="C237" i="2"/>
  <c r="D237" i="2"/>
  <c r="E237" i="2"/>
  <c r="F237" i="2"/>
  <c r="T237" i="2"/>
  <c r="K237" i="2"/>
  <c r="L237" i="2"/>
  <c r="M237" i="2"/>
  <c r="N237" i="2"/>
  <c r="P237" i="2"/>
  <c r="H276" i="4" s="1"/>
  <c r="P276" i="4" s="1"/>
  <c r="B238" i="2"/>
  <c r="B238" i="3" s="1"/>
  <c r="C238" i="2"/>
  <c r="D238" i="2"/>
  <c r="E238" i="2"/>
  <c r="F238" i="2"/>
  <c r="T238" i="2"/>
  <c r="K238" i="2"/>
  <c r="L238" i="2"/>
  <c r="M238" i="2"/>
  <c r="N238" i="2"/>
  <c r="P238" i="2"/>
  <c r="H277" i="4" s="1"/>
  <c r="P277" i="4" s="1"/>
  <c r="A225" i="2"/>
  <c r="A225" i="3" s="1"/>
  <c r="B225" i="2"/>
  <c r="B225" i="3" s="1"/>
  <c r="C225" i="2"/>
  <c r="D225" i="2"/>
  <c r="E225" i="2"/>
  <c r="F225" i="2"/>
  <c r="T225" i="2"/>
  <c r="D225" i="3" s="1"/>
  <c r="K225" i="2"/>
  <c r="L225" i="2"/>
  <c r="M225" i="2"/>
  <c r="N225" i="2"/>
  <c r="P225" i="2"/>
  <c r="H258" i="4" s="1"/>
  <c r="P258" i="4" s="1"/>
  <c r="A226" i="2"/>
  <c r="A226" i="3" s="1"/>
  <c r="B226" i="2"/>
  <c r="B226" i="3" s="1"/>
  <c r="C226" i="2"/>
  <c r="D226" i="2"/>
  <c r="E226" i="2"/>
  <c r="F226" i="2"/>
  <c r="D259" i="4"/>
  <c r="T226" i="2"/>
  <c r="D226" i="3" s="1"/>
  <c r="L226" i="2"/>
  <c r="M226" i="2"/>
  <c r="N226" i="2"/>
  <c r="P226" i="2"/>
  <c r="H259" i="4" s="1"/>
  <c r="P259" i="4" s="1"/>
  <c r="A227" i="2"/>
  <c r="A227" i="3" s="1"/>
  <c r="B227" i="2"/>
  <c r="B227" i="3" s="1"/>
  <c r="C227" i="2"/>
  <c r="D227" i="2"/>
  <c r="E227" i="2"/>
  <c r="F227" i="2"/>
  <c r="D261" i="4"/>
  <c r="M261" i="4" s="1"/>
  <c r="T227" i="2"/>
  <c r="D227" i="3" s="1"/>
  <c r="L227" i="2"/>
  <c r="M227" i="2"/>
  <c r="G261" i="4"/>
  <c r="O261" i="4" s="1"/>
  <c r="P227" i="2"/>
  <c r="H261" i="4" s="1"/>
  <c r="P261" i="4" s="1"/>
  <c r="A228" i="2"/>
  <c r="A228" i="3" s="1"/>
  <c r="B228" i="2"/>
  <c r="B228" i="3" s="1"/>
  <c r="D228" i="2"/>
  <c r="E263" i="4"/>
  <c r="N263" i="4" s="1"/>
  <c r="K228" i="2"/>
  <c r="L228" i="2"/>
  <c r="M228" i="2"/>
  <c r="N228" i="2"/>
  <c r="P228" i="2"/>
  <c r="H263" i="4" s="1"/>
  <c r="P263" i="4" s="1"/>
  <c r="S228" i="2"/>
  <c r="T228" i="2"/>
  <c r="D228" i="3" s="1"/>
  <c r="A229" i="2"/>
  <c r="A229" i="3" s="1"/>
  <c r="B229" i="2"/>
  <c r="B229" i="3" s="1"/>
  <c r="T229" i="2"/>
  <c r="D229" i="3" s="1"/>
  <c r="L229" i="2"/>
  <c r="M229" i="2"/>
  <c r="N229" i="2"/>
  <c r="P229" i="2"/>
  <c r="H265" i="4" s="1"/>
  <c r="P265" i="4" s="1"/>
  <c r="A230" i="2"/>
  <c r="A230" i="3" s="1"/>
  <c r="B230" i="2"/>
  <c r="B230" i="3" s="1"/>
  <c r="C230" i="2"/>
  <c r="D230" i="2"/>
  <c r="E230" i="2"/>
  <c r="F230" i="2"/>
  <c r="D266" i="4"/>
  <c r="E266" i="4"/>
  <c r="K230" i="2"/>
  <c r="J230" i="2" s="1"/>
  <c r="L230" i="2"/>
  <c r="M230" i="2"/>
  <c r="N230" i="2"/>
  <c r="G266" i="4" s="1"/>
  <c r="P230" i="2"/>
  <c r="H266" i="4" s="1"/>
  <c r="P266" i="4" s="1"/>
  <c r="A231" i="2"/>
  <c r="A231" i="3" s="1"/>
  <c r="B231" i="2"/>
  <c r="B231" i="3" s="1"/>
  <c r="C231" i="2"/>
  <c r="D231" i="2"/>
  <c r="E231" i="2"/>
  <c r="F231" i="2"/>
  <c r="D268" i="4"/>
  <c r="E268" i="4"/>
  <c r="K231" i="2"/>
  <c r="J231" i="2" s="1"/>
  <c r="L231" i="2"/>
  <c r="M231" i="2"/>
  <c r="N231" i="2"/>
  <c r="G268" i="4" s="1"/>
  <c r="P231" i="2"/>
  <c r="H268" i="4" s="1"/>
  <c r="P268" i="4" s="1"/>
  <c r="A232" i="2"/>
  <c r="A232" i="3" s="1"/>
  <c r="B232" i="2"/>
  <c r="B232" i="3" s="1"/>
  <c r="E270" i="4"/>
  <c r="N270" i="4" s="1"/>
  <c r="T232" i="2"/>
  <c r="D232" i="3" s="1"/>
  <c r="L232" i="2"/>
  <c r="M232" i="2"/>
  <c r="N232" i="2"/>
  <c r="P232" i="2"/>
  <c r="H270" i="4" s="1"/>
  <c r="P270" i="4" s="1"/>
  <c r="A233" i="2"/>
  <c r="A233" i="3" s="1"/>
  <c r="B233" i="2"/>
  <c r="B233" i="3" s="1"/>
  <c r="T233" i="2"/>
  <c r="D233" i="3" s="1"/>
  <c r="K233" i="2"/>
  <c r="L233" i="2"/>
  <c r="M233" i="2"/>
  <c r="N233" i="2"/>
  <c r="P233" i="2"/>
  <c r="H272" i="4" s="1"/>
  <c r="P272" i="4" s="1"/>
  <c r="A234" i="2"/>
  <c r="A234" i="3" s="1"/>
  <c r="B234" i="2"/>
  <c r="B234" i="3" s="1"/>
  <c r="C234" i="2"/>
  <c r="E234" i="2"/>
  <c r="F234" i="2"/>
  <c r="D273" i="4"/>
  <c r="T234" i="2"/>
  <c r="D234" i="3" s="1"/>
  <c r="K234" i="2"/>
  <c r="L234" i="2"/>
  <c r="M234" i="2"/>
  <c r="N234" i="2"/>
  <c r="P234" i="2"/>
  <c r="H273" i="4" s="1"/>
  <c r="P273" i="4" s="1"/>
  <c r="A235" i="2"/>
  <c r="A235" i="3" s="1"/>
  <c r="B235" i="2"/>
  <c r="B235" i="3" s="1"/>
  <c r="C235" i="2"/>
  <c r="D235" i="2"/>
  <c r="E235" i="2"/>
  <c r="F235" i="2"/>
  <c r="D274" i="4"/>
  <c r="T235" i="2"/>
  <c r="D235" i="3" s="1"/>
  <c r="K235" i="2"/>
  <c r="L235" i="2"/>
  <c r="M235" i="2"/>
  <c r="N235" i="2"/>
  <c r="P235" i="2"/>
  <c r="H274" i="4" s="1"/>
  <c r="P274" i="4" s="1"/>
  <c r="A236" i="2"/>
  <c r="A236" i="3" s="1"/>
  <c r="B236" i="2"/>
  <c r="B236" i="3" s="1"/>
  <c r="C236" i="2"/>
  <c r="D236" i="2"/>
  <c r="F236" i="2"/>
  <c r="E275" i="4"/>
  <c r="N275" i="4" s="1"/>
  <c r="T236" i="2"/>
  <c r="D236" i="3" s="1"/>
  <c r="E236" i="3" s="1"/>
  <c r="K236" i="2"/>
  <c r="L236" i="2"/>
  <c r="M236" i="2"/>
  <c r="N236" i="2"/>
  <c r="P236" i="2"/>
  <c r="H275" i="4" s="1"/>
  <c r="P275" i="4" s="1"/>
  <c r="S236" i="2"/>
  <c r="A203" i="2"/>
  <c r="A203" i="3" s="1"/>
  <c r="B203" i="2"/>
  <c r="B203" i="3" s="1"/>
  <c r="C203" i="2"/>
  <c r="D203" i="2"/>
  <c r="E203" i="2"/>
  <c r="F203" i="2"/>
  <c r="D234" i="4"/>
  <c r="T203" i="2"/>
  <c r="D203" i="3" s="1"/>
  <c r="K203" i="2"/>
  <c r="L203" i="2"/>
  <c r="M203" i="2"/>
  <c r="N203" i="2"/>
  <c r="P203" i="2"/>
  <c r="H234" i="4" s="1"/>
  <c r="P234" i="4" s="1"/>
  <c r="A204" i="2"/>
  <c r="A204" i="3" s="1"/>
  <c r="B204" i="2"/>
  <c r="B204" i="3" s="1"/>
  <c r="C204" i="2"/>
  <c r="D204" i="2"/>
  <c r="E204" i="2"/>
  <c r="F204" i="2"/>
  <c r="E235" i="4"/>
  <c r="N235" i="4" s="1"/>
  <c r="L204" i="2"/>
  <c r="M204" i="2"/>
  <c r="N204" i="2"/>
  <c r="P204" i="2"/>
  <c r="H235" i="4" s="1"/>
  <c r="P235" i="4" s="1"/>
  <c r="S204" i="2"/>
  <c r="T204" i="2"/>
  <c r="D204" i="3" s="1"/>
  <c r="A205" i="2"/>
  <c r="A205" i="3" s="1"/>
  <c r="B205" i="2"/>
  <c r="B205" i="3" s="1"/>
  <c r="C205" i="2"/>
  <c r="D205" i="2"/>
  <c r="E205" i="2"/>
  <c r="F205" i="2"/>
  <c r="T205" i="2"/>
  <c r="D205" i="3" s="1"/>
  <c r="K205" i="2"/>
  <c r="L205" i="2"/>
  <c r="M205" i="2"/>
  <c r="N205" i="2"/>
  <c r="P205" i="2"/>
  <c r="H236" i="4" s="1"/>
  <c r="P236" i="4" s="1"/>
  <c r="A206" i="2"/>
  <c r="A206" i="3" s="1"/>
  <c r="B206" i="2"/>
  <c r="B206" i="3" s="1"/>
  <c r="C206" i="2"/>
  <c r="D206" i="2"/>
  <c r="E206" i="2"/>
  <c r="F206" i="2"/>
  <c r="D237" i="4"/>
  <c r="T206" i="2"/>
  <c r="D206" i="3" s="1"/>
  <c r="K206" i="2"/>
  <c r="L206" i="2"/>
  <c r="M206" i="2"/>
  <c r="N206" i="2"/>
  <c r="P206" i="2"/>
  <c r="H237" i="4" s="1"/>
  <c r="P237" i="4" s="1"/>
  <c r="A207" i="2"/>
  <c r="A207" i="3" s="1"/>
  <c r="B207" i="2"/>
  <c r="B207" i="3" s="1"/>
  <c r="C207" i="2"/>
  <c r="D207" i="2"/>
  <c r="E207" i="2"/>
  <c r="F207" i="2"/>
  <c r="D238" i="4"/>
  <c r="E238" i="4"/>
  <c r="N238" i="4" s="1"/>
  <c r="T207" i="2"/>
  <c r="D207" i="3" s="1"/>
  <c r="K207" i="2"/>
  <c r="L207" i="2"/>
  <c r="M207" i="2"/>
  <c r="N207" i="2"/>
  <c r="P207" i="2"/>
  <c r="H238" i="4" s="1"/>
  <c r="P238" i="4" s="1"/>
  <c r="A208" i="2"/>
  <c r="A208" i="3" s="1"/>
  <c r="B208" i="2"/>
  <c r="B208" i="3" s="1"/>
  <c r="C208" i="2"/>
  <c r="D208" i="2"/>
  <c r="E208" i="2"/>
  <c r="F208" i="2"/>
  <c r="E239" i="4"/>
  <c r="N239" i="4" s="1"/>
  <c r="K208" i="2"/>
  <c r="L208" i="2"/>
  <c r="M208" i="2"/>
  <c r="N208" i="2"/>
  <c r="P208" i="2"/>
  <c r="H239" i="4" s="1"/>
  <c r="P239" i="4" s="1"/>
  <c r="T208" i="2"/>
  <c r="D208" i="3" s="1"/>
  <c r="A209" i="2"/>
  <c r="A209" i="3" s="1"/>
  <c r="B209" i="2"/>
  <c r="B209" i="3" s="1"/>
  <c r="C209" i="2"/>
  <c r="D209" i="2"/>
  <c r="E209" i="2"/>
  <c r="F209" i="2"/>
  <c r="T209" i="2"/>
  <c r="D209" i="3" s="1"/>
  <c r="L209" i="2"/>
  <c r="M209" i="2"/>
  <c r="N209" i="2"/>
  <c r="P209" i="2"/>
  <c r="H240" i="4" s="1"/>
  <c r="P240" i="4" s="1"/>
  <c r="A210" i="2"/>
  <c r="A210" i="3" s="1"/>
  <c r="B210" i="2"/>
  <c r="B210" i="3" s="1"/>
  <c r="C210" i="2"/>
  <c r="D210" i="2"/>
  <c r="E210" i="2"/>
  <c r="F210" i="2"/>
  <c r="T210" i="2"/>
  <c r="D210" i="3" s="1"/>
  <c r="L210" i="2"/>
  <c r="M210" i="2"/>
  <c r="N210" i="2"/>
  <c r="P210" i="2"/>
  <c r="H242" i="4" s="1"/>
  <c r="P242" i="4" s="1"/>
  <c r="A211" i="2"/>
  <c r="A211" i="3" s="1"/>
  <c r="B211" i="2"/>
  <c r="B211" i="3" s="1"/>
  <c r="C211" i="2"/>
  <c r="D211" i="2"/>
  <c r="E211" i="2"/>
  <c r="F211" i="2"/>
  <c r="E244" i="4"/>
  <c r="N244" i="4" s="1"/>
  <c r="T211" i="2"/>
  <c r="D211" i="3" s="1"/>
  <c r="K211" i="2"/>
  <c r="L211" i="2"/>
  <c r="M211" i="2"/>
  <c r="N211" i="2"/>
  <c r="P211" i="2"/>
  <c r="H244" i="4" s="1"/>
  <c r="P244" i="4" s="1"/>
  <c r="S211" i="2"/>
  <c r="A212" i="2"/>
  <c r="A212" i="3" s="1"/>
  <c r="B212" i="2"/>
  <c r="B212" i="3" s="1"/>
  <c r="C212" i="2"/>
  <c r="D212" i="2"/>
  <c r="E212" i="2"/>
  <c r="F212" i="2"/>
  <c r="E245" i="4"/>
  <c r="N245" i="4" s="1"/>
  <c r="L212" i="2"/>
  <c r="M212" i="2"/>
  <c r="N212" i="2"/>
  <c r="P212" i="2"/>
  <c r="H245" i="4" s="1"/>
  <c r="P245" i="4" s="1"/>
  <c r="S212" i="2"/>
  <c r="T212" i="2"/>
  <c r="D212" i="3" s="1"/>
  <c r="A213" i="2"/>
  <c r="A213" i="3" s="1"/>
  <c r="B213" i="2"/>
  <c r="B213" i="3" s="1"/>
  <c r="C213" i="2"/>
  <c r="D213" i="2"/>
  <c r="E213" i="2"/>
  <c r="F213" i="2"/>
  <c r="T213" i="2"/>
  <c r="D213" i="3" s="1"/>
  <c r="E213" i="3" s="1"/>
  <c r="K213" i="2"/>
  <c r="L213" i="2"/>
  <c r="M213" i="2"/>
  <c r="N213" i="2"/>
  <c r="P213" i="2"/>
  <c r="H246" i="4" s="1"/>
  <c r="P246" i="4" s="1"/>
  <c r="A214" i="2"/>
  <c r="A214" i="3" s="1"/>
  <c r="B214" i="2"/>
  <c r="B214" i="3" s="1"/>
  <c r="C214" i="2"/>
  <c r="D214" i="2"/>
  <c r="E214" i="2"/>
  <c r="F214" i="2"/>
  <c r="D247" i="4"/>
  <c r="T214" i="2"/>
  <c r="D214" i="3" s="1"/>
  <c r="K214" i="2"/>
  <c r="L214" i="2"/>
  <c r="M214" i="2"/>
  <c r="N214" i="2"/>
  <c r="P214" i="2"/>
  <c r="H247" i="4" s="1"/>
  <c r="P247" i="4" s="1"/>
  <c r="A215" i="2"/>
  <c r="A215" i="3" s="1"/>
  <c r="B215" i="2"/>
  <c r="B215" i="3" s="1"/>
  <c r="C215" i="2"/>
  <c r="D215" i="2"/>
  <c r="E215" i="2"/>
  <c r="F215" i="2"/>
  <c r="T215" i="2"/>
  <c r="D215" i="3" s="1"/>
  <c r="K215" i="2"/>
  <c r="L215" i="2"/>
  <c r="M215" i="2"/>
  <c r="N215" i="2"/>
  <c r="P215" i="2"/>
  <c r="H248" i="4" s="1"/>
  <c r="P248" i="4" s="1"/>
  <c r="A216" i="2"/>
  <c r="A216" i="3" s="1"/>
  <c r="B216" i="2"/>
  <c r="B216" i="3" s="1"/>
  <c r="C216" i="2"/>
  <c r="D216" i="2"/>
  <c r="E216" i="2"/>
  <c r="F216" i="2"/>
  <c r="E249" i="4"/>
  <c r="N249" i="4" s="1"/>
  <c r="T216" i="2"/>
  <c r="D216" i="3" s="1"/>
  <c r="L216" i="2"/>
  <c r="M216" i="2"/>
  <c r="N216" i="2"/>
  <c r="P216" i="2"/>
  <c r="H249" i="4" s="1"/>
  <c r="P249" i="4" s="1"/>
  <c r="S216" i="2"/>
  <c r="A217" i="2"/>
  <c r="A217" i="3" s="1"/>
  <c r="B217" i="2"/>
  <c r="B217" i="3" s="1"/>
  <c r="C217" i="2"/>
  <c r="D217" i="2"/>
  <c r="E217" i="2"/>
  <c r="F217" i="2"/>
  <c r="T217" i="2"/>
  <c r="D217" i="3" s="1"/>
  <c r="K217" i="2"/>
  <c r="L217" i="2"/>
  <c r="M217" i="2"/>
  <c r="N217" i="2"/>
  <c r="P217" i="2"/>
  <c r="H250" i="4" s="1"/>
  <c r="P250" i="4" s="1"/>
  <c r="A218" i="2"/>
  <c r="A218" i="3" s="1"/>
  <c r="B218" i="2"/>
  <c r="B218" i="3" s="1"/>
  <c r="C218" i="2"/>
  <c r="D218" i="2"/>
  <c r="E218" i="2"/>
  <c r="F218" i="2"/>
  <c r="T218" i="2"/>
  <c r="D218" i="3" s="1"/>
  <c r="K218" i="2"/>
  <c r="L218" i="2"/>
  <c r="M218" i="2"/>
  <c r="N218" i="2"/>
  <c r="P218" i="2"/>
  <c r="H251" i="4" s="1"/>
  <c r="P251" i="4" s="1"/>
  <c r="A219" i="2"/>
  <c r="A219" i="3" s="1"/>
  <c r="B219" i="2"/>
  <c r="B219" i="3" s="1"/>
  <c r="C219" i="2"/>
  <c r="D219" i="2"/>
  <c r="E219" i="2"/>
  <c r="F219" i="2"/>
  <c r="D252" i="4"/>
  <c r="T219" i="2"/>
  <c r="D219" i="3" s="1"/>
  <c r="E219" i="3" s="1"/>
  <c r="K219" i="2"/>
  <c r="L219" i="2"/>
  <c r="M219" i="2"/>
  <c r="N219" i="2"/>
  <c r="P219" i="2"/>
  <c r="H252" i="4" s="1"/>
  <c r="P252" i="4" s="1"/>
  <c r="A220" i="2"/>
  <c r="A220" i="3" s="1"/>
  <c r="B220" i="2"/>
  <c r="B220" i="3" s="1"/>
  <c r="C220" i="2"/>
  <c r="D220" i="2"/>
  <c r="E220" i="2"/>
  <c r="F220" i="2"/>
  <c r="E253" i="4"/>
  <c r="N253" i="4" s="1"/>
  <c r="T220" i="2"/>
  <c r="D220" i="3" s="1"/>
  <c r="K220" i="2"/>
  <c r="L220" i="2"/>
  <c r="M220" i="2"/>
  <c r="N220" i="2"/>
  <c r="P220" i="2"/>
  <c r="H253" i="4" s="1"/>
  <c r="P253" i="4" s="1"/>
  <c r="A221" i="2"/>
  <c r="A221" i="3" s="1"/>
  <c r="B221" i="2"/>
  <c r="B221" i="3" s="1"/>
  <c r="C221" i="2"/>
  <c r="D221" i="2"/>
  <c r="E221" i="2"/>
  <c r="F221" i="2"/>
  <c r="T221" i="2"/>
  <c r="D221" i="3" s="1"/>
  <c r="K221" i="2"/>
  <c r="L221" i="2"/>
  <c r="M221" i="2"/>
  <c r="N221" i="2"/>
  <c r="P221" i="2"/>
  <c r="H254" i="4" s="1"/>
  <c r="P254" i="4" s="1"/>
  <c r="A222" i="2"/>
  <c r="A222" i="3" s="1"/>
  <c r="B222" i="2"/>
  <c r="B222" i="3" s="1"/>
  <c r="C222" i="2"/>
  <c r="D222" i="2"/>
  <c r="E222" i="2"/>
  <c r="F222" i="2"/>
  <c r="D255" i="4"/>
  <c r="T222" i="2"/>
  <c r="D222" i="3" s="1"/>
  <c r="L222" i="2"/>
  <c r="M222" i="2"/>
  <c r="N222" i="2"/>
  <c r="P222" i="2"/>
  <c r="H255" i="4" s="1"/>
  <c r="P255" i="4" s="1"/>
  <c r="A223" i="2"/>
  <c r="A223" i="3" s="1"/>
  <c r="B223" i="2"/>
  <c r="B223" i="3" s="1"/>
  <c r="C223" i="2"/>
  <c r="D223" i="2"/>
  <c r="E223" i="2"/>
  <c r="F223" i="2"/>
  <c r="D256" i="4"/>
  <c r="E256" i="4"/>
  <c r="N256" i="4" s="1"/>
  <c r="T223" i="2"/>
  <c r="D223" i="3" s="1"/>
  <c r="K223" i="2"/>
  <c r="L223" i="2"/>
  <c r="M223" i="2"/>
  <c r="N223" i="2"/>
  <c r="P223" i="2"/>
  <c r="H256" i="4" s="1"/>
  <c r="P256" i="4" s="1"/>
  <c r="A224" i="2"/>
  <c r="A224" i="3" s="1"/>
  <c r="B224" i="2"/>
  <c r="B224" i="3" s="1"/>
  <c r="C224" i="2"/>
  <c r="D224" i="2"/>
  <c r="E224" i="2"/>
  <c r="F224" i="2"/>
  <c r="E257" i="4"/>
  <c r="N257" i="4" s="1"/>
  <c r="L224" i="2"/>
  <c r="M224" i="2"/>
  <c r="N224" i="2"/>
  <c r="P224" i="2"/>
  <c r="H257" i="4" s="1"/>
  <c r="P257" i="4" s="1"/>
  <c r="S224" i="2"/>
  <c r="T224" i="2"/>
  <c r="D224" i="3" s="1"/>
  <c r="A190" i="2"/>
  <c r="A190" i="3" s="1"/>
  <c r="B190" i="2"/>
  <c r="B190" i="3" s="1"/>
  <c r="C190" i="2"/>
  <c r="D190" i="2"/>
  <c r="E190" i="2"/>
  <c r="F190" i="2"/>
  <c r="D221" i="4"/>
  <c r="T190" i="2"/>
  <c r="D190" i="3" s="1"/>
  <c r="K190" i="2"/>
  <c r="L190" i="2"/>
  <c r="M190" i="2"/>
  <c r="N190" i="2"/>
  <c r="P190" i="2"/>
  <c r="H221" i="4" s="1"/>
  <c r="P221" i="4" s="1"/>
  <c r="A191" i="2"/>
  <c r="A191" i="3" s="1"/>
  <c r="B191" i="2"/>
  <c r="B191" i="3" s="1"/>
  <c r="C191" i="2"/>
  <c r="D191" i="2"/>
  <c r="E191" i="2"/>
  <c r="F191" i="2"/>
  <c r="E222" i="4"/>
  <c r="N222" i="4" s="1"/>
  <c r="T191" i="2"/>
  <c r="D191" i="3" s="1"/>
  <c r="E191" i="3" s="1"/>
  <c r="K191" i="2"/>
  <c r="L191" i="2"/>
  <c r="M191" i="2"/>
  <c r="N191" i="2"/>
  <c r="P191" i="2"/>
  <c r="H222" i="4" s="1"/>
  <c r="P222" i="4" s="1"/>
  <c r="S191" i="2"/>
  <c r="A192" i="2"/>
  <c r="A192" i="3" s="1"/>
  <c r="B192" i="2"/>
  <c r="B192" i="3" s="1"/>
  <c r="C192" i="2"/>
  <c r="D192" i="2"/>
  <c r="E192" i="2"/>
  <c r="F192" i="2"/>
  <c r="T192" i="2"/>
  <c r="D192" i="3" s="1"/>
  <c r="L192" i="2"/>
  <c r="M192" i="2"/>
  <c r="N192" i="2"/>
  <c r="P192" i="2"/>
  <c r="H223" i="4" s="1"/>
  <c r="P223" i="4" s="1"/>
  <c r="A193" i="2"/>
  <c r="A193" i="3" s="1"/>
  <c r="B193" i="2"/>
  <c r="B193" i="3" s="1"/>
  <c r="C193" i="2"/>
  <c r="D193" i="2"/>
  <c r="E193" i="2"/>
  <c r="F193" i="2"/>
  <c r="D224" i="4"/>
  <c r="T193" i="2"/>
  <c r="D193" i="3" s="1"/>
  <c r="K193" i="2"/>
  <c r="L193" i="2"/>
  <c r="M193" i="2"/>
  <c r="N193" i="2"/>
  <c r="P193" i="2"/>
  <c r="H224" i="4" s="1"/>
  <c r="P224" i="4" s="1"/>
  <c r="A194" i="2"/>
  <c r="A194" i="3" s="1"/>
  <c r="B194" i="2"/>
  <c r="B194" i="3" s="1"/>
  <c r="C194" i="2"/>
  <c r="D194" i="2"/>
  <c r="E194" i="2"/>
  <c r="F194" i="2"/>
  <c r="D225" i="4"/>
  <c r="E225" i="4"/>
  <c r="N225" i="4" s="1"/>
  <c r="T194" i="2"/>
  <c r="D194" i="3" s="1"/>
  <c r="K194" i="2"/>
  <c r="L194" i="2"/>
  <c r="M194" i="2"/>
  <c r="N194" i="2"/>
  <c r="P194" i="2"/>
  <c r="H225" i="4" s="1"/>
  <c r="P225" i="4" s="1"/>
  <c r="A195" i="2"/>
  <c r="A195" i="3" s="1"/>
  <c r="B195" i="2"/>
  <c r="B195" i="3" s="1"/>
  <c r="C195" i="2"/>
  <c r="D195" i="2"/>
  <c r="E195" i="2"/>
  <c r="F195" i="2"/>
  <c r="E226" i="4"/>
  <c r="N226" i="4" s="1"/>
  <c r="T195" i="2"/>
  <c r="D195" i="3" s="1"/>
  <c r="L195" i="2"/>
  <c r="M195" i="2"/>
  <c r="N195" i="2"/>
  <c r="P195" i="2"/>
  <c r="H226" i="4" s="1"/>
  <c r="P226" i="4" s="1"/>
  <c r="S195" i="2"/>
  <c r="A196" i="2"/>
  <c r="A196" i="3" s="1"/>
  <c r="B196" i="2"/>
  <c r="B196" i="3" s="1"/>
  <c r="C196" i="2"/>
  <c r="D196" i="2"/>
  <c r="E196" i="2"/>
  <c r="F196" i="2"/>
  <c r="T196" i="2"/>
  <c r="D196" i="3" s="1"/>
  <c r="K196" i="2"/>
  <c r="L196" i="2"/>
  <c r="M196" i="2"/>
  <c r="N196" i="2"/>
  <c r="P196" i="2"/>
  <c r="H227" i="4" s="1"/>
  <c r="P227" i="4" s="1"/>
  <c r="A197" i="2"/>
  <c r="A197" i="3" s="1"/>
  <c r="B197" i="2"/>
  <c r="B197" i="3" s="1"/>
  <c r="C197" i="2"/>
  <c r="D197" i="2"/>
  <c r="E197" i="2"/>
  <c r="D228" i="4"/>
  <c r="T197" i="2"/>
  <c r="D197" i="3" s="1"/>
  <c r="K197" i="2"/>
  <c r="L197" i="2"/>
  <c r="M197" i="2"/>
  <c r="N197" i="2"/>
  <c r="P197" i="2"/>
  <c r="H228" i="4" s="1"/>
  <c r="P228" i="4" s="1"/>
  <c r="A198" i="2"/>
  <c r="A198" i="3" s="1"/>
  <c r="B198" i="2"/>
  <c r="B198" i="3" s="1"/>
  <c r="C198" i="2"/>
  <c r="D198" i="2"/>
  <c r="E198" i="2"/>
  <c r="F198" i="2"/>
  <c r="E229" i="4"/>
  <c r="N229" i="4" s="1"/>
  <c r="T198" i="2"/>
  <c r="D198" i="3" s="1"/>
  <c r="E198" i="3" s="1"/>
  <c r="K198" i="2"/>
  <c r="L198" i="2"/>
  <c r="M198" i="2"/>
  <c r="N198" i="2"/>
  <c r="P198" i="2"/>
  <c r="H229" i="4" s="1"/>
  <c r="P229" i="4" s="1"/>
  <c r="A199" i="2"/>
  <c r="A199" i="3" s="1"/>
  <c r="B199" i="2"/>
  <c r="B199" i="3" s="1"/>
  <c r="C199" i="2"/>
  <c r="D199" i="2"/>
  <c r="E199" i="2"/>
  <c r="F199" i="2"/>
  <c r="T199" i="2"/>
  <c r="D199" i="3" s="1"/>
  <c r="L199" i="2"/>
  <c r="M199" i="2"/>
  <c r="N199" i="2"/>
  <c r="P199" i="2"/>
  <c r="H230" i="4" s="1"/>
  <c r="P230" i="4" s="1"/>
  <c r="A200" i="2"/>
  <c r="A200" i="3" s="1"/>
  <c r="B200" i="2"/>
  <c r="B200" i="3" s="1"/>
  <c r="C200" i="2"/>
  <c r="D200" i="2"/>
  <c r="E200" i="2"/>
  <c r="F200" i="2"/>
  <c r="T200" i="2"/>
  <c r="D200" i="3" s="1"/>
  <c r="K200" i="2"/>
  <c r="L200" i="2"/>
  <c r="M200" i="2"/>
  <c r="N200" i="2"/>
  <c r="P200" i="2"/>
  <c r="H231" i="4" s="1"/>
  <c r="P231" i="4" s="1"/>
  <c r="A201" i="2"/>
  <c r="A201" i="3" s="1"/>
  <c r="B201" i="2"/>
  <c r="B201" i="3" s="1"/>
  <c r="C201" i="2"/>
  <c r="D201" i="2"/>
  <c r="E201" i="2"/>
  <c r="F201" i="2"/>
  <c r="T201" i="2"/>
  <c r="D201" i="3" s="1"/>
  <c r="K201" i="2"/>
  <c r="L201" i="2"/>
  <c r="M201" i="2"/>
  <c r="N201" i="2"/>
  <c r="P201" i="2"/>
  <c r="H232" i="4" s="1"/>
  <c r="P232" i="4" s="1"/>
  <c r="A202" i="2"/>
  <c r="A202" i="3" s="1"/>
  <c r="B202" i="2"/>
  <c r="B202" i="3" s="1"/>
  <c r="C202" i="2"/>
  <c r="D202" i="2"/>
  <c r="E202" i="2"/>
  <c r="F202" i="2"/>
  <c r="D233" i="4"/>
  <c r="T202" i="2"/>
  <c r="D202" i="3" s="1"/>
  <c r="L202" i="2"/>
  <c r="M202" i="2"/>
  <c r="N202" i="2"/>
  <c r="P202" i="2"/>
  <c r="H233" i="4" s="1"/>
  <c r="P233" i="4" s="1"/>
  <c r="E200" i="3" l="1"/>
  <c r="E194" i="3"/>
  <c r="E205" i="3"/>
  <c r="E228" i="3"/>
  <c r="E223" i="3"/>
  <c r="W246" i="2"/>
  <c r="X246" i="2"/>
  <c r="E242" i="3"/>
  <c r="E246" i="3"/>
  <c r="E269" i="3"/>
  <c r="E253" i="3"/>
  <c r="E267" i="3"/>
  <c r="G232" i="4"/>
  <c r="Z202" i="2"/>
  <c r="G231" i="4"/>
  <c r="Z201" i="2"/>
  <c r="G229" i="4"/>
  <c r="Z199" i="2"/>
  <c r="G225" i="4"/>
  <c r="Z195" i="2"/>
  <c r="G257" i="4"/>
  <c r="Z225" i="2"/>
  <c r="G256" i="4"/>
  <c r="Z224" i="2"/>
  <c r="G252" i="4"/>
  <c r="Z220" i="2"/>
  <c r="G240" i="4"/>
  <c r="Z210" i="2"/>
  <c r="G275" i="4"/>
  <c r="Z237" i="2"/>
  <c r="E254" i="3"/>
  <c r="G228" i="4"/>
  <c r="Z198" i="2"/>
  <c r="C196" i="3"/>
  <c r="E196" i="3"/>
  <c r="E190" i="3"/>
  <c r="G251" i="4"/>
  <c r="Z219" i="2"/>
  <c r="E217" i="3"/>
  <c r="C216" i="3"/>
  <c r="G239" i="4"/>
  <c r="Z209" i="2"/>
  <c r="G238" i="4"/>
  <c r="Z208" i="2"/>
  <c r="E235" i="3"/>
  <c r="C234" i="3"/>
  <c r="G259" i="4"/>
  <c r="Z227" i="2"/>
  <c r="G227" i="4"/>
  <c r="Z197" i="2"/>
  <c r="G224" i="4"/>
  <c r="Z194" i="2"/>
  <c r="E193" i="3"/>
  <c r="C192" i="3"/>
  <c r="G255" i="4"/>
  <c r="Z223" i="2"/>
  <c r="C220" i="3"/>
  <c r="E220" i="3"/>
  <c r="G249" i="4"/>
  <c r="Z217" i="2"/>
  <c r="G245" i="4"/>
  <c r="Z213" i="2"/>
  <c r="G235" i="4"/>
  <c r="Z205" i="2"/>
  <c r="G234" i="4"/>
  <c r="Z204" i="2"/>
  <c r="E203" i="3"/>
  <c r="G273" i="4"/>
  <c r="Z235" i="2"/>
  <c r="E234" i="3"/>
  <c r="G265" i="4"/>
  <c r="O265" i="4" s="1"/>
  <c r="Z230" i="2"/>
  <c r="G258" i="4"/>
  <c r="Z226" i="2"/>
  <c r="E225" i="3"/>
  <c r="G277" i="4"/>
  <c r="Z239" i="2"/>
  <c r="Y260" i="2"/>
  <c r="D260" i="3" s="1"/>
  <c r="E260" i="3" s="1"/>
  <c r="E274" i="3"/>
  <c r="E278" i="3"/>
  <c r="E261" i="3"/>
  <c r="E250" i="3"/>
  <c r="G230" i="4"/>
  <c r="Z200" i="2"/>
  <c r="G222" i="4"/>
  <c r="Z192" i="2"/>
  <c r="G246" i="4"/>
  <c r="Z214" i="2"/>
  <c r="G242" i="4"/>
  <c r="O242" i="4" s="1"/>
  <c r="Z211" i="2"/>
  <c r="C208" i="3"/>
  <c r="X208" i="2"/>
  <c r="G236" i="4"/>
  <c r="Z206" i="2"/>
  <c r="G263" i="4"/>
  <c r="Z229" i="2"/>
  <c r="C226" i="3"/>
  <c r="E197" i="3"/>
  <c r="G221" i="4"/>
  <c r="Z191" i="2"/>
  <c r="E218" i="3"/>
  <c r="G250" i="4"/>
  <c r="Z218" i="2"/>
  <c r="C212" i="3"/>
  <c r="E207" i="3"/>
  <c r="C204" i="3"/>
  <c r="G274" i="4"/>
  <c r="Z236" i="2"/>
  <c r="G276" i="4"/>
  <c r="Z238" i="2"/>
  <c r="G233" i="4"/>
  <c r="Z203" i="2"/>
  <c r="C201" i="3"/>
  <c r="E201" i="3"/>
  <c r="G226" i="4"/>
  <c r="Z196" i="2"/>
  <c r="G223" i="4"/>
  <c r="Z193" i="2"/>
  <c r="C224" i="3"/>
  <c r="G254" i="4"/>
  <c r="Z222" i="2"/>
  <c r="E221" i="3"/>
  <c r="G253" i="4"/>
  <c r="Z221" i="2"/>
  <c r="G248" i="4"/>
  <c r="Z216" i="2"/>
  <c r="E215" i="3"/>
  <c r="G247" i="4"/>
  <c r="Z215" i="2"/>
  <c r="E214" i="3"/>
  <c r="G244" i="4"/>
  <c r="Z212" i="2"/>
  <c r="E211" i="3"/>
  <c r="E208" i="3"/>
  <c r="G237" i="4"/>
  <c r="Z207" i="2"/>
  <c r="E206" i="3"/>
  <c r="G272" i="4"/>
  <c r="Z234" i="2"/>
  <c r="E233" i="3"/>
  <c r="G270" i="4"/>
  <c r="O270" i="4" s="1"/>
  <c r="Z233" i="2"/>
  <c r="E255" i="3"/>
  <c r="E251" i="3"/>
  <c r="Y239" i="2"/>
  <c r="D239" i="3" s="1"/>
  <c r="W241" i="2"/>
  <c r="Y252" i="2"/>
  <c r="D252" i="3" s="1"/>
  <c r="E252" i="3" s="1"/>
  <c r="Y264" i="2"/>
  <c r="D264" i="3" s="1"/>
  <c r="E264" i="3" s="1"/>
  <c r="W275" i="2"/>
  <c r="W243" i="2"/>
  <c r="S208" i="2"/>
  <c r="X277" i="2"/>
  <c r="C251" i="3"/>
  <c r="O313" i="4"/>
  <c r="O287" i="4"/>
  <c r="S207" i="2"/>
  <c r="X254" i="2"/>
  <c r="X253" i="2"/>
  <c r="Y241" i="2"/>
  <c r="D241" i="3" s="1"/>
  <c r="E241" i="3" s="1"/>
  <c r="Y268" i="2"/>
  <c r="D268" i="3" s="1"/>
  <c r="E268" i="3" s="1"/>
  <c r="X243" i="2"/>
  <c r="S232" i="2"/>
  <c r="C276" i="3"/>
  <c r="R203" i="2"/>
  <c r="Y203" i="2" s="1"/>
  <c r="W253" i="2"/>
  <c r="W267" i="2"/>
  <c r="U279" i="2"/>
  <c r="W279" i="2" s="1"/>
  <c r="Y240" i="2"/>
  <c r="D240" i="3" s="1"/>
  <c r="E240" i="3" s="1"/>
  <c r="R193" i="2"/>
  <c r="Y193" i="2" s="1"/>
  <c r="X261" i="2"/>
  <c r="X276" i="2"/>
  <c r="X242" i="2"/>
  <c r="Y259" i="2"/>
  <c r="Y262" i="2"/>
  <c r="D262" i="3" s="1"/>
  <c r="E262" i="3" s="1"/>
  <c r="S198" i="2"/>
  <c r="R202" i="2"/>
  <c r="R234" i="2"/>
  <c r="X264" i="2"/>
  <c r="X263" i="2"/>
  <c r="O283" i="4"/>
  <c r="O309" i="4"/>
  <c r="X259" i="2"/>
  <c r="O293" i="4"/>
  <c r="W269" i="2"/>
  <c r="X257" i="2"/>
  <c r="W277" i="2"/>
  <c r="Y257" i="2"/>
  <c r="D257" i="3" s="1"/>
  <c r="E257" i="3" s="1"/>
  <c r="W259" i="2"/>
  <c r="W254" i="2"/>
  <c r="W278" i="2"/>
  <c r="Y243" i="2"/>
  <c r="D243" i="3" s="1"/>
  <c r="E243" i="3" s="1"/>
  <c r="Y266" i="2"/>
  <c r="D266" i="3" s="1"/>
  <c r="E266" i="3" s="1"/>
  <c r="R207" i="2"/>
  <c r="Y207" i="2" s="1"/>
  <c r="R197" i="2"/>
  <c r="Y197" i="2" s="1"/>
  <c r="R223" i="2"/>
  <c r="R206" i="2"/>
  <c r="W261" i="2"/>
  <c r="X278" i="2"/>
  <c r="X251" i="2"/>
  <c r="Y245" i="2"/>
  <c r="D245" i="3" s="1"/>
  <c r="E245" i="3" s="1"/>
  <c r="X255" i="2"/>
  <c r="X267" i="2"/>
  <c r="X250" i="2"/>
  <c r="W257" i="2"/>
  <c r="X273" i="2"/>
  <c r="W255" i="2"/>
  <c r="M247" i="4"/>
  <c r="R225" i="2"/>
  <c r="D258" i="4"/>
  <c r="W270" i="2"/>
  <c r="W266" i="2"/>
  <c r="M322" i="4"/>
  <c r="O322" i="4"/>
  <c r="S197" i="2"/>
  <c r="E228" i="4"/>
  <c r="N228" i="4" s="1"/>
  <c r="M225" i="4"/>
  <c r="O225" i="4"/>
  <c r="M224" i="4"/>
  <c r="R192" i="2"/>
  <c r="D223" i="4"/>
  <c r="R190" i="2"/>
  <c r="S190" i="2"/>
  <c r="E221" i="4"/>
  <c r="N221" i="4" s="1"/>
  <c r="R222" i="2"/>
  <c r="Y222" i="2" s="1"/>
  <c r="S222" i="2"/>
  <c r="E255" i="4"/>
  <c r="N255" i="4" s="1"/>
  <c r="X221" i="2"/>
  <c r="R220" i="2"/>
  <c r="Y220" i="2" s="1"/>
  <c r="D253" i="4"/>
  <c r="R219" i="2"/>
  <c r="S219" i="2"/>
  <c r="E252" i="4"/>
  <c r="N252" i="4" s="1"/>
  <c r="R218" i="2"/>
  <c r="Y218" i="2" s="1"/>
  <c r="D251" i="4"/>
  <c r="R217" i="2"/>
  <c r="D250" i="4"/>
  <c r="C215" i="3"/>
  <c r="S213" i="2"/>
  <c r="E246" i="4"/>
  <c r="N246" i="4" s="1"/>
  <c r="M234" i="4"/>
  <c r="R236" i="2"/>
  <c r="Y236" i="2" s="1"/>
  <c r="D275" i="4"/>
  <c r="R235" i="2"/>
  <c r="Y235" i="2" s="1"/>
  <c r="S235" i="2"/>
  <c r="E274" i="4"/>
  <c r="N274" i="4" s="1"/>
  <c r="S234" i="2"/>
  <c r="E273" i="4"/>
  <c r="N273" i="4" s="1"/>
  <c r="R237" i="2"/>
  <c r="Y237" i="2" s="1"/>
  <c r="D237" i="3" s="1"/>
  <c r="E237" i="3" s="1"/>
  <c r="D276" i="4"/>
  <c r="X265" i="2"/>
  <c r="X266" i="2"/>
  <c r="W274" i="2"/>
  <c r="M281" i="4"/>
  <c r="O281" i="4"/>
  <c r="X258" i="2"/>
  <c r="C239" i="3"/>
  <c r="U239" i="2"/>
  <c r="M308" i="4"/>
  <c r="O308" i="4"/>
  <c r="M311" i="4"/>
  <c r="O311" i="4"/>
  <c r="W251" i="2"/>
  <c r="U272" i="2"/>
  <c r="E272" i="3" s="1"/>
  <c r="S192" i="2"/>
  <c r="E223" i="4"/>
  <c r="N223" i="4" s="1"/>
  <c r="S217" i="2"/>
  <c r="E250" i="4"/>
  <c r="N250" i="4" s="1"/>
  <c r="S203" i="2"/>
  <c r="E234" i="4"/>
  <c r="N234" i="4" s="1"/>
  <c r="M259" i="4"/>
  <c r="S237" i="2"/>
  <c r="E276" i="4"/>
  <c r="N276" i="4" s="1"/>
  <c r="M285" i="4"/>
  <c r="O285" i="4"/>
  <c r="M307" i="4"/>
  <c r="O307" i="4"/>
  <c r="M315" i="4"/>
  <c r="O315" i="4"/>
  <c r="W198" i="2"/>
  <c r="S196" i="2"/>
  <c r="E227" i="4"/>
  <c r="N227" i="4" s="1"/>
  <c r="S201" i="2"/>
  <c r="E232" i="4"/>
  <c r="N232" i="4" s="1"/>
  <c r="M221" i="4"/>
  <c r="M256" i="4"/>
  <c r="O256" i="4"/>
  <c r="M255" i="4"/>
  <c r="M252" i="4"/>
  <c r="R216" i="2"/>
  <c r="Y216" i="2" s="1"/>
  <c r="D249" i="4"/>
  <c r="R213" i="2"/>
  <c r="D246" i="4"/>
  <c r="S210" i="2"/>
  <c r="E242" i="4"/>
  <c r="N242" i="4" s="1"/>
  <c r="S209" i="2"/>
  <c r="E240" i="4"/>
  <c r="N240" i="4" s="1"/>
  <c r="S206" i="2"/>
  <c r="E237" i="4"/>
  <c r="N237" i="4" s="1"/>
  <c r="S205" i="2"/>
  <c r="E236" i="4"/>
  <c r="N236" i="4" s="1"/>
  <c r="M274" i="4"/>
  <c r="M273" i="4"/>
  <c r="S233" i="2"/>
  <c r="E272" i="4"/>
  <c r="N272" i="4" s="1"/>
  <c r="S229" i="2"/>
  <c r="E265" i="4"/>
  <c r="N265" i="4" s="1"/>
  <c r="S238" i="2"/>
  <c r="E277" i="4"/>
  <c r="N277" i="4" s="1"/>
  <c r="X270" i="2"/>
  <c r="M282" i="4"/>
  <c r="O282" i="4"/>
  <c r="M316" i="4"/>
  <c r="O316" i="4"/>
  <c r="M298" i="4"/>
  <c r="O298" i="4"/>
  <c r="M304" i="4"/>
  <c r="O304" i="4"/>
  <c r="M292" i="4"/>
  <c r="O292" i="4"/>
  <c r="U280" i="2"/>
  <c r="E280" i="3" s="1"/>
  <c r="R198" i="2"/>
  <c r="D229" i="4"/>
  <c r="S193" i="2"/>
  <c r="E224" i="4"/>
  <c r="N224" i="4" s="1"/>
  <c r="R221" i="2"/>
  <c r="D254" i="4"/>
  <c r="S220" i="2"/>
  <c r="S218" i="2"/>
  <c r="E251" i="4"/>
  <c r="N251" i="4" s="1"/>
  <c r="R215" i="2"/>
  <c r="D248" i="4"/>
  <c r="R211" i="2"/>
  <c r="Y211" i="2" s="1"/>
  <c r="D244" i="4"/>
  <c r="R208" i="2"/>
  <c r="D239" i="4"/>
  <c r="R204" i="2"/>
  <c r="Y204" i="2" s="1"/>
  <c r="D235" i="4"/>
  <c r="R228" i="2"/>
  <c r="Y228" i="2" s="1"/>
  <c r="D263" i="4"/>
  <c r="W245" i="2"/>
  <c r="X249" i="2"/>
  <c r="M303" i="4"/>
  <c r="O303" i="4"/>
  <c r="M286" i="4"/>
  <c r="O286" i="4"/>
  <c r="M312" i="4"/>
  <c r="O312" i="4"/>
  <c r="M323" i="4"/>
  <c r="O323" i="4"/>
  <c r="M297" i="4"/>
  <c r="O297" i="4"/>
  <c r="S202" i="2"/>
  <c r="E233" i="4"/>
  <c r="N233" i="4" s="1"/>
  <c r="S200" i="2"/>
  <c r="E231" i="4"/>
  <c r="N231" i="4" s="1"/>
  <c r="S199" i="2"/>
  <c r="E230" i="4"/>
  <c r="N230" i="4" s="1"/>
  <c r="M228" i="4"/>
  <c r="R196" i="2"/>
  <c r="D227" i="4"/>
  <c r="S194" i="2"/>
  <c r="R191" i="2"/>
  <c r="Y191" i="2" s="1"/>
  <c r="D222" i="4"/>
  <c r="M233" i="4"/>
  <c r="R201" i="2"/>
  <c r="Y201" i="2" s="1"/>
  <c r="D232" i="4"/>
  <c r="R200" i="2"/>
  <c r="D231" i="4"/>
  <c r="R199" i="2"/>
  <c r="Y199" i="2" s="1"/>
  <c r="D230" i="4"/>
  <c r="X197" i="2"/>
  <c r="R195" i="2"/>
  <c r="Y195" i="2" s="1"/>
  <c r="D226" i="4"/>
  <c r="R194" i="2"/>
  <c r="R224" i="2"/>
  <c r="Y224" i="2" s="1"/>
  <c r="D257" i="4"/>
  <c r="S223" i="2"/>
  <c r="S221" i="2"/>
  <c r="E254" i="4"/>
  <c r="N254" i="4" s="1"/>
  <c r="S215" i="2"/>
  <c r="E248" i="4"/>
  <c r="N248" i="4" s="1"/>
  <c r="R214" i="2"/>
  <c r="Y214" i="2" s="1"/>
  <c r="S214" i="2"/>
  <c r="E247" i="4"/>
  <c r="N247" i="4" s="1"/>
  <c r="W213" i="2"/>
  <c r="R212" i="2"/>
  <c r="Y212" i="2" s="1"/>
  <c r="D245" i="4"/>
  <c r="R210" i="2"/>
  <c r="Y210" i="2" s="1"/>
  <c r="D242" i="4"/>
  <c r="M242" i="4" s="1"/>
  <c r="R209" i="2"/>
  <c r="Y209" i="2" s="1"/>
  <c r="D240" i="4"/>
  <c r="M238" i="4"/>
  <c r="O238" i="4"/>
  <c r="M237" i="4"/>
  <c r="R205" i="2"/>
  <c r="Y205" i="2" s="1"/>
  <c r="D236" i="4"/>
  <c r="R233" i="2"/>
  <c r="Y233" i="2" s="1"/>
  <c r="D272" i="4"/>
  <c r="R232" i="2"/>
  <c r="D270" i="4"/>
  <c r="M270" i="4" s="1"/>
  <c r="R229" i="2"/>
  <c r="Y229" i="2" s="1"/>
  <c r="D265" i="4"/>
  <c r="M265" i="4" s="1"/>
  <c r="R227" i="2"/>
  <c r="Y227" i="2" s="1"/>
  <c r="S227" i="2"/>
  <c r="E261" i="4"/>
  <c r="N261" i="4" s="1"/>
  <c r="R226" i="2"/>
  <c r="Y226" i="2" s="1"/>
  <c r="S226" i="2"/>
  <c r="E259" i="4"/>
  <c r="N259" i="4" s="1"/>
  <c r="S225" i="2"/>
  <c r="E258" i="4"/>
  <c r="N258" i="4" s="1"/>
  <c r="R238" i="2"/>
  <c r="D277" i="4"/>
  <c r="W265" i="2"/>
  <c r="X279" i="2"/>
  <c r="N305" i="4"/>
  <c r="O305" i="4"/>
  <c r="W262" i="2"/>
  <c r="W268" i="2"/>
  <c r="C268" i="3"/>
  <c r="W258" i="2"/>
  <c r="Y249" i="2"/>
  <c r="D249" i="3" s="1"/>
  <c r="E249" i="3" s="1"/>
  <c r="O317" i="4"/>
  <c r="W249" i="2"/>
  <c r="W244" i="2"/>
  <c r="X244" i="2"/>
  <c r="W256" i="2"/>
  <c r="X256" i="2"/>
  <c r="X245" i="2"/>
  <c r="W240" i="2"/>
  <c r="X240" i="2"/>
  <c r="W260" i="2"/>
  <c r="X260" i="2"/>
  <c r="C190" i="3"/>
  <c r="C203" i="3"/>
  <c r="C200" i="3"/>
  <c r="C223" i="3"/>
  <c r="C219" i="3"/>
  <c r="C213" i="3"/>
  <c r="C235" i="3"/>
  <c r="C197" i="3"/>
  <c r="W197" i="2"/>
  <c r="C209" i="3"/>
  <c r="W207" i="2"/>
  <c r="C207" i="3"/>
  <c r="X207" i="2"/>
  <c r="C205" i="3"/>
  <c r="C233" i="3"/>
  <c r="W211" i="2"/>
  <c r="C211" i="3"/>
  <c r="C225" i="3"/>
  <c r="C221" i="3"/>
  <c r="C236" i="3"/>
  <c r="X234" i="2"/>
  <c r="C232" i="3"/>
  <c r="C228" i="3"/>
  <c r="C222" i="3"/>
  <c r="C218" i="3"/>
  <c r="C214" i="3"/>
  <c r="C210" i="3"/>
  <c r="C206" i="3"/>
  <c r="X201" i="2"/>
  <c r="C199" i="3"/>
  <c r="C195" i="3"/>
  <c r="C191" i="3"/>
  <c r="Y198" i="2" l="1"/>
  <c r="E279" i="3"/>
  <c r="W201" i="2"/>
  <c r="E239" i="3"/>
  <c r="W225" i="2"/>
  <c r="X225" i="2"/>
  <c r="X235" i="2"/>
  <c r="X223" i="2"/>
  <c r="Y238" i="2"/>
  <c r="D238" i="3" s="1"/>
  <c r="E238" i="3" s="1"/>
  <c r="O228" i="4"/>
  <c r="Y208" i="2"/>
  <c r="Y232" i="2"/>
  <c r="W235" i="2"/>
  <c r="Y202" i="2"/>
  <c r="W233" i="2"/>
  <c r="Y206" i="2"/>
  <c r="X211" i="2"/>
  <c r="Y234" i="2"/>
  <c r="X196" i="2"/>
  <c r="C198" i="3"/>
  <c r="X198" i="2"/>
  <c r="C202" i="3"/>
  <c r="O237" i="4"/>
  <c r="O221" i="4"/>
  <c r="W196" i="2"/>
  <c r="X233" i="2"/>
  <c r="W223" i="2"/>
  <c r="Y213" i="2"/>
  <c r="Y192" i="2"/>
  <c r="Y223" i="2"/>
  <c r="W203" i="2"/>
  <c r="W190" i="2"/>
  <c r="Y221" i="2"/>
  <c r="W219" i="2"/>
  <c r="Y200" i="2"/>
  <c r="X219" i="2"/>
  <c r="O252" i="4"/>
  <c r="Y194" i="2"/>
  <c r="X200" i="2"/>
  <c r="W221" i="2"/>
  <c r="X213" i="2"/>
  <c r="Y225" i="2"/>
  <c r="O273" i="4"/>
  <c r="Y219" i="2"/>
  <c r="O224" i="4"/>
  <c r="M257" i="4"/>
  <c r="M231" i="4"/>
  <c r="O231" i="4"/>
  <c r="W194" i="2"/>
  <c r="C194" i="3"/>
  <c r="Y215" i="2"/>
  <c r="M254" i="4"/>
  <c r="O254" i="4"/>
  <c r="M229" i="4"/>
  <c r="O229" i="4"/>
  <c r="W239" i="2"/>
  <c r="X239" i="2"/>
  <c r="M276" i="4"/>
  <c r="O276" i="4"/>
  <c r="M251" i="4"/>
  <c r="O251" i="4"/>
  <c r="M258" i="4"/>
  <c r="O258" i="4"/>
  <c r="W200" i="2"/>
  <c r="X203" i="2"/>
  <c r="M277" i="4"/>
  <c r="O277" i="4"/>
  <c r="M240" i="4"/>
  <c r="M245" i="4"/>
  <c r="M235" i="4"/>
  <c r="M244" i="4"/>
  <c r="O244" i="4"/>
  <c r="M246" i="4"/>
  <c r="O246" i="4"/>
  <c r="O234" i="4"/>
  <c r="W215" i="2"/>
  <c r="X215" i="2"/>
  <c r="M253" i="4"/>
  <c r="O253" i="4"/>
  <c r="Y190" i="2"/>
  <c r="X194" i="2"/>
  <c r="M230" i="4"/>
  <c r="M232" i="4"/>
  <c r="O232" i="4"/>
  <c r="M222" i="4"/>
  <c r="O222" i="4"/>
  <c r="M227" i="4"/>
  <c r="O227" i="4"/>
  <c r="X280" i="2"/>
  <c r="W280" i="2"/>
  <c r="O274" i="4"/>
  <c r="X272" i="2"/>
  <c r="W272" i="2"/>
  <c r="M250" i="4"/>
  <c r="O250" i="4"/>
  <c r="M223" i="4"/>
  <c r="O247" i="4"/>
  <c r="W238" i="2"/>
  <c r="C238" i="3"/>
  <c r="M272" i="4"/>
  <c r="O272" i="4"/>
  <c r="W237" i="2"/>
  <c r="C237" i="3"/>
  <c r="M236" i="4"/>
  <c r="O236" i="4"/>
  <c r="M226" i="4"/>
  <c r="Y196" i="2"/>
  <c r="M263" i="4"/>
  <c r="O263" i="4"/>
  <c r="M239" i="4"/>
  <c r="O239" i="4"/>
  <c r="M248" i="4"/>
  <c r="O248" i="4"/>
  <c r="M249" i="4"/>
  <c r="M275" i="4"/>
  <c r="O275" i="4"/>
  <c r="Y217" i="2"/>
  <c r="U210" i="2"/>
  <c r="E210" i="3" s="1"/>
  <c r="X217" i="2"/>
  <c r="X220" i="2"/>
  <c r="X193" i="2"/>
  <c r="W217" i="2"/>
  <c r="C217" i="3"/>
  <c r="X205" i="2"/>
  <c r="C193" i="3"/>
  <c r="W193" i="2"/>
  <c r="W208" i="2"/>
  <c r="W234" i="2"/>
  <c r="C227" i="3"/>
  <c r="U227" i="2"/>
  <c r="E227" i="3" s="1"/>
  <c r="U232" i="2"/>
  <c r="E232" i="3" s="1"/>
  <c r="W205" i="2"/>
  <c r="X190" i="2"/>
  <c r="X238" i="2"/>
  <c r="X237" i="2"/>
  <c r="W236" i="2"/>
  <c r="X236" i="2"/>
  <c r="W228" i="2"/>
  <c r="X228" i="2"/>
  <c r="W220" i="2"/>
  <c r="X206" i="2"/>
  <c r="W206" i="2"/>
  <c r="X214" i="2"/>
  <c r="W214" i="2"/>
  <c r="W218" i="2"/>
  <c r="X218" i="2"/>
  <c r="W191" i="2"/>
  <c r="X191" i="2"/>
  <c r="X210" i="2" l="1"/>
  <c r="W210" i="2"/>
  <c r="X232" i="2"/>
  <c r="W232" i="2"/>
  <c r="W227" i="2"/>
  <c r="X227" i="2"/>
  <c r="E236" i="1"/>
  <c r="E236" i="2" s="1"/>
  <c r="D234" i="1"/>
  <c r="D234" i="2" s="1"/>
  <c r="F233" i="1"/>
  <c r="F233" i="2" s="1"/>
  <c r="E233" i="1"/>
  <c r="E233" i="2" s="1"/>
  <c r="D233" i="1"/>
  <c r="D233" i="2" s="1"/>
  <c r="C233" i="1"/>
  <c r="C233" i="2" s="1"/>
  <c r="K232" i="1"/>
  <c r="F232" i="1"/>
  <c r="F232" i="2" s="1"/>
  <c r="E232" i="1"/>
  <c r="E232" i="2" s="1"/>
  <c r="D232" i="1"/>
  <c r="D232" i="2" s="1"/>
  <c r="C232" i="1"/>
  <c r="C232" i="2" s="1"/>
  <c r="K229" i="1"/>
  <c r="F229" i="1"/>
  <c r="F229" i="2" s="1"/>
  <c r="E229" i="1"/>
  <c r="E229" i="2" s="1"/>
  <c r="D229" i="1"/>
  <c r="D229" i="2" s="1"/>
  <c r="C229" i="1"/>
  <c r="C229" i="2" s="1"/>
  <c r="F228" i="1"/>
  <c r="F228" i="2" s="1"/>
  <c r="E228" i="1"/>
  <c r="E228" i="2" s="1"/>
  <c r="C228" i="1"/>
  <c r="C228" i="2" s="1"/>
  <c r="K227" i="1"/>
  <c r="K226" i="1"/>
  <c r="K224" i="1"/>
  <c r="K222" i="1"/>
  <c r="K216" i="1"/>
  <c r="K212" i="1"/>
  <c r="K210" i="1"/>
  <c r="K209" i="1"/>
  <c r="K204" i="1"/>
  <c r="K202" i="1"/>
  <c r="K199" i="1"/>
  <c r="F197" i="1"/>
  <c r="F197" i="2" s="1"/>
  <c r="K195" i="1"/>
  <c r="K192" i="1"/>
  <c r="F226" i="4" l="1"/>
  <c r="O226" i="4" s="1"/>
  <c r="K195" i="2"/>
  <c r="F235" i="4"/>
  <c r="O235" i="4" s="1"/>
  <c r="K204" i="2"/>
  <c r="F249" i="4"/>
  <c r="O249" i="4" s="1"/>
  <c r="K216" i="2"/>
  <c r="F261" i="4"/>
  <c r="K227" i="2"/>
  <c r="F265" i="4"/>
  <c r="K229" i="2"/>
  <c r="J229" i="2" s="1"/>
  <c r="F240" i="4"/>
  <c r="O240" i="4" s="1"/>
  <c r="K209" i="2"/>
  <c r="F255" i="4"/>
  <c r="O255" i="4" s="1"/>
  <c r="K222" i="2"/>
  <c r="F270" i="4"/>
  <c r="K232" i="2"/>
  <c r="F230" i="4"/>
  <c r="O230" i="4" s="1"/>
  <c r="K199" i="2"/>
  <c r="F242" i="4"/>
  <c r="K210" i="2"/>
  <c r="F257" i="4"/>
  <c r="O257" i="4" s="1"/>
  <c r="K224" i="2"/>
  <c r="F223" i="4"/>
  <c r="O223" i="4" s="1"/>
  <c r="K192" i="2"/>
  <c r="F233" i="4"/>
  <c r="O233" i="4" s="1"/>
  <c r="K202" i="2"/>
  <c r="F245" i="4"/>
  <c r="O245" i="4" s="1"/>
  <c r="K212" i="2"/>
  <c r="F259" i="4"/>
  <c r="O259" i="4" s="1"/>
  <c r="K226" i="2"/>
  <c r="A186" i="4"/>
  <c r="J186" i="4" s="1"/>
  <c r="B186" i="4"/>
  <c r="K186" i="4" s="1"/>
  <c r="C186" i="4"/>
  <c r="L186" i="4" s="1"/>
  <c r="I186" i="4"/>
  <c r="A187" i="4"/>
  <c r="J187" i="4" s="1"/>
  <c r="B187" i="4"/>
  <c r="K187" i="4" s="1"/>
  <c r="C187" i="4"/>
  <c r="L187" i="4" s="1"/>
  <c r="I187" i="4"/>
  <c r="A188" i="4"/>
  <c r="J188" i="4" s="1"/>
  <c r="B188" i="4"/>
  <c r="K188" i="4" s="1"/>
  <c r="C188" i="4"/>
  <c r="L188" i="4" s="1"/>
  <c r="I188" i="4"/>
  <c r="A189" i="4"/>
  <c r="J189" i="4" s="1"/>
  <c r="B189" i="4"/>
  <c r="K189" i="4" s="1"/>
  <c r="C189" i="4"/>
  <c r="L189" i="4" s="1"/>
  <c r="I189" i="4"/>
  <c r="A190" i="4"/>
  <c r="J190" i="4" s="1"/>
  <c r="B190" i="4"/>
  <c r="K190" i="4" s="1"/>
  <c r="C190" i="4"/>
  <c r="L190" i="4" s="1"/>
  <c r="I190" i="4"/>
  <c r="A191" i="4"/>
  <c r="K191" i="4" s="1"/>
  <c r="B191" i="4"/>
  <c r="C191" i="4"/>
  <c r="F191" i="4"/>
  <c r="I191" i="4"/>
  <c r="A193" i="4"/>
  <c r="J193" i="4" s="1"/>
  <c r="B193" i="4"/>
  <c r="K193" i="4" s="1"/>
  <c r="L193" i="4"/>
  <c r="F193" i="4"/>
  <c r="I193" i="4"/>
  <c r="A195" i="4"/>
  <c r="J195" i="4" s="1"/>
  <c r="B195" i="4"/>
  <c r="K195" i="4" s="1"/>
  <c r="C195" i="4"/>
  <c r="L195" i="4" s="1"/>
  <c r="F195" i="4"/>
  <c r="I195" i="4"/>
  <c r="A196" i="4"/>
  <c r="J196" i="4" s="1"/>
  <c r="B196" i="4"/>
  <c r="K196" i="4" s="1"/>
  <c r="C196" i="4"/>
  <c r="L196" i="4" s="1"/>
  <c r="F196" i="4"/>
  <c r="I196" i="4"/>
  <c r="A197" i="4"/>
  <c r="J197" i="4" s="1"/>
  <c r="B197" i="4"/>
  <c r="K197" i="4" s="1"/>
  <c r="C197" i="4"/>
  <c r="L197" i="4" s="1"/>
  <c r="F197" i="4"/>
  <c r="I197" i="4"/>
  <c r="A198" i="4"/>
  <c r="J198" i="4" s="1"/>
  <c r="B198" i="4"/>
  <c r="K198" i="4" s="1"/>
  <c r="C198" i="4"/>
  <c r="L198" i="4" s="1"/>
  <c r="I198" i="4"/>
  <c r="A199" i="4"/>
  <c r="J199" i="4" s="1"/>
  <c r="B199" i="4"/>
  <c r="K199" i="4" s="1"/>
  <c r="C199" i="4"/>
  <c r="L199" i="4" s="1"/>
  <c r="I199" i="4"/>
  <c r="A200" i="4"/>
  <c r="J200" i="4" s="1"/>
  <c r="B200" i="4"/>
  <c r="K200" i="4" s="1"/>
  <c r="C200" i="4"/>
  <c r="L200" i="4" s="1"/>
  <c r="I200" i="4"/>
  <c r="A201" i="4"/>
  <c r="J201" i="4" s="1"/>
  <c r="B201" i="4"/>
  <c r="K201" i="4" s="1"/>
  <c r="C201" i="4"/>
  <c r="L201" i="4" s="1"/>
  <c r="I201" i="4"/>
  <c r="A202" i="4"/>
  <c r="J202" i="4" s="1"/>
  <c r="B202" i="4"/>
  <c r="K202" i="4" s="1"/>
  <c r="C202" i="4"/>
  <c r="L202" i="4" s="1"/>
  <c r="I202" i="4"/>
  <c r="A203" i="4"/>
  <c r="J203" i="4" s="1"/>
  <c r="B203" i="4"/>
  <c r="K203" i="4" s="1"/>
  <c r="C203" i="4"/>
  <c r="L203" i="4" s="1"/>
  <c r="I203" i="4"/>
  <c r="A204" i="4"/>
  <c r="J204" i="4" s="1"/>
  <c r="B204" i="4"/>
  <c r="K204" i="4" s="1"/>
  <c r="C204" i="4"/>
  <c r="L204" i="4" s="1"/>
  <c r="I204" i="4"/>
  <c r="A205" i="4"/>
  <c r="J205" i="4" s="1"/>
  <c r="B205" i="4"/>
  <c r="K205" i="4" s="1"/>
  <c r="C205" i="4"/>
  <c r="L205" i="4" s="1"/>
  <c r="I205" i="4"/>
  <c r="A206" i="4"/>
  <c r="J206" i="4" s="1"/>
  <c r="B206" i="4"/>
  <c r="K206" i="4" s="1"/>
  <c r="C206" i="4"/>
  <c r="L206" i="4" s="1"/>
  <c r="F206" i="4"/>
  <c r="I206" i="4"/>
  <c r="A207" i="4"/>
  <c r="J207" i="4" s="1"/>
  <c r="B207" i="4"/>
  <c r="K207" i="4" s="1"/>
  <c r="C207" i="4"/>
  <c r="L207" i="4" s="1"/>
  <c r="F207" i="4"/>
  <c r="I207" i="4"/>
  <c r="A208" i="4"/>
  <c r="J208" i="4" s="1"/>
  <c r="B208" i="4"/>
  <c r="K208" i="4" s="1"/>
  <c r="C208" i="4"/>
  <c r="L208" i="4" s="1"/>
  <c r="I208" i="4"/>
  <c r="A209" i="4"/>
  <c r="J209" i="4" s="1"/>
  <c r="B209" i="4"/>
  <c r="K209" i="4" s="1"/>
  <c r="C209" i="4"/>
  <c r="L209" i="4" s="1"/>
  <c r="F209" i="4"/>
  <c r="I209" i="4"/>
  <c r="A210" i="4"/>
  <c r="J210" i="4" s="1"/>
  <c r="B210" i="4"/>
  <c r="K210" i="4" s="1"/>
  <c r="C210" i="4"/>
  <c r="L210" i="4" s="1"/>
  <c r="I210" i="4"/>
  <c r="A211" i="4"/>
  <c r="J211" i="4" s="1"/>
  <c r="B211" i="4"/>
  <c r="K211" i="4" s="1"/>
  <c r="C211" i="4"/>
  <c r="L211" i="4" s="1"/>
  <c r="I211" i="4"/>
  <c r="A212" i="4"/>
  <c r="J212" i="4" s="1"/>
  <c r="B212" i="4"/>
  <c r="K212" i="4" s="1"/>
  <c r="C212" i="4"/>
  <c r="L212" i="4" s="1"/>
  <c r="F212" i="4"/>
  <c r="I212" i="4"/>
  <c r="A213" i="4"/>
  <c r="J213" i="4" s="1"/>
  <c r="B213" i="4"/>
  <c r="K213" i="4" s="1"/>
  <c r="C213" i="4"/>
  <c r="L213" i="4" s="1"/>
  <c r="F213" i="4"/>
  <c r="I213" i="4"/>
  <c r="A214" i="4"/>
  <c r="J214" i="4" s="1"/>
  <c r="B214" i="4"/>
  <c r="K214" i="4" s="1"/>
  <c r="C214" i="4"/>
  <c r="L214" i="4" s="1"/>
  <c r="F214" i="4"/>
  <c r="I214" i="4"/>
  <c r="A215" i="4"/>
  <c r="J215" i="4" s="1"/>
  <c r="B215" i="4"/>
  <c r="K215" i="4" s="1"/>
  <c r="C215" i="4"/>
  <c r="L215" i="4" s="1"/>
  <c r="I215" i="4"/>
  <c r="A157" i="4"/>
  <c r="J157" i="4" s="1"/>
  <c r="B157" i="4"/>
  <c r="K157" i="4" s="1"/>
  <c r="C157" i="4"/>
  <c r="L157" i="4" s="1"/>
  <c r="F157" i="4"/>
  <c r="I157" i="4"/>
  <c r="A158" i="4"/>
  <c r="J158" i="4" s="1"/>
  <c r="B158" i="4"/>
  <c r="K158" i="4" s="1"/>
  <c r="C158" i="4"/>
  <c r="L158" i="4" s="1"/>
  <c r="F158" i="4"/>
  <c r="I158" i="4"/>
  <c r="A159" i="4"/>
  <c r="J159" i="4" s="1"/>
  <c r="B159" i="4"/>
  <c r="K159" i="4" s="1"/>
  <c r="C159" i="4"/>
  <c r="L159" i="4" s="1"/>
  <c r="F159" i="4"/>
  <c r="I159" i="4"/>
  <c r="A160" i="4"/>
  <c r="J160" i="4" s="1"/>
  <c r="B160" i="4"/>
  <c r="K160" i="4" s="1"/>
  <c r="C160" i="4"/>
  <c r="L160" i="4" s="1"/>
  <c r="I160" i="4"/>
  <c r="A161" i="4"/>
  <c r="J161" i="4" s="1"/>
  <c r="B161" i="4"/>
  <c r="K161" i="4" s="1"/>
  <c r="C161" i="4"/>
  <c r="L161" i="4" s="1"/>
  <c r="I161" i="4"/>
  <c r="A162" i="4"/>
  <c r="J162" i="4" s="1"/>
  <c r="B162" i="4"/>
  <c r="K162" i="4" s="1"/>
  <c r="C162" i="4"/>
  <c r="L162" i="4" s="1"/>
  <c r="F162" i="4"/>
  <c r="I162" i="4"/>
  <c r="A163" i="4"/>
  <c r="J163" i="4" s="1"/>
  <c r="B163" i="4"/>
  <c r="K163" i="4" s="1"/>
  <c r="C163" i="4"/>
  <c r="L163" i="4" s="1"/>
  <c r="I163" i="4"/>
  <c r="A164" i="4"/>
  <c r="J164" i="4" s="1"/>
  <c r="B164" i="4"/>
  <c r="K164" i="4" s="1"/>
  <c r="C164" i="4"/>
  <c r="L164" i="4" s="1"/>
  <c r="I164" i="4"/>
  <c r="A165" i="4"/>
  <c r="J165" i="4" s="1"/>
  <c r="B165" i="4"/>
  <c r="K165" i="4" s="1"/>
  <c r="C165" i="4"/>
  <c r="L165" i="4" s="1"/>
  <c r="I165" i="4"/>
  <c r="A166" i="4"/>
  <c r="J166" i="4" s="1"/>
  <c r="B166" i="4"/>
  <c r="K166" i="4" s="1"/>
  <c r="C166" i="4"/>
  <c r="L166" i="4" s="1"/>
  <c r="I166" i="4"/>
  <c r="A167" i="4"/>
  <c r="J167" i="4" s="1"/>
  <c r="B167" i="4"/>
  <c r="K167" i="4" s="1"/>
  <c r="C167" i="4"/>
  <c r="L167" i="4" s="1"/>
  <c r="I167" i="4"/>
  <c r="A169" i="4"/>
  <c r="J169" i="4" s="1"/>
  <c r="B169" i="4"/>
  <c r="K169" i="4" s="1"/>
  <c r="C169" i="4"/>
  <c r="L169" i="4" s="1"/>
  <c r="F169" i="4"/>
  <c r="I169" i="4"/>
  <c r="A170" i="4"/>
  <c r="K170" i="4" s="1"/>
  <c r="B170" i="4"/>
  <c r="C170" i="4"/>
  <c r="F170" i="4"/>
  <c r="I170" i="4"/>
  <c r="A172" i="4"/>
  <c r="J172" i="4" s="1"/>
  <c r="B172" i="4"/>
  <c r="K172" i="4" s="1"/>
  <c r="L172" i="4"/>
  <c r="F172" i="4"/>
  <c r="I172" i="4"/>
  <c r="A174" i="4"/>
  <c r="J174" i="4" s="1"/>
  <c r="B174" i="4"/>
  <c r="K174" i="4" s="1"/>
  <c r="C174" i="4"/>
  <c r="L174" i="4" s="1"/>
  <c r="I174" i="4"/>
  <c r="A175" i="4"/>
  <c r="J175" i="4" s="1"/>
  <c r="B175" i="4"/>
  <c r="K175" i="4" s="1"/>
  <c r="C175" i="4"/>
  <c r="L175" i="4" s="1"/>
  <c r="I175" i="4"/>
  <c r="A176" i="4"/>
  <c r="J176" i="4" s="1"/>
  <c r="B176" i="4"/>
  <c r="K176" i="4" s="1"/>
  <c r="C176" i="4"/>
  <c r="L176" i="4" s="1"/>
  <c r="I176" i="4"/>
  <c r="A177" i="4"/>
  <c r="J177" i="4" s="1"/>
  <c r="B177" i="4"/>
  <c r="K177" i="4" s="1"/>
  <c r="C177" i="4"/>
  <c r="L177" i="4" s="1"/>
  <c r="F177" i="4"/>
  <c r="I177" i="4"/>
  <c r="A178" i="4"/>
  <c r="J178" i="4" s="1"/>
  <c r="B178" i="4"/>
  <c r="K178" i="4" s="1"/>
  <c r="C178" i="4"/>
  <c r="L178" i="4" s="1"/>
  <c r="F178" i="4"/>
  <c r="I178" i="4"/>
  <c r="A179" i="4"/>
  <c r="J179" i="4" s="1"/>
  <c r="B179" i="4"/>
  <c r="K179" i="4" s="1"/>
  <c r="C179" i="4"/>
  <c r="L179" i="4" s="1"/>
  <c r="I179" i="4"/>
  <c r="A180" i="4"/>
  <c r="J180" i="4" s="1"/>
  <c r="B180" i="4"/>
  <c r="K180" i="4" s="1"/>
  <c r="C180" i="4"/>
  <c r="L180" i="4" s="1"/>
  <c r="I180" i="4"/>
  <c r="A181" i="4"/>
  <c r="J181" i="4" s="1"/>
  <c r="B181" i="4"/>
  <c r="K181" i="4" s="1"/>
  <c r="C181" i="4"/>
  <c r="L181" i="4" s="1"/>
  <c r="I181" i="4"/>
  <c r="A182" i="4"/>
  <c r="J182" i="4" s="1"/>
  <c r="B182" i="4"/>
  <c r="K182" i="4" s="1"/>
  <c r="C182" i="4"/>
  <c r="L182" i="4" s="1"/>
  <c r="I182" i="4"/>
  <c r="A183" i="4"/>
  <c r="J183" i="4" s="1"/>
  <c r="B183" i="4"/>
  <c r="K183" i="4" s="1"/>
  <c r="C183" i="4"/>
  <c r="L183" i="4" s="1"/>
  <c r="I183" i="4"/>
  <c r="A184" i="4"/>
  <c r="J184" i="4" s="1"/>
  <c r="B184" i="4"/>
  <c r="K184" i="4" s="1"/>
  <c r="C184" i="4"/>
  <c r="L184" i="4" s="1"/>
  <c r="I184" i="4"/>
  <c r="A185" i="4"/>
  <c r="J185" i="4" s="1"/>
  <c r="B185" i="4"/>
  <c r="K185" i="4" s="1"/>
  <c r="C185" i="4"/>
  <c r="L185" i="4" s="1"/>
  <c r="F185" i="4"/>
  <c r="I185" i="4"/>
  <c r="A151" i="4"/>
  <c r="J151" i="4" s="1"/>
  <c r="B151" i="4"/>
  <c r="K151" i="4" s="1"/>
  <c r="C151" i="4"/>
  <c r="L151" i="4" s="1"/>
  <c r="F151" i="4"/>
  <c r="I151" i="4"/>
  <c r="A152" i="4"/>
  <c r="J152" i="4" s="1"/>
  <c r="B152" i="4"/>
  <c r="K152" i="4" s="1"/>
  <c r="C152" i="4"/>
  <c r="L152" i="4" s="1"/>
  <c r="I152" i="4"/>
  <c r="A153" i="4"/>
  <c r="J153" i="4" s="1"/>
  <c r="B153" i="4"/>
  <c r="K153" i="4" s="1"/>
  <c r="C153" i="4"/>
  <c r="L153" i="4" s="1"/>
  <c r="F153" i="4"/>
  <c r="I153" i="4"/>
  <c r="A154" i="4"/>
  <c r="J154" i="4" s="1"/>
  <c r="B154" i="4"/>
  <c r="K154" i="4" s="1"/>
  <c r="C154" i="4"/>
  <c r="L154" i="4" s="1"/>
  <c r="F154" i="4"/>
  <c r="I154" i="4"/>
  <c r="A155" i="4"/>
  <c r="J155" i="4" s="1"/>
  <c r="B155" i="4"/>
  <c r="K155" i="4" s="1"/>
  <c r="C155" i="4"/>
  <c r="L155" i="4" s="1"/>
  <c r="F155" i="4"/>
  <c r="I155" i="4"/>
  <c r="A156" i="4"/>
  <c r="J156" i="4" s="1"/>
  <c r="B156" i="4"/>
  <c r="K156" i="4" s="1"/>
  <c r="C156" i="4"/>
  <c r="L156" i="4" s="1"/>
  <c r="F156" i="4"/>
  <c r="I156" i="4"/>
  <c r="E152" i="4"/>
  <c r="N152" i="4" s="1"/>
  <c r="S126" i="2"/>
  <c r="E154" i="4"/>
  <c r="N154" i="4" s="1"/>
  <c r="E156" i="4"/>
  <c r="N156" i="4" s="1"/>
  <c r="E157" i="4"/>
  <c r="N157" i="4" s="1"/>
  <c r="E158" i="4"/>
  <c r="N158" i="4" s="1"/>
  <c r="E159" i="4"/>
  <c r="N159" i="4" s="1"/>
  <c r="E160" i="4"/>
  <c r="N160" i="4" s="1"/>
  <c r="E161" i="4"/>
  <c r="N161" i="4" s="1"/>
  <c r="E162" i="4"/>
  <c r="N162" i="4" s="1"/>
  <c r="E163" i="4"/>
  <c r="N163" i="4" s="1"/>
  <c r="E164" i="4"/>
  <c r="N164" i="4" s="1"/>
  <c r="E165" i="4"/>
  <c r="N165" i="4" s="1"/>
  <c r="E166" i="4"/>
  <c r="N166" i="4" s="1"/>
  <c r="E167" i="4"/>
  <c r="N167" i="4" s="1"/>
  <c r="E169" i="4"/>
  <c r="N169" i="4" s="1"/>
  <c r="E170" i="4"/>
  <c r="E172" i="4"/>
  <c r="E174" i="4"/>
  <c r="N174" i="4" s="1"/>
  <c r="E176" i="4"/>
  <c r="N176" i="4" s="1"/>
  <c r="E178" i="4"/>
  <c r="N178" i="4" s="1"/>
  <c r="E180" i="4"/>
  <c r="N180" i="4" s="1"/>
  <c r="E182" i="4"/>
  <c r="N182" i="4" s="1"/>
  <c r="E184" i="4"/>
  <c r="N184" i="4" s="1"/>
  <c r="E186" i="4"/>
  <c r="N186" i="4" s="1"/>
  <c r="E188" i="4"/>
  <c r="N188" i="4" s="1"/>
  <c r="E189" i="4"/>
  <c r="N189" i="4" s="1"/>
  <c r="E190" i="4"/>
  <c r="N190" i="4" s="1"/>
  <c r="E191" i="4"/>
  <c r="E193" i="4"/>
  <c r="E195" i="4"/>
  <c r="N195" i="4" s="1"/>
  <c r="E196" i="4"/>
  <c r="N196" i="4" s="1"/>
  <c r="E197" i="4"/>
  <c r="N197" i="4" s="1"/>
  <c r="E198" i="4"/>
  <c r="N198" i="4" s="1"/>
  <c r="E199" i="4"/>
  <c r="N199" i="4" s="1"/>
  <c r="S170" i="2"/>
  <c r="E201" i="4"/>
  <c r="N201" i="4" s="1"/>
  <c r="E203" i="4"/>
  <c r="N203" i="4" s="1"/>
  <c r="E205" i="4"/>
  <c r="N205" i="4" s="1"/>
  <c r="E207" i="4"/>
  <c r="N207" i="4" s="1"/>
  <c r="E209" i="4"/>
  <c r="N209" i="4" s="1"/>
  <c r="E211" i="4"/>
  <c r="N211" i="4" s="1"/>
  <c r="E213" i="4"/>
  <c r="N213" i="4" s="1"/>
  <c r="E214" i="4"/>
  <c r="N214" i="4" s="1"/>
  <c r="E216" i="4"/>
  <c r="E218" i="4"/>
  <c r="E219" i="4"/>
  <c r="S123" i="2"/>
  <c r="E151" i="4"/>
  <c r="N151" i="4" s="1"/>
  <c r="A181" i="2"/>
  <c r="A181" i="3" s="1"/>
  <c r="B181" i="2"/>
  <c r="B181" i="3" s="1"/>
  <c r="C181" i="2"/>
  <c r="D181" i="2"/>
  <c r="E181" i="2"/>
  <c r="F181" i="2"/>
  <c r="D211" i="4"/>
  <c r="M211" i="4" s="1"/>
  <c r="T181" i="2"/>
  <c r="D181" i="3" s="1"/>
  <c r="L181" i="2"/>
  <c r="M181" i="2"/>
  <c r="N181" i="2"/>
  <c r="P181" i="2"/>
  <c r="H211" i="4" s="1"/>
  <c r="P211" i="4" s="1"/>
  <c r="R181" i="2"/>
  <c r="A182" i="2"/>
  <c r="A182" i="3" s="1"/>
  <c r="B182" i="2"/>
  <c r="B182" i="3" s="1"/>
  <c r="C182" i="2"/>
  <c r="D182" i="2"/>
  <c r="E182" i="2"/>
  <c r="F182" i="2"/>
  <c r="D212" i="4"/>
  <c r="M212" i="4" s="1"/>
  <c r="T182" i="2"/>
  <c r="D182" i="3" s="1"/>
  <c r="K182" i="2"/>
  <c r="L182" i="2"/>
  <c r="M182" i="2"/>
  <c r="N182" i="2"/>
  <c r="P182" i="2"/>
  <c r="H212" i="4" s="1"/>
  <c r="P212" i="4" s="1"/>
  <c r="A183" i="2"/>
  <c r="A183" i="3" s="1"/>
  <c r="B183" i="2"/>
  <c r="B183" i="3" s="1"/>
  <c r="C183" i="2"/>
  <c r="D183" i="2"/>
  <c r="E183" i="2"/>
  <c r="F183" i="2"/>
  <c r="T183" i="2"/>
  <c r="D183" i="3" s="1"/>
  <c r="K183" i="2"/>
  <c r="C183" i="3" s="1"/>
  <c r="L183" i="2"/>
  <c r="M183" i="2"/>
  <c r="N183" i="2"/>
  <c r="P183" i="2"/>
  <c r="H213" i="4" s="1"/>
  <c r="P213" i="4" s="1"/>
  <c r="A184" i="2"/>
  <c r="A184" i="3" s="1"/>
  <c r="B184" i="2"/>
  <c r="B184" i="3" s="1"/>
  <c r="C184" i="2"/>
  <c r="D184" i="2"/>
  <c r="E184" i="2"/>
  <c r="F184" i="2"/>
  <c r="R184" i="2"/>
  <c r="T184" i="2"/>
  <c r="D184" i="3" s="1"/>
  <c r="K184" i="2"/>
  <c r="L184" i="2"/>
  <c r="M184" i="2"/>
  <c r="N184" i="2"/>
  <c r="P184" i="2"/>
  <c r="H214" i="4" s="1"/>
  <c r="P214" i="4" s="1"/>
  <c r="A185" i="2"/>
  <c r="A185" i="3" s="1"/>
  <c r="B185" i="2"/>
  <c r="B185" i="3" s="1"/>
  <c r="C185" i="2"/>
  <c r="D185" i="2"/>
  <c r="E185" i="2"/>
  <c r="F185" i="2"/>
  <c r="D215" i="4"/>
  <c r="M215" i="4" s="1"/>
  <c r="T185" i="2"/>
  <c r="D185" i="3" s="1"/>
  <c r="L185" i="2"/>
  <c r="M185" i="2"/>
  <c r="N185" i="2"/>
  <c r="P185" i="2"/>
  <c r="H215" i="4" s="1"/>
  <c r="P215" i="4" s="1"/>
  <c r="A186" i="2"/>
  <c r="A186" i="3" s="1"/>
  <c r="B186" i="2"/>
  <c r="B186" i="3" s="1"/>
  <c r="C186" i="2"/>
  <c r="D186" i="2"/>
  <c r="E186" i="2"/>
  <c r="F186" i="2"/>
  <c r="D216" i="4"/>
  <c r="L186" i="2"/>
  <c r="M186" i="2"/>
  <c r="N186" i="2"/>
  <c r="G216" i="4" s="1"/>
  <c r="P186" i="2"/>
  <c r="H216" i="4" s="1"/>
  <c r="P216" i="4" s="1"/>
  <c r="A187" i="2"/>
  <c r="A187" i="3" s="1"/>
  <c r="B187" i="2"/>
  <c r="B187" i="3" s="1"/>
  <c r="C187" i="2"/>
  <c r="D187" i="2"/>
  <c r="E187" i="2"/>
  <c r="F187" i="2"/>
  <c r="K187" i="2"/>
  <c r="J187" i="2" s="1"/>
  <c r="L187" i="2"/>
  <c r="M187" i="2"/>
  <c r="N187" i="2"/>
  <c r="P187" i="2"/>
  <c r="A188" i="2"/>
  <c r="A188" i="3" s="1"/>
  <c r="B188" i="2"/>
  <c r="B188" i="3" s="1"/>
  <c r="C188" i="2"/>
  <c r="D188" i="2"/>
  <c r="E188" i="2"/>
  <c r="F188" i="2"/>
  <c r="D218" i="4"/>
  <c r="K188" i="2"/>
  <c r="J188" i="2" s="1"/>
  <c r="L188" i="2"/>
  <c r="M188" i="2"/>
  <c r="N188" i="2"/>
  <c r="G218" i="4" s="1"/>
  <c r="P188" i="2"/>
  <c r="H218" i="4" s="1"/>
  <c r="P218" i="4" s="1"/>
  <c r="A189" i="2"/>
  <c r="A189" i="3" s="1"/>
  <c r="B189" i="2"/>
  <c r="B189" i="3" s="1"/>
  <c r="C189" i="2"/>
  <c r="D189" i="2"/>
  <c r="E189" i="2"/>
  <c r="F189" i="2"/>
  <c r="D219" i="4"/>
  <c r="K189" i="2"/>
  <c r="J189" i="2" s="1"/>
  <c r="L189" i="2"/>
  <c r="M189" i="2"/>
  <c r="N189" i="2"/>
  <c r="G219" i="4" s="1"/>
  <c r="P189" i="2"/>
  <c r="H219" i="4" s="1"/>
  <c r="P219" i="4" s="1"/>
  <c r="A170" i="2"/>
  <c r="A170" i="3" s="1"/>
  <c r="B170" i="2"/>
  <c r="B170" i="3" s="1"/>
  <c r="C170" i="2"/>
  <c r="D170" i="2"/>
  <c r="E170" i="2"/>
  <c r="F170" i="2"/>
  <c r="D200" i="4"/>
  <c r="M200" i="4" s="1"/>
  <c r="T170" i="2"/>
  <c r="D170" i="3" s="1"/>
  <c r="L170" i="2"/>
  <c r="M170" i="2"/>
  <c r="N170" i="2"/>
  <c r="P170" i="2"/>
  <c r="H200" i="4" s="1"/>
  <c r="P200" i="4" s="1"/>
  <c r="A171" i="2"/>
  <c r="A171" i="3" s="1"/>
  <c r="B171" i="2"/>
  <c r="B171" i="3" s="1"/>
  <c r="C171" i="2"/>
  <c r="D171" i="2"/>
  <c r="E171" i="2"/>
  <c r="F171" i="2"/>
  <c r="D201" i="4"/>
  <c r="M201" i="4" s="1"/>
  <c r="T171" i="2"/>
  <c r="D171" i="3" s="1"/>
  <c r="L171" i="2"/>
  <c r="M171" i="2"/>
  <c r="N171" i="2"/>
  <c r="P171" i="2"/>
  <c r="H201" i="4" s="1"/>
  <c r="P201" i="4" s="1"/>
  <c r="S171" i="2"/>
  <c r="A172" i="2"/>
  <c r="A172" i="3" s="1"/>
  <c r="B172" i="2"/>
  <c r="B172" i="3" s="1"/>
  <c r="C172" i="2"/>
  <c r="D172" i="2"/>
  <c r="F172" i="2"/>
  <c r="D202" i="4"/>
  <c r="M202" i="4" s="1"/>
  <c r="T172" i="2"/>
  <c r="D172" i="3" s="1"/>
  <c r="L172" i="2"/>
  <c r="M172" i="2"/>
  <c r="N172" i="2"/>
  <c r="P172" i="2"/>
  <c r="H202" i="4" s="1"/>
  <c r="P202" i="4" s="1"/>
  <c r="A173" i="2"/>
  <c r="A173" i="3" s="1"/>
  <c r="B173" i="2"/>
  <c r="B173" i="3" s="1"/>
  <c r="C173" i="2"/>
  <c r="D173" i="2"/>
  <c r="E173" i="2"/>
  <c r="F173" i="2"/>
  <c r="T173" i="2"/>
  <c r="D173" i="3" s="1"/>
  <c r="L173" i="2"/>
  <c r="M173" i="2"/>
  <c r="N173" i="2"/>
  <c r="P173" i="2"/>
  <c r="H203" i="4" s="1"/>
  <c r="P203" i="4" s="1"/>
  <c r="A174" i="2"/>
  <c r="A174" i="3" s="1"/>
  <c r="B174" i="2"/>
  <c r="B174" i="3" s="1"/>
  <c r="C174" i="2"/>
  <c r="D174" i="2"/>
  <c r="E174" i="2"/>
  <c r="F174" i="2"/>
  <c r="D204" i="4"/>
  <c r="M204" i="4" s="1"/>
  <c r="T174" i="2"/>
  <c r="D174" i="3" s="1"/>
  <c r="L174" i="2"/>
  <c r="M174" i="2"/>
  <c r="N174" i="2"/>
  <c r="P174" i="2"/>
  <c r="H204" i="4" s="1"/>
  <c r="P204" i="4" s="1"/>
  <c r="A175" i="2"/>
  <c r="A175" i="3" s="1"/>
  <c r="B175" i="2"/>
  <c r="B175" i="3" s="1"/>
  <c r="C175" i="2"/>
  <c r="D175" i="2"/>
  <c r="E175" i="2"/>
  <c r="F175" i="2"/>
  <c r="T175" i="2"/>
  <c r="D175" i="3" s="1"/>
  <c r="L175" i="2"/>
  <c r="M175" i="2"/>
  <c r="N175" i="2"/>
  <c r="P175" i="2"/>
  <c r="H205" i="4" s="1"/>
  <c r="P205" i="4" s="1"/>
  <c r="S175" i="2"/>
  <c r="A176" i="2"/>
  <c r="A176" i="3" s="1"/>
  <c r="B176" i="2"/>
  <c r="B176" i="3" s="1"/>
  <c r="C176" i="2"/>
  <c r="D176" i="2"/>
  <c r="E176" i="2"/>
  <c r="F176" i="2"/>
  <c r="D206" i="4"/>
  <c r="M206" i="4" s="1"/>
  <c r="K176" i="2"/>
  <c r="L176" i="2"/>
  <c r="M176" i="2"/>
  <c r="N176" i="2"/>
  <c r="P176" i="2"/>
  <c r="H206" i="4" s="1"/>
  <c r="P206" i="4" s="1"/>
  <c r="T176" i="2"/>
  <c r="D176" i="3" s="1"/>
  <c r="A177" i="2"/>
  <c r="A177" i="3" s="1"/>
  <c r="B177" i="2"/>
  <c r="B177" i="3" s="1"/>
  <c r="C177" i="2"/>
  <c r="D177" i="2"/>
  <c r="E177" i="2"/>
  <c r="F177" i="2"/>
  <c r="D207" i="4"/>
  <c r="M207" i="4" s="1"/>
  <c r="T177" i="2"/>
  <c r="D177" i="3" s="1"/>
  <c r="K177" i="2"/>
  <c r="L177" i="2"/>
  <c r="M177" i="2"/>
  <c r="N177" i="2"/>
  <c r="P177" i="2"/>
  <c r="H207" i="4" s="1"/>
  <c r="P207" i="4" s="1"/>
  <c r="R177" i="2"/>
  <c r="A178" i="2"/>
  <c r="A178" i="3" s="1"/>
  <c r="B178" i="2"/>
  <c r="B178" i="3" s="1"/>
  <c r="C178" i="2"/>
  <c r="D178" i="2"/>
  <c r="E178" i="2"/>
  <c r="F178" i="2"/>
  <c r="D208" i="4"/>
  <c r="M208" i="4" s="1"/>
  <c r="L178" i="2"/>
  <c r="M178" i="2"/>
  <c r="N178" i="2"/>
  <c r="P178" i="2"/>
  <c r="H208" i="4" s="1"/>
  <c r="P208" i="4" s="1"/>
  <c r="R178" i="2"/>
  <c r="Y178" i="2" s="1"/>
  <c r="T178" i="2"/>
  <c r="D178" i="3" s="1"/>
  <c r="A179" i="2"/>
  <c r="A179" i="3" s="1"/>
  <c r="B179" i="2"/>
  <c r="B179" i="3" s="1"/>
  <c r="C179" i="2"/>
  <c r="D179" i="2"/>
  <c r="E179" i="2"/>
  <c r="F179" i="2"/>
  <c r="D209" i="4"/>
  <c r="M209" i="4" s="1"/>
  <c r="T179" i="2"/>
  <c r="D179" i="3" s="1"/>
  <c r="K179" i="2"/>
  <c r="L179" i="2"/>
  <c r="M179" i="2"/>
  <c r="N179" i="2"/>
  <c r="P179" i="2"/>
  <c r="H209" i="4" s="1"/>
  <c r="P209" i="4" s="1"/>
  <c r="R179" i="2"/>
  <c r="S179" i="2"/>
  <c r="A180" i="2"/>
  <c r="A180" i="3" s="1"/>
  <c r="B180" i="2"/>
  <c r="B180" i="3" s="1"/>
  <c r="C180" i="2"/>
  <c r="D180" i="2"/>
  <c r="E180" i="2"/>
  <c r="F180" i="2"/>
  <c r="D210" i="4"/>
  <c r="M210" i="4" s="1"/>
  <c r="T180" i="2"/>
  <c r="D180" i="3" s="1"/>
  <c r="L180" i="2"/>
  <c r="M180" i="2"/>
  <c r="N180" i="2"/>
  <c r="P180" i="2"/>
  <c r="H210" i="4" s="1"/>
  <c r="P210" i="4" s="1"/>
  <c r="R180" i="2"/>
  <c r="Y180" i="2" s="1"/>
  <c r="A162" i="2"/>
  <c r="A162" i="3" s="1"/>
  <c r="B162" i="2"/>
  <c r="B162" i="3" s="1"/>
  <c r="C162" i="2"/>
  <c r="D162" i="2"/>
  <c r="E162" i="2"/>
  <c r="F162" i="2"/>
  <c r="D191" i="4"/>
  <c r="K162" i="2"/>
  <c r="J162" i="2" s="1"/>
  <c r="L162" i="2"/>
  <c r="M162" i="2"/>
  <c r="N162" i="2"/>
  <c r="G191" i="4" s="1"/>
  <c r="P162" i="2"/>
  <c r="H191" i="4" s="1"/>
  <c r="P191" i="4" s="1"/>
  <c r="A163" i="2"/>
  <c r="A163" i="3" s="1"/>
  <c r="B163" i="2"/>
  <c r="B163" i="3" s="1"/>
  <c r="C163" i="2"/>
  <c r="D163" i="2"/>
  <c r="E163" i="2"/>
  <c r="F163" i="2"/>
  <c r="K163" i="2"/>
  <c r="J163" i="2" s="1"/>
  <c r="L163" i="2"/>
  <c r="M163" i="2"/>
  <c r="N163" i="2"/>
  <c r="P163" i="2"/>
  <c r="A164" i="2"/>
  <c r="A164" i="3" s="1"/>
  <c r="B164" i="2"/>
  <c r="B164" i="3" s="1"/>
  <c r="C164" i="2"/>
  <c r="D164" i="2"/>
  <c r="E164" i="2"/>
  <c r="F164" i="2"/>
  <c r="D193" i="4"/>
  <c r="K164" i="2"/>
  <c r="J164" i="2" s="1"/>
  <c r="L164" i="2"/>
  <c r="M164" i="2"/>
  <c r="N164" i="2"/>
  <c r="G193" i="4" s="1"/>
  <c r="P164" i="2"/>
  <c r="H193" i="4" s="1"/>
  <c r="P193" i="4" s="1"/>
  <c r="A165" i="2"/>
  <c r="A165" i="3" s="1"/>
  <c r="B165" i="2"/>
  <c r="B165" i="3" s="1"/>
  <c r="C165" i="2"/>
  <c r="D165" i="2"/>
  <c r="E165" i="2"/>
  <c r="F165" i="2"/>
  <c r="D195" i="4"/>
  <c r="M195" i="4" s="1"/>
  <c r="T165" i="2"/>
  <c r="D165" i="3" s="1"/>
  <c r="K165" i="2"/>
  <c r="L165" i="2"/>
  <c r="M165" i="2"/>
  <c r="N165" i="2"/>
  <c r="P165" i="2"/>
  <c r="H195" i="4" s="1"/>
  <c r="P195" i="4" s="1"/>
  <c r="R165" i="2"/>
  <c r="A166" i="2"/>
  <c r="A166" i="3" s="1"/>
  <c r="B166" i="2"/>
  <c r="B166" i="3" s="1"/>
  <c r="C166" i="2"/>
  <c r="D166" i="2"/>
  <c r="E166" i="2"/>
  <c r="F166" i="2"/>
  <c r="D196" i="4"/>
  <c r="M196" i="4" s="1"/>
  <c r="T166" i="2"/>
  <c r="D166" i="3" s="1"/>
  <c r="K166" i="2"/>
  <c r="L166" i="2"/>
  <c r="M166" i="2"/>
  <c r="N166" i="2"/>
  <c r="P166" i="2"/>
  <c r="H196" i="4" s="1"/>
  <c r="P196" i="4" s="1"/>
  <c r="R166" i="2"/>
  <c r="Y166" i="2" s="1"/>
  <c r="S166" i="2"/>
  <c r="A167" i="2"/>
  <c r="A167" i="3" s="1"/>
  <c r="B167" i="2"/>
  <c r="B167" i="3" s="1"/>
  <c r="C167" i="2"/>
  <c r="D167" i="2"/>
  <c r="E167" i="2"/>
  <c r="F167" i="2"/>
  <c r="D197" i="4"/>
  <c r="M197" i="4" s="1"/>
  <c r="T167" i="2"/>
  <c r="D167" i="3" s="1"/>
  <c r="K167" i="2"/>
  <c r="L167" i="2"/>
  <c r="M167" i="2"/>
  <c r="N167" i="2"/>
  <c r="P167" i="2"/>
  <c r="H197" i="4" s="1"/>
  <c r="P197" i="4" s="1"/>
  <c r="R167" i="2"/>
  <c r="S167" i="2"/>
  <c r="A168" i="2"/>
  <c r="A168" i="3" s="1"/>
  <c r="B168" i="2"/>
  <c r="B168" i="3" s="1"/>
  <c r="C168" i="2"/>
  <c r="D168" i="2"/>
  <c r="E168" i="2"/>
  <c r="F168" i="2"/>
  <c r="D198" i="4"/>
  <c r="M198" i="4" s="1"/>
  <c r="T168" i="2"/>
  <c r="D168" i="3" s="1"/>
  <c r="L168" i="2"/>
  <c r="M168" i="2"/>
  <c r="N168" i="2"/>
  <c r="P168" i="2"/>
  <c r="H198" i="4" s="1"/>
  <c r="P198" i="4" s="1"/>
  <c r="R168" i="2"/>
  <c r="Y168" i="2" s="1"/>
  <c r="A169" i="2"/>
  <c r="A169" i="3" s="1"/>
  <c r="B169" i="2"/>
  <c r="B169" i="3" s="1"/>
  <c r="C169" i="2"/>
  <c r="D169" i="2"/>
  <c r="E169" i="2"/>
  <c r="F169" i="2"/>
  <c r="D199" i="4"/>
  <c r="M199" i="4" s="1"/>
  <c r="T169" i="2"/>
  <c r="D169" i="3" s="1"/>
  <c r="L169" i="2"/>
  <c r="M169" i="2"/>
  <c r="N169" i="2"/>
  <c r="P169" i="2"/>
  <c r="H199" i="4" s="1"/>
  <c r="P199" i="4" s="1"/>
  <c r="A131" i="2"/>
  <c r="A131" i="3" s="1"/>
  <c r="B131" i="2"/>
  <c r="B131" i="3" s="1"/>
  <c r="C131" i="2"/>
  <c r="D131" i="2"/>
  <c r="E131" i="2"/>
  <c r="F131" i="2"/>
  <c r="D158" i="4"/>
  <c r="M158" i="4" s="1"/>
  <c r="T131" i="2"/>
  <c r="D131" i="3" s="1"/>
  <c r="K131" i="2"/>
  <c r="L131" i="2"/>
  <c r="M131" i="2"/>
  <c r="N131" i="2"/>
  <c r="P131" i="2"/>
  <c r="H158" i="4" s="1"/>
  <c r="P158" i="4" s="1"/>
  <c r="S131" i="2"/>
  <c r="A132" i="2"/>
  <c r="A132" i="3" s="1"/>
  <c r="B132" i="2"/>
  <c r="B132" i="3" s="1"/>
  <c r="C132" i="2"/>
  <c r="D132" i="2"/>
  <c r="E132" i="2"/>
  <c r="F132" i="2"/>
  <c r="D159" i="4"/>
  <c r="M159" i="4" s="1"/>
  <c r="T132" i="2"/>
  <c r="D132" i="3" s="1"/>
  <c r="K132" i="2"/>
  <c r="L132" i="2"/>
  <c r="M132" i="2"/>
  <c r="N132" i="2"/>
  <c r="P132" i="2"/>
  <c r="H159" i="4" s="1"/>
  <c r="P159" i="4" s="1"/>
  <c r="A133" i="2"/>
  <c r="A133" i="3" s="1"/>
  <c r="B133" i="2"/>
  <c r="B133" i="3" s="1"/>
  <c r="C133" i="2"/>
  <c r="D133" i="2"/>
  <c r="E133" i="2"/>
  <c r="F133" i="2"/>
  <c r="D160" i="4"/>
  <c r="M160" i="4" s="1"/>
  <c r="T133" i="2"/>
  <c r="D133" i="3" s="1"/>
  <c r="L133" i="2"/>
  <c r="M133" i="2"/>
  <c r="N133" i="2"/>
  <c r="P133" i="2"/>
  <c r="H160" i="4" s="1"/>
  <c r="P160" i="4" s="1"/>
  <c r="A134" i="2"/>
  <c r="A134" i="3" s="1"/>
  <c r="B134" i="2"/>
  <c r="B134" i="3" s="1"/>
  <c r="C134" i="2"/>
  <c r="D161" i="4"/>
  <c r="M161" i="4" s="1"/>
  <c r="T134" i="2"/>
  <c r="D134" i="3" s="1"/>
  <c r="L134" i="2"/>
  <c r="M134" i="2"/>
  <c r="N134" i="2"/>
  <c r="P134" i="2"/>
  <c r="H161" i="4" s="1"/>
  <c r="P161" i="4" s="1"/>
  <c r="A135" i="2"/>
  <c r="A135" i="3" s="1"/>
  <c r="B135" i="2"/>
  <c r="B135" i="3" s="1"/>
  <c r="C135" i="2"/>
  <c r="D135" i="2"/>
  <c r="E135" i="2"/>
  <c r="F135" i="2"/>
  <c r="D162" i="4"/>
  <c r="M162" i="4" s="1"/>
  <c r="T135" i="2"/>
  <c r="D135" i="3" s="1"/>
  <c r="K135" i="2"/>
  <c r="L135" i="2"/>
  <c r="M135" i="2"/>
  <c r="N135" i="2"/>
  <c r="P135" i="2"/>
  <c r="H162" i="4" s="1"/>
  <c r="P162" i="4" s="1"/>
  <c r="S135" i="2"/>
  <c r="A136" i="2"/>
  <c r="A136" i="3" s="1"/>
  <c r="B136" i="2"/>
  <c r="B136" i="3" s="1"/>
  <c r="C136" i="2"/>
  <c r="D136" i="2"/>
  <c r="E136" i="2"/>
  <c r="F136" i="2"/>
  <c r="D163" i="4"/>
  <c r="M163" i="4" s="1"/>
  <c r="T136" i="2"/>
  <c r="D136" i="3" s="1"/>
  <c r="L136" i="2"/>
  <c r="M136" i="2"/>
  <c r="N136" i="2"/>
  <c r="P136" i="2"/>
  <c r="H163" i="4" s="1"/>
  <c r="P163" i="4" s="1"/>
  <c r="A137" i="2"/>
  <c r="A137" i="3" s="1"/>
  <c r="B137" i="2"/>
  <c r="B137" i="3" s="1"/>
  <c r="C137" i="2"/>
  <c r="D137" i="2"/>
  <c r="E137" i="2"/>
  <c r="F137" i="2"/>
  <c r="D164" i="4"/>
  <c r="M164" i="4" s="1"/>
  <c r="T137" i="2"/>
  <c r="D137" i="3" s="1"/>
  <c r="L137" i="2"/>
  <c r="M137" i="2"/>
  <c r="N137" i="2"/>
  <c r="P137" i="2"/>
  <c r="H164" i="4" s="1"/>
  <c r="P164" i="4" s="1"/>
  <c r="A138" i="2"/>
  <c r="A138" i="3" s="1"/>
  <c r="B138" i="2"/>
  <c r="B138" i="3" s="1"/>
  <c r="C138" i="2"/>
  <c r="D138" i="2"/>
  <c r="E138" i="2"/>
  <c r="F138" i="2"/>
  <c r="D165" i="4"/>
  <c r="M165" i="4" s="1"/>
  <c r="T138" i="2"/>
  <c r="D138" i="3" s="1"/>
  <c r="L138" i="2"/>
  <c r="M138" i="2"/>
  <c r="N138" i="2"/>
  <c r="P138" i="2"/>
  <c r="H165" i="4" s="1"/>
  <c r="P165" i="4" s="1"/>
  <c r="A139" i="2"/>
  <c r="A139" i="3" s="1"/>
  <c r="B139" i="2"/>
  <c r="B139" i="3" s="1"/>
  <c r="C139" i="2"/>
  <c r="D139" i="2"/>
  <c r="E139" i="2"/>
  <c r="F139" i="2"/>
  <c r="D166" i="4"/>
  <c r="M166" i="4" s="1"/>
  <c r="T139" i="2"/>
  <c r="D139" i="3" s="1"/>
  <c r="L139" i="2"/>
  <c r="M139" i="2"/>
  <c r="N139" i="2"/>
  <c r="P139" i="2"/>
  <c r="H166" i="4" s="1"/>
  <c r="P166" i="4" s="1"/>
  <c r="S139" i="2"/>
  <c r="A140" i="2"/>
  <c r="A140" i="3" s="1"/>
  <c r="B140" i="2"/>
  <c r="B140" i="3" s="1"/>
  <c r="C140" i="2"/>
  <c r="D140" i="2"/>
  <c r="E140" i="2"/>
  <c r="F140" i="2"/>
  <c r="D167" i="4"/>
  <c r="M167" i="4" s="1"/>
  <c r="T140" i="2"/>
  <c r="D140" i="3" s="1"/>
  <c r="L140" i="2"/>
  <c r="M140" i="2"/>
  <c r="N140" i="2"/>
  <c r="P140" i="2"/>
  <c r="H167" i="4" s="1"/>
  <c r="P167" i="4" s="1"/>
  <c r="A141" i="2"/>
  <c r="A141" i="3" s="1"/>
  <c r="B141" i="2"/>
  <c r="B141" i="3" s="1"/>
  <c r="C141" i="2"/>
  <c r="D141" i="2"/>
  <c r="F141" i="2"/>
  <c r="D169" i="4"/>
  <c r="M169" i="4" s="1"/>
  <c r="T141" i="2"/>
  <c r="D141" i="3" s="1"/>
  <c r="K141" i="2"/>
  <c r="L141" i="2"/>
  <c r="M141" i="2"/>
  <c r="N141" i="2"/>
  <c r="P141" i="2"/>
  <c r="H169" i="4" s="1"/>
  <c r="P169" i="4" s="1"/>
  <c r="R141" i="2"/>
  <c r="Y141" i="2" s="1"/>
  <c r="A142" i="2"/>
  <c r="A142" i="3" s="1"/>
  <c r="B142" i="2"/>
  <c r="B142" i="3" s="1"/>
  <c r="C142" i="2"/>
  <c r="D142" i="2"/>
  <c r="E142" i="2"/>
  <c r="F142" i="2"/>
  <c r="D170" i="4"/>
  <c r="K142" i="2"/>
  <c r="J142" i="2" s="1"/>
  <c r="L142" i="2"/>
  <c r="M142" i="2"/>
  <c r="N142" i="2"/>
  <c r="G170" i="4" s="1"/>
  <c r="P142" i="2"/>
  <c r="H170" i="4" s="1"/>
  <c r="P170" i="4" s="1"/>
  <c r="A143" i="2"/>
  <c r="A143" i="3" s="1"/>
  <c r="B143" i="2"/>
  <c r="B143" i="3" s="1"/>
  <c r="C143" i="2"/>
  <c r="D143" i="2"/>
  <c r="E143" i="2"/>
  <c r="F143" i="2"/>
  <c r="K143" i="2"/>
  <c r="J143" i="2" s="1"/>
  <c r="L143" i="2"/>
  <c r="M143" i="2"/>
  <c r="N143" i="2"/>
  <c r="P143" i="2"/>
  <c r="A144" i="2"/>
  <c r="A144" i="3" s="1"/>
  <c r="B144" i="2"/>
  <c r="B144" i="3" s="1"/>
  <c r="C144" i="2"/>
  <c r="D144" i="2"/>
  <c r="E144" i="2"/>
  <c r="F144" i="2"/>
  <c r="D172" i="4"/>
  <c r="K144" i="2"/>
  <c r="J144" i="2" s="1"/>
  <c r="L144" i="2"/>
  <c r="M144" i="2"/>
  <c r="N144" i="2"/>
  <c r="G172" i="4" s="1"/>
  <c r="P144" i="2"/>
  <c r="H172" i="4" s="1"/>
  <c r="P172" i="4" s="1"/>
  <c r="A145" i="2"/>
  <c r="A145" i="3" s="1"/>
  <c r="B145" i="2"/>
  <c r="B145" i="3" s="1"/>
  <c r="C145" i="2"/>
  <c r="D145" i="2"/>
  <c r="E145" i="2"/>
  <c r="F145" i="2"/>
  <c r="D174" i="4"/>
  <c r="M174" i="4" s="1"/>
  <c r="L145" i="2"/>
  <c r="M145" i="2"/>
  <c r="N145" i="2"/>
  <c r="P145" i="2"/>
  <c r="H174" i="4" s="1"/>
  <c r="P174" i="4" s="1"/>
  <c r="T145" i="2"/>
  <c r="D145" i="3" s="1"/>
  <c r="A146" i="2"/>
  <c r="A146" i="3" s="1"/>
  <c r="B146" i="2"/>
  <c r="B146" i="3" s="1"/>
  <c r="C146" i="2"/>
  <c r="D146" i="2"/>
  <c r="E146" i="2"/>
  <c r="F146" i="2"/>
  <c r="D175" i="4"/>
  <c r="M175" i="4" s="1"/>
  <c r="T146" i="2"/>
  <c r="D146" i="3" s="1"/>
  <c r="L146" i="2"/>
  <c r="M146" i="2"/>
  <c r="N146" i="2"/>
  <c r="P146" i="2"/>
  <c r="H175" i="4" s="1"/>
  <c r="P175" i="4" s="1"/>
  <c r="A147" i="2"/>
  <c r="A147" i="3" s="1"/>
  <c r="B147" i="2"/>
  <c r="B147" i="3" s="1"/>
  <c r="D176" i="4"/>
  <c r="M176" i="4" s="1"/>
  <c r="T147" i="2"/>
  <c r="D147" i="3" s="1"/>
  <c r="L147" i="2"/>
  <c r="M147" i="2"/>
  <c r="N147" i="2"/>
  <c r="P147" i="2"/>
  <c r="H176" i="4" s="1"/>
  <c r="P176" i="4" s="1"/>
  <c r="S147" i="2"/>
  <c r="A148" i="2"/>
  <c r="A148" i="3" s="1"/>
  <c r="B148" i="2"/>
  <c r="B148" i="3" s="1"/>
  <c r="C148" i="2"/>
  <c r="D148" i="2"/>
  <c r="E148" i="2"/>
  <c r="F148" i="2"/>
  <c r="D177" i="4"/>
  <c r="M177" i="4" s="1"/>
  <c r="T148" i="2"/>
  <c r="D148" i="3" s="1"/>
  <c r="K148" i="2"/>
  <c r="L148" i="2"/>
  <c r="M148" i="2"/>
  <c r="N148" i="2"/>
  <c r="P148" i="2"/>
  <c r="H177" i="4" s="1"/>
  <c r="P177" i="4" s="1"/>
  <c r="A149" i="2"/>
  <c r="A149" i="3" s="1"/>
  <c r="B149" i="2"/>
  <c r="B149" i="3" s="1"/>
  <c r="C149" i="2"/>
  <c r="D149" i="2"/>
  <c r="E149" i="2"/>
  <c r="F149" i="2"/>
  <c r="D178" i="4"/>
  <c r="M178" i="4" s="1"/>
  <c r="T149" i="2"/>
  <c r="D149" i="3" s="1"/>
  <c r="K149" i="2"/>
  <c r="L149" i="2"/>
  <c r="M149" i="2"/>
  <c r="N149" i="2"/>
  <c r="P149" i="2"/>
  <c r="H178" i="4" s="1"/>
  <c r="P178" i="4" s="1"/>
  <c r="A150" i="2"/>
  <c r="A150" i="3" s="1"/>
  <c r="B150" i="2"/>
  <c r="B150" i="3" s="1"/>
  <c r="C150" i="2"/>
  <c r="D150" i="2"/>
  <c r="E150" i="2"/>
  <c r="F150" i="2"/>
  <c r="D179" i="4"/>
  <c r="M179" i="4" s="1"/>
  <c r="T150" i="2"/>
  <c r="D150" i="3" s="1"/>
  <c r="L150" i="2"/>
  <c r="M150" i="2"/>
  <c r="N150" i="2"/>
  <c r="P150" i="2"/>
  <c r="H179" i="4" s="1"/>
  <c r="P179" i="4" s="1"/>
  <c r="R150" i="2"/>
  <c r="A151" i="2"/>
  <c r="A151" i="3" s="1"/>
  <c r="B151" i="2"/>
  <c r="B151" i="3" s="1"/>
  <c r="C151" i="2"/>
  <c r="D151" i="2"/>
  <c r="F151" i="2"/>
  <c r="D180" i="4"/>
  <c r="M180" i="4" s="1"/>
  <c r="L151" i="2"/>
  <c r="M151" i="2"/>
  <c r="N151" i="2"/>
  <c r="P151" i="2"/>
  <c r="H180" i="4" s="1"/>
  <c r="P180" i="4" s="1"/>
  <c r="S151" i="2"/>
  <c r="T151" i="2"/>
  <c r="D151" i="3" s="1"/>
  <c r="A152" i="2"/>
  <c r="A152" i="3" s="1"/>
  <c r="B152" i="2"/>
  <c r="B152" i="3" s="1"/>
  <c r="C152" i="2"/>
  <c r="D152" i="2"/>
  <c r="E152" i="2"/>
  <c r="F152" i="2"/>
  <c r="R152" i="2"/>
  <c r="T152" i="2"/>
  <c r="D152" i="3" s="1"/>
  <c r="L152" i="2"/>
  <c r="M152" i="2"/>
  <c r="N152" i="2"/>
  <c r="P152" i="2"/>
  <c r="H181" i="4" s="1"/>
  <c r="P181" i="4" s="1"/>
  <c r="A153" i="2"/>
  <c r="A153" i="3" s="1"/>
  <c r="B153" i="2"/>
  <c r="B153" i="3" s="1"/>
  <c r="C153" i="2"/>
  <c r="D153" i="2"/>
  <c r="E153" i="2"/>
  <c r="F153" i="2"/>
  <c r="D182" i="4"/>
  <c r="M182" i="4" s="1"/>
  <c r="T153" i="2"/>
  <c r="D153" i="3" s="1"/>
  <c r="L153" i="2"/>
  <c r="M153" i="2"/>
  <c r="N153" i="2"/>
  <c r="P153" i="2"/>
  <c r="H182" i="4" s="1"/>
  <c r="P182" i="4" s="1"/>
  <c r="A154" i="2"/>
  <c r="A154" i="3" s="1"/>
  <c r="B154" i="2"/>
  <c r="B154" i="3" s="1"/>
  <c r="D183" i="4"/>
  <c r="M183" i="4" s="1"/>
  <c r="T154" i="2"/>
  <c r="D154" i="3" s="1"/>
  <c r="L154" i="2"/>
  <c r="M154" i="2"/>
  <c r="N154" i="2"/>
  <c r="P154" i="2"/>
  <c r="H183" i="4" s="1"/>
  <c r="P183" i="4" s="1"/>
  <c r="R154" i="2"/>
  <c r="Y154" i="2" s="1"/>
  <c r="A155" i="2"/>
  <c r="A155" i="3" s="1"/>
  <c r="B155" i="2"/>
  <c r="B155" i="3" s="1"/>
  <c r="C155" i="2"/>
  <c r="D155" i="2"/>
  <c r="F155" i="2"/>
  <c r="D184" i="4"/>
  <c r="M184" i="4" s="1"/>
  <c r="T155" i="2"/>
  <c r="D155" i="3" s="1"/>
  <c r="L155" i="2"/>
  <c r="M155" i="2"/>
  <c r="N155" i="2"/>
  <c r="P155" i="2"/>
  <c r="H184" i="4" s="1"/>
  <c r="P184" i="4" s="1"/>
  <c r="A156" i="2"/>
  <c r="A156" i="3" s="1"/>
  <c r="B156" i="2"/>
  <c r="B156" i="3" s="1"/>
  <c r="D185" i="4"/>
  <c r="M185" i="4" s="1"/>
  <c r="T156" i="2"/>
  <c r="D156" i="3" s="1"/>
  <c r="K156" i="2"/>
  <c r="L156" i="2"/>
  <c r="M156" i="2"/>
  <c r="N156" i="2"/>
  <c r="P156" i="2"/>
  <c r="H185" i="4" s="1"/>
  <c r="P185" i="4" s="1"/>
  <c r="A157" i="2"/>
  <c r="A157" i="3" s="1"/>
  <c r="B157" i="2"/>
  <c r="B157" i="3" s="1"/>
  <c r="D157" i="2"/>
  <c r="F157" i="2"/>
  <c r="D186" i="4"/>
  <c r="M186" i="4" s="1"/>
  <c r="T157" i="2"/>
  <c r="D157" i="3" s="1"/>
  <c r="L157" i="2"/>
  <c r="M157" i="2"/>
  <c r="N157" i="2"/>
  <c r="P157" i="2"/>
  <c r="H186" i="4" s="1"/>
  <c r="P186" i="4" s="1"/>
  <c r="A158" i="2"/>
  <c r="A158" i="3" s="1"/>
  <c r="B158" i="2"/>
  <c r="B158" i="3" s="1"/>
  <c r="C158" i="2"/>
  <c r="D158" i="2"/>
  <c r="E158" i="2"/>
  <c r="F158" i="2"/>
  <c r="D187" i="4"/>
  <c r="M187" i="4" s="1"/>
  <c r="T158" i="2"/>
  <c r="D158" i="3" s="1"/>
  <c r="L158" i="2"/>
  <c r="M158" i="2"/>
  <c r="N158" i="2"/>
  <c r="P158" i="2"/>
  <c r="H187" i="4" s="1"/>
  <c r="P187" i="4" s="1"/>
  <c r="A159" i="2"/>
  <c r="A159" i="3" s="1"/>
  <c r="B159" i="2"/>
  <c r="B159" i="3" s="1"/>
  <c r="C159" i="2"/>
  <c r="D159" i="2"/>
  <c r="E159" i="2"/>
  <c r="F159" i="2"/>
  <c r="D188" i="4"/>
  <c r="M188" i="4" s="1"/>
  <c r="T159" i="2"/>
  <c r="D159" i="3" s="1"/>
  <c r="L159" i="2"/>
  <c r="M159" i="2"/>
  <c r="N159" i="2"/>
  <c r="P159" i="2"/>
  <c r="H188" i="4" s="1"/>
  <c r="P188" i="4" s="1"/>
  <c r="R159" i="2"/>
  <c r="Y159" i="2" s="1"/>
  <c r="A160" i="2"/>
  <c r="A160" i="3" s="1"/>
  <c r="B160" i="2"/>
  <c r="B160" i="3" s="1"/>
  <c r="C160" i="2"/>
  <c r="D160" i="2"/>
  <c r="E160" i="2"/>
  <c r="F160" i="2"/>
  <c r="D189" i="4"/>
  <c r="M189" i="4" s="1"/>
  <c r="T160" i="2"/>
  <c r="D160" i="3" s="1"/>
  <c r="L160" i="2"/>
  <c r="M160" i="2"/>
  <c r="N160" i="2"/>
  <c r="P160" i="2"/>
  <c r="H189" i="4" s="1"/>
  <c r="P189" i="4" s="1"/>
  <c r="A161" i="2"/>
  <c r="A161" i="3" s="1"/>
  <c r="B161" i="2"/>
  <c r="B161" i="3" s="1"/>
  <c r="C161" i="2"/>
  <c r="D161" i="2"/>
  <c r="E161" i="2"/>
  <c r="F161" i="2"/>
  <c r="D190" i="4"/>
  <c r="M190" i="4" s="1"/>
  <c r="T161" i="2"/>
  <c r="D161" i="3" s="1"/>
  <c r="L161" i="2"/>
  <c r="M161" i="2"/>
  <c r="N161" i="2"/>
  <c r="P161" i="2"/>
  <c r="H190" i="4" s="1"/>
  <c r="P190" i="4" s="1"/>
  <c r="A123" i="2"/>
  <c r="B123" i="2"/>
  <c r="C123" i="2"/>
  <c r="D123" i="2"/>
  <c r="E123" i="2"/>
  <c r="F123" i="2"/>
  <c r="R123" i="2"/>
  <c r="T123" i="2"/>
  <c r="K123" i="2"/>
  <c r="L123" i="2"/>
  <c r="M123" i="2"/>
  <c r="N123" i="2"/>
  <c r="Z124" i="2" s="1"/>
  <c r="P123" i="2"/>
  <c r="A124" i="2"/>
  <c r="B124" i="2"/>
  <c r="C124" i="2"/>
  <c r="D124" i="2"/>
  <c r="E124" i="2"/>
  <c r="F124" i="2"/>
  <c r="D151" i="4"/>
  <c r="M151" i="4" s="1"/>
  <c r="T124" i="2"/>
  <c r="K124" i="2"/>
  <c r="L124" i="2"/>
  <c r="M124" i="2"/>
  <c r="N124" i="2"/>
  <c r="P124" i="2"/>
  <c r="H151" i="4" s="1"/>
  <c r="P151" i="4" s="1"/>
  <c r="A125" i="2"/>
  <c r="A125" i="3" s="1"/>
  <c r="B125" i="2"/>
  <c r="B125" i="3" s="1"/>
  <c r="C125" i="2"/>
  <c r="D125" i="2"/>
  <c r="E125" i="2"/>
  <c r="F125" i="2"/>
  <c r="D152" i="4"/>
  <c r="M152" i="4" s="1"/>
  <c r="T125" i="2"/>
  <c r="D125" i="3" s="1"/>
  <c r="L125" i="2"/>
  <c r="M125" i="2"/>
  <c r="N125" i="2"/>
  <c r="P125" i="2"/>
  <c r="H152" i="4" s="1"/>
  <c r="P152" i="4" s="1"/>
  <c r="A126" i="2"/>
  <c r="A126" i="3" s="1"/>
  <c r="B126" i="2"/>
  <c r="B126" i="3" s="1"/>
  <c r="C126" i="2"/>
  <c r="D126" i="2"/>
  <c r="E126" i="2"/>
  <c r="F126" i="2"/>
  <c r="D153" i="4"/>
  <c r="M153" i="4" s="1"/>
  <c r="T126" i="2"/>
  <c r="D126" i="3" s="1"/>
  <c r="K126" i="2"/>
  <c r="L126" i="2"/>
  <c r="M126" i="2"/>
  <c r="N126" i="2"/>
  <c r="P126" i="2"/>
  <c r="H153" i="4" s="1"/>
  <c r="P153" i="4" s="1"/>
  <c r="A127" i="2"/>
  <c r="A127" i="3" s="1"/>
  <c r="B127" i="2"/>
  <c r="B127" i="3" s="1"/>
  <c r="C127" i="2"/>
  <c r="D127" i="2"/>
  <c r="E127" i="2"/>
  <c r="F127" i="2"/>
  <c r="R127" i="2"/>
  <c r="Y127" i="2" s="1"/>
  <c r="T127" i="2"/>
  <c r="D127" i="3" s="1"/>
  <c r="K127" i="2"/>
  <c r="L127" i="2"/>
  <c r="M127" i="2"/>
  <c r="N127" i="2"/>
  <c r="P127" i="2"/>
  <c r="H154" i="4" s="1"/>
  <c r="P154" i="4" s="1"/>
  <c r="S127" i="2"/>
  <c r="A128" i="2"/>
  <c r="A128" i="3" s="1"/>
  <c r="B128" i="2"/>
  <c r="B128" i="3" s="1"/>
  <c r="C128" i="2"/>
  <c r="D128" i="2"/>
  <c r="E128" i="2"/>
  <c r="F128" i="2"/>
  <c r="D155" i="4"/>
  <c r="M155" i="4" s="1"/>
  <c r="T128" i="2"/>
  <c r="D128" i="3" s="1"/>
  <c r="K128" i="2"/>
  <c r="L128" i="2"/>
  <c r="M128" i="2"/>
  <c r="N128" i="2"/>
  <c r="P128" i="2"/>
  <c r="H155" i="4" s="1"/>
  <c r="P155" i="4" s="1"/>
  <c r="A129" i="2"/>
  <c r="A129" i="3" s="1"/>
  <c r="B129" i="2"/>
  <c r="B129" i="3" s="1"/>
  <c r="C129" i="2"/>
  <c r="D129" i="2"/>
  <c r="E129" i="2"/>
  <c r="F129" i="2"/>
  <c r="D156" i="4"/>
  <c r="M156" i="4" s="1"/>
  <c r="T129" i="2"/>
  <c r="D129" i="3" s="1"/>
  <c r="K129" i="2"/>
  <c r="L129" i="2"/>
  <c r="M129" i="2"/>
  <c r="N129" i="2"/>
  <c r="P129" i="2"/>
  <c r="H156" i="4" s="1"/>
  <c r="P156" i="4" s="1"/>
  <c r="A130" i="2"/>
  <c r="A130" i="3" s="1"/>
  <c r="B130" i="2"/>
  <c r="B130" i="3" s="1"/>
  <c r="C130" i="2"/>
  <c r="D130" i="2"/>
  <c r="E130" i="2"/>
  <c r="F130" i="2"/>
  <c r="D157" i="4"/>
  <c r="M157" i="4" s="1"/>
  <c r="T130" i="2"/>
  <c r="D130" i="3" s="1"/>
  <c r="K130" i="2"/>
  <c r="L130" i="2"/>
  <c r="M130" i="2"/>
  <c r="N130" i="2"/>
  <c r="P130" i="2"/>
  <c r="H157" i="4" s="1"/>
  <c r="P157" i="4" s="1"/>
  <c r="S130" i="2"/>
  <c r="K185" i="1"/>
  <c r="K185" i="2" s="1"/>
  <c r="K181" i="1"/>
  <c r="K181" i="2" s="1"/>
  <c r="K180" i="1"/>
  <c r="F210" i="4" s="1"/>
  <c r="K178" i="1"/>
  <c r="K178" i="2" s="1"/>
  <c r="K175" i="1"/>
  <c r="K175" i="2" s="1"/>
  <c r="K174" i="1"/>
  <c r="K174" i="2" s="1"/>
  <c r="K173" i="1"/>
  <c r="F203" i="4" s="1"/>
  <c r="K172" i="1"/>
  <c r="F202" i="4" s="1"/>
  <c r="K186" i="1"/>
  <c r="F216" i="4" s="1"/>
  <c r="K173" i="2" l="1"/>
  <c r="E173" i="3" s="1"/>
  <c r="K172" i="2"/>
  <c r="F205" i="4"/>
  <c r="E212" i="3"/>
  <c r="X212" i="2"/>
  <c r="W212" i="2"/>
  <c r="E192" i="3"/>
  <c r="W192" i="2"/>
  <c r="X192" i="2"/>
  <c r="E209" i="3"/>
  <c r="W209" i="2"/>
  <c r="X209" i="2"/>
  <c r="E204" i="3"/>
  <c r="X204" i="2"/>
  <c r="W204" i="2"/>
  <c r="E156" i="3"/>
  <c r="E165" i="3"/>
  <c r="K180" i="2"/>
  <c r="E179" i="3"/>
  <c r="E177" i="3"/>
  <c r="E184" i="3"/>
  <c r="F208" i="4"/>
  <c r="F204" i="4"/>
  <c r="F215" i="4"/>
  <c r="F211" i="4"/>
  <c r="E226" i="3"/>
  <c r="X226" i="2"/>
  <c r="W226" i="2"/>
  <c r="E202" i="3"/>
  <c r="W202" i="2"/>
  <c r="X202" i="2"/>
  <c r="E224" i="3"/>
  <c r="W224" i="2"/>
  <c r="X224" i="2"/>
  <c r="E199" i="3"/>
  <c r="X199" i="2"/>
  <c r="W199" i="2"/>
  <c r="E222" i="3"/>
  <c r="W222" i="2"/>
  <c r="X222" i="2"/>
  <c r="C229" i="3"/>
  <c r="U229" i="2"/>
  <c r="E229" i="3" s="1"/>
  <c r="E216" i="3"/>
  <c r="X216" i="2"/>
  <c r="W216" i="2"/>
  <c r="E195" i="3"/>
  <c r="W195" i="2"/>
  <c r="X195" i="2"/>
  <c r="K186" i="2"/>
  <c r="J186" i="2" s="1"/>
  <c r="G180" i="4"/>
  <c r="Z152" i="2"/>
  <c r="C131" i="3"/>
  <c r="G209" i="4"/>
  <c r="Z180" i="2"/>
  <c r="Z337" i="2"/>
  <c r="G202" i="4"/>
  <c r="Z173" i="2"/>
  <c r="G214" i="4"/>
  <c r="Z185" i="2"/>
  <c r="C126" i="3"/>
  <c r="E126" i="3"/>
  <c r="G156" i="4"/>
  <c r="Z130" i="2"/>
  <c r="G178" i="4"/>
  <c r="Z150" i="2"/>
  <c r="G175" i="4"/>
  <c r="Z147" i="2"/>
  <c r="C139" i="3"/>
  <c r="G163" i="4"/>
  <c r="Z137" i="2"/>
  <c r="G160" i="4"/>
  <c r="Z351" i="2"/>
  <c r="Z134" i="2"/>
  <c r="G199" i="4"/>
  <c r="Z170" i="2"/>
  <c r="G196" i="4"/>
  <c r="Z167" i="2"/>
  <c r="C178" i="3"/>
  <c r="G206" i="4"/>
  <c r="Z177" i="2"/>
  <c r="C174" i="3"/>
  <c r="G201" i="4"/>
  <c r="Z172" i="2"/>
  <c r="C170" i="3"/>
  <c r="C185" i="3"/>
  <c r="E185" i="3"/>
  <c r="C181" i="3"/>
  <c r="C147" i="3"/>
  <c r="G174" i="4"/>
  <c r="Z145" i="2"/>
  <c r="Z146" i="2"/>
  <c r="G169" i="4"/>
  <c r="O169" i="4" s="1"/>
  <c r="Z142" i="2"/>
  <c r="C137" i="3"/>
  <c r="G162" i="4"/>
  <c r="Z136" i="2"/>
  <c r="G198" i="4"/>
  <c r="Z169" i="2"/>
  <c r="C180" i="3"/>
  <c r="E178" i="3"/>
  <c r="G203" i="4"/>
  <c r="Z174" i="2"/>
  <c r="E127" i="3"/>
  <c r="E129" i="3"/>
  <c r="C128" i="3"/>
  <c r="E128" i="3"/>
  <c r="G153" i="4"/>
  <c r="Z127" i="2"/>
  <c r="G190" i="4"/>
  <c r="Z165" i="2"/>
  <c r="Z162" i="2"/>
  <c r="G187" i="4"/>
  <c r="Z159" i="2"/>
  <c r="G155" i="4"/>
  <c r="Z129" i="2"/>
  <c r="G152" i="4"/>
  <c r="Z126" i="2"/>
  <c r="G189" i="4"/>
  <c r="Z161" i="2"/>
  <c r="G186" i="4"/>
  <c r="Z158" i="2"/>
  <c r="G183" i="4"/>
  <c r="Z155" i="2"/>
  <c r="Z285" i="2"/>
  <c r="G177" i="4"/>
  <c r="Z149" i="2"/>
  <c r="E148" i="3"/>
  <c r="C145" i="3"/>
  <c r="J141" i="2"/>
  <c r="G166" i="4"/>
  <c r="Z140" i="2"/>
  <c r="C135" i="3"/>
  <c r="G159" i="4"/>
  <c r="Z133" i="2"/>
  <c r="E132" i="3"/>
  <c r="C168" i="3"/>
  <c r="G197" i="4"/>
  <c r="Z168" i="2"/>
  <c r="E167" i="3"/>
  <c r="G208" i="4"/>
  <c r="Z179" i="2"/>
  <c r="G205" i="4"/>
  <c r="Z176" i="2"/>
  <c r="E175" i="3"/>
  <c r="G204" i="4"/>
  <c r="Z175" i="2"/>
  <c r="E174" i="3"/>
  <c r="C172" i="3"/>
  <c r="G200" i="4"/>
  <c r="Z171" i="2"/>
  <c r="G215" i="4"/>
  <c r="Z186" i="2"/>
  <c r="G211" i="4"/>
  <c r="Z182" i="2"/>
  <c r="E181" i="3"/>
  <c r="C130" i="3"/>
  <c r="E130" i="3"/>
  <c r="G151" i="4"/>
  <c r="Z125" i="2"/>
  <c r="G185" i="4"/>
  <c r="Z157" i="2"/>
  <c r="G182" i="4"/>
  <c r="Z154" i="2"/>
  <c r="G165" i="4"/>
  <c r="Z139" i="2"/>
  <c r="E135" i="3"/>
  <c r="G195" i="4"/>
  <c r="Z166" i="2"/>
  <c r="G207" i="4"/>
  <c r="Z178" i="2"/>
  <c r="E172" i="3"/>
  <c r="G157" i="4"/>
  <c r="Z131" i="2"/>
  <c r="G154" i="4"/>
  <c r="Z128" i="2"/>
  <c r="G188" i="4"/>
  <c r="Z160" i="2"/>
  <c r="G184" i="4"/>
  <c r="Z156" i="2"/>
  <c r="G181" i="4"/>
  <c r="Z153" i="2"/>
  <c r="G179" i="4"/>
  <c r="Z151" i="2"/>
  <c r="C149" i="3"/>
  <c r="E149" i="3"/>
  <c r="G176" i="4"/>
  <c r="Z148" i="2"/>
  <c r="G167" i="4"/>
  <c r="Z141" i="2"/>
  <c r="G164" i="4"/>
  <c r="Z138" i="2"/>
  <c r="G161" i="4"/>
  <c r="Z135" i="2"/>
  <c r="C133" i="3"/>
  <c r="G158" i="4"/>
  <c r="Z132" i="2"/>
  <c r="E131" i="3"/>
  <c r="C166" i="3"/>
  <c r="E166" i="3"/>
  <c r="G210" i="4"/>
  <c r="Z181" i="2"/>
  <c r="E180" i="3"/>
  <c r="C176" i="3"/>
  <c r="E176" i="3"/>
  <c r="G213" i="4"/>
  <c r="O213" i="4" s="1"/>
  <c r="Z184" i="2"/>
  <c r="G212" i="4"/>
  <c r="Z183" i="2"/>
  <c r="E182" i="3"/>
  <c r="S134" i="2"/>
  <c r="S145" i="2"/>
  <c r="S173" i="2"/>
  <c r="S133" i="2"/>
  <c r="R176" i="2"/>
  <c r="Y176" i="2" s="1"/>
  <c r="R171" i="2"/>
  <c r="Y171" i="2" s="1"/>
  <c r="R153" i="2"/>
  <c r="R149" i="2"/>
  <c r="Y149" i="2" s="1"/>
  <c r="R131" i="2"/>
  <c r="Y131" i="2" s="1"/>
  <c r="S149" i="2"/>
  <c r="R147" i="2"/>
  <c r="R135" i="2"/>
  <c r="Y135" i="2" s="1"/>
  <c r="R134" i="2"/>
  <c r="Y134" i="2" s="1"/>
  <c r="R174" i="2"/>
  <c r="Y174" i="2" s="1"/>
  <c r="S165" i="2"/>
  <c r="Y165" i="2" s="1"/>
  <c r="R146" i="2"/>
  <c r="Y146" i="2" s="1"/>
  <c r="R132" i="2"/>
  <c r="R169" i="2"/>
  <c r="R172" i="2"/>
  <c r="Y172" i="2" s="1"/>
  <c r="R148" i="2"/>
  <c r="R136" i="2"/>
  <c r="Y136" i="2" s="1"/>
  <c r="R133" i="2"/>
  <c r="Y133" i="2" s="1"/>
  <c r="S169" i="2"/>
  <c r="Y147" i="2"/>
  <c r="R124" i="2"/>
  <c r="R160" i="2"/>
  <c r="R129" i="2"/>
  <c r="Y129" i="2" s="1"/>
  <c r="S124" i="2"/>
  <c r="S184" i="2"/>
  <c r="Y184" i="2" s="1"/>
  <c r="R137" i="2"/>
  <c r="S132" i="2"/>
  <c r="R128" i="2"/>
  <c r="S168" i="2"/>
  <c r="S129" i="2"/>
  <c r="S125" i="2"/>
  <c r="S159" i="2"/>
  <c r="S155" i="2"/>
  <c r="S177" i="2"/>
  <c r="Y177" i="2" s="1"/>
  <c r="S181" i="2"/>
  <c r="Y181" i="2" s="1"/>
  <c r="S161" i="2"/>
  <c r="S157" i="2"/>
  <c r="S153" i="2"/>
  <c r="Y153" i="2" s="1"/>
  <c r="S141" i="2"/>
  <c r="S137" i="2"/>
  <c r="S183" i="2"/>
  <c r="E153" i="4"/>
  <c r="N153" i="4" s="1"/>
  <c r="R156" i="2"/>
  <c r="R138" i="2"/>
  <c r="Y138" i="2" s="1"/>
  <c r="W124" i="2"/>
  <c r="R161" i="2"/>
  <c r="Y161" i="2" s="1"/>
  <c r="R140" i="2"/>
  <c r="Y140" i="2" s="1"/>
  <c r="R151" i="2"/>
  <c r="Y151" i="2" s="1"/>
  <c r="C141" i="3"/>
  <c r="S138" i="2"/>
  <c r="D154" i="4"/>
  <c r="M154" i="4" s="1"/>
  <c r="R157" i="2"/>
  <c r="Y157" i="2" s="1"/>
  <c r="R145" i="2"/>
  <c r="S176" i="2"/>
  <c r="E206" i="4"/>
  <c r="N206" i="4" s="1"/>
  <c r="S128" i="2"/>
  <c r="E155" i="4"/>
  <c r="N155" i="4" s="1"/>
  <c r="R126" i="2"/>
  <c r="Y126" i="2" s="1"/>
  <c r="S160" i="2"/>
  <c r="S140" i="2"/>
  <c r="R175" i="2"/>
  <c r="Y175" i="2" s="1"/>
  <c r="D205" i="4"/>
  <c r="M205" i="4" s="1"/>
  <c r="R173" i="2"/>
  <c r="Y173" i="2" s="1"/>
  <c r="D203" i="4"/>
  <c r="M203" i="4" s="1"/>
  <c r="S182" i="2"/>
  <c r="E212" i="4"/>
  <c r="N212" i="4" s="1"/>
  <c r="S178" i="2"/>
  <c r="E208" i="4"/>
  <c r="N208" i="4" s="1"/>
  <c r="S174" i="2"/>
  <c r="E204" i="4"/>
  <c r="N204" i="4" s="1"/>
  <c r="S158" i="2"/>
  <c r="E187" i="4"/>
  <c r="N187" i="4" s="1"/>
  <c r="S154" i="2"/>
  <c r="E183" i="4"/>
  <c r="N183" i="4" s="1"/>
  <c r="S150" i="2"/>
  <c r="Y150" i="2" s="1"/>
  <c r="E179" i="4"/>
  <c r="N179" i="4" s="1"/>
  <c r="S146" i="2"/>
  <c r="E175" i="4"/>
  <c r="N175" i="4" s="1"/>
  <c r="D181" i="4"/>
  <c r="M181" i="4" s="1"/>
  <c r="R125" i="2"/>
  <c r="Y125" i="2" s="1"/>
  <c r="R155" i="2"/>
  <c r="R139" i="2"/>
  <c r="Y139" i="2" s="1"/>
  <c r="R170" i="2"/>
  <c r="Y170" i="2" s="1"/>
  <c r="R185" i="2"/>
  <c r="Y185" i="2" s="1"/>
  <c r="S180" i="2"/>
  <c r="E210" i="4"/>
  <c r="N210" i="4" s="1"/>
  <c r="S172" i="2"/>
  <c r="E202" i="4"/>
  <c r="N202" i="4" s="1"/>
  <c r="S152" i="2"/>
  <c r="Y152" i="2" s="1"/>
  <c r="E181" i="4"/>
  <c r="N181" i="4" s="1"/>
  <c r="R130" i="2"/>
  <c r="Y130" i="2" s="1"/>
  <c r="R158" i="2"/>
  <c r="R183" i="2"/>
  <c r="D213" i="4"/>
  <c r="M213" i="4" s="1"/>
  <c r="S185" i="2"/>
  <c r="E215" i="4"/>
  <c r="N215" i="4" s="1"/>
  <c r="E200" i="4"/>
  <c r="N200" i="4" s="1"/>
  <c r="R182" i="2"/>
  <c r="Y182" i="2" s="1"/>
  <c r="S156" i="2"/>
  <c r="E185" i="4"/>
  <c r="N185" i="4" s="1"/>
  <c r="S148" i="2"/>
  <c r="E177" i="4"/>
  <c r="N177" i="4" s="1"/>
  <c r="S136" i="2"/>
  <c r="Y123" i="2"/>
  <c r="U183" i="2"/>
  <c r="E183" i="3" s="1"/>
  <c r="D214" i="4"/>
  <c r="M214" i="4" s="1"/>
  <c r="O211" i="4"/>
  <c r="O207" i="4"/>
  <c r="O197" i="4"/>
  <c r="O209" i="4"/>
  <c r="O196" i="4"/>
  <c r="O195" i="4"/>
  <c r="O178" i="4"/>
  <c r="O162" i="4"/>
  <c r="O159" i="4"/>
  <c r="O158" i="4"/>
  <c r="O157" i="4"/>
  <c r="O156" i="4"/>
  <c r="O151" i="4"/>
  <c r="Y179" i="2"/>
  <c r="Y167" i="2"/>
  <c r="C184" i="3"/>
  <c r="C182" i="3"/>
  <c r="C179" i="3"/>
  <c r="C177" i="3"/>
  <c r="C175" i="3"/>
  <c r="C173" i="3"/>
  <c r="C171" i="3"/>
  <c r="C169" i="3"/>
  <c r="C167" i="3"/>
  <c r="C165" i="3"/>
  <c r="C155" i="3"/>
  <c r="C159" i="3"/>
  <c r="C157" i="3"/>
  <c r="C161" i="3"/>
  <c r="C153" i="3"/>
  <c r="C160" i="3"/>
  <c r="C151" i="3"/>
  <c r="C158" i="3"/>
  <c r="C156" i="3"/>
  <c r="C154" i="3"/>
  <c r="C152" i="3"/>
  <c r="C150" i="3"/>
  <c r="C148" i="3"/>
  <c r="C146" i="3"/>
  <c r="C140" i="3"/>
  <c r="C138" i="3"/>
  <c r="C136" i="3"/>
  <c r="W135" i="2"/>
  <c r="C134" i="3"/>
  <c r="C132" i="3"/>
  <c r="C129" i="3"/>
  <c r="C127" i="3"/>
  <c r="C125" i="3"/>
  <c r="X229" i="2" l="1"/>
  <c r="W229" i="2"/>
  <c r="Y128" i="2"/>
  <c r="Y145" i="2"/>
  <c r="Y137" i="2"/>
  <c r="Y169" i="2"/>
  <c r="Y124" i="2"/>
  <c r="Y132" i="2"/>
  <c r="W181" i="2"/>
  <c r="Y156" i="2"/>
  <c r="X181" i="2"/>
  <c r="X128" i="2"/>
  <c r="O203" i="4"/>
  <c r="Y148" i="2"/>
  <c r="X130" i="2"/>
  <c r="X185" i="2"/>
  <c r="O153" i="4"/>
  <c r="Y155" i="2"/>
  <c r="X126" i="2"/>
  <c r="O154" i="4"/>
  <c r="W130" i="2"/>
  <c r="Y160" i="2"/>
  <c r="X124" i="2"/>
  <c r="Y158" i="2"/>
  <c r="W126" i="2"/>
  <c r="W185" i="2"/>
  <c r="Y183" i="2"/>
  <c r="U141" i="2"/>
  <c r="E141" i="3" s="1"/>
  <c r="W183" i="2"/>
  <c r="W178" i="2"/>
  <c r="W128" i="2"/>
  <c r="X183" i="2"/>
  <c r="O177" i="4"/>
  <c r="O155" i="4"/>
  <c r="O206" i="4"/>
  <c r="O202" i="4"/>
  <c r="O208" i="4"/>
  <c r="O214" i="4"/>
  <c r="O215" i="4"/>
  <c r="O212" i="4"/>
  <c r="O204" i="4"/>
  <c r="O210" i="4"/>
  <c r="O185" i="4"/>
  <c r="O205" i="4"/>
  <c r="X131" i="2"/>
  <c r="X174" i="2"/>
  <c r="X178" i="2"/>
  <c r="X135" i="2"/>
  <c r="X166" i="2"/>
  <c r="X172" i="2"/>
  <c r="X176" i="2"/>
  <c r="X180" i="2"/>
  <c r="W174" i="2"/>
  <c r="X149" i="2"/>
  <c r="W131" i="2"/>
  <c r="W176" i="2"/>
  <c r="X184" i="2"/>
  <c r="W184" i="2"/>
  <c r="X182" i="2"/>
  <c r="W182" i="2"/>
  <c r="W175" i="2"/>
  <c r="X175" i="2"/>
  <c r="X179" i="2"/>
  <c r="W179" i="2"/>
  <c r="W173" i="2"/>
  <c r="X173" i="2"/>
  <c r="X177" i="2"/>
  <c r="W177" i="2"/>
  <c r="W172" i="2"/>
  <c r="W180" i="2"/>
  <c r="W166" i="2"/>
  <c r="W167" i="2"/>
  <c r="X167" i="2"/>
  <c r="W165" i="2"/>
  <c r="X165" i="2"/>
  <c r="W132" i="2"/>
  <c r="X132" i="2"/>
  <c r="W148" i="2"/>
  <c r="X148" i="2"/>
  <c r="X156" i="2"/>
  <c r="W156" i="2"/>
  <c r="W149" i="2"/>
  <c r="W123" i="2"/>
  <c r="X123" i="2"/>
  <c r="W127" i="2"/>
  <c r="X127" i="2"/>
  <c r="W129" i="2"/>
  <c r="X129" i="2"/>
  <c r="W141" i="2" l="1"/>
  <c r="X141" i="2"/>
  <c r="E172" i="1"/>
  <c r="E172" i="2" s="1"/>
  <c r="K171" i="1" l="1"/>
  <c r="K170" i="1"/>
  <c r="K169" i="1"/>
  <c r="K168" i="1"/>
  <c r="K161" i="1"/>
  <c r="K160" i="1"/>
  <c r="K159" i="1"/>
  <c r="K158" i="1"/>
  <c r="K157" i="1"/>
  <c r="K155" i="1"/>
  <c r="K154" i="1"/>
  <c r="K153" i="1"/>
  <c r="K152" i="1"/>
  <c r="K151" i="1"/>
  <c r="K150" i="1"/>
  <c r="K147" i="1"/>
  <c r="K146" i="1"/>
  <c r="K145" i="1"/>
  <c r="E151" i="1"/>
  <c r="E151" i="2" s="1"/>
  <c r="F156" i="1"/>
  <c r="F156" i="2" s="1"/>
  <c r="E157" i="1"/>
  <c r="E157" i="2" s="1"/>
  <c r="C157" i="1"/>
  <c r="C157" i="2" s="1"/>
  <c r="E156" i="1"/>
  <c r="E156" i="2" s="1"/>
  <c r="D156" i="1"/>
  <c r="D156" i="2" s="1"/>
  <c r="C156" i="1"/>
  <c r="C156" i="2" s="1"/>
  <c r="E155" i="1"/>
  <c r="E155" i="2" s="1"/>
  <c r="F154" i="1"/>
  <c r="F154" i="2" s="1"/>
  <c r="E154" i="1"/>
  <c r="E154" i="2" s="1"/>
  <c r="D154" i="1"/>
  <c r="D154" i="2" s="1"/>
  <c r="C154" i="1"/>
  <c r="C154" i="2" s="1"/>
  <c r="F147" i="1"/>
  <c r="F147" i="2" s="1"/>
  <c r="E147" i="1"/>
  <c r="E147" i="2" s="1"/>
  <c r="D147" i="1"/>
  <c r="D147" i="2" s="1"/>
  <c r="C147" i="1"/>
  <c r="C147" i="2" s="1"/>
  <c r="F176" i="4" l="1"/>
  <c r="O176" i="4" s="1"/>
  <c r="K147" i="2"/>
  <c r="F182" i="4"/>
  <c r="O182" i="4" s="1"/>
  <c r="K153" i="2"/>
  <c r="K158" i="2"/>
  <c r="F187" i="4"/>
  <c r="O187" i="4" s="1"/>
  <c r="F198" i="4"/>
  <c r="O198" i="4" s="1"/>
  <c r="K168" i="2"/>
  <c r="F179" i="4"/>
  <c r="O179" i="4" s="1"/>
  <c r="K150" i="2"/>
  <c r="K154" i="2"/>
  <c r="F183" i="4"/>
  <c r="O183" i="4" s="1"/>
  <c r="K159" i="2"/>
  <c r="F188" i="4"/>
  <c r="O188" i="4" s="1"/>
  <c r="F199" i="4"/>
  <c r="O199" i="4" s="1"/>
  <c r="K169" i="2"/>
  <c r="F174" i="4"/>
  <c r="O174" i="4" s="1"/>
  <c r="K145" i="2"/>
  <c r="F180" i="4"/>
  <c r="O180" i="4" s="1"/>
  <c r="K151" i="2"/>
  <c r="F184" i="4"/>
  <c r="O184" i="4" s="1"/>
  <c r="K155" i="2"/>
  <c r="F189" i="4"/>
  <c r="O189" i="4" s="1"/>
  <c r="K160" i="2"/>
  <c r="K170" i="2"/>
  <c r="F200" i="4"/>
  <c r="O200" i="4" s="1"/>
  <c r="F175" i="4"/>
  <c r="O175" i="4" s="1"/>
  <c r="K146" i="2"/>
  <c r="K152" i="2"/>
  <c r="F181" i="4"/>
  <c r="O181" i="4" s="1"/>
  <c r="K157" i="2"/>
  <c r="F186" i="4"/>
  <c r="O186" i="4" s="1"/>
  <c r="F190" i="4"/>
  <c r="O190" i="4" s="1"/>
  <c r="K161" i="2"/>
  <c r="K171" i="2"/>
  <c r="F201" i="4"/>
  <c r="O201" i="4" s="1"/>
  <c r="K140" i="1"/>
  <c r="K139" i="1"/>
  <c r="K138" i="1"/>
  <c r="K137" i="1"/>
  <c r="K136" i="1"/>
  <c r="K134" i="1"/>
  <c r="K133" i="1"/>
  <c r="K125" i="1"/>
  <c r="E141" i="1"/>
  <c r="E141" i="2" s="1"/>
  <c r="F134" i="1"/>
  <c r="F134" i="2" s="1"/>
  <c r="E134" i="1"/>
  <c r="E134" i="2" s="1"/>
  <c r="D134" i="1"/>
  <c r="D134" i="2" s="1"/>
  <c r="A149" i="4"/>
  <c r="J149" i="4" s="1"/>
  <c r="B149" i="4"/>
  <c r="K149" i="4" s="1"/>
  <c r="C149" i="4"/>
  <c r="E149" i="4"/>
  <c r="F149" i="4"/>
  <c r="I149" i="4"/>
  <c r="A150" i="4"/>
  <c r="J150" i="4" s="1"/>
  <c r="B150" i="4"/>
  <c r="K150" i="4" s="1"/>
  <c r="C150" i="4"/>
  <c r="L150" i="4" s="1"/>
  <c r="E150" i="4"/>
  <c r="N150" i="4" s="1"/>
  <c r="F150" i="4"/>
  <c r="I150" i="4"/>
  <c r="B124" i="3"/>
  <c r="A124" i="3"/>
  <c r="C124" i="3"/>
  <c r="D124" i="3"/>
  <c r="E124" i="3" s="1"/>
  <c r="A123" i="3"/>
  <c r="B123" i="3"/>
  <c r="D150" i="4"/>
  <c r="M150" i="4" s="1"/>
  <c r="D123" i="3"/>
  <c r="E123" i="3" s="1"/>
  <c r="C123" i="3"/>
  <c r="G150" i="4"/>
  <c r="H150" i="4"/>
  <c r="P150" i="4" s="1"/>
  <c r="A122" i="2"/>
  <c r="A122" i="3" s="1"/>
  <c r="B122" i="2"/>
  <c r="B122" i="3" s="1"/>
  <c r="C122" i="2"/>
  <c r="D122" i="2"/>
  <c r="E122" i="2"/>
  <c r="F122" i="2"/>
  <c r="G149" i="4"/>
  <c r="H149" i="4"/>
  <c r="A121" i="2"/>
  <c r="A121" i="3" s="1"/>
  <c r="B121" i="2"/>
  <c r="B121" i="3" s="1"/>
  <c r="C121" i="2"/>
  <c r="D121" i="2"/>
  <c r="E121" i="2"/>
  <c r="F121" i="2"/>
  <c r="A84" i="2"/>
  <c r="B84" i="2"/>
  <c r="O1" i="2"/>
  <c r="N1" i="2"/>
  <c r="M1" i="2"/>
  <c r="L1" i="2"/>
  <c r="K1" i="2"/>
  <c r="J1" i="2"/>
  <c r="I1" i="2"/>
  <c r="H1" i="2"/>
  <c r="G1" i="2"/>
  <c r="F1" i="2"/>
  <c r="E1" i="2"/>
  <c r="D1" i="2"/>
  <c r="C1" i="2"/>
  <c r="B1" i="2"/>
  <c r="B1" i="3" s="1"/>
  <c r="A1" i="2"/>
  <c r="A1" i="3" s="1"/>
  <c r="O2" i="2"/>
  <c r="N2" i="2"/>
  <c r="M2" i="2"/>
  <c r="L2" i="2"/>
  <c r="K2" i="2"/>
  <c r="J2" i="2"/>
  <c r="I2" i="2"/>
  <c r="H2" i="2"/>
  <c r="G2" i="2"/>
  <c r="F2" i="2"/>
  <c r="E2" i="2"/>
  <c r="D2" i="2"/>
  <c r="C2" i="2"/>
  <c r="B2" i="2"/>
  <c r="B2" i="3" s="1"/>
  <c r="A2" i="2"/>
  <c r="A2" i="3" s="1"/>
  <c r="A28" i="2"/>
  <c r="A28" i="3" s="1"/>
  <c r="B28" i="2"/>
  <c r="C28" i="2"/>
  <c r="D28" i="2"/>
  <c r="E28" i="2"/>
  <c r="F28" i="2"/>
  <c r="K28" i="2"/>
  <c r="J28" i="2" s="1"/>
  <c r="L28" i="2"/>
  <c r="M28" i="2"/>
  <c r="N28" i="2"/>
  <c r="P28" i="2"/>
  <c r="A29" i="2"/>
  <c r="A29" i="3" s="1"/>
  <c r="B29" i="2"/>
  <c r="C29" i="2"/>
  <c r="D29" i="2"/>
  <c r="E29" i="2"/>
  <c r="F29" i="2"/>
  <c r="K29" i="2"/>
  <c r="J29" i="2" s="1"/>
  <c r="L29" i="2"/>
  <c r="M29" i="2"/>
  <c r="N29" i="2"/>
  <c r="P29" i="2"/>
  <c r="D147" i="4"/>
  <c r="M147" i="4" s="1"/>
  <c r="A120" i="2"/>
  <c r="A120" i="3" s="1"/>
  <c r="B120" i="2"/>
  <c r="B120" i="3" s="1"/>
  <c r="C120" i="2"/>
  <c r="D120" i="2"/>
  <c r="E120" i="2"/>
  <c r="F120" i="2"/>
  <c r="T120" i="2"/>
  <c r="D120" i="3" s="1"/>
  <c r="K120" i="2"/>
  <c r="L120" i="2"/>
  <c r="M120" i="2"/>
  <c r="N120" i="2"/>
  <c r="G147" i="4" s="1"/>
  <c r="P120" i="2"/>
  <c r="H147" i="4" s="1"/>
  <c r="P147" i="4" s="1"/>
  <c r="P120" i="1"/>
  <c r="A147" i="4"/>
  <c r="J147" i="4" s="1"/>
  <c r="B147" i="4"/>
  <c r="K147" i="4" s="1"/>
  <c r="C147" i="4"/>
  <c r="L147" i="4" s="1"/>
  <c r="E147" i="4"/>
  <c r="N147" i="4" s="1"/>
  <c r="F147" i="4"/>
  <c r="I147" i="4"/>
  <c r="S120" i="2"/>
  <c r="K125" i="2" l="1"/>
  <c r="F152" i="4"/>
  <c r="O152" i="4" s="1"/>
  <c r="F164" i="4"/>
  <c r="O164" i="4" s="1"/>
  <c r="K137" i="2"/>
  <c r="E146" i="3"/>
  <c r="X146" i="2"/>
  <c r="W146" i="2"/>
  <c r="E160" i="3"/>
  <c r="X160" i="2"/>
  <c r="W160" i="2"/>
  <c r="E151" i="3"/>
  <c r="X151" i="2"/>
  <c r="W151" i="2"/>
  <c r="E169" i="3"/>
  <c r="X169" i="2"/>
  <c r="W169" i="2"/>
  <c r="E168" i="3"/>
  <c r="W168" i="2"/>
  <c r="X168" i="2"/>
  <c r="E153" i="3"/>
  <c r="W153" i="2"/>
  <c r="X153" i="2"/>
  <c r="F160" i="4"/>
  <c r="O160" i="4" s="1"/>
  <c r="K133" i="2"/>
  <c r="F165" i="4"/>
  <c r="O165" i="4" s="1"/>
  <c r="K138" i="2"/>
  <c r="E171" i="3"/>
  <c r="W171" i="2"/>
  <c r="X171" i="2"/>
  <c r="E157" i="3"/>
  <c r="X157" i="2"/>
  <c r="W157" i="2"/>
  <c r="E154" i="3"/>
  <c r="X154" i="2"/>
  <c r="W154" i="2"/>
  <c r="F161" i="4"/>
  <c r="O161" i="4" s="1"/>
  <c r="K134" i="2"/>
  <c r="K139" i="2"/>
  <c r="F166" i="4"/>
  <c r="O166" i="4" s="1"/>
  <c r="E161" i="3"/>
  <c r="W161" i="2"/>
  <c r="X161" i="2"/>
  <c r="E155" i="3"/>
  <c r="W155" i="2"/>
  <c r="X155" i="2"/>
  <c r="E145" i="3"/>
  <c r="X145" i="2"/>
  <c r="W145" i="2"/>
  <c r="E150" i="3"/>
  <c r="X150" i="2"/>
  <c r="W150" i="2"/>
  <c r="E147" i="3"/>
  <c r="X147" i="2"/>
  <c r="W147" i="2"/>
  <c r="F163" i="4"/>
  <c r="O163" i="4" s="1"/>
  <c r="K136" i="2"/>
  <c r="F167" i="4"/>
  <c r="O167" i="4" s="1"/>
  <c r="K140" i="2"/>
  <c r="E152" i="3"/>
  <c r="X152" i="2"/>
  <c r="W152" i="2"/>
  <c r="E170" i="3"/>
  <c r="X170" i="2"/>
  <c r="W170" i="2"/>
  <c r="E159" i="3"/>
  <c r="X159" i="2"/>
  <c r="W159" i="2"/>
  <c r="E158" i="3"/>
  <c r="W158" i="2"/>
  <c r="X158" i="2"/>
  <c r="C120" i="3"/>
  <c r="E120" i="3"/>
  <c r="D149" i="4"/>
  <c r="O150" i="4"/>
  <c r="R120" i="2"/>
  <c r="Y120" i="2" s="1"/>
  <c r="O147" i="4"/>
  <c r="J141" i="4"/>
  <c r="J137" i="4"/>
  <c r="J143" i="4"/>
  <c r="J139" i="4"/>
  <c r="J123" i="4"/>
  <c r="J107" i="4"/>
  <c r="J91"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90" i="4"/>
  <c r="I91" i="4"/>
  <c r="I93" i="4"/>
  <c r="I94" i="4"/>
  <c r="I95" i="4"/>
  <c r="I96" i="4"/>
  <c r="I97" i="4"/>
  <c r="I98" i="4"/>
  <c r="I99" i="4"/>
  <c r="I100" i="4"/>
  <c r="I101" i="4"/>
  <c r="I102" i="4"/>
  <c r="I103" i="4"/>
  <c r="I104" i="4"/>
  <c r="I106" i="4"/>
  <c r="I107" i="4"/>
  <c r="I109" i="4"/>
  <c r="I110" i="4"/>
  <c r="I111" i="4"/>
  <c r="I112" i="4"/>
  <c r="I113" i="4"/>
  <c r="I114" i="4"/>
  <c r="I115" i="4"/>
  <c r="I116" i="4"/>
  <c r="I117" i="4"/>
  <c r="I118" i="4"/>
  <c r="I119" i="4"/>
  <c r="I120" i="4"/>
  <c r="I122" i="4"/>
  <c r="I123" i="4"/>
  <c r="I125" i="4"/>
  <c r="I126" i="4"/>
  <c r="I127" i="4"/>
  <c r="I128" i="4"/>
  <c r="I129" i="4"/>
  <c r="I130" i="4"/>
  <c r="I131" i="4"/>
  <c r="I132" i="4"/>
  <c r="I133" i="4"/>
  <c r="I134" i="4"/>
  <c r="I135" i="4"/>
  <c r="I136" i="4"/>
  <c r="I138" i="4"/>
  <c r="I140" i="4"/>
  <c r="I142" i="4"/>
  <c r="I144" i="4"/>
  <c r="I145" i="4"/>
  <c r="I146" i="4"/>
  <c r="A93" i="4"/>
  <c r="J93" i="4" s="1"/>
  <c r="B93" i="4"/>
  <c r="K93" i="4" s="1"/>
  <c r="C93" i="4"/>
  <c r="L93" i="4" s="1"/>
  <c r="F93" i="4"/>
  <c r="A94" i="4"/>
  <c r="J94" i="4" s="1"/>
  <c r="B94" i="4"/>
  <c r="K94" i="4" s="1"/>
  <c r="C94" i="4"/>
  <c r="L94" i="4" s="1"/>
  <c r="F94" i="4"/>
  <c r="A95" i="4"/>
  <c r="J95" i="4" s="1"/>
  <c r="B95" i="4"/>
  <c r="K95" i="4" s="1"/>
  <c r="C95" i="4"/>
  <c r="L95" i="4" s="1"/>
  <c r="F95" i="4"/>
  <c r="A96" i="4"/>
  <c r="J96" i="4" s="1"/>
  <c r="B96" i="4"/>
  <c r="K96" i="4" s="1"/>
  <c r="C96" i="4"/>
  <c r="L96" i="4" s="1"/>
  <c r="F96" i="4"/>
  <c r="A97" i="4"/>
  <c r="J97" i="4" s="1"/>
  <c r="B97" i="4"/>
  <c r="K97" i="4" s="1"/>
  <c r="C97" i="4"/>
  <c r="L97" i="4" s="1"/>
  <c r="F97" i="4"/>
  <c r="A98" i="4"/>
  <c r="J98" i="4" s="1"/>
  <c r="B98" i="4"/>
  <c r="K98" i="4" s="1"/>
  <c r="C98" i="4"/>
  <c r="L98" i="4" s="1"/>
  <c r="F98" i="4"/>
  <c r="A99" i="4"/>
  <c r="J99" i="4" s="1"/>
  <c r="B99" i="4"/>
  <c r="K99" i="4" s="1"/>
  <c r="C99" i="4"/>
  <c r="L99" i="4" s="1"/>
  <c r="F99" i="4"/>
  <c r="A100" i="4"/>
  <c r="J100" i="4" s="1"/>
  <c r="B100" i="4"/>
  <c r="K100" i="4" s="1"/>
  <c r="C100" i="4"/>
  <c r="L100" i="4" s="1"/>
  <c r="F100" i="4"/>
  <c r="A101" i="4"/>
  <c r="J101" i="4" s="1"/>
  <c r="B101" i="4"/>
  <c r="K101" i="4" s="1"/>
  <c r="C101" i="4"/>
  <c r="L101" i="4" s="1"/>
  <c r="F101" i="4"/>
  <c r="A102" i="4"/>
  <c r="J102" i="4" s="1"/>
  <c r="B102" i="4"/>
  <c r="K102" i="4" s="1"/>
  <c r="C102" i="4"/>
  <c r="L102" i="4" s="1"/>
  <c r="F102" i="4"/>
  <c r="A103" i="4"/>
  <c r="J103" i="4" s="1"/>
  <c r="B103" i="4"/>
  <c r="K103" i="4" s="1"/>
  <c r="C103" i="4"/>
  <c r="L103" i="4" s="1"/>
  <c r="F103" i="4"/>
  <c r="A104" i="4"/>
  <c r="K104" i="4" s="1"/>
  <c r="B104" i="4"/>
  <c r="C104" i="4"/>
  <c r="F104" i="4"/>
  <c r="A106" i="4"/>
  <c r="J106" i="4" s="1"/>
  <c r="B106" i="4"/>
  <c r="K106" i="4" s="1"/>
  <c r="A108" i="4"/>
  <c r="J108" i="4" s="1"/>
  <c r="B108" i="4"/>
  <c r="K108" i="4" s="1"/>
  <c r="C108" i="4"/>
  <c r="L108" i="4" s="1"/>
  <c r="A109" i="4"/>
  <c r="J109" i="4" s="1"/>
  <c r="B109" i="4"/>
  <c r="K109" i="4" s="1"/>
  <c r="C109" i="4"/>
  <c r="L109" i="4" s="1"/>
  <c r="F109" i="4"/>
  <c r="A110" i="4"/>
  <c r="J110" i="4" s="1"/>
  <c r="B110" i="4"/>
  <c r="K110" i="4" s="1"/>
  <c r="C110" i="4"/>
  <c r="L110" i="4" s="1"/>
  <c r="F110" i="4"/>
  <c r="A111" i="4"/>
  <c r="B111" i="4"/>
  <c r="K111" i="4" s="1"/>
  <c r="C111" i="4"/>
  <c r="L111" i="4" s="1"/>
  <c r="F111" i="4"/>
  <c r="J111" i="4"/>
  <c r="A112" i="4"/>
  <c r="J112" i="4" s="1"/>
  <c r="B112" i="4"/>
  <c r="K112" i="4" s="1"/>
  <c r="C112" i="4"/>
  <c r="L112" i="4" s="1"/>
  <c r="A113" i="4"/>
  <c r="J113" i="4" s="1"/>
  <c r="B113" i="4"/>
  <c r="K113" i="4" s="1"/>
  <c r="C113" i="4"/>
  <c r="L113" i="4" s="1"/>
  <c r="F113" i="4"/>
  <c r="A114" i="4"/>
  <c r="J114" i="4" s="1"/>
  <c r="B114" i="4"/>
  <c r="K114" i="4" s="1"/>
  <c r="C114" i="4"/>
  <c r="L114" i="4" s="1"/>
  <c r="F114" i="4"/>
  <c r="A115" i="4"/>
  <c r="J115" i="4" s="1"/>
  <c r="B115" i="4"/>
  <c r="K115" i="4" s="1"/>
  <c r="C115" i="4"/>
  <c r="L115" i="4" s="1"/>
  <c r="A116" i="4"/>
  <c r="J116" i="4" s="1"/>
  <c r="B116" i="4"/>
  <c r="K116" i="4" s="1"/>
  <c r="C116" i="4"/>
  <c r="L116" i="4" s="1"/>
  <c r="F116" i="4"/>
  <c r="A117" i="4"/>
  <c r="J117" i="4" s="1"/>
  <c r="B117" i="4"/>
  <c r="K117" i="4" s="1"/>
  <c r="C117" i="4"/>
  <c r="L117" i="4" s="1"/>
  <c r="F117" i="4"/>
  <c r="A118" i="4"/>
  <c r="J118" i="4" s="1"/>
  <c r="B118" i="4"/>
  <c r="K118" i="4" s="1"/>
  <c r="C118" i="4"/>
  <c r="L118" i="4" s="1"/>
  <c r="F118" i="4"/>
  <c r="A119" i="4"/>
  <c r="J119" i="4" s="1"/>
  <c r="B119" i="4"/>
  <c r="K119" i="4" s="1"/>
  <c r="C119" i="4"/>
  <c r="L119" i="4" s="1"/>
  <c r="F119" i="4"/>
  <c r="A120" i="4"/>
  <c r="K120" i="4" s="1"/>
  <c r="B120" i="4"/>
  <c r="C120" i="4"/>
  <c r="F120" i="4"/>
  <c r="O120" i="4" s="1"/>
  <c r="A122" i="4"/>
  <c r="J122" i="4" s="1"/>
  <c r="B122" i="4"/>
  <c r="K122" i="4" s="1"/>
  <c r="F122" i="4"/>
  <c r="A124" i="4"/>
  <c r="J124" i="4" s="1"/>
  <c r="B124" i="4"/>
  <c r="K124" i="4" s="1"/>
  <c r="C124" i="4"/>
  <c r="L124" i="4" s="1"/>
  <c r="A125" i="4"/>
  <c r="J125" i="4" s="1"/>
  <c r="B125" i="4"/>
  <c r="K125" i="4" s="1"/>
  <c r="C125" i="4"/>
  <c r="L125" i="4" s="1"/>
  <c r="F125" i="4"/>
  <c r="A126" i="4"/>
  <c r="J126" i="4" s="1"/>
  <c r="B126" i="4"/>
  <c r="K126" i="4" s="1"/>
  <c r="C126" i="4"/>
  <c r="L126" i="4" s="1"/>
  <c r="F126" i="4"/>
  <c r="A127" i="4"/>
  <c r="J127" i="4" s="1"/>
  <c r="B127" i="4"/>
  <c r="K127" i="4" s="1"/>
  <c r="C127" i="4"/>
  <c r="L127" i="4" s="1"/>
  <c r="F127" i="4"/>
  <c r="A128" i="4"/>
  <c r="J128" i="4" s="1"/>
  <c r="B128" i="4"/>
  <c r="K128" i="4" s="1"/>
  <c r="C128" i="4"/>
  <c r="L128" i="4" s="1"/>
  <c r="A129" i="4"/>
  <c r="J129" i="4" s="1"/>
  <c r="B129" i="4"/>
  <c r="K129" i="4" s="1"/>
  <c r="C129" i="4"/>
  <c r="L129" i="4" s="1"/>
  <c r="F129" i="4"/>
  <c r="A130" i="4"/>
  <c r="J130" i="4" s="1"/>
  <c r="B130" i="4"/>
  <c r="K130" i="4" s="1"/>
  <c r="C130" i="4"/>
  <c r="L130" i="4" s="1"/>
  <c r="A131" i="4"/>
  <c r="J131" i="4" s="1"/>
  <c r="B131" i="4"/>
  <c r="K131" i="4" s="1"/>
  <c r="C131" i="4"/>
  <c r="L131" i="4" s="1"/>
  <c r="A132" i="4"/>
  <c r="J132" i="4" s="1"/>
  <c r="B132" i="4"/>
  <c r="K132" i="4" s="1"/>
  <c r="C132" i="4"/>
  <c r="L132" i="4" s="1"/>
  <c r="A133" i="4"/>
  <c r="J133" i="4" s="1"/>
  <c r="B133" i="4"/>
  <c r="K133" i="4" s="1"/>
  <c r="C133" i="4"/>
  <c r="L133" i="4" s="1"/>
  <c r="A134" i="4"/>
  <c r="J134" i="4" s="1"/>
  <c r="B134" i="4"/>
  <c r="K134" i="4" s="1"/>
  <c r="C134" i="4"/>
  <c r="L134" i="4" s="1"/>
  <c r="A135" i="4"/>
  <c r="J135" i="4" s="1"/>
  <c r="B135" i="4"/>
  <c r="K135" i="4" s="1"/>
  <c r="C135" i="4"/>
  <c r="L135" i="4" s="1"/>
  <c r="A136" i="4"/>
  <c r="J136" i="4" s="1"/>
  <c r="B136" i="4"/>
  <c r="K136" i="4" s="1"/>
  <c r="C136" i="4"/>
  <c r="L136" i="4" s="1"/>
  <c r="A138" i="4"/>
  <c r="J138" i="4" s="1"/>
  <c r="B138" i="4"/>
  <c r="K138" i="4" s="1"/>
  <c r="C138" i="4"/>
  <c r="L138" i="4" s="1"/>
  <c r="F138" i="4"/>
  <c r="A140" i="4"/>
  <c r="J140" i="4" s="1"/>
  <c r="B140" i="4"/>
  <c r="K140" i="4" s="1"/>
  <c r="C140" i="4"/>
  <c r="L140" i="4" s="1"/>
  <c r="A142" i="4"/>
  <c r="J142" i="4" s="1"/>
  <c r="B142" i="4"/>
  <c r="K142" i="4" s="1"/>
  <c r="C142" i="4"/>
  <c r="L142" i="4" s="1"/>
  <c r="F142" i="4"/>
  <c r="A144" i="4"/>
  <c r="J144" i="4" s="1"/>
  <c r="B144" i="4"/>
  <c r="K144" i="4" s="1"/>
  <c r="C144" i="4"/>
  <c r="L144" i="4" s="1"/>
  <c r="A145" i="4"/>
  <c r="K145" i="4" s="1"/>
  <c r="B145" i="4"/>
  <c r="C145" i="4"/>
  <c r="D145" i="4"/>
  <c r="F145" i="4"/>
  <c r="A146" i="4"/>
  <c r="J146" i="4" s="1"/>
  <c r="B146" i="4"/>
  <c r="K146" i="4" s="1"/>
  <c r="C146" i="4"/>
  <c r="L146" i="4" s="1"/>
  <c r="D146" i="4"/>
  <c r="M146" i="4" s="1"/>
  <c r="E146" i="4"/>
  <c r="N146" i="4" s="1"/>
  <c r="F146" i="4"/>
  <c r="A92" i="4"/>
  <c r="J92" i="4" s="1"/>
  <c r="B92" i="4"/>
  <c r="K92" i="4" s="1"/>
  <c r="C92" i="4"/>
  <c r="L92" i="4" s="1"/>
  <c r="F92" i="4"/>
  <c r="A90" i="4"/>
  <c r="J90" i="4" s="1"/>
  <c r="S7" i="2"/>
  <c r="R119" i="2"/>
  <c r="Y119" i="2" s="1"/>
  <c r="S119" i="2"/>
  <c r="Y25" i="2"/>
  <c r="P119" i="1"/>
  <c r="P119" i="2" s="1"/>
  <c r="H146" i="4" s="1"/>
  <c r="P146" i="4" s="1"/>
  <c r="F6" i="2"/>
  <c r="F7" i="2"/>
  <c r="F8" i="2"/>
  <c r="F9" i="2"/>
  <c r="F10" i="2"/>
  <c r="F11" i="2"/>
  <c r="F12" i="2"/>
  <c r="F13" i="2"/>
  <c r="F14" i="2"/>
  <c r="F15" i="2"/>
  <c r="F16" i="2"/>
  <c r="F17" i="2"/>
  <c r="F18" i="2"/>
  <c r="F19" i="2"/>
  <c r="F20" i="2"/>
  <c r="F21" i="2"/>
  <c r="F22" i="2"/>
  <c r="F23" i="2"/>
  <c r="F24" i="2"/>
  <c r="F25" i="2"/>
  <c r="F26" i="2"/>
  <c r="F27" i="2"/>
  <c r="F30" i="2"/>
  <c r="F31" i="2"/>
  <c r="F32" i="2"/>
  <c r="F33" i="2"/>
  <c r="F34" i="2"/>
  <c r="F35" i="2"/>
  <c r="F36" i="2"/>
  <c r="F38" i="2"/>
  <c r="F39" i="2"/>
  <c r="F40" i="2"/>
  <c r="F42" i="2"/>
  <c r="F43" i="2"/>
  <c r="F45" i="2"/>
  <c r="F46" i="2"/>
  <c r="F47" i="2"/>
  <c r="F48" i="2"/>
  <c r="F51" i="2"/>
  <c r="F52" i="2"/>
  <c r="F53" i="2"/>
  <c r="F55" i="2"/>
  <c r="F56" i="2"/>
  <c r="F57" i="2"/>
  <c r="F58" i="2"/>
  <c r="F59" i="2"/>
  <c r="F61" i="2"/>
  <c r="F62" i="2"/>
  <c r="F65" i="2"/>
  <c r="F66" i="2"/>
  <c r="F67" i="2"/>
  <c r="F68" i="2"/>
  <c r="F69" i="2"/>
  <c r="F70" i="2"/>
  <c r="F72" i="2"/>
  <c r="F73" i="2"/>
  <c r="F74" i="2"/>
  <c r="F75" i="2"/>
  <c r="F76" i="2"/>
  <c r="F77"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10" i="2"/>
  <c r="F111" i="2"/>
  <c r="F112" i="2"/>
  <c r="F114" i="2"/>
  <c r="F115" i="2"/>
  <c r="F116" i="2"/>
  <c r="F118" i="2"/>
  <c r="F119" i="2"/>
  <c r="F5" i="2"/>
  <c r="A9" i="2"/>
  <c r="A9" i="3" s="1"/>
  <c r="B9" i="2"/>
  <c r="B9" i="3" s="1"/>
  <c r="C9" i="2"/>
  <c r="D9" i="2"/>
  <c r="E9" i="2"/>
  <c r="R9" i="2"/>
  <c r="S9" i="2"/>
  <c r="T9" i="2"/>
  <c r="D9" i="3" s="1"/>
  <c r="L9" i="2"/>
  <c r="M9" i="2"/>
  <c r="N9" i="2"/>
  <c r="Z10" i="2" s="1"/>
  <c r="P9" i="2"/>
  <c r="Q9" i="2"/>
  <c r="A10" i="2"/>
  <c r="A10" i="3" s="1"/>
  <c r="B10" i="2"/>
  <c r="B10" i="3" s="1"/>
  <c r="C10" i="2"/>
  <c r="D10" i="2"/>
  <c r="E10" i="2"/>
  <c r="R10" i="2"/>
  <c r="Y10" i="2" s="1"/>
  <c r="S10" i="2"/>
  <c r="T10" i="2"/>
  <c r="D10" i="3" s="1"/>
  <c r="K10" i="2"/>
  <c r="L10" i="2"/>
  <c r="M10" i="2"/>
  <c r="N10" i="2"/>
  <c r="Z11" i="2" s="1"/>
  <c r="P10" i="2"/>
  <c r="Q10" i="2"/>
  <c r="A11" i="2"/>
  <c r="A11" i="3" s="1"/>
  <c r="B11" i="2"/>
  <c r="B11" i="3" s="1"/>
  <c r="C11" i="2"/>
  <c r="D11" i="2"/>
  <c r="E11" i="2"/>
  <c r="R11" i="2"/>
  <c r="S11" i="2"/>
  <c r="T11" i="2"/>
  <c r="D11" i="3" s="1"/>
  <c r="K11" i="2"/>
  <c r="C11" i="3" s="1"/>
  <c r="L11" i="2"/>
  <c r="M11" i="2"/>
  <c r="N11" i="2"/>
  <c r="Z12" i="2" s="1"/>
  <c r="P11" i="2"/>
  <c r="Q11" i="2"/>
  <c r="A12" i="2"/>
  <c r="A12" i="3" s="1"/>
  <c r="B12" i="2"/>
  <c r="B12" i="3" s="1"/>
  <c r="C12" i="2"/>
  <c r="D12" i="2"/>
  <c r="E12" i="2"/>
  <c r="R12" i="2"/>
  <c r="Y12" i="2" s="1"/>
  <c r="S12" i="2"/>
  <c r="T12" i="2"/>
  <c r="D12" i="3" s="1"/>
  <c r="L12" i="2"/>
  <c r="M12" i="2"/>
  <c r="N12" i="2"/>
  <c r="Z13" i="2" s="1"/>
  <c r="P12" i="2"/>
  <c r="Q12" i="2"/>
  <c r="A13" i="2"/>
  <c r="A13" i="3" s="1"/>
  <c r="B13" i="2"/>
  <c r="B13" i="3" s="1"/>
  <c r="C13" i="2"/>
  <c r="D13" i="2"/>
  <c r="E13" i="2"/>
  <c r="R13" i="2"/>
  <c r="S13" i="2"/>
  <c r="T13" i="2"/>
  <c r="D13" i="3" s="1"/>
  <c r="K13" i="2"/>
  <c r="L13" i="2"/>
  <c r="M13" i="2"/>
  <c r="N13" i="2"/>
  <c r="Z14" i="2" s="1"/>
  <c r="P13" i="2"/>
  <c r="Q13" i="2"/>
  <c r="A14" i="2"/>
  <c r="A14" i="3" s="1"/>
  <c r="B14" i="2"/>
  <c r="B14" i="3" s="1"/>
  <c r="C14" i="2"/>
  <c r="D14" i="2"/>
  <c r="E14" i="2"/>
  <c r="R14" i="2"/>
  <c r="Y14" i="2" s="1"/>
  <c r="S14" i="2"/>
  <c r="T14" i="2"/>
  <c r="D14" i="3" s="1"/>
  <c r="K14" i="2"/>
  <c r="L14" i="2"/>
  <c r="M14" i="2"/>
  <c r="N14" i="2"/>
  <c r="Z15" i="2" s="1"/>
  <c r="P14" i="2"/>
  <c r="Q14" i="2"/>
  <c r="A15" i="2"/>
  <c r="A15" i="3" s="1"/>
  <c r="B15" i="2"/>
  <c r="B15" i="3" s="1"/>
  <c r="C15" i="2"/>
  <c r="D15" i="2"/>
  <c r="E15" i="2"/>
  <c r="R15" i="2"/>
  <c r="S15" i="2"/>
  <c r="T15" i="2"/>
  <c r="D15" i="3" s="1"/>
  <c r="K15" i="2"/>
  <c r="C15" i="3" s="1"/>
  <c r="L15" i="2"/>
  <c r="M15" i="2"/>
  <c r="N15" i="2"/>
  <c r="Z16" i="2" s="1"/>
  <c r="P15" i="2"/>
  <c r="Q15" i="2"/>
  <c r="A16" i="2"/>
  <c r="A16" i="3" s="1"/>
  <c r="B16" i="2"/>
  <c r="B16" i="3" s="1"/>
  <c r="C16" i="2"/>
  <c r="D16" i="2"/>
  <c r="E16" i="2"/>
  <c r="R16" i="2"/>
  <c r="Y16" i="2" s="1"/>
  <c r="S16" i="2"/>
  <c r="T16" i="2"/>
  <c r="D16" i="3" s="1"/>
  <c r="K16" i="2"/>
  <c r="L16" i="2"/>
  <c r="M16" i="2"/>
  <c r="N16" i="2"/>
  <c r="Z17" i="2" s="1"/>
  <c r="P16" i="2"/>
  <c r="Q16" i="2"/>
  <c r="A17" i="2"/>
  <c r="A17" i="3" s="1"/>
  <c r="B17" i="2"/>
  <c r="B17" i="3" s="1"/>
  <c r="C17" i="2"/>
  <c r="D17" i="2"/>
  <c r="E17" i="2"/>
  <c r="R17" i="2"/>
  <c r="S17" i="2"/>
  <c r="T17" i="2"/>
  <c r="D17" i="3" s="1"/>
  <c r="K17" i="2"/>
  <c r="L17" i="2"/>
  <c r="M17" i="2"/>
  <c r="N17" i="2"/>
  <c r="Z18" i="2" s="1"/>
  <c r="P17" i="2"/>
  <c r="Q17" i="2"/>
  <c r="A18" i="2"/>
  <c r="A18" i="3" s="1"/>
  <c r="B18" i="2"/>
  <c r="B18" i="3" s="1"/>
  <c r="C18" i="2"/>
  <c r="D18" i="2"/>
  <c r="E18" i="2"/>
  <c r="R18" i="2"/>
  <c r="Y18" i="2" s="1"/>
  <c r="S18" i="2"/>
  <c r="T18" i="2"/>
  <c r="D18" i="3" s="1"/>
  <c r="K18" i="2"/>
  <c r="C18" i="3" s="1"/>
  <c r="L18" i="2"/>
  <c r="M18" i="2"/>
  <c r="N18" i="2"/>
  <c r="Z19" i="2" s="1"/>
  <c r="P18" i="2"/>
  <c r="Q18" i="2"/>
  <c r="A19" i="2"/>
  <c r="A19" i="3" s="1"/>
  <c r="B19" i="2"/>
  <c r="B19" i="3" s="1"/>
  <c r="C19" i="2"/>
  <c r="D19" i="2"/>
  <c r="E19" i="2"/>
  <c r="R19" i="2"/>
  <c r="S19" i="2"/>
  <c r="T19" i="2"/>
  <c r="D19" i="3" s="1"/>
  <c r="K19" i="2"/>
  <c r="L19" i="2"/>
  <c r="M19" i="2"/>
  <c r="N19" i="2"/>
  <c r="Z20" i="2" s="1"/>
  <c r="P19" i="2"/>
  <c r="Q19" i="2"/>
  <c r="A20" i="2"/>
  <c r="A20" i="3" s="1"/>
  <c r="B20" i="2"/>
  <c r="B20" i="3" s="1"/>
  <c r="C20" i="2"/>
  <c r="D20" i="2"/>
  <c r="E20" i="2"/>
  <c r="R20" i="2"/>
  <c r="Y20" i="2" s="1"/>
  <c r="S20" i="2"/>
  <c r="T20" i="2"/>
  <c r="D20" i="3" s="1"/>
  <c r="L20" i="2"/>
  <c r="M20" i="2"/>
  <c r="N20" i="2"/>
  <c r="Z21" i="2" s="1"/>
  <c r="P20" i="2"/>
  <c r="Q20" i="2"/>
  <c r="A21" i="2"/>
  <c r="A21" i="3" s="1"/>
  <c r="B21" i="2"/>
  <c r="B21" i="3" s="1"/>
  <c r="C21" i="2"/>
  <c r="D21" i="2"/>
  <c r="E21" i="2"/>
  <c r="R21" i="2"/>
  <c r="S21" i="2"/>
  <c r="T21" i="2"/>
  <c r="D21" i="3" s="1"/>
  <c r="K21" i="2"/>
  <c r="L21" i="2"/>
  <c r="M21" i="2"/>
  <c r="N21" i="2"/>
  <c r="Z22" i="2" s="1"/>
  <c r="P21" i="2"/>
  <c r="Q21" i="2"/>
  <c r="A22" i="2"/>
  <c r="A22" i="3" s="1"/>
  <c r="B22" i="2"/>
  <c r="B22" i="3" s="1"/>
  <c r="C22" i="2"/>
  <c r="D22" i="2"/>
  <c r="E22" i="2"/>
  <c r="R22" i="2"/>
  <c r="Y22" i="2" s="1"/>
  <c r="S22" i="2"/>
  <c r="T22" i="2"/>
  <c r="D22" i="3" s="1"/>
  <c r="K22" i="2"/>
  <c r="L22" i="2"/>
  <c r="M22" i="2"/>
  <c r="N22" i="2"/>
  <c r="Z23" i="2" s="1"/>
  <c r="P22" i="2"/>
  <c r="Q22" i="2"/>
  <c r="A23" i="2"/>
  <c r="A23" i="3" s="1"/>
  <c r="B23" i="2"/>
  <c r="B23" i="3" s="1"/>
  <c r="C23" i="2"/>
  <c r="D23" i="2"/>
  <c r="E23" i="2"/>
  <c r="R23" i="2"/>
  <c r="S23" i="2"/>
  <c r="T23" i="2"/>
  <c r="D23" i="3" s="1"/>
  <c r="L23" i="2"/>
  <c r="M23" i="2"/>
  <c r="N23" i="2"/>
  <c r="P23" i="2"/>
  <c r="Q23" i="2"/>
  <c r="A24" i="2"/>
  <c r="A24" i="3" s="1"/>
  <c r="B24" i="2"/>
  <c r="B24" i="3" s="1"/>
  <c r="C24" i="2"/>
  <c r="D24" i="2"/>
  <c r="E24" i="2"/>
  <c r="R24" i="2"/>
  <c r="Y24" i="2" s="1"/>
  <c r="S24" i="2"/>
  <c r="T24" i="2"/>
  <c r="D24" i="3" s="1"/>
  <c r="K24" i="2"/>
  <c r="L24" i="2"/>
  <c r="M24" i="2"/>
  <c r="N24" i="2"/>
  <c r="P24" i="2"/>
  <c r="Q24" i="2"/>
  <c r="A25" i="2"/>
  <c r="A25" i="3" s="1"/>
  <c r="B25" i="2"/>
  <c r="B25" i="3" s="1"/>
  <c r="C25" i="2"/>
  <c r="D25" i="2"/>
  <c r="E25" i="2"/>
  <c r="K25" i="2"/>
  <c r="J25" i="2" s="1"/>
  <c r="L25" i="2"/>
  <c r="M25" i="2"/>
  <c r="N25" i="2"/>
  <c r="P25" i="2"/>
  <c r="Q25" i="2"/>
  <c r="A26" i="2"/>
  <c r="A26" i="3" s="1"/>
  <c r="B26" i="2"/>
  <c r="B26" i="3" s="1"/>
  <c r="C26" i="2"/>
  <c r="D26" i="2"/>
  <c r="E26" i="2"/>
  <c r="R26" i="2"/>
  <c r="S26" i="2"/>
  <c r="T26" i="2"/>
  <c r="D26" i="3" s="1"/>
  <c r="K26" i="2"/>
  <c r="C26" i="3" s="1"/>
  <c r="L26" i="2"/>
  <c r="M26" i="2"/>
  <c r="N26" i="2"/>
  <c r="P26" i="2"/>
  <c r="Q26" i="2"/>
  <c r="A27" i="2"/>
  <c r="A27" i="3" s="1"/>
  <c r="B27" i="2"/>
  <c r="B27" i="3" s="1"/>
  <c r="C27" i="2"/>
  <c r="D27" i="2"/>
  <c r="E27" i="2"/>
  <c r="R27" i="2"/>
  <c r="Y27" i="2" s="1"/>
  <c r="S27" i="2"/>
  <c r="T27" i="2"/>
  <c r="D27" i="3" s="1"/>
  <c r="K27" i="2"/>
  <c r="C27" i="3" s="1"/>
  <c r="L27" i="2"/>
  <c r="M27" i="2"/>
  <c r="N27" i="2"/>
  <c r="Z30" i="2" s="1"/>
  <c r="P27" i="2"/>
  <c r="Q27" i="2"/>
  <c r="B28" i="3"/>
  <c r="Q28" i="2"/>
  <c r="B29" i="3"/>
  <c r="Q29" i="2"/>
  <c r="A30" i="2"/>
  <c r="A30" i="3" s="1"/>
  <c r="B30" i="2"/>
  <c r="B30" i="3" s="1"/>
  <c r="C30" i="2"/>
  <c r="D30" i="2"/>
  <c r="E30" i="2"/>
  <c r="R30" i="2"/>
  <c r="S30" i="2"/>
  <c r="T30" i="2"/>
  <c r="D30" i="3" s="1"/>
  <c r="K30" i="2"/>
  <c r="L30" i="2"/>
  <c r="M30" i="2"/>
  <c r="N30" i="2"/>
  <c r="Z31" i="2" s="1"/>
  <c r="P30" i="2"/>
  <c r="Q30" i="2"/>
  <c r="A31" i="2"/>
  <c r="A31" i="3" s="1"/>
  <c r="B31" i="2"/>
  <c r="B31" i="3" s="1"/>
  <c r="C31" i="2"/>
  <c r="D31" i="2"/>
  <c r="E31" i="2"/>
  <c r="R31" i="2"/>
  <c r="Y31" i="2" s="1"/>
  <c r="S31" i="2"/>
  <c r="T31" i="2"/>
  <c r="D31" i="3" s="1"/>
  <c r="K31" i="2"/>
  <c r="L31" i="2"/>
  <c r="M31" i="2"/>
  <c r="N31" i="2"/>
  <c r="P31" i="2"/>
  <c r="Q31" i="2"/>
  <c r="A32" i="2"/>
  <c r="A32" i="3" s="1"/>
  <c r="B32" i="2"/>
  <c r="B32" i="3" s="1"/>
  <c r="C32" i="2"/>
  <c r="D32" i="2"/>
  <c r="E32" i="2"/>
  <c r="R32" i="2"/>
  <c r="S32" i="2"/>
  <c r="T32" i="2"/>
  <c r="D32" i="3" s="1"/>
  <c r="K32" i="2"/>
  <c r="L32" i="2"/>
  <c r="M32" i="2"/>
  <c r="N32" i="2"/>
  <c r="Z33" i="2" s="1"/>
  <c r="P32" i="2"/>
  <c r="Q32" i="2"/>
  <c r="A33" i="2"/>
  <c r="A33" i="3" s="1"/>
  <c r="B33" i="2"/>
  <c r="B33" i="3" s="1"/>
  <c r="C33" i="2"/>
  <c r="D33" i="2"/>
  <c r="E33" i="2"/>
  <c r="R33" i="2"/>
  <c r="Y33" i="2" s="1"/>
  <c r="S33" i="2"/>
  <c r="T33" i="2"/>
  <c r="D33" i="3" s="1"/>
  <c r="K33" i="2"/>
  <c r="L33" i="2"/>
  <c r="M33" i="2"/>
  <c r="N33" i="2"/>
  <c r="Z34" i="2" s="1"/>
  <c r="P33" i="2"/>
  <c r="Q33" i="2"/>
  <c r="A34" i="2"/>
  <c r="A34" i="3" s="1"/>
  <c r="B34" i="2"/>
  <c r="B34" i="3" s="1"/>
  <c r="C34" i="2"/>
  <c r="D34" i="2"/>
  <c r="E34" i="2"/>
  <c r="R34" i="2"/>
  <c r="Y34" i="2" s="1"/>
  <c r="S34" i="2"/>
  <c r="T34" i="2"/>
  <c r="D34" i="3" s="1"/>
  <c r="K34" i="2"/>
  <c r="L34" i="2"/>
  <c r="M34" i="2"/>
  <c r="N34" i="2"/>
  <c r="Z35" i="2" s="1"/>
  <c r="P34" i="2"/>
  <c r="Q34" i="2"/>
  <c r="A35" i="2"/>
  <c r="A35" i="3" s="1"/>
  <c r="B35" i="2"/>
  <c r="B35" i="3" s="1"/>
  <c r="C35" i="2"/>
  <c r="D35" i="2"/>
  <c r="E35" i="2"/>
  <c r="R35" i="2"/>
  <c r="S35" i="2"/>
  <c r="T35" i="2"/>
  <c r="D35" i="3" s="1"/>
  <c r="K35" i="2"/>
  <c r="L35" i="2"/>
  <c r="M35" i="2"/>
  <c r="N35" i="2"/>
  <c r="Z36" i="2" s="1"/>
  <c r="P35" i="2"/>
  <c r="Q35" i="2"/>
  <c r="A36" i="2"/>
  <c r="A36" i="3" s="1"/>
  <c r="B36" i="2"/>
  <c r="B36" i="3" s="1"/>
  <c r="C36" i="2"/>
  <c r="D36" i="2"/>
  <c r="E36" i="2"/>
  <c r="K36" i="2"/>
  <c r="J36" i="2" s="1"/>
  <c r="L36" i="2"/>
  <c r="M36" i="2"/>
  <c r="N36" i="2"/>
  <c r="P36" i="2"/>
  <c r="Q36" i="2"/>
  <c r="A37" i="2"/>
  <c r="A37" i="3" s="1"/>
  <c r="B37" i="2"/>
  <c r="B37" i="3" s="1"/>
  <c r="R37" i="2"/>
  <c r="Y37" i="2" s="1"/>
  <c r="S37" i="2"/>
  <c r="T37" i="2"/>
  <c r="D37" i="3" s="1"/>
  <c r="K37" i="2"/>
  <c r="L37" i="2"/>
  <c r="M37" i="2"/>
  <c r="N37" i="2"/>
  <c r="Z38" i="2" s="1"/>
  <c r="P37" i="2"/>
  <c r="Q37" i="2"/>
  <c r="A38" i="2"/>
  <c r="A38" i="3" s="1"/>
  <c r="B38" i="2"/>
  <c r="B38" i="3" s="1"/>
  <c r="C38" i="2"/>
  <c r="D38" i="2"/>
  <c r="E38" i="2"/>
  <c r="R38" i="2"/>
  <c r="Y38" i="2" s="1"/>
  <c r="S38" i="2"/>
  <c r="T38" i="2"/>
  <c r="D38" i="3" s="1"/>
  <c r="K38" i="2"/>
  <c r="C38" i="3" s="1"/>
  <c r="L38" i="2"/>
  <c r="M38" i="2"/>
  <c r="N38" i="2"/>
  <c r="Z39" i="2" s="1"/>
  <c r="P38" i="2"/>
  <c r="Q38" i="2"/>
  <c r="A39" i="2"/>
  <c r="A39" i="3" s="1"/>
  <c r="B39" i="2"/>
  <c r="B39" i="3" s="1"/>
  <c r="C39" i="2"/>
  <c r="D39" i="2"/>
  <c r="E39" i="2"/>
  <c r="R39" i="2"/>
  <c r="Y39" i="2" s="1"/>
  <c r="S39" i="2"/>
  <c r="T39" i="2"/>
  <c r="D39" i="3" s="1"/>
  <c r="K39" i="2"/>
  <c r="L39" i="2"/>
  <c r="M39" i="2"/>
  <c r="N39" i="2"/>
  <c r="Z40" i="2" s="1"/>
  <c r="P39" i="2"/>
  <c r="Q39" i="2"/>
  <c r="A40" i="2"/>
  <c r="A40" i="3" s="1"/>
  <c r="B40" i="2"/>
  <c r="B40" i="3" s="1"/>
  <c r="C40" i="2"/>
  <c r="D40" i="2"/>
  <c r="E40" i="2"/>
  <c r="R40" i="2"/>
  <c r="Y40" i="2" s="1"/>
  <c r="S40" i="2"/>
  <c r="T40" i="2"/>
  <c r="D40" i="3" s="1"/>
  <c r="K40" i="2"/>
  <c r="L40" i="2"/>
  <c r="M40" i="2"/>
  <c r="N40" i="2"/>
  <c r="P40" i="2"/>
  <c r="Q40" i="2"/>
  <c r="A41" i="2"/>
  <c r="A41" i="3" s="1"/>
  <c r="B41" i="2"/>
  <c r="B41" i="3" s="1"/>
  <c r="D41" i="2"/>
  <c r="E41" i="2"/>
  <c r="R41" i="2"/>
  <c r="Y41" i="2" s="1"/>
  <c r="S41" i="2"/>
  <c r="T41" i="2"/>
  <c r="D41" i="3" s="1"/>
  <c r="K41" i="2"/>
  <c r="L41" i="2"/>
  <c r="M41" i="2"/>
  <c r="N41" i="2"/>
  <c r="P41" i="2"/>
  <c r="Q41" i="2"/>
  <c r="A42" i="2"/>
  <c r="A42" i="3" s="1"/>
  <c r="B42" i="2"/>
  <c r="B42" i="3" s="1"/>
  <c r="D42" i="2"/>
  <c r="E42" i="2"/>
  <c r="R42" i="2"/>
  <c r="Y42" i="2" s="1"/>
  <c r="S42" i="2"/>
  <c r="T42" i="2"/>
  <c r="D42" i="3" s="1"/>
  <c r="K42" i="2"/>
  <c r="L42" i="2"/>
  <c r="M42" i="2"/>
  <c r="N42" i="2"/>
  <c r="Z43" i="2" s="1"/>
  <c r="P42" i="2"/>
  <c r="Q42" i="2"/>
  <c r="A43" i="2"/>
  <c r="A43" i="3" s="1"/>
  <c r="B43" i="2"/>
  <c r="B43" i="3" s="1"/>
  <c r="D43" i="2"/>
  <c r="E43" i="2"/>
  <c r="R43" i="2"/>
  <c r="Y43" i="2" s="1"/>
  <c r="S43" i="2"/>
  <c r="T43" i="2"/>
  <c r="D43" i="3" s="1"/>
  <c r="K43" i="2"/>
  <c r="L43" i="2"/>
  <c r="M43" i="2"/>
  <c r="N43" i="2"/>
  <c r="Z44" i="2" s="1"/>
  <c r="P43" i="2"/>
  <c r="Q43" i="2"/>
  <c r="A44" i="2"/>
  <c r="A44" i="3" s="1"/>
  <c r="B44" i="2"/>
  <c r="B44" i="3" s="1"/>
  <c r="D44" i="2"/>
  <c r="E44" i="2"/>
  <c r="R44" i="2"/>
  <c r="Y44" i="2" s="1"/>
  <c r="S44" i="2"/>
  <c r="T44" i="2"/>
  <c r="D44" i="3" s="1"/>
  <c r="K44" i="2"/>
  <c r="C44" i="3" s="1"/>
  <c r="L44" i="2"/>
  <c r="M44" i="2"/>
  <c r="N44" i="2"/>
  <c r="Z45" i="2" s="1"/>
  <c r="P44" i="2"/>
  <c r="Q44" i="2"/>
  <c r="A45" i="2"/>
  <c r="A45" i="3" s="1"/>
  <c r="B45" i="2"/>
  <c r="B45" i="3" s="1"/>
  <c r="R45" i="2"/>
  <c r="Y45" i="2" s="1"/>
  <c r="S45" i="2"/>
  <c r="T45" i="2"/>
  <c r="D45" i="3" s="1"/>
  <c r="K45" i="2"/>
  <c r="L45" i="2"/>
  <c r="M45" i="2"/>
  <c r="N45" i="2"/>
  <c r="Z46" i="2" s="1"/>
  <c r="P45" i="2"/>
  <c r="Q45" i="2"/>
  <c r="A46" i="2"/>
  <c r="A46" i="3" s="1"/>
  <c r="B46" i="2"/>
  <c r="B46" i="3" s="1"/>
  <c r="E46" i="2"/>
  <c r="R46" i="2"/>
  <c r="Y46" i="2" s="1"/>
  <c r="S46" i="2"/>
  <c r="T46" i="2"/>
  <c r="D46" i="3" s="1"/>
  <c r="K46" i="2"/>
  <c r="C46" i="3" s="1"/>
  <c r="L46" i="2"/>
  <c r="M46" i="2"/>
  <c r="N46" i="2"/>
  <c r="Z47" i="2" s="1"/>
  <c r="P46" i="2"/>
  <c r="Q46" i="2"/>
  <c r="A47" i="2"/>
  <c r="A47" i="3" s="1"/>
  <c r="B47" i="2"/>
  <c r="B47" i="3" s="1"/>
  <c r="R47" i="2"/>
  <c r="Y47" i="2" s="1"/>
  <c r="S47" i="2"/>
  <c r="T47" i="2"/>
  <c r="D47" i="3" s="1"/>
  <c r="K47" i="2"/>
  <c r="L47" i="2"/>
  <c r="M47" i="2"/>
  <c r="N47" i="2"/>
  <c r="Z48" i="2" s="1"/>
  <c r="P47" i="2"/>
  <c r="Q47" i="2"/>
  <c r="A48" i="2"/>
  <c r="A48" i="3" s="1"/>
  <c r="B48" i="2"/>
  <c r="B48" i="3" s="1"/>
  <c r="C48" i="2"/>
  <c r="D48" i="2"/>
  <c r="E48" i="2"/>
  <c r="R48" i="2"/>
  <c r="Y48" i="2" s="1"/>
  <c r="S48" i="2"/>
  <c r="T48" i="2"/>
  <c r="D48" i="3" s="1"/>
  <c r="K48" i="2"/>
  <c r="C48" i="3" s="1"/>
  <c r="L48" i="2"/>
  <c r="M48" i="2"/>
  <c r="N48" i="2"/>
  <c r="P48" i="2"/>
  <c r="Q48" i="2"/>
  <c r="A49" i="2"/>
  <c r="A49" i="3" s="1"/>
  <c r="B49" i="2"/>
  <c r="B49" i="3" s="1"/>
  <c r="R49" i="2"/>
  <c r="S49" i="2"/>
  <c r="T49" i="2"/>
  <c r="D49" i="3" s="1"/>
  <c r="K49" i="2"/>
  <c r="L49" i="2"/>
  <c r="M49" i="2"/>
  <c r="N49" i="2"/>
  <c r="P49" i="2"/>
  <c r="Q49" i="2"/>
  <c r="A50" i="2"/>
  <c r="A50" i="3" s="1"/>
  <c r="B50" i="2"/>
  <c r="B50" i="3" s="1"/>
  <c r="D50" i="2"/>
  <c r="R50" i="2"/>
  <c r="Y50" i="2" s="1"/>
  <c r="S50" i="2"/>
  <c r="T50" i="2"/>
  <c r="D50" i="3" s="1"/>
  <c r="K50" i="2"/>
  <c r="L50" i="2"/>
  <c r="M50" i="2"/>
  <c r="N50" i="2"/>
  <c r="Z51" i="2" s="1"/>
  <c r="P50" i="2"/>
  <c r="Q50" i="2"/>
  <c r="A51" i="2"/>
  <c r="A51" i="3" s="1"/>
  <c r="B51" i="2"/>
  <c r="B51" i="3" s="1"/>
  <c r="C51" i="2"/>
  <c r="D51" i="2"/>
  <c r="E51" i="2"/>
  <c r="R51" i="2"/>
  <c r="S51" i="2"/>
  <c r="T51" i="2"/>
  <c r="D51" i="3" s="1"/>
  <c r="K51" i="2"/>
  <c r="L51" i="2"/>
  <c r="M51" i="2"/>
  <c r="N51" i="2"/>
  <c r="P51" i="2"/>
  <c r="Q51" i="2"/>
  <c r="A52" i="2"/>
  <c r="A52" i="3" s="1"/>
  <c r="B52" i="2"/>
  <c r="B52" i="3" s="1"/>
  <c r="C52" i="2"/>
  <c r="D52" i="2"/>
  <c r="E52" i="2"/>
  <c r="R52" i="2"/>
  <c r="Y52" i="2" s="1"/>
  <c r="S52" i="2"/>
  <c r="T52" i="2"/>
  <c r="D52" i="3" s="1"/>
  <c r="K52" i="2"/>
  <c r="L52" i="2"/>
  <c r="M52" i="2"/>
  <c r="N52" i="2"/>
  <c r="P52" i="2"/>
  <c r="Q52" i="2"/>
  <c r="A53" i="2"/>
  <c r="A53" i="3" s="1"/>
  <c r="B53" i="2"/>
  <c r="B53" i="3" s="1"/>
  <c r="C53" i="2"/>
  <c r="D53" i="2"/>
  <c r="E53" i="2"/>
  <c r="R53" i="2"/>
  <c r="Y53" i="2" s="1"/>
  <c r="S53" i="2"/>
  <c r="T53" i="2"/>
  <c r="D53" i="3" s="1"/>
  <c r="K53" i="2"/>
  <c r="L53" i="2"/>
  <c r="M53" i="2"/>
  <c r="N53" i="2"/>
  <c r="Z54" i="2" s="1"/>
  <c r="P53" i="2"/>
  <c r="Q53" i="2"/>
  <c r="A54" i="2"/>
  <c r="A54" i="3" s="1"/>
  <c r="B54" i="2"/>
  <c r="B54" i="3" s="1"/>
  <c r="D54" i="2"/>
  <c r="R54" i="2"/>
  <c r="Y54" i="2" s="1"/>
  <c r="S54" i="2"/>
  <c r="T54" i="2"/>
  <c r="D54" i="3" s="1"/>
  <c r="K54" i="2"/>
  <c r="L54" i="2"/>
  <c r="M54" i="2"/>
  <c r="N54" i="2"/>
  <c r="Z55" i="2" s="1"/>
  <c r="P54" i="2"/>
  <c r="Q54" i="2"/>
  <c r="A55" i="2"/>
  <c r="A55" i="3" s="1"/>
  <c r="B55" i="2"/>
  <c r="B55" i="3" s="1"/>
  <c r="C55" i="2"/>
  <c r="D55" i="2"/>
  <c r="E55" i="2"/>
  <c r="R55" i="2"/>
  <c r="Y55" i="2" s="1"/>
  <c r="S55" i="2"/>
  <c r="T55" i="2"/>
  <c r="D55" i="3" s="1"/>
  <c r="K55" i="2"/>
  <c r="L55" i="2"/>
  <c r="M55" i="2"/>
  <c r="N55" i="2"/>
  <c r="Z56" i="2" s="1"/>
  <c r="P55" i="2"/>
  <c r="Q55" i="2"/>
  <c r="A56" i="2"/>
  <c r="A56" i="3" s="1"/>
  <c r="B56" i="2"/>
  <c r="B56" i="3" s="1"/>
  <c r="C56" i="2"/>
  <c r="D56" i="2"/>
  <c r="E56" i="2"/>
  <c r="R56" i="2"/>
  <c r="Y56" i="2" s="1"/>
  <c r="S56" i="2"/>
  <c r="T56" i="2"/>
  <c r="D56" i="3" s="1"/>
  <c r="K56" i="2"/>
  <c r="L56" i="2"/>
  <c r="M56" i="2"/>
  <c r="N56" i="2"/>
  <c r="Z57" i="2" s="1"/>
  <c r="P56" i="2"/>
  <c r="Q56" i="2"/>
  <c r="A57" i="2"/>
  <c r="A57" i="3" s="1"/>
  <c r="B57" i="2"/>
  <c r="B57" i="3" s="1"/>
  <c r="C57" i="2"/>
  <c r="D57" i="2"/>
  <c r="E57" i="2"/>
  <c r="R57" i="2"/>
  <c r="Y57" i="2" s="1"/>
  <c r="S57" i="2"/>
  <c r="T57" i="2"/>
  <c r="D57" i="3" s="1"/>
  <c r="K57" i="2"/>
  <c r="L57" i="2"/>
  <c r="M57" i="2"/>
  <c r="N57" i="2"/>
  <c r="Z58" i="2" s="1"/>
  <c r="P57" i="2"/>
  <c r="Q57" i="2"/>
  <c r="A58" i="2"/>
  <c r="A58" i="3" s="1"/>
  <c r="B58" i="2"/>
  <c r="B58" i="3" s="1"/>
  <c r="C58" i="2"/>
  <c r="D58" i="2"/>
  <c r="E58" i="2"/>
  <c r="R58" i="2"/>
  <c r="Y58" i="2" s="1"/>
  <c r="S58" i="2"/>
  <c r="T58" i="2"/>
  <c r="D58" i="3" s="1"/>
  <c r="K58" i="2"/>
  <c r="L58" i="2"/>
  <c r="M58" i="2"/>
  <c r="N58" i="2"/>
  <c r="Z59" i="2" s="1"/>
  <c r="P58" i="2"/>
  <c r="Q58" i="2"/>
  <c r="A59" i="2"/>
  <c r="A59" i="3" s="1"/>
  <c r="B59" i="2"/>
  <c r="B59" i="3" s="1"/>
  <c r="D59" i="2"/>
  <c r="E59" i="2"/>
  <c r="R59" i="2"/>
  <c r="Y59" i="2" s="1"/>
  <c r="S59" i="2"/>
  <c r="T59" i="2"/>
  <c r="D59" i="3" s="1"/>
  <c r="K59" i="2"/>
  <c r="L59" i="2"/>
  <c r="M59" i="2"/>
  <c r="N59" i="2"/>
  <c r="Z60" i="2" s="1"/>
  <c r="P59" i="2"/>
  <c r="Q59" i="2"/>
  <c r="A60" i="2"/>
  <c r="A60" i="3" s="1"/>
  <c r="B60" i="2"/>
  <c r="B60" i="3" s="1"/>
  <c r="C60" i="2"/>
  <c r="D60" i="2"/>
  <c r="R60" i="2"/>
  <c r="Y60" i="2" s="1"/>
  <c r="S60" i="2"/>
  <c r="T60" i="2"/>
  <c r="D60" i="3" s="1"/>
  <c r="K60" i="2"/>
  <c r="L60" i="2"/>
  <c r="M60" i="2"/>
  <c r="N60" i="2"/>
  <c r="Z61" i="2" s="1"/>
  <c r="P60" i="2"/>
  <c r="Q60" i="2"/>
  <c r="A61" i="2"/>
  <c r="A61" i="3" s="1"/>
  <c r="B61" i="2"/>
  <c r="B61" i="3" s="1"/>
  <c r="C61" i="2"/>
  <c r="D61" i="2"/>
  <c r="R61" i="2"/>
  <c r="Y61" i="2" s="1"/>
  <c r="S61" i="2"/>
  <c r="T61" i="2"/>
  <c r="D61" i="3" s="1"/>
  <c r="K61" i="2"/>
  <c r="L61" i="2"/>
  <c r="M61" i="2"/>
  <c r="N61" i="2"/>
  <c r="Z62" i="2" s="1"/>
  <c r="P61" i="2"/>
  <c r="Q61" i="2"/>
  <c r="A62" i="2"/>
  <c r="A62" i="3" s="1"/>
  <c r="B62" i="2"/>
  <c r="B62" i="3" s="1"/>
  <c r="C62" i="2"/>
  <c r="D62" i="2"/>
  <c r="E62" i="2"/>
  <c r="R62" i="2"/>
  <c r="Y62" i="2" s="1"/>
  <c r="S62" i="2"/>
  <c r="T62" i="2"/>
  <c r="D62" i="3" s="1"/>
  <c r="K62" i="2"/>
  <c r="L62" i="2"/>
  <c r="M62" i="2"/>
  <c r="N62" i="2"/>
  <c r="Z63" i="2" s="1"/>
  <c r="P62" i="2"/>
  <c r="Q62" i="2"/>
  <c r="A63" i="2"/>
  <c r="A63" i="3" s="1"/>
  <c r="B63" i="2"/>
  <c r="B63" i="3" s="1"/>
  <c r="C63" i="2"/>
  <c r="D63" i="2"/>
  <c r="R63" i="2"/>
  <c r="Y63" i="2" s="1"/>
  <c r="S63" i="2"/>
  <c r="T63" i="2"/>
  <c r="D63" i="3" s="1"/>
  <c r="K63" i="2"/>
  <c r="L63" i="2"/>
  <c r="M63" i="2"/>
  <c r="N63" i="2"/>
  <c r="Z64" i="2" s="1"/>
  <c r="P63" i="2"/>
  <c r="Q63" i="2"/>
  <c r="A64" i="2"/>
  <c r="A64" i="3" s="1"/>
  <c r="B64" i="2"/>
  <c r="B64" i="3" s="1"/>
  <c r="C64" i="2"/>
  <c r="D64" i="2"/>
  <c r="E64" i="2"/>
  <c r="R64" i="2"/>
  <c r="Y64" i="2" s="1"/>
  <c r="S64" i="2"/>
  <c r="T64" i="2"/>
  <c r="D64" i="3" s="1"/>
  <c r="K64" i="2"/>
  <c r="J64" i="2" s="1"/>
  <c r="L64" i="2"/>
  <c r="M64" i="2"/>
  <c r="N64" i="2"/>
  <c r="Z65" i="2" s="1"/>
  <c r="P64" i="2"/>
  <c r="Q64" i="2"/>
  <c r="A65" i="2"/>
  <c r="A65" i="3" s="1"/>
  <c r="B65" i="2"/>
  <c r="B65" i="3" s="1"/>
  <c r="C65" i="2"/>
  <c r="D65" i="2"/>
  <c r="E65" i="2"/>
  <c r="R65" i="2"/>
  <c r="S65" i="2"/>
  <c r="T65" i="2"/>
  <c r="D65" i="3" s="1"/>
  <c r="K65" i="2"/>
  <c r="L65" i="2"/>
  <c r="M65" i="2"/>
  <c r="N65" i="2"/>
  <c r="Z66" i="2" s="1"/>
  <c r="P65" i="2"/>
  <c r="Q65" i="2"/>
  <c r="A66" i="2"/>
  <c r="A66" i="3" s="1"/>
  <c r="B66" i="2"/>
  <c r="B66" i="3" s="1"/>
  <c r="C66" i="2"/>
  <c r="D66" i="2"/>
  <c r="E66" i="2"/>
  <c r="R66" i="2"/>
  <c r="Y66" i="2" s="1"/>
  <c r="S66" i="2"/>
  <c r="T66" i="2"/>
  <c r="D66" i="3" s="1"/>
  <c r="K66" i="2"/>
  <c r="L66" i="2"/>
  <c r="M66" i="2"/>
  <c r="N66" i="2"/>
  <c r="Z67" i="2" s="1"/>
  <c r="P66" i="2"/>
  <c r="Q66" i="2"/>
  <c r="A67" i="2"/>
  <c r="A67" i="3" s="1"/>
  <c r="B67" i="2"/>
  <c r="B67" i="3" s="1"/>
  <c r="C67" i="2"/>
  <c r="D67" i="2"/>
  <c r="E67" i="2"/>
  <c r="R67" i="2"/>
  <c r="S67" i="2"/>
  <c r="T67" i="2"/>
  <c r="D67" i="3" s="1"/>
  <c r="K67" i="2"/>
  <c r="L67" i="2"/>
  <c r="M67" i="2"/>
  <c r="N67" i="2"/>
  <c r="P67" i="2"/>
  <c r="Q67" i="2"/>
  <c r="A68" i="2"/>
  <c r="A68" i="3" s="1"/>
  <c r="B68" i="2"/>
  <c r="B68" i="3" s="1"/>
  <c r="C68" i="2"/>
  <c r="D68" i="2"/>
  <c r="E68" i="2"/>
  <c r="K68" i="2"/>
  <c r="J68" i="2" s="1"/>
  <c r="L68" i="2"/>
  <c r="M68" i="2"/>
  <c r="N68" i="2"/>
  <c r="P68" i="2"/>
  <c r="Q68" i="2"/>
  <c r="A69" i="2"/>
  <c r="A69" i="3" s="1"/>
  <c r="B69" i="2"/>
  <c r="B69" i="3" s="1"/>
  <c r="C69" i="2"/>
  <c r="D69" i="2"/>
  <c r="E69" i="2"/>
  <c r="K69" i="2"/>
  <c r="J69" i="2" s="1"/>
  <c r="L69" i="2"/>
  <c r="M69" i="2"/>
  <c r="N69" i="2"/>
  <c r="P69" i="2"/>
  <c r="Q69" i="2"/>
  <c r="A70" i="2"/>
  <c r="A70" i="3" s="1"/>
  <c r="B70" i="2"/>
  <c r="B70" i="3" s="1"/>
  <c r="C70" i="2"/>
  <c r="D70" i="2"/>
  <c r="E70" i="2"/>
  <c r="K70" i="2"/>
  <c r="J70" i="2" s="1"/>
  <c r="L70" i="2"/>
  <c r="M70" i="2"/>
  <c r="N70" i="2"/>
  <c r="P70" i="2"/>
  <c r="Q70" i="2"/>
  <c r="A71" i="2"/>
  <c r="A71" i="3" s="1"/>
  <c r="B71" i="2"/>
  <c r="B71" i="3" s="1"/>
  <c r="D71" i="2"/>
  <c r="D92" i="4"/>
  <c r="M92" i="4" s="1"/>
  <c r="E92" i="4"/>
  <c r="N92" i="4" s="1"/>
  <c r="T71" i="2"/>
  <c r="D71" i="3" s="1"/>
  <c r="E71" i="3" s="1"/>
  <c r="K71" i="2"/>
  <c r="L71" i="2"/>
  <c r="M71" i="2"/>
  <c r="N71" i="2"/>
  <c r="P71" i="2"/>
  <c r="H92" i="4" s="1"/>
  <c r="P92" i="4" s="1"/>
  <c r="Q71" i="2"/>
  <c r="A72" i="2"/>
  <c r="A72" i="3" s="1"/>
  <c r="B72" i="2"/>
  <c r="B72" i="3" s="1"/>
  <c r="C72" i="2"/>
  <c r="D72" i="2"/>
  <c r="E72" i="2"/>
  <c r="R72" i="2"/>
  <c r="T72" i="2"/>
  <c r="D72" i="3" s="1"/>
  <c r="K72" i="2"/>
  <c r="L72" i="2"/>
  <c r="M72" i="2"/>
  <c r="N72" i="2"/>
  <c r="P72" i="2"/>
  <c r="H93" i="4" s="1"/>
  <c r="P93" i="4" s="1"/>
  <c r="Q72" i="2"/>
  <c r="A73" i="2"/>
  <c r="A73" i="3" s="1"/>
  <c r="B73" i="2"/>
  <c r="B73" i="3" s="1"/>
  <c r="C73" i="2"/>
  <c r="D73" i="2"/>
  <c r="E73" i="2"/>
  <c r="T73" i="2"/>
  <c r="D73" i="3" s="1"/>
  <c r="K73" i="2"/>
  <c r="L73" i="2"/>
  <c r="M73" i="2"/>
  <c r="N73" i="2"/>
  <c r="P73" i="2"/>
  <c r="H94" i="4" s="1"/>
  <c r="P94" i="4" s="1"/>
  <c r="Q73" i="2"/>
  <c r="A74" i="2"/>
  <c r="A74" i="3" s="1"/>
  <c r="B74" i="2"/>
  <c r="B74" i="3" s="1"/>
  <c r="C74" i="2"/>
  <c r="D74" i="2"/>
  <c r="E74" i="2"/>
  <c r="S74" i="2"/>
  <c r="T74" i="2"/>
  <c r="D74" i="3" s="1"/>
  <c r="K74" i="2"/>
  <c r="L74" i="2"/>
  <c r="M74" i="2"/>
  <c r="N74" i="2"/>
  <c r="P74" i="2"/>
  <c r="H95" i="4" s="1"/>
  <c r="P95" i="4" s="1"/>
  <c r="Q74" i="2"/>
  <c r="A75" i="2"/>
  <c r="A75" i="3" s="1"/>
  <c r="B75" i="2"/>
  <c r="B75" i="3" s="1"/>
  <c r="C75" i="2"/>
  <c r="D75" i="2"/>
  <c r="E75" i="2"/>
  <c r="S75" i="2"/>
  <c r="T75" i="2"/>
  <c r="D75" i="3" s="1"/>
  <c r="K75" i="2"/>
  <c r="L75" i="2"/>
  <c r="M75" i="2"/>
  <c r="N75" i="2"/>
  <c r="P75" i="2"/>
  <c r="H96" i="4" s="1"/>
  <c r="P96" i="4" s="1"/>
  <c r="Q75" i="2"/>
  <c r="A76" i="2"/>
  <c r="A76" i="3" s="1"/>
  <c r="B76" i="2"/>
  <c r="B76" i="3" s="1"/>
  <c r="C76" i="2"/>
  <c r="D76" i="2"/>
  <c r="E76" i="2"/>
  <c r="T76" i="2"/>
  <c r="D76" i="3" s="1"/>
  <c r="K76" i="2"/>
  <c r="L76" i="2"/>
  <c r="M76" i="2"/>
  <c r="N76" i="2"/>
  <c r="P76" i="2"/>
  <c r="H97" i="4" s="1"/>
  <c r="P97" i="4" s="1"/>
  <c r="Q76" i="2"/>
  <c r="A77" i="2"/>
  <c r="A77" i="3" s="1"/>
  <c r="B77" i="2"/>
  <c r="B77" i="3" s="1"/>
  <c r="C77" i="2"/>
  <c r="D77" i="2"/>
  <c r="E77" i="2"/>
  <c r="T77" i="2"/>
  <c r="D77" i="3" s="1"/>
  <c r="K77" i="2"/>
  <c r="L77" i="2"/>
  <c r="M77" i="2"/>
  <c r="N77" i="2"/>
  <c r="P77" i="2"/>
  <c r="H98" i="4" s="1"/>
  <c r="P98" i="4" s="1"/>
  <c r="Q77" i="2"/>
  <c r="A78" i="2"/>
  <c r="A78" i="3" s="1"/>
  <c r="B78" i="2"/>
  <c r="B78" i="3" s="1"/>
  <c r="C78" i="2"/>
  <c r="D78" i="2"/>
  <c r="E78" i="2"/>
  <c r="D99" i="4"/>
  <c r="M99" i="4" s="1"/>
  <c r="T78" i="2"/>
  <c r="D78" i="3" s="1"/>
  <c r="K78" i="2"/>
  <c r="L78" i="2"/>
  <c r="M78" i="2"/>
  <c r="N78" i="2"/>
  <c r="P78" i="2"/>
  <c r="H99" i="4" s="1"/>
  <c r="P99" i="4" s="1"/>
  <c r="Q78" i="2"/>
  <c r="A79" i="2"/>
  <c r="A79" i="3" s="1"/>
  <c r="B79" i="2"/>
  <c r="B79" i="3" s="1"/>
  <c r="C79" i="2"/>
  <c r="D79" i="2"/>
  <c r="E79" i="2"/>
  <c r="T79" i="2"/>
  <c r="D79" i="3" s="1"/>
  <c r="E79" i="3" s="1"/>
  <c r="K79" i="2"/>
  <c r="L79" i="2"/>
  <c r="M79" i="2"/>
  <c r="N79" i="2"/>
  <c r="P79" i="2"/>
  <c r="H100" i="4" s="1"/>
  <c r="P100" i="4" s="1"/>
  <c r="Q79" i="2"/>
  <c r="A80" i="2"/>
  <c r="A80" i="3" s="1"/>
  <c r="B80" i="2"/>
  <c r="B80" i="3" s="1"/>
  <c r="C80" i="2"/>
  <c r="D80" i="2"/>
  <c r="E80" i="2"/>
  <c r="R80" i="2"/>
  <c r="Y80" i="2" s="1"/>
  <c r="E101" i="4"/>
  <c r="N101" i="4" s="1"/>
  <c r="T80" i="2"/>
  <c r="D80" i="3" s="1"/>
  <c r="K80" i="2"/>
  <c r="L80" i="2"/>
  <c r="M80" i="2"/>
  <c r="N80" i="2"/>
  <c r="P80" i="2"/>
  <c r="H101" i="4" s="1"/>
  <c r="P101" i="4" s="1"/>
  <c r="Q80" i="2"/>
  <c r="A81" i="2"/>
  <c r="A81" i="3" s="1"/>
  <c r="B81" i="2"/>
  <c r="B81" i="3" s="1"/>
  <c r="C81" i="2"/>
  <c r="D81" i="2"/>
  <c r="E81" i="2"/>
  <c r="T81" i="2"/>
  <c r="D81" i="3" s="1"/>
  <c r="K81" i="2"/>
  <c r="L81" i="2"/>
  <c r="M81" i="2"/>
  <c r="N81" i="2"/>
  <c r="P81" i="2"/>
  <c r="H102" i="4" s="1"/>
  <c r="P102" i="4" s="1"/>
  <c r="Q81" i="2"/>
  <c r="A82" i="2"/>
  <c r="A82" i="3" s="1"/>
  <c r="B82" i="2"/>
  <c r="B82" i="3" s="1"/>
  <c r="C82" i="2"/>
  <c r="D82" i="2"/>
  <c r="E82" i="2"/>
  <c r="T82" i="2"/>
  <c r="D82" i="3" s="1"/>
  <c r="L82" i="2"/>
  <c r="M82" i="2"/>
  <c r="N82" i="2"/>
  <c r="P82" i="2"/>
  <c r="H103" i="4" s="1"/>
  <c r="P103" i="4" s="1"/>
  <c r="Q82" i="2"/>
  <c r="A83" i="2"/>
  <c r="A83" i="3" s="1"/>
  <c r="B83" i="2"/>
  <c r="B83" i="3" s="1"/>
  <c r="C83" i="2"/>
  <c r="D83" i="2"/>
  <c r="E83" i="2"/>
  <c r="D104" i="4"/>
  <c r="E104" i="4"/>
  <c r="K83" i="2"/>
  <c r="J83" i="2" s="1"/>
  <c r="L83" i="2"/>
  <c r="M83" i="2"/>
  <c r="N83" i="2"/>
  <c r="G104" i="4" s="1"/>
  <c r="P83" i="2"/>
  <c r="H104" i="4" s="1"/>
  <c r="P104" i="4" s="1"/>
  <c r="Q83" i="2"/>
  <c r="A84" i="3"/>
  <c r="B84" i="3"/>
  <c r="C84" i="2"/>
  <c r="D84" i="2"/>
  <c r="E84" i="2"/>
  <c r="K84" i="2"/>
  <c r="J84" i="2" s="1"/>
  <c r="L84" i="2"/>
  <c r="M84" i="2"/>
  <c r="N84" i="2"/>
  <c r="P84" i="2"/>
  <c r="Q84" i="2"/>
  <c r="A85" i="2"/>
  <c r="A85" i="3" s="1"/>
  <c r="B85" i="2"/>
  <c r="B85" i="3" s="1"/>
  <c r="C85" i="2"/>
  <c r="D85" i="2"/>
  <c r="E85" i="2"/>
  <c r="K85" i="2"/>
  <c r="J85" i="2" s="1"/>
  <c r="L85" i="2"/>
  <c r="M85" i="2"/>
  <c r="N85" i="2"/>
  <c r="G106" i="4" s="1"/>
  <c r="P85" i="2"/>
  <c r="H106" i="4" s="1"/>
  <c r="P106" i="4" s="1"/>
  <c r="Q85" i="2"/>
  <c r="A86" i="2"/>
  <c r="A86" i="3" s="1"/>
  <c r="B86" i="2"/>
  <c r="B86" i="3" s="1"/>
  <c r="C86" i="2"/>
  <c r="D86" i="2"/>
  <c r="E86" i="2"/>
  <c r="T86" i="2"/>
  <c r="D86" i="3" s="1"/>
  <c r="K86" i="2"/>
  <c r="L86" i="2"/>
  <c r="M86" i="2"/>
  <c r="N86" i="2"/>
  <c r="P86" i="2"/>
  <c r="H108" i="4" s="1"/>
  <c r="P108" i="4" s="1"/>
  <c r="Q86" i="2"/>
  <c r="A87" i="2"/>
  <c r="A87" i="3" s="1"/>
  <c r="B87" i="2"/>
  <c r="B87" i="3" s="1"/>
  <c r="C87" i="2"/>
  <c r="D87" i="2"/>
  <c r="E87" i="2"/>
  <c r="T87" i="2"/>
  <c r="D87" i="3" s="1"/>
  <c r="K87" i="2"/>
  <c r="L87" i="2"/>
  <c r="M87" i="2"/>
  <c r="N87" i="2"/>
  <c r="P87" i="2"/>
  <c r="H109" i="4" s="1"/>
  <c r="P109" i="4" s="1"/>
  <c r="Q87" i="2"/>
  <c r="A88" i="2"/>
  <c r="A88" i="3" s="1"/>
  <c r="B88" i="2"/>
  <c r="B88" i="3" s="1"/>
  <c r="C88" i="2"/>
  <c r="D88" i="2"/>
  <c r="E88" i="2"/>
  <c r="D110" i="4"/>
  <c r="M110" i="4" s="1"/>
  <c r="T88" i="2"/>
  <c r="D88" i="3" s="1"/>
  <c r="K88" i="2"/>
  <c r="L88" i="2"/>
  <c r="M88" i="2"/>
  <c r="N88" i="2"/>
  <c r="P88" i="2"/>
  <c r="H110" i="4" s="1"/>
  <c r="P110" i="4" s="1"/>
  <c r="Q88" i="2"/>
  <c r="A89" i="2"/>
  <c r="A89" i="3" s="1"/>
  <c r="B89" i="2"/>
  <c r="B89" i="3" s="1"/>
  <c r="C89" i="2"/>
  <c r="D89" i="2"/>
  <c r="E89" i="2"/>
  <c r="T89" i="2"/>
  <c r="D89" i="3" s="1"/>
  <c r="K89" i="2"/>
  <c r="L89" i="2"/>
  <c r="M89" i="2"/>
  <c r="N89" i="2"/>
  <c r="P89" i="2"/>
  <c r="H111" i="4" s="1"/>
  <c r="P111" i="4" s="1"/>
  <c r="Q89" i="2"/>
  <c r="A90" i="2"/>
  <c r="A90" i="3" s="1"/>
  <c r="B90" i="2"/>
  <c r="B90" i="3" s="1"/>
  <c r="C90" i="2"/>
  <c r="D90" i="2"/>
  <c r="E90" i="2"/>
  <c r="T90" i="2"/>
  <c r="D90" i="3" s="1"/>
  <c r="L90" i="2"/>
  <c r="M90" i="2"/>
  <c r="N90" i="2"/>
  <c r="P90" i="2"/>
  <c r="H112" i="4" s="1"/>
  <c r="P112" i="4" s="1"/>
  <c r="Q90" i="2"/>
  <c r="A91" i="2"/>
  <c r="A91" i="3" s="1"/>
  <c r="B91" i="2"/>
  <c r="B91" i="3" s="1"/>
  <c r="C91" i="2"/>
  <c r="D91" i="2"/>
  <c r="D113" i="4"/>
  <c r="M113" i="4" s="1"/>
  <c r="T91" i="2"/>
  <c r="D91" i="3" s="1"/>
  <c r="K91" i="2"/>
  <c r="L91" i="2"/>
  <c r="M91" i="2"/>
  <c r="N91" i="2"/>
  <c r="P91" i="2"/>
  <c r="H113" i="4" s="1"/>
  <c r="P113" i="4" s="1"/>
  <c r="Q91" i="2"/>
  <c r="A92" i="2"/>
  <c r="A92" i="3" s="1"/>
  <c r="B92" i="2"/>
  <c r="B92" i="3" s="1"/>
  <c r="C92" i="2"/>
  <c r="D92" i="2"/>
  <c r="E92" i="2"/>
  <c r="S92" i="2"/>
  <c r="T92" i="2"/>
  <c r="D92" i="3" s="1"/>
  <c r="K92" i="2"/>
  <c r="L92" i="2"/>
  <c r="M92" i="2"/>
  <c r="N92" i="2"/>
  <c r="P92" i="2"/>
  <c r="H114" i="4" s="1"/>
  <c r="P114" i="4" s="1"/>
  <c r="Q92" i="2"/>
  <c r="A93" i="2"/>
  <c r="A93" i="3" s="1"/>
  <c r="B93" i="2"/>
  <c r="B93" i="3" s="1"/>
  <c r="C93" i="2"/>
  <c r="D93" i="2"/>
  <c r="E93" i="2"/>
  <c r="T93" i="2"/>
  <c r="D93" i="3" s="1"/>
  <c r="L93" i="2"/>
  <c r="M93" i="2"/>
  <c r="N93" i="2"/>
  <c r="P93" i="2"/>
  <c r="H115" i="4" s="1"/>
  <c r="P115" i="4" s="1"/>
  <c r="Q93" i="2"/>
  <c r="A94" i="2"/>
  <c r="A94" i="3" s="1"/>
  <c r="B94" i="2"/>
  <c r="B94" i="3" s="1"/>
  <c r="C94" i="2"/>
  <c r="D94" i="2"/>
  <c r="E94" i="2"/>
  <c r="R94" i="2"/>
  <c r="T94" i="2"/>
  <c r="D94" i="3" s="1"/>
  <c r="K94" i="2"/>
  <c r="L94" i="2"/>
  <c r="M94" i="2"/>
  <c r="N94" i="2"/>
  <c r="P94" i="2"/>
  <c r="H116" i="4" s="1"/>
  <c r="P116" i="4" s="1"/>
  <c r="Q94" i="2"/>
  <c r="A95" i="2"/>
  <c r="A95" i="3" s="1"/>
  <c r="B95" i="2"/>
  <c r="B95" i="3" s="1"/>
  <c r="C95" i="2"/>
  <c r="D95" i="2"/>
  <c r="E95" i="2"/>
  <c r="T95" i="2"/>
  <c r="D95" i="3" s="1"/>
  <c r="K95" i="2"/>
  <c r="L95" i="2"/>
  <c r="M95" i="2"/>
  <c r="N95" i="2"/>
  <c r="P95" i="2"/>
  <c r="H117" i="4" s="1"/>
  <c r="P117" i="4" s="1"/>
  <c r="Q95" i="2"/>
  <c r="A96" i="2"/>
  <c r="A96" i="3" s="1"/>
  <c r="B96" i="2"/>
  <c r="B96" i="3" s="1"/>
  <c r="C96" i="2"/>
  <c r="D96" i="2"/>
  <c r="E96" i="2"/>
  <c r="D118" i="4"/>
  <c r="M118" i="4" s="1"/>
  <c r="E118" i="4"/>
  <c r="N118" i="4" s="1"/>
  <c r="T96" i="2"/>
  <c r="D96" i="3" s="1"/>
  <c r="K96" i="2"/>
  <c r="L96" i="2"/>
  <c r="M96" i="2"/>
  <c r="N96" i="2"/>
  <c r="P96" i="2"/>
  <c r="H118" i="4" s="1"/>
  <c r="P118" i="4" s="1"/>
  <c r="Q96" i="2"/>
  <c r="A97" i="2"/>
  <c r="A97" i="3" s="1"/>
  <c r="B97" i="2"/>
  <c r="B97" i="3" s="1"/>
  <c r="C97" i="2"/>
  <c r="D97" i="2"/>
  <c r="E97" i="2"/>
  <c r="T97" i="2"/>
  <c r="D97" i="3" s="1"/>
  <c r="K97" i="2"/>
  <c r="L97" i="2"/>
  <c r="M97" i="2"/>
  <c r="N97" i="2"/>
  <c r="P97" i="2"/>
  <c r="H119" i="4" s="1"/>
  <c r="P119" i="4" s="1"/>
  <c r="Q97" i="2"/>
  <c r="A98" i="2"/>
  <c r="A98" i="3" s="1"/>
  <c r="B98" i="2"/>
  <c r="B98" i="3" s="1"/>
  <c r="C98" i="2"/>
  <c r="D98" i="2"/>
  <c r="E98" i="2"/>
  <c r="D120" i="4"/>
  <c r="E120" i="4"/>
  <c r="K98" i="2"/>
  <c r="J98" i="2" s="1"/>
  <c r="L98" i="2"/>
  <c r="M98" i="2"/>
  <c r="N98" i="2"/>
  <c r="G120" i="4" s="1"/>
  <c r="P98" i="2"/>
  <c r="H120" i="4" s="1"/>
  <c r="P120" i="4" s="1"/>
  <c r="Q98" i="2"/>
  <c r="A99" i="2"/>
  <c r="A99" i="3" s="1"/>
  <c r="B99" i="2"/>
  <c r="B99" i="3" s="1"/>
  <c r="C99" i="2"/>
  <c r="D99" i="2"/>
  <c r="E99" i="2"/>
  <c r="K99" i="2"/>
  <c r="J99" i="2" s="1"/>
  <c r="L99" i="2"/>
  <c r="M99" i="2"/>
  <c r="N99" i="2"/>
  <c r="P99" i="2"/>
  <c r="Q99" i="2"/>
  <c r="A100" i="2"/>
  <c r="A100" i="3" s="1"/>
  <c r="B100" i="2"/>
  <c r="B100" i="3" s="1"/>
  <c r="C100" i="2"/>
  <c r="D100" i="2"/>
  <c r="E100" i="2"/>
  <c r="E122" i="4"/>
  <c r="K100" i="2"/>
  <c r="J100" i="2" s="1"/>
  <c r="L100" i="2"/>
  <c r="M100" i="2"/>
  <c r="N100" i="2"/>
  <c r="G122" i="4" s="1"/>
  <c r="P100" i="2"/>
  <c r="H122" i="4" s="1"/>
  <c r="Q100" i="2"/>
  <c r="A101" i="2"/>
  <c r="A101" i="3" s="1"/>
  <c r="B101" i="2"/>
  <c r="B101" i="3" s="1"/>
  <c r="C101" i="2"/>
  <c r="D101" i="2"/>
  <c r="E101" i="2"/>
  <c r="T101" i="2"/>
  <c r="D101" i="3" s="1"/>
  <c r="L101" i="2"/>
  <c r="M101" i="2"/>
  <c r="N101" i="2"/>
  <c r="P101" i="2"/>
  <c r="H124" i="4" s="1"/>
  <c r="P124" i="4" s="1"/>
  <c r="Q101" i="2"/>
  <c r="A102" i="2"/>
  <c r="A102" i="3" s="1"/>
  <c r="B102" i="2"/>
  <c r="B102" i="3" s="1"/>
  <c r="D102" i="2"/>
  <c r="E102" i="2"/>
  <c r="T102" i="2"/>
  <c r="D102" i="3" s="1"/>
  <c r="K102" i="2"/>
  <c r="L102" i="2"/>
  <c r="M102" i="2"/>
  <c r="N102" i="2"/>
  <c r="P102" i="2"/>
  <c r="H125" i="4" s="1"/>
  <c r="P125" i="4" s="1"/>
  <c r="Q102" i="2"/>
  <c r="A103" i="2"/>
  <c r="A103" i="3" s="1"/>
  <c r="B103" i="2"/>
  <c r="B103" i="3" s="1"/>
  <c r="C103" i="2"/>
  <c r="D103" i="2"/>
  <c r="E103" i="2"/>
  <c r="T103" i="2"/>
  <c r="D103" i="3" s="1"/>
  <c r="K103" i="2"/>
  <c r="L103" i="2"/>
  <c r="M103" i="2"/>
  <c r="N103" i="2"/>
  <c r="P103" i="2"/>
  <c r="H126" i="4" s="1"/>
  <c r="P126" i="4" s="1"/>
  <c r="Q103" i="2"/>
  <c r="A104" i="2"/>
  <c r="A104" i="3" s="1"/>
  <c r="B104" i="2"/>
  <c r="B104" i="3" s="1"/>
  <c r="C104" i="2"/>
  <c r="D104" i="2"/>
  <c r="E104" i="2"/>
  <c r="T104" i="2"/>
  <c r="D104" i="3" s="1"/>
  <c r="K104" i="2"/>
  <c r="L104" i="2"/>
  <c r="M104" i="2"/>
  <c r="N104" i="2"/>
  <c r="P104" i="2"/>
  <c r="H127" i="4" s="1"/>
  <c r="P127" i="4" s="1"/>
  <c r="Q104" i="2"/>
  <c r="A105" i="2"/>
  <c r="A105" i="3" s="1"/>
  <c r="B105" i="2"/>
  <c r="B105" i="3" s="1"/>
  <c r="C105" i="2"/>
  <c r="D105" i="2"/>
  <c r="E105" i="2"/>
  <c r="D128" i="4"/>
  <c r="M128" i="4" s="1"/>
  <c r="T105" i="2"/>
  <c r="D105" i="3" s="1"/>
  <c r="L105" i="2"/>
  <c r="M105" i="2"/>
  <c r="N105" i="2"/>
  <c r="P105" i="2"/>
  <c r="H128" i="4" s="1"/>
  <c r="P128" i="4" s="1"/>
  <c r="Q105" i="2"/>
  <c r="A106" i="2"/>
  <c r="A106" i="3" s="1"/>
  <c r="B106" i="2"/>
  <c r="B106" i="3" s="1"/>
  <c r="C106" i="2"/>
  <c r="D106" i="2"/>
  <c r="E106" i="2"/>
  <c r="T106" i="2"/>
  <c r="D106" i="3" s="1"/>
  <c r="K106" i="2"/>
  <c r="L106" i="2"/>
  <c r="M106" i="2"/>
  <c r="N106" i="2"/>
  <c r="P106" i="2"/>
  <c r="H129" i="4" s="1"/>
  <c r="P129" i="4" s="1"/>
  <c r="Q106" i="2"/>
  <c r="A107" i="2"/>
  <c r="A107" i="3" s="1"/>
  <c r="B107" i="2"/>
  <c r="B107" i="3" s="1"/>
  <c r="C107" i="2"/>
  <c r="D107" i="2"/>
  <c r="E107" i="2"/>
  <c r="R107" i="2"/>
  <c r="Y107" i="2" s="1"/>
  <c r="T107" i="2"/>
  <c r="D107" i="3" s="1"/>
  <c r="L107" i="2"/>
  <c r="M107" i="2"/>
  <c r="N107" i="2"/>
  <c r="P107" i="2"/>
  <c r="H130" i="4" s="1"/>
  <c r="P130" i="4" s="1"/>
  <c r="Q107" i="2"/>
  <c r="A108" i="2"/>
  <c r="A108" i="3" s="1"/>
  <c r="B108" i="2"/>
  <c r="B108" i="3" s="1"/>
  <c r="C108" i="2"/>
  <c r="E108" i="2"/>
  <c r="R108" i="2"/>
  <c r="E131" i="4"/>
  <c r="N131" i="4" s="1"/>
  <c r="T108" i="2"/>
  <c r="D108" i="3" s="1"/>
  <c r="K108" i="2"/>
  <c r="L108" i="2"/>
  <c r="M108" i="2"/>
  <c r="N108" i="2"/>
  <c r="P108" i="2"/>
  <c r="H131" i="4" s="1"/>
  <c r="P131" i="4" s="1"/>
  <c r="Q108" i="2"/>
  <c r="A109" i="2"/>
  <c r="A109" i="3" s="1"/>
  <c r="B109" i="2"/>
  <c r="B109" i="3" s="1"/>
  <c r="C109" i="2"/>
  <c r="E109" i="2"/>
  <c r="R109" i="2"/>
  <c r="Y109" i="2" s="1"/>
  <c r="T109" i="2"/>
  <c r="D109" i="3" s="1"/>
  <c r="L109" i="2"/>
  <c r="M109" i="2"/>
  <c r="N109" i="2"/>
  <c r="P109" i="2"/>
  <c r="H132" i="4" s="1"/>
  <c r="P132" i="4" s="1"/>
  <c r="Q109" i="2"/>
  <c r="A110" i="2"/>
  <c r="A110" i="3" s="1"/>
  <c r="B110" i="2"/>
  <c r="B110" i="3" s="1"/>
  <c r="D110" i="2"/>
  <c r="E110" i="2"/>
  <c r="T110" i="2"/>
  <c r="D110" i="3" s="1"/>
  <c r="L110" i="2"/>
  <c r="M110" i="2"/>
  <c r="N110" i="2"/>
  <c r="P110" i="2"/>
  <c r="H133" i="4" s="1"/>
  <c r="P133" i="4" s="1"/>
  <c r="Q110" i="2"/>
  <c r="A111" i="2"/>
  <c r="A111" i="3" s="1"/>
  <c r="B111" i="2"/>
  <c r="B111" i="3" s="1"/>
  <c r="C111" i="2"/>
  <c r="D111" i="2"/>
  <c r="E111" i="2"/>
  <c r="D134" i="4"/>
  <c r="M134" i="4" s="1"/>
  <c r="T111" i="2"/>
  <c r="D111" i="3" s="1"/>
  <c r="L111" i="2"/>
  <c r="M111" i="2"/>
  <c r="N111" i="2"/>
  <c r="P111" i="2"/>
  <c r="H134" i="4" s="1"/>
  <c r="P134" i="4" s="1"/>
  <c r="Q111" i="2"/>
  <c r="A112" i="2"/>
  <c r="A112" i="3" s="1"/>
  <c r="B112" i="2"/>
  <c r="B112" i="3" s="1"/>
  <c r="C112" i="2"/>
  <c r="D112" i="2"/>
  <c r="T112" i="2"/>
  <c r="D112" i="3" s="1"/>
  <c r="K112" i="2"/>
  <c r="L112" i="2"/>
  <c r="M112" i="2"/>
  <c r="N112" i="2"/>
  <c r="P112" i="2"/>
  <c r="H135" i="4" s="1"/>
  <c r="P135" i="4" s="1"/>
  <c r="Q112" i="2"/>
  <c r="A113" i="2"/>
  <c r="A113" i="3" s="1"/>
  <c r="B113" i="2"/>
  <c r="B113" i="3" s="1"/>
  <c r="C113" i="2"/>
  <c r="D113" i="2"/>
  <c r="E113" i="2"/>
  <c r="T113" i="2"/>
  <c r="D113" i="3" s="1"/>
  <c r="K113" i="2"/>
  <c r="L113" i="2"/>
  <c r="M113" i="2"/>
  <c r="N113" i="2"/>
  <c r="P113" i="2"/>
  <c r="H136" i="4" s="1"/>
  <c r="P136" i="4" s="1"/>
  <c r="Q113" i="2"/>
  <c r="A114" i="2"/>
  <c r="A114" i="3" s="1"/>
  <c r="B114" i="2"/>
  <c r="B114" i="3" s="1"/>
  <c r="C114" i="2"/>
  <c r="D114" i="2"/>
  <c r="E114" i="2"/>
  <c r="T114" i="2"/>
  <c r="D114" i="3" s="1"/>
  <c r="K114" i="2"/>
  <c r="L114" i="2"/>
  <c r="M114" i="2"/>
  <c r="N114" i="2"/>
  <c r="P114" i="2"/>
  <c r="H138" i="4" s="1"/>
  <c r="P138" i="4" s="1"/>
  <c r="Q114" i="2"/>
  <c r="A115" i="2"/>
  <c r="A115" i="3" s="1"/>
  <c r="B115" i="2"/>
  <c r="B115" i="3" s="1"/>
  <c r="C115" i="2"/>
  <c r="D115" i="2"/>
  <c r="T115" i="2"/>
  <c r="D115" i="3" s="1"/>
  <c r="K115" i="2"/>
  <c r="L115" i="2"/>
  <c r="M115" i="2"/>
  <c r="N115" i="2"/>
  <c r="P115" i="2"/>
  <c r="H140" i="4" s="1"/>
  <c r="P140" i="4" s="1"/>
  <c r="Q115" i="2"/>
  <c r="A116" i="2"/>
  <c r="A116" i="3" s="1"/>
  <c r="B116" i="2"/>
  <c r="B116" i="3" s="1"/>
  <c r="C116" i="2"/>
  <c r="D116" i="2"/>
  <c r="E116" i="2"/>
  <c r="E142" i="4"/>
  <c r="N142" i="4" s="1"/>
  <c r="T116" i="2"/>
  <c r="D116" i="3" s="1"/>
  <c r="K116" i="2"/>
  <c r="L116" i="2"/>
  <c r="M116" i="2"/>
  <c r="N116" i="2"/>
  <c r="Z117" i="2" s="1"/>
  <c r="P116" i="2"/>
  <c r="H142" i="4" s="1"/>
  <c r="P142" i="4" s="1"/>
  <c r="Q116" i="2"/>
  <c r="A117" i="2"/>
  <c r="A117" i="3" s="1"/>
  <c r="B117" i="2"/>
  <c r="B117" i="3" s="1"/>
  <c r="C117" i="2"/>
  <c r="D117" i="2"/>
  <c r="E117" i="2"/>
  <c r="T117" i="2"/>
  <c r="D117" i="3" s="1"/>
  <c r="L117" i="2"/>
  <c r="M117" i="2"/>
  <c r="N117" i="2"/>
  <c r="P117" i="2"/>
  <c r="H144" i="4" s="1"/>
  <c r="P144" i="4" s="1"/>
  <c r="Q117" i="2"/>
  <c r="A118" i="2"/>
  <c r="A118" i="3" s="1"/>
  <c r="B118" i="2"/>
  <c r="C118" i="2"/>
  <c r="D118" i="2"/>
  <c r="E118" i="2"/>
  <c r="E145" i="4"/>
  <c r="K118" i="2"/>
  <c r="J118" i="2" s="1"/>
  <c r="L118" i="2"/>
  <c r="M118" i="2"/>
  <c r="N118" i="2"/>
  <c r="G145" i="4" s="1"/>
  <c r="P118" i="2"/>
  <c r="H145" i="4" s="1"/>
  <c r="P145" i="4" s="1"/>
  <c r="Q118" i="2"/>
  <c r="A119" i="2"/>
  <c r="A119" i="3" s="1"/>
  <c r="B119" i="2"/>
  <c r="B119" i="3" s="1"/>
  <c r="C119" i="2"/>
  <c r="D119" i="2"/>
  <c r="E119" i="2"/>
  <c r="T119" i="2"/>
  <c r="D119" i="3" s="1"/>
  <c r="K119" i="2"/>
  <c r="L119" i="2"/>
  <c r="M119" i="2"/>
  <c r="N119" i="2"/>
  <c r="G146" i="4" s="1"/>
  <c r="Q119" i="2"/>
  <c r="A6" i="2"/>
  <c r="A6" i="3" s="1"/>
  <c r="B6" i="2"/>
  <c r="B6" i="3" s="1"/>
  <c r="C6" i="2"/>
  <c r="D6" i="2"/>
  <c r="E6" i="2"/>
  <c r="R6" i="2"/>
  <c r="Y6" i="2" s="1"/>
  <c r="S6" i="2"/>
  <c r="T6" i="2"/>
  <c r="D6" i="3" s="1"/>
  <c r="L6" i="2"/>
  <c r="M6" i="2"/>
  <c r="N6" i="2"/>
  <c r="Z7" i="2" s="1"/>
  <c r="P6" i="2"/>
  <c r="A7" i="2"/>
  <c r="A7" i="3" s="1"/>
  <c r="B7" i="2"/>
  <c r="B7" i="3" s="1"/>
  <c r="C7" i="2"/>
  <c r="D7" i="2"/>
  <c r="E7" i="2"/>
  <c r="R7" i="2"/>
  <c r="T7" i="2"/>
  <c r="D7" i="3" s="1"/>
  <c r="K7" i="2"/>
  <c r="L7" i="2"/>
  <c r="M7" i="2"/>
  <c r="N7" i="2"/>
  <c r="Z8" i="2" s="1"/>
  <c r="P7" i="2"/>
  <c r="A8" i="2"/>
  <c r="A8" i="3" s="1"/>
  <c r="B8" i="2"/>
  <c r="B8" i="3" s="1"/>
  <c r="C8" i="2"/>
  <c r="D8" i="2"/>
  <c r="E8" i="2"/>
  <c r="R8" i="2"/>
  <c r="Y8" i="2" s="1"/>
  <c r="S8" i="2"/>
  <c r="T8" i="2"/>
  <c r="D8" i="3" s="1"/>
  <c r="K8" i="2"/>
  <c r="L8" i="2"/>
  <c r="M8" i="2"/>
  <c r="N8" i="2"/>
  <c r="Z9" i="2" s="1"/>
  <c r="P8" i="2"/>
  <c r="M5" i="2"/>
  <c r="N5" i="2"/>
  <c r="Z6" i="2" s="1"/>
  <c r="K5" i="2"/>
  <c r="Q2" i="2"/>
  <c r="Q3" i="2"/>
  <c r="Q4" i="2"/>
  <c r="Q5" i="2"/>
  <c r="Q6" i="2"/>
  <c r="Q7" i="2"/>
  <c r="Q8" i="2"/>
  <c r="Q1" i="2"/>
  <c r="K117" i="1"/>
  <c r="K117" i="2" s="1"/>
  <c r="K115" i="1"/>
  <c r="F140" i="4" s="1"/>
  <c r="K113" i="1"/>
  <c r="F136" i="4" s="1"/>
  <c r="K112" i="1"/>
  <c r="F135" i="4" s="1"/>
  <c r="K111" i="1"/>
  <c r="K111" i="2" s="1"/>
  <c r="K110" i="1"/>
  <c r="F133" i="4" s="1"/>
  <c r="K109" i="1"/>
  <c r="F132" i="4" s="1"/>
  <c r="K108" i="1"/>
  <c r="F131" i="4" s="1"/>
  <c r="K107" i="1"/>
  <c r="F130" i="4" s="1"/>
  <c r="K105" i="1"/>
  <c r="F128" i="4" s="1"/>
  <c r="K101" i="1"/>
  <c r="F124" i="4" s="1"/>
  <c r="F117" i="1"/>
  <c r="F117" i="2" s="1"/>
  <c r="E115" i="1"/>
  <c r="E115" i="2" s="1"/>
  <c r="F113" i="1"/>
  <c r="F113" i="2" s="1"/>
  <c r="E112" i="1"/>
  <c r="E112" i="2" s="1"/>
  <c r="C110" i="1"/>
  <c r="C110" i="2" s="1"/>
  <c r="F109" i="1"/>
  <c r="F109" i="2" s="1"/>
  <c r="E109" i="1"/>
  <c r="D109" i="1"/>
  <c r="D109" i="2" s="1"/>
  <c r="C109" i="1"/>
  <c r="F108" i="1"/>
  <c r="F108" i="2" s="1"/>
  <c r="E108" i="1"/>
  <c r="D108" i="1"/>
  <c r="D108" i="2" s="1"/>
  <c r="C108" i="1"/>
  <c r="C102" i="1"/>
  <c r="C102" i="2" s="1"/>
  <c r="K93" i="1"/>
  <c r="F115" i="4" s="1"/>
  <c r="K90" i="1"/>
  <c r="K90" i="2" s="1"/>
  <c r="K86" i="1"/>
  <c r="F108" i="4" s="1"/>
  <c r="E91" i="1"/>
  <c r="E91" i="2" s="1"/>
  <c r="K82" i="1"/>
  <c r="K82" i="2" s="1"/>
  <c r="K72" i="1"/>
  <c r="F78" i="1"/>
  <c r="F78" i="2" s="1"/>
  <c r="F71" i="1"/>
  <c r="F71" i="2" s="1"/>
  <c r="E71" i="1"/>
  <c r="E71" i="2" s="1"/>
  <c r="C71" i="1"/>
  <c r="C71" i="2" s="1"/>
  <c r="J40" i="2" l="1"/>
  <c r="E133" i="3"/>
  <c r="X133" i="2"/>
  <c r="W133" i="2"/>
  <c r="E137" i="3"/>
  <c r="X137" i="2"/>
  <c r="W137" i="2"/>
  <c r="E113" i="3"/>
  <c r="E112" i="3"/>
  <c r="K110" i="2"/>
  <c r="K109" i="2"/>
  <c r="K105" i="2"/>
  <c r="K93" i="2"/>
  <c r="E72" i="3"/>
  <c r="E65" i="3"/>
  <c r="E63" i="3"/>
  <c r="E57" i="3"/>
  <c r="E53" i="3"/>
  <c r="E49" i="3"/>
  <c r="E47" i="3"/>
  <c r="E43" i="3"/>
  <c r="F144" i="4"/>
  <c r="F134" i="4"/>
  <c r="F112" i="4"/>
  <c r="K107" i="2"/>
  <c r="E107" i="3" s="1"/>
  <c r="E136" i="3"/>
  <c r="W136" i="2"/>
  <c r="X136" i="2"/>
  <c r="E109" i="3"/>
  <c r="E105" i="3"/>
  <c r="K101" i="2"/>
  <c r="E93" i="3"/>
  <c r="Z27" i="2"/>
  <c r="J21" i="2"/>
  <c r="E140" i="3"/>
  <c r="W140" i="2"/>
  <c r="X140" i="2"/>
  <c r="E139" i="3"/>
  <c r="W139" i="2"/>
  <c r="X139" i="2"/>
  <c r="E138" i="3"/>
  <c r="W138" i="2"/>
  <c r="X138" i="2"/>
  <c r="J116" i="2"/>
  <c r="Z52" i="2"/>
  <c r="E134" i="3"/>
  <c r="X134" i="2"/>
  <c r="W134" i="2"/>
  <c r="E125" i="3"/>
  <c r="X125" i="2"/>
  <c r="W125" i="2"/>
  <c r="G131" i="4"/>
  <c r="Z109" i="2"/>
  <c r="E104" i="3"/>
  <c r="G126" i="4"/>
  <c r="Z104" i="2"/>
  <c r="G124" i="4"/>
  <c r="Z102" i="2"/>
  <c r="E97" i="3"/>
  <c r="G118" i="4"/>
  <c r="Z97" i="2"/>
  <c r="G113" i="4"/>
  <c r="Z92" i="2"/>
  <c r="C81" i="3"/>
  <c r="E81" i="3"/>
  <c r="G98" i="4"/>
  <c r="Z78" i="2"/>
  <c r="G97" i="4"/>
  <c r="Z77" i="2"/>
  <c r="E75" i="3"/>
  <c r="C74" i="3"/>
  <c r="E66" i="3"/>
  <c r="E60" i="3"/>
  <c r="Z53" i="2"/>
  <c r="Z24" i="2"/>
  <c r="Z37" i="2"/>
  <c r="E119" i="3"/>
  <c r="G144" i="4"/>
  <c r="Z118" i="2"/>
  <c r="E117" i="3"/>
  <c r="C115" i="3"/>
  <c r="C111" i="3"/>
  <c r="C95" i="3"/>
  <c r="E95" i="3"/>
  <c r="G112" i="4"/>
  <c r="Z91" i="2"/>
  <c r="E90" i="3"/>
  <c r="G111" i="4"/>
  <c r="Z90" i="2"/>
  <c r="E89" i="3"/>
  <c r="G110" i="4"/>
  <c r="Z89" i="2"/>
  <c r="C87" i="3"/>
  <c r="G103" i="4"/>
  <c r="Z83" i="2"/>
  <c r="Z232" i="2"/>
  <c r="Z86" i="2"/>
  <c r="G102" i="4"/>
  <c r="Z82" i="2"/>
  <c r="G101" i="4"/>
  <c r="Z81" i="2"/>
  <c r="E80" i="3"/>
  <c r="G95" i="4"/>
  <c r="Z75" i="2"/>
  <c r="E74" i="3"/>
  <c r="C73" i="3"/>
  <c r="C67" i="3"/>
  <c r="X67" i="2"/>
  <c r="C59" i="3"/>
  <c r="C55" i="3"/>
  <c r="C51" i="3"/>
  <c r="C45" i="3"/>
  <c r="J22" i="2"/>
  <c r="G133" i="4"/>
  <c r="Z111" i="2"/>
  <c r="G132" i="4"/>
  <c r="Z110" i="2"/>
  <c r="G129" i="4"/>
  <c r="Z107" i="2"/>
  <c r="G128" i="4"/>
  <c r="Z106" i="2"/>
  <c r="C102" i="3"/>
  <c r="E102" i="3"/>
  <c r="G115" i="4"/>
  <c r="Z94" i="2"/>
  <c r="G114" i="4"/>
  <c r="Z93" i="2"/>
  <c r="C91" i="3"/>
  <c r="G100" i="4"/>
  <c r="Z80" i="2"/>
  <c r="G99" i="4"/>
  <c r="Z79" i="2"/>
  <c r="G92" i="4"/>
  <c r="Z72" i="2"/>
  <c r="C62" i="3"/>
  <c r="E62" i="3"/>
  <c r="C54" i="3"/>
  <c r="E54" i="3"/>
  <c r="C50" i="3"/>
  <c r="E108" i="3"/>
  <c r="G127" i="4"/>
  <c r="Z105" i="2"/>
  <c r="E103" i="3"/>
  <c r="G125" i="4"/>
  <c r="Z103" i="2"/>
  <c r="E101" i="3"/>
  <c r="G119" i="4"/>
  <c r="Z190" i="2"/>
  <c r="Z98" i="2"/>
  <c r="E96" i="3"/>
  <c r="E91" i="3"/>
  <c r="C88" i="3"/>
  <c r="W88" i="2"/>
  <c r="C82" i="3"/>
  <c r="E82" i="3"/>
  <c r="E77" i="3"/>
  <c r="E76" i="3"/>
  <c r="G96" i="4"/>
  <c r="Z76" i="2"/>
  <c r="E58" i="3"/>
  <c r="E56" i="3"/>
  <c r="E52" i="3"/>
  <c r="E50" i="3"/>
  <c r="E19" i="3"/>
  <c r="G140" i="4"/>
  <c r="Z116" i="2"/>
  <c r="E115" i="3"/>
  <c r="G138" i="4"/>
  <c r="O138" i="4" s="1"/>
  <c r="Z115" i="2"/>
  <c r="G136" i="4"/>
  <c r="Z114" i="2"/>
  <c r="G135" i="4"/>
  <c r="Z113" i="2"/>
  <c r="G134" i="4"/>
  <c r="Z112" i="2"/>
  <c r="E111" i="3"/>
  <c r="C110" i="3"/>
  <c r="E110" i="3"/>
  <c r="G130" i="4"/>
  <c r="Z108" i="2"/>
  <c r="C106" i="3"/>
  <c r="E106" i="3"/>
  <c r="G117" i="4"/>
  <c r="Z96" i="2"/>
  <c r="G116" i="4"/>
  <c r="Z95" i="2"/>
  <c r="E94" i="3"/>
  <c r="C92" i="3"/>
  <c r="W92" i="2"/>
  <c r="G109" i="4"/>
  <c r="Z88" i="2"/>
  <c r="E87" i="3"/>
  <c r="G108" i="4"/>
  <c r="Z87" i="2"/>
  <c r="E86" i="3"/>
  <c r="C78" i="3"/>
  <c r="E78" i="3"/>
  <c r="G94" i="4"/>
  <c r="Z74" i="2"/>
  <c r="E73" i="3"/>
  <c r="G93" i="4"/>
  <c r="Z73" i="2"/>
  <c r="E67" i="3"/>
  <c r="E59" i="3"/>
  <c r="E55" i="3"/>
  <c r="E51" i="3"/>
  <c r="Z49" i="2"/>
  <c r="Z50" i="2"/>
  <c r="E45" i="3"/>
  <c r="Z41" i="2"/>
  <c r="Z42" i="2"/>
  <c r="E37" i="3"/>
  <c r="Z25" i="2"/>
  <c r="Z32" i="2"/>
  <c r="E16" i="3"/>
  <c r="Y49" i="2"/>
  <c r="C35" i="3"/>
  <c r="C31" i="3"/>
  <c r="Y51" i="2"/>
  <c r="W120" i="2"/>
  <c r="Y7" i="2"/>
  <c r="C16" i="3"/>
  <c r="X120" i="2"/>
  <c r="Y21" i="2"/>
  <c r="Y13" i="2"/>
  <c r="E15" i="3"/>
  <c r="Y30" i="2"/>
  <c r="Y26" i="2"/>
  <c r="U20" i="2"/>
  <c r="X20" i="2" s="1"/>
  <c r="Y19" i="2"/>
  <c r="R91" i="2"/>
  <c r="Y91" i="2" s="1"/>
  <c r="S116" i="2"/>
  <c r="D116" i="4"/>
  <c r="M116" i="4" s="1"/>
  <c r="Y65" i="2"/>
  <c r="U46" i="2"/>
  <c r="E46" i="3" s="1"/>
  <c r="Y32" i="2"/>
  <c r="W110" i="2"/>
  <c r="W38" i="2"/>
  <c r="R111" i="2"/>
  <c r="Y111" i="2" s="1"/>
  <c r="D130" i="4"/>
  <c r="M130" i="4" s="1"/>
  <c r="E95" i="4"/>
  <c r="N95" i="4" s="1"/>
  <c r="R96" i="2"/>
  <c r="C7" i="3"/>
  <c r="C114" i="3"/>
  <c r="C61" i="3"/>
  <c r="Y17" i="2"/>
  <c r="Y9" i="2"/>
  <c r="E27" i="3"/>
  <c r="R71" i="2"/>
  <c r="R78" i="2"/>
  <c r="Y78" i="2" s="1"/>
  <c r="S96" i="2"/>
  <c r="C19" i="3"/>
  <c r="C103" i="3"/>
  <c r="C71" i="3"/>
  <c r="S81" i="2"/>
  <c r="E102" i="4"/>
  <c r="N102" i="4" s="1"/>
  <c r="C79" i="3"/>
  <c r="C63" i="3"/>
  <c r="C58" i="3"/>
  <c r="C17" i="3"/>
  <c r="E17" i="3"/>
  <c r="C13" i="3"/>
  <c r="E13" i="3"/>
  <c r="C117" i="3"/>
  <c r="G142" i="4"/>
  <c r="O142" i="4" s="1"/>
  <c r="E140" i="4"/>
  <c r="N140" i="4" s="1"/>
  <c r="S115" i="2"/>
  <c r="D138" i="4"/>
  <c r="M138" i="4" s="1"/>
  <c r="R114" i="2"/>
  <c r="E108" i="4"/>
  <c r="N108" i="4" s="1"/>
  <c r="S86" i="2"/>
  <c r="E103" i="4"/>
  <c r="N103" i="4" s="1"/>
  <c r="S82" i="2"/>
  <c r="S78" i="2"/>
  <c r="E99" i="4"/>
  <c r="N99" i="4" s="1"/>
  <c r="S76" i="2"/>
  <c r="E97" i="4"/>
  <c r="N97" i="4" s="1"/>
  <c r="D96" i="4"/>
  <c r="M96" i="4" s="1"/>
  <c r="R75" i="2"/>
  <c r="Y75" i="2" s="1"/>
  <c r="E93" i="4"/>
  <c r="N93" i="4" s="1"/>
  <c r="S72" i="2"/>
  <c r="C60" i="3"/>
  <c r="E30" i="3"/>
  <c r="C30" i="3"/>
  <c r="Y23" i="2"/>
  <c r="E18" i="3"/>
  <c r="C5" i="3"/>
  <c r="W5" i="2"/>
  <c r="C119" i="3"/>
  <c r="D140" i="4"/>
  <c r="R115" i="2"/>
  <c r="Y115" i="2" s="1"/>
  <c r="D119" i="4"/>
  <c r="M119" i="4" s="1"/>
  <c r="R97" i="2"/>
  <c r="Y97" i="2" s="1"/>
  <c r="C90" i="3"/>
  <c r="C89" i="3"/>
  <c r="S87" i="2"/>
  <c r="E109" i="4"/>
  <c r="N109" i="4" s="1"/>
  <c r="D108" i="4"/>
  <c r="M108" i="4" s="1"/>
  <c r="R86" i="2"/>
  <c r="D103" i="4"/>
  <c r="M103" i="4" s="1"/>
  <c r="R82" i="2"/>
  <c r="Y82" i="2" s="1"/>
  <c r="E94" i="4"/>
  <c r="N94" i="4" s="1"/>
  <c r="S73" i="2"/>
  <c r="D93" i="4"/>
  <c r="M93" i="4" s="1"/>
  <c r="Y72" i="2"/>
  <c r="Y67" i="2"/>
  <c r="C52" i="3"/>
  <c r="C41" i="3"/>
  <c r="E41" i="3"/>
  <c r="U26" i="2"/>
  <c r="E26" i="3" s="1"/>
  <c r="D132" i="4"/>
  <c r="M132" i="4" s="1"/>
  <c r="D131" i="4"/>
  <c r="M131" i="4" s="1"/>
  <c r="E114" i="4"/>
  <c r="N114" i="4" s="1"/>
  <c r="E96" i="4"/>
  <c r="N96" i="4" s="1"/>
  <c r="E133" i="4"/>
  <c r="N133" i="4" s="1"/>
  <c r="S110" i="2"/>
  <c r="C108" i="3"/>
  <c r="E129" i="4"/>
  <c r="N129" i="4" s="1"/>
  <c r="S106" i="2"/>
  <c r="C104" i="3"/>
  <c r="D95" i="4"/>
  <c r="M95" i="4" s="1"/>
  <c r="R74" i="2"/>
  <c r="Y74" i="2" s="1"/>
  <c r="C12" i="3"/>
  <c r="D101" i="4"/>
  <c r="M101" i="4" s="1"/>
  <c r="E134" i="4"/>
  <c r="N134" i="4" s="1"/>
  <c r="S111" i="2"/>
  <c r="D133" i="4"/>
  <c r="M133" i="4" s="1"/>
  <c r="R110" i="2"/>
  <c r="R81" i="2"/>
  <c r="D102" i="4"/>
  <c r="M102" i="4" s="1"/>
  <c r="C80" i="3"/>
  <c r="S77" i="2"/>
  <c r="E98" i="4"/>
  <c r="N98" i="4" s="1"/>
  <c r="Y15" i="2"/>
  <c r="C14" i="3"/>
  <c r="E14" i="3"/>
  <c r="C9" i="3"/>
  <c r="E135" i="4"/>
  <c r="N135" i="4" s="1"/>
  <c r="S112" i="2"/>
  <c r="C96" i="3"/>
  <c r="E132" i="4"/>
  <c r="N132" i="4" s="1"/>
  <c r="S109" i="2"/>
  <c r="C107" i="3"/>
  <c r="S105" i="2"/>
  <c r="E128" i="4"/>
  <c r="N128" i="4" s="1"/>
  <c r="D127" i="4"/>
  <c r="M127" i="4" s="1"/>
  <c r="R104" i="2"/>
  <c r="C101" i="3"/>
  <c r="C97" i="3"/>
  <c r="S95" i="2"/>
  <c r="E117" i="4"/>
  <c r="N117" i="4" s="1"/>
  <c r="E116" i="4"/>
  <c r="N116" i="4" s="1"/>
  <c r="S94" i="2"/>
  <c r="Y94" i="2" s="1"/>
  <c r="E115" i="4"/>
  <c r="N115" i="4" s="1"/>
  <c r="S93" i="2"/>
  <c r="D114" i="4"/>
  <c r="M114" i="4" s="1"/>
  <c r="R92" i="2"/>
  <c r="Y92" i="2" s="1"/>
  <c r="E110" i="4"/>
  <c r="N110" i="4" s="1"/>
  <c r="S88" i="2"/>
  <c r="D109" i="4"/>
  <c r="M109" i="4" s="1"/>
  <c r="R87" i="2"/>
  <c r="Y87" i="2" s="1"/>
  <c r="D94" i="4"/>
  <c r="M94" i="4" s="1"/>
  <c r="R73" i="2"/>
  <c r="C57" i="3"/>
  <c r="C53" i="3"/>
  <c r="C42" i="3"/>
  <c r="E42" i="3"/>
  <c r="X102" i="2"/>
  <c r="R105" i="2"/>
  <c r="Y105" i="2" s="1"/>
  <c r="U7" i="2"/>
  <c r="E7" i="3" s="1"/>
  <c r="S117" i="2"/>
  <c r="E144" i="4"/>
  <c r="N144" i="4" s="1"/>
  <c r="D142" i="4"/>
  <c r="M142" i="4" s="1"/>
  <c r="R116" i="2"/>
  <c r="E136" i="4"/>
  <c r="N136" i="4" s="1"/>
  <c r="S113" i="2"/>
  <c r="R112" i="2"/>
  <c r="D135" i="4"/>
  <c r="M135" i="4" s="1"/>
  <c r="C109" i="3"/>
  <c r="E130" i="4"/>
  <c r="N130" i="4" s="1"/>
  <c r="S107" i="2"/>
  <c r="D129" i="4"/>
  <c r="M129" i="4" s="1"/>
  <c r="R106" i="2"/>
  <c r="C105" i="3"/>
  <c r="E126" i="4"/>
  <c r="N126" i="4" s="1"/>
  <c r="S103" i="2"/>
  <c r="E125" i="4"/>
  <c r="N125" i="4" s="1"/>
  <c r="S102" i="2"/>
  <c r="E124" i="4"/>
  <c r="N124" i="4" s="1"/>
  <c r="S101" i="2"/>
  <c r="D117" i="4"/>
  <c r="M117" i="4" s="1"/>
  <c r="R95" i="2"/>
  <c r="Y95" i="2" s="1"/>
  <c r="D115" i="4"/>
  <c r="M115" i="4" s="1"/>
  <c r="R93" i="2"/>
  <c r="Y93" i="2" s="1"/>
  <c r="E112" i="4"/>
  <c r="N112" i="4" s="1"/>
  <c r="S90" i="2"/>
  <c r="S89" i="2"/>
  <c r="E111" i="4"/>
  <c r="N111" i="4" s="1"/>
  <c r="C86" i="3"/>
  <c r="E100" i="4"/>
  <c r="N100" i="4" s="1"/>
  <c r="S79" i="2"/>
  <c r="D98" i="4"/>
  <c r="M98" i="4" s="1"/>
  <c r="R77" i="2"/>
  <c r="D97" i="4"/>
  <c r="M97" i="4" s="1"/>
  <c r="R76" i="2"/>
  <c r="Y76" i="2" s="1"/>
  <c r="C75" i="3"/>
  <c r="C72" i="3"/>
  <c r="C65" i="3"/>
  <c r="U48" i="2"/>
  <c r="E48" i="3" s="1"/>
  <c r="C47" i="3"/>
  <c r="C43" i="3"/>
  <c r="C33" i="3"/>
  <c r="Y11" i="2"/>
  <c r="X81" i="2"/>
  <c r="S108" i="2"/>
  <c r="Y108" i="2" s="1"/>
  <c r="C8" i="3"/>
  <c r="E8" i="3"/>
  <c r="R117" i="2"/>
  <c r="D144" i="4"/>
  <c r="M144" i="4" s="1"/>
  <c r="C116" i="3"/>
  <c r="E138" i="4"/>
  <c r="N138" i="4" s="1"/>
  <c r="S114" i="2"/>
  <c r="D136" i="4"/>
  <c r="M136" i="4" s="1"/>
  <c r="R113" i="2"/>
  <c r="Y113" i="2" s="1"/>
  <c r="C112" i="3"/>
  <c r="E127" i="4"/>
  <c r="N127" i="4" s="1"/>
  <c r="S104" i="2"/>
  <c r="R103" i="2"/>
  <c r="Y103" i="2" s="1"/>
  <c r="D126" i="4"/>
  <c r="M126" i="4" s="1"/>
  <c r="D125" i="4"/>
  <c r="M125" i="4" s="1"/>
  <c r="R102" i="2"/>
  <c r="D124" i="4"/>
  <c r="M124" i="4" s="1"/>
  <c r="R101" i="2"/>
  <c r="E119" i="4"/>
  <c r="N119" i="4" s="1"/>
  <c r="S97" i="2"/>
  <c r="C94" i="3"/>
  <c r="C93" i="3"/>
  <c r="E113" i="4"/>
  <c r="N113" i="4" s="1"/>
  <c r="S91" i="2"/>
  <c r="D112" i="4"/>
  <c r="M112" i="4" s="1"/>
  <c r="R90" i="2"/>
  <c r="D111" i="4"/>
  <c r="M111" i="4" s="1"/>
  <c r="R89" i="2"/>
  <c r="Y89" i="2" s="1"/>
  <c r="D100" i="4"/>
  <c r="M100" i="4" s="1"/>
  <c r="R79" i="2"/>
  <c r="C76" i="3"/>
  <c r="C66" i="3"/>
  <c r="C56" i="3"/>
  <c r="C49" i="3"/>
  <c r="C40" i="3"/>
  <c r="C39" i="3"/>
  <c r="E39" i="3"/>
  <c r="Y35" i="2"/>
  <c r="C34" i="3"/>
  <c r="C24" i="3"/>
  <c r="U11" i="2"/>
  <c r="E11" i="3" s="1"/>
  <c r="S71" i="2"/>
  <c r="S80" i="2"/>
  <c r="R88" i="2"/>
  <c r="U44" i="2"/>
  <c r="W44" i="2" s="1"/>
  <c r="U31" i="2"/>
  <c r="W31" i="2" s="1"/>
  <c r="O118" i="4"/>
  <c r="O92" i="4"/>
  <c r="O146" i="4"/>
  <c r="X103" i="2"/>
  <c r="J84" i="4"/>
  <c r="J79" i="4"/>
  <c r="J77" i="4"/>
  <c r="J82" i="4"/>
  <c r="J56" i="4"/>
  <c r="J54" i="4"/>
  <c r="J49" i="4"/>
  <c r="J47" i="4"/>
  <c r="G8" i="4"/>
  <c r="G10" i="4"/>
  <c r="G12" i="4"/>
  <c r="G13" i="4"/>
  <c r="G15" i="4"/>
  <c r="G16" i="4"/>
  <c r="G18" i="4"/>
  <c r="G19" i="4"/>
  <c r="G20" i="4"/>
  <c r="G21" i="4"/>
  <c r="G22" i="4"/>
  <c r="G23" i="4"/>
  <c r="G24" i="4"/>
  <c r="G25" i="4"/>
  <c r="G26" i="4"/>
  <c r="G28" i="4"/>
  <c r="G29" i="4"/>
  <c r="G31" i="4"/>
  <c r="G33" i="4"/>
  <c r="G34" i="4"/>
  <c r="G35" i="4"/>
  <c r="O35" i="4" s="1"/>
  <c r="G37" i="4"/>
  <c r="G42" i="4"/>
  <c r="G43" i="4"/>
  <c r="G44" i="4"/>
  <c r="O44" i="4" s="1"/>
  <c r="G45" i="4"/>
  <c r="O45" i="4" s="1"/>
  <c r="G46" i="4"/>
  <c r="O46" i="4" s="1"/>
  <c r="G48" i="4"/>
  <c r="O48" i="4" s="1"/>
  <c r="G50" i="4"/>
  <c r="G51" i="4"/>
  <c r="G52" i="4"/>
  <c r="G53" i="4"/>
  <c r="G55" i="4"/>
  <c r="O55" i="4" s="1"/>
  <c r="G57" i="4"/>
  <c r="G58" i="4"/>
  <c r="G59" i="4"/>
  <c r="G60" i="4"/>
  <c r="O60" i="4" s="1"/>
  <c r="G61" i="4"/>
  <c r="G62" i="4"/>
  <c r="O62" i="4" s="1"/>
  <c r="G63" i="4"/>
  <c r="G64" i="4"/>
  <c r="O64" i="4" s="1"/>
  <c r="G65" i="4"/>
  <c r="G66" i="4"/>
  <c r="G67" i="4"/>
  <c r="G68" i="4"/>
  <c r="G69" i="4"/>
  <c r="G70" i="4"/>
  <c r="G71" i="4"/>
  <c r="G72" i="4"/>
  <c r="G73" i="4"/>
  <c r="G74" i="4"/>
  <c r="G75" i="4"/>
  <c r="G76" i="4"/>
  <c r="G78" i="4"/>
  <c r="O78" i="4" s="1"/>
  <c r="G80" i="4"/>
  <c r="G81" i="4"/>
  <c r="G83" i="4"/>
  <c r="O83" i="4" s="1"/>
  <c r="G85" i="4"/>
  <c r="G86" i="4"/>
  <c r="G87" i="4"/>
  <c r="G7" i="4"/>
  <c r="J41" i="4"/>
  <c r="I2" i="4"/>
  <c r="I3" i="4"/>
  <c r="I5" i="4"/>
  <c r="I43" i="4"/>
  <c r="I44" i="4"/>
  <c r="I45" i="4"/>
  <c r="I46" i="4"/>
  <c r="I47" i="4"/>
  <c r="I48" i="4"/>
  <c r="I49" i="4"/>
  <c r="I50" i="4"/>
  <c r="I51" i="4"/>
  <c r="I52" i="4"/>
  <c r="I53" i="4"/>
  <c r="I54" i="4"/>
  <c r="I55" i="4"/>
  <c r="I56" i="4"/>
  <c r="I57" i="4"/>
  <c r="I58" i="4"/>
  <c r="I59" i="4"/>
  <c r="I1" i="4"/>
  <c r="A5" i="4"/>
  <c r="J5" i="4" s="1"/>
  <c r="A87" i="4"/>
  <c r="J87" i="4" s="1"/>
  <c r="B87" i="4"/>
  <c r="K87" i="4" s="1"/>
  <c r="C87" i="4"/>
  <c r="L87" i="4" s="1"/>
  <c r="F87" i="4"/>
  <c r="A34" i="4"/>
  <c r="B34" i="4"/>
  <c r="C34" i="4"/>
  <c r="F34" i="4"/>
  <c r="A35" i="4"/>
  <c r="J35" i="4" s="1"/>
  <c r="B35" i="4"/>
  <c r="K35" i="4" s="1"/>
  <c r="C35" i="4"/>
  <c r="L35" i="4" s="1"/>
  <c r="F35" i="4"/>
  <c r="A37" i="4"/>
  <c r="J37" i="4" s="1"/>
  <c r="B37" i="4"/>
  <c r="K37" i="4" s="1"/>
  <c r="C37" i="4"/>
  <c r="L37" i="4" s="1"/>
  <c r="F37" i="4"/>
  <c r="A40" i="4"/>
  <c r="J40" i="4" s="1"/>
  <c r="A42" i="4"/>
  <c r="J42" i="4" s="1"/>
  <c r="B42" i="4"/>
  <c r="K42" i="4" s="1"/>
  <c r="C42" i="4"/>
  <c r="L42" i="4" s="1"/>
  <c r="F42" i="4"/>
  <c r="A43" i="4"/>
  <c r="J43" i="4" s="1"/>
  <c r="B43" i="4"/>
  <c r="K43" i="4" s="1"/>
  <c r="C43" i="4"/>
  <c r="L43" i="4" s="1"/>
  <c r="F43" i="4"/>
  <c r="A44" i="4"/>
  <c r="J44" i="4" s="1"/>
  <c r="B44" i="4"/>
  <c r="K44" i="4" s="1"/>
  <c r="C44" i="4"/>
  <c r="L44" i="4" s="1"/>
  <c r="F44" i="4"/>
  <c r="A45" i="4"/>
  <c r="J45" i="4" s="1"/>
  <c r="B45" i="4"/>
  <c r="K45" i="4" s="1"/>
  <c r="C45" i="4"/>
  <c r="L45" i="4" s="1"/>
  <c r="F45" i="4"/>
  <c r="A46" i="4"/>
  <c r="J46" i="4" s="1"/>
  <c r="B46" i="4"/>
  <c r="K46" i="4" s="1"/>
  <c r="C46" i="4"/>
  <c r="L46" i="4" s="1"/>
  <c r="F46" i="4"/>
  <c r="A48" i="4"/>
  <c r="J48" i="4" s="1"/>
  <c r="B48" i="4"/>
  <c r="K48" i="4" s="1"/>
  <c r="C48" i="4"/>
  <c r="L48" i="4" s="1"/>
  <c r="F48" i="4"/>
  <c r="A50" i="4"/>
  <c r="K50" i="4" s="1"/>
  <c r="B50" i="4"/>
  <c r="C50" i="4"/>
  <c r="F50" i="4"/>
  <c r="A51" i="4"/>
  <c r="J51" i="4" s="1"/>
  <c r="B51" i="4"/>
  <c r="K51" i="4" s="1"/>
  <c r="C51" i="4"/>
  <c r="L51" i="4" s="1"/>
  <c r="F51" i="4"/>
  <c r="A52" i="4"/>
  <c r="J52" i="4" s="1"/>
  <c r="B52" i="4"/>
  <c r="K52" i="4" s="1"/>
  <c r="C52" i="4"/>
  <c r="L52" i="4" s="1"/>
  <c r="F52" i="4"/>
  <c r="A53" i="4"/>
  <c r="J53" i="4" s="1"/>
  <c r="B53" i="4"/>
  <c r="K53" i="4" s="1"/>
  <c r="C53" i="4"/>
  <c r="L53" i="4" s="1"/>
  <c r="F53" i="4"/>
  <c r="A55" i="4"/>
  <c r="J55" i="4" s="1"/>
  <c r="B55" i="4"/>
  <c r="K55" i="4" s="1"/>
  <c r="C55" i="4"/>
  <c r="L55" i="4" s="1"/>
  <c r="F55" i="4"/>
  <c r="A57" i="4"/>
  <c r="J57" i="4" s="1"/>
  <c r="B57" i="4"/>
  <c r="K57" i="4" s="1"/>
  <c r="C57" i="4"/>
  <c r="L57" i="4" s="1"/>
  <c r="F57" i="4"/>
  <c r="A58" i="4"/>
  <c r="J58" i="4" s="1"/>
  <c r="B58" i="4"/>
  <c r="K58" i="4" s="1"/>
  <c r="C58" i="4"/>
  <c r="L58" i="4" s="1"/>
  <c r="F58" i="4"/>
  <c r="A59" i="4"/>
  <c r="J59" i="4" s="1"/>
  <c r="B59" i="4"/>
  <c r="K59" i="4" s="1"/>
  <c r="C59" i="4"/>
  <c r="L59" i="4" s="1"/>
  <c r="F59" i="4"/>
  <c r="A60" i="4"/>
  <c r="J60" i="4" s="1"/>
  <c r="B60" i="4"/>
  <c r="K60" i="4" s="1"/>
  <c r="C60" i="4"/>
  <c r="L60" i="4" s="1"/>
  <c r="F60" i="4"/>
  <c r="A61" i="4"/>
  <c r="J61" i="4" s="1"/>
  <c r="B61" i="4"/>
  <c r="K61" i="4" s="1"/>
  <c r="C61" i="4"/>
  <c r="L61" i="4" s="1"/>
  <c r="F61" i="4"/>
  <c r="A62" i="4"/>
  <c r="J62" i="4" s="1"/>
  <c r="B62" i="4"/>
  <c r="K62" i="4" s="1"/>
  <c r="C62" i="4"/>
  <c r="L62" i="4" s="1"/>
  <c r="F62" i="4"/>
  <c r="A63" i="4"/>
  <c r="J63" i="4" s="1"/>
  <c r="B63" i="4"/>
  <c r="K63" i="4" s="1"/>
  <c r="C63" i="4"/>
  <c r="L63" i="4" s="1"/>
  <c r="F63" i="4"/>
  <c r="A64" i="4"/>
  <c r="J64" i="4" s="1"/>
  <c r="B64" i="4"/>
  <c r="K64" i="4" s="1"/>
  <c r="C64" i="4"/>
  <c r="L64" i="4" s="1"/>
  <c r="F64" i="4"/>
  <c r="A65" i="4"/>
  <c r="J65" i="4" s="1"/>
  <c r="B65" i="4"/>
  <c r="K65" i="4" s="1"/>
  <c r="C65" i="4"/>
  <c r="L65" i="4" s="1"/>
  <c r="F65" i="4"/>
  <c r="A66" i="4"/>
  <c r="J66" i="4" s="1"/>
  <c r="B66" i="4"/>
  <c r="K66" i="4" s="1"/>
  <c r="C66" i="4"/>
  <c r="L66" i="4" s="1"/>
  <c r="F66" i="4"/>
  <c r="A67" i="4"/>
  <c r="J67" i="4" s="1"/>
  <c r="B67" i="4"/>
  <c r="K67" i="4" s="1"/>
  <c r="C67" i="4"/>
  <c r="L67" i="4" s="1"/>
  <c r="F67" i="4"/>
  <c r="A68" i="4"/>
  <c r="J68" i="4" s="1"/>
  <c r="B68" i="4"/>
  <c r="K68" i="4" s="1"/>
  <c r="C68" i="4"/>
  <c r="L68" i="4" s="1"/>
  <c r="F68" i="4"/>
  <c r="A69" i="4"/>
  <c r="J69" i="4" s="1"/>
  <c r="B69" i="4"/>
  <c r="K69" i="4" s="1"/>
  <c r="C69" i="4"/>
  <c r="L69" i="4" s="1"/>
  <c r="F69" i="4"/>
  <c r="A70" i="4"/>
  <c r="J70" i="4" s="1"/>
  <c r="B70" i="4"/>
  <c r="K70" i="4" s="1"/>
  <c r="C70" i="4"/>
  <c r="L70" i="4" s="1"/>
  <c r="F70" i="4"/>
  <c r="A71" i="4"/>
  <c r="J71" i="4" s="1"/>
  <c r="B71" i="4"/>
  <c r="K71" i="4" s="1"/>
  <c r="C71" i="4"/>
  <c r="L71" i="4" s="1"/>
  <c r="F71" i="4"/>
  <c r="A72" i="4"/>
  <c r="J72" i="4" s="1"/>
  <c r="B72" i="4"/>
  <c r="K72" i="4" s="1"/>
  <c r="C72" i="4"/>
  <c r="L72" i="4" s="1"/>
  <c r="F72" i="4"/>
  <c r="A73" i="4"/>
  <c r="J73" i="4" s="1"/>
  <c r="B73" i="4"/>
  <c r="K73" i="4" s="1"/>
  <c r="C73" i="4"/>
  <c r="L73" i="4" s="1"/>
  <c r="F73" i="4"/>
  <c r="A74" i="4"/>
  <c r="J74" i="4" s="1"/>
  <c r="B74" i="4"/>
  <c r="K74" i="4" s="1"/>
  <c r="C74" i="4"/>
  <c r="L74" i="4" s="1"/>
  <c r="F74" i="4"/>
  <c r="A75" i="4"/>
  <c r="J75" i="4" s="1"/>
  <c r="B75" i="4"/>
  <c r="K75" i="4" s="1"/>
  <c r="C75" i="4"/>
  <c r="L75" i="4" s="1"/>
  <c r="F75" i="4"/>
  <c r="A76" i="4"/>
  <c r="J76" i="4" s="1"/>
  <c r="B76" i="4"/>
  <c r="K76" i="4" s="1"/>
  <c r="C76" i="4"/>
  <c r="L76" i="4" s="1"/>
  <c r="F76" i="4"/>
  <c r="A78" i="4"/>
  <c r="J78" i="4" s="1"/>
  <c r="B78" i="4"/>
  <c r="K78" i="4" s="1"/>
  <c r="C78" i="4"/>
  <c r="L78" i="4" s="1"/>
  <c r="F78" i="4"/>
  <c r="A80" i="4"/>
  <c r="J80" i="4" s="1"/>
  <c r="B80" i="4"/>
  <c r="K80" i="4" s="1"/>
  <c r="C80" i="4"/>
  <c r="L80" i="4" s="1"/>
  <c r="F80" i="4"/>
  <c r="A81" i="4"/>
  <c r="J81" i="4" s="1"/>
  <c r="B81" i="4"/>
  <c r="K81" i="4" s="1"/>
  <c r="C81" i="4"/>
  <c r="L81" i="4" s="1"/>
  <c r="F81" i="4"/>
  <c r="A83" i="4"/>
  <c r="J83" i="4" s="1"/>
  <c r="B83" i="4"/>
  <c r="K83" i="4" s="1"/>
  <c r="C83" i="4"/>
  <c r="L83" i="4" s="1"/>
  <c r="F83" i="4"/>
  <c r="A85" i="4"/>
  <c r="J85" i="4" s="1"/>
  <c r="B85" i="4"/>
  <c r="K85" i="4" s="1"/>
  <c r="C85" i="4"/>
  <c r="L85" i="4" s="1"/>
  <c r="F85" i="4"/>
  <c r="A86" i="4"/>
  <c r="J86" i="4" s="1"/>
  <c r="B86" i="4"/>
  <c r="K86" i="4" s="1"/>
  <c r="C86" i="4"/>
  <c r="L86" i="4" s="1"/>
  <c r="F86" i="4"/>
  <c r="D42" i="4"/>
  <c r="E42" i="4"/>
  <c r="N42" i="4" s="1"/>
  <c r="H42" i="4"/>
  <c r="P42" i="4" s="1"/>
  <c r="D43" i="4"/>
  <c r="M43" i="4" s="1"/>
  <c r="E43" i="4"/>
  <c r="N43" i="4" s="1"/>
  <c r="H43" i="4"/>
  <c r="P43" i="4" s="1"/>
  <c r="D44" i="4"/>
  <c r="M44" i="4" s="1"/>
  <c r="E44" i="4"/>
  <c r="N44" i="4" s="1"/>
  <c r="H44" i="4"/>
  <c r="P44" i="4" s="1"/>
  <c r="D45" i="4"/>
  <c r="M45" i="4" s="1"/>
  <c r="E45" i="4"/>
  <c r="N45" i="4" s="1"/>
  <c r="H45" i="4"/>
  <c r="P45" i="4" s="1"/>
  <c r="D46" i="4"/>
  <c r="M46" i="4" s="1"/>
  <c r="E46" i="4"/>
  <c r="N46" i="4" s="1"/>
  <c r="H46" i="4"/>
  <c r="P46" i="4" s="1"/>
  <c r="D48" i="4"/>
  <c r="M48" i="4" s="1"/>
  <c r="E48" i="4"/>
  <c r="N48" i="4" s="1"/>
  <c r="H48" i="4"/>
  <c r="P48" i="4" s="1"/>
  <c r="D50" i="4"/>
  <c r="E50" i="4"/>
  <c r="H50" i="4"/>
  <c r="P50" i="4" s="1"/>
  <c r="D51" i="4"/>
  <c r="E51" i="4"/>
  <c r="N51" i="4" s="1"/>
  <c r="H51" i="4"/>
  <c r="P51" i="4" s="1"/>
  <c r="D52" i="4"/>
  <c r="E52" i="4"/>
  <c r="N52" i="4" s="1"/>
  <c r="H52" i="4"/>
  <c r="P52" i="4" s="1"/>
  <c r="D53" i="4"/>
  <c r="E53" i="4"/>
  <c r="N53" i="4" s="1"/>
  <c r="H53" i="4"/>
  <c r="P53" i="4" s="1"/>
  <c r="D55" i="4"/>
  <c r="M55" i="4" s="1"/>
  <c r="E55" i="4"/>
  <c r="N55" i="4" s="1"/>
  <c r="H55" i="4"/>
  <c r="P55" i="4" s="1"/>
  <c r="D57" i="4"/>
  <c r="E57" i="4"/>
  <c r="N57" i="4" s="1"/>
  <c r="H57" i="4"/>
  <c r="P57" i="4" s="1"/>
  <c r="D58" i="4"/>
  <c r="E58" i="4"/>
  <c r="N58" i="4" s="1"/>
  <c r="H58" i="4"/>
  <c r="P58" i="4" s="1"/>
  <c r="D59" i="4"/>
  <c r="E59" i="4"/>
  <c r="N59" i="4" s="1"/>
  <c r="H59" i="4"/>
  <c r="P59" i="4" s="1"/>
  <c r="D60" i="4"/>
  <c r="M60" i="4" s="1"/>
  <c r="E60" i="4"/>
  <c r="N60" i="4" s="1"/>
  <c r="H60" i="4"/>
  <c r="P60" i="4" s="1"/>
  <c r="D61" i="4"/>
  <c r="E61" i="4"/>
  <c r="N61" i="4" s="1"/>
  <c r="H61" i="4"/>
  <c r="P61" i="4" s="1"/>
  <c r="D62" i="4"/>
  <c r="M62" i="4" s="1"/>
  <c r="E62" i="4"/>
  <c r="N62" i="4" s="1"/>
  <c r="H62" i="4"/>
  <c r="P62" i="4" s="1"/>
  <c r="D63" i="4"/>
  <c r="E63" i="4"/>
  <c r="N63" i="4" s="1"/>
  <c r="H63" i="4"/>
  <c r="P63" i="4" s="1"/>
  <c r="D64" i="4"/>
  <c r="M64" i="4" s="1"/>
  <c r="E64" i="4"/>
  <c r="N64" i="4" s="1"/>
  <c r="H64" i="4"/>
  <c r="P64" i="4" s="1"/>
  <c r="D65" i="4"/>
  <c r="E65" i="4"/>
  <c r="N65" i="4" s="1"/>
  <c r="H65" i="4"/>
  <c r="P65" i="4" s="1"/>
  <c r="D66" i="4"/>
  <c r="E66" i="4"/>
  <c r="N66" i="4" s="1"/>
  <c r="H66" i="4"/>
  <c r="P66" i="4" s="1"/>
  <c r="D67" i="4"/>
  <c r="E67" i="4"/>
  <c r="N67" i="4" s="1"/>
  <c r="H67" i="4"/>
  <c r="P67" i="4" s="1"/>
  <c r="D68" i="4"/>
  <c r="E68" i="4"/>
  <c r="N68" i="4" s="1"/>
  <c r="H68" i="4"/>
  <c r="P68" i="4" s="1"/>
  <c r="D69" i="4"/>
  <c r="E69" i="4"/>
  <c r="N69" i="4" s="1"/>
  <c r="H69" i="4"/>
  <c r="P69" i="4" s="1"/>
  <c r="D70" i="4"/>
  <c r="E70" i="4"/>
  <c r="N70" i="4" s="1"/>
  <c r="H70" i="4"/>
  <c r="P70" i="4" s="1"/>
  <c r="D71" i="4"/>
  <c r="E71" i="4"/>
  <c r="N71" i="4" s="1"/>
  <c r="H71" i="4"/>
  <c r="P71" i="4" s="1"/>
  <c r="D72" i="4"/>
  <c r="E72" i="4"/>
  <c r="N72" i="4" s="1"/>
  <c r="H72" i="4"/>
  <c r="P72" i="4" s="1"/>
  <c r="D73" i="4"/>
  <c r="E73" i="4"/>
  <c r="N73" i="4" s="1"/>
  <c r="H73" i="4"/>
  <c r="P73" i="4" s="1"/>
  <c r="D74" i="4"/>
  <c r="E74" i="4"/>
  <c r="N74" i="4" s="1"/>
  <c r="H74" i="4"/>
  <c r="P74" i="4" s="1"/>
  <c r="D75" i="4"/>
  <c r="E75" i="4"/>
  <c r="N75" i="4" s="1"/>
  <c r="H75" i="4"/>
  <c r="P75" i="4" s="1"/>
  <c r="D76" i="4"/>
  <c r="E76" i="4"/>
  <c r="N76" i="4" s="1"/>
  <c r="H76" i="4"/>
  <c r="P76" i="4" s="1"/>
  <c r="D78" i="4"/>
  <c r="M78" i="4" s="1"/>
  <c r="E78" i="4"/>
  <c r="N78" i="4" s="1"/>
  <c r="H78" i="4"/>
  <c r="P78" i="4" s="1"/>
  <c r="D80" i="4"/>
  <c r="E80" i="4"/>
  <c r="N80" i="4" s="1"/>
  <c r="H80" i="4"/>
  <c r="P80" i="4" s="1"/>
  <c r="D81" i="4"/>
  <c r="E81" i="4"/>
  <c r="N81" i="4" s="1"/>
  <c r="H81" i="4"/>
  <c r="P81" i="4" s="1"/>
  <c r="D83" i="4"/>
  <c r="M83" i="4" s="1"/>
  <c r="E83" i="4"/>
  <c r="N83" i="4" s="1"/>
  <c r="H83" i="4"/>
  <c r="P83" i="4" s="1"/>
  <c r="D85" i="4"/>
  <c r="E85" i="4"/>
  <c r="N85" i="4" s="1"/>
  <c r="H85" i="4"/>
  <c r="P85" i="4" s="1"/>
  <c r="D86" i="4"/>
  <c r="E86" i="4"/>
  <c r="N86" i="4" s="1"/>
  <c r="H86" i="4"/>
  <c r="P86" i="4" s="1"/>
  <c r="D87" i="4"/>
  <c r="E87" i="4"/>
  <c r="N87" i="4" s="1"/>
  <c r="H87" i="4"/>
  <c r="P87" i="4" s="1"/>
  <c r="D37" i="4"/>
  <c r="M37" i="4" s="1"/>
  <c r="E37" i="4"/>
  <c r="N37" i="4" s="1"/>
  <c r="H37" i="4"/>
  <c r="P37" i="4" s="1"/>
  <c r="H35" i="4"/>
  <c r="P35" i="4" s="1"/>
  <c r="E35" i="4"/>
  <c r="N35" i="4" s="1"/>
  <c r="D35" i="4"/>
  <c r="M35" i="4" s="1"/>
  <c r="F64" i="1"/>
  <c r="F64" i="2" s="1"/>
  <c r="F63" i="1"/>
  <c r="F63" i="2" s="1"/>
  <c r="E63" i="1"/>
  <c r="E63" i="2" s="1"/>
  <c r="E61" i="1"/>
  <c r="E61" i="2" s="1"/>
  <c r="F60" i="1"/>
  <c r="F60" i="2" s="1"/>
  <c r="E60" i="1"/>
  <c r="E60" i="2" s="1"/>
  <c r="C59" i="1"/>
  <c r="C59" i="2" s="1"/>
  <c r="F54" i="1"/>
  <c r="F54" i="2" s="1"/>
  <c r="E54" i="1"/>
  <c r="E54" i="2" s="1"/>
  <c r="C54" i="1"/>
  <c r="C54" i="2" s="1"/>
  <c r="F50" i="1"/>
  <c r="F50" i="2" s="1"/>
  <c r="F49" i="1"/>
  <c r="F49" i="2" s="1"/>
  <c r="F44" i="1"/>
  <c r="F44" i="2" s="1"/>
  <c r="F41" i="1"/>
  <c r="F41" i="2" s="1"/>
  <c r="E50" i="1"/>
  <c r="E50" i="2" s="1"/>
  <c r="E49" i="1"/>
  <c r="E49" i="2" s="1"/>
  <c r="E47" i="1"/>
  <c r="E47" i="2" s="1"/>
  <c r="E45" i="1"/>
  <c r="E45" i="2" s="1"/>
  <c r="D49" i="1"/>
  <c r="D49" i="2" s="1"/>
  <c r="D47" i="1"/>
  <c r="D47" i="2" s="1"/>
  <c r="D46" i="1"/>
  <c r="D46" i="2" s="1"/>
  <c r="D45" i="1"/>
  <c r="D45" i="2" s="1"/>
  <c r="C50" i="1"/>
  <c r="C50" i="2" s="1"/>
  <c r="C49" i="1"/>
  <c r="C49" i="2" s="1"/>
  <c r="C47" i="1"/>
  <c r="C47" i="2" s="1"/>
  <c r="C46" i="1"/>
  <c r="C46" i="2" s="1"/>
  <c r="C45" i="1"/>
  <c r="C45" i="2" s="1"/>
  <c r="C44" i="1"/>
  <c r="C44" i="2" s="1"/>
  <c r="C43" i="1"/>
  <c r="C43" i="2" s="1"/>
  <c r="C42" i="1"/>
  <c r="C42" i="2" s="1"/>
  <c r="C41" i="1"/>
  <c r="C41" i="2" s="1"/>
  <c r="E37" i="1"/>
  <c r="E37" i="2" s="1"/>
  <c r="F37" i="1"/>
  <c r="F37" i="2" s="1"/>
  <c r="C37" i="1"/>
  <c r="C37" i="2" s="1"/>
  <c r="D37" i="1"/>
  <c r="D37" i="2" s="1"/>
  <c r="K23" i="1"/>
  <c r="K23" i="2" s="1"/>
  <c r="C23" i="3" s="1"/>
  <c r="K20" i="1"/>
  <c r="K20" i="2" s="1"/>
  <c r="C20" i="3" s="1"/>
  <c r="K12" i="1"/>
  <c r="K12" i="2" s="1"/>
  <c r="E12" i="3" s="1"/>
  <c r="K9" i="1"/>
  <c r="K9" i="2" s="1"/>
  <c r="E9" i="3" s="1"/>
  <c r="K6" i="1"/>
  <c r="K6" i="2" s="1"/>
  <c r="C6" i="3" s="1"/>
  <c r="E92" i="3" l="1"/>
  <c r="E38" i="3"/>
  <c r="E23" i="3"/>
  <c r="E6" i="3"/>
  <c r="E44" i="3"/>
  <c r="E88" i="3"/>
  <c r="E20" i="3"/>
  <c r="E31" i="3"/>
  <c r="O37" i="4"/>
  <c r="O131" i="4"/>
  <c r="W26" i="2"/>
  <c r="X26" i="2"/>
  <c r="W16" i="2"/>
  <c r="U35" i="2"/>
  <c r="X7" i="2"/>
  <c r="X95" i="2"/>
  <c r="W95" i="2"/>
  <c r="Y116" i="2"/>
  <c r="W73" i="2"/>
  <c r="W17" i="2"/>
  <c r="Y96" i="2"/>
  <c r="W56" i="2"/>
  <c r="X43" i="2"/>
  <c r="O134" i="4"/>
  <c r="X92" i="2"/>
  <c r="W51" i="2"/>
  <c r="X38" i="2"/>
  <c r="X14" i="2"/>
  <c r="U61" i="2"/>
  <c r="E61" i="3" s="1"/>
  <c r="X51" i="2"/>
  <c r="W57" i="2"/>
  <c r="W91" i="2"/>
  <c r="X16" i="2"/>
  <c r="O135" i="4"/>
  <c r="O125" i="4"/>
  <c r="Y81" i="2"/>
  <c r="U32" i="2"/>
  <c r="E32" i="3" s="1"/>
  <c r="C32" i="3"/>
  <c r="U64" i="2"/>
  <c r="E64" i="3" s="1"/>
  <c r="C64" i="3"/>
  <c r="W7" i="2"/>
  <c r="X19" i="2"/>
  <c r="W63" i="2"/>
  <c r="X57" i="2"/>
  <c r="X77" i="2"/>
  <c r="C77" i="3"/>
  <c r="U10" i="2"/>
  <c r="E10" i="3" s="1"/>
  <c r="C10" i="3"/>
  <c r="X113" i="2"/>
  <c r="C113" i="3"/>
  <c r="U21" i="2"/>
  <c r="E21" i="3" s="1"/>
  <c r="C21" i="3"/>
  <c r="W62" i="2"/>
  <c r="X106" i="2"/>
  <c r="W12" i="2"/>
  <c r="W27" i="2"/>
  <c r="X73" i="2"/>
  <c r="Y73" i="2"/>
  <c r="X97" i="2"/>
  <c r="W37" i="2"/>
  <c r="C37" i="3"/>
  <c r="U22" i="2"/>
  <c r="C22" i="3"/>
  <c r="X94" i="2"/>
  <c r="X109" i="2"/>
  <c r="W15" i="2"/>
  <c r="X50" i="2"/>
  <c r="O110" i="4"/>
  <c r="X74" i="2"/>
  <c r="X111" i="2"/>
  <c r="X31" i="2"/>
  <c r="W20" i="2"/>
  <c r="U114" i="2"/>
  <c r="E114" i="3" s="1"/>
  <c r="X76" i="2"/>
  <c r="X55" i="2"/>
  <c r="W74" i="2"/>
  <c r="W111" i="2"/>
  <c r="X48" i="2"/>
  <c r="O144" i="4"/>
  <c r="X75" i="2"/>
  <c r="Y86" i="2"/>
  <c r="X15" i="2"/>
  <c r="O115" i="4"/>
  <c r="O124" i="4"/>
  <c r="X112" i="2"/>
  <c r="X53" i="2"/>
  <c r="X18" i="2"/>
  <c r="X82" i="2"/>
  <c r="O108" i="4"/>
  <c r="W46" i="2"/>
  <c r="X6" i="2"/>
  <c r="X37" i="2"/>
  <c r="W13" i="2"/>
  <c r="W18" i="2"/>
  <c r="X110" i="2"/>
  <c r="W50" i="2"/>
  <c r="X91" i="2"/>
  <c r="W103" i="2"/>
  <c r="W42" i="2"/>
  <c r="X119" i="2"/>
  <c r="O96" i="4"/>
  <c r="O111" i="4"/>
  <c r="O101" i="4"/>
  <c r="O97" i="4"/>
  <c r="O116" i="4"/>
  <c r="O100" i="4"/>
  <c r="W71" i="2"/>
  <c r="X71" i="2"/>
  <c r="Y71" i="2"/>
  <c r="X46" i="2"/>
  <c r="X8" i="2"/>
  <c r="X39" i="2"/>
  <c r="O128" i="4"/>
  <c r="O94" i="4"/>
  <c r="O113" i="4"/>
  <c r="O133" i="4"/>
  <c r="O127" i="4"/>
  <c r="O126" i="4"/>
  <c r="W119" i="2"/>
  <c r="W82" i="2"/>
  <c r="O140" i="4"/>
  <c r="X60" i="2"/>
  <c r="W67" i="2"/>
  <c r="X41" i="2"/>
  <c r="X59" i="2"/>
  <c r="W19" i="2"/>
  <c r="W14" i="2"/>
  <c r="X86" i="2"/>
  <c r="X96" i="2"/>
  <c r="X63" i="2"/>
  <c r="X115" i="2"/>
  <c r="W115" i="2"/>
  <c r="W59" i="2"/>
  <c r="O103" i="4"/>
  <c r="O129" i="4"/>
  <c r="X105" i="2"/>
  <c r="W45" i="2"/>
  <c r="X27" i="2"/>
  <c r="X23" i="2"/>
  <c r="X78" i="2"/>
  <c r="X88" i="2"/>
  <c r="X56" i="2"/>
  <c r="W117" i="2"/>
  <c r="O112" i="4"/>
  <c r="O95" i="4"/>
  <c r="O93" i="4"/>
  <c r="O114" i="4"/>
  <c r="Y79" i="2"/>
  <c r="Y102" i="2"/>
  <c r="W106" i="2"/>
  <c r="X45" i="2"/>
  <c r="X17" i="2"/>
  <c r="W23" i="2"/>
  <c r="X80" i="2"/>
  <c r="W80" i="2"/>
  <c r="W65" i="2"/>
  <c r="O109" i="4"/>
  <c r="W96" i="2"/>
  <c r="W6" i="2"/>
  <c r="W47" i="2"/>
  <c r="X47" i="2"/>
  <c r="X9" i="2"/>
  <c r="X66" i="2"/>
  <c r="X108" i="2"/>
  <c r="X54" i="2"/>
  <c r="X42" i="2"/>
  <c r="X117" i="2"/>
  <c r="O117" i="4"/>
  <c r="O102" i="4"/>
  <c r="O98" i="4"/>
  <c r="W60" i="2"/>
  <c r="W79" i="2"/>
  <c r="W49" i="2"/>
  <c r="W66" i="2"/>
  <c r="W93" i="2"/>
  <c r="W8" i="2"/>
  <c r="W72" i="2"/>
  <c r="W102" i="2"/>
  <c r="W41" i="2"/>
  <c r="W89" i="2"/>
  <c r="W58" i="2"/>
  <c r="X58" i="2"/>
  <c r="W77" i="2"/>
  <c r="W86" i="2"/>
  <c r="W105" i="2"/>
  <c r="W53" i="2"/>
  <c r="Y104" i="2"/>
  <c r="X12" i="2"/>
  <c r="W52" i="2"/>
  <c r="W90" i="2"/>
  <c r="X49" i="2"/>
  <c r="W9" i="2"/>
  <c r="X11" i="2"/>
  <c r="X62" i="2"/>
  <c r="X72" i="2"/>
  <c r="X90" i="2"/>
  <c r="W54" i="2"/>
  <c r="W87" i="2"/>
  <c r="W107" i="2"/>
  <c r="O136" i="4"/>
  <c r="O119" i="4"/>
  <c r="M140" i="4"/>
  <c r="O130" i="4"/>
  <c r="W48" i="2"/>
  <c r="X65" i="2"/>
  <c r="U33" i="2"/>
  <c r="E33" i="3" s="1"/>
  <c r="W39" i="2"/>
  <c r="W78" i="2"/>
  <c r="Y101" i="2"/>
  <c r="W112" i="2"/>
  <c r="Y117" i="2"/>
  <c r="W81" i="2"/>
  <c r="W43" i="2"/>
  <c r="Y77" i="2"/>
  <c r="Y106" i="2"/>
  <c r="Y112" i="2"/>
  <c r="W101" i="2"/>
  <c r="Y110" i="2"/>
  <c r="X89" i="2"/>
  <c r="W30" i="2"/>
  <c r="X30" i="2"/>
  <c r="Y114" i="2"/>
  <c r="U116" i="2"/>
  <c r="E116" i="3" s="1"/>
  <c r="X5" i="2"/>
  <c r="X13" i="2"/>
  <c r="W11" i="2"/>
  <c r="X104" i="2"/>
  <c r="W55" i="2"/>
  <c r="X87" i="2"/>
  <c r="X107" i="2"/>
  <c r="O99" i="4"/>
  <c r="O132" i="4"/>
  <c r="X52" i="2"/>
  <c r="X93" i="2"/>
  <c r="X79" i="2"/>
  <c r="Y88" i="2"/>
  <c r="U34" i="2"/>
  <c r="E34" i="3" s="1"/>
  <c r="U40" i="2"/>
  <c r="E40" i="3" s="1"/>
  <c r="W76" i="2"/>
  <c r="W94" i="2"/>
  <c r="W75" i="2"/>
  <c r="Y90" i="2"/>
  <c r="W109" i="2"/>
  <c r="W97" i="2"/>
  <c r="X101" i="2"/>
  <c r="W113" i="2"/>
  <c r="W104" i="2"/>
  <c r="W108" i="2"/>
  <c r="U24" i="2"/>
  <c r="E24" i="3" s="1"/>
  <c r="X44" i="2"/>
  <c r="O81" i="4"/>
  <c r="O87" i="4"/>
  <c r="O85" i="4"/>
  <c r="O86" i="4"/>
  <c r="O80" i="4"/>
  <c r="M63" i="4"/>
  <c r="O63" i="4"/>
  <c r="M53" i="4"/>
  <c r="O53" i="4"/>
  <c r="M72" i="4"/>
  <c r="O72" i="4"/>
  <c r="M68" i="4"/>
  <c r="O68" i="4"/>
  <c r="M65" i="4"/>
  <c r="O65" i="4"/>
  <c r="M61" i="4"/>
  <c r="O61" i="4"/>
  <c r="M87" i="4"/>
  <c r="M81" i="4"/>
  <c r="M75" i="4"/>
  <c r="O75" i="4"/>
  <c r="M71" i="4"/>
  <c r="O71" i="4"/>
  <c r="M67" i="4"/>
  <c r="O67" i="4"/>
  <c r="M59" i="4"/>
  <c r="O59" i="4"/>
  <c r="M76" i="4"/>
  <c r="O76" i="4"/>
  <c r="M85" i="4"/>
  <c r="M73" i="4"/>
  <c r="O73" i="4"/>
  <c r="M69" i="4"/>
  <c r="O69" i="4"/>
  <c r="M57" i="4"/>
  <c r="O57" i="4"/>
  <c r="M51" i="4"/>
  <c r="O51" i="4"/>
  <c r="M86" i="4"/>
  <c r="M80" i="4"/>
  <c r="M74" i="4"/>
  <c r="O74" i="4"/>
  <c r="M70" i="4"/>
  <c r="O70" i="4"/>
  <c r="M66" i="4"/>
  <c r="O66" i="4"/>
  <c r="M58" i="4"/>
  <c r="O58" i="4"/>
  <c r="M52" i="4"/>
  <c r="O52" i="4"/>
  <c r="M42" i="4"/>
  <c r="O42" i="4"/>
  <c r="H33" i="4"/>
  <c r="P33" i="4" s="1"/>
  <c r="H34" i="4"/>
  <c r="P34" i="4" s="1"/>
  <c r="H8" i="4"/>
  <c r="P8" i="4" s="1"/>
  <c r="H10" i="4"/>
  <c r="P10" i="4" s="1"/>
  <c r="H12" i="4"/>
  <c r="P12" i="4" s="1"/>
  <c r="H13" i="4"/>
  <c r="P13" i="4" s="1"/>
  <c r="H15" i="4"/>
  <c r="P15" i="4" s="1"/>
  <c r="H16" i="4"/>
  <c r="P16" i="4" s="1"/>
  <c r="H18" i="4"/>
  <c r="P18" i="4" s="1"/>
  <c r="H19" i="4"/>
  <c r="P19" i="4" s="1"/>
  <c r="H20" i="4"/>
  <c r="P20" i="4" s="1"/>
  <c r="H21" i="4"/>
  <c r="P21" i="4" s="1"/>
  <c r="H22" i="4"/>
  <c r="P22" i="4" s="1"/>
  <c r="H23" i="4"/>
  <c r="P23" i="4" s="1"/>
  <c r="H24" i="4"/>
  <c r="P24" i="4" s="1"/>
  <c r="H25" i="4"/>
  <c r="P25" i="4" s="1"/>
  <c r="H26" i="4"/>
  <c r="P26" i="4" s="1"/>
  <c r="H28" i="4"/>
  <c r="P28" i="4" s="1"/>
  <c r="H29" i="4"/>
  <c r="P29" i="4" s="1"/>
  <c r="H31" i="4"/>
  <c r="P31" i="4" s="1"/>
  <c r="P5" i="2"/>
  <c r="H7" i="4" s="1"/>
  <c r="P7" i="4" s="1"/>
  <c r="F8" i="4"/>
  <c r="F10" i="4"/>
  <c r="F12" i="4"/>
  <c r="F13" i="4"/>
  <c r="F15" i="4"/>
  <c r="F16" i="4"/>
  <c r="F18" i="4"/>
  <c r="F19" i="4"/>
  <c r="F20" i="4"/>
  <c r="F21" i="4"/>
  <c r="F22" i="4"/>
  <c r="F23" i="4"/>
  <c r="F24" i="4"/>
  <c r="F25" i="4"/>
  <c r="F26" i="4"/>
  <c r="F28" i="4"/>
  <c r="F29" i="4"/>
  <c r="F31" i="4"/>
  <c r="F33" i="4"/>
  <c r="F7" i="4"/>
  <c r="O10" i="4"/>
  <c r="O15" i="4"/>
  <c r="O16" i="4"/>
  <c r="O28" i="4"/>
  <c r="O29" i="4"/>
  <c r="O33" i="4"/>
  <c r="J30" i="4"/>
  <c r="J17" i="4"/>
  <c r="J11" i="4"/>
  <c r="J32" i="4"/>
  <c r="J27" i="4"/>
  <c r="J14" i="4"/>
  <c r="J9" i="4"/>
  <c r="J6" i="4"/>
  <c r="D18" i="4"/>
  <c r="E18" i="4"/>
  <c r="N18" i="4" s="1"/>
  <c r="D19" i="4"/>
  <c r="E19" i="4"/>
  <c r="N19" i="4" s="1"/>
  <c r="D20" i="4"/>
  <c r="E20" i="4"/>
  <c r="N20" i="4" s="1"/>
  <c r="D21" i="4"/>
  <c r="E21" i="4"/>
  <c r="N21" i="4" s="1"/>
  <c r="D22" i="4"/>
  <c r="D23" i="4"/>
  <c r="E23" i="4"/>
  <c r="N23" i="4" s="1"/>
  <c r="D24" i="4"/>
  <c r="E24" i="4"/>
  <c r="N24" i="4" s="1"/>
  <c r="D25" i="4"/>
  <c r="E25" i="4"/>
  <c r="N25" i="4" s="1"/>
  <c r="D26" i="4"/>
  <c r="E26" i="4"/>
  <c r="N26" i="4" s="1"/>
  <c r="D28" i="4"/>
  <c r="M28" i="4" s="1"/>
  <c r="E28" i="4"/>
  <c r="N28" i="4" s="1"/>
  <c r="D29" i="4"/>
  <c r="M29" i="4" s="1"/>
  <c r="E29" i="4"/>
  <c r="N29" i="4" s="1"/>
  <c r="D31" i="4"/>
  <c r="E31" i="4"/>
  <c r="N31" i="4" s="1"/>
  <c r="D33" i="4"/>
  <c r="M33" i="4" s="1"/>
  <c r="E33" i="4"/>
  <c r="N33" i="4" s="1"/>
  <c r="R5" i="2"/>
  <c r="S5" i="2"/>
  <c r="E22" i="4"/>
  <c r="N22" i="4" s="1"/>
  <c r="T5" i="2"/>
  <c r="D5" i="3" s="1"/>
  <c r="E5" i="3" s="1"/>
  <c r="A8" i="4"/>
  <c r="J8" i="4" s="1"/>
  <c r="B8" i="4"/>
  <c r="K8" i="4" s="1"/>
  <c r="C8" i="4"/>
  <c r="L8" i="4" s="1"/>
  <c r="A10" i="4"/>
  <c r="J10" i="4" s="1"/>
  <c r="B10" i="4"/>
  <c r="K10" i="4" s="1"/>
  <c r="C10" i="4"/>
  <c r="L10" i="4" s="1"/>
  <c r="A12" i="4"/>
  <c r="J12" i="4" s="1"/>
  <c r="B12" i="4"/>
  <c r="K12" i="4" s="1"/>
  <c r="C12" i="4"/>
  <c r="L12" i="4" s="1"/>
  <c r="A13" i="4"/>
  <c r="J13" i="4" s="1"/>
  <c r="B13" i="4"/>
  <c r="K13" i="4" s="1"/>
  <c r="C13" i="4"/>
  <c r="L13" i="4" s="1"/>
  <c r="A15" i="4"/>
  <c r="J15" i="4" s="1"/>
  <c r="B15" i="4"/>
  <c r="K15" i="4" s="1"/>
  <c r="C15" i="4"/>
  <c r="L15" i="4" s="1"/>
  <c r="A16" i="4"/>
  <c r="J16" i="4" s="1"/>
  <c r="B16" i="4"/>
  <c r="K16" i="4" s="1"/>
  <c r="C16" i="4"/>
  <c r="L16" i="4" s="1"/>
  <c r="A18" i="4"/>
  <c r="J18" i="4" s="1"/>
  <c r="B18" i="4"/>
  <c r="K18" i="4" s="1"/>
  <c r="C18" i="4"/>
  <c r="L18" i="4" s="1"/>
  <c r="A19" i="4"/>
  <c r="J19" i="4" s="1"/>
  <c r="B19" i="4"/>
  <c r="K19" i="4" s="1"/>
  <c r="C19" i="4"/>
  <c r="L19" i="4" s="1"/>
  <c r="A20" i="4"/>
  <c r="J20" i="4" s="1"/>
  <c r="B20" i="4"/>
  <c r="K20" i="4" s="1"/>
  <c r="C20" i="4"/>
  <c r="L20" i="4" s="1"/>
  <c r="A21" i="4"/>
  <c r="J21" i="4" s="1"/>
  <c r="B21" i="4"/>
  <c r="K21" i="4" s="1"/>
  <c r="C21" i="4"/>
  <c r="L21" i="4" s="1"/>
  <c r="A22" i="4"/>
  <c r="J22" i="4" s="1"/>
  <c r="B22" i="4"/>
  <c r="K22" i="4" s="1"/>
  <c r="C22" i="4"/>
  <c r="L22" i="4" s="1"/>
  <c r="A23" i="4"/>
  <c r="J23" i="4" s="1"/>
  <c r="B23" i="4"/>
  <c r="K23" i="4" s="1"/>
  <c r="C23" i="4"/>
  <c r="L23" i="4" s="1"/>
  <c r="A24" i="4"/>
  <c r="J24" i="4" s="1"/>
  <c r="B24" i="4"/>
  <c r="K24" i="4" s="1"/>
  <c r="C24" i="4"/>
  <c r="L24" i="4" s="1"/>
  <c r="A25" i="4"/>
  <c r="J25" i="4" s="1"/>
  <c r="B25" i="4"/>
  <c r="K25" i="4" s="1"/>
  <c r="C25" i="4"/>
  <c r="L25" i="4" s="1"/>
  <c r="A26" i="4"/>
  <c r="J26" i="4" s="1"/>
  <c r="B26" i="4"/>
  <c r="K26" i="4" s="1"/>
  <c r="C26" i="4"/>
  <c r="L26" i="4" s="1"/>
  <c r="A28" i="4"/>
  <c r="J28" i="4" s="1"/>
  <c r="B28" i="4"/>
  <c r="K28" i="4" s="1"/>
  <c r="C28" i="4"/>
  <c r="L28" i="4" s="1"/>
  <c r="A29" i="4"/>
  <c r="J29" i="4" s="1"/>
  <c r="B29" i="4"/>
  <c r="K29" i="4" s="1"/>
  <c r="C29" i="4"/>
  <c r="L29" i="4" s="1"/>
  <c r="A31" i="4"/>
  <c r="J31" i="4" s="1"/>
  <c r="B31" i="4"/>
  <c r="K31" i="4" s="1"/>
  <c r="C31" i="4"/>
  <c r="L31" i="4" s="1"/>
  <c r="A33" i="4"/>
  <c r="J33" i="4" s="1"/>
  <c r="B33" i="4"/>
  <c r="K33" i="4" s="1"/>
  <c r="C33" i="4"/>
  <c r="L33" i="4" s="1"/>
  <c r="C7" i="4"/>
  <c r="L7" i="4" s="1"/>
  <c r="B7" i="4"/>
  <c r="K7" i="4" s="1"/>
  <c r="A7" i="4"/>
  <c r="J7" i="4" s="1"/>
  <c r="W22" i="2" l="1"/>
  <c r="E22" i="3"/>
  <c r="W35" i="2"/>
  <c r="E35" i="3"/>
  <c r="W10" i="2"/>
  <c r="W61" i="2"/>
  <c r="X61" i="2"/>
  <c r="X21" i="2"/>
  <c r="X10" i="2"/>
  <c r="X35" i="2"/>
  <c r="W21" i="2"/>
  <c r="X22" i="2"/>
  <c r="W32" i="2"/>
  <c r="X32" i="2"/>
  <c r="W114" i="2"/>
  <c r="X114" i="2"/>
  <c r="X64" i="2"/>
  <c r="W64" i="2"/>
  <c r="W24" i="2"/>
  <c r="W33" i="2"/>
  <c r="Y5" i="2"/>
  <c r="W34" i="2"/>
  <c r="W116" i="2"/>
  <c r="X33" i="2"/>
  <c r="W40" i="2"/>
  <c r="X40" i="2"/>
  <c r="X24" i="2"/>
  <c r="X116" i="2"/>
  <c r="X34" i="2"/>
  <c r="M18" i="4"/>
  <c r="O18" i="4"/>
  <c r="M26" i="4"/>
  <c r="O26" i="4"/>
  <c r="M24" i="4"/>
  <c r="O24" i="4"/>
  <c r="M22" i="4"/>
  <c r="O22" i="4"/>
  <c r="M19" i="4"/>
  <c r="O19" i="4"/>
  <c r="M20" i="4"/>
  <c r="O20" i="4"/>
  <c r="M21" i="4"/>
  <c r="O21" i="4"/>
  <c r="M31" i="4"/>
  <c r="O31" i="4"/>
  <c r="M25" i="4"/>
  <c r="O25" i="4"/>
  <c r="M23" i="4"/>
  <c r="O23" i="4"/>
  <c r="E16" i="4"/>
  <c r="N16" i="4" s="1"/>
  <c r="E10" i="4"/>
  <c r="N10" i="4" s="1"/>
  <c r="D16" i="4"/>
  <c r="M16" i="4" s="1"/>
  <c r="E12" i="4"/>
  <c r="N12" i="4" s="1"/>
  <c r="D10" i="4"/>
  <c r="M10" i="4" s="1"/>
  <c r="E7" i="4"/>
  <c r="N7" i="4" s="1"/>
  <c r="E13" i="4"/>
  <c r="N13" i="4" s="1"/>
  <c r="D12" i="4"/>
  <c r="D15" i="4"/>
  <c r="M15" i="4" s="1"/>
  <c r="D8" i="4"/>
  <c r="D7" i="4"/>
  <c r="E15" i="4"/>
  <c r="N15" i="4" s="1"/>
  <c r="D13" i="4"/>
  <c r="E8" i="4"/>
  <c r="N8" i="4" s="1"/>
  <c r="M12" i="4" l="1"/>
  <c r="O12" i="4"/>
  <c r="M7" i="4"/>
  <c r="O7" i="4"/>
  <c r="M8" i="4"/>
  <c r="O8" i="4"/>
  <c r="M13" i="4"/>
  <c r="O13" i="4"/>
  <c r="D34" i="4"/>
  <c r="E34" i="4"/>
  <c r="L5" i="2"/>
  <c r="L4" i="2"/>
  <c r="M4" i="2"/>
  <c r="N4" i="2"/>
  <c r="O4" i="2"/>
  <c r="K3" i="2"/>
  <c r="K4" i="2"/>
  <c r="U4" i="2" s="1"/>
  <c r="H3" i="2"/>
  <c r="I3" i="2"/>
  <c r="J3" i="2"/>
  <c r="H4" i="2"/>
  <c r="S4" i="2" s="1"/>
  <c r="I4" i="2"/>
  <c r="T4" i="2" s="1"/>
  <c r="J4" i="2"/>
  <c r="A3" i="2"/>
  <c r="B3" i="2"/>
  <c r="C3" i="2"/>
  <c r="D3" i="2"/>
  <c r="E3" i="2"/>
  <c r="G3" i="2"/>
  <c r="A4" i="2"/>
  <c r="B4" i="2"/>
  <c r="C4" i="2"/>
  <c r="D4" i="2"/>
  <c r="E4" i="2"/>
  <c r="F4" i="2"/>
  <c r="G4" i="2"/>
  <c r="R4" i="2" s="1"/>
  <c r="A5" i="2"/>
  <c r="A5" i="3" s="1"/>
  <c r="B5" i="2"/>
  <c r="B5" i="3" s="1"/>
  <c r="C5" i="2"/>
  <c r="D5" i="2"/>
  <c r="E5" i="2"/>
</calcChain>
</file>

<file path=xl/sharedStrings.xml><?xml version="1.0" encoding="utf-8"?>
<sst xmlns="http://schemas.openxmlformats.org/spreadsheetml/2006/main" count="2110" uniqueCount="1048">
  <si>
    <t>21st July 1951</t>
  </si>
  <si>
    <t>W.I.Stanton</t>
  </si>
  <si>
    <t>SWILDONS HOLE</t>
  </si>
  <si>
    <t>Sta.</t>
  </si>
  <si>
    <t>Ht Rf</t>
  </si>
  <si>
    <t>Dp Fl</t>
  </si>
  <si>
    <t>Width L</t>
  </si>
  <si>
    <t>Width R</t>
  </si>
  <si>
    <t>Looking Forward</t>
  </si>
  <si>
    <t>FS</t>
  </si>
  <si>
    <t>BS</t>
  </si>
  <si>
    <t>Bearing</t>
  </si>
  <si>
    <t>Distance</t>
  </si>
  <si>
    <t>Fore Clino</t>
  </si>
  <si>
    <t>A</t>
  </si>
  <si>
    <t>B</t>
  </si>
  <si>
    <t>-</t>
  </si>
  <si>
    <t>4(19' in aven)</t>
  </si>
  <si>
    <t>C</t>
  </si>
  <si>
    <t>322 30</t>
  </si>
  <si>
    <t>Horz. Dist.</t>
  </si>
  <si>
    <t>Vert. Dist.</t>
  </si>
  <si>
    <t>Calc.</t>
  </si>
  <si>
    <t>D</t>
  </si>
  <si>
    <t>E</t>
  </si>
  <si>
    <t>F</t>
  </si>
  <si>
    <t>G</t>
  </si>
  <si>
    <t>H</t>
  </si>
  <si>
    <t>I</t>
  </si>
  <si>
    <t>J</t>
  </si>
  <si>
    <t>K</t>
  </si>
  <si>
    <t>L</t>
  </si>
  <si>
    <t>M</t>
  </si>
  <si>
    <t>N</t>
  </si>
  <si>
    <t>O</t>
  </si>
  <si>
    <t>P</t>
  </si>
  <si>
    <t>Q</t>
  </si>
  <si>
    <t>R</t>
  </si>
  <si>
    <t>T</t>
  </si>
  <si>
    <t>U</t>
  </si>
  <si>
    <t>S</t>
  </si>
  <si>
    <t>3 (30 in B.Place(?))</t>
  </si>
  <si>
    <t>192 30</t>
  </si>
  <si>
    <t>rise of 1.5 feet</t>
  </si>
  <si>
    <t>level</t>
  </si>
  <si>
    <t>fall of 4 feet</t>
  </si>
  <si>
    <t>rise of 4 feet</t>
  </si>
  <si>
    <t>fall of 1.7 feet</t>
  </si>
  <si>
    <t>Hor Dist.</t>
  </si>
  <si>
    <t>Vert Dist.</t>
  </si>
  <si>
    <t>Dp. Below sump I</t>
  </si>
  <si>
    <t>Notes</t>
  </si>
  <si>
    <t>fall of 2.5 feet</t>
  </si>
  <si>
    <t>To</t>
  </si>
  <si>
    <t>Tape</t>
  </si>
  <si>
    <t>Compass</t>
  </si>
  <si>
    <t>Clino</t>
  </si>
  <si>
    <t>;From</t>
  </si>
  <si>
    <t>Keeping Forwards and Back Bearings</t>
  </si>
  <si>
    <t>Foresight</t>
  </si>
  <si>
    <t>Backsight</t>
  </si>
  <si>
    <t>From</t>
  </si>
  <si>
    <t>Depth Change</t>
  </si>
  <si>
    <t>8 30</t>
  </si>
  <si>
    <t>Copy and Paste data from column J-P into Therion Centreline data block</t>
  </si>
  <si>
    <t>A is at the base of the cable spike on the downstream side of Sump I</t>
  </si>
  <si>
    <t>B is on a rock at upstream end of pool</t>
  </si>
  <si>
    <t>C is on edge of pool 10' before Duck I</t>
  </si>
  <si>
    <t>D is in stream. Big rock (start of New Series survey) 10' away at 350 (deg). Big passage starts as continuation of Howards Dig.</t>
  </si>
  <si>
    <t>At 40' the roof lowers suddenly to Creep I. The big Bedding Plane passage comes in on the right, from -5' to 40'</t>
  </si>
  <si>
    <t>Pots</t>
  </si>
  <si>
    <t>L is at foot of climb to Approach passage. Clay fill remains 6' up on left wall.</t>
  </si>
  <si>
    <t>Pots. Very pretty coral on left wall</t>
  </si>
  <si>
    <t>1.5 foot deep pool starts at P.</t>
  </si>
  <si>
    <t>Pool 2.5' deep at R, ends 15' on. Scalloping as in Goughs 1st Sandy Chamber.</t>
  </si>
  <si>
    <t>S is marked on wall. At 20' there is a muddy chamber overhead.</t>
  </si>
  <si>
    <t>#</t>
  </si>
  <si>
    <t>data normal from to tape compass backcompass clino ignoreall</t>
  </si>
  <si>
    <t>data diving from to tape compass backcompass depthchange ignoreall</t>
  </si>
  <si>
    <t>4 30</t>
  </si>
  <si>
    <t>A1</t>
  </si>
  <si>
    <t>B1</t>
  </si>
  <si>
    <t>C1</t>
  </si>
  <si>
    <t>D1</t>
  </si>
  <si>
    <t>A1 is far end of "Priddy Green" passage. At choke</t>
  </si>
  <si>
    <t>B1 is ent to P.G. pass, above stalagmite keloid (sp.?)</t>
  </si>
  <si>
    <t>Compass bearings magnetic 11(deg)30' W</t>
  </si>
  <si>
    <t>5th August 1951</t>
  </si>
  <si>
    <t>V</t>
  </si>
  <si>
    <t>W</t>
  </si>
  <si>
    <t>X</t>
  </si>
  <si>
    <t>Y</t>
  </si>
  <si>
    <t>i</t>
  </si>
  <si>
    <t>a</t>
  </si>
  <si>
    <t>b</t>
  </si>
  <si>
    <t>c</t>
  </si>
  <si>
    <t>d</t>
  </si>
  <si>
    <t>e</t>
  </si>
  <si>
    <t>f</t>
  </si>
  <si>
    <t>g</t>
  </si>
  <si>
    <t>h</t>
  </si>
  <si>
    <t>0.4 (12)</t>
  </si>
  <si>
    <t>3 (8 in aven)</t>
  </si>
  <si>
    <t>141 30</t>
  </si>
  <si>
    <t>132 10</t>
  </si>
  <si>
    <t>6 30</t>
  </si>
  <si>
    <t>186 30</t>
  </si>
  <si>
    <t>water level</t>
  </si>
  <si>
    <t>fall 0.7'</t>
  </si>
  <si>
    <t>fall 4 feet</t>
  </si>
  <si>
    <t>+</t>
  </si>
  <si>
    <t>On rocky bank.</t>
  </si>
  <si>
    <t>D1 to near side of Sump I 11.8'. D1 to far side of Sump I 18'. D1 is in pool at stake for cable.</t>
  </si>
  <si>
    <t>Lake begins as 10'. (Little sketch)</t>
  </si>
  <si>
    <t>Lake</t>
  </si>
  <si>
    <t>Bearing from 2' to right. W to near side Duck II = 3.5. W to far side Duck II = 20.4</t>
  </si>
  <si>
    <t>Y at lip of Sump II, 3" air space goes on 10 more</t>
  </si>
  <si>
    <t>(Little sketch). Total 1010'</t>
  </si>
  <si>
    <t>Sump on left at 41' feet</t>
  </si>
  <si>
    <t>Bearing from 3 feet to left</t>
  </si>
  <si>
    <t>Bearing from 2' to left. Iv is Muddy Sump. Dp below Sump I is 20.6 feet. Total 1127'</t>
  </si>
  <si>
    <t>a is on N.Side of passage just before Creep I -&gt; (sketch)</t>
  </si>
  <si>
    <t>(e) is where passage rejoins streamway. Stn 35 (p.52)-(e) is F.S. 234 (TRUE), Dist 18', Clino +45 (deg), HD 12.7, VD +12.7</t>
  </si>
  <si>
    <t>(i) is where passage gets too low. (some indistinct numbers follow. Too faint to read on logbook scan). Total 1207' (?)</t>
  </si>
  <si>
    <t>2 is on lip of Approach passage. Little passage starts 15 back.</t>
  </si>
  <si>
    <t>fall 2 feet</t>
  </si>
  <si>
    <t>fall 3.5 feet</t>
  </si>
  <si>
    <t>Little passage off to South from 4</t>
  </si>
  <si>
    <t>3 - 12 Trench up to 2 feet deep in floor of this passage</t>
  </si>
  <si>
    <t>Little passage goes uphill straight on</t>
  </si>
  <si>
    <t>Low creep at 4-10 feet. Chamber goes 15' in same line</t>
  </si>
  <si>
    <t>18 is in crack at top of "11 foot drop"</t>
  </si>
  <si>
    <t>Total = 1562'</t>
  </si>
  <si>
    <t>30th March 1952</t>
  </si>
  <si>
    <t>AA</t>
  </si>
  <si>
    <t>AB</t>
  </si>
  <si>
    <t>AC</t>
  </si>
  <si>
    <t>AD</t>
  </si>
  <si>
    <t>AE</t>
  </si>
  <si>
    <t>AF</t>
  </si>
  <si>
    <t>AG</t>
  </si>
  <si>
    <t>AH</t>
  </si>
  <si>
    <t>AI</t>
  </si>
  <si>
    <t>AJ</t>
  </si>
  <si>
    <t>AK</t>
  </si>
  <si>
    <t>AL</t>
  </si>
  <si>
    <t>AN</t>
  </si>
  <si>
    <t>AO</t>
  </si>
  <si>
    <t>AP</t>
  </si>
  <si>
    <t>AQ</t>
  </si>
  <si>
    <t>AR</t>
  </si>
  <si>
    <t>AS</t>
  </si>
  <si>
    <t>AT</t>
  </si>
  <si>
    <t>AU</t>
  </si>
  <si>
    <t>AY</t>
  </si>
  <si>
    <t>AW</t>
  </si>
  <si>
    <t>AX</t>
  </si>
  <si>
    <t>2nd April 1952</t>
  </si>
  <si>
    <t>5 to rock jam</t>
  </si>
  <si>
    <t>4 (cascade)</t>
  </si>
  <si>
    <t>5 to water</t>
  </si>
  <si>
    <t>293 40</t>
  </si>
  <si>
    <t>115 30</t>
  </si>
  <si>
    <t>277 50</t>
  </si>
  <si>
    <t>121 00</t>
  </si>
  <si>
    <t>290 00</t>
  </si>
  <si>
    <t>050 30</t>
  </si>
  <si>
    <t>313 00</t>
  </si>
  <si>
    <t>195 50</t>
  </si>
  <si>
    <t>292 10</t>
  </si>
  <si>
    <t>138 30</t>
  </si>
  <si>
    <t>286 00</t>
  </si>
  <si>
    <t>044 00</t>
  </si>
  <si>
    <t>113 40</t>
  </si>
  <si>
    <t>097 50</t>
  </si>
  <si>
    <t>110 00</t>
  </si>
  <si>
    <t>133 00</t>
  </si>
  <si>
    <t>192 50</t>
  </si>
  <si>
    <t>112 10</t>
  </si>
  <si>
    <t>106 00</t>
  </si>
  <si>
    <t>9 30</t>
  </si>
  <si>
    <t>0 30</t>
  </si>
  <si>
    <t>22 30</t>
  </si>
  <si>
    <t>9 40</t>
  </si>
  <si>
    <t>10 20</t>
  </si>
  <si>
    <t>3 00</t>
  </si>
  <si>
    <t>11 20</t>
  </si>
  <si>
    <t>4 50</t>
  </si>
  <si>
    <t>14 30</t>
  </si>
  <si>
    <t>Cono &amp; Roy Blewett</t>
  </si>
  <si>
    <t>126 40</t>
  </si>
  <si>
    <t>025 20</t>
  </si>
  <si>
    <t>094 00</t>
  </si>
  <si>
    <t>012 20</t>
  </si>
  <si>
    <t>321 40</t>
  </si>
  <si>
    <t>108 30</t>
  </si>
  <si>
    <t>128 00</t>
  </si>
  <si>
    <t>243 50</t>
  </si>
  <si>
    <t>316 00</t>
  </si>
  <si>
    <t>169 30</t>
  </si>
  <si>
    <t>245 30</t>
  </si>
  <si>
    <t>259 40</t>
  </si>
  <si>
    <t>306 40</t>
  </si>
  <si>
    <t>063 50</t>
  </si>
  <si>
    <t>136 00</t>
  </si>
  <si>
    <t>349 30</t>
  </si>
  <si>
    <t>065 30</t>
  </si>
  <si>
    <t>079 40</t>
  </si>
  <si>
    <t>26 00</t>
  </si>
  <si>
    <t>12 00</t>
  </si>
  <si>
    <t>10 30</t>
  </si>
  <si>
    <t>28 30</t>
  </si>
  <si>
    <t>9 00</t>
  </si>
  <si>
    <t>27 30</t>
  </si>
  <si>
    <t>23 30</t>
  </si>
  <si>
    <t>13 30</t>
  </si>
  <si>
    <t>14th August '52</t>
  </si>
  <si>
    <t>Colin</t>
  </si>
  <si>
    <t>Contd from P.49. Upper Mud Series</t>
  </si>
  <si>
    <t>3 (30)</t>
  </si>
  <si>
    <t>355 00</t>
  </si>
  <si>
    <t>091 00</t>
  </si>
  <si>
    <t>302 00</t>
  </si>
  <si>
    <t>172 40</t>
  </si>
  <si>
    <t>248 00</t>
  </si>
  <si>
    <t>046 00</t>
  </si>
  <si>
    <t>293 00</t>
  </si>
  <si>
    <t>061 00</t>
  </si>
  <si>
    <t>015 30</t>
  </si>
  <si>
    <t>242 00</t>
  </si>
  <si>
    <t>340 00</t>
  </si>
  <si>
    <t>239 00</t>
  </si>
  <si>
    <t>182 00</t>
  </si>
  <si>
    <t>339 00</t>
  </si>
  <si>
    <t>341 00</t>
  </si>
  <si>
    <t>175 00</t>
  </si>
  <si>
    <t>122 00</t>
  </si>
  <si>
    <t>068 00</t>
  </si>
  <si>
    <t>113 00</t>
  </si>
  <si>
    <t>195 30</t>
  </si>
  <si>
    <t>160 00</t>
  </si>
  <si>
    <t>159 00</t>
  </si>
  <si>
    <t>161 00</t>
  </si>
  <si>
    <t>1 00</t>
  </si>
  <si>
    <t>23 00</t>
  </si>
  <si>
    <t>10 00</t>
  </si>
  <si>
    <t>18 00</t>
  </si>
  <si>
    <t>fall 1 foot</t>
  </si>
  <si>
    <t>rise 1 foot</t>
  </si>
  <si>
    <t>Ri</t>
  </si>
  <si>
    <t>Rii</t>
  </si>
  <si>
    <t>Riii</t>
  </si>
  <si>
    <t>Riv</t>
  </si>
  <si>
    <t>Reformatted Angles</t>
  </si>
  <si>
    <t>metres</t>
  </si>
  <si>
    <t>decimal degrees</t>
  </si>
  <si>
    <t>AA on a big high rock</t>
  </si>
  <si>
    <t>AB on big rock. Stream sinks below boulders.</t>
  </si>
  <si>
    <t>AC on dirty great big rock.</t>
  </si>
  <si>
    <t>Stream rises from boulders.</t>
  </si>
  <si>
    <t>Stream sinks below boulders.</t>
  </si>
  <si>
    <t>AF above waterfall.</t>
  </si>
  <si>
    <t>AK is below hole into Upper Grottos. Asellus (sp?) present.</t>
  </si>
  <si>
    <t>Total = 1,918'</t>
  </si>
  <si>
    <t>AL is start of St. Pauls survey</t>
  </si>
  <si>
    <t>AN is at S. end of lower big pot.</t>
  </si>
  <si>
    <t>AV</t>
  </si>
  <si>
    <t>AV is in middle of upper big pot.</t>
  </si>
  <si>
    <t>AY is on stumpy stalagmite on cascade on E side of passage.</t>
  </si>
  <si>
    <t>Total = 2,188'</t>
  </si>
  <si>
    <t>Total = 2,642'</t>
  </si>
  <si>
    <t>18 is in crack at top of 11 Foot Drop.</t>
  </si>
  <si>
    <t>(sketch of 18 - 24)</t>
  </si>
  <si>
    <t>(sketch of 24 - 35)</t>
  </si>
  <si>
    <t>35 = A on p.25 = Big rock by D on p.46 (Top of)</t>
  </si>
  <si>
    <t>Bearing from FS/BS</t>
  </si>
  <si>
    <t>p. 45-46</t>
  </si>
  <si>
    <t>(=PDF p.49-50)</t>
  </si>
  <si>
    <t>SWILDONS HOLE SURVEY</t>
  </si>
  <si>
    <t xml:space="preserve"> CONTINUED</t>
  </si>
  <si>
    <t>(=PDF p.51-54)</t>
  </si>
  <si>
    <t>p. 47-50</t>
  </si>
  <si>
    <t>p. 51-52</t>
  </si>
  <si>
    <t>(=PDF p.55-56)</t>
  </si>
  <si>
    <t>ft/m</t>
  </si>
  <si>
    <t>Black hole</t>
  </si>
  <si>
    <t>158 00</t>
  </si>
  <si>
    <t>011 00</t>
  </si>
  <si>
    <t>282 00</t>
  </si>
  <si>
    <t>063 30</t>
  </si>
  <si>
    <t>284 00</t>
  </si>
  <si>
    <t>083 00</t>
  </si>
  <si>
    <t>296 30</t>
  </si>
  <si>
    <t>074 30</t>
  </si>
  <si>
    <t>337 00</t>
  </si>
  <si>
    <t>117 00</t>
  </si>
  <si>
    <t>308 00</t>
  </si>
  <si>
    <t>163 30</t>
  </si>
  <si>
    <t>020 00</t>
  </si>
  <si>
    <t>186 00</t>
  </si>
  <si>
    <t>102 30</t>
  </si>
  <si>
    <t>264 00</t>
  </si>
  <si>
    <t>338 00</t>
  </si>
  <si>
    <t>102 00</t>
  </si>
  <si>
    <t>104 00</t>
  </si>
  <si>
    <t>116 30</t>
  </si>
  <si>
    <t>157 00</t>
  </si>
  <si>
    <t>200 00</t>
  </si>
  <si>
    <t>282 30</t>
  </si>
  <si>
    <t>12 30</t>
  </si>
  <si>
    <t>90 00</t>
  </si>
  <si>
    <t>16 30</t>
  </si>
  <si>
    <t>27 00</t>
  </si>
  <si>
    <t>5 00</t>
  </si>
  <si>
    <t>8 00</t>
  </si>
  <si>
    <t>Nov. 23rd '52</t>
  </si>
  <si>
    <t>Jack Broadley</t>
  </si>
  <si>
    <t>Short Dry Way - Entrance</t>
  </si>
  <si>
    <t>EC</t>
  </si>
  <si>
    <t>EB</t>
  </si>
  <si>
    <t>EA</t>
  </si>
  <si>
    <t>DZ</t>
  </si>
  <si>
    <t>DY</t>
  </si>
  <si>
    <t>DX</t>
  </si>
  <si>
    <t>DW</t>
  </si>
  <si>
    <t>DV</t>
  </si>
  <si>
    <t>DQ</t>
  </si>
  <si>
    <t>DP</t>
  </si>
  <si>
    <t>DO</t>
  </si>
  <si>
    <t>DN</t>
  </si>
  <si>
    <t>DM</t>
  </si>
  <si>
    <t>DL</t>
  </si>
  <si>
    <t>DK</t>
  </si>
  <si>
    <t>DJ</t>
  </si>
  <si>
    <t>DI</t>
  </si>
  <si>
    <t>DH</t>
  </si>
  <si>
    <t>21st Dec '52</t>
  </si>
  <si>
    <t>Howard &amp; Jock.</t>
  </si>
  <si>
    <t>Short Dry Way to 40' Pot</t>
  </si>
  <si>
    <t>DG</t>
  </si>
  <si>
    <t>DF</t>
  </si>
  <si>
    <t>DE</t>
  </si>
  <si>
    <t>DD</t>
  </si>
  <si>
    <t>DC</t>
  </si>
  <si>
    <t>DB</t>
  </si>
  <si>
    <t>DA</t>
  </si>
  <si>
    <t>344 30</t>
  </si>
  <si>
    <t>259 00</t>
  </si>
  <si>
    <t>277 00</t>
  </si>
  <si>
    <t>348 30</t>
  </si>
  <si>
    <t>346 00</t>
  </si>
  <si>
    <t>304 00</t>
  </si>
  <si>
    <t>103 00</t>
  </si>
  <si>
    <t>216 00</t>
  </si>
  <si>
    <t>162 00</t>
  </si>
  <si>
    <t>119 00</t>
  </si>
  <si>
    <t>261 00</t>
  </si>
  <si>
    <t>112 00</t>
  </si>
  <si>
    <t>138 00</t>
  </si>
  <si>
    <t>283 00</t>
  </si>
  <si>
    <t>036 00</t>
  </si>
  <si>
    <t>342 00</t>
  </si>
  <si>
    <t>299 00</t>
  </si>
  <si>
    <t>227 00</t>
  </si>
  <si>
    <t>081 00</t>
  </si>
  <si>
    <t>292 00</t>
  </si>
  <si>
    <t>318 00</t>
  </si>
  <si>
    <t>6 00</t>
  </si>
  <si>
    <t>317 00</t>
  </si>
  <si>
    <t>319 30</t>
  </si>
  <si>
    <t>087 00</t>
  </si>
  <si>
    <t>145 30</t>
  </si>
  <si>
    <t>089 00</t>
  </si>
  <si>
    <t>267 00</t>
  </si>
  <si>
    <t>325 30</t>
  </si>
  <si>
    <t>269 00</t>
  </si>
  <si>
    <t>30 00</t>
  </si>
  <si>
    <t>2 00</t>
  </si>
  <si>
    <t>21 00</t>
  </si>
  <si>
    <t>27 = 27 of p.52</t>
  </si>
  <si>
    <t>(sketch of 36-54)</t>
  </si>
  <si>
    <t>46 marked by candle 4' beyond lip of Black Hole</t>
  </si>
  <si>
    <t>"Dry" passage starts 3' back.</t>
  </si>
  <si>
    <t>Dry passage enters 2' on North. 53 is marked by a candle 1' below (.) on roof. 54 is H2O level in sump.</t>
  </si>
  <si>
    <t>Closed on levels to 1.9 feet.  Not bad! Total 2,208 (? faint)</t>
  </si>
  <si>
    <t>EC is on dimple in projecting rock 10' below entrance on E.</t>
  </si>
  <si>
    <t>(sketch from Ent. EC-DO)</t>
  </si>
  <si>
    <t>(sketch of Short Dry Way DN-DH)</t>
  </si>
  <si>
    <t>is 2" candle on smoke BM below smoke (.)</t>
  </si>
  <si>
    <t>Entrance to Old Grotto.</t>
  </si>
  <si>
    <t>(=PDF p.57-60)</t>
  </si>
  <si>
    <t>p. 53-56</t>
  </si>
  <si>
    <t>CZ</t>
  </si>
  <si>
    <t>CY</t>
  </si>
  <si>
    <t>CX</t>
  </si>
  <si>
    <t>CW</t>
  </si>
  <si>
    <t>CV</t>
  </si>
  <si>
    <t>CU</t>
  </si>
  <si>
    <t>CT</t>
  </si>
  <si>
    <t>CS</t>
  </si>
  <si>
    <t>CR</t>
  </si>
  <si>
    <t>CQ</t>
  </si>
  <si>
    <t>CP</t>
  </si>
  <si>
    <t>CO</t>
  </si>
  <si>
    <t>CN</t>
  </si>
  <si>
    <t>CM</t>
  </si>
  <si>
    <t>202 20</t>
  </si>
  <si>
    <t>069 00</t>
  </si>
  <si>
    <t>192 00</t>
  </si>
  <si>
    <t>259 30</t>
  </si>
  <si>
    <t>321 00</t>
  </si>
  <si>
    <t>335 00</t>
  </si>
  <si>
    <t>030 00</t>
  </si>
  <si>
    <t>073 00</t>
  </si>
  <si>
    <t>144 00</t>
  </si>
  <si>
    <t>171 00</t>
  </si>
  <si>
    <t>168 00</t>
  </si>
  <si>
    <t>249 00</t>
  </si>
  <si>
    <t>210 00</t>
  </si>
  <si>
    <t>253 00</t>
  </si>
  <si>
    <t>324 00</t>
  </si>
  <si>
    <t>351 00</t>
  </si>
  <si>
    <t>348 00</t>
  </si>
  <si>
    <t>(sketch of CR-CZ-DA-DH)</t>
  </si>
  <si>
    <t>CM = On stalagmite projection over 40 ft pt.</t>
  </si>
  <si>
    <t>8th Feb '53</t>
  </si>
  <si>
    <t>Barnes' Loop to Forty</t>
  </si>
  <si>
    <t>AZ</t>
  </si>
  <si>
    <t>30 (in alcove)</t>
  </si>
  <si>
    <t>10 (in alcove)</t>
  </si>
  <si>
    <t>259 20</t>
  </si>
  <si>
    <t>079 20</t>
  </si>
  <si>
    <t>30 30</t>
  </si>
  <si>
    <t>BA</t>
  </si>
  <si>
    <t>4 (in alcove)</t>
  </si>
  <si>
    <t>113 30</t>
  </si>
  <si>
    <t>21 20</t>
  </si>
  <si>
    <t>BB</t>
  </si>
  <si>
    <t>179 30</t>
  </si>
  <si>
    <t>359 30</t>
  </si>
  <si>
    <t>BC</t>
  </si>
  <si>
    <t>011 50</t>
  </si>
  <si>
    <t>3' before little portal</t>
  </si>
  <si>
    <t>BD</t>
  </si>
  <si>
    <t>17 40</t>
  </si>
  <si>
    <t>BE</t>
  </si>
  <si>
    <t>333 00</t>
  </si>
  <si>
    <t>6' before junction with rift</t>
  </si>
  <si>
    <t>BF</t>
  </si>
  <si>
    <t>203 30</t>
  </si>
  <si>
    <t>023 30</t>
  </si>
  <si>
    <t>14 00</t>
  </si>
  <si>
    <t>over dark rift</t>
  </si>
  <si>
    <t>BG</t>
  </si>
  <si>
    <t>091 50</t>
  </si>
  <si>
    <t>15 00</t>
  </si>
  <si>
    <t>corner</t>
  </si>
  <si>
    <t>BH</t>
  </si>
  <si>
    <t>324 20</t>
  </si>
  <si>
    <t>144 20</t>
  </si>
  <si>
    <t>11 30</t>
  </si>
  <si>
    <t>BI</t>
  </si>
  <si>
    <t>104 10</t>
  </si>
  <si>
    <t>W.R. At stream level nil(?)</t>
  </si>
  <si>
    <t>BJ</t>
  </si>
  <si>
    <t>10 (in alcove above)</t>
  </si>
  <si>
    <t>212 20</t>
  </si>
  <si>
    <t>032 20</t>
  </si>
  <si>
    <t>39 00</t>
  </si>
  <si>
    <t>BK</t>
  </si>
  <si>
    <t>BL</t>
  </si>
  <si>
    <t>277 30</t>
  </si>
  <si>
    <t>097 30</t>
  </si>
  <si>
    <t>BM</t>
  </si>
  <si>
    <t>7 00</t>
  </si>
  <si>
    <t>BN</t>
  </si>
  <si>
    <t>351 20</t>
  </si>
  <si>
    <t>171 20</t>
  </si>
  <si>
    <t>BO</t>
  </si>
  <si>
    <t>102 20</t>
  </si>
  <si>
    <t>BP</t>
  </si>
  <si>
    <t>137 00</t>
  </si>
  <si>
    <t>6 50</t>
  </si>
  <si>
    <t>BQ</t>
  </si>
  <si>
    <t>152 30</t>
  </si>
  <si>
    <t>BR</t>
  </si>
  <si>
    <t>313 10</t>
  </si>
  <si>
    <t>133 10</t>
  </si>
  <si>
    <t>1 30</t>
  </si>
  <si>
    <t>1 (in alcove)</t>
  </si>
  <si>
    <t>137 30</t>
  </si>
  <si>
    <t>BT</t>
  </si>
  <si>
    <t>149 00</t>
  </si>
  <si>
    <t>BU</t>
  </si>
  <si>
    <t>265 50</t>
  </si>
  <si>
    <t>085 50</t>
  </si>
  <si>
    <t>14 20</t>
  </si>
  <si>
    <t>BV</t>
  </si>
  <si>
    <t>116 00</t>
  </si>
  <si>
    <t>BW</t>
  </si>
  <si>
    <t>266 20</t>
  </si>
  <si>
    <t>086 20</t>
  </si>
  <si>
    <t>BX</t>
  </si>
  <si>
    <t>32 30</t>
  </si>
  <si>
    <t>BY</t>
  </si>
  <si>
    <t>326 00</t>
  </si>
  <si>
    <t>146 00</t>
  </si>
  <si>
    <t>24 30</t>
  </si>
  <si>
    <t>BZ</t>
  </si>
  <si>
    <t>125 20</t>
  </si>
  <si>
    <t>CA</t>
  </si>
  <si>
    <t>352 00</t>
  </si>
  <si>
    <t>172 00</t>
  </si>
  <si>
    <t>2 15</t>
  </si>
  <si>
    <t>CB</t>
  </si>
  <si>
    <t>125 00</t>
  </si>
  <si>
    <t>4 00</t>
  </si>
  <si>
    <t>CC</t>
  </si>
  <si>
    <t>284 10</t>
  </si>
  <si>
    <t>16 00</t>
  </si>
  <si>
    <t>CD</t>
  </si>
  <si>
    <t>137 10</t>
  </si>
  <si>
    <t>7 10</t>
  </si>
  <si>
    <t>CE</t>
  </si>
  <si>
    <t>124 00</t>
  </si>
  <si>
    <t>19 00</t>
  </si>
  <si>
    <t>CF</t>
  </si>
  <si>
    <t>091 40</t>
  </si>
  <si>
    <t>CG</t>
  </si>
  <si>
    <t>294 30</t>
  </si>
  <si>
    <t>114 30</t>
  </si>
  <si>
    <t>CH</t>
  </si>
  <si>
    <t>014 20</t>
  </si>
  <si>
    <t>CI</t>
  </si>
  <si>
    <t>169 00</t>
  </si>
  <si>
    <t>349 00</t>
  </si>
  <si>
    <t>CJ</t>
  </si>
  <si>
    <t>023 00</t>
  </si>
  <si>
    <t>CK</t>
  </si>
  <si>
    <t>328 00</t>
  </si>
  <si>
    <t>CL</t>
  </si>
  <si>
    <t>272 00</t>
  </si>
  <si>
    <t>092 00</t>
  </si>
  <si>
    <t>71 00</t>
  </si>
  <si>
    <t>100 00</t>
  </si>
  <si>
    <t>048 00</t>
  </si>
  <si>
    <t>184 00</t>
  </si>
  <si>
    <t>56 30</t>
  </si>
  <si>
    <t>229 40</t>
  </si>
  <si>
    <t>30 15</t>
  </si>
  <si>
    <t>203 40</t>
  </si>
  <si>
    <t>19 40</t>
  </si>
  <si>
    <t>305 10</t>
  </si>
  <si>
    <t>2 30</t>
  </si>
  <si>
    <t>above lower double pot</t>
  </si>
  <si>
    <t>low height due to stalagmite choke in high aven</t>
  </si>
  <si>
    <t>below boss in Shrine</t>
  </si>
  <si>
    <t>bloody horrible</t>
  </si>
  <si>
    <t>beside hook at top of 20' Drop. W.L. as sta 1'</t>
  </si>
  <si>
    <t>W.L. at sta 1'</t>
  </si>
  <si>
    <t>side of pot at entrance of passage</t>
  </si>
  <si>
    <t>side of pot</t>
  </si>
  <si>
    <t>lip of pot</t>
  </si>
  <si>
    <t>see p.55</t>
  </si>
  <si>
    <t>1st March 1953</t>
  </si>
  <si>
    <t>Phil, Don, Oliver, Colin</t>
  </si>
  <si>
    <t>Trats Grotto into St Pauls System</t>
  </si>
  <si>
    <t>See p.51 Below Trats Grotto</t>
  </si>
  <si>
    <t>Top of pit</t>
  </si>
  <si>
    <t>Foot of cascade</t>
  </si>
  <si>
    <t>(small sketch a-e)</t>
  </si>
  <si>
    <t>049 40</t>
  </si>
  <si>
    <t>125 10</t>
  </si>
  <si>
    <t>228 00</t>
  </si>
  <si>
    <t>(=PDF p.65-68)</t>
  </si>
  <si>
    <t>p. 61-64</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</si>
  <si>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</si>
  <si>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</si>
  <si>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</si>
  <si>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</si>
  <si>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</si>
  <si>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</si>
  <si>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</si>
  <si>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</si>
  <si>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</si>
  <si>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</si>
  <si>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</si>
  <si>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</si>
  <si>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</si>
  <si>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</si>
  <si>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</si>
  <si>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</si>
  <si>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</si>
  <si>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</si>
  <si>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</si>
  <si>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</si>
  <si>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</si>
  <si>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</si>
  <si>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</si>
  <si>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</si>
  <si>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</si>
  <si>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</si>
  <si>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</si>
  <si>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</si>
  <si>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</si>
  <si>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</si>
  <si>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</si>
  <si>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</si>
  <si>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</si>
  <si>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</si>
  <si>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</si>
  <si>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</si>
  <si>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</si>
  <si>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</si>
  <si>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5 (10 in aven)</t>
  </si>
  <si>
    <t>15 (25 in passage)</t>
  </si>
  <si>
    <t>013 00</t>
  </si>
  <si>
    <t>002 00</t>
  </si>
  <si>
    <t>007 00</t>
  </si>
  <si>
    <t>194 00</t>
  </si>
  <si>
    <t>187 00</t>
  </si>
  <si>
    <t>251 00</t>
  </si>
  <si>
    <t>027 30</t>
  </si>
  <si>
    <t>14th March 1953</t>
  </si>
  <si>
    <t>Howard</t>
  </si>
  <si>
    <t>Damascus</t>
  </si>
  <si>
    <t>250 00</t>
  </si>
  <si>
    <t>320 00</t>
  </si>
  <si>
    <t>246 00</t>
  </si>
  <si>
    <t>255 00</t>
  </si>
  <si>
    <t>165 40</t>
  </si>
  <si>
    <t>147 00</t>
  </si>
  <si>
    <t>202 00</t>
  </si>
  <si>
    <t>263 00</t>
  </si>
  <si>
    <t>253 30</t>
  </si>
  <si>
    <t>097 00</t>
  </si>
  <si>
    <t>099 00</t>
  </si>
  <si>
    <t>101 00</t>
  </si>
  <si>
    <t>080 00</t>
  </si>
  <si>
    <t>114 00</t>
  </si>
  <si>
    <t>026 00</t>
  </si>
  <si>
    <t>003 00</t>
  </si>
  <si>
    <t>022 00</t>
  </si>
  <si>
    <t>330 00</t>
  </si>
  <si>
    <t>272 30</t>
  </si>
  <si>
    <t>327 00</t>
  </si>
  <si>
    <t>212 30</t>
  </si>
  <si>
    <t>353 00</t>
  </si>
  <si>
    <t>112 15</t>
  </si>
  <si>
    <t>322 00</t>
  </si>
  <si>
    <t>8 45</t>
  </si>
  <si>
    <t>5 30</t>
  </si>
  <si>
    <t>0 40</t>
  </si>
  <si>
    <t>20 30</t>
  </si>
  <si>
    <t>0 15</t>
  </si>
  <si>
    <t>22 00</t>
  </si>
  <si>
    <t>55 00</t>
  </si>
  <si>
    <t>50 00</t>
  </si>
  <si>
    <t>up &amp; down 2'</t>
  </si>
  <si>
    <t>(r=56.8)</t>
  </si>
  <si>
    <t>(u=61.6)</t>
  </si>
  <si>
    <t>(ah=60.6)</t>
  </si>
  <si>
    <t>sump=</t>
  </si>
  <si>
    <t>On Olivers boulder</t>
  </si>
  <si>
    <t>(sketch e-i)</t>
  </si>
  <si>
    <t>(sketch j-o)</t>
  </si>
  <si>
    <t>(sketch o-t)</t>
  </si>
  <si>
    <t>Sump 15' on at 280deg true WL 5 WR 4</t>
  </si>
  <si>
    <t>(sketch t-u) u-&gt; Howards Loop</t>
  </si>
  <si>
    <t>v in a cross rift 4' from Pearly Gate</t>
  </si>
  <si>
    <t>(sketch w-x)</t>
  </si>
  <si>
    <t>Bottom of drop. View into Damascus</t>
  </si>
  <si>
    <t>Above pool</t>
  </si>
  <si>
    <t>Bearing 238 true into Howards Loop</t>
  </si>
  <si>
    <t>(sketch ab-ac)</t>
  </si>
  <si>
    <t>15' aven explored by Oliver just before station</t>
  </si>
  <si>
    <t>(sketch ag) 6" above water. Sump level 60.1</t>
  </si>
  <si>
    <t>Near side of duck (in dry weather)</t>
  </si>
  <si>
    <t>Far side of duck (in dry weather)</t>
  </si>
  <si>
    <t>(sketch at-au) descends at 15 or 20 degrees. i.e. -9 feet vertical. Sump?</t>
  </si>
  <si>
    <t>2nd May 1953</t>
  </si>
  <si>
    <t>Pretty Way</t>
  </si>
  <si>
    <t>FA</t>
  </si>
  <si>
    <t>FB</t>
  </si>
  <si>
    <t>FC</t>
  </si>
  <si>
    <t>FD</t>
  </si>
  <si>
    <t>FE</t>
  </si>
  <si>
    <t>FF</t>
  </si>
  <si>
    <t>FG</t>
  </si>
  <si>
    <t>FH</t>
  </si>
  <si>
    <t>FI</t>
  </si>
  <si>
    <t>FJ</t>
  </si>
  <si>
    <t>FK</t>
  </si>
  <si>
    <t>FL</t>
  </si>
  <si>
    <t>FM</t>
  </si>
  <si>
    <t>FN</t>
  </si>
  <si>
    <t>FO</t>
  </si>
  <si>
    <t>FP</t>
  </si>
  <si>
    <t>FQ</t>
  </si>
  <si>
    <t>FR</t>
  </si>
  <si>
    <t>FT</t>
  </si>
  <si>
    <t>FU</t>
  </si>
  <si>
    <t>FV</t>
  </si>
  <si>
    <t>FW</t>
  </si>
  <si>
    <t>10 (under bridge)</t>
  </si>
  <si>
    <t>358 10</t>
  </si>
  <si>
    <t>358 00</t>
  </si>
  <si>
    <t>155 30</t>
  </si>
  <si>
    <t>287 10</t>
  </si>
  <si>
    <t>340 30</t>
  </si>
  <si>
    <t>319 00</t>
  </si>
  <si>
    <t>252 30</t>
  </si>
  <si>
    <t>171 30</t>
  </si>
  <si>
    <t>144 10</t>
  </si>
  <si>
    <t>188 00</t>
  </si>
  <si>
    <t>232 10</t>
  </si>
  <si>
    <t>310 00</t>
  </si>
  <si>
    <t>240 00</t>
  </si>
  <si>
    <t>238 00</t>
  </si>
  <si>
    <t>088 00</t>
  </si>
  <si>
    <t>351 30</t>
  </si>
  <si>
    <t>324 10</t>
  </si>
  <si>
    <t>008 00</t>
  </si>
  <si>
    <t>052 10</t>
  </si>
  <si>
    <t>130 00</t>
  </si>
  <si>
    <t>060 00</t>
  </si>
  <si>
    <t>058 00</t>
  </si>
  <si>
    <t>292 15</t>
  </si>
  <si>
    <t>268 00</t>
  </si>
  <si>
    <t>252 00</t>
  </si>
  <si>
    <t>271 40</t>
  </si>
  <si>
    <t>29 30</t>
  </si>
  <si>
    <t>13 00</t>
  </si>
  <si>
    <t>18 30</t>
  </si>
  <si>
    <t>11 00</t>
  </si>
  <si>
    <t>17 00</t>
  </si>
  <si>
    <t>Oliver</t>
  </si>
  <si>
    <t>16th May '53</t>
  </si>
  <si>
    <t>ED</t>
  </si>
  <si>
    <t>EE</t>
  </si>
  <si>
    <t>EF</t>
  </si>
  <si>
    <t>EG</t>
  </si>
  <si>
    <t>EH</t>
  </si>
  <si>
    <t>Wet Way</t>
  </si>
  <si>
    <t>24th May '53</t>
  </si>
  <si>
    <t>Oliver (+ Richard)</t>
  </si>
  <si>
    <t>FX</t>
  </si>
  <si>
    <t>FY</t>
  </si>
  <si>
    <t>FZ</t>
  </si>
  <si>
    <t>GA</t>
  </si>
  <si>
    <t>GR</t>
  </si>
  <si>
    <t>GB</t>
  </si>
  <si>
    <t>GC</t>
  </si>
  <si>
    <t>GD</t>
  </si>
  <si>
    <t>GE</t>
  </si>
  <si>
    <t>GF</t>
  </si>
  <si>
    <t>GG</t>
  </si>
  <si>
    <t>oxbow</t>
  </si>
  <si>
    <t>042 00</t>
  </si>
  <si>
    <t>190 30</t>
  </si>
  <si>
    <t>035 00</t>
  </si>
  <si>
    <t>173 00</t>
  </si>
  <si>
    <t>079 00</t>
  </si>
  <si>
    <t>024 30</t>
  </si>
  <si>
    <t>229 10</t>
  </si>
  <si>
    <t>324 30</t>
  </si>
  <si>
    <t>193 00</t>
  </si>
  <si>
    <t>156 30</t>
  </si>
  <si>
    <t>166 00</t>
  </si>
  <si>
    <t>222 00</t>
  </si>
  <si>
    <t>215 00</t>
  </si>
  <si>
    <t>204 30</t>
  </si>
  <si>
    <t>144 30</t>
  </si>
  <si>
    <t>336 30</t>
  </si>
  <si>
    <t>45 15</t>
  </si>
  <si>
    <t>12 40</t>
  </si>
  <si>
    <t>7 40</t>
  </si>
  <si>
    <t>15 30</t>
  </si>
  <si>
    <t>DO within one foot of DO on p.53</t>
  </si>
  <si>
    <t>Corner of Kenneys dig passage 0 - 0.7</t>
  </si>
  <si>
    <t>3" candle on wee stalagmite</t>
  </si>
  <si>
    <t>Under chock stones on angular rock</t>
  </si>
  <si>
    <t>On 8" stalagmite at corner</t>
  </si>
  <si>
    <t>On top of bloody great rock</t>
  </si>
  <si>
    <t>Entrance to 2nd Boulder Ch. (sketch of FI-FK)</t>
  </si>
  <si>
    <t>Side pass at 20', enters BC 12' from FK</t>
  </si>
  <si>
    <t>On wee stalagmite in S. corner 1st BC</t>
  </si>
  <si>
    <t>In BC. Side passage (wet) at 39'. 20' long at 155deg. Passage splits at 24'</t>
  </si>
  <si>
    <t>On stal boss in roof passage</t>
  </si>
  <si>
    <t>Mousehole passage 33' at 087deg from FO</t>
  </si>
  <si>
    <t>Ent to Old Grot on bridge</t>
  </si>
  <si>
    <t>1' further on at 45deg to right of last sta. (sketch of this DA relative to "DA boss")</t>
  </si>
  <si>
    <t>Boss opposite squeeze. Passage to choke 15' at 160deg</t>
  </si>
  <si>
    <t>Total = 6,448'</t>
  </si>
  <si>
    <t>ED is the obtuse angle in the grating (sketch of grating marking ED)</t>
  </si>
  <si>
    <t>Depth Sump II = 400.9' = 378' O.D.</t>
  </si>
  <si>
    <t>Alt entrance = 778.8 O.D. = 289' to fall to Cheddar (sketch of EE-EH with some surface features lines?)</t>
  </si>
  <si>
    <t>EF is 5' above ground level</t>
  </si>
  <si>
    <t>EG is 4.5' up; EH is 4' up.</t>
  </si>
  <si>
    <t>See p.67 above</t>
  </si>
  <si>
    <t>(sketch FB,FX,FY,FZ,GA,GR,GB,GC,GD)</t>
  </si>
  <si>
    <t>(sketches of  GD-GG and GG-GF-EA))</t>
  </si>
  <si>
    <t>(=PDF p.69-72)</t>
  </si>
  <si>
    <t>GH</t>
  </si>
  <si>
    <t>GI</t>
  </si>
  <si>
    <t>GJ</t>
  </si>
  <si>
    <t>GK</t>
  </si>
  <si>
    <t>GL</t>
  </si>
  <si>
    <t>GM</t>
  </si>
  <si>
    <t>GN</t>
  </si>
  <si>
    <t>GO</t>
  </si>
  <si>
    <t>GP</t>
  </si>
  <si>
    <t>GQ</t>
  </si>
  <si>
    <t>093 30</t>
  </si>
  <si>
    <t>111 00</t>
  </si>
  <si>
    <t>088 30</t>
  </si>
  <si>
    <t>108 00</t>
  </si>
  <si>
    <t>148 00</t>
  </si>
  <si>
    <t>121 10</t>
  </si>
  <si>
    <t>092 30</t>
  </si>
  <si>
    <t>316 30</t>
  </si>
  <si>
    <t>355 30</t>
  </si>
  <si>
    <t>273 00</t>
  </si>
  <si>
    <t>093 00</t>
  </si>
  <si>
    <t>136 30</t>
  </si>
  <si>
    <t>066 00</t>
  </si>
  <si>
    <t>175 30</t>
  </si>
  <si>
    <t>25 30</t>
  </si>
  <si>
    <t>24 00</t>
  </si>
  <si>
    <t>3 30</t>
  </si>
  <si>
    <t>20 00</t>
  </si>
  <si>
    <t>19 30</t>
  </si>
  <si>
    <t>p. 65-69</t>
  </si>
  <si>
    <t>See p.56</t>
  </si>
  <si>
    <t>Vert error 0.7' in 298' = 0.23%</t>
  </si>
  <si>
    <t>Sketch marks GP as 'stream on stalagmite'</t>
  </si>
  <si>
    <t>Sketch marks GQ as 'on boss'</t>
  </si>
  <si>
    <t>Vert error 0.1' in 670' = 0.015%!</t>
  </si>
  <si>
    <t>195 00</t>
  </si>
  <si>
    <t>015 00</t>
  </si>
  <si>
    <t>133 30</t>
  </si>
  <si>
    <t>p. 71-72</t>
  </si>
  <si>
    <t>012 30</t>
  </si>
  <si>
    <t>357 00</t>
  </si>
  <si>
    <t>203 00</t>
  </si>
  <si>
    <t>165 00</t>
  </si>
  <si>
    <t>345 00</t>
  </si>
  <si>
    <t>3 and 12</t>
  </si>
  <si>
    <t>006 30</t>
  </si>
  <si>
    <t>180 00</t>
  </si>
  <si>
    <t>000 00</t>
  </si>
  <si>
    <t>221 30</t>
  </si>
  <si>
    <t>041 30</t>
  </si>
  <si>
    <t>005 00</t>
  </si>
  <si>
    <t>1 to corner</t>
  </si>
  <si>
    <t>019 00</t>
  </si>
  <si>
    <t>280 00</t>
  </si>
  <si>
    <t>176 00</t>
  </si>
  <si>
    <t>325 00</t>
  </si>
  <si>
    <t>145 00</t>
  </si>
  <si>
    <t>157 30</t>
  </si>
  <si>
    <t>283 30</t>
  </si>
  <si>
    <t>103 30</t>
  </si>
  <si>
    <t>140 00</t>
  </si>
  <si>
    <t>139 00</t>
  </si>
  <si>
    <t>074 00</t>
  </si>
  <si>
    <t>6 to foot of slope</t>
  </si>
  <si>
    <t>10 to corner</t>
  </si>
  <si>
    <t>211 00</t>
  </si>
  <si>
    <t>031 00</t>
  </si>
  <si>
    <t>(=PDF p.73-74)</t>
  </si>
  <si>
    <t>(=PDF p.71-72)</t>
  </si>
  <si>
    <t>p. 69-70</t>
  </si>
  <si>
    <t>stalagmite 5</t>
  </si>
  <si>
    <t>3 rocks</t>
  </si>
  <si>
    <t>018 00</t>
  </si>
  <si>
    <t>26 30</t>
  </si>
  <si>
    <t>This spreadsheet was designed for entering and converting the survey data from Willie Stanton's survey notebooks into digital data which could be processed by Survex and Therion cave survey programs. The philosopy for the data entry is to retain as close to the original format of all data as possible at the data entry stage. This enables the data in the spreadsheet to be easily identified with the corresponding data in the original survey notebooks, for cross checking. The spreadsheet is organised into a number of worksheets as described below.</t>
  </si>
  <si>
    <t>Raw Data</t>
  </si>
  <si>
    <t>Interpreted Data</t>
  </si>
  <si>
    <t>Survex Formatted</t>
  </si>
  <si>
    <t>Therion Formatted</t>
  </si>
  <si>
    <t>http://www.mcra.org.uk/logbooks/?dir=Willie%20Stanton%2FSurvey%20Notes</t>
  </si>
  <si>
    <t>The original survey notebooks were obtained as scanned documents in PDF format from the MCRA website:</t>
  </si>
  <si>
    <t>This spreadsheet is stored in the BCA Cave Registry Data Archive:</t>
  </si>
  <si>
    <t>http://cave-registry.org.uk/</t>
  </si>
  <si>
    <t>This sheet is where the raw data entry is being made. The data is entered in columns in as close as possible to the format written in the original notebooks. Page numbers for the original notebooks are specified in addition to the actual page number from the source PDF documents to help indicate the source pages of the data.</t>
  </si>
  <si>
    <t>This sheet contains data in normal survex format for cutting and pasting into Survex text files for processing. All data is converted into metric decimal units on this worksheet.</t>
  </si>
  <si>
    <t>This sheet contains the data reformatted for Therion survey data files. As much of the original formatting as possible is retained here so that the data in the Therion data files is easier to match to the original survey notebooks as possible.</t>
  </si>
  <si>
    <t>Totals (unclear in scan)(7,005'?) then (7445'?)</t>
  </si>
  <si>
    <t>This sheet is where the data interpretation is done, converting different formatting of numbers into numeric data which the spreadsheet can do operations on. E.g. Angles given in degrees-seconds are converted into decimal degrees. Clino readings for legs where a vertical drop was quoted rather than a clino angle have the clino angle calculated from the other data for the leg. Cells with calculated values using different formulae are coloured differently to help see where data is being derived from (e.g. calculated clino reading as green instead of blue for interpreted clino reading determined from degrees and minutes). 
This sheet also contains check-sum calculations ('calc' columns) to help look for data errors. Vertical and horizontal distances are calculated and compared to the values entered in the Raw Data sheet from the notebooks, and if these differ significantly then the calculated values are coloured red to highlight possible errors in data entry (or in the original source data).
Some length values in the original notes appear to be horizontal distance (where a vertical drop is noted instead of a clino reading), but some are the true distance between stations. When the error check-sum detects these, the interpreted length of the leg is calculated from the horiztonal and vertical distances given (and the cell is coloured green to indicate this alternative formula has been used).</t>
  </si>
  <si>
    <t>Depth below sump 1</t>
  </si>
  <si>
    <t>CHECKED TO HERE!</t>
  </si>
  <si>
    <t xml:space="preserve">&lt;- calc. depth of other side of lake </t>
  </si>
  <si>
    <t>&lt;-Errors in original notes calcs.</t>
  </si>
  <si>
    <t>&lt;-Some numbers in notes suggest calc. values are not in line with correct stations on this page for above rows.</t>
  </si>
  <si>
    <t>B1 ('beta' in original notes) is station B1 of page 45, at entrance to "P.G." passage</t>
  </si>
  <si>
    <t>&lt;- 1ft different to depth written in notes for same station on p.45)</t>
  </si>
  <si>
    <t xml:space="preserve">Luke </t>
  </si>
  <si>
    <t>(a little surface tie up)</t>
  </si>
  <si>
    <t>&lt;- minor error in calc values in original notes</t>
  </si>
  <si>
    <t>&lt;- Notes say it is within 1 foot of station it is equated to</t>
  </si>
  <si>
    <t>&lt;- Surface survey calc values do not make sense</t>
  </si>
  <si>
    <t>Beasts (or Pearls? Not clear in scan) seen here.    Total = 650'</t>
  </si>
  <si>
    <t>Name Too faint to read. 'Black?' hole to 'Paradise?'. Sketch contains 'Calcutta' at  start and 'Sore Knees Creep' near the end.</t>
  </si>
  <si>
    <t>August 30th 1953</t>
  </si>
  <si>
    <t>(sketch T-U-V-W)  New Grottoes</t>
  </si>
  <si>
    <t>21-22nd April 1957</t>
  </si>
  <si>
    <t>Paradise Regained, Mud Sump to Blue Pencil Passage</t>
  </si>
  <si>
    <t>Mag Var 10(deg) 35' W</t>
  </si>
  <si>
    <t>Chris Hawkes</t>
  </si>
  <si>
    <t>15 in aven</t>
  </si>
  <si>
    <t>20 in double passage</t>
  </si>
  <si>
    <t>14 in passage</t>
  </si>
  <si>
    <t>Drop</t>
  </si>
  <si>
    <t>12 to choke</t>
  </si>
  <si>
    <t>7 to aven</t>
  </si>
  <si>
    <t>6 in fault</t>
  </si>
  <si>
    <t>262 45</t>
  </si>
  <si>
    <t>262 00</t>
  </si>
  <si>
    <t>033 20</t>
  </si>
  <si>
    <t>185 10</t>
  </si>
  <si>
    <t>323 20</t>
  </si>
  <si>
    <t>161 30</t>
  </si>
  <si>
    <t>296 40</t>
  </si>
  <si>
    <t>139 40</t>
  </si>
  <si>
    <t>115 00</t>
  </si>
  <si>
    <t>155 00</t>
  </si>
  <si>
    <t>056 40</t>
  </si>
  <si>
    <t>247 00</t>
  </si>
  <si>
    <t>068 30</t>
  </si>
  <si>
    <t>231 00</t>
  </si>
  <si>
    <t>312 00</t>
  </si>
  <si>
    <t>076 00</t>
  </si>
  <si>
    <t>124 40</t>
  </si>
  <si>
    <t>134 00</t>
  </si>
  <si>
    <t>254 00</t>
  </si>
  <si>
    <t>281 00</t>
  </si>
  <si>
    <t>147 15</t>
  </si>
  <si>
    <t>021 30</t>
  </si>
  <si>
    <t>113 10</t>
  </si>
  <si>
    <t>167 00</t>
  </si>
  <si>
    <t>271 30</t>
  </si>
  <si>
    <t>009 30</t>
  </si>
  <si>
    <t>213 20</t>
  </si>
  <si>
    <t>143 20</t>
  </si>
  <si>
    <t>116 40</t>
  </si>
  <si>
    <t>295 00</t>
  </si>
  <si>
    <t>236 40</t>
  </si>
  <si>
    <t>248 30</t>
  </si>
  <si>
    <t>256 00</t>
  </si>
  <si>
    <t>304 40</t>
  </si>
  <si>
    <t>314 00</t>
  </si>
  <si>
    <t>191 50</t>
  </si>
  <si>
    <t>327 15</t>
  </si>
  <si>
    <t>293 10</t>
  </si>
  <si>
    <t>347 00</t>
  </si>
  <si>
    <t>38 20</t>
  </si>
  <si>
    <t>7 30</t>
  </si>
  <si>
    <t>49 00</t>
  </si>
  <si>
    <t>41 00</t>
  </si>
  <si>
    <t>zero</t>
  </si>
  <si>
    <t>8 20</t>
  </si>
  <si>
    <t>20 40</t>
  </si>
  <si>
    <t>ag on page 65</t>
  </si>
  <si>
    <t>Near side of pool in Mud sump</t>
  </si>
  <si>
    <t>Far side of pool in Mud sump</t>
  </si>
  <si>
    <t>Foot of Mud Shute</t>
  </si>
  <si>
    <t>Over 12' Drop. Candle put 1.1' lower for clino</t>
  </si>
  <si>
    <t>Double passage 2' on</t>
  </si>
  <si>
    <t>On rock rib</t>
  </si>
  <si>
    <t>Passage (small) on left at 6'</t>
  </si>
  <si>
    <t>Stn 124 marked by double ring on roof</t>
  </si>
  <si>
    <t>p. 73-74</t>
  </si>
  <si>
    <t>(=PDF p.75-76)</t>
  </si>
  <si>
    <t>10 (22 in aven)</t>
  </si>
  <si>
    <t>knob on roof 4 feet from entrance pit of Blue Pencil Passage</t>
  </si>
  <si>
    <t>084 20</t>
  </si>
  <si>
    <t>007 30</t>
  </si>
  <si>
    <t>252 15</t>
  </si>
  <si>
    <t>052 00</t>
  </si>
  <si>
    <t>094 10</t>
  </si>
  <si>
    <t>149 15</t>
  </si>
  <si>
    <t>042 20</t>
  </si>
  <si>
    <t>264 20</t>
  </si>
  <si>
    <t>072 15</t>
  </si>
  <si>
    <t>274 10</t>
  </si>
  <si>
    <t>329 15</t>
  </si>
  <si>
    <t>33 20</t>
  </si>
  <si>
    <t>Alt/ OD</t>
  </si>
  <si>
    <t>1.1 difference in calc drop using clino because candle placed 1.1 lower for clino. Instead of clino reading, use drop of -2.1</t>
  </si>
  <si>
    <t>Location</t>
  </si>
  <si>
    <t>Lat</t>
  </si>
  <si>
    <t>Lon</t>
  </si>
  <si>
    <t>OSGB:Easting</t>
  </si>
  <si>
    <t>OSGB:Northing</t>
  </si>
  <si>
    <t>Bearing OS</t>
  </si>
  <si>
    <t>Priddy Pool</t>
  </si>
  <si>
    <t>Centre of Swildons survey</t>
  </si>
  <si>
    <t>Southerly extent of survey</t>
  </si>
  <si>
    <t>Calc. angle (grid bearing) for True North</t>
  </si>
  <si>
    <t>SWILDONS TRUE NORTH LINE NORTH</t>
  </si>
  <si>
    <t>SWILDONS TRUE NORTH LINE SOUTH</t>
  </si>
  <si>
    <t>Magnetic deviations calculated from</t>
  </si>
  <si>
    <t>http://www.ngdc.noaa.gov/geomag/declination.shtml</t>
  </si>
  <si>
    <t>Date</t>
  </si>
  <si>
    <t>NOAA_x000D_
mag to True</t>
  </si>
  <si>
    <t>Latitude:    N 51.25594 Longitude:    W 2.67496</t>
  </si>
  <si>
    <t>Therion grid convergence value</t>
  </si>
  <si>
    <t>Survex declination _x000D_
to adjust from _x000D_
Mag to OS Grid</t>
  </si>
  <si>
    <t>(skipped surface survey to Priddy Green dig and back)</t>
  </si>
  <si>
    <t>p. 75-76</t>
  </si>
  <si>
    <t>(=PDF p.77-78)</t>
  </si>
  <si>
    <t>May 22 1960</t>
  </si>
  <si>
    <t>Howard, Chris Hawkes, Derek Ford</t>
  </si>
  <si>
    <t>Side Passages in Paradise Regained</t>
  </si>
  <si>
    <t>Readings mag. 11(deg) W</t>
  </si>
  <si>
    <t>6 to mousehole</t>
  </si>
  <si>
    <t>165 30</t>
  </si>
  <si>
    <t>061 30</t>
  </si>
  <si>
    <t>142 00</t>
  </si>
  <si>
    <t>up Olivers 'ole</t>
  </si>
  <si>
    <t>Passage 20' at 127 deg</t>
  </si>
  <si>
    <t>4' to dig</t>
  </si>
  <si>
    <t>054 30</t>
  </si>
  <si>
    <t>041 00</t>
  </si>
  <si>
    <t>90?</t>
  </si>
  <si>
    <t>14 ? (estimate)</t>
  </si>
  <si>
    <t>25 00</t>
  </si>
  <si>
    <t>34 30</t>
  </si>
  <si>
    <t>July 12th 1960</t>
  </si>
  <si>
    <t>Derek Ford</t>
  </si>
  <si>
    <t>Side Passages in Paradise Regained - Maypole Series</t>
  </si>
  <si>
    <t>var 11(deg) W</t>
  </si>
  <si>
    <t>choke</t>
  </si>
  <si>
    <t>3(20)</t>
  </si>
  <si>
    <t>243 00</t>
  </si>
  <si>
    <t>076 30</t>
  </si>
  <si>
    <t>251 40</t>
  </si>
  <si>
    <t>048 30</t>
  </si>
  <si>
    <t>104 30</t>
  </si>
  <si>
    <t>294 00</t>
  </si>
  <si>
    <t>162 30</t>
  </si>
  <si>
    <t>274 00</t>
  </si>
  <si>
    <t>063 00</t>
  </si>
  <si>
    <t>071 40</t>
  </si>
  <si>
    <t>42 00</t>
  </si>
  <si>
    <t>gravel choke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</si>
</sst>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dd\-mmm\-yyyy"/>
  </numFmts>
  <fonts count="8" x14ac:knownFonts="1">
    <font>
      <sz val="11"/>
      <color theme="1"/>
      <name val="Calibri"/>
      <family val="2"/>
      <scheme val="minor"/>
    </font>
    <font>
      <b/>
      <sz val="11"/>
      <color theme="1"/>
      <name val="Calibri"/>
      <family val="2"/>
      <scheme val="minor"/>
    </font>
    <font>
      <sz val="11"/>
      <color rgb="FF0000FF"/>
      <name val="Calibri"/>
      <family val="2"/>
      <scheme val="minor"/>
    </font>
    <font>
      <sz val="11"/>
      <color rgb="FFFF0000"/>
      <name val="Calibri"/>
      <family val="2"/>
      <scheme val="minor"/>
    </font>
    <font>
      <sz val="11"/>
      <color rgb="FF00B050"/>
      <name val="Calibri"/>
      <family val="2"/>
      <scheme val="minor"/>
    </font>
    <font>
      <u/>
      <sz val="11"/>
      <color theme="10"/>
      <name val="Calibri"/>
      <family val="2"/>
      <scheme val="minor"/>
    </font>
    <font>
      <sz val="11"/>
      <color theme="6" tint="-0.249977111117893"/>
      <name val="Calibri"/>
      <family val="2"/>
      <scheme val="minor"/>
    </font>
    <font>
      <sz val="11"/>
      <color theme="9" tint="-0.249977111117893"/>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4">
    <xf numFmtId="0" fontId="0" fillId="0" borderId="0" xfId="0"/>
    <xf numFmtId="0" fontId="1" fillId="0" borderId="0" xfId="0" applyFont="1"/>
    <xf numFmtId="2" fontId="0" fillId="0" borderId="0" xfId="0" applyNumberFormat="1"/>
    <xf numFmtId="0" fontId="2" fillId="0" borderId="0" xfId="0" applyFont="1"/>
    <xf numFmtId="164" fontId="2" fillId="0" borderId="0" xfId="0" applyNumberFormat="1" applyFont="1"/>
    <xf numFmtId="0" fontId="0" fillId="0" borderId="0" xfId="0" applyFont="1"/>
    <xf numFmtId="0" fontId="0" fillId="0" borderId="0" xfId="0" applyFont="1" applyAlignment="1">
      <alignment horizontal="right"/>
    </xf>
    <xf numFmtId="0" fontId="0" fillId="0" borderId="0" xfId="0" applyAlignment="1">
      <alignment horizontal="right"/>
    </xf>
    <xf numFmtId="0" fontId="3" fillId="0" borderId="0" xfId="0" applyFont="1"/>
    <xf numFmtId="2" fontId="4" fillId="0" borderId="0" xfId="0" applyNumberFormat="1" applyFont="1"/>
    <xf numFmtId="1" fontId="0" fillId="0" borderId="0" xfId="0" applyNumberFormat="1" applyAlignment="1">
      <alignment horizontal="right"/>
    </xf>
    <xf numFmtId="164" fontId="0" fillId="0" borderId="0" xfId="0" applyNumberFormat="1" applyAlignment="1">
      <alignment horizontal="right"/>
    </xf>
    <xf numFmtId="0" fontId="0" fillId="0" borderId="0" xfId="0" applyNumberFormat="1"/>
    <xf numFmtId="0" fontId="0" fillId="0" borderId="0" xfId="0" applyAlignment="1">
      <alignment wrapText="1"/>
    </xf>
    <xf numFmtId="0" fontId="1" fillId="0" borderId="0" xfId="0" applyFont="1" applyAlignment="1">
      <alignment wrapText="1"/>
    </xf>
    <xf numFmtId="0" fontId="5" fillId="0" borderId="0" xfId="1"/>
    <xf numFmtId="0" fontId="4" fillId="0" borderId="0" xfId="0" applyNumberFormat="1" applyFont="1"/>
    <xf numFmtId="0" fontId="2" fillId="0" borderId="0" xfId="0" applyFont="1" applyAlignment="1">
      <alignment wrapText="1"/>
    </xf>
    <xf numFmtId="0" fontId="6" fillId="0" borderId="0" xfId="0" applyFont="1"/>
    <xf numFmtId="0" fontId="2" fillId="0" borderId="0" xfId="0" applyNumberFormat="1" applyFont="1"/>
    <xf numFmtId="1" fontId="7" fillId="0" borderId="0" xfId="0" applyNumberFormat="1" applyFont="1" applyAlignment="1">
      <alignment horizontal="right"/>
    </xf>
    <xf numFmtId="165" fontId="0" fillId="0" borderId="0" xfId="0" applyNumberFormat="1"/>
    <xf numFmtId="0" fontId="1" fillId="0" borderId="0" xfId="0" applyFont="1" applyAlignment="1">
      <alignment horizontal="center"/>
    </xf>
    <xf numFmtId="0" fontId="0" fillId="0" borderId="0" xfId="0" applyAlignment="1">
      <alignment horizontal="center"/>
    </xf>
  </cellXfs>
  <cellStyles count="2">
    <cellStyle name="Hyperlink" xfId="1" builtinId="8"/>
    <cellStyle name="Normal" xfId="0" builtinId="0"/>
  </cellStyles>
  <dxfs count="15">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cave-registry.org.uk/" TargetMode="External"/><Relationship Id="rId1" Type="http://schemas.openxmlformats.org/officeDocument/2006/relationships/hyperlink" Target="http://www.mcra.org.uk/logbooks/?dir=Willie%20Stanton%2FSurvey%20No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topLeftCell="A4" workbookViewId="0">
      <selection activeCell="A7" sqref="A7"/>
    </sheetView>
  </sheetViews>
  <sheetFormatPr defaultRowHeight="15" x14ac:dyDescent="0.25"/>
  <cols>
    <col min="1" max="1" width="118.85546875" customWidth="1"/>
  </cols>
  <sheetData>
    <row r="1" spans="1:1" ht="75" x14ac:dyDescent="0.25">
      <c r="A1" s="13" t="s">
        <v>877</v>
      </c>
    </row>
    <row r="2" spans="1:1" x14ac:dyDescent="0.25">
      <c r="A2" s="13"/>
    </row>
    <row r="3" spans="1:1" x14ac:dyDescent="0.25">
      <c r="A3" s="14" t="s">
        <v>878</v>
      </c>
    </row>
    <row r="4" spans="1:1" ht="45" x14ac:dyDescent="0.25">
      <c r="A4" s="13" t="s">
        <v>886</v>
      </c>
    </row>
    <row r="5" spans="1:1" x14ac:dyDescent="0.25">
      <c r="A5" s="13"/>
    </row>
    <row r="6" spans="1:1" x14ac:dyDescent="0.25">
      <c r="A6" s="14" t="s">
        <v>879</v>
      </c>
    </row>
    <row r="7" spans="1:1" ht="180" x14ac:dyDescent="0.25">
      <c r="A7" s="13" t="s">
        <v>890</v>
      </c>
    </row>
    <row r="8" spans="1:1" x14ac:dyDescent="0.25">
      <c r="A8" s="13"/>
    </row>
    <row r="9" spans="1:1" x14ac:dyDescent="0.25">
      <c r="A9" s="14" t="s">
        <v>880</v>
      </c>
    </row>
    <row r="10" spans="1:1" ht="30" x14ac:dyDescent="0.25">
      <c r="A10" s="13" t="s">
        <v>887</v>
      </c>
    </row>
    <row r="11" spans="1:1" x14ac:dyDescent="0.25">
      <c r="A11" s="13"/>
    </row>
    <row r="12" spans="1:1" x14ac:dyDescent="0.25">
      <c r="A12" s="14" t="s">
        <v>881</v>
      </c>
    </row>
    <row r="13" spans="1:1" ht="30" x14ac:dyDescent="0.25">
      <c r="A13" s="13" t="s">
        <v>888</v>
      </c>
    </row>
    <row r="15" spans="1:1" x14ac:dyDescent="0.25">
      <c r="A15" s="13" t="s">
        <v>883</v>
      </c>
    </row>
    <row r="16" spans="1:1" x14ac:dyDescent="0.25">
      <c r="A16" s="15" t="s">
        <v>882</v>
      </c>
    </row>
    <row r="18" spans="1:1" x14ac:dyDescent="0.25">
      <c r="A18" t="s">
        <v>884</v>
      </c>
    </row>
    <row r="19" spans="1:1" x14ac:dyDescent="0.25">
      <c r="A19" s="15" t="s">
        <v>885</v>
      </c>
    </row>
  </sheetData>
  <hyperlinks>
    <hyperlink ref="A16" r:id="rId1"/>
    <hyperlink ref="A19" r:id="rId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3"/>
  <sheetViews>
    <sheetView tabSelected="1" zoomScale="80" zoomScaleNormal="80" workbookViewId="0">
      <pane xSplit="2" ySplit="4" topLeftCell="C446" activePane="bottomRight" state="frozen"/>
      <selection pane="topRight" activeCell="C1" sqref="C1"/>
      <selection pane="bottomLeft" activeCell="A5" sqref="A5"/>
      <selection pane="bottomRight" activeCell="K474" sqref="K474"/>
    </sheetView>
  </sheetViews>
  <sheetFormatPr defaultRowHeight="15" x14ac:dyDescent="0.25"/>
  <cols>
    <col min="1" max="1" width="14.5703125" customWidth="1"/>
    <col min="2" max="2" width="11.42578125" bestFit="1" customWidth="1"/>
    <col min="3" max="6" width="9.140625" customWidth="1"/>
    <col min="11" max="11" width="13.85546875" bestFit="1" customWidth="1"/>
    <col min="12" max="12" width="1.85546875" customWidth="1"/>
  </cols>
  <sheetData>
    <row r="1" spans="1:16" x14ac:dyDescent="0.25">
      <c r="A1" s="1" t="s">
        <v>276</v>
      </c>
      <c r="B1" s="1" t="s">
        <v>277</v>
      </c>
      <c r="F1" s="1"/>
      <c r="G1" s="1"/>
      <c r="H1" s="1"/>
      <c r="I1" s="1"/>
      <c r="J1" s="1"/>
      <c r="K1" s="1"/>
    </row>
    <row r="2" spans="1:16" x14ac:dyDescent="0.25">
      <c r="A2" s="1" t="s">
        <v>0</v>
      </c>
      <c r="B2" s="1" t="s">
        <v>1</v>
      </c>
      <c r="C2" s="1" t="s">
        <v>2</v>
      </c>
      <c r="D2" s="1"/>
      <c r="G2" s="1"/>
      <c r="H2" s="1"/>
      <c r="I2" s="1"/>
      <c r="J2" s="1"/>
      <c r="K2" s="1"/>
      <c r="M2" t="s">
        <v>86</v>
      </c>
    </row>
    <row r="3" spans="1:16" x14ac:dyDescent="0.25">
      <c r="A3" s="1"/>
      <c r="B3" s="1"/>
      <c r="C3" s="1"/>
      <c r="D3" s="1"/>
      <c r="E3" s="22" t="s">
        <v>8</v>
      </c>
      <c r="F3" s="22"/>
      <c r="G3" s="1"/>
      <c r="H3" s="1"/>
      <c r="I3" s="1"/>
      <c r="J3" s="1"/>
      <c r="K3" s="1"/>
    </row>
    <row r="4" spans="1:16" x14ac:dyDescent="0.25">
      <c r="A4" s="1" t="s">
        <v>3</v>
      </c>
      <c r="B4" s="1" t="s">
        <v>3</v>
      </c>
      <c r="C4" s="1" t="s">
        <v>4</v>
      </c>
      <c r="D4" s="1" t="s">
        <v>5</v>
      </c>
      <c r="E4" s="1" t="s">
        <v>6</v>
      </c>
      <c r="F4" s="1" t="s">
        <v>7</v>
      </c>
      <c r="G4" s="1" t="s">
        <v>9</v>
      </c>
      <c r="H4" s="1" t="s">
        <v>10</v>
      </c>
      <c r="I4" s="1" t="s">
        <v>11</v>
      </c>
      <c r="J4" s="1" t="s">
        <v>12</v>
      </c>
      <c r="K4" s="1" t="s">
        <v>13</v>
      </c>
      <c r="M4" s="1" t="s">
        <v>48</v>
      </c>
      <c r="N4" s="1" t="s">
        <v>49</v>
      </c>
      <c r="O4" s="1" t="s">
        <v>50</v>
      </c>
      <c r="P4" s="1" t="s">
        <v>51</v>
      </c>
    </row>
    <row r="5" spans="1:16" x14ac:dyDescent="0.25">
      <c r="A5" s="1" t="s">
        <v>14</v>
      </c>
      <c r="B5" s="5" t="s">
        <v>15</v>
      </c>
      <c r="C5" s="6">
        <v>20</v>
      </c>
      <c r="D5" s="6" t="s">
        <v>16</v>
      </c>
      <c r="E5" s="6">
        <v>4</v>
      </c>
      <c r="F5" s="6" t="s">
        <v>17</v>
      </c>
      <c r="G5" s="6" t="s">
        <v>16</v>
      </c>
      <c r="H5" s="6">
        <v>103</v>
      </c>
      <c r="I5" s="6">
        <v>283</v>
      </c>
      <c r="J5" s="6">
        <v>21</v>
      </c>
      <c r="K5" s="6" t="s">
        <v>63</v>
      </c>
      <c r="M5" s="6">
        <v>20.8</v>
      </c>
      <c r="N5" s="6">
        <v>3.1</v>
      </c>
      <c r="P5" t="s">
        <v>65</v>
      </c>
    </row>
    <row r="6" spans="1:16" x14ac:dyDescent="0.25">
      <c r="A6" s="1" t="s">
        <v>15</v>
      </c>
      <c r="B6" s="5" t="s">
        <v>18</v>
      </c>
      <c r="C6" s="6">
        <v>6</v>
      </c>
      <c r="D6" s="6">
        <v>3.5</v>
      </c>
      <c r="E6" s="6">
        <v>3</v>
      </c>
      <c r="F6" s="6">
        <v>6</v>
      </c>
      <c r="G6" s="6" t="s">
        <v>19</v>
      </c>
      <c r="H6" s="6" t="s">
        <v>16</v>
      </c>
      <c r="I6" s="6" t="s">
        <v>19</v>
      </c>
      <c r="J6" s="6">
        <v>27</v>
      </c>
      <c r="K6" s="6" t="str">
        <f>"-9 30"</f>
        <v>-9 30</v>
      </c>
      <c r="M6">
        <v>26.7</v>
      </c>
      <c r="N6" s="6">
        <v>-4.5</v>
      </c>
      <c r="O6" s="6">
        <v>3.1</v>
      </c>
      <c r="P6" t="s">
        <v>66</v>
      </c>
    </row>
    <row r="7" spans="1:16" x14ac:dyDescent="0.25">
      <c r="A7" s="1" t="s">
        <v>18</v>
      </c>
      <c r="B7" s="5" t="s">
        <v>23</v>
      </c>
      <c r="C7" s="6">
        <v>7</v>
      </c>
      <c r="D7" s="6" t="s">
        <v>16</v>
      </c>
      <c r="E7" s="6">
        <v>4</v>
      </c>
      <c r="F7" s="6">
        <v>2</v>
      </c>
      <c r="G7" s="6" t="s">
        <v>16</v>
      </c>
      <c r="H7" s="6">
        <v>83</v>
      </c>
      <c r="I7" s="6">
        <v>263</v>
      </c>
      <c r="J7" s="6">
        <v>37</v>
      </c>
      <c r="K7" s="6" t="s">
        <v>43</v>
      </c>
      <c r="M7" s="6">
        <v>37</v>
      </c>
      <c r="N7" s="6">
        <v>1.5</v>
      </c>
      <c r="O7" s="6">
        <v>-1.4</v>
      </c>
      <c r="P7" t="s">
        <v>67</v>
      </c>
    </row>
    <row r="8" spans="1:16" x14ac:dyDescent="0.25">
      <c r="A8" s="1" t="s">
        <v>23</v>
      </c>
      <c r="B8" s="5" t="s">
        <v>24</v>
      </c>
      <c r="C8" s="6">
        <v>25</v>
      </c>
      <c r="D8" s="6">
        <v>2</v>
      </c>
      <c r="E8" s="6" t="s">
        <v>16</v>
      </c>
      <c r="F8" s="6">
        <v>10</v>
      </c>
      <c r="G8" s="6" t="s">
        <v>42</v>
      </c>
      <c r="H8" s="6" t="s">
        <v>16</v>
      </c>
      <c r="I8" s="6" t="s">
        <v>42</v>
      </c>
      <c r="J8" s="6">
        <v>16.2</v>
      </c>
      <c r="K8" s="6" t="s">
        <v>79</v>
      </c>
      <c r="M8">
        <v>16.100000000000001</v>
      </c>
      <c r="N8" s="6">
        <v>1.3</v>
      </c>
      <c r="O8" s="6">
        <v>0.1</v>
      </c>
      <c r="P8" t="s">
        <v>68</v>
      </c>
    </row>
    <row r="9" spans="1:16" x14ac:dyDescent="0.25">
      <c r="A9" s="1" t="s">
        <v>24</v>
      </c>
      <c r="B9" s="5" t="s">
        <v>25</v>
      </c>
      <c r="C9" s="6">
        <v>25</v>
      </c>
      <c r="D9" s="6">
        <v>4.5</v>
      </c>
      <c r="E9" s="6">
        <v>6</v>
      </c>
      <c r="F9" s="6" t="s">
        <v>16</v>
      </c>
      <c r="G9" s="6" t="s">
        <v>16</v>
      </c>
      <c r="H9" s="6">
        <v>78</v>
      </c>
      <c r="I9" s="6">
        <v>258</v>
      </c>
      <c r="J9" s="6">
        <v>47</v>
      </c>
      <c r="K9" s="6" t="str">
        <f>"-5 30"</f>
        <v>-5 30</v>
      </c>
      <c r="M9" s="6">
        <v>46.8</v>
      </c>
      <c r="N9" s="6">
        <v>-4.5</v>
      </c>
      <c r="O9" s="6">
        <v>1.4</v>
      </c>
    </row>
    <row r="10" spans="1:16" x14ac:dyDescent="0.25">
      <c r="A10" s="1" t="s">
        <v>25</v>
      </c>
      <c r="B10" s="5" t="s">
        <v>26</v>
      </c>
      <c r="C10" s="6">
        <v>4</v>
      </c>
      <c r="D10" s="6">
        <v>2</v>
      </c>
      <c r="E10" s="6">
        <v>0.5</v>
      </c>
      <c r="F10" s="6" t="s">
        <v>41</v>
      </c>
      <c r="G10" s="6">
        <v>292</v>
      </c>
      <c r="H10" s="6" t="s">
        <v>16</v>
      </c>
      <c r="I10" s="6">
        <v>292</v>
      </c>
      <c r="J10" s="6">
        <v>48</v>
      </c>
      <c r="K10" s="6" t="s">
        <v>52</v>
      </c>
      <c r="M10">
        <v>48</v>
      </c>
      <c r="N10" s="6">
        <v>-2.5</v>
      </c>
      <c r="O10" s="6">
        <v>-3.1</v>
      </c>
      <c r="P10" t="s">
        <v>69</v>
      </c>
    </row>
    <row r="11" spans="1:16" x14ac:dyDescent="0.25">
      <c r="A11" s="1" t="s">
        <v>26</v>
      </c>
      <c r="B11" s="5" t="s">
        <v>27</v>
      </c>
      <c r="C11" s="6">
        <v>2.5</v>
      </c>
      <c r="D11" s="6">
        <v>0.5</v>
      </c>
      <c r="E11" s="6">
        <v>3.5</v>
      </c>
      <c r="F11" s="6">
        <v>7</v>
      </c>
      <c r="G11" s="6" t="s">
        <v>16</v>
      </c>
      <c r="H11" s="6">
        <v>159</v>
      </c>
      <c r="I11" s="6">
        <v>339</v>
      </c>
      <c r="J11" s="6">
        <v>36</v>
      </c>
      <c r="K11" s="6" t="s">
        <v>44</v>
      </c>
      <c r="M11" s="6">
        <v>36</v>
      </c>
      <c r="N11">
        <v>0</v>
      </c>
      <c r="O11" s="6">
        <v>-5.6</v>
      </c>
    </row>
    <row r="12" spans="1:16" x14ac:dyDescent="0.25">
      <c r="A12" s="1" t="s">
        <v>27</v>
      </c>
      <c r="B12" s="5" t="s">
        <v>28</v>
      </c>
      <c r="C12" s="6">
        <v>15</v>
      </c>
      <c r="D12" s="6">
        <v>1</v>
      </c>
      <c r="E12" s="6">
        <v>10</v>
      </c>
      <c r="F12" s="6">
        <v>3</v>
      </c>
      <c r="G12" s="6">
        <v>247</v>
      </c>
      <c r="H12" s="6" t="s">
        <v>16</v>
      </c>
      <c r="I12" s="6">
        <v>247</v>
      </c>
      <c r="J12" s="6">
        <v>31</v>
      </c>
      <c r="K12" s="6" t="str">
        <f>"-2 30"</f>
        <v>-2 30</v>
      </c>
      <c r="M12" s="6">
        <v>31</v>
      </c>
      <c r="N12" s="6">
        <v>-1.3</v>
      </c>
      <c r="O12" s="6">
        <v>-5.6</v>
      </c>
    </row>
    <row r="13" spans="1:16" x14ac:dyDescent="0.25">
      <c r="A13" s="1" t="s">
        <v>28</v>
      </c>
      <c r="B13" s="5" t="s">
        <v>29</v>
      </c>
      <c r="C13" s="6">
        <v>15</v>
      </c>
      <c r="D13" s="6">
        <v>1</v>
      </c>
      <c r="E13" s="6">
        <v>8</v>
      </c>
      <c r="F13" s="6">
        <v>2</v>
      </c>
      <c r="G13" s="6" t="s">
        <v>16</v>
      </c>
      <c r="H13" s="6">
        <v>95</v>
      </c>
      <c r="I13" s="6">
        <v>275</v>
      </c>
      <c r="J13" s="6">
        <v>26</v>
      </c>
      <c r="K13" s="6">
        <v>2</v>
      </c>
      <c r="M13" s="6">
        <v>26</v>
      </c>
      <c r="N13" s="6">
        <v>0.9</v>
      </c>
      <c r="O13" s="6">
        <v>-6.9</v>
      </c>
    </row>
    <row r="14" spans="1:16" x14ac:dyDescent="0.25">
      <c r="A14" s="1" t="s">
        <v>29</v>
      </c>
      <c r="B14" s="5" t="s">
        <v>30</v>
      </c>
      <c r="C14" s="6">
        <v>8</v>
      </c>
      <c r="D14" s="6">
        <v>3</v>
      </c>
      <c r="E14" s="6">
        <v>1</v>
      </c>
      <c r="F14" s="6">
        <v>2</v>
      </c>
      <c r="G14" s="6">
        <v>320</v>
      </c>
      <c r="H14" s="6" t="s">
        <v>16</v>
      </c>
      <c r="I14" s="6">
        <v>320</v>
      </c>
      <c r="J14" s="6">
        <v>26.5</v>
      </c>
      <c r="K14" s="6">
        <v>1</v>
      </c>
      <c r="M14" s="6">
        <v>26.5</v>
      </c>
      <c r="N14" s="6">
        <v>0.5</v>
      </c>
      <c r="O14" s="6">
        <v>-6</v>
      </c>
      <c r="P14" t="s">
        <v>70</v>
      </c>
    </row>
    <row r="15" spans="1:16" x14ac:dyDescent="0.25">
      <c r="A15" s="1" t="s">
        <v>30</v>
      </c>
      <c r="B15" s="5" t="s">
        <v>31</v>
      </c>
      <c r="C15" s="6">
        <v>25</v>
      </c>
      <c r="D15" s="6">
        <v>4.5</v>
      </c>
      <c r="E15" s="6" t="s">
        <v>16</v>
      </c>
      <c r="F15" s="6">
        <v>4</v>
      </c>
      <c r="G15" s="6" t="s">
        <v>16</v>
      </c>
      <c r="H15" s="6">
        <v>193</v>
      </c>
      <c r="I15" s="6">
        <v>13</v>
      </c>
      <c r="J15" s="6">
        <v>17.5</v>
      </c>
      <c r="K15" s="6">
        <v>-9</v>
      </c>
      <c r="M15" s="6">
        <v>17.3</v>
      </c>
      <c r="N15" s="6">
        <v>-2.7</v>
      </c>
      <c r="O15" s="6">
        <v>-5.5</v>
      </c>
      <c r="P15" t="s">
        <v>70</v>
      </c>
    </row>
    <row r="16" spans="1:16" x14ac:dyDescent="0.25">
      <c r="A16" s="1" t="s">
        <v>31</v>
      </c>
      <c r="B16" s="5" t="s">
        <v>32</v>
      </c>
      <c r="C16" s="6">
        <v>20</v>
      </c>
      <c r="D16" s="6">
        <v>3</v>
      </c>
      <c r="E16" s="6">
        <v>2</v>
      </c>
      <c r="F16" s="6">
        <v>2</v>
      </c>
      <c r="G16" s="6">
        <v>299</v>
      </c>
      <c r="H16" s="6" t="s">
        <v>16</v>
      </c>
      <c r="I16" s="6">
        <v>299</v>
      </c>
      <c r="J16" s="6">
        <v>33</v>
      </c>
      <c r="K16" s="6">
        <v>-3</v>
      </c>
      <c r="M16" s="6">
        <v>33</v>
      </c>
      <c r="N16" s="6">
        <v>-1.7</v>
      </c>
      <c r="O16" s="6">
        <v>-8.1999999999999993</v>
      </c>
      <c r="P16" t="s">
        <v>71</v>
      </c>
    </row>
    <row r="17" spans="1:16" x14ac:dyDescent="0.25">
      <c r="A17" s="1" t="s">
        <v>32</v>
      </c>
      <c r="B17" s="5" t="s">
        <v>33</v>
      </c>
      <c r="C17" s="6">
        <v>15</v>
      </c>
      <c r="D17" s="6">
        <v>7</v>
      </c>
      <c r="E17" s="6">
        <v>4</v>
      </c>
      <c r="F17" s="6" t="s">
        <v>16</v>
      </c>
      <c r="G17" s="6" t="s">
        <v>16</v>
      </c>
      <c r="H17" s="6">
        <v>142</v>
      </c>
      <c r="I17" s="6">
        <v>322</v>
      </c>
      <c r="J17" s="6">
        <v>43</v>
      </c>
      <c r="K17" s="6">
        <v>-7.3</v>
      </c>
      <c r="M17" s="6">
        <v>42.7</v>
      </c>
      <c r="N17" s="6">
        <v>-5.6</v>
      </c>
      <c r="O17" s="6">
        <v>-9.9</v>
      </c>
      <c r="P17" t="s">
        <v>70</v>
      </c>
    </row>
    <row r="18" spans="1:16" x14ac:dyDescent="0.25">
      <c r="A18" s="1" t="s">
        <v>33</v>
      </c>
      <c r="B18" s="5" t="s">
        <v>34</v>
      </c>
      <c r="C18" s="6">
        <v>25</v>
      </c>
      <c r="D18" s="6">
        <v>3</v>
      </c>
      <c r="E18" s="6">
        <v>2</v>
      </c>
      <c r="F18" s="6">
        <v>1</v>
      </c>
      <c r="G18" s="6">
        <v>281</v>
      </c>
      <c r="H18" s="6" t="s">
        <v>16</v>
      </c>
      <c r="I18" s="6">
        <v>281</v>
      </c>
      <c r="J18" s="6">
        <v>15.5</v>
      </c>
      <c r="K18" s="6">
        <v>-2</v>
      </c>
      <c r="M18" s="6">
        <v>15.5</v>
      </c>
      <c r="N18" s="6">
        <v>-0.5</v>
      </c>
      <c r="O18" s="6">
        <v>-15.5</v>
      </c>
      <c r="P18" t="s">
        <v>70</v>
      </c>
    </row>
    <row r="19" spans="1:16" x14ac:dyDescent="0.25">
      <c r="A19" s="1" t="s">
        <v>34</v>
      </c>
      <c r="B19" s="5" t="s">
        <v>35</v>
      </c>
      <c r="C19" s="6">
        <v>40</v>
      </c>
      <c r="D19" s="6">
        <v>4.5</v>
      </c>
      <c r="E19" s="6">
        <v>2</v>
      </c>
      <c r="F19" s="6">
        <v>2</v>
      </c>
      <c r="G19" s="6" t="s">
        <v>16</v>
      </c>
      <c r="H19" s="6">
        <v>127</v>
      </c>
      <c r="I19" s="6">
        <v>307</v>
      </c>
      <c r="J19" s="6">
        <v>56</v>
      </c>
      <c r="K19" s="6">
        <v>-5</v>
      </c>
      <c r="M19" s="6">
        <v>55.8</v>
      </c>
      <c r="N19" s="6">
        <v>-4.9000000000000004</v>
      </c>
      <c r="O19" s="6">
        <v>-16</v>
      </c>
      <c r="P19" t="s">
        <v>72</v>
      </c>
    </row>
    <row r="20" spans="1:16" x14ac:dyDescent="0.25">
      <c r="A20" s="1" t="s">
        <v>35</v>
      </c>
      <c r="B20" s="5" t="s">
        <v>36</v>
      </c>
      <c r="C20" s="6">
        <v>40</v>
      </c>
      <c r="D20" s="6">
        <v>3</v>
      </c>
      <c r="E20" s="6">
        <v>2</v>
      </c>
      <c r="F20" s="6">
        <v>3</v>
      </c>
      <c r="G20" s="6">
        <v>283</v>
      </c>
      <c r="H20" s="6" t="s">
        <v>16</v>
      </c>
      <c r="I20" s="6">
        <v>283</v>
      </c>
      <c r="J20" s="6">
        <v>15.8</v>
      </c>
      <c r="K20" s="6" t="str">
        <f>"-0 15"</f>
        <v>-0 15</v>
      </c>
      <c r="M20" s="6">
        <v>15.8</v>
      </c>
      <c r="N20" s="6">
        <v>-0.1</v>
      </c>
      <c r="O20" s="6">
        <v>-20.9</v>
      </c>
    </row>
    <row r="21" spans="1:16" x14ac:dyDescent="0.25">
      <c r="A21" s="1" t="s">
        <v>36</v>
      </c>
      <c r="B21" s="5" t="s">
        <v>37</v>
      </c>
      <c r="C21" s="6">
        <v>40</v>
      </c>
      <c r="D21" s="6">
        <v>4</v>
      </c>
      <c r="E21" s="6">
        <v>4</v>
      </c>
      <c r="F21" s="6" t="s">
        <v>16</v>
      </c>
      <c r="G21" s="6" t="s">
        <v>16</v>
      </c>
      <c r="H21" s="6">
        <v>37</v>
      </c>
      <c r="I21" s="6">
        <v>217</v>
      </c>
      <c r="J21" s="6">
        <v>15.3</v>
      </c>
      <c r="K21" s="6" t="s">
        <v>45</v>
      </c>
      <c r="M21" s="6">
        <v>15.3</v>
      </c>
      <c r="N21" s="6">
        <v>-4</v>
      </c>
      <c r="O21" s="6">
        <v>-21</v>
      </c>
      <c r="P21" t="s">
        <v>73</v>
      </c>
    </row>
    <row r="22" spans="1:16" x14ac:dyDescent="0.25">
      <c r="A22" s="1" t="s">
        <v>37</v>
      </c>
      <c r="B22" s="5" t="s">
        <v>40</v>
      </c>
      <c r="C22" s="6">
        <v>40</v>
      </c>
      <c r="D22" s="6" t="s">
        <v>16</v>
      </c>
      <c r="E22" s="6" t="s">
        <v>16</v>
      </c>
      <c r="F22" s="6">
        <v>4</v>
      </c>
      <c r="G22" s="6">
        <v>310</v>
      </c>
      <c r="H22" s="6" t="s">
        <v>16</v>
      </c>
      <c r="I22" s="6">
        <v>310</v>
      </c>
      <c r="J22" s="6">
        <v>39.5</v>
      </c>
      <c r="K22" s="6" t="s">
        <v>46</v>
      </c>
      <c r="M22" s="6">
        <v>39.5</v>
      </c>
      <c r="N22" s="6">
        <v>4</v>
      </c>
      <c r="O22" s="6">
        <v>-25</v>
      </c>
      <c r="P22" t="s">
        <v>74</v>
      </c>
    </row>
    <row r="23" spans="1:16" x14ac:dyDescent="0.25">
      <c r="A23" s="1" t="s">
        <v>40</v>
      </c>
      <c r="B23" s="5" t="s">
        <v>38</v>
      </c>
      <c r="C23" s="6">
        <v>12</v>
      </c>
      <c r="D23" s="6">
        <v>4.5</v>
      </c>
      <c r="E23" s="6">
        <v>8</v>
      </c>
      <c r="F23" s="6" t="s">
        <v>16</v>
      </c>
      <c r="G23" s="6" t="s">
        <v>16</v>
      </c>
      <c r="H23" s="6">
        <v>58</v>
      </c>
      <c r="I23" s="6">
        <v>238</v>
      </c>
      <c r="J23" s="6">
        <v>39.6</v>
      </c>
      <c r="K23" s="6" t="str">
        <f>"-2 30"</f>
        <v>-2 30</v>
      </c>
      <c r="M23" s="6">
        <v>39.6</v>
      </c>
      <c r="N23" s="6">
        <v>-1.9</v>
      </c>
      <c r="O23" s="6">
        <v>-21</v>
      </c>
      <c r="P23" t="s">
        <v>75</v>
      </c>
    </row>
    <row r="24" spans="1:16" x14ac:dyDescent="0.25">
      <c r="A24" s="1" t="s">
        <v>38</v>
      </c>
      <c r="B24" s="5" t="s">
        <v>39</v>
      </c>
      <c r="C24" s="6">
        <v>2</v>
      </c>
      <c r="D24" s="6">
        <v>2.5</v>
      </c>
      <c r="E24" s="6">
        <v>15</v>
      </c>
      <c r="F24" s="6">
        <v>6</v>
      </c>
      <c r="G24" s="6">
        <v>148</v>
      </c>
      <c r="H24" s="6" t="s">
        <v>16</v>
      </c>
      <c r="I24" s="6">
        <v>148</v>
      </c>
      <c r="J24" s="6">
        <v>49</v>
      </c>
      <c r="K24" s="6" t="s">
        <v>47</v>
      </c>
      <c r="M24" s="6">
        <v>49</v>
      </c>
      <c r="N24" s="6">
        <v>-1.7</v>
      </c>
      <c r="O24" s="6">
        <v>-22.9</v>
      </c>
    </row>
    <row r="25" spans="1:16" x14ac:dyDescent="0.25">
      <c r="A25" s="1" t="s">
        <v>39</v>
      </c>
      <c r="B25" s="5"/>
      <c r="C25" s="6">
        <v>1.5</v>
      </c>
      <c r="D25" s="6">
        <v>1.5</v>
      </c>
      <c r="E25" s="6"/>
      <c r="F25" s="6"/>
      <c r="G25" s="6"/>
      <c r="H25" s="6"/>
      <c r="I25" s="6"/>
      <c r="J25" s="6"/>
      <c r="K25" s="6"/>
      <c r="O25" s="6">
        <v>-24.6</v>
      </c>
      <c r="P25" t="s">
        <v>903</v>
      </c>
    </row>
    <row r="26" spans="1:16" x14ac:dyDescent="0.25">
      <c r="A26" s="1" t="s">
        <v>80</v>
      </c>
      <c r="B26" s="5" t="s">
        <v>81</v>
      </c>
      <c r="C26" s="7" t="s">
        <v>16</v>
      </c>
      <c r="D26" s="7">
        <v>1</v>
      </c>
      <c r="E26" s="7">
        <v>1</v>
      </c>
      <c r="F26" s="7">
        <v>0.5</v>
      </c>
      <c r="G26" s="7" t="s">
        <v>16</v>
      </c>
      <c r="H26" s="7">
        <v>326</v>
      </c>
      <c r="I26" s="7">
        <v>146</v>
      </c>
      <c r="J26" s="7">
        <v>30.4</v>
      </c>
      <c r="K26" s="7" t="s">
        <v>44</v>
      </c>
      <c r="M26" s="6">
        <v>30.4</v>
      </c>
      <c r="N26" t="s">
        <v>16</v>
      </c>
      <c r="P26" t="s">
        <v>84</v>
      </c>
    </row>
    <row r="27" spans="1:16" x14ac:dyDescent="0.25">
      <c r="A27" s="1" t="s">
        <v>81</v>
      </c>
      <c r="B27" s="5" t="s">
        <v>82</v>
      </c>
      <c r="C27" s="7">
        <v>4</v>
      </c>
      <c r="D27" s="7">
        <v>1</v>
      </c>
      <c r="E27" s="7">
        <v>10</v>
      </c>
      <c r="F27" s="7">
        <v>2</v>
      </c>
      <c r="G27" s="7">
        <v>248</v>
      </c>
      <c r="H27" t="s">
        <v>16</v>
      </c>
      <c r="I27" s="7">
        <v>248</v>
      </c>
      <c r="J27" s="7">
        <v>37.5</v>
      </c>
      <c r="K27" t="str">
        <f>"-6 00"</f>
        <v>-6 00</v>
      </c>
      <c r="M27" s="6">
        <v>37.299999999999997</v>
      </c>
      <c r="N27" s="6">
        <v>-3.9</v>
      </c>
      <c r="O27" s="6">
        <v>11</v>
      </c>
      <c r="P27" t="s">
        <v>85</v>
      </c>
    </row>
    <row r="28" spans="1:16" x14ac:dyDescent="0.25">
      <c r="A28" s="1" t="s">
        <v>281</v>
      </c>
      <c r="B28" s="1" t="s">
        <v>280</v>
      </c>
    </row>
    <row r="29" spans="1:16" x14ac:dyDescent="0.25">
      <c r="A29" s="1" t="s">
        <v>87</v>
      </c>
      <c r="B29" s="1" t="s">
        <v>278</v>
      </c>
      <c r="M29" s="1" t="s">
        <v>279</v>
      </c>
      <c r="O29" t="s">
        <v>86</v>
      </c>
    </row>
    <row r="30" spans="1:16" x14ac:dyDescent="0.25">
      <c r="A30" s="1" t="s">
        <v>82</v>
      </c>
      <c r="B30" s="5" t="s">
        <v>83</v>
      </c>
      <c r="C30">
        <v>5</v>
      </c>
      <c r="D30" s="7">
        <v>6</v>
      </c>
      <c r="E30">
        <v>15</v>
      </c>
      <c r="F30">
        <v>4</v>
      </c>
      <c r="G30" t="s">
        <v>16</v>
      </c>
      <c r="H30">
        <v>85</v>
      </c>
      <c r="I30">
        <v>265</v>
      </c>
      <c r="J30">
        <v>11.8</v>
      </c>
      <c r="K30">
        <v>-24</v>
      </c>
      <c r="M30">
        <v>10.8</v>
      </c>
      <c r="N30">
        <v>-4.8</v>
      </c>
      <c r="O30">
        <v>7.1</v>
      </c>
      <c r="P30" t="s">
        <v>111</v>
      </c>
    </row>
    <row r="31" spans="1:16" x14ac:dyDescent="0.25">
      <c r="A31" s="1" t="s">
        <v>83</v>
      </c>
      <c r="B31" s="5" t="s">
        <v>14</v>
      </c>
      <c r="C31">
        <v>2</v>
      </c>
      <c r="D31" s="7">
        <v>2.2999999999999998</v>
      </c>
      <c r="E31">
        <v>10</v>
      </c>
      <c r="F31">
        <v>4</v>
      </c>
      <c r="G31">
        <v>251</v>
      </c>
      <c r="H31" t="s">
        <v>16</v>
      </c>
      <c r="I31">
        <v>251</v>
      </c>
      <c r="J31">
        <v>36.799999999999997</v>
      </c>
      <c r="K31" t="s">
        <v>107</v>
      </c>
      <c r="M31">
        <v>36.6</v>
      </c>
      <c r="N31">
        <v>-2.2999999999999998</v>
      </c>
      <c r="O31">
        <v>2.2999999999999998</v>
      </c>
      <c r="P31" t="s">
        <v>112</v>
      </c>
    </row>
    <row r="32" spans="1:16" x14ac:dyDescent="0.25">
      <c r="A32" s="1" t="s">
        <v>39</v>
      </c>
      <c r="B32" s="5" t="s">
        <v>88</v>
      </c>
      <c r="C32">
        <v>1.5</v>
      </c>
      <c r="D32" s="7">
        <v>1.5</v>
      </c>
      <c r="E32">
        <v>2.5</v>
      </c>
      <c r="F32">
        <v>15</v>
      </c>
      <c r="G32" t="s">
        <v>16</v>
      </c>
      <c r="H32" t="s">
        <v>105</v>
      </c>
      <c r="I32" t="s">
        <v>106</v>
      </c>
      <c r="J32">
        <v>29</v>
      </c>
      <c r="K32" t="s">
        <v>107</v>
      </c>
      <c r="M32">
        <v>29</v>
      </c>
      <c r="N32" t="s">
        <v>16</v>
      </c>
      <c r="O32">
        <v>-24.6</v>
      </c>
      <c r="P32" t="s">
        <v>113</v>
      </c>
    </row>
    <row r="33" spans="1:16" x14ac:dyDescent="0.25">
      <c r="A33" s="1" t="s">
        <v>88</v>
      </c>
      <c r="B33" s="5" t="s">
        <v>89</v>
      </c>
      <c r="C33">
        <v>15</v>
      </c>
      <c r="D33" t="s">
        <v>16</v>
      </c>
      <c r="E33">
        <v>2</v>
      </c>
      <c r="F33">
        <v>4</v>
      </c>
      <c r="G33" t="s">
        <v>103</v>
      </c>
      <c r="H33" t="s">
        <v>16</v>
      </c>
      <c r="I33" t="s">
        <v>103</v>
      </c>
      <c r="J33">
        <v>33.799999999999997</v>
      </c>
      <c r="K33" t="s">
        <v>107</v>
      </c>
      <c r="M33">
        <v>33.799999999999997</v>
      </c>
      <c r="N33" t="s">
        <v>16</v>
      </c>
      <c r="O33">
        <v>-26.1</v>
      </c>
      <c r="P33" t="s">
        <v>114</v>
      </c>
    </row>
    <row r="34" spans="1:16" x14ac:dyDescent="0.25">
      <c r="A34" s="1" t="s">
        <v>89</v>
      </c>
      <c r="B34" s="5" t="s">
        <v>90</v>
      </c>
      <c r="C34">
        <v>4</v>
      </c>
      <c r="D34" t="s">
        <v>16</v>
      </c>
      <c r="E34">
        <v>0.5</v>
      </c>
      <c r="F34">
        <v>8</v>
      </c>
      <c r="G34" t="s">
        <v>104</v>
      </c>
      <c r="H34" t="s">
        <v>16</v>
      </c>
      <c r="I34" t="s">
        <v>104</v>
      </c>
      <c r="J34">
        <v>47</v>
      </c>
      <c r="K34" t="s">
        <v>107</v>
      </c>
      <c r="M34">
        <v>47</v>
      </c>
      <c r="N34" t="s">
        <v>16</v>
      </c>
      <c r="O34">
        <v>-26.1</v>
      </c>
      <c r="P34" t="s">
        <v>115</v>
      </c>
    </row>
    <row r="35" spans="1:16" x14ac:dyDescent="0.25">
      <c r="A35" s="1" t="s">
        <v>90</v>
      </c>
      <c r="B35" s="5" t="s">
        <v>91</v>
      </c>
      <c r="C35">
        <v>12</v>
      </c>
      <c r="D35" t="s">
        <v>16</v>
      </c>
      <c r="E35">
        <v>2</v>
      </c>
      <c r="F35">
        <v>10</v>
      </c>
      <c r="G35" t="s">
        <v>16</v>
      </c>
      <c r="H35">
        <v>354</v>
      </c>
      <c r="I35">
        <v>174</v>
      </c>
      <c r="J35">
        <v>83.5</v>
      </c>
      <c r="K35" t="s">
        <v>108</v>
      </c>
      <c r="M35">
        <v>83.5</v>
      </c>
      <c r="N35">
        <v>-0.7</v>
      </c>
      <c r="O35">
        <v>-26.1</v>
      </c>
      <c r="P35" t="s">
        <v>116</v>
      </c>
    </row>
    <row r="36" spans="1:16" x14ac:dyDescent="0.25">
      <c r="A36" s="1" t="s">
        <v>91</v>
      </c>
      <c r="C36" t="s">
        <v>101</v>
      </c>
      <c r="D36" t="s">
        <v>16</v>
      </c>
      <c r="E36">
        <v>4</v>
      </c>
      <c r="F36">
        <v>2</v>
      </c>
      <c r="O36">
        <v>-26.8</v>
      </c>
      <c r="P36" t="s">
        <v>117</v>
      </c>
    </row>
    <row r="37" spans="1:16" x14ac:dyDescent="0.25">
      <c r="A37" s="1" t="s">
        <v>38</v>
      </c>
      <c r="B37" t="s">
        <v>249</v>
      </c>
      <c r="C37" t="str">
        <f>"/"</f>
        <v>/</v>
      </c>
      <c r="D37" t="str">
        <f>"/"</f>
        <v>/</v>
      </c>
      <c r="E37" t="str">
        <f>"/"</f>
        <v>/</v>
      </c>
      <c r="F37" t="str">
        <f>"/"</f>
        <v>/</v>
      </c>
      <c r="G37">
        <v>19</v>
      </c>
      <c r="H37" t="s">
        <v>16</v>
      </c>
      <c r="I37">
        <v>19</v>
      </c>
      <c r="J37">
        <v>22.1</v>
      </c>
      <c r="K37">
        <v>20</v>
      </c>
      <c r="M37">
        <v>20.8</v>
      </c>
      <c r="N37">
        <v>7.6</v>
      </c>
      <c r="O37">
        <v>-22.9</v>
      </c>
    </row>
    <row r="38" spans="1:16" x14ac:dyDescent="0.25">
      <c r="A38" s="1" t="s">
        <v>249</v>
      </c>
      <c r="B38" t="s">
        <v>250</v>
      </c>
      <c r="C38">
        <v>1</v>
      </c>
      <c r="D38">
        <v>0.5</v>
      </c>
      <c r="E38">
        <v>8</v>
      </c>
      <c r="F38">
        <v>8</v>
      </c>
      <c r="G38">
        <v>315</v>
      </c>
      <c r="H38" t="s">
        <v>16</v>
      </c>
      <c r="I38">
        <v>315</v>
      </c>
      <c r="J38">
        <v>46</v>
      </c>
      <c r="K38">
        <v>-3</v>
      </c>
      <c r="M38">
        <v>45.9</v>
      </c>
      <c r="N38">
        <v>-2.4</v>
      </c>
      <c r="O38">
        <v>-15.3</v>
      </c>
      <c r="P38" t="s">
        <v>118</v>
      </c>
    </row>
    <row r="39" spans="1:16" x14ac:dyDescent="0.25">
      <c r="A39" s="1" t="s">
        <v>250</v>
      </c>
      <c r="B39" t="s">
        <v>251</v>
      </c>
      <c r="C39">
        <v>1</v>
      </c>
      <c r="D39">
        <v>2</v>
      </c>
      <c r="E39">
        <v>4</v>
      </c>
      <c r="F39">
        <v>4</v>
      </c>
      <c r="G39">
        <v>348</v>
      </c>
      <c r="H39" t="s">
        <v>16</v>
      </c>
      <c r="I39">
        <v>348</v>
      </c>
      <c r="J39">
        <v>32</v>
      </c>
      <c r="K39">
        <v>2</v>
      </c>
      <c r="M39">
        <v>32</v>
      </c>
      <c r="N39">
        <v>1.1000000000000001</v>
      </c>
      <c r="O39">
        <v>-17.7</v>
      </c>
      <c r="P39" t="s">
        <v>119</v>
      </c>
    </row>
    <row r="40" spans="1:16" x14ac:dyDescent="0.25">
      <c r="A40" s="1" t="s">
        <v>251</v>
      </c>
      <c r="B40" t="s">
        <v>252</v>
      </c>
      <c r="C40">
        <v>2</v>
      </c>
      <c r="D40">
        <v>1.5</v>
      </c>
      <c r="E40">
        <v>5</v>
      </c>
      <c r="F40">
        <v>2</v>
      </c>
      <c r="G40">
        <v>284</v>
      </c>
      <c r="H40" t="s">
        <v>16</v>
      </c>
      <c r="I40">
        <v>284</v>
      </c>
      <c r="J40">
        <v>27.3</v>
      </c>
      <c r="K40" t="s">
        <v>109</v>
      </c>
      <c r="M40">
        <v>27.3</v>
      </c>
      <c r="N40">
        <v>-4</v>
      </c>
      <c r="O40">
        <v>-16.600000000000001</v>
      </c>
      <c r="P40" t="s">
        <v>120</v>
      </c>
    </row>
    <row r="41" spans="1:16" x14ac:dyDescent="0.25">
      <c r="A41" s="1" t="s">
        <v>93</v>
      </c>
      <c r="B41" t="s">
        <v>94</v>
      </c>
      <c r="C41" t="str">
        <f t="shared" ref="C41:D47" si="0">"/"</f>
        <v>/</v>
      </c>
      <c r="D41">
        <v>1</v>
      </c>
      <c r="E41">
        <v>3</v>
      </c>
      <c r="F41" t="str">
        <f>"/"</f>
        <v>/</v>
      </c>
      <c r="G41">
        <v>83</v>
      </c>
      <c r="H41" t="s">
        <v>16</v>
      </c>
      <c r="I41">
        <v>83</v>
      </c>
      <c r="J41">
        <v>43</v>
      </c>
      <c r="K41">
        <v>15</v>
      </c>
      <c r="M41">
        <v>41.5</v>
      </c>
      <c r="N41">
        <v>11.1</v>
      </c>
      <c r="O41">
        <v>-4.5999999999999996</v>
      </c>
      <c r="P41" t="s">
        <v>121</v>
      </c>
    </row>
    <row r="42" spans="1:16" x14ac:dyDescent="0.25">
      <c r="A42" s="1" t="s">
        <v>94</v>
      </c>
      <c r="B42" t="s">
        <v>95</v>
      </c>
      <c r="C42" t="str">
        <f t="shared" si="0"/>
        <v>/</v>
      </c>
      <c r="D42">
        <v>2</v>
      </c>
      <c r="E42">
        <v>5</v>
      </c>
      <c r="F42">
        <v>7</v>
      </c>
      <c r="G42">
        <v>6</v>
      </c>
      <c r="H42" t="s">
        <v>16</v>
      </c>
      <c r="I42">
        <v>6</v>
      </c>
      <c r="J42">
        <v>20.7</v>
      </c>
      <c r="K42">
        <v>8</v>
      </c>
      <c r="M42">
        <v>20.5</v>
      </c>
      <c r="N42">
        <v>2.9</v>
      </c>
      <c r="O42">
        <v>6.5</v>
      </c>
    </row>
    <row r="43" spans="1:16" x14ac:dyDescent="0.25">
      <c r="A43" s="1" t="s">
        <v>95</v>
      </c>
      <c r="B43" t="s">
        <v>96</v>
      </c>
      <c r="C43" t="str">
        <f t="shared" si="0"/>
        <v>/</v>
      </c>
      <c r="D43">
        <v>1</v>
      </c>
      <c r="E43">
        <v>2</v>
      </c>
      <c r="F43">
        <v>3</v>
      </c>
      <c r="G43">
        <v>42</v>
      </c>
      <c r="H43" t="s">
        <v>16</v>
      </c>
      <c r="I43">
        <v>42</v>
      </c>
      <c r="J43">
        <v>11.3</v>
      </c>
      <c r="K43">
        <v>10</v>
      </c>
      <c r="M43">
        <v>11.1</v>
      </c>
      <c r="N43">
        <v>2</v>
      </c>
      <c r="O43">
        <v>9.4</v>
      </c>
    </row>
    <row r="44" spans="1:16" x14ac:dyDescent="0.25">
      <c r="A44" s="1" t="s">
        <v>96</v>
      </c>
      <c r="B44" t="s">
        <v>97</v>
      </c>
      <c r="C44" t="str">
        <f t="shared" si="0"/>
        <v>/</v>
      </c>
      <c r="D44">
        <v>0.5</v>
      </c>
      <c r="E44">
        <v>1</v>
      </c>
      <c r="F44" t="str">
        <f>"/"</f>
        <v>/</v>
      </c>
      <c r="G44">
        <v>139</v>
      </c>
      <c r="H44" t="s">
        <v>16</v>
      </c>
      <c r="I44">
        <v>139</v>
      </c>
      <c r="J44">
        <v>18.899999999999999</v>
      </c>
      <c r="K44" t="s">
        <v>44</v>
      </c>
      <c r="M44">
        <v>18.899999999999999</v>
      </c>
      <c r="N44" t="s">
        <v>16</v>
      </c>
      <c r="O44">
        <v>11.4</v>
      </c>
      <c r="P44" t="s">
        <v>122</v>
      </c>
    </row>
    <row r="45" spans="1:16" x14ac:dyDescent="0.25">
      <c r="A45" s="1" t="s">
        <v>96</v>
      </c>
      <c r="B45" t="s">
        <v>98</v>
      </c>
      <c r="C45" t="str">
        <f t="shared" si="0"/>
        <v>/</v>
      </c>
      <c r="D45" t="str">
        <f t="shared" si="0"/>
        <v>/</v>
      </c>
      <c r="E45" t="str">
        <f>"/"</f>
        <v>/</v>
      </c>
      <c r="F45">
        <v>6</v>
      </c>
      <c r="G45">
        <v>245</v>
      </c>
      <c r="H45" t="s">
        <v>16</v>
      </c>
      <c r="I45">
        <v>245</v>
      </c>
      <c r="J45">
        <v>10.3</v>
      </c>
      <c r="K45">
        <v>60</v>
      </c>
      <c r="M45">
        <v>5.0999999999999996</v>
      </c>
      <c r="N45">
        <v>8.9</v>
      </c>
      <c r="O45">
        <v>11.4</v>
      </c>
    </row>
    <row r="46" spans="1:16" x14ac:dyDescent="0.25">
      <c r="A46" s="1" t="s">
        <v>98</v>
      </c>
      <c r="B46" t="s">
        <v>99</v>
      </c>
      <c r="C46" t="str">
        <f t="shared" si="0"/>
        <v>/</v>
      </c>
      <c r="D46" t="str">
        <f t="shared" si="0"/>
        <v>/</v>
      </c>
      <c r="E46">
        <v>1</v>
      </c>
      <c r="F46">
        <v>1</v>
      </c>
      <c r="G46">
        <v>319</v>
      </c>
      <c r="H46" t="s">
        <v>16</v>
      </c>
      <c r="I46">
        <v>319</v>
      </c>
      <c r="J46">
        <v>6.2</v>
      </c>
      <c r="K46" t="s">
        <v>44</v>
      </c>
      <c r="M46">
        <v>6.2</v>
      </c>
      <c r="N46" t="s">
        <v>16</v>
      </c>
      <c r="O46">
        <v>20.3</v>
      </c>
    </row>
    <row r="47" spans="1:16" x14ac:dyDescent="0.25">
      <c r="A47" s="1" t="s">
        <v>99</v>
      </c>
      <c r="B47" t="s">
        <v>100</v>
      </c>
      <c r="C47" t="str">
        <f t="shared" si="0"/>
        <v>/</v>
      </c>
      <c r="D47" t="str">
        <f t="shared" si="0"/>
        <v>/</v>
      </c>
      <c r="E47" t="str">
        <f>"/"</f>
        <v>/</v>
      </c>
      <c r="F47">
        <v>2</v>
      </c>
      <c r="G47">
        <v>237</v>
      </c>
      <c r="H47" t="s">
        <v>16</v>
      </c>
      <c r="I47">
        <v>237</v>
      </c>
      <c r="J47">
        <v>16</v>
      </c>
      <c r="K47">
        <v>65</v>
      </c>
      <c r="M47">
        <v>6.8</v>
      </c>
      <c r="N47">
        <v>14.5</v>
      </c>
      <c r="O47">
        <v>20.3</v>
      </c>
    </row>
    <row r="48" spans="1:16" x14ac:dyDescent="0.25">
      <c r="A48" s="1" t="s">
        <v>100</v>
      </c>
      <c r="B48" t="s">
        <v>92</v>
      </c>
      <c r="C48" t="s">
        <v>102</v>
      </c>
      <c r="D48">
        <v>1</v>
      </c>
      <c r="E48">
        <v>1</v>
      </c>
      <c r="F48">
        <v>1</v>
      </c>
      <c r="G48">
        <v>329</v>
      </c>
      <c r="H48" t="s">
        <v>16</v>
      </c>
      <c r="I48">
        <v>329</v>
      </c>
      <c r="J48">
        <v>46</v>
      </c>
      <c r="K48" t="s">
        <v>44</v>
      </c>
      <c r="M48">
        <v>46</v>
      </c>
      <c r="N48" t="s">
        <v>16</v>
      </c>
      <c r="O48">
        <v>34.799999999999997</v>
      </c>
      <c r="P48" t="s">
        <v>123</v>
      </c>
    </row>
    <row r="49" spans="1:16" x14ac:dyDescent="0.25">
      <c r="A49" s="1" t="s">
        <v>32</v>
      </c>
      <c r="B49">
        <v>1</v>
      </c>
      <c r="C49" t="str">
        <f t="shared" ref="C49:C50" si="1">"/"</f>
        <v>/</v>
      </c>
      <c r="D49" t="str">
        <f>"/"</f>
        <v>/</v>
      </c>
      <c r="E49" t="str">
        <f>"/"</f>
        <v>/</v>
      </c>
      <c r="F49" t="str">
        <f>"/"</f>
        <v>/</v>
      </c>
      <c r="G49" t="s">
        <v>16</v>
      </c>
      <c r="H49">
        <v>145</v>
      </c>
      <c r="I49">
        <v>325</v>
      </c>
      <c r="J49">
        <v>11.7</v>
      </c>
      <c r="K49">
        <v>-20</v>
      </c>
      <c r="M49">
        <v>10.9</v>
      </c>
      <c r="N49">
        <v>-4</v>
      </c>
      <c r="O49">
        <v>-9.9</v>
      </c>
    </row>
    <row r="50" spans="1:16" x14ac:dyDescent="0.25">
      <c r="A50" s="1">
        <v>1</v>
      </c>
      <c r="B50">
        <v>2</v>
      </c>
      <c r="C50" t="str">
        <f t="shared" si="1"/>
        <v>/</v>
      </c>
      <c r="D50">
        <v>2.5</v>
      </c>
      <c r="E50" t="str">
        <f>"/"</f>
        <v>/</v>
      </c>
      <c r="F50" t="str">
        <f>"/"</f>
        <v>/</v>
      </c>
      <c r="G50">
        <v>35</v>
      </c>
      <c r="H50" t="s">
        <v>16</v>
      </c>
      <c r="I50">
        <v>35</v>
      </c>
      <c r="J50">
        <v>28.5</v>
      </c>
      <c r="K50">
        <v>85</v>
      </c>
      <c r="M50">
        <v>2.5</v>
      </c>
      <c r="N50">
        <v>28.4</v>
      </c>
      <c r="O50">
        <v>-13.9</v>
      </c>
    </row>
    <row r="51" spans="1:16" x14ac:dyDescent="0.25">
      <c r="A51" s="1">
        <v>2</v>
      </c>
      <c r="B51">
        <v>3</v>
      </c>
      <c r="C51">
        <v>4</v>
      </c>
      <c r="D51" t="s">
        <v>16</v>
      </c>
      <c r="E51">
        <v>2</v>
      </c>
      <c r="F51">
        <v>2</v>
      </c>
      <c r="G51" t="s">
        <v>16</v>
      </c>
      <c r="H51">
        <v>230</v>
      </c>
      <c r="I51">
        <v>50</v>
      </c>
      <c r="J51">
        <v>19.899999999999999</v>
      </c>
      <c r="K51">
        <v>16</v>
      </c>
      <c r="M51">
        <v>19.100000000000001</v>
      </c>
      <c r="N51">
        <v>5.5</v>
      </c>
      <c r="O51" t="s">
        <v>110</v>
      </c>
      <c r="P51" t="s">
        <v>124</v>
      </c>
    </row>
    <row r="52" spans="1:16" x14ac:dyDescent="0.25">
      <c r="A52" s="1">
        <v>3</v>
      </c>
      <c r="B52">
        <v>4</v>
      </c>
      <c r="C52">
        <v>2</v>
      </c>
      <c r="D52">
        <v>1</v>
      </c>
      <c r="E52">
        <v>2</v>
      </c>
      <c r="F52">
        <v>2</v>
      </c>
      <c r="G52">
        <v>122</v>
      </c>
      <c r="H52" t="s">
        <v>16</v>
      </c>
      <c r="I52">
        <v>122</v>
      </c>
      <c r="J52">
        <v>16</v>
      </c>
      <c r="K52">
        <v>7</v>
      </c>
      <c r="M52">
        <v>15.9</v>
      </c>
      <c r="N52">
        <v>1.9</v>
      </c>
      <c r="O52">
        <v>22</v>
      </c>
      <c r="P52" t="s">
        <v>128</v>
      </c>
    </row>
    <row r="53" spans="1:16" x14ac:dyDescent="0.25">
      <c r="A53" s="1">
        <v>4</v>
      </c>
      <c r="B53">
        <v>5</v>
      </c>
      <c r="C53">
        <v>2</v>
      </c>
      <c r="D53">
        <v>1</v>
      </c>
      <c r="E53">
        <v>2</v>
      </c>
      <c r="F53">
        <v>4</v>
      </c>
      <c r="G53">
        <v>59</v>
      </c>
      <c r="H53" t="s">
        <v>16</v>
      </c>
      <c r="I53">
        <v>59</v>
      </c>
      <c r="J53">
        <v>18</v>
      </c>
      <c r="K53">
        <v>15</v>
      </c>
      <c r="M53">
        <v>17.399999999999999</v>
      </c>
      <c r="N53">
        <v>4.7</v>
      </c>
      <c r="O53">
        <v>26.9</v>
      </c>
      <c r="P53" t="s">
        <v>127</v>
      </c>
    </row>
    <row r="54" spans="1:16" x14ac:dyDescent="0.25">
      <c r="A54" s="1">
        <v>5</v>
      </c>
      <c r="B54">
        <v>6</v>
      </c>
      <c r="C54" t="str">
        <f t="shared" ref="C54" si="2">"/"</f>
        <v>/</v>
      </c>
      <c r="D54">
        <v>1</v>
      </c>
      <c r="E54" t="str">
        <f t="shared" ref="E54:F54" si="3">"/"</f>
        <v>/</v>
      </c>
      <c r="F54" t="str">
        <f t="shared" si="3"/>
        <v>/</v>
      </c>
      <c r="G54">
        <v>17</v>
      </c>
      <c r="H54" t="s">
        <v>16</v>
      </c>
      <c r="I54">
        <v>17</v>
      </c>
      <c r="J54">
        <v>9.5</v>
      </c>
      <c r="K54">
        <v>10</v>
      </c>
      <c r="M54">
        <v>9.4</v>
      </c>
      <c r="N54">
        <v>1.6</v>
      </c>
      <c r="O54">
        <v>33.6</v>
      </c>
    </row>
    <row r="55" spans="1:16" x14ac:dyDescent="0.25">
      <c r="A55" s="1">
        <v>6</v>
      </c>
      <c r="B55">
        <v>7</v>
      </c>
      <c r="C55">
        <v>2</v>
      </c>
      <c r="D55">
        <v>0.5</v>
      </c>
      <c r="E55">
        <v>3</v>
      </c>
      <c r="F55">
        <v>1</v>
      </c>
      <c r="G55">
        <v>46</v>
      </c>
      <c r="H55" t="s">
        <v>16</v>
      </c>
      <c r="I55">
        <v>46</v>
      </c>
      <c r="J55">
        <v>13.5</v>
      </c>
      <c r="K55">
        <v>17</v>
      </c>
      <c r="M55">
        <v>12.9</v>
      </c>
      <c r="N55">
        <v>4</v>
      </c>
      <c r="O55">
        <v>38.200000000000003</v>
      </c>
    </row>
    <row r="56" spans="1:16" x14ac:dyDescent="0.25">
      <c r="A56" s="1">
        <v>7</v>
      </c>
      <c r="B56">
        <v>8</v>
      </c>
      <c r="C56">
        <v>2</v>
      </c>
      <c r="D56">
        <v>0.5</v>
      </c>
      <c r="E56">
        <v>1</v>
      </c>
      <c r="F56">
        <v>2</v>
      </c>
      <c r="G56">
        <v>74</v>
      </c>
      <c r="H56" t="s">
        <v>16</v>
      </c>
      <c r="I56">
        <v>74</v>
      </c>
      <c r="J56">
        <v>24.2</v>
      </c>
      <c r="K56">
        <v>13</v>
      </c>
      <c r="M56">
        <v>23.6</v>
      </c>
      <c r="N56">
        <v>5.4</v>
      </c>
      <c r="O56">
        <v>46.2</v>
      </c>
    </row>
    <row r="57" spans="1:16" x14ac:dyDescent="0.25">
      <c r="A57" s="1">
        <v>8</v>
      </c>
      <c r="B57">
        <v>9</v>
      </c>
      <c r="C57">
        <v>3</v>
      </c>
      <c r="D57">
        <v>0.5</v>
      </c>
      <c r="E57">
        <v>2</v>
      </c>
      <c r="F57">
        <v>1</v>
      </c>
      <c r="G57">
        <v>137</v>
      </c>
      <c r="H57" t="s">
        <v>16</v>
      </c>
      <c r="I57">
        <v>137</v>
      </c>
      <c r="J57">
        <v>8.8000000000000007</v>
      </c>
      <c r="K57">
        <v>10</v>
      </c>
      <c r="M57">
        <v>8.6999999999999993</v>
      </c>
      <c r="N57">
        <v>1.5</v>
      </c>
      <c r="O57">
        <v>52.6</v>
      </c>
    </row>
    <row r="58" spans="1:16" x14ac:dyDescent="0.25">
      <c r="A58" s="1">
        <v>9</v>
      </c>
      <c r="B58">
        <v>10</v>
      </c>
      <c r="C58">
        <v>2</v>
      </c>
      <c r="D58">
        <v>0.5</v>
      </c>
      <c r="E58">
        <v>2</v>
      </c>
      <c r="F58">
        <v>2</v>
      </c>
      <c r="G58">
        <v>89</v>
      </c>
      <c r="H58" t="s">
        <v>16</v>
      </c>
      <c r="I58">
        <v>89</v>
      </c>
      <c r="J58">
        <v>19.8</v>
      </c>
      <c r="K58">
        <v>15</v>
      </c>
      <c r="M58">
        <v>19.100000000000001</v>
      </c>
      <c r="N58">
        <v>5.0999999999999996</v>
      </c>
      <c r="O58">
        <v>56.1</v>
      </c>
    </row>
    <row r="59" spans="1:16" x14ac:dyDescent="0.25">
      <c r="A59" s="1">
        <v>10</v>
      </c>
      <c r="B59">
        <v>11</v>
      </c>
      <c r="C59" t="str">
        <f t="shared" ref="C59" si="4">"/"</f>
        <v>/</v>
      </c>
      <c r="D59">
        <v>0.5</v>
      </c>
      <c r="E59">
        <v>1</v>
      </c>
      <c r="F59">
        <v>3</v>
      </c>
      <c r="G59">
        <v>26</v>
      </c>
      <c r="H59" t="s">
        <v>16</v>
      </c>
      <c r="I59">
        <v>26</v>
      </c>
      <c r="J59">
        <v>9</v>
      </c>
      <c r="K59">
        <v>12</v>
      </c>
      <c r="M59">
        <v>8.8000000000000007</v>
      </c>
      <c r="N59">
        <v>1.9</v>
      </c>
      <c r="O59">
        <v>62.2</v>
      </c>
    </row>
    <row r="60" spans="1:16" x14ac:dyDescent="0.25">
      <c r="A60" s="1">
        <v>11</v>
      </c>
      <c r="B60">
        <v>12</v>
      </c>
      <c r="C60">
        <v>2</v>
      </c>
      <c r="D60">
        <v>0.5</v>
      </c>
      <c r="E60" t="str">
        <f t="shared" ref="E60:F61" si="5">"/"</f>
        <v>/</v>
      </c>
      <c r="F60" t="str">
        <f t="shared" si="5"/>
        <v>/</v>
      </c>
      <c r="G60">
        <v>78</v>
      </c>
      <c r="H60" t="s">
        <v>16</v>
      </c>
      <c r="I60">
        <v>78</v>
      </c>
      <c r="J60">
        <v>10.7</v>
      </c>
      <c r="K60">
        <v>10</v>
      </c>
      <c r="M60">
        <v>10.5</v>
      </c>
      <c r="N60">
        <v>1.9</v>
      </c>
      <c r="O60">
        <v>65.099999999999994</v>
      </c>
    </row>
    <row r="61" spans="1:16" x14ac:dyDescent="0.25">
      <c r="A61" s="1">
        <v>12</v>
      </c>
      <c r="B61">
        <v>13</v>
      </c>
      <c r="C61">
        <v>2</v>
      </c>
      <c r="D61">
        <v>2</v>
      </c>
      <c r="E61" t="str">
        <f t="shared" si="5"/>
        <v>/</v>
      </c>
      <c r="F61">
        <v>1</v>
      </c>
      <c r="G61">
        <v>25</v>
      </c>
      <c r="H61" t="s">
        <v>16</v>
      </c>
      <c r="I61">
        <v>25</v>
      </c>
      <c r="J61">
        <v>8.5</v>
      </c>
      <c r="K61" t="s">
        <v>125</v>
      </c>
      <c r="M61">
        <v>8.1999999999999993</v>
      </c>
      <c r="N61">
        <v>-2</v>
      </c>
      <c r="O61">
        <v>67</v>
      </c>
      <c r="P61" t="s">
        <v>129</v>
      </c>
    </row>
    <row r="62" spans="1:16" x14ac:dyDescent="0.25">
      <c r="A62" s="1">
        <v>13</v>
      </c>
      <c r="B62">
        <v>14</v>
      </c>
      <c r="C62">
        <v>1</v>
      </c>
      <c r="D62">
        <v>0.5</v>
      </c>
      <c r="E62">
        <v>2</v>
      </c>
      <c r="F62">
        <v>3</v>
      </c>
      <c r="G62">
        <v>85</v>
      </c>
      <c r="H62" t="s">
        <v>16</v>
      </c>
      <c r="I62">
        <v>85</v>
      </c>
      <c r="J62">
        <v>12.3</v>
      </c>
      <c r="K62">
        <v>9</v>
      </c>
      <c r="M62">
        <v>12.1</v>
      </c>
      <c r="N62">
        <v>1.9</v>
      </c>
      <c r="O62">
        <v>65</v>
      </c>
    </row>
    <row r="63" spans="1:16" x14ac:dyDescent="0.25">
      <c r="A63" s="1">
        <v>14</v>
      </c>
      <c r="B63">
        <v>15</v>
      </c>
      <c r="C63">
        <v>2</v>
      </c>
      <c r="D63">
        <v>0.5</v>
      </c>
      <c r="E63" t="str">
        <f t="shared" ref="E63:F64" si="6">"/"</f>
        <v>/</v>
      </c>
      <c r="F63" t="str">
        <f t="shared" si="6"/>
        <v>/</v>
      </c>
      <c r="G63">
        <v>63</v>
      </c>
      <c r="H63" t="s">
        <v>16</v>
      </c>
      <c r="I63">
        <v>63</v>
      </c>
      <c r="J63">
        <v>11.6</v>
      </c>
      <c r="K63">
        <v>10</v>
      </c>
      <c r="M63">
        <v>11.4</v>
      </c>
      <c r="N63">
        <v>2</v>
      </c>
      <c r="O63">
        <v>69.900000000000006</v>
      </c>
    </row>
    <row r="64" spans="1:16" x14ac:dyDescent="0.25">
      <c r="A64" s="1">
        <v>15</v>
      </c>
      <c r="B64">
        <v>16</v>
      </c>
      <c r="C64">
        <v>3</v>
      </c>
      <c r="D64">
        <v>4</v>
      </c>
      <c r="E64">
        <v>2</v>
      </c>
      <c r="F64" t="str">
        <f t="shared" si="6"/>
        <v>/</v>
      </c>
      <c r="G64">
        <v>125</v>
      </c>
      <c r="H64" t="s">
        <v>16</v>
      </c>
      <c r="I64">
        <v>125</v>
      </c>
      <c r="J64">
        <v>12</v>
      </c>
      <c r="K64" t="s">
        <v>126</v>
      </c>
      <c r="M64">
        <v>12</v>
      </c>
      <c r="N64">
        <v>-3.5</v>
      </c>
      <c r="O64">
        <v>72.900000000000006</v>
      </c>
      <c r="P64" t="s">
        <v>130</v>
      </c>
    </row>
    <row r="65" spans="1:16" x14ac:dyDescent="0.25">
      <c r="A65" s="1">
        <v>16</v>
      </c>
      <c r="B65">
        <v>17</v>
      </c>
      <c r="C65">
        <v>1</v>
      </c>
      <c r="D65">
        <v>0.5</v>
      </c>
      <c r="E65">
        <v>3</v>
      </c>
      <c r="F65">
        <v>3</v>
      </c>
      <c r="G65" t="s">
        <v>16</v>
      </c>
      <c r="H65">
        <v>265</v>
      </c>
      <c r="I65">
        <v>85</v>
      </c>
      <c r="J65">
        <v>14.5</v>
      </c>
      <c r="K65">
        <v>6</v>
      </c>
      <c r="M65">
        <v>14.4</v>
      </c>
      <c r="N65">
        <v>1.5</v>
      </c>
      <c r="O65">
        <v>71.400000000000006</v>
      </c>
    </row>
    <row r="66" spans="1:16" x14ac:dyDescent="0.25">
      <c r="A66" s="1">
        <v>17</v>
      </c>
      <c r="B66">
        <v>18</v>
      </c>
      <c r="C66">
        <v>1</v>
      </c>
      <c r="D66">
        <v>1</v>
      </c>
      <c r="E66">
        <v>2</v>
      </c>
      <c r="F66">
        <v>3</v>
      </c>
      <c r="G66">
        <v>22</v>
      </c>
      <c r="H66" t="s">
        <v>16</v>
      </c>
      <c r="I66">
        <v>22</v>
      </c>
      <c r="J66">
        <v>12.6</v>
      </c>
      <c r="K66">
        <v>6</v>
      </c>
      <c r="M66">
        <v>12.5</v>
      </c>
      <c r="N66">
        <v>1.3</v>
      </c>
      <c r="O66">
        <v>74.900000000000006</v>
      </c>
    </row>
    <row r="67" spans="1:16" x14ac:dyDescent="0.25">
      <c r="A67" s="1">
        <v>18</v>
      </c>
      <c r="B67">
        <v>19</v>
      </c>
      <c r="C67">
        <v>3</v>
      </c>
      <c r="D67">
        <v>11</v>
      </c>
      <c r="E67">
        <v>2</v>
      </c>
      <c r="F67">
        <v>2</v>
      </c>
      <c r="G67" t="s">
        <v>16</v>
      </c>
      <c r="H67" t="s">
        <v>16</v>
      </c>
      <c r="I67" t="s">
        <v>16</v>
      </c>
      <c r="J67">
        <v>11</v>
      </c>
      <c r="K67">
        <v>-90</v>
      </c>
      <c r="M67" t="s">
        <v>16</v>
      </c>
      <c r="N67">
        <v>-11</v>
      </c>
      <c r="O67">
        <v>76.400000000000006</v>
      </c>
      <c r="P67" t="s">
        <v>131</v>
      </c>
    </row>
    <row r="68" spans="1:16" x14ac:dyDescent="0.25">
      <c r="P68" t="s">
        <v>132</v>
      </c>
    </row>
    <row r="69" spans="1:16" x14ac:dyDescent="0.25">
      <c r="A69" s="1" t="s">
        <v>282</v>
      </c>
      <c r="B69" s="1" t="s">
        <v>283</v>
      </c>
    </row>
    <row r="70" spans="1:16" x14ac:dyDescent="0.25">
      <c r="A70" s="1" t="s">
        <v>133</v>
      </c>
    </row>
    <row r="71" spans="1:16" x14ac:dyDescent="0.25">
      <c r="A71" s="1" t="s">
        <v>81</v>
      </c>
      <c r="B71" t="s">
        <v>134</v>
      </c>
      <c r="C71" t="str">
        <f t="shared" ref="C71" si="7">"/"</f>
        <v>/</v>
      </c>
      <c r="D71">
        <v>2</v>
      </c>
      <c r="E71" t="str">
        <f t="shared" ref="E71:F71" si="8">"/"</f>
        <v>/</v>
      </c>
      <c r="F71" t="str">
        <f t="shared" si="8"/>
        <v>/</v>
      </c>
      <c r="G71" t="s">
        <v>16</v>
      </c>
      <c r="H71" t="s">
        <v>161</v>
      </c>
      <c r="I71" t="s">
        <v>173</v>
      </c>
      <c r="J71">
        <v>78.099999999999994</v>
      </c>
      <c r="K71" t="s">
        <v>180</v>
      </c>
      <c r="M71">
        <v>77.099999999999994</v>
      </c>
      <c r="N71">
        <v>12.9</v>
      </c>
      <c r="O71">
        <v>12</v>
      </c>
      <c r="P71" t="s">
        <v>896</v>
      </c>
    </row>
    <row r="72" spans="1:16" x14ac:dyDescent="0.25">
      <c r="A72" s="1" t="s">
        <v>134</v>
      </c>
      <c r="B72" t="s">
        <v>135</v>
      </c>
      <c r="C72">
        <v>25</v>
      </c>
      <c r="D72">
        <v>5</v>
      </c>
      <c r="E72">
        <v>8</v>
      </c>
      <c r="F72">
        <v>7</v>
      </c>
      <c r="G72" t="s">
        <v>162</v>
      </c>
      <c r="H72" t="s">
        <v>16</v>
      </c>
      <c r="I72" t="s">
        <v>162</v>
      </c>
      <c r="J72">
        <v>24.1</v>
      </c>
      <c r="K72" t="str">
        <f>"-5 30"</f>
        <v>-5 30</v>
      </c>
      <c r="M72">
        <v>24</v>
      </c>
      <c r="N72">
        <v>-2.2999999999999998</v>
      </c>
      <c r="O72">
        <v>24.9</v>
      </c>
      <c r="P72" t="s">
        <v>256</v>
      </c>
    </row>
    <row r="73" spans="1:16" x14ac:dyDescent="0.25">
      <c r="A73" s="1" t="s">
        <v>135</v>
      </c>
      <c r="B73" t="s">
        <v>136</v>
      </c>
      <c r="C73">
        <v>20</v>
      </c>
      <c r="D73">
        <v>5</v>
      </c>
      <c r="E73">
        <v>6</v>
      </c>
      <c r="F73">
        <v>0.5</v>
      </c>
      <c r="G73" t="s">
        <v>16</v>
      </c>
      <c r="H73" t="s">
        <v>163</v>
      </c>
      <c r="I73" t="s">
        <v>174</v>
      </c>
      <c r="J73">
        <v>29.2</v>
      </c>
      <c r="K73" t="s">
        <v>181</v>
      </c>
      <c r="M73">
        <v>29.2</v>
      </c>
      <c r="N73">
        <v>0.3</v>
      </c>
      <c r="O73">
        <v>22.6</v>
      </c>
      <c r="P73" t="s">
        <v>257</v>
      </c>
    </row>
    <row r="74" spans="1:16" x14ac:dyDescent="0.25">
      <c r="A74" s="1" t="s">
        <v>136</v>
      </c>
      <c r="B74" t="s">
        <v>137</v>
      </c>
      <c r="C74" t="s">
        <v>158</v>
      </c>
      <c r="D74">
        <v>2.5</v>
      </c>
      <c r="E74">
        <v>1</v>
      </c>
      <c r="F74">
        <v>7.2</v>
      </c>
      <c r="G74" t="s">
        <v>164</v>
      </c>
      <c r="H74" t="s">
        <v>16</v>
      </c>
      <c r="I74" t="s">
        <v>164</v>
      </c>
      <c r="J74">
        <v>10.6</v>
      </c>
      <c r="K74" t="s">
        <v>182</v>
      </c>
      <c r="M74">
        <v>9.8000000000000007</v>
      </c>
      <c r="N74">
        <v>4.0999999999999996</v>
      </c>
      <c r="O74">
        <v>22.9</v>
      </c>
      <c r="P74" t="s">
        <v>258</v>
      </c>
    </row>
    <row r="75" spans="1:16" x14ac:dyDescent="0.25">
      <c r="A75" s="1" t="s">
        <v>137</v>
      </c>
      <c r="B75" t="s">
        <v>138</v>
      </c>
      <c r="C75">
        <v>30</v>
      </c>
      <c r="D75">
        <v>5</v>
      </c>
      <c r="E75">
        <v>5</v>
      </c>
      <c r="F75">
        <v>2</v>
      </c>
      <c r="G75" t="s">
        <v>16</v>
      </c>
      <c r="H75" t="s">
        <v>165</v>
      </c>
      <c r="I75" t="s">
        <v>175</v>
      </c>
      <c r="J75">
        <v>48.3</v>
      </c>
      <c r="K75" t="s">
        <v>183</v>
      </c>
      <c r="M75">
        <v>47.6</v>
      </c>
      <c r="N75">
        <v>8.1</v>
      </c>
      <c r="O75">
        <v>27</v>
      </c>
      <c r="P75" t="s">
        <v>259</v>
      </c>
    </row>
    <row r="76" spans="1:16" x14ac:dyDescent="0.25">
      <c r="A76" s="1" t="s">
        <v>138</v>
      </c>
      <c r="B76" t="s">
        <v>139</v>
      </c>
      <c r="C76">
        <v>40</v>
      </c>
      <c r="D76" t="s">
        <v>160</v>
      </c>
      <c r="E76">
        <v>3</v>
      </c>
      <c r="F76">
        <v>4</v>
      </c>
      <c r="G76" t="s">
        <v>166</v>
      </c>
      <c r="H76" t="s">
        <v>16</v>
      </c>
      <c r="I76" t="s">
        <v>166</v>
      </c>
      <c r="J76">
        <v>17</v>
      </c>
      <c r="K76" t="s">
        <v>184</v>
      </c>
      <c r="M76">
        <v>16.7</v>
      </c>
      <c r="N76">
        <v>3</v>
      </c>
      <c r="O76">
        <v>35.1</v>
      </c>
      <c r="P76" t="s">
        <v>260</v>
      </c>
    </row>
    <row r="77" spans="1:16" x14ac:dyDescent="0.25">
      <c r="A77" s="1" t="s">
        <v>139</v>
      </c>
      <c r="B77" t="s">
        <v>140</v>
      </c>
      <c r="C77">
        <v>30</v>
      </c>
      <c r="D77">
        <v>5</v>
      </c>
      <c r="E77" t="s">
        <v>16</v>
      </c>
      <c r="F77">
        <v>3</v>
      </c>
      <c r="G77" t="s">
        <v>16</v>
      </c>
      <c r="H77" t="s">
        <v>167</v>
      </c>
      <c r="I77" t="s">
        <v>176</v>
      </c>
      <c r="J77">
        <v>20.2</v>
      </c>
      <c r="K77" t="s">
        <v>185</v>
      </c>
      <c r="M77">
        <v>20.2</v>
      </c>
      <c r="N77">
        <v>1.1000000000000001</v>
      </c>
      <c r="O77">
        <v>38.1</v>
      </c>
      <c r="P77" t="s">
        <v>261</v>
      </c>
    </row>
    <row r="78" spans="1:16" x14ac:dyDescent="0.25">
      <c r="A78" s="1" t="s">
        <v>140</v>
      </c>
      <c r="B78" t="s">
        <v>141</v>
      </c>
      <c r="C78">
        <v>30</v>
      </c>
      <c r="D78">
        <v>4</v>
      </c>
      <c r="E78">
        <v>4</v>
      </c>
      <c r="F78" t="str">
        <f t="shared" ref="F78" si="9">"/"</f>
        <v>/</v>
      </c>
      <c r="G78" t="s">
        <v>168</v>
      </c>
      <c r="H78" t="s">
        <v>16</v>
      </c>
      <c r="I78" t="s">
        <v>177</v>
      </c>
      <c r="J78">
        <v>10.1</v>
      </c>
      <c r="K78" t="s">
        <v>186</v>
      </c>
      <c r="M78">
        <v>9.9</v>
      </c>
      <c r="N78">
        <v>2</v>
      </c>
      <c r="O78">
        <v>39.200000000000003</v>
      </c>
    </row>
    <row r="79" spans="1:16" x14ac:dyDescent="0.25">
      <c r="A79" s="1" t="s">
        <v>141</v>
      </c>
      <c r="B79" t="s">
        <v>142</v>
      </c>
      <c r="C79">
        <v>30</v>
      </c>
      <c r="D79">
        <v>3</v>
      </c>
      <c r="E79">
        <v>6</v>
      </c>
      <c r="F79">
        <v>0</v>
      </c>
      <c r="G79" t="s">
        <v>16</v>
      </c>
      <c r="H79" t="s">
        <v>169</v>
      </c>
      <c r="I79" t="s">
        <v>178</v>
      </c>
      <c r="J79">
        <v>41.6</v>
      </c>
      <c r="K79" t="s">
        <v>187</v>
      </c>
      <c r="M79">
        <v>41.4</v>
      </c>
      <c r="N79">
        <v>3.5</v>
      </c>
      <c r="O79">
        <v>41.2</v>
      </c>
    </row>
    <row r="80" spans="1:16" x14ac:dyDescent="0.25">
      <c r="A80" s="1" t="s">
        <v>142</v>
      </c>
      <c r="B80" t="s">
        <v>143</v>
      </c>
      <c r="C80">
        <v>25</v>
      </c>
      <c r="D80">
        <v>3</v>
      </c>
      <c r="E80">
        <v>2</v>
      </c>
      <c r="F80">
        <v>3</v>
      </c>
      <c r="G80" t="s">
        <v>170</v>
      </c>
      <c r="H80" t="s">
        <v>16</v>
      </c>
      <c r="I80" t="s">
        <v>170</v>
      </c>
      <c r="J80">
        <v>34.200000000000003</v>
      </c>
      <c r="K80" t="s">
        <v>105</v>
      </c>
      <c r="M80">
        <v>34</v>
      </c>
      <c r="N80">
        <v>3.9</v>
      </c>
      <c r="O80">
        <v>44.7</v>
      </c>
    </row>
    <row r="81" spans="1:16" x14ac:dyDescent="0.25">
      <c r="A81" s="1" t="s">
        <v>143</v>
      </c>
      <c r="B81" t="s">
        <v>144</v>
      </c>
      <c r="C81">
        <v>10</v>
      </c>
      <c r="D81">
        <v>6</v>
      </c>
      <c r="E81">
        <v>1</v>
      </c>
      <c r="F81">
        <v>2.5</v>
      </c>
      <c r="G81" t="s">
        <v>16</v>
      </c>
      <c r="H81" t="s">
        <v>171</v>
      </c>
      <c r="I81" t="s">
        <v>179</v>
      </c>
      <c r="J81">
        <v>31.8</v>
      </c>
      <c r="K81" t="s">
        <v>188</v>
      </c>
      <c r="M81">
        <v>30.7</v>
      </c>
      <c r="N81">
        <v>8</v>
      </c>
      <c r="O81">
        <v>48.6</v>
      </c>
    </row>
    <row r="82" spans="1:16" x14ac:dyDescent="0.25">
      <c r="A82" s="1" t="s">
        <v>144</v>
      </c>
      <c r="B82" t="s">
        <v>145</v>
      </c>
      <c r="C82" t="s">
        <v>159</v>
      </c>
      <c r="D82">
        <v>10</v>
      </c>
      <c r="E82">
        <v>4</v>
      </c>
      <c r="F82">
        <v>3</v>
      </c>
      <c r="G82" t="s">
        <v>172</v>
      </c>
      <c r="H82" t="s">
        <v>16</v>
      </c>
      <c r="I82" t="s">
        <v>172</v>
      </c>
      <c r="J82">
        <v>11.3</v>
      </c>
      <c r="K82" t="str">
        <f>"-0 30"</f>
        <v>-0 30</v>
      </c>
      <c r="M82">
        <v>11.3</v>
      </c>
      <c r="N82">
        <v>-0.1</v>
      </c>
      <c r="O82">
        <v>56.6</v>
      </c>
      <c r="P82" t="s">
        <v>262</v>
      </c>
    </row>
    <row r="83" spans="1:16" x14ac:dyDescent="0.25">
      <c r="A83" s="1" t="s">
        <v>145</v>
      </c>
      <c r="O83">
        <v>56.5</v>
      </c>
      <c r="P83" t="s">
        <v>263</v>
      </c>
    </row>
    <row r="85" spans="1:16" x14ac:dyDescent="0.25">
      <c r="A85" s="1" t="s">
        <v>157</v>
      </c>
      <c r="B85" t="s">
        <v>189</v>
      </c>
    </row>
    <row r="86" spans="1:16" x14ac:dyDescent="0.25">
      <c r="A86" s="1" t="s">
        <v>145</v>
      </c>
      <c r="B86" t="s">
        <v>146</v>
      </c>
      <c r="C86">
        <v>8</v>
      </c>
      <c r="D86">
        <v>6</v>
      </c>
      <c r="E86">
        <v>6</v>
      </c>
      <c r="F86">
        <v>0</v>
      </c>
      <c r="G86" t="s">
        <v>16</v>
      </c>
      <c r="H86" t="s">
        <v>190</v>
      </c>
      <c r="I86" t="s">
        <v>202</v>
      </c>
      <c r="J86">
        <v>12.8</v>
      </c>
      <c r="K86" t="str">
        <f>"-4 30"</f>
        <v>-4 30</v>
      </c>
      <c r="M86">
        <v>12.8</v>
      </c>
      <c r="N86">
        <v>-1</v>
      </c>
      <c r="O86">
        <v>56.5</v>
      </c>
      <c r="P86" t="s">
        <v>264</v>
      </c>
    </row>
    <row r="87" spans="1:16" x14ac:dyDescent="0.25">
      <c r="A87" s="1" t="s">
        <v>146</v>
      </c>
      <c r="B87" t="s">
        <v>147</v>
      </c>
      <c r="C87">
        <v>12</v>
      </c>
      <c r="D87">
        <v>4</v>
      </c>
      <c r="E87">
        <v>2</v>
      </c>
      <c r="F87">
        <v>4</v>
      </c>
      <c r="G87" t="s">
        <v>191</v>
      </c>
      <c r="H87" t="s">
        <v>16</v>
      </c>
      <c r="I87" t="s">
        <v>191</v>
      </c>
      <c r="J87">
        <v>16.8</v>
      </c>
      <c r="K87" t="s">
        <v>208</v>
      </c>
      <c r="M87">
        <v>15.1</v>
      </c>
      <c r="N87">
        <v>7.4</v>
      </c>
      <c r="O87">
        <v>55.5</v>
      </c>
      <c r="P87" t="s">
        <v>265</v>
      </c>
    </row>
    <row r="88" spans="1:16" x14ac:dyDescent="0.25">
      <c r="A88" s="1" t="s">
        <v>147</v>
      </c>
      <c r="B88" t="s">
        <v>148</v>
      </c>
      <c r="C88">
        <v>8</v>
      </c>
      <c r="D88">
        <v>6</v>
      </c>
      <c r="E88">
        <v>1</v>
      </c>
      <c r="F88">
        <v>2</v>
      </c>
      <c r="G88" t="s">
        <v>16</v>
      </c>
      <c r="H88" t="s">
        <v>197</v>
      </c>
      <c r="I88" t="s">
        <v>203</v>
      </c>
      <c r="J88">
        <v>27.7</v>
      </c>
      <c r="K88" t="s">
        <v>209</v>
      </c>
      <c r="M88">
        <v>27.1</v>
      </c>
      <c r="N88">
        <v>5.8</v>
      </c>
      <c r="O88">
        <v>62.9</v>
      </c>
    </row>
    <row r="89" spans="1:16" x14ac:dyDescent="0.25">
      <c r="A89" s="1" t="s">
        <v>148</v>
      </c>
      <c r="B89" t="s">
        <v>149</v>
      </c>
      <c r="C89">
        <v>20</v>
      </c>
      <c r="D89">
        <v>4.5</v>
      </c>
      <c r="E89">
        <v>1</v>
      </c>
      <c r="F89">
        <v>3</v>
      </c>
      <c r="G89" t="s">
        <v>192</v>
      </c>
      <c r="H89" t="s">
        <v>16</v>
      </c>
      <c r="I89" t="s">
        <v>192</v>
      </c>
      <c r="J89">
        <v>23.2</v>
      </c>
      <c r="K89" t="s">
        <v>210</v>
      </c>
      <c r="M89">
        <v>22.8</v>
      </c>
      <c r="N89">
        <v>4.0999999999999996</v>
      </c>
      <c r="O89">
        <v>68.7</v>
      </c>
    </row>
    <row r="90" spans="1:16" x14ac:dyDescent="0.25">
      <c r="A90" s="1" t="s">
        <v>149</v>
      </c>
      <c r="B90" t="s">
        <v>150</v>
      </c>
      <c r="C90">
        <v>30</v>
      </c>
      <c r="D90">
        <v>6</v>
      </c>
      <c r="E90">
        <v>0</v>
      </c>
      <c r="F90">
        <v>4</v>
      </c>
      <c r="G90" t="s">
        <v>16</v>
      </c>
      <c r="H90" t="s">
        <v>198</v>
      </c>
      <c r="I90" t="s">
        <v>204</v>
      </c>
      <c r="J90">
        <v>10.7</v>
      </c>
      <c r="K90" t="str">
        <f>"-5 30"</f>
        <v>-5 30</v>
      </c>
      <c r="M90">
        <v>10.6</v>
      </c>
      <c r="N90">
        <v>-1</v>
      </c>
      <c r="O90">
        <v>72.8</v>
      </c>
    </row>
    <row r="91" spans="1:16" x14ac:dyDescent="0.25">
      <c r="A91" s="1" t="s">
        <v>150</v>
      </c>
      <c r="B91" t="s">
        <v>151</v>
      </c>
      <c r="C91">
        <v>30</v>
      </c>
      <c r="D91">
        <v>4</v>
      </c>
      <c r="E91" t="str">
        <f t="shared" ref="E91" si="10">"/"</f>
        <v>/</v>
      </c>
      <c r="F91">
        <v>2</v>
      </c>
      <c r="G91" t="s">
        <v>193</v>
      </c>
      <c r="H91" t="s">
        <v>16</v>
      </c>
      <c r="I91" t="s">
        <v>193</v>
      </c>
      <c r="J91">
        <v>26.5</v>
      </c>
      <c r="K91" t="s">
        <v>211</v>
      </c>
      <c r="M91">
        <v>23.3</v>
      </c>
      <c r="N91">
        <v>12.6</v>
      </c>
      <c r="O91">
        <v>71.8</v>
      </c>
    </row>
    <row r="92" spans="1:16" x14ac:dyDescent="0.25">
      <c r="A92" s="1" t="s">
        <v>151</v>
      </c>
      <c r="B92" t="s">
        <v>152</v>
      </c>
      <c r="C92">
        <v>30</v>
      </c>
      <c r="D92">
        <v>10</v>
      </c>
      <c r="E92">
        <v>6</v>
      </c>
      <c r="F92">
        <v>1</v>
      </c>
      <c r="G92" t="s">
        <v>16</v>
      </c>
      <c r="H92" t="s">
        <v>199</v>
      </c>
      <c r="I92" t="s">
        <v>205</v>
      </c>
      <c r="J92">
        <v>38.6</v>
      </c>
      <c r="K92" t="s">
        <v>210</v>
      </c>
      <c r="M92">
        <v>38</v>
      </c>
      <c r="N92">
        <v>7</v>
      </c>
      <c r="O92">
        <v>84.4</v>
      </c>
    </row>
    <row r="93" spans="1:16" x14ac:dyDescent="0.25">
      <c r="A93" s="1" t="s">
        <v>152</v>
      </c>
      <c r="B93" t="s">
        <v>153</v>
      </c>
      <c r="C93">
        <v>8</v>
      </c>
      <c r="D93">
        <v>13</v>
      </c>
      <c r="E93">
        <v>6</v>
      </c>
      <c r="F93">
        <v>1</v>
      </c>
      <c r="G93" t="s">
        <v>194</v>
      </c>
      <c r="H93" t="s">
        <v>16</v>
      </c>
      <c r="I93" t="s">
        <v>194</v>
      </c>
      <c r="J93">
        <v>23.3</v>
      </c>
      <c r="K93" t="str">
        <f>"-4 00"</f>
        <v>-4 00</v>
      </c>
      <c r="M93">
        <v>23.2</v>
      </c>
      <c r="N93">
        <v>-1.6</v>
      </c>
      <c r="O93">
        <v>91.4</v>
      </c>
    </row>
    <row r="94" spans="1:16" x14ac:dyDescent="0.25">
      <c r="A94" s="1" t="s">
        <v>153</v>
      </c>
      <c r="B94" t="s">
        <v>266</v>
      </c>
      <c r="C94">
        <v>25</v>
      </c>
      <c r="D94">
        <v>5</v>
      </c>
      <c r="E94">
        <v>2</v>
      </c>
      <c r="F94">
        <v>6</v>
      </c>
      <c r="G94" t="s">
        <v>16</v>
      </c>
      <c r="H94" t="s">
        <v>200</v>
      </c>
      <c r="I94" t="s">
        <v>206</v>
      </c>
      <c r="J94">
        <v>23.3</v>
      </c>
      <c r="K94" t="s">
        <v>212</v>
      </c>
      <c r="M94">
        <v>23</v>
      </c>
      <c r="N94">
        <v>3.6</v>
      </c>
      <c r="O94">
        <v>89.8</v>
      </c>
    </row>
    <row r="95" spans="1:16" x14ac:dyDescent="0.25">
      <c r="A95" s="1" t="s">
        <v>266</v>
      </c>
      <c r="B95" t="s">
        <v>155</v>
      </c>
      <c r="C95">
        <v>30</v>
      </c>
      <c r="D95">
        <v>1.5</v>
      </c>
      <c r="E95">
        <v>7</v>
      </c>
      <c r="F95">
        <v>8</v>
      </c>
      <c r="G95" t="s">
        <v>195</v>
      </c>
      <c r="H95" t="s">
        <v>16</v>
      </c>
      <c r="I95" t="s">
        <v>195</v>
      </c>
      <c r="J95">
        <v>24.1</v>
      </c>
      <c r="K95" t="s">
        <v>213</v>
      </c>
      <c r="M95">
        <v>21.4</v>
      </c>
      <c r="N95">
        <v>11.1</v>
      </c>
      <c r="O95">
        <v>93.4</v>
      </c>
      <c r="P95" t="s">
        <v>267</v>
      </c>
    </row>
    <row r="96" spans="1:16" x14ac:dyDescent="0.25">
      <c r="A96" s="1" t="s">
        <v>155</v>
      </c>
      <c r="B96" t="s">
        <v>156</v>
      </c>
      <c r="C96">
        <v>35</v>
      </c>
      <c r="D96">
        <v>6</v>
      </c>
      <c r="E96">
        <v>8</v>
      </c>
      <c r="F96">
        <v>2</v>
      </c>
      <c r="G96" t="s">
        <v>16</v>
      </c>
      <c r="H96" t="s">
        <v>201</v>
      </c>
      <c r="I96" t="s">
        <v>207</v>
      </c>
      <c r="J96">
        <v>14.6</v>
      </c>
      <c r="K96" t="s">
        <v>214</v>
      </c>
      <c r="M96">
        <v>13.4</v>
      </c>
      <c r="N96">
        <v>5.8</v>
      </c>
      <c r="O96">
        <v>104.5</v>
      </c>
    </row>
    <row r="97" spans="1:16" x14ac:dyDescent="0.25">
      <c r="A97" s="1" t="s">
        <v>156</v>
      </c>
      <c r="B97" t="s">
        <v>154</v>
      </c>
      <c r="C97">
        <v>15</v>
      </c>
      <c r="D97">
        <v>6</v>
      </c>
      <c r="E97">
        <v>10</v>
      </c>
      <c r="F97">
        <v>5</v>
      </c>
      <c r="G97" t="s">
        <v>196</v>
      </c>
      <c r="H97" t="s">
        <v>16</v>
      </c>
      <c r="I97" t="s">
        <v>196</v>
      </c>
      <c r="J97">
        <v>15</v>
      </c>
      <c r="K97" t="s">
        <v>215</v>
      </c>
      <c r="M97">
        <v>14.6</v>
      </c>
      <c r="N97">
        <v>3.5</v>
      </c>
      <c r="O97">
        <v>110.3</v>
      </c>
      <c r="P97" t="s">
        <v>268</v>
      </c>
    </row>
    <row r="98" spans="1:16" x14ac:dyDescent="0.25">
      <c r="A98" s="1" t="s">
        <v>154</v>
      </c>
      <c r="O98">
        <v>113.8</v>
      </c>
      <c r="P98" t="s">
        <v>269</v>
      </c>
    </row>
    <row r="100" spans="1:16" x14ac:dyDescent="0.25">
      <c r="A100" s="1" t="s">
        <v>216</v>
      </c>
      <c r="B100" t="s">
        <v>217</v>
      </c>
      <c r="C100" t="s">
        <v>218</v>
      </c>
    </row>
    <row r="101" spans="1:16" x14ac:dyDescent="0.25">
      <c r="A101" s="1">
        <v>18</v>
      </c>
      <c r="B101">
        <v>19</v>
      </c>
      <c r="C101">
        <v>3</v>
      </c>
      <c r="D101">
        <v>11</v>
      </c>
      <c r="E101">
        <v>2</v>
      </c>
      <c r="F101">
        <v>2</v>
      </c>
      <c r="G101" t="s">
        <v>16</v>
      </c>
      <c r="H101" t="s">
        <v>16</v>
      </c>
      <c r="I101" t="s">
        <v>16</v>
      </c>
      <c r="J101">
        <v>10.1</v>
      </c>
      <c r="K101" t="str">
        <f>"-90 00"</f>
        <v>-90 00</v>
      </c>
      <c r="M101" t="s">
        <v>16</v>
      </c>
      <c r="N101">
        <v>-10.1</v>
      </c>
      <c r="O101">
        <v>76.400000000000006</v>
      </c>
      <c r="P101" t="s">
        <v>271</v>
      </c>
    </row>
    <row r="102" spans="1:16" x14ac:dyDescent="0.25">
      <c r="A102" s="1">
        <v>19</v>
      </c>
      <c r="B102">
        <v>20</v>
      </c>
      <c r="C102" t="str">
        <f t="shared" ref="C102" si="11">"/"</f>
        <v>/</v>
      </c>
      <c r="D102">
        <v>1</v>
      </c>
      <c r="E102">
        <v>3</v>
      </c>
      <c r="F102">
        <v>3</v>
      </c>
      <c r="G102" t="s">
        <v>16</v>
      </c>
      <c r="H102" t="s">
        <v>220</v>
      </c>
      <c r="I102" t="s">
        <v>235</v>
      </c>
      <c r="J102">
        <v>8</v>
      </c>
      <c r="K102" t="s">
        <v>243</v>
      </c>
      <c r="M102">
        <v>8</v>
      </c>
      <c r="N102">
        <v>0.1</v>
      </c>
      <c r="O102">
        <v>66.3</v>
      </c>
      <c r="P102" t="s">
        <v>272</v>
      </c>
    </row>
    <row r="103" spans="1:16" x14ac:dyDescent="0.25">
      <c r="A103" s="1">
        <v>20</v>
      </c>
      <c r="B103">
        <v>21</v>
      </c>
      <c r="C103">
        <v>3</v>
      </c>
      <c r="D103">
        <v>1</v>
      </c>
      <c r="E103">
        <v>3</v>
      </c>
      <c r="F103">
        <v>2</v>
      </c>
      <c r="G103" t="s">
        <v>221</v>
      </c>
      <c r="H103" t="s">
        <v>16</v>
      </c>
      <c r="I103" t="s">
        <v>221</v>
      </c>
      <c r="J103">
        <v>24.8</v>
      </c>
      <c r="K103" t="s">
        <v>244</v>
      </c>
      <c r="M103">
        <v>22.8</v>
      </c>
      <c r="N103">
        <v>9.6999999999999993</v>
      </c>
      <c r="O103">
        <v>66.400000000000006</v>
      </c>
    </row>
    <row r="104" spans="1:16" x14ac:dyDescent="0.25">
      <c r="A104" s="1">
        <v>21</v>
      </c>
      <c r="B104">
        <v>22</v>
      </c>
      <c r="C104">
        <v>1</v>
      </c>
      <c r="D104">
        <v>0.5</v>
      </c>
      <c r="E104">
        <v>1.5</v>
      </c>
      <c r="F104">
        <v>3</v>
      </c>
      <c r="G104" t="s">
        <v>16</v>
      </c>
      <c r="H104" t="s">
        <v>222</v>
      </c>
      <c r="I104" t="s">
        <v>236</v>
      </c>
      <c r="J104">
        <v>11.2</v>
      </c>
      <c r="K104" t="s">
        <v>245</v>
      </c>
      <c r="M104">
        <v>11</v>
      </c>
      <c r="N104">
        <v>1.9</v>
      </c>
      <c r="O104">
        <v>76.099999999999994</v>
      </c>
    </row>
    <row r="105" spans="1:16" x14ac:dyDescent="0.25">
      <c r="A105" s="1">
        <v>22</v>
      </c>
      <c r="B105">
        <v>23</v>
      </c>
      <c r="C105">
        <v>1</v>
      </c>
      <c r="D105">
        <v>1</v>
      </c>
      <c r="E105">
        <v>2</v>
      </c>
      <c r="F105">
        <v>3</v>
      </c>
      <c r="G105" t="s">
        <v>223</v>
      </c>
      <c r="H105" t="s">
        <v>16</v>
      </c>
      <c r="I105" t="s">
        <v>223</v>
      </c>
      <c r="J105">
        <v>25.5</v>
      </c>
      <c r="K105" t="str">
        <f>"-9 00"</f>
        <v>-9 00</v>
      </c>
      <c r="M105">
        <v>25.2</v>
      </c>
      <c r="N105">
        <v>-4</v>
      </c>
      <c r="O105">
        <v>78</v>
      </c>
    </row>
    <row r="106" spans="1:16" x14ac:dyDescent="0.25">
      <c r="A106" s="1">
        <v>23</v>
      </c>
      <c r="B106">
        <v>24</v>
      </c>
      <c r="C106">
        <v>1</v>
      </c>
      <c r="D106">
        <v>3</v>
      </c>
      <c r="E106">
        <v>5</v>
      </c>
      <c r="F106">
        <v>0</v>
      </c>
      <c r="G106" t="s">
        <v>16</v>
      </c>
      <c r="H106" t="s">
        <v>224</v>
      </c>
      <c r="I106" t="s">
        <v>237</v>
      </c>
      <c r="J106">
        <v>50.7</v>
      </c>
      <c r="K106" t="s">
        <v>246</v>
      </c>
      <c r="M106">
        <v>48.2</v>
      </c>
      <c r="N106">
        <v>15.6</v>
      </c>
      <c r="O106">
        <v>74</v>
      </c>
    </row>
    <row r="107" spans="1:16" x14ac:dyDescent="0.25">
      <c r="A107" s="1">
        <v>24</v>
      </c>
      <c r="B107">
        <v>25</v>
      </c>
      <c r="C107" t="s">
        <v>219</v>
      </c>
      <c r="D107">
        <v>1</v>
      </c>
      <c r="E107">
        <v>20</v>
      </c>
      <c r="F107">
        <v>20</v>
      </c>
      <c r="G107" t="s">
        <v>225</v>
      </c>
      <c r="H107" t="s">
        <v>16</v>
      </c>
      <c r="I107" t="s">
        <v>225</v>
      </c>
      <c r="J107">
        <v>14</v>
      </c>
      <c r="K107" t="str">
        <f>"-46 00"</f>
        <v>-46 00</v>
      </c>
      <c r="M107">
        <v>9.6999999999999993</v>
      </c>
      <c r="N107">
        <v>-10.1</v>
      </c>
      <c r="O107">
        <v>89.6</v>
      </c>
      <c r="P107" t="s">
        <v>273</v>
      </c>
    </row>
    <row r="108" spans="1:16" x14ac:dyDescent="0.25">
      <c r="A108" s="1">
        <v>25</v>
      </c>
      <c r="B108">
        <v>26</v>
      </c>
      <c r="C108" t="str">
        <f t="shared" ref="C108:F110" si="12">"/"</f>
        <v>/</v>
      </c>
      <c r="D108" t="str">
        <f t="shared" si="12"/>
        <v>/</v>
      </c>
      <c r="E108" t="str">
        <f t="shared" si="12"/>
        <v>/</v>
      </c>
      <c r="F108" t="str">
        <f t="shared" si="12"/>
        <v>/</v>
      </c>
      <c r="G108" t="s">
        <v>16</v>
      </c>
      <c r="H108" t="s">
        <v>226</v>
      </c>
      <c r="I108" t="s">
        <v>238</v>
      </c>
      <c r="J108">
        <v>15.3</v>
      </c>
      <c r="K108" t="str">
        <f>"-43 00"</f>
        <v>-43 00</v>
      </c>
      <c r="M108">
        <v>11.2</v>
      </c>
      <c r="N108">
        <v>-10.4</v>
      </c>
      <c r="O108">
        <v>79.5</v>
      </c>
    </row>
    <row r="109" spans="1:16" x14ac:dyDescent="0.25">
      <c r="A109" s="1">
        <v>26</v>
      </c>
      <c r="B109">
        <v>27</v>
      </c>
      <c r="C109" t="str">
        <f t="shared" si="12"/>
        <v>/</v>
      </c>
      <c r="D109" t="str">
        <f t="shared" si="12"/>
        <v>/</v>
      </c>
      <c r="E109" t="str">
        <f t="shared" si="12"/>
        <v>/</v>
      </c>
      <c r="F109" t="str">
        <f t="shared" si="12"/>
        <v>/</v>
      </c>
      <c r="G109" t="s">
        <v>227</v>
      </c>
      <c r="H109" t="s">
        <v>16</v>
      </c>
      <c r="I109" t="s">
        <v>227</v>
      </c>
      <c r="J109">
        <v>23.2</v>
      </c>
      <c r="K109" t="str">
        <f>"-55 00"</f>
        <v>-55 00</v>
      </c>
      <c r="M109">
        <v>13.3</v>
      </c>
      <c r="N109">
        <v>-19</v>
      </c>
      <c r="O109">
        <v>69.099999999999994</v>
      </c>
    </row>
    <row r="110" spans="1:16" x14ac:dyDescent="0.25">
      <c r="A110" s="1">
        <v>27</v>
      </c>
      <c r="B110">
        <v>28</v>
      </c>
      <c r="C110" t="str">
        <f t="shared" si="12"/>
        <v>/</v>
      </c>
      <c r="D110">
        <v>5</v>
      </c>
      <c r="E110" t="s">
        <v>16</v>
      </c>
      <c r="F110">
        <v>12</v>
      </c>
      <c r="G110" t="s">
        <v>16</v>
      </c>
      <c r="H110" t="s">
        <v>228</v>
      </c>
      <c r="I110" t="s">
        <v>239</v>
      </c>
      <c r="J110">
        <v>25.3</v>
      </c>
      <c r="K110" t="str">
        <f>"-24 30"</f>
        <v>-24 30</v>
      </c>
      <c r="M110">
        <v>23</v>
      </c>
      <c r="N110">
        <v>-10.5</v>
      </c>
      <c r="O110">
        <v>50.1</v>
      </c>
    </row>
    <row r="111" spans="1:16" x14ac:dyDescent="0.25">
      <c r="A111" s="1">
        <v>28</v>
      </c>
      <c r="B111">
        <v>29</v>
      </c>
      <c r="C111">
        <v>3</v>
      </c>
      <c r="D111">
        <v>1</v>
      </c>
      <c r="E111">
        <v>3</v>
      </c>
      <c r="F111">
        <v>4</v>
      </c>
      <c r="G111" t="s">
        <v>229</v>
      </c>
      <c r="H111" t="s">
        <v>16</v>
      </c>
      <c r="I111" t="s">
        <v>229</v>
      </c>
      <c r="J111">
        <v>51</v>
      </c>
      <c r="K111" t="str">
        <f>"-23 30"</f>
        <v>-23 30</v>
      </c>
      <c r="M111">
        <v>46.8</v>
      </c>
      <c r="N111">
        <v>-20.3</v>
      </c>
      <c r="O111">
        <v>39.6</v>
      </c>
    </row>
    <row r="112" spans="1:16" x14ac:dyDescent="0.25">
      <c r="A112" s="1">
        <v>29</v>
      </c>
      <c r="B112">
        <v>30</v>
      </c>
      <c r="C112">
        <v>3</v>
      </c>
      <c r="D112">
        <v>1</v>
      </c>
      <c r="E112" t="str">
        <f t="shared" ref="E112" si="13">"/"</f>
        <v>/</v>
      </c>
      <c r="F112">
        <v>3</v>
      </c>
      <c r="G112" t="s">
        <v>16</v>
      </c>
      <c r="H112" t="s">
        <v>230</v>
      </c>
      <c r="I112" t="s">
        <v>240</v>
      </c>
      <c r="J112">
        <v>13.7</v>
      </c>
      <c r="K112" t="str">
        <f>"-3 00"</f>
        <v>-3 00</v>
      </c>
      <c r="M112">
        <v>13.6</v>
      </c>
      <c r="N112">
        <v>-0.7</v>
      </c>
      <c r="O112">
        <v>19.3</v>
      </c>
    </row>
    <row r="113" spans="1:16" x14ac:dyDescent="0.25">
      <c r="A113" s="1">
        <v>30</v>
      </c>
      <c r="B113">
        <v>31</v>
      </c>
      <c r="C113">
        <v>2</v>
      </c>
      <c r="D113">
        <v>1</v>
      </c>
      <c r="E113">
        <v>5</v>
      </c>
      <c r="F113" t="str">
        <f t="shared" ref="F113" si="14">"/"</f>
        <v>/</v>
      </c>
      <c r="G113" t="s">
        <v>231</v>
      </c>
      <c r="H113" t="s">
        <v>16</v>
      </c>
      <c r="I113" t="s">
        <v>231</v>
      </c>
      <c r="J113">
        <v>25.4</v>
      </c>
      <c r="K113" t="str">
        <f>"-19 00"</f>
        <v>-19 00</v>
      </c>
      <c r="M113">
        <v>24</v>
      </c>
      <c r="N113">
        <v>-8.3000000000000007</v>
      </c>
      <c r="O113">
        <v>18.600000000000001</v>
      </c>
    </row>
    <row r="114" spans="1:16" x14ac:dyDescent="0.25">
      <c r="A114" s="1">
        <v>31</v>
      </c>
      <c r="B114">
        <v>32</v>
      </c>
      <c r="C114">
        <v>6</v>
      </c>
      <c r="D114">
        <v>2</v>
      </c>
      <c r="E114">
        <v>5</v>
      </c>
      <c r="F114">
        <v>4</v>
      </c>
      <c r="G114" t="s">
        <v>16</v>
      </c>
      <c r="H114" t="s">
        <v>179</v>
      </c>
      <c r="I114" t="s">
        <v>171</v>
      </c>
      <c r="J114">
        <v>11.2</v>
      </c>
      <c r="K114" t="s">
        <v>247</v>
      </c>
      <c r="M114">
        <v>11.1</v>
      </c>
      <c r="N114">
        <v>-1</v>
      </c>
      <c r="O114">
        <v>10.3</v>
      </c>
    </row>
    <row r="115" spans="1:16" x14ac:dyDescent="0.25">
      <c r="A115" s="1">
        <v>32</v>
      </c>
      <c r="B115">
        <v>33</v>
      </c>
      <c r="C115">
        <v>0.5</v>
      </c>
      <c r="D115">
        <v>0.5</v>
      </c>
      <c r="E115" t="str">
        <f t="shared" ref="E115:F117" si="15">"/"</f>
        <v>/</v>
      </c>
      <c r="F115">
        <v>1</v>
      </c>
      <c r="G115" t="s">
        <v>232</v>
      </c>
      <c r="H115" t="s">
        <v>16</v>
      </c>
      <c r="I115" t="s">
        <v>232</v>
      </c>
      <c r="J115">
        <v>14.1</v>
      </c>
      <c r="K115" t="str">
        <f>"-9 00"</f>
        <v>-9 00</v>
      </c>
      <c r="M115">
        <v>13.9</v>
      </c>
      <c r="N115">
        <v>-2.2000000000000002</v>
      </c>
      <c r="O115">
        <v>9.3000000000000007</v>
      </c>
    </row>
    <row r="116" spans="1:16" x14ac:dyDescent="0.25">
      <c r="A116" s="1">
        <v>33</v>
      </c>
      <c r="B116">
        <v>34</v>
      </c>
      <c r="C116">
        <v>0.5</v>
      </c>
      <c r="D116">
        <v>0.5</v>
      </c>
      <c r="E116" t="s">
        <v>16</v>
      </c>
      <c r="F116">
        <v>2</v>
      </c>
      <c r="G116" t="s">
        <v>16</v>
      </c>
      <c r="H116" t="s">
        <v>233</v>
      </c>
      <c r="I116" t="s">
        <v>241</v>
      </c>
      <c r="J116">
        <v>17</v>
      </c>
      <c r="K116" t="s">
        <v>248</v>
      </c>
      <c r="M116">
        <v>16.8</v>
      </c>
      <c r="N116">
        <v>1</v>
      </c>
      <c r="O116">
        <v>7.1</v>
      </c>
    </row>
    <row r="117" spans="1:16" x14ac:dyDescent="0.25">
      <c r="A117" s="1">
        <v>34</v>
      </c>
      <c r="B117">
        <v>35</v>
      </c>
      <c r="C117">
        <v>3</v>
      </c>
      <c r="D117">
        <v>2</v>
      </c>
      <c r="E117">
        <v>2</v>
      </c>
      <c r="F117" t="str">
        <f t="shared" si="15"/>
        <v>/</v>
      </c>
      <c r="G117" t="s">
        <v>16</v>
      </c>
      <c r="H117" t="s">
        <v>234</v>
      </c>
      <c r="I117" t="s">
        <v>242</v>
      </c>
      <c r="J117">
        <v>13.9</v>
      </c>
      <c r="K117" t="str">
        <f>"-12 30"</f>
        <v>-12 30</v>
      </c>
      <c r="M117">
        <v>13.7</v>
      </c>
      <c r="N117">
        <v>-3</v>
      </c>
      <c r="O117">
        <v>8.1</v>
      </c>
      <c r="P117" t="s">
        <v>274</v>
      </c>
    </row>
    <row r="118" spans="1:16" x14ac:dyDescent="0.25">
      <c r="A118" s="1">
        <v>35</v>
      </c>
      <c r="O118">
        <v>5.0999999999999996</v>
      </c>
      <c r="P118" t="s">
        <v>270</v>
      </c>
    </row>
    <row r="119" spans="1:16" x14ac:dyDescent="0.25">
      <c r="A119">
        <v>35</v>
      </c>
      <c r="B119" t="s">
        <v>97</v>
      </c>
      <c r="G119">
        <v>234</v>
      </c>
      <c r="H119" s="7" t="s">
        <v>16</v>
      </c>
      <c r="I119">
        <v>234</v>
      </c>
      <c r="J119">
        <v>18</v>
      </c>
      <c r="K119">
        <v>45</v>
      </c>
      <c r="M119">
        <v>12.7</v>
      </c>
      <c r="N119">
        <v>12.7</v>
      </c>
      <c r="P119" t="str">
        <f>P44</f>
        <v>(e) is where passage rejoins streamway. Stn 35 (p.52)-(e) is F.S. 234 (TRUE), Dist 18', Clino +45 (deg), HD 12.7, VD +12.7</v>
      </c>
    </row>
    <row r="120" spans="1:16" x14ac:dyDescent="0.25">
      <c r="A120">
        <v>35</v>
      </c>
      <c r="B120" t="s">
        <v>23</v>
      </c>
      <c r="G120" s="7" t="s">
        <v>16</v>
      </c>
      <c r="H120" s="7">
        <v>350</v>
      </c>
      <c r="I120" s="7">
        <f>H120-180</f>
        <v>170</v>
      </c>
      <c r="J120">
        <v>10</v>
      </c>
      <c r="K120" s="7">
        <v>0</v>
      </c>
      <c r="M120" s="7">
        <v>10</v>
      </c>
      <c r="N120">
        <v>0</v>
      </c>
      <c r="P120" t="str">
        <f>P8</f>
        <v>D is in stream. Big rock (start of New Series survey) 10' away at 350 (deg). Big passage starts as continuation of Howards Dig.</v>
      </c>
    </row>
    <row r="122" spans="1:16" x14ac:dyDescent="0.25">
      <c r="A122" s="1" t="s">
        <v>391</v>
      </c>
      <c r="B122" s="1" t="s">
        <v>390</v>
      </c>
    </row>
    <row r="123" spans="1:16" x14ac:dyDescent="0.25">
      <c r="A123" s="1">
        <v>27</v>
      </c>
      <c r="B123">
        <v>36</v>
      </c>
      <c r="C123" s="7" t="s">
        <v>16</v>
      </c>
      <c r="D123" s="7" t="s">
        <v>16</v>
      </c>
      <c r="E123" s="7" t="s">
        <v>16</v>
      </c>
      <c r="F123" s="7" t="s">
        <v>16</v>
      </c>
      <c r="G123" s="7" t="s">
        <v>16</v>
      </c>
      <c r="H123" s="7" t="s">
        <v>16</v>
      </c>
      <c r="I123" s="7" t="s">
        <v>16</v>
      </c>
      <c r="J123" s="7">
        <v>6</v>
      </c>
      <c r="K123" s="7" t="s">
        <v>310</v>
      </c>
      <c r="M123" s="7" t="s">
        <v>16</v>
      </c>
      <c r="N123">
        <v>6</v>
      </c>
      <c r="O123">
        <v>50.1</v>
      </c>
      <c r="P123" t="s">
        <v>379</v>
      </c>
    </row>
    <row r="124" spans="1:16" x14ac:dyDescent="0.25">
      <c r="A124" s="1">
        <v>36</v>
      </c>
      <c r="B124">
        <v>37</v>
      </c>
      <c r="C124" s="7">
        <v>3</v>
      </c>
      <c r="D124" s="7">
        <v>1</v>
      </c>
      <c r="E124" s="7">
        <v>4</v>
      </c>
      <c r="F124" s="7">
        <v>4</v>
      </c>
      <c r="G124" s="7" t="s">
        <v>16</v>
      </c>
      <c r="H124" s="7" t="s">
        <v>286</v>
      </c>
      <c r="I124" s="7" t="s">
        <v>302</v>
      </c>
      <c r="J124" s="7">
        <v>29.4</v>
      </c>
      <c r="K124" s="7" t="s">
        <v>309</v>
      </c>
      <c r="M124">
        <v>28.6</v>
      </c>
      <c r="N124">
        <v>6.4</v>
      </c>
      <c r="O124">
        <v>56.1</v>
      </c>
    </row>
    <row r="125" spans="1:16" x14ac:dyDescent="0.25">
      <c r="A125" s="1">
        <v>37</v>
      </c>
      <c r="B125">
        <v>38</v>
      </c>
      <c r="C125" s="7">
        <v>1</v>
      </c>
      <c r="D125" s="7">
        <v>3</v>
      </c>
      <c r="E125" s="7">
        <v>4</v>
      </c>
      <c r="F125" s="7">
        <v>1</v>
      </c>
      <c r="G125" s="7" t="s">
        <v>287</v>
      </c>
      <c r="H125" s="7" t="s">
        <v>16</v>
      </c>
      <c r="I125" s="7" t="s">
        <v>287</v>
      </c>
      <c r="J125" s="7">
        <v>12.1</v>
      </c>
      <c r="K125" s="7" t="str">
        <f>"-38 00"</f>
        <v>-38 00</v>
      </c>
      <c r="M125">
        <v>9.5</v>
      </c>
      <c r="N125">
        <v>-7.4</v>
      </c>
      <c r="O125">
        <v>62.5</v>
      </c>
      <c r="P125" t="s">
        <v>380</v>
      </c>
    </row>
    <row r="126" spans="1:16" x14ac:dyDescent="0.25">
      <c r="A126" s="1">
        <v>38</v>
      </c>
      <c r="B126">
        <v>39</v>
      </c>
      <c r="C126" s="7">
        <v>1</v>
      </c>
      <c r="D126" s="7">
        <v>0.5</v>
      </c>
      <c r="E126" s="7">
        <v>1</v>
      </c>
      <c r="F126" s="7">
        <v>4</v>
      </c>
      <c r="G126" s="7" t="s">
        <v>16</v>
      </c>
      <c r="H126" s="7" t="s">
        <v>288</v>
      </c>
      <c r="I126" s="7" t="s">
        <v>303</v>
      </c>
      <c r="J126" s="7">
        <v>30.2</v>
      </c>
      <c r="K126" s="7" t="s">
        <v>311</v>
      </c>
      <c r="M126">
        <v>28.9</v>
      </c>
      <c r="N126">
        <v>8.6</v>
      </c>
      <c r="O126">
        <v>55.1</v>
      </c>
    </row>
    <row r="127" spans="1:16" x14ac:dyDescent="0.25">
      <c r="A127" s="1">
        <v>39</v>
      </c>
      <c r="B127">
        <v>40</v>
      </c>
      <c r="C127" s="7">
        <v>2</v>
      </c>
      <c r="D127" s="7">
        <v>2</v>
      </c>
      <c r="E127" s="7">
        <v>3</v>
      </c>
      <c r="F127" s="7">
        <v>4</v>
      </c>
      <c r="G127" s="7" t="s">
        <v>289</v>
      </c>
      <c r="H127" s="7" t="s">
        <v>16</v>
      </c>
      <c r="I127" s="7" t="s">
        <v>289</v>
      </c>
      <c r="J127" s="7">
        <v>15</v>
      </c>
      <c r="K127" s="7" t="s">
        <v>312</v>
      </c>
      <c r="M127">
        <v>13.4</v>
      </c>
      <c r="N127">
        <v>6.8</v>
      </c>
      <c r="O127">
        <v>63.7</v>
      </c>
    </row>
    <row r="128" spans="1:16" x14ac:dyDescent="0.25">
      <c r="A128" s="1">
        <v>40</v>
      </c>
      <c r="B128">
        <v>41</v>
      </c>
      <c r="C128" s="7">
        <v>2</v>
      </c>
      <c r="D128" s="7">
        <v>2</v>
      </c>
      <c r="E128" s="7">
        <v>6</v>
      </c>
      <c r="F128" s="7">
        <v>2</v>
      </c>
      <c r="G128" s="7" t="s">
        <v>16</v>
      </c>
      <c r="H128" s="7" t="s">
        <v>290</v>
      </c>
      <c r="I128" s="7" t="s">
        <v>304</v>
      </c>
      <c r="J128" s="7">
        <v>24.4</v>
      </c>
      <c r="K128" s="7" t="s">
        <v>215</v>
      </c>
      <c r="M128">
        <v>23.7</v>
      </c>
      <c r="N128">
        <v>5.7</v>
      </c>
      <c r="O128">
        <v>70.599999999999994</v>
      </c>
    </row>
    <row r="129" spans="1:16" x14ac:dyDescent="0.25">
      <c r="A129" s="1">
        <v>41</v>
      </c>
      <c r="B129">
        <v>42</v>
      </c>
      <c r="C129" s="7">
        <v>3</v>
      </c>
      <c r="D129" s="7">
        <v>2</v>
      </c>
      <c r="E129" s="7">
        <v>2</v>
      </c>
      <c r="F129" s="7">
        <v>6</v>
      </c>
      <c r="G129" s="7" t="s">
        <v>291</v>
      </c>
      <c r="H129" s="7" t="s">
        <v>16</v>
      </c>
      <c r="I129" s="7" t="s">
        <v>291</v>
      </c>
      <c r="J129" s="7">
        <v>19.5</v>
      </c>
      <c r="K129" s="7" t="s">
        <v>210</v>
      </c>
      <c r="M129">
        <v>19.2</v>
      </c>
      <c r="N129">
        <v>3.5</v>
      </c>
      <c r="O129">
        <v>76.3</v>
      </c>
    </row>
    <row r="130" spans="1:16" x14ac:dyDescent="0.25">
      <c r="A130" s="1">
        <v>42</v>
      </c>
      <c r="B130">
        <v>43</v>
      </c>
      <c r="C130" s="7">
        <v>2</v>
      </c>
      <c r="D130" s="7">
        <v>0.5</v>
      </c>
      <c r="E130" s="7">
        <v>2</v>
      </c>
      <c r="F130" s="7">
        <v>1</v>
      </c>
      <c r="G130" s="7" t="s">
        <v>16</v>
      </c>
      <c r="H130" s="7" t="s">
        <v>292</v>
      </c>
      <c r="I130" s="7" t="s">
        <v>305</v>
      </c>
      <c r="J130" s="7">
        <v>14.8</v>
      </c>
      <c r="K130" s="7" t="s">
        <v>188</v>
      </c>
      <c r="M130">
        <v>14.3</v>
      </c>
      <c r="N130">
        <v>3.7</v>
      </c>
      <c r="O130">
        <v>79.900000000000006</v>
      </c>
    </row>
    <row r="131" spans="1:16" x14ac:dyDescent="0.25">
      <c r="A131" s="1">
        <v>43</v>
      </c>
      <c r="B131">
        <v>44</v>
      </c>
      <c r="C131" s="7">
        <v>2</v>
      </c>
      <c r="D131" s="7">
        <v>2</v>
      </c>
      <c r="E131" s="7">
        <v>2</v>
      </c>
      <c r="F131" s="7">
        <v>7</v>
      </c>
      <c r="G131" s="7" t="s">
        <v>293</v>
      </c>
      <c r="H131" s="7" t="s">
        <v>16</v>
      </c>
      <c r="I131" s="7" t="s">
        <v>293</v>
      </c>
      <c r="J131" s="7">
        <v>49.3</v>
      </c>
      <c r="K131" s="7" t="s">
        <v>244</v>
      </c>
      <c r="M131">
        <v>45.4</v>
      </c>
      <c r="N131">
        <v>19.2</v>
      </c>
      <c r="O131">
        <v>83.6</v>
      </c>
    </row>
    <row r="132" spans="1:16" x14ac:dyDescent="0.25">
      <c r="A132" s="1">
        <v>44</v>
      </c>
      <c r="B132">
        <v>45</v>
      </c>
      <c r="C132" s="7">
        <v>7</v>
      </c>
      <c r="D132" s="7">
        <v>3</v>
      </c>
      <c r="E132" s="7">
        <v>0</v>
      </c>
      <c r="F132" s="7">
        <v>4</v>
      </c>
      <c r="G132" s="7" t="s">
        <v>16</v>
      </c>
      <c r="H132" s="7" t="s">
        <v>294</v>
      </c>
      <c r="I132" s="7" t="s">
        <v>306</v>
      </c>
      <c r="J132" s="7">
        <v>7.3</v>
      </c>
      <c r="K132" s="7" t="s">
        <v>313</v>
      </c>
      <c r="M132">
        <v>7.3</v>
      </c>
      <c r="N132">
        <v>0.8</v>
      </c>
      <c r="O132">
        <v>103</v>
      </c>
    </row>
    <row r="133" spans="1:16" x14ac:dyDescent="0.25">
      <c r="A133" s="1">
        <v>45</v>
      </c>
      <c r="B133">
        <v>46</v>
      </c>
      <c r="C133" s="7">
        <v>7</v>
      </c>
      <c r="D133" s="7">
        <v>4</v>
      </c>
      <c r="E133" s="7">
        <v>2</v>
      </c>
      <c r="F133" s="7">
        <v>0.5</v>
      </c>
      <c r="G133" s="7" t="s">
        <v>295</v>
      </c>
      <c r="H133" s="7" t="s">
        <v>16</v>
      </c>
      <c r="I133" s="7" t="s">
        <v>295</v>
      </c>
      <c r="J133" s="7">
        <v>16.2</v>
      </c>
      <c r="K133" s="7" t="str">
        <f>"-31 00"</f>
        <v>-31 00</v>
      </c>
      <c r="M133">
        <v>13.8</v>
      </c>
      <c r="N133">
        <v>-8.3000000000000007</v>
      </c>
      <c r="O133">
        <v>103.8</v>
      </c>
    </row>
    <row r="134" spans="1:16" x14ac:dyDescent="0.25">
      <c r="A134" s="1">
        <v>46</v>
      </c>
      <c r="B134">
        <v>47</v>
      </c>
      <c r="C134" s="7">
        <v>15</v>
      </c>
      <c r="D134" s="7" t="str">
        <f t="shared" ref="D134:F134" si="16">"/"</f>
        <v>/</v>
      </c>
      <c r="E134" s="7" t="str">
        <f t="shared" si="16"/>
        <v>/</v>
      </c>
      <c r="F134" s="7" t="str">
        <f t="shared" si="16"/>
        <v>/</v>
      </c>
      <c r="G134" s="7" t="s">
        <v>16</v>
      </c>
      <c r="H134" s="7" t="s">
        <v>16</v>
      </c>
      <c r="I134" s="7" t="s">
        <v>16</v>
      </c>
      <c r="J134" s="7">
        <v>35</v>
      </c>
      <c r="K134" s="7" t="str">
        <f>"-90 00"</f>
        <v>-90 00</v>
      </c>
      <c r="M134" t="s">
        <v>16</v>
      </c>
      <c r="N134">
        <v>-35</v>
      </c>
      <c r="O134">
        <v>95.6</v>
      </c>
      <c r="P134" t="s">
        <v>381</v>
      </c>
    </row>
    <row r="135" spans="1:16" x14ac:dyDescent="0.25">
      <c r="A135" s="1">
        <v>47</v>
      </c>
      <c r="B135">
        <v>48</v>
      </c>
      <c r="C135" s="7" t="s">
        <v>285</v>
      </c>
      <c r="D135" s="7">
        <v>2</v>
      </c>
      <c r="E135" s="7">
        <v>7</v>
      </c>
      <c r="F135" s="7">
        <v>5</v>
      </c>
      <c r="G135" s="7" t="s">
        <v>16</v>
      </c>
      <c r="H135" s="7" t="s">
        <v>296</v>
      </c>
      <c r="I135" s="7" t="s">
        <v>196</v>
      </c>
      <c r="J135" s="7">
        <v>23.6</v>
      </c>
      <c r="K135" s="7" t="s">
        <v>314</v>
      </c>
      <c r="M135">
        <v>23.4</v>
      </c>
      <c r="N135">
        <v>3.3</v>
      </c>
      <c r="O135">
        <v>60.6</v>
      </c>
    </row>
    <row r="136" spans="1:16" x14ac:dyDescent="0.25">
      <c r="A136" s="1">
        <v>48</v>
      </c>
      <c r="B136">
        <v>49</v>
      </c>
      <c r="C136" s="7">
        <v>20</v>
      </c>
      <c r="D136" s="7">
        <v>3</v>
      </c>
      <c r="E136" s="7">
        <v>4</v>
      </c>
      <c r="F136" s="7">
        <v>3</v>
      </c>
      <c r="G136" s="7" t="s">
        <v>297</v>
      </c>
      <c r="H136" s="7" t="s">
        <v>16</v>
      </c>
      <c r="I136" s="7" t="s">
        <v>297</v>
      </c>
      <c r="J136" s="7">
        <v>27.5</v>
      </c>
      <c r="K136" s="7" t="str">
        <f>"-34 30"</f>
        <v>-34 30</v>
      </c>
      <c r="M136">
        <v>22.6</v>
      </c>
      <c r="N136">
        <v>-15.6</v>
      </c>
      <c r="O136">
        <v>64</v>
      </c>
    </row>
    <row r="137" spans="1:16" x14ac:dyDescent="0.25">
      <c r="A137" s="1">
        <v>49</v>
      </c>
      <c r="B137">
        <v>50</v>
      </c>
      <c r="C137" s="7">
        <v>15</v>
      </c>
      <c r="D137" s="7">
        <v>0.5</v>
      </c>
      <c r="E137" s="7">
        <v>0.5</v>
      </c>
      <c r="F137" s="7">
        <v>3</v>
      </c>
      <c r="G137" s="7" t="s">
        <v>16</v>
      </c>
      <c r="H137" s="7" t="s">
        <v>298</v>
      </c>
      <c r="I137" s="7" t="s">
        <v>307</v>
      </c>
      <c r="J137" s="7">
        <v>23.5</v>
      </c>
      <c r="K137" s="7" t="str">
        <f>"-5 00"</f>
        <v>-5 00</v>
      </c>
      <c r="M137">
        <v>23.4</v>
      </c>
      <c r="N137">
        <v>-2.7</v>
      </c>
      <c r="O137">
        <v>48.5</v>
      </c>
    </row>
    <row r="138" spans="1:16" x14ac:dyDescent="0.25">
      <c r="A138" s="1">
        <v>50</v>
      </c>
      <c r="B138">
        <v>51</v>
      </c>
      <c r="C138" s="7">
        <v>10</v>
      </c>
      <c r="D138" s="7">
        <v>2</v>
      </c>
      <c r="E138" s="7">
        <v>2</v>
      </c>
      <c r="F138" s="7">
        <v>3</v>
      </c>
      <c r="G138" s="7" t="s">
        <v>299</v>
      </c>
      <c r="H138" s="7" t="s">
        <v>16</v>
      </c>
      <c r="I138" s="7" t="s">
        <v>299</v>
      </c>
      <c r="J138" s="7">
        <v>16.899999999999999</v>
      </c>
      <c r="K138" s="7" t="str">
        <f>"-17 30"</f>
        <v>-17 30</v>
      </c>
      <c r="M138">
        <v>16.100000000000001</v>
      </c>
      <c r="N138">
        <v>-5.0999999999999996</v>
      </c>
      <c r="O138">
        <v>45.9</v>
      </c>
      <c r="P138" t="s">
        <v>382</v>
      </c>
    </row>
    <row r="139" spans="1:16" x14ac:dyDescent="0.25">
      <c r="A139" s="1">
        <v>51</v>
      </c>
      <c r="B139">
        <v>52</v>
      </c>
      <c r="C139" s="7">
        <v>3</v>
      </c>
      <c r="D139" s="7">
        <v>4</v>
      </c>
      <c r="E139" s="7">
        <v>0</v>
      </c>
      <c r="F139" s="7">
        <v>4</v>
      </c>
      <c r="G139" s="7" t="s">
        <v>16</v>
      </c>
      <c r="H139" s="7" t="s">
        <v>300</v>
      </c>
      <c r="I139" s="7" t="s">
        <v>308</v>
      </c>
      <c r="J139" s="7">
        <v>49.5</v>
      </c>
      <c r="K139" s="7" t="str">
        <f>"-20 30"</f>
        <v>-20 30</v>
      </c>
      <c r="M139">
        <v>46.4</v>
      </c>
      <c r="N139">
        <v>-17.3</v>
      </c>
      <c r="O139">
        <v>40.9</v>
      </c>
    </row>
    <row r="140" spans="1:16" x14ac:dyDescent="0.25">
      <c r="A140" s="1">
        <v>52</v>
      </c>
      <c r="B140">
        <v>53</v>
      </c>
      <c r="C140" s="7">
        <v>3</v>
      </c>
      <c r="D140" s="7">
        <v>2</v>
      </c>
      <c r="E140" s="7">
        <v>5</v>
      </c>
      <c r="F140" s="7">
        <v>3</v>
      </c>
      <c r="G140" s="7" t="s">
        <v>301</v>
      </c>
      <c r="H140" s="7" t="s">
        <v>16</v>
      </c>
      <c r="I140" s="7" t="s">
        <v>301</v>
      </c>
      <c r="J140" s="7">
        <v>51.2</v>
      </c>
      <c r="K140" s="7" t="str">
        <f>"-12 30"</f>
        <v>-12 30</v>
      </c>
      <c r="M140">
        <v>50</v>
      </c>
      <c r="N140">
        <v>-11.1</v>
      </c>
      <c r="O140">
        <v>23.9</v>
      </c>
    </row>
    <row r="141" spans="1:16" x14ac:dyDescent="0.25">
      <c r="A141" s="1">
        <v>53</v>
      </c>
      <c r="B141">
        <v>54</v>
      </c>
      <c r="C141" s="7">
        <v>1</v>
      </c>
      <c r="D141" s="7">
        <v>1</v>
      </c>
      <c r="E141" s="7" t="str">
        <f t="shared" ref="E141" si="17">"/"</f>
        <v>/</v>
      </c>
      <c r="F141" s="7">
        <v>2</v>
      </c>
      <c r="G141" s="7" t="s">
        <v>235</v>
      </c>
      <c r="H141" s="7" t="s">
        <v>16</v>
      </c>
      <c r="I141" s="7" t="s">
        <v>235</v>
      </c>
      <c r="J141" s="7">
        <v>14.2</v>
      </c>
      <c r="K141" s="7" t="s">
        <v>126</v>
      </c>
      <c r="M141">
        <v>13.3</v>
      </c>
      <c r="N141">
        <v>-3.5</v>
      </c>
      <c r="O141">
        <v>13.2</v>
      </c>
      <c r="P141" t="s">
        <v>383</v>
      </c>
    </row>
    <row r="142" spans="1:16" x14ac:dyDescent="0.25">
      <c r="A142" s="1">
        <v>54</v>
      </c>
      <c r="O142">
        <v>10</v>
      </c>
      <c r="P142" t="s">
        <v>384</v>
      </c>
    </row>
    <row r="144" spans="1:16" x14ac:dyDescent="0.25">
      <c r="A144" s="1" t="s">
        <v>315</v>
      </c>
      <c r="B144" s="1" t="s">
        <v>316</v>
      </c>
      <c r="C144" s="1" t="s">
        <v>317</v>
      </c>
    </row>
    <row r="145" spans="1:16" x14ac:dyDescent="0.25">
      <c r="A145" s="1" t="s">
        <v>318</v>
      </c>
      <c r="B145" t="s">
        <v>319</v>
      </c>
      <c r="C145">
        <v>3</v>
      </c>
      <c r="D145">
        <v>2</v>
      </c>
      <c r="E145">
        <v>2</v>
      </c>
      <c r="F145">
        <v>1</v>
      </c>
      <c r="G145" t="s">
        <v>16</v>
      </c>
      <c r="H145" t="s">
        <v>352</v>
      </c>
      <c r="I145" t="s">
        <v>359</v>
      </c>
      <c r="J145">
        <v>12</v>
      </c>
      <c r="K145" t="str">
        <f>"-6 00"</f>
        <v>-6 00</v>
      </c>
      <c r="M145">
        <v>11.9</v>
      </c>
      <c r="N145">
        <v>-1.3</v>
      </c>
      <c r="O145">
        <v>367.1</v>
      </c>
      <c r="P145" t="s">
        <v>385</v>
      </c>
    </row>
    <row r="146" spans="1:16" x14ac:dyDescent="0.25">
      <c r="A146" s="1" t="s">
        <v>319</v>
      </c>
      <c r="B146" t="s">
        <v>320</v>
      </c>
      <c r="C146">
        <v>1</v>
      </c>
      <c r="D146">
        <v>1</v>
      </c>
      <c r="E146">
        <v>8</v>
      </c>
      <c r="F146">
        <v>6</v>
      </c>
      <c r="G146" t="s">
        <v>287</v>
      </c>
      <c r="H146" t="s">
        <v>16</v>
      </c>
      <c r="I146" t="s">
        <v>287</v>
      </c>
      <c r="J146">
        <v>3</v>
      </c>
      <c r="K146" t="str">
        <f>"-6 00"</f>
        <v>-6 00</v>
      </c>
      <c r="M146">
        <v>3</v>
      </c>
      <c r="N146">
        <v>-0.3</v>
      </c>
      <c r="O146">
        <v>365.8</v>
      </c>
    </row>
    <row r="147" spans="1:16" x14ac:dyDescent="0.25">
      <c r="A147" s="1" t="s">
        <v>320</v>
      </c>
      <c r="B147" t="s">
        <v>321</v>
      </c>
      <c r="C147" s="7" t="str">
        <f t="shared" ref="C147:F147" si="18">"/"</f>
        <v>/</v>
      </c>
      <c r="D147" s="7" t="str">
        <f t="shared" si="18"/>
        <v>/</v>
      </c>
      <c r="E147" s="7" t="str">
        <f t="shared" si="18"/>
        <v>/</v>
      </c>
      <c r="F147" s="7" t="str">
        <f t="shared" si="18"/>
        <v>/</v>
      </c>
      <c r="G147" t="s">
        <v>16</v>
      </c>
      <c r="H147" t="s">
        <v>16</v>
      </c>
      <c r="I147" t="s">
        <v>16</v>
      </c>
      <c r="J147">
        <v>6</v>
      </c>
      <c r="K147" t="str">
        <f>"-90 00"</f>
        <v>-90 00</v>
      </c>
      <c r="M147" t="s">
        <v>16</v>
      </c>
      <c r="N147">
        <v>-6</v>
      </c>
      <c r="O147">
        <v>365.5</v>
      </c>
      <c r="P147" t="s">
        <v>386</v>
      </c>
    </row>
    <row r="148" spans="1:16" x14ac:dyDescent="0.25">
      <c r="A148" s="1" t="s">
        <v>321</v>
      </c>
      <c r="B148" t="s">
        <v>322</v>
      </c>
      <c r="C148">
        <v>5</v>
      </c>
      <c r="D148" t="s">
        <v>16</v>
      </c>
      <c r="E148">
        <v>3</v>
      </c>
      <c r="F148">
        <v>2</v>
      </c>
      <c r="G148" t="s">
        <v>16</v>
      </c>
      <c r="H148" t="s">
        <v>353</v>
      </c>
      <c r="I148" t="s">
        <v>360</v>
      </c>
      <c r="J148">
        <v>17.5</v>
      </c>
      <c r="K148" t="s">
        <v>314</v>
      </c>
      <c r="M148">
        <v>17.3</v>
      </c>
      <c r="N148">
        <v>2.4</v>
      </c>
      <c r="O148">
        <v>359.5</v>
      </c>
    </row>
    <row r="149" spans="1:16" x14ac:dyDescent="0.25">
      <c r="A149" s="1" t="s">
        <v>322</v>
      </c>
      <c r="B149" t="s">
        <v>323</v>
      </c>
      <c r="C149">
        <v>3</v>
      </c>
      <c r="D149">
        <v>4</v>
      </c>
      <c r="E149">
        <v>2</v>
      </c>
      <c r="F149">
        <v>1</v>
      </c>
      <c r="G149" t="s">
        <v>346</v>
      </c>
      <c r="H149" t="s">
        <v>16</v>
      </c>
      <c r="I149" t="s">
        <v>346</v>
      </c>
      <c r="J149">
        <v>4.9000000000000004</v>
      </c>
      <c r="K149" t="s">
        <v>367</v>
      </c>
      <c r="M149">
        <v>4.9000000000000004</v>
      </c>
      <c r="N149">
        <v>0.5</v>
      </c>
      <c r="O149">
        <v>361.9</v>
      </c>
    </row>
    <row r="150" spans="1:16" x14ac:dyDescent="0.25">
      <c r="A150" s="1" t="s">
        <v>323</v>
      </c>
      <c r="B150" t="s">
        <v>324</v>
      </c>
      <c r="C150">
        <v>15</v>
      </c>
      <c r="D150">
        <v>3</v>
      </c>
      <c r="E150">
        <v>2</v>
      </c>
      <c r="F150">
        <v>2</v>
      </c>
      <c r="G150" t="s">
        <v>16</v>
      </c>
      <c r="H150" t="s">
        <v>354</v>
      </c>
      <c r="I150" t="s">
        <v>361</v>
      </c>
      <c r="J150">
        <v>23.5</v>
      </c>
      <c r="K150" t="str">
        <f>"-12 00"</f>
        <v>-12 00</v>
      </c>
      <c r="M150">
        <v>23</v>
      </c>
      <c r="N150">
        <v>-4.9000000000000004</v>
      </c>
      <c r="O150">
        <v>362.4</v>
      </c>
    </row>
    <row r="151" spans="1:16" x14ac:dyDescent="0.25">
      <c r="A151" s="1" t="s">
        <v>324</v>
      </c>
      <c r="B151" t="s">
        <v>325</v>
      </c>
      <c r="C151">
        <v>2</v>
      </c>
      <c r="D151">
        <v>3</v>
      </c>
      <c r="E151" s="7" t="str">
        <f t="shared" ref="E151" si="19">"/"</f>
        <v>/</v>
      </c>
      <c r="F151">
        <v>3</v>
      </c>
      <c r="G151" t="s">
        <v>347</v>
      </c>
      <c r="H151" t="s">
        <v>16</v>
      </c>
      <c r="I151" t="s">
        <v>347</v>
      </c>
      <c r="J151">
        <v>8.1999999999999993</v>
      </c>
      <c r="K151" t="str">
        <f>"-21 00"</f>
        <v>-21 00</v>
      </c>
      <c r="M151">
        <v>7.6</v>
      </c>
      <c r="N151">
        <v>-3</v>
      </c>
      <c r="O151">
        <v>357.5</v>
      </c>
    </row>
    <row r="152" spans="1:16" x14ac:dyDescent="0.25">
      <c r="A152" s="1" t="s">
        <v>325</v>
      </c>
      <c r="B152" t="s">
        <v>326</v>
      </c>
      <c r="C152">
        <v>1</v>
      </c>
      <c r="D152">
        <v>3</v>
      </c>
      <c r="E152" t="s">
        <v>16</v>
      </c>
      <c r="F152">
        <v>2</v>
      </c>
      <c r="G152" t="s">
        <v>16</v>
      </c>
      <c r="H152" t="s">
        <v>355</v>
      </c>
      <c r="I152" t="s">
        <v>362</v>
      </c>
      <c r="J152">
        <v>9</v>
      </c>
      <c r="K152" t="str">
        <f>"-17 00"</f>
        <v>-17 00</v>
      </c>
      <c r="M152">
        <v>8.6</v>
      </c>
      <c r="N152">
        <v>-2.6</v>
      </c>
      <c r="O152">
        <v>354.5</v>
      </c>
      <c r="P152" t="s">
        <v>387</v>
      </c>
    </row>
    <row r="153" spans="1:16" x14ac:dyDescent="0.25">
      <c r="A153" s="1" t="s">
        <v>326</v>
      </c>
      <c r="B153" t="s">
        <v>327</v>
      </c>
      <c r="C153" t="s">
        <v>16</v>
      </c>
      <c r="D153">
        <v>3</v>
      </c>
      <c r="E153">
        <v>3</v>
      </c>
      <c r="F153">
        <v>3</v>
      </c>
      <c r="G153" t="s">
        <v>16</v>
      </c>
      <c r="H153" t="s">
        <v>16</v>
      </c>
      <c r="I153" t="s">
        <v>16</v>
      </c>
      <c r="J153">
        <v>0.5</v>
      </c>
      <c r="K153" t="str">
        <f>"-90 00"</f>
        <v>-90 00</v>
      </c>
      <c r="M153" t="s">
        <v>16</v>
      </c>
      <c r="N153">
        <v>-0.5</v>
      </c>
      <c r="O153">
        <v>351.9</v>
      </c>
    </row>
    <row r="154" spans="1:16" x14ac:dyDescent="0.25">
      <c r="A154" s="1" t="s">
        <v>327</v>
      </c>
      <c r="B154" t="s">
        <v>328</v>
      </c>
      <c r="C154" s="7" t="str">
        <f t="shared" ref="C154:F155" si="20">"/"</f>
        <v>/</v>
      </c>
      <c r="D154" s="7" t="str">
        <f t="shared" si="20"/>
        <v>/</v>
      </c>
      <c r="E154" s="7" t="str">
        <f t="shared" si="20"/>
        <v>/</v>
      </c>
      <c r="F154" s="7" t="str">
        <f t="shared" si="20"/>
        <v>/</v>
      </c>
      <c r="G154" t="s">
        <v>348</v>
      </c>
      <c r="H154" t="s">
        <v>16</v>
      </c>
      <c r="I154" t="s">
        <v>363</v>
      </c>
      <c r="J154">
        <v>14.8</v>
      </c>
      <c r="K154" t="str">
        <f>"-53 00"</f>
        <v>-53 00</v>
      </c>
      <c r="M154">
        <v>8.9</v>
      </c>
      <c r="N154">
        <v>-11.8</v>
      </c>
      <c r="O154">
        <v>351.4</v>
      </c>
    </row>
    <row r="155" spans="1:16" x14ac:dyDescent="0.25">
      <c r="A155" s="1" t="s">
        <v>328</v>
      </c>
      <c r="B155" t="s">
        <v>329</v>
      </c>
      <c r="C155">
        <v>12</v>
      </c>
      <c r="D155" t="s">
        <v>16</v>
      </c>
      <c r="E155" s="7" t="str">
        <f t="shared" si="20"/>
        <v>/</v>
      </c>
      <c r="F155">
        <v>10</v>
      </c>
      <c r="G155" t="s">
        <v>16</v>
      </c>
      <c r="H155" t="s">
        <v>356</v>
      </c>
      <c r="I155" t="s">
        <v>364</v>
      </c>
      <c r="J155">
        <v>13.3</v>
      </c>
      <c r="K155" t="str">
        <f>"-47 00"</f>
        <v>-47 00</v>
      </c>
      <c r="M155">
        <v>9</v>
      </c>
      <c r="N155">
        <v>-9.6999999999999993</v>
      </c>
      <c r="O155">
        <v>339.6</v>
      </c>
    </row>
    <row r="156" spans="1:16" x14ac:dyDescent="0.25">
      <c r="A156" s="1" t="s">
        <v>329</v>
      </c>
      <c r="B156" t="s">
        <v>330</v>
      </c>
      <c r="C156" s="7" t="str">
        <f t="shared" ref="C156:F157" si="21">"/"</f>
        <v>/</v>
      </c>
      <c r="D156" s="7" t="str">
        <f t="shared" si="21"/>
        <v>/</v>
      </c>
      <c r="E156" s="7" t="str">
        <f t="shared" si="21"/>
        <v>/</v>
      </c>
      <c r="F156" s="7" t="str">
        <f t="shared" si="21"/>
        <v>/</v>
      </c>
      <c r="G156" t="s">
        <v>16</v>
      </c>
      <c r="H156" t="s">
        <v>16</v>
      </c>
      <c r="I156" t="s">
        <v>16</v>
      </c>
      <c r="J156">
        <v>0.5</v>
      </c>
      <c r="K156" t="s">
        <v>310</v>
      </c>
      <c r="M156" t="s">
        <v>16</v>
      </c>
      <c r="N156">
        <v>0.5</v>
      </c>
      <c r="O156">
        <v>329.9</v>
      </c>
    </row>
    <row r="157" spans="1:16" x14ac:dyDescent="0.25">
      <c r="A157" s="1" t="s">
        <v>330</v>
      </c>
      <c r="B157" t="s">
        <v>331</v>
      </c>
      <c r="C157" s="7" t="str">
        <f t="shared" si="21"/>
        <v>/</v>
      </c>
      <c r="D157">
        <v>6</v>
      </c>
      <c r="E157" s="7" t="str">
        <f t="shared" si="21"/>
        <v>/</v>
      </c>
      <c r="F157">
        <v>4</v>
      </c>
      <c r="G157" t="s">
        <v>349</v>
      </c>
      <c r="H157" t="s">
        <v>16</v>
      </c>
      <c r="I157" t="s">
        <v>349</v>
      </c>
      <c r="J157">
        <v>14.5</v>
      </c>
      <c r="K157" t="str">
        <f>"-6 00"</f>
        <v>-6 00</v>
      </c>
      <c r="M157">
        <v>14.4</v>
      </c>
      <c r="N157">
        <v>-1.5</v>
      </c>
      <c r="O157">
        <v>330.4</v>
      </c>
    </row>
    <row r="158" spans="1:16" x14ac:dyDescent="0.25">
      <c r="A158" s="1" t="s">
        <v>331</v>
      </c>
      <c r="B158" t="s">
        <v>332</v>
      </c>
      <c r="C158">
        <v>10</v>
      </c>
      <c r="D158">
        <v>2</v>
      </c>
      <c r="E158">
        <v>4</v>
      </c>
      <c r="F158" t="s">
        <v>16</v>
      </c>
      <c r="G158" t="s">
        <v>16</v>
      </c>
      <c r="H158" t="s">
        <v>357</v>
      </c>
      <c r="I158" t="s">
        <v>365</v>
      </c>
      <c r="J158">
        <v>17.3</v>
      </c>
      <c r="K158" t="str">
        <f>"-20 00"</f>
        <v>-20 00</v>
      </c>
      <c r="M158">
        <v>16.2</v>
      </c>
      <c r="N158">
        <v>-5.9</v>
      </c>
      <c r="O158">
        <v>328.9</v>
      </c>
    </row>
    <row r="159" spans="1:16" x14ac:dyDescent="0.25">
      <c r="A159" s="1" t="s">
        <v>332</v>
      </c>
      <c r="B159" t="s">
        <v>333</v>
      </c>
      <c r="C159">
        <v>8</v>
      </c>
      <c r="D159">
        <v>5</v>
      </c>
      <c r="E159">
        <v>1</v>
      </c>
      <c r="F159">
        <v>2</v>
      </c>
      <c r="G159" t="s">
        <v>350</v>
      </c>
      <c r="H159" t="s">
        <v>16</v>
      </c>
      <c r="I159" t="s">
        <v>350</v>
      </c>
      <c r="J159">
        <v>17.2</v>
      </c>
      <c r="K159" t="str">
        <f>"-22 00"</f>
        <v>-22 00</v>
      </c>
      <c r="M159">
        <v>15.9</v>
      </c>
      <c r="N159">
        <v>-6.4</v>
      </c>
      <c r="O159">
        <v>323</v>
      </c>
    </row>
    <row r="160" spans="1:16" x14ac:dyDescent="0.25">
      <c r="A160" s="1" t="s">
        <v>333</v>
      </c>
      <c r="B160" t="s">
        <v>334</v>
      </c>
      <c r="C160">
        <v>10</v>
      </c>
      <c r="D160">
        <v>7</v>
      </c>
      <c r="E160">
        <v>2</v>
      </c>
      <c r="F160">
        <v>1</v>
      </c>
      <c r="G160" t="s">
        <v>16</v>
      </c>
      <c r="H160" t="s">
        <v>358</v>
      </c>
      <c r="I160" t="s">
        <v>366</v>
      </c>
      <c r="J160">
        <v>8.9</v>
      </c>
      <c r="K160" t="str">
        <f>"-13 30"</f>
        <v>-13 30</v>
      </c>
      <c r="M160">
        <v>8.6</v>
      </c>
      <c r="N160">
        <v>-2.1</v>
      </c>
      <c r="O160">
        <v>316.60000000000002</v>
      </c>
    </row>
    <row r="161" spans="1:16" x14ac:dyDescent="0.25">
      <c r="A161" s="1" t="s">
        <v>334</v>
      </c>
      <c r="B161" t="s">
        <v>335</v>
      </c>
      <c r="C161">
        <v>12</v>
      </c>
      <c r="D161">
        <v>7</v>
      </c>
      <c r="E161">
        <v>1</v>
      </c>
      <c r="F161">
        <v>2</v>
      </c>
      <c r="G161" t="s">
        <v>351</v>
      </c>
      <c r="H161" t="s">
        <v>16</v>
      </c>
      <c r="I161" t="s">
        <v>351</v>
      </c>
      <c r="J161">
        <v>32</v>
      </c>
      <c r="K161" t="str">
        <f>"-17 00"</f>
        <v>-17 00</v>
      </c>
      <c r="M161">
        <v>30.6</v>
      </c>
      <c r="N161">
        <v>-9.4</v>
      </c>
      <c r="O161">
        <v>314.5</v>
      </c>
    </row>
    <row r="162" spans="1:16" x14ac:dyDescent="0.25">
      <c r="A162" s="1" t="s">
        <v>335</v>
      </c>
      <c r="O162">
        <v>305.10000000000002</v>
      </c>
      <c r="P162" t="s">
        <v>388</v>
      </c>
    </row>
    <row r="163" spans="1:16" x14ac:dyDescent="0.25">
      <c r="A163" s="1"/>
    </row>
    <row r="164" spans="1:16" x14ac:dyDescent="0.25">
      <c r="A164" s="1" t="s">
        <v>336</v>
      </c>
      <c r="B164" s="1" t="s">
        <v>337</v>
      </c>
      <c r="C164" s="1" t="s">
        <v>338</v>
      </c>
    </row>
    <row r="165" spans="1:16" x14ac:dyDescent="0.25">
      <c r="A165" s="1" t="s">
        <v>335</v>
      </c>
      <c r="B165" t="s">
        <v>339</v>
      </c>
      <c r="C165">
        <v>20</v>
      </c>
      <c r="D165">
        <v>1</v>
      </c>
      <c r="E165">
        <v>1</v>
      </c>
      <c r="F165">
        <v>3</v>
      </c>
      <c r="G165" t="s">
        <v>16</v>
      </c>
      <c r="H165" t="s">
        <v>235</v>
      </c>
      <c r="I165" t="s">
        <v>220</v>
      </c>
      <c r="J165">
        <v>5.6</v>
      </c>
      <c r="K165" t="s">
        <v>376</v>
      </c>
      <c r="M165">
        <v>4.9000000000000004</v>
      </c>
      <c r="N165">
        <v>2.8</v>
      </c>
      <c r="O165">
        <v>305.10000000000002</v>
      </c>
    </row>
    <row r="166" spans="1:16" x14ac:dyDescent="0.25">
      <c r="A166" s="1" t="s">
        <v>339</v>
      </c>
      <c r="B166" t="s">
        <v>340</v>
      </c>
      <c r="C166">
        <v>10</v>
      </c>
      <c r="D166">
        <v>5</v>
      </c>
      <c r="E166">
        <v>2</v>
      </c>
      <c r="F166">
        <v>1</v>
      </c>
      <c r="G166" t="s">
        <v>368</v>
      </c>
      <c r="H166" t="s">
        <v>16</v>
      </c>
      <c r="I166" t="s">
        <v>368</v>
      </c>
      <c r="J166">
        <v>8.6999999999999993</v>
      </c>
      <c r="K166" t="s">
        <v>377</v>
      </c>
      <c r="M166">
        <v>8.6999999999999993</v>
      </c>
      <c r="N166">
        <v>0.3</v>
      </c>
      <c r="O166">
        <v>307.89999999999998</v>
      </c>
    </row>
    <row r="167" spans="1:16" x14ac:dyDescent="0.25">
      <c r="A167" s="1" t="s">
        <v>340</v>
      </c>
      <c r="B167" t="s">
        <v>341</v>
      </c>
      <c r="C167">
        <v>15</v>
      </c>
      <c r="D167">
        <v>4</v>
      </c>
      <c r="E167">
        <v>2</v>
      </c>
      <c r="F167">
        <v>1</v>
      </c>
      <c r="G167" t="s">
        <v>16</v>
      </c>
      <c r="H167" t="s">
        <v>370</v>
      </c>
      <c r="I167" t="s">
        <v>373</v>
      </c>
      <c r="J167">
        <v>3.1</v>
      </c>
      <c r="K167" t="s">
        <v>378</v>
      </c>
      <c r="M167">
        <v>2.9</v>
      </c>
      <c r="N167">
        <v>0.7</v>
      </c>
      <c r="O167">
        <v>308.2</v>
      </c>
    </row>
    <row r="168" spans="1:16" x14ac:dyDescent="0.25">
      <c r="A168" s="1" t="s">
        <v>341</v>
      </c>
      <c r="B168" t="s">
        <v>342</v>
      </c>
      <c r="C168">
        <v>15</v>
      </c>
      <c r="D168">
        <v>6</v>
      </c>
      <c r="E168">
        <v>1</v>
      </c>
      <c r="F168">
        <v>2</v>
      </c>
      <c r="G168" t="s">
        <v>362</v>
      </c>
      <c r="H168" t="s">
        <v>16</v>
      </c>
      <c r="I168" t="s">
        <v>362</v>
      </c>
      <c r="J168">
        <v>13.4</v>
      </c>
      <c r="K168" t="str">
        <f>"-15 00"</f>
        <v>-15 00</v>
      </c>
      <c r="M168">
        <v>12.9</v>
      </c>
      <c r="N168">
        <v>-3.5</v>
      </c>
      <c r="O168">
        <v>308.89999999999998</v>
      </c>
    </row>
    <row r="169" spans="1:16" x14ac:dyDescent="0.25">
      <c r="A169" s="1" t="s">
        <v>342</v>
      </c>
      <c r="B169" t="s">
        <v>343</v>
      </c>
      <c r="C169">
        <v>16</v>
      </c>
      <c r="D169">
        <v>2</v>
      </c>
      <c r="E169" t="s">
        <v>16</v>
      </c>
      <c r="F169">
        <v>2</v>
      </c>
      <c r="G169" t="s">
        <v>16</v>
      </c>
      <c r="H169" t="s">
        <v>371</v>
      </c>
      <c r="I169" t="s">
        <v>374</v>
      </c>
      <c r="J169">
        <v>19.2</v>
      </c>
      <c r="K169" t="str">
        <f>"-2 30"</f>
        <v>-2 30</v>
      </c>
      <c r="M169">
        <v>19.100000000000001</v>
      </c>
      <c r="N169">
        <v>-0.8</v>
      </c>
      <c r="O169">
        <v>305.39999999999998</v>
      </c>
    </row>
    <row r="170" spans="1:16" x14ac:dyDescent="0.25">
      <c r="A170" s="1" t="s">
        <v>343</v>
      </c>
      <c r="B170" t="s">
        <v>344</v>
      </c>
      <c r="C170">
        <v>6</v>
      </c>
      <c r="D170">
        <v>5</v>
      </c>
      <c r="E170">
        <v>4</v>
      </c>
      <c r="F170">
        <v>1</v>
      </c>
      <c r="G170" t="s">
        <v>369</v>
      </c>
      <c r="H170" t="s">
        <v>16</v>
      </c>
      <c r="I170" t="s">
        <v>369</v>
      </c>
      <c r="J170">
        <v>20.100000000000001</v>
      </c>
      <c r="K170" t="str">
        <f>"-13 00"</f>
        <v>-13 00</v>
      </c>
      <c r="M170">
        <v>19.600000000000001</v>
      </c>
      <c r="N170">
        <v>-4.5</v>
      </c>
      <c r="O170">
        <v>304.60000000000002</v>
      </c>
    </row>
    <row r="171" spans="1:16" x14ac:dyDescent="0.25">
      <c r="A171" s="1" t="s">
        <v>344</v>
      </c>
      <c r="B171" t="s">
        <v>345</v>
      </c>
      <c r="C171">
        <v>12</v>
      </c>
      <c r="D171">
        <v>3</v>
      </c>
      <c r="E171">
        <v>2</v>
      </c>
      <c r="F171" t="s">
        <v>16</v>
      </c>
      <c r="G171" t="s">
        <v>16</v>
      </c>
      <c r="H171" t="s">
        <v>372</v>
      </c>
      <c r="I171" t="s">
        <v>375</v>
      </c>
      <c r="J171">
        <v>23.2</v>
      </c>
      <c r="K171" t="str">
        <f>"-15 00"</f>
        <v>-15 00</v>
      </c>
      <c r="M171">
        <v>22.4</v>
      </c>
      <c r="N171">
        <v>-6</v>
      </c>
      <c r="O171">
        <v>300.10000000000002</v>
      </c>
      <c r="P171" t="s">
        <v>389</v>
      </c>
    </row>
    <row r="172" spans="1:16" x14ac:dyDescent="0.25">
      <c r="A172" s="1" t="s">
        <v>345</v>
      </c>
      <c r="B172" t="s">
        <v>392</v>
      </c>
      <c r="C172">
        <v>10</v>
      </c>
      <c r="D172">
        <v>2</v>
      </c>
      <c r="E172" s="7" t="str">
        <f t="shared" ref="E172" si="22">"/"</f>
        <v>/</v>
      </c>
      <c r="F172">
        <v>7</v>
      </c>
      <c r="G172" t="s">
        <v>406</v>
      </c>
      <c r="H172" t="s">
        <v>16</v>
      </c>
      <c r="I172" t="s">
        <v>406</v>
      </c>
      <c r="J172">
        <v>27.9</v>
      </c>
      <c r="K172" t="str">
        <f>"-41 30"</f>
        <v>-41 30</v>
      </c>
      <c r="M172">
        <v>20.9</v>
      </c>
      <c r="N172">
        <v>-18.5</v>
      </c>
      <c r="O172">
        <v>294.10000000000002</v>
      </c>
    </row>
    <row r="173" spans="1:16" x14ac:dyDescent="0.25">
      <c r="A173" s="1" t="s">
        <v>392</v>
      </c>
      <c r="B173" s="5" t="s">
        <v>393</v>
      </c>
      <c r="C173">
        <v>25</v>
      </c>
      <c r="D173">
        <v>4</v>
      </c>
      <c r="E173">
        <v>3</v>
      </c>
      <c r="F173">
        <v>2</v>
      </c>
      <c r="G173" t="s">
        <v>16</v>
      </c>
      <c r="H173" t="s">
        <v>407</v>
      </c>
      <c r="I173" t="s">
        <v>417</v>
      </c>
      <c r="J173">
        <v>22.6</v>
      </c>
      <c r="K173" t="str">
        <f>"-17 00"</f>
        <v>-17 00</v>
      </c>
      <c r="M173">
        <v>21.6</v>
      </c>
      <c r="N173">
        <v>-6.6</v>
      </c>
      <c r="O173">
        <v>275.60000000000002</v>
      </c>
    </row>
    <row r="174" spans="1:16" x14ac:dyDescent="0.25">
      <c r="A174" s="1" t="s">
        <v>393</v>
      </c>
      <c r="B174" s="5" t="s">
        <v>394</v>
      </c>
      <c r="C174">
        <v>25</v>
      </c>
      <c r="D174">
        <v>2</v>
      </c>
      <c r="E174">
        <v>1</v>
      </c>
      <c r="F174">
        <v>2</v>
      </c>
      <c r="G174" t="s">
        <v>365</v>
      </c>
      <c r="H174" t="s">
        <v>16</v>
      </c>
      <c r="I174" t="s">
        <v>365</v>
      </c>
      <c r="J174">
        <v>27.4</v>
      </c>
      <c r="K174" t="str">
        <f>"-6 40"</f>
        <v>-6 40</v>
      </c>
      <c r="M174">
        <v>27.2</v>
      </c>
      <c r="N174">
        <v>-3.2</v>
      </c>
      <c r="O174">
        <v>269</v>
      </c>
    </row>
    <row r="175" spans="1:16" x14ac:dyDescent="0.25">
      <c r="A175" s="1" t="s">
        <v>394</v>
      </c>
      <c r="B175" s="5" t="s">
        <v>395</v>
      </c>
      <c r="C175">
        <v>25</v>
      </c>
      <c r="D175" t="s">
        <v>16</v>
      </c>
      <c r="E175">
        <v>4</v>
      </c>
      <c r="F175">
        <v>2</v>
      </c>
      <c r="G175" t="s">
        <v>16</v>
      </c>
      <c r="H175" t="s">
        <v>412</v>
      </c>
      <c r="I175" t="s">
        <v>418</v>
      </c>
      <c r="J175">
        <v>22.2</v>
      </c>
      <c r="K175" t="str">
        <f>"-1 40"</f>
        <v>-1 40</v>
      </c>
      <c r="M175">
        <v>22.1</v>
      </c>
      <c r="N175">
        <v>-0.6</v>
      </c>
      <c r="O175">
        <v>265.8</v>
      </c>
    </row>
    <row r="176" spans="1:16" x14ac:dyDescent="0.25">
      <c r="A176" s="1" t="s">
        <v>395</v>
      </c>
      <c r="B176" s="5" t="s">
        <v>396</v>
      </c>
      <c r="C176">
        <v>30</v>
      </c>
      <c r="D176">
        <v>3</v>
      </c>
      <c r="E176">
        <v>3</v>
      </c>
      <c r="F176">
        <v>3</v>
      </c>
      <c r="G176" t="s">
        <v>408</v>
      </c>
      <c r="H176" t="s">
        <v>16</v>
      </c>
      <c r="I176" t="s">
        <v>408</v>
      </c>
      <c r="J176">
        <v>16.3</v>
      </c>
      <c r="K176" t="s">
        <v>105</v>
      </c>
      <c r="M176">
        <v>16.2</v>
      </c>
      <c r="N176">
        <v>1.8</v>
      </c>
      <c r="O176">
        <v>265.2</v>
      </c>
    </row>
    <row r="177" spans="1:16" x14ac:dyDescent="0.25">
      <c r="A177" s="1" t="s">
        <v>396</v>
      </c>
      <c r="B177" s="5" t="s">
        <v>397</v>
      </c>
      <c r="C177">
        <v>15</v>
      </c>
      <c r="D177">
        <v>5</v>
      </c>
      <c r="E177">
        <v>1</v>
      </c>
      <c r="F177">
        <v>5</v>
      </c>
      <c r="G177" t="s">
        <v>16</v>
      </c>
      <c r="H177" t="s">
        <v>413</v>
      </c>
      <c r="I177" t="s">
        <v>419</v>
      </c>
      <c r="J177">
        <v>13.6</v>
      </c>
      <c r="K177" t="s">
        <v>367</v>
      </c>
      <c r="M177">
        <v>13.5</v>
      </c>
      <c r="N177">
        <v>1.4</v>
      </c>
      <c r="O177">
        <v>267</v>
      </c>
    </row>
    <row r="178" spans="1:16" x14ac:dyDescent="0.25">
      <c r="A178" s="1" t="s">
        <v>397</v>
      </c>
      <c r="B178" s="5" t="s">
        <v>398</v>
      </c>
      <c r="C178">
        <v>8</v>
      </c>
      <c r="D178">
        <v>10</v>
      </c>
      <c r="E178" t="s">
        <v>16</v>
      </c>
      <c r="F178">
        <v>12</v>
      </c>
      <c r="G178" t="s">
        <v>409</v>
      </c>
      <c r="H178" t="s">
        <v>16</v>
      </c>
      <c r="I178" t="s">
        <v>409</v>
      </c>
      <c r="J178">
        <v>20.100000000000001</v>
      </c>
      <c r="K178" t="str">
        <f>"-28 00"</f>
        <v>-28 00</v>
      </c>
      <c r="M178">
        <v>17.7</v>
      </c>
      <c r="N178">
        <v>-9.4</v>
      </c>
      <c r="O178">
        <v>268.39999999999998</v>
      </c>
    </row>
    <row r="179" spans="1:16" x14ac:dyDescent="0.25">
      <c r="A179" s="1" t="s">
        <v>398</v>
      </c>
      <c r="B179" s="5" t="s">
        <v>399</v>
      </c>
      <c r="C179">
        <v>4</v>
      </c>
      <c r="D179">
        <v>3</v>
      </c>
      <c r="E179">
        <v>1</v>
      </c>
      <c r="F179">
        <v>5</v>
      </c>
      <c r="G179" t="s">
        <v>16</v>
      </c>
      <c r="H179" t="s">
        <v>16</v>
      </c>
      <c r="I179" t="s">
        <v>16</v>
      </c>
      <c r="J179">
        <v>1.8</v>
      </c>
      <c r="K179" t="s">
        <v>310</v>
      </c>
      <c r="M179" t="s">
        <v>16</v>
      </c>
      <c r="N179">
        <v>1.8</v>
      </c>
      <c r="O179">
        <v>259</v>
      </c>
      <c r="P179" t="s">
        <v>423</v>
      </c>
    </row>
    <row r="180" spans="1:16" x14ac:dyDescent="0.25">
      <c r="A180" s="1" t="s">
        <v>399</v>
      </c>
      <c r="B180" s="5" t="s">
        <v>400</v>
      </c>
      <c r="C180">
        <v>5</v>
      </c>
      <c r="D180">
        <v>5</v>
      </c>
      <c r="E180">
        <v>1</v>
      </c>
      <c r="F180">
        <v>5</v>
      </c>
      <c r="G180" t="s">
        <v>410</v>
      </c>
      <c r="H180" t="s">
        <v>16</v>
      </c>
      <c r="I180" t="s">
        <v>410</v>
      </c>
      <c r="J180">
        <v>15.8</v>
      </c>
      <c r="K180" t="str">
        <f>"-1 00"</f>
        <v>-1 00</v>
      </c>
      <c r="M180">
        <v>15.7</v>
      </c>
      <c r="N180">
        <v>-0.3</v>
      </c>
      <c r="O180">
        <v>260.8</v>
      </c>
    </row>
    <row r="181" spans="1:16" x14ac:dyDescent="0.25">
      <c r="A181" s="1" t="s">
        <v>400</v>
      </c>
      <c r="B181" s="5" t="s">
        <v>401</v>
      </c>
      <c r="C181">
        <v>6</v>
      </c>
      <c r="D181">
        <v>5</v>
      </c>
      <c r="E181">
        <v>1</v>
      </c>
      <c r="F181">
        <v>2</v>
      </c>
      <c r="G181" t="s">
        <v>16</v>
      </c>
      <c r="H181" t="s">
        <v>414</v>
      </c>
      <c r="I181" t="s">
        <v>420</v>
      </c>
      <c r="J181">
        <v>16.7</v>
      </c>
      <c r="K181" t="str">
        <f>"-5 00"</f>
        <v>-5 00</v>
      </c>
      <c r="M181">
        <v>16.600000000000001</v>
      </c>
      <c r="N181">
        <v>-1.5</v>
      </c>
      <c r="O181">
        <v>260.5</v>
      </c>
    </row>
    <row r="182" spans="1:16" x14ac:dyDescent="0.25">
      <c r="A182" s="1" t="s">
        <v>401</v>
      </c>
      <c r="B182" s="5" t="s">
        <v>402</v>
      </c>
      <c r="C182">
        <v>6</v>
      </c>
      <c r="D182">
        <v>5</v>
      </c>
      <c r="E182">
        <v>1</v>
      </c>
      <c r="F182">
        <v>2</v>
      </c>
      <c r="G182" t="s">
        <v>374</v>
      </c>
      <c r="H182" t="s">
        <v>16</v>
      </c>
      <c r="I182" t="s">
        <v>374</v>
      </c>
      <c r="J182">
        <v>14.5</v>
      </c>
      <c r="K182" t="s">
        <v>185</v>
      </c>
      <c r="M182">
        <v>14.4</v>
      </c>
      <c r="N182">
        <v>0.8</v>
      </c>
      <c r="O182">
        <v>259</v>
      </c>
    </row>
    <row r="183" spans="1:16" x14ac:dyDescent="0.25">
      <c r="A183" s="1" t="s">
        <v>402</v>
      </c>
      <c r="B183" s="5" t="s">
        <v>403</v>
      </c>
      <c r="C183">
        <v>4</v>
      </c>
      <c r="D183">
        <v>6</v>
      </c>
      <c r="E183" t="s">
        <v>16</v>
      </c>
      <c r="F183">
        <v>2</v>
      </c>
      <c r="G183" t="s">
        <v>16</v>
      </c>
      <c r="H183" t="s">
        <v>415</v>
      </c>
      <c r="I183" t="s">
        <v>421</v>
      </c>
      <c r="J183">
        <v>4.0999999999999996</v>
      </c>
      <c r="K183" t="s">
        <v>44</v>
      </c>
      <c r="M183">
        <v>4.0999999999999996</v>
      </c>
      <c r="N183" t="s">
        <v>16</v>
      </c>
      <c r="O183">
        <v>259.8</v>
      </c>
    </row>
    <row r="184" spans="1:16" x14ac:dyDescent="0.25">
      <c r="A184" s="1" t="s">
        <v>403</v>
      </c>
      <c r="B184" s="5" t="s">
        <v>404</v>
      </c>
      <c r="C184">
        <v>4</v>
      </c>
      <c r="D184">
        <v>8</v>
      </c>
      <c r="E184" t="s">
        <v>16</v>
      </c>
      <c r="F184">
        <v>2</v>
      </c>
      <c r="G184" t="s">
        <v>16</v>
      </c>
      <c r="H184" t="s">
        <v>416</v>
      </c>
      <c r="I184" t="s">
        <v>422</v>
      </c>
      <c r="J184">
        <v>9.5</v>
      </c>
      <c r="K184" t="s">
        <v>79</v>
      </c>
      <c r="M184">
        <v>9.4</v>
      </c>
      <c r="N184">
        <v>0.7</v>
      </c>
      <c r="O184">
        <v>259.8</v>
      </c>
    </row>
    <row r="185" spans="1:16" x14ac:dyDescent="0.25">
      <c r="A185" s="1" t="s">
        <v>404</v>
      </c>
      <c r="B185" s="5" t="s">
        <v>405</v>
      </c>
      <c r="C185">
        <v>3</v>
      </c>
      <c r="D185">
        <v>8</v>
      </c>
      <c r="E185">
        <v>1</v>
      </c>
      <c r="F185">
        <v>2</v>
      </c>
      <c r="G185" t="s">
        <v>411</v>
      </c>
      <c r="H185" t="s">
        <v>16</v>
      </c>
      <c r="I185" t="s">
        <v>411</v>
      </c>
      <c r="J185">
        <v>25.5</v>
      </c>
      <c r="K185" t="str">
        <f>"-21 30"</f>
        <v>-21 30</v>
      </c>
      <c r="M185">
        <v>23.8</v>
      </c>
      <c r="N185">
        <v>-9.3000000000000007</v>
      </c>
      <c r="O185">
        <v>260.5</v>
      </c>
      <c r="P185" t="s">
        <v>424</v>
      </c>
    </row>
    <row r="186" spans="1:16" x14ac:dyDescent="0.25">
      <c r="A186" s="1" t="s">
        <v>405</v>
      </c>
      <c r="K186" t="str">
        <f t="shared" ref="K186" si="23">"-"</f>
        <v>-</v>
      </c>
      <c r="O186">
        <v>251.2</v>
      </c>
    </row>
    <row r="187" spans="1:16" x14ac:dyDescent="0.25">
      <c r="A187" s="1"/>
    </row>
    <row r="188" spans="1:16" x14ac:dyDescent="0.25">
      <c r="A188" s="1" t="s">
        <v>575</v>
      </c>
      <c r="B188" s="1" t="s">
        <v>574</v>
      </c>
    </row>
    <row r="189" spans="1:16" x14ac:dyDescent="0.25">
      <c r="A189" s="1" t="s">
        <v>425</v>
      </c>
      <c r="B189" s="1"/>
      <c r="C189" s="1" t="s">
        <v>426</v>
      </c>
    </row>
    <row r="190" spans="1:16" x14ac:dyDescent="0.25">
      <c r="A190" t="s">
        <v>154</v>
      </c>
      <c r="B190" t="s">
        <v>427</v>
      </c>
      <c r="C190">
        <v>20</v>
      </c>
      <c r="D190">
        <v>8</v>
      </c>
      <c r="E190" t="s">
        <v>428</v>
      </c>
      <c r="F190" t="s">
        <v>429</v>
      </c>
      <c r="G190" t="s">
        <v>16</v>
      </c>
      <c r="H190" t="s">
        <v>430</v>
      </c>
      <c r="I190" t="s">
        <v>431</v>
      </c>
      <c r="J190">
        <v>17.600000000000001</v>
      </c>
      <c r="K190" t="s">
        <v>432</v>
      </c>
      <c r="M190">
        <v>15.2</v>
      </c>
      <c r="N190">
        <v>8.9</v>
      </c>
      <c r="O190">
        <v>113.8</v>
      </c>
    </row>
    <row r="191" spans="1:16" x14ac:dyDescent="0.25">
      <c r="A191" t="s">
        <v>427</v>
      </c>
      <c r="B191" t="s">
        <v>433</v>
      </c>
      <c r="C191">
        <v>12</v>
      </c>
      <c r="D191">
        <v>6</v>
      </c>
      <c r="E191">
        <v>2</v>
      </c>
      <c r="F191" t="s">
        <v>434</v>
      </c>
      <c r="G191" t="s">
        <v>435</v>
      </c>
      <c r="H191" t="s">
        <v>16</v>
      </c>
      <c r="I191" t="s">
        <v>435</v>
      </c>
      <c r="J191">
        <v>36.6</v>
      </c>
      <c r="K191" t="s">
        <v>436</v>
      </c>
      <c r="M191">
        <v>34.1</v>
      </c>
      <c r="N191">
        <v>13.3</v>
      </c>
      <c r="O191">
        <v>122.7</v>
      </c>
    </row>
    <row r="192" spans="1:16" x14ac:dyDescent="0.25">
      <c r="A192" t="s">
        <v>433</v>
      </c>
      <c r="B192" t="s">
        <v>437</v>
      </c>
      <c r="C192">
        <v>20</v>
      </c>
      <c r="D192">
        <v>8</v>
      </c>
      <c r="E192">
        <v>6</v>
      </c>
      <c r="F192">
        <v>2</v>
      </c>
      <c r="G192" t="s">
        <v>16</v>
      </c>
      <c r="H192" t="s">
        <v>438</v>
      </c>
      <c r="I192" t="s">
        <v>439</v>
      </c>
      <c r="J192">
        <v>10.8</v>
      </c>
      <c r="K192" t="str">
        <f>"-38 20"</f>
        <v>-38 20</v>
      </c>
      <c r="M192">
        <v>8.5</v>
      </c>
      <c r="N192">
        <v>-6.7</v>
      </c>
      <c r="O192">
        <v>136</v>
      </c>
    </row>
    <row r="193" spans="1:16" x14ac:dyDescent="0.25">
      <c r="A193" t="s">
        <v>437</v>
      </c>
      <c r="B193" t="s">
        <v>440</v>
      </c>
      <c r="C193">
        <v>12</v>
      </c>
      <c r="D193">
        <v>1</v>
      </c>
      <c r="E193">
        <v>2</v>
      </c>
      <c r="F193">
        <v>6</v>
      </c>
      <c r="G193" t="s">
        <v>441</v>
      </c>
      <c r="H193" t="s">
        <v>16</v>
      </c>
      <c r="I193" t="s">
        <v>441</v>
      </c>
      <c r="J193">
        <v>20.399999999999999</v>
      </c>
      <c r="K193" t="s">
        <v>243</v>
      </c>
      <c r="M193">
        <v>20.399999999999999</v>
      </c>
      <c r="N193">
        <v>0.35</v>
      </c>
      <c r="O193">
        <v>129.30000000000001</v>
      </c>
      <c r="P193" t="s">
        <v>442</v>
      </c>
    </row>
    <row r="194" spans="1:16" x14ac:dyDescent="0.25">
      <c r="A194" t="s">
        <v>440</v>
      </c>
      <c r="B194" t="s">
        <v>443</v>
      </c>
      <c r="C194">
        <v>18</v>
      </c>
      <c r="D194">
        <v>1</v>
      </c>
      <c r="E194">
        <v>4</v>
      </c>
      <c r="F194">
        <v>3</v>
      </c>
      <c r="G194" t="s">
        <v>16</v>
      </c>
      <c r="H194" t="s">
        <v>240</v>
      </c>
      <c r="I194" t="s">
        <v>230</v>
      </c>
      <c r="J194">
        <v>49.6</v>
      </c>
      <c r="K194" t="s">
        <v>444</v>
      </c>
      <c r="M194">
        <v>47.3</v>
      </c>
      <c r="N194">
        <v>15</v>
      </c>
      <c r="O194">
        <v>129.69999999999999</v>
      </c>
    </row>
    <row r="195" spans="1:16" x14ac:dyDescent="0.25">
      <c r="A195" t="s">
        <v>443</v>
      </c>
      <c r="B195" t="s">
        <v>445</v>
      </c>
      <c r="C195">
        <v>25</v>
      </c>
      <c r="D195">
        <v>4</v>
      </c>
      <c r="E195">
        <v>3</v>
      </c>
      <c r="F195">
        <v>6</v>
      </c>
      <c r="G195" t="s">
        <v>446</v>
      </c>
      <c r="H195" t="s">
        <v>16</v>
      </c>
      <c r="I195" t="s">
        <v>446</v>
      </c>
      <c r="J195">
        <v>24.7</v>
      </c>
      <c r="K195" t="str">
        <f>"-26 00"</f>
        <v>-26 00</v>
      </c>
      <c r="M195">
        <v>22.2</v>
      </c>
      <c r="N195">
        <v>-10.8</v>
      </c>
      <c r="O195">
        <v>144.69999999999999</v>
      </c>
      <c r="P195" t="s">
        <v>447</v>
      </c>
    </row>
    <row r="196" spans="1:16" x14ac:dyDescent="0.25">
      <c r="A196" t="s">
        <v>445</v>
      </c>
      <c r="B196" t="s">
        <v>448</v>
      </c>
      <c r="C196">
        <v>30</v>
      </c>
      <c r="D196">
        <v>10</v>
      </c>
      <c r="E196" t="s">
        <v>16</v>
      </c>
      <c r="F196">
        <v>5</v>
      </c>
      <c r="G196" t="s">
        <v>16</v>
      </c>
      <c r="H196" t="s">
        <v>449</v>
      </c>
      <c r="I196" t="s">
        <v>450</v>
      </c>
      <c r="J196">
        <v>13.3</v>
      </c>
      <c r="K196" t="s">
        <v>451</v>
      </c>
      <c r="M196">
        <v>12.9</v>
      </c>
      <c r="N196">
        <v>3.2</v>
      </c>
      <c r="O196">
        <v>133.9</v>
      </c>
      <c r="P196" t="s">
        <v>452</v>
      </c>
    </row>
    <row r="197" spans="1:16" x14ac:dyDescent="0.25">
      <c r="A197" t="s">
        <v>448</v>
      </c>
      <c r="B197" t="s">
        <v>453</v>
      </c>
      <c r="C197">
        <v>25</v>
      </c>
      <c r="D197">
        <v>5</v>
      </c>
      <c r="E197">
        <v>5</v>
      </c>
      <c r="F197" t="str">
        <f>"/"</f>
        <v>/</v>
      </c>
      <c r="G197" t="s">
        <v>454</v>
      </c>
      <c r="H197" t="s">
        <v>16</v>
      </c>
      <c r="I197" t="s">
        <v>454</v>
      </c>
      <c r="J197">
        <v>15.7</v>
      </c>
      <c r="K197" t="s">
        <v>455</v>
      </c>
      <c r="M197">
        <v>15.2</v>
      </c>
      <c r="N197">
        <v>4.0999999999999996</v>
      </c>
      <c r="O197">
        <v>137.1</v>
      </c>
      <c r="P197" t="s">
        <v>456</v>
      </c>
    </row>
    <row r="198" spans="1:16" x14ac:dyDescent="0.25">
      <c r="A198" t="s">
        <v>453</v>
      </c>
      <c r="B198" t="s">
        <v>457</v>
      </c>
      <c r="C198">
        <v>25</v>
      </c>
      <c r="D198">
        <v>5</v>
      </c>
      <c r="E198">
        <v>2</v>
      </c>
      <c r="F198">
        <v>5</v>
      </c>
      <c r="G198" t="s">
        <v>16</v>
      </c>
      <c r="H198" t="s">
        <v>458</v>
      </c>
      <c r="I198" t="s">
        <v>459</v>
      </c>
      <c r="J198">
        <v>36.9</v>
      </c>
      <c r="K198" t="s">
        <v>460</v>
      </c>
      <c r="M198">
        <v>36.1</v>
      </c>
      <c r="N198">
        <v>7.3</v>
      </c>
      <c r="O198">
        <v>141.19999999999999</v>
      </c>
    </row>
    <row r="199" spans="1:16" x14ac:dyDescent="0.25">
      <c r="A199" t="s">
        <v>457</v>
      </c>
      <c r="B199" t="s">
        <v>461</v>
      </c>
      <c r="C199">
        <v>5</v>
      </c>
      <c r="D199">
        <v>5</v>
      </c>
      <c r="E199">
        <v>6</v>
      </c>
      <c r="F199">
        <v>2</v>
      </c>
      <c r="G199" t="s">
        <v>462</v>
      </c>
      <c r="H199" t="s">
        <v>16</v>
      </c>
      <c r="I199" t="s">
        <v>462</v>
      </c>
      <c r="J199">
        <v>24.2</v>
      </c>
      <c r="K199" t="str">
        <f>"-0 30"</f>
        <v>-0 30</v>
      </c>
      <c r="M199">
        <v>24.2</v>
      </c>
      <c r="N199">
        <v>-0.2</v>
      </c>
      <c r="O199">
        <v>148.5</v>
      </c>
    </row>
    <row r="200" spans="1:16" x14ac:dyDescent="0.25">
      <c r="A200" t="s">
        <v>461</v>
      </c>
      <c r="B200" t="s">
        <v>464</v>
      </c>
      <c r="C200">
        <v>25</v>
      </c>
      <c r="D200">
        <v>3</v>
      </c>
      <c r="E200">
        <v>3</v>
      </c>
      <c r="F200" t="s">
        <v>465</v>
      </c>
      <c r="G200" t="s">
        <v>16</v>
      </c>
      <c r="H200" t="s">
        <v>466</v>
      </c>
      <c r="I200" t="s">
        <v>467</v>
      </c>
      <c r="J200">
        <v>17.5</v>
      </c>
      <c r="K200" t="s">
        <v>468</v>
      </c>
      <c r="M200">
        <v>13.6</v>
      </c>
      <c r="N200">
        <v>11</v>
      </c>
      <c r="O200">
        <v>148.30000000000001</v>
      </c>
      <c r="P200" t="s">
        <v>463</v>
      </c>
    </row>
    <row r="201" spans="1:16" x14ac:dyDescent="0.25">
      <c r="A201" t="s">
        <v>464</v>
      </c>
      <c r="B201" t="s">
        <v>469</v>
      </c>
      <c r="C201">
        <v>20</v>
      </c>
      <c r="D201">
        <v>15</v>
      </c>
      <c r="E201">
        <v>8</v>
      </c>
      <c r="F201">
        <v>10</v>
      </c>
      <c r="G201" t="s">
        <v>164</v>
      </c>
      <c r="H201" t="s">
        <v>16</v>
      </c>
      <c r="I201" t="s">
        <v>164</v>
      </c>
      <c r="J201">
        <v>24.8</v>
      </c>
      <c r="K201" t="s">
        <v>212</v>
      </c>
      <c r="M201">
        <v>24.5</v>
      </c>
      <c r="N201">
        <v>3.9</v>
      </c>
      <c r="O201">
        <v>159.30000000000001</v>
      </c>
      <c r="P201" t="s">
        <v>554</v>
      </c>
    </row>
    <row r="202" spans="1:16" x14ac:dyDescent="0.25">
      <c r="A202" t="s">
        <v>469</v>
      </c>
      <c r="B202" t="s">
        <v>470</v>
      </c>
      <c r="C202">
        <v>7</v>
      </c>
      <c r="D202">
        <v>6</v>
      </c>
      <c r="E202">
        <v>5</v>
      </c>
      <c r="F202" t="s">
        <v>16</v>
      </c>
      <c r="G202" t="s">
        <v>16</v>
      </c>
      <c r="H202" t="s">
        <v>471</v>
      </c>
      <c r="I202" t="s">
        <v>472</v>
      </c>
      <c r="J202">
        <v>22.1</v>
      </c>
      <c r="K202" t="str">
        <f>"-0 30"</f>
        <v>-0 30</v>
      </c>
      <c r="M202">
        <v>22.1</v>
      </c>
      <c r="N202">
        <v>-0.2</v>
      </c>
      <c r="O202">
        <v>163.19999999999999</v>
      </c>
      <c r="P202" t="s">
        <v>555</v>
      </c>
    </row>
    <row r="203" spans="1:16" x14ac:dyDescent="0.25">
      <c r="A203" t="s">
        <v>470</v>
      </c>
      <c r="B203" t="s">
        <v>473</v>
      </c>
      <c r="C203">
        <v>30</v>
      </c>
      <c r="D203">
        <v>5</v>
      </c>
      <c r="E203">
        <v>1</v>
      </c>
      <c r="F203">
        <v>3</v>
      </c>
      <c r="G203" t="s">
        <v>176</v>
      </c>
      <c r="H203" t="s">
        <v>16</v>
      </c>
      <c r="I203" t="s">
        <v>176</v>
      </c>
      <c r="J203">
        <v>35.700000000000003</v>
      </c>
      <c r="K203" t="s">
        <v>474</v>
      </c>
      <c r="M203">
        <v>35.4</v>
      </c>
      <c r="N203">
        <v>4.3</v>
      </c>
      <c r="O203">
        <v>163</v>
      </c>
    </row>
    <row r="204" spans="1:16" x14ac:dyDescent="0.25">
      <c r="A204" t="s">
        <v>473</v>
      </c>
      <c r="B204" t="s">
        <v>475</v>
      </c>
      <c r="C204">
        <v>20</v>
      </c>
      <c r="D204">
        <v>8</v>
      </c>
      <c r="E204">
        <v>1</v>
      </c>
      <c r="F204">
        <v>3</v>
      </c>
      <c r="G204" t="s">
        <v>16</v>
      </c>
      <c r="H204" t="s">
        <v>476</v>
      </c>
      <c r="I204" t="s">
        <v>477</v>
      </c>
      <c r="J204">
        <v>9.9</v>
      </c>
      <c r="K204" t="str">
        <f>"-23 30"</f>
        <v>-23 30</v>
      </c>
      <c r="M204">
        <v>9.1</v>
      </c>
      <c r="N204">
        <v>-4</v>
      </c>
      <c r="O204">
        <v>167.3</v>
      </c>
    </row>
    <row r="205" spans="1:16" x14ac:dyDescent="0.25">
      <c r="A205" t="s">
        <v>475</v>
      </c>
      <c r="B205" t="s">
        <v>478</v>
      </c>
      <c r="C205">
        <v>20</v>
      </c>
      <c r="D205">
        <v>3</v>
      </c>
      <c r="E205">
        <v>4</v>
      </c>
      <c r="F205">
        <v>4</v>
      </c>
      <c r="G205" t="s">
        <v>479</v>
      </c>
      <c r="H205" t="s">
        <v>16</v>
      </c>
      <c r="I205" t="s">
        <v>479</v>
      </c>
      <c r="J205">
        <v>7.7</v>
      </c>
      <c r="K205" t="s">
        <v>455</v>
      </c>
      <c r="M205">
        <v>7.4</v>
      </c>
      <c r="N205">
        <v>2</v>
      </c>
      <c r="O205">
        <v>163.30000000000001</v>
      </c>
    </row>
    <row r="206" spans="1:16" x14ac:dyDescent="0.25">
      <c r="A206" t="s">
        <v>478</v>
      </c>
      <c r="B206" t="s">
        <v>480</v>
      </c>
      <c r="C206">
        <v>15</v>
      </c>
      <c r="D206">
        <v>4</v>
      </c>
      <c r="E206">
        <v>3</v>
      </c>
      <c r="F206">
        <v>1</v>
      </c>
      <c r="G206" t="s">
        <v>16</v>
      </c>
      <c r="H206" t="s">
        <v>368</v>
      </c>
      <c r="I206" t="s">
        <v>481</v>
      </c>
      <c r="J206">
        <v>21.2</v>
      </c>
      <c r="K206" t="s">
        <v>482</v>
      </c>
      <c r="M206">
        <v>21</v>
      </c>
      <c r="N206">
        <v>2.5</v>
      </c>
      <c r="O206">
        <v>165.3</v>
      </c>
    </row>
    <row r="207" spans="1:16" x14ac:dyDescent="0.25">
      <c r="A207" t="s">
        <v>480</v>
      </c>
      <c r="B207" t="s">
        <v>483</v>
      </c>
      <c r="C207">
        <v>25</v>
      </c>
      <c r="D207">
        <v>5</v>
      </c>
      <c r="E207">
        <v>1</v>
      </c>
      <c r="F207">
        <v>3</v>
      </c>
      <c r="G207" t="s">
        <v>484</v>
      </c>
      <c r="H207" t="s">
        <v>16</v>
      </c>
      <c r="I207" t="s">
        <v>484</v>
      </c>
      <c r="J207">
        <v>28.5</v>
      </c>
      <c r="K207" t="s">
        <v>183</v>
      </c>
      <c r="M207">
        <v>28.1</v>
      </c>
      <c r="N207">
        <v>4.8</v>
      </c>
      <c r="O207">
        <v>167.8</v>
      </c>
    </row>
    <row r="208" spans="1:16" x14ac:dyDescent="0.25">
      <c r="A208" t="s">
        <v>483</v>
      </c>
      <c r="B208" t="s">
        <v>485</v>
      </c>
      <c r="C208">
        <v>25</v>
      </c>
      <c r="D208">
        <v>7</v>
      </c>
      <c r="E208">
        <v>3</v>
      </c>
      <c r="F208">
        <v>1</v>
      </c>
      <c r="G208" t="s">
        <v>16</v>
      </c>
      <c r="H208" t="s">
        <v>486</v>
      </c>
      <c r="I208" t="s">
        <v>487</v>
      </c>
      <c r="J208">
        <v>29.6</v>
      </c>
      <c r="K208" t="s">
        <v>488</v>
      </c>
      <c r="M208">
        <v>29.6</v>
      </c>
      <c r="N208">
        <v>0.8</v>
      </c>
      <c r="O208">
        <v>172.6</v>
      </c>
    </row>
    <row r="209" spans="1:16" x14ac:dyDescent="0.25">
      <c r="A209" t="s">
        <v>485</v>
      </c>
      <c r="B209" t="s">
        <v>10</v>
      </c>
      <c r="C209">
        <v>10</v>
      </c>
      <c r="D209">
        <v>3</v>
      </c>
      <c r="E209">
        <v>3</v>
      </c>
      <c r="F209" t="s">
        <v>489</v>
      </c>
      <c r="G209" t="s">
        <v>490</v>
      </c>
      <c r="H209" t="s">
        <v>16</v>
      </c>
      <c r="I209" t="s">
        <v>490</v>
      </c>
      <c r="J209">
        <v>20.399999999999999</v>
      </c>
      <c r="K209" t="str">
        <f>"-4 30"</f>
        <v>-4 30</v>
      </c>
      <c r="M209">
        <v>20.3</v>
      </c>
      <c r="N209">
        <v>-1.6</v>
      </c>
      <c r="O209">
        <v>173.4</v>
      </c>
      <c r="P209" t="s">
        <v>556</v>
      </c>
    </row>
    <row r="210" spans="1:16" x14ac:dyDescent="0.25">
      <c r="A210" t="s">
        <v>10</v>
      </c>
      <c r="B210" t="s">
        <v>491</v>
      </c>
      <c r="C210">
        <v>6</v>
      </c>
      <c r="D210">
        <v>1</v>
      </c>
      <c r="E210">
        <v>2</v>
      </c>
      <c r="F210">
        <v>3</v>
      </c>
      <c r="G210" t="s">
        <v>492</v>
      </c>
      <c r="H210" t="s">
        <v>16</v>
      </c>
      <c r="I210" t="s">
        <v>492</v>
      </c>
      <c r="J210">
        <v>1.5</v>
      </c>
      <c r="K210" t="str">
        <f>"-one inch"</f>
        <v>-one inch</v>
      </c>
      <c r="M210">
        <v>1.5</v>
      </c>
      <c r="N210">
        <v>-0.1</v>
      </c>
      <c r="O210">
        <v>171.8</v>
      </c>
      <c r="P210" t="s">
        <v>557</v>
      </c>
    </row>
    <row r="211" spans="1:16" x14ac:dyDescent="0.25">
      <c r="A211" t="s">
        <v>491</v>
      </c>
      <c r="B211" t="s">
        <v>493</v>
      </c>
      <c r="C211">
        <v>6</v>
      </c>
      <c r="D211">
        <v>1</v>
      </c>
      <c r="E211">
        <v>3</v>
      </c>
      <c r="F211" t="s">
        <v>16</v>
      </c>
      <c r="G211" t="s">
        <v>16</v>
      </c>
      <c r="H211" t="s">
        <v>494</v>
      </c>
      <c r="I211" t="s">
        <v>495</v>
      </c>
      <c r="J211">
        <v>21.6</v>
      </c>
      <c r="K211" t="s">
        <v>496</v>
      </c>
      <c r="M211">
        <v>20.9</v>
      </c>
      <c r="N211">
        <v>5.4</v>
      </c>
      <c r="O211">
        <v>171.7</v>
      </c>
    </row>
    <row r="212" spans="1:16" x14ac:dyDescent="0.25">
      <c r="A212" t="s">
        <v>493</v>
      </c>
      <c r="B212" t="s">
        <v>497</v>
      </c>
      <c r="C212">
        <v>6</v>
      </c>
      <c r="D212">
        <v>3</v>
      </c>
      <c r="E212">
        <v>2</v>
      </c>
      <c r="F212">
        <v>3</v>
      </c>
      <c r="G212" t="s">
        <v>498</v>
      </c>
      <c r="H212" t="s">
        <v>16</v>
      </c>
      <c r="I212" t="s">
        <v>498</v>
      </c>
      <c r="J212">
        <v>8.5</v>
      </c>
      <c r="K212" t="str">
        <f>"-6 30"</f>
        <v>-6 30</v>
      </c>
      <c r="M212">
        <v>8.4</v>
      </c>
      <c r="N212">
        <v>-1</v>
      </c>
      <c r="O212">
        <v>177.1</v>
      </c>
    </row>
    <row r="213" spans="1:16" x14ac:dyDescent="0.25">
      <c r="A213" t="s">
        <v>497</v>
      </c>
      <c r="B213" t="s">
        <v>499</v>
      </c>
      <c r="C213">
        <v>9</v>
      </c>
      <c r="D213">
        <v>1</v>
      </c>
      <c r="E213">
        <v>3</v>
      </c>
      <c r="F213">
        <v>1</v>
      </c>
      <c r="G213" t="s">
        <v>16</v>
      </c>
      <c r="H213" t="s">
        <v>500</v>
      </c>
      <c r="I213" t="s">
        <v>501</v>
      </c>
      <c r="J213">
        <v>15.7</v>
      </c>
      <c r="K213" t="s">
        <v>460</v>
      </c>
      <c r="M213">
        <v>15.4</v>
      </c>
      <c r="N213">
        <v>3.1</v>
      </c>
      <c r="O213">
        <v>176.1</v>
      </c>
    </row>
    <row r="214" spans="1:16" x14ac:dyDescent="0.25">
      <c r="A214" t="s">
        <v>499</v>
      </c>
      <c r="B214" t="s">
        <v>502</v>
      </c>
      <c r="C214">
        <v>12</v>
      </c>
      <c r="D214">
        <v>3</v>
      </c>
      <c r="E214" t="s">
        <v>434</v>
      </c>
      <c r="F214">
        <v>3</v>
      </c>
      <c r="G214" t="s">
        <v>295</v>
      </c>
      <c r="H214" t="s">
        <v>16</v>
      </c>
      <c r="I214" t="s">
        <v>295</v>
      </c>
      <c r="J214">
        <v>28.5</v>
      </c>
      <c r="K214" t="s">
        <v>503</v>
      </c>
      <c r="M214">
        <v>24</v>
      </c>
      <c r="N214">
        <v>15.3</v>
      </c>
      <c r="O214">
        <v>179.2</v>
      </c>
    </row>
    <row r="215" spans="1:16" x14ac:dyDescent="0.25">
      <c r="A215" t="s">
        <v>502</v>
      </c>
      <c r="B215" t="s">
        <v>504</v>
      </c>
      <c r="C215">
        <v>20</v>
      </c>
      <c r="D215">
        <v>2.5</v>
      </c>
      <c r="E215">
        <v>8</v>
      </c>
      <c r="F215">
        <v>3</v>
      </c>
      <c r="G215" t="s">
        <v>16</v>
      </c>
      <c r="H215" t="s">
        <v>505</v>
      </c>
      <c r="I215" t="s">
        <v>506</v>
      </c>
      <c r="J215">
        <v>6.9</v>
      </c>
      <c r="K215" t="s">
        <v>507</v>
      </c>
      <c r="M215">
        <v>6.3</v>
      </c>
      <c r="N215">
        <v>2.9</v>
      </c>
      <c r="O215">
        <v>194.5</v>
      </c>
      <c r="P215" t="s">
        <v>558</v>
      </c>
    </row>
    <row r="216" spans="1:16" x14ac:dyDescent="0.25">
      <c r="A216" t="s">
        <v>504</v>
      </c>
      <c r="B216" t="s">
        <v>508</v>
      </c>
      <c r="C216">
        <v>18</v>
      </c>
      <c r="D216">
        <v>4.5</v>
      </c>
      <c r="E216">
        <v>3</v>
      </c>
      <c r="F216">
        <v>2</v>
      </c>
      <c r="G216" t="s">
        <v>509</v>
      </c>
      <c r="H216" t="s">
        <v>16</v>
      </c>
      <c r="I216" t="s">
        <v>509</v>
      </c>
      <c r="J216">
        <v>13.8</v>
      </c>
      <c r="K216" t="str">
        <f>"-4 30"</f>
        <v>-4 30</v>
      </c>
      <c r="M216">
        <v>13.7</v>
      </c>
      <c r="N216">
        <v>-1.1000000000000001</v>
      </c>
      <c r="O216">
        <v>197.4</v>
      </c>
    </row>
    <row r="217" spans="1:16" x14ac:dyDescent="0.25">
      <c r="A217" t="s">
        <v>508</v>
      </c>
      <c r="B217" t="s">
        <v>510</v>
      </c>
      <c r="C217">
        <v>20</v>
      </c>
      <c r="D217">
        <v>4</v>
      </c>
      <c r="E217" t="s">
        <v>16</v>
      </c>
      <c r="F217">
        <v>4</v>
      </c>
      <c r="G217" t="s">
        <v>16</v>
      </c>
      <c r="H217" t="s">
        <v>511</v>
      </c>
      <c r="I217" t="s">
        <v>512</v>
      </c>
      <c r="J217">
        <v>18.5</v>
      </c>
      <c r="K217" t="s">
        <v>513</v>
      </c>
      <c r="M217">
        <v>18.399999999999999</v>
      </c>
      <c r="N217">
        <v>0.7</v>
      </c>
      <c r="O217">
        <v>196.3</v>
      </c>
    </row>
    <row r="218" spans="1:16" x14ac:dyDescent="0.25">
      <c r="A218" t="s">
        <v>510</v>
      </c>
      <c r="B218" t="s">
        <v>514</v>
      </c>
      <c r="C218">
        <v>25</v>
      </c>
      <c r="D218">
        <v>4</v>
      </c>
      <c r="E218">
        <v>6</v>
      </c>
      <c r="F218">
        <v>1</v>
      </c>
      <c r="G218" t="s">
        <v>515</v>
      </c>
      <c r="H218" t="s">
        <v>16</v>
      </c>
      <c r="I218" t="s">
        <v>515</v>
      </c>
      <c r="J218">
        <v>8</v>
      </c>
      <c r="K218" t="s">
        <v>516</v>
      </c>
      <c r="M218">
        <v>7.9</v>
      </c>
      <c r="N218">
        <v>0.6</v>
      </c>
      <c r="O218">
        <v>197</v>
      </c>
      <c r="P218" t="s">
        <v>559</v>
      </c>
    </row>
    <row r="219" spans="1:16" x14ac:dyDescent="0.25">
      <c r="A219" t="s">
        <v>514</v>
      </c>
      <c r="B219" t="s">
        <v>517</v>
      </c>
      <c r="C219">
        <v>25</v>
      </c>
      <c r="D219">
        <v>4</v>
      </c>
      <c r="E219">
        <v>10</v>
      </c>
      <c r="F219">
        <v>3</v>
      </c>
      <c r="G219" t="s">
        <v>16</v>
      </c>
      <c r="H219" t="s">
        <v>518</v>
      </c>
      <c r="I219" t="s">
        <v>462</v>
      </c>
      <c r="J219">
        <v>17.399999999999999</v>
      </c>
      <c r="K219" t="s">
        <v>519</v>
      </c>
      <c r="M219">
        <v>16.8</v>
      </c>
      <c r="N219">
        <v>4.8</v>
      </c>
      <c r="O219">
        <v>197.6</v>
      </c>
    </row>
    <row r="220" spans="1:16" x14ac:dyDescent="0.25">
      <c r="A220" t="s">
        <v>517</v>
      </c>
      <c r="B220" t="s">
        <v>520</v>
      </c>
      <c r="C220">
        <v>20</v>
      </c>
      <c r="D220">
        <v>7</v>
      </c>
      <c r="E220">
        <v>3</v>
      </c>
      <c r="F220">
        <v>3</v>
      </c>
      <c r="G220" t="s">
        <v>521</v>
      </c>
      <c r="H220" t="s">
        <v>16</v>
      </c>
      <c r="I220" t="s">
        <v>521</v>
      </c>
      <c r="J220">
        <v>74.599999999999994</v>
      </c>
      <c r="K220" t="s">
        <v>522</v>
      </c>
      <c r="M220">
        <v>73.900000000000006</v>
      </c>
      <c r="N220">
        <v>9.3000000000000007</v>
      </c>
      <c r="O220">
        <v>202.4</v>
      </c>
    </row>
    <row r="221" spans="1:16" x14ac:dyDescent="0.25">
      <c r="A221" t="s">
        <v>520</v>
      </c>
      <c r="B221" t="s">
        <v>523</v>
      </c>
      <c r="C221">
        <v>25</v>
      </c>
      <c r="D221">
        <v>5</v>
      </c>
      <c r="E221">
        <v>4</v>
      </c>
      <c r="F221">
        <v>3</v>
      </c>
      <c r="G221" t="s">
        <v>16</v>
      </c>
      <c r="H221" t="s">
        <v>351</v>
      </c>
      <c r="I221" t="s">
        <v>524</v>
      </c>
      <c r="J221">
        <v>35</v>
      </c>
      <c r="K221" t="s">
        <v>525</v>
      </c>
      <c r="M221">
        <v>33.1</v>
      </c>
      <c r="N221">
        <v>11.4</v>
      </c>
      <c r="O221">
        <v>211.7</v>
      </c>
    </row>
    <row r="222" spans="1:16" x14ac:dyDescent="0.25">
      <c r="A222" t="s">
        <v>523</v>
      </c>
      <c r="B222" t="s">
        <v>526</v>
      </c>
      <c r="C222">
        <v>15</v>
      </c>
      <c r="D222">
        <v>12</v>
      </c>
      <c r="E222">
        <v>6</v>
      </c>
      <c r="F222">
        <v>10</v>
      </c>
      <c r="G222" t="s">
        <v>527</v>
      </c>
      <c r="H222" t="s">
        <v>16</v>
      </c>
      <c r="I222" t="s">
        <v>527</v>
      </c>
      <c r="J222">
        <v>28.3</v>
      </c>
      <c r="K222" t="str">
        <f>"-13 30"</f>
        <v>-13 30</v>
      </c>
      <c r="M222">
        <v>27.5</v>
      </c>
      <c r="N222">
        <v>-6.6</v>
      </c>
      <c r="O222">
        <v>223.1</v>
      </c>
    </row>
    <row r="223" spans="1:16" x14ac:dyDescent="0.25">
      <c r="A223" t="s">
        <v>526</v>
      </c>
      <c r="B223" t="s">
        <v>528</v>
      </c>
      <c r="C223">
        <v>4</v>
      </c>
      <c r="D223">
        <v>4</v>
      </c>
      <c r="E223">
        <v>2</v>
      </c>
      <c r="F223">
        <v>6</v>
      </c>
      <c r="G223" t="s">
        <v>16</v>
      </c>
      <c r="H223" t="s">
        <v>529</v>
      </c>
      <c r="I223" t="s">
        <v>530</v>
      </c>
      <c r="J223">
        <v>10.6</v>
      </c>
      <c r="K223" t="s">
        <v>311</v>
      </c>
      <c r="M223">
        <v>10.1</v>
      </c>
      <c r="N223">
        <v>3</v>
      </c>
      <c r="O223">
        <v>216.5</v>
      </c>
    </row>
    <row r="224" spans="1:16" x14ac:dyDescent="0.25">
      <c r="A224" t="s">
        <v>528</v>
      </c>
      <c r="B224" t="s">
        <v>531</v>
      </c>
      <c r="C224">
        <v>8</v>
      </c>
      <c r="D224">
        <v>6</v>
      </c>
      <c r="E224" t="s">
        <v>16</v>
      </c>
      <c r="F224">
        <v>4</v>
      </c>
      <c r="G224" t="s">
        <v>532</v>
      </c>
      <c r="H224" t="s">
        <v>16</v>
      </c>
      <c r="I224" t="s">
        <v>532</v>
      </c>
      <c r="J224">
        <v>31.4</v>
      </c>
      <c r="K224" t="str">
        <f>"-3 30"</f>
        <v>-3 30</v>
      </c>
      <c r="M224">
        <v>31.3</v>
      </c>
      <c r="N224">
        <v>-1.9</v>
      </c>
      <c r="O224">
        <v>219.5</v>
      </c>
    </row>
    <row r="225" spans="1:16" x14ac:dyDescent="0.25">
      <c r="A225" t="s">
        <v>531</v>
      </c>
      <c r="B225" t="s">
        <v>533</v>
      </c>
      <c r="C225">
        <v>12</v>
      </c>
      <c r="D225">
        <v>3</v>
      </c>
      <c r="E225">
        <v>4</v>
      </c>
      <c r="F225" t="s">
        <v>16</v>
      </c>
      <c r="G225" t="s">
        <v>16</v>
      </c>
      <c r="H225" t="s">
        <v>534</v>
      </c>
      <c r="I225" t="s">
        <v>535</v>
      </c>
      <c r="J225">
        <v>15.9</v>
      </c>
      <c r="K225" t="s">
        <v>79</v>
      </c>
      <c r="M225">
        <v>15.8</v>
      </c>
      <c r="N225">
        <v>1.2</v>
      </c>
      <c r="O225">
        <v>217.6</v>
      </c>
    </row>
    <row r="226" spans="1:16" x14ac:dyDescent="0.25">
      <c r="A226" t="s">
        <v>533</v>
      </c>
      <c r="B226" t="s">
        <v>536</v>
      </c>
      <c r="C226">
        <v>10</v>
      </c>
      <c r="D226">
        <v>4</v>
      </c>
      <c r="E226">
        <v>4</v>
      </c>
      <c r="F226">
        <v>6</v>
      </c>
      <c r="G226" t="s">
        <v>537</v>
      </c>
      <c r="H226" t="s">
        <v>16</v>
      </c>
      <c r="I226" t="s">
        <v>537</v>
      </c>
      <c r="J226">
        <v>35.200000000000003</v>
      </c>
      <c r="K226" t="str">
        <f>"-3 50"</f>
        <v>-3 50</v>
      </c>
      <c r="M226">
        <v>35.1</v>
      </c>
      <c r="N226">
        <v>-2.4</v>
      </c>
      <c r="O226">
        <v>218.8</v>
      </c>
    </row>
    <row r="227" spans="1:16" x14ac:dyDescent="0.25">
      <c r="A227" t="s">
        <v>536</v>
      </c>
      <c r="B227" t="s">
        <v>538</v>
      </c>
      <c r="C227">
        <v>10</v>
      </c>
      <c r="D227">
        <v>2</v>
      </c>
      <c r="E227">
        <v>3</v>
      </c>
      <c r="F227" t="s">
        <v>16</v>
      </c>
      <c r="G227" t="s">
        <v>539</v>
      </c>
      <c r="H227" t="s">
        <v>16</v>
      </c>
      <c r="I227" t="s">
        <v>539</v>
      </c>
      <c r="J227">
        <v>12.3</v>
      </c>
      <c r="K227" t="str">
        <f>"-one foot"</f>
        <v>-one foot</v>
      </c>
      <c r="M227">
        <v>12.2</v>
      </c>
      <c r="N227">
        <v>-1</v>
      </c>
      <c r="O227">
        <v>216.4</v>
      </c>
      <c r="P227" t="s">
        <v>560</v>
      </c>
    </row>
    <row r="228" spans="1:16" x14ac:dyDescent="0.25">
      <c r="A228" t="s">
        <v>538</v>
      </c>
      <c r="B228" t="s">
        <v>540</v>
      </c>
      <c r="C228" s="7" t="str">
        <f>"/"</f>
        <v>/</v>
      </c>
      <c r="D228">
        <v>1</v>
      </c>
      <c r="E228" s="7" t="str">
        <f>"/"</f>
        <v>/</v>
      </c>
      <c r="F228" s="7" t="str">
        <f>"/"</f>
        <v>/</v>
      </c>
      <c r="G228" t="s">
        <v>16</v>
      </c>
      <c r="H228" t="s">
        <v>541</v>
      </c>
      <c r="I228" t="s">
        <v>542</v>
      </c>
      <c r="J228">
        <v>35.700000000000003</v>
      </c>
      <c r="K228" t="s">
        <v>543</v>
      </c>
      <c r="M228">
        <v>11.6</v>
      </c>
      <c r="N228">
        <v>33.799999999999997</v>
      </c>
      <c r="O228">
        <v>215.4</v>
      </c>
      <c r="P228" t="s">
        <v>561</v>
      </c>
    </row>
    <row r="229" spans="1:16" x14ac:dyDescent="0.25">
      <c r="A229" t="s">
        <v>540</v>
      </c>
      <c r="B229" t="s">
        <v>404</v>
      </c>
      <c r="C229" s="7" t="str">
        <f>"/"</f>
        <v>/</v>
      </c>
      <c r="D229" s="7" t="str">
        <f>"/"</f>
        <v>/</v>
      </c>
      <c r="E229" s="7" t="str">
        <f>"/"</f>
        <v>/</v>
      </c>
      <c r="F229" s="7" t="str">
        <f>"/"</f>
        <v>/</v>
      </c>
      <c r="G229" t="s">
        <v>544</v>
      </c>
      <c r="H229" t="s">
        <v>16</v>
      </c>
      <c r="I229" t="s">
        <v>544</v>
      </c>
      <c r="J229">
        <v>3</v>
      </c>
      <c r="K229" t="str">
        <f>"+two feet"</f>
        <v>+two feet</v>
      </c>
      <c r="M229">
        <v>2.5</v>
      </c>
      <c r="N229">
        <v>2</v>
      </c>
      <c r="O229">
        <v>249.2</v>
      </c>
      <c r="P229" t="s">
        <v>562</v>
      </c>
    </row>
    <row r="230" spans="1:16" x14ac:dyDescent="0.25">
      <c r="A230" t="s">
        <v>404</v>
      </c>
      <c r="O230">
        <v>251.2</v>
      </c>
      <c r="P230" t="s">
        <v>563</v>
      </c>
    </row>
    <row r="231" spans="1:16" x14ac:dyDescent="0.25">
      <c r="A231" s="1" t="s">
        <v>564</v>
      </c>
      <c r="B231" s="1" t="s">
        <v>565</v>
      </c>
      <c r="C231" s="1" t="s">
        <v>566</v>
      </c>
    </row>
    <row r="232" spans="1:16" x14ac:dyDescent="0.25">
      <c r="A232" t="s">
        <v>145</v>
      </c>
      <c r="B232" t="s">
        <v>93</v>
      </c>
      <c r="C232" s="7" t="str">
        <f t="shared" ref="C232:F233" si="24">"/"</f>
        <v>/</v>
      </c>
      <c r="D232" s="7" t="str">
        <f t="shared" si="24"/>
        <v>/</v>
      </c>
      <c r="E232" s="7" t="str">
        <f t="shared" si="24"/>
        <v>/</v>
      </c>
      <c r="F232" s="7" t="str">
        <f t="shared" si="24"/>
        <v>/</v>
      </c>
      <c r="G232" t="s">
        <v>16</v>
      </c>
      <c r="H232" t="s">
        <v>545</v>
      </c>
      <c r="I232" t="s">
        <v>573</v>
      </c>
      <c r="J232">
        <v>3.4</v>
      </c>
      <c r="K232" t="str">
        <f>"-one foot"</f>
        <v>-one foot</v>
      </c>
      <c r="M232">
        <v>3.2</v>
      </c>
      <c r="N232">
        <v>-1</v>
      </c>
      <c r="O232">
        <v>56.5</v>
      </c>
      <c r="P232" t="s">
        <v>567</v>
      </c>
    </row>
    <row r="233" spans="1:16" x14ac:dyDescent="0.25">
      <c r="A233" t="s">
        <v>93</v>
      </c>
      <c r="B233" t="s">
        <v>94</v>
      </c>
      <c r="C233" s="7" t="str">
        <f t="shared" si="24"/>
        <v>/</v>
      </c>
      <c r="D233" s="7" t="str">
        <f t="shared" si="24"/>
        <v>/</v>
      </c>
      <c r="E233" s="7" t="str">
        <f t="shared" si="24"/>
        <v>/</v>
      </c>
      <c r="F233" s="7" t="str">
        <f t="shared" si="24"/>
        <v>/</v>
      </c>
      <c r="G233" t="s">
        <v>546</v>
      </c>
      <c r="H233" t="s">
        <v>16</v>
      </c>
      <c r="I233" t="s">
        <v>546</v>
      </c>
      <c r="J233">
        <v>19.399999999999999</v>
      </c>
      <c r="K233" t="s">
        <v>547</v>
      </c>
      <c r="M233">
        <v>10.7</v>
      </c>
      <c r="N233">
        <v>16.2</v>
      </c>
      <c r="O233">
        <v>55.5</v>
      </c>
    </row>
    <row r="234" spans="1:16" x14ac:dyDescent="0.25">
      <c r="A234" t="s">
        <v>94</v>
      </c>
      <c r="B234" t="s">
        <v>95</v>
      </c>
      <c r="C234">
        <v>20</v>
      </c>
      <c r="D234" s="7" t="str">
        <f>"/"</f>
        <v>/</v>
      </c>
      <c r="E234">
        <v>35</v>
      </c>
      <c r="F234">
        <v>10</v>
      </c>
      <c r="G234" t="s">
        <v>16</v>
      </c>
      <c r="H234" t="s">
        <v>548</v>
      </c>
      <c r="I234" t="s">
        <v>571</v>
      </c>
      <c r="J234">
        <v>10.8</v>
      </c>
      <c r="K234" t="s">
        <v>549</v>
      </c>
      <c r="M234">
        <v>9.3000000000000007</v>
      </c>
      <c r="N234">
        <v>5.4</v>
      </c>
      <c r="O234">
        <v>71.7</v>
      </c>
      <c r="P234" t="s">
        <v>568</v>
      </c>
    </row>
    <row r="235" spans="1:16" x14ac:dyDescent="0.25">
      <c r="A235" t="s">
        <v>95</v>
      </c>
      <c r="B235" t="s">
        <v>96</v>
      </c>
      <c r="C235">
        <v>12</v>
      </c>
      <c r="D235">
        <v>2</v>
      </c>
      <c r="E235">
        <v>20</v>
      </c>
      <c r="F235">
        <v>8</v>
      </c>
      <c r="G235" t="s">
        <v>550</v>
      </c>
      <c r="H235" t="s">
        <v>16</v>
      </c>
      <c r="I235" t="s">
        <v>550</v>
      </c>
      <c r="J235">
        <v>23.8</v>
      </c>
      <c r="K235" t="s">
        <v>551</v>
      </c>
      <c r="M235">
        <v>22.4</v>
      </c>
      <c r="N235">
        <v>8</v>
      </c>
      <c r="O235">
        <v>77.099999999999994</v>
      </c>
      <c r="P235" t="s">
        <v>569</v>
      </c>
    </row>
    <row r="236" spans="1:16" x14ac:dyDescent="0.25">
      <c r="A236" t="s">
        <v>96</v>
      </c>
      <c r="B236" t="s">
        <v>97</v>
      </c>
      <c r="C236">
        <v>4</v>
      </c>
      <c r="D236">
        <v>2</v>
      </c>
      <c r="E236" s="7" t="str">
        <f>"/"</f>
        <v>/</v>
      </c>
      <c r="F236">
        <v>3</v>
      </c>
      <c r="G236" t="s">
        <v>16</v>
      </c>
      <c r="H236" t="s">
        <v>552</v>
      </c>
      <c r="I236" t="s">
        <v>572</v>
      </c>
      <c r="J236">
        <v>52</v>
      </c>
      <c r="K236" t="s">
        <v>553</v>
      </c>
      <c r="M236">
        <v>51.9</v>
      </c>
      <c r="N236">
        <v>2.2999999999999998</v>
      </c>
      <c r="O236">
        <v>85.1</v>
      </c>
      <c r="P236" t="s">
        <v>570</v>
      </c>
    </row>
    <row r="237" spans="1:16" x14ac:dyDescent="0.25">
      <c r="A237" t="s">
        <v>97</v>
      </c>
      <c r="B237" t="s">
        <v>98</v>
      </c>
      <c r="C237">
        <v>2</v>
      </c>
      <c r="D237">
        <v>2</v>
      </c>
      <c r="E237">
        <v>3</v>
      </c>
      <c r="F237">
        <v>1.5</v>
      </c>
      <c r="G237" t="s">
        <v>515</v>
      </c>
      <c r="H237" t="s">
        <v>16</v>
      </c>
      <c r="J237">
        <v>23.5</v>
      </c>
      <c r="K237" t="s">
        <v>650</v>
      </c>
      <c r="M237">
        <v>23.3</v>
      </c>
      <c r="N237">
        <v>3.6</v>
      </c>
      <c r="O237">
        <v>87.4</v>
      </c>
      <c r="P237" t="s">
        <v>664</v>
      </c>
    </row>
    <row r="238" spans="1:16" x14ac:dyDescent="0.25">
      <c r="A238" t="s">
        <v>98</v>
      </c>
      <c r="B238" t="s">
        <v>99</v>
      </c>
      <c r="C238">
        <v>1.5</v>
      </c>
      <c r="D238">
        <v>0.5</v>
      </c>
      <c r="E238" t="s">
        <v>16</v>
      </c>
      <c r="F238">
        <v>1.5</v>
      </c>
      <c r="G238" t="s">
        <v>16</v>
      </c>
      <c r="H238" t="s">
        <v>361</v>
      </c>
      <c r="J238">
        <v>16.899999999999999</v>
      </c>
      <c r="K238" t="str">
        <f>"-5 00"</f>
        <v>-5 00</v>
      </c>
      <c r="M238">
        <v>16.8</v>
      </c>
      <c r="N238">
        <v>-1.5</v>
      </c>
      <c r="O238">
        <v>91</v>
      </c>
    </row>
    <row r="239" spans="1:16" x14ac:dyDescent="0.25">
      <c r="A239" t="s">
        <v>99</v>
      </c>
      <c r="B239" t="s">
        <v>100</v>
      </c>
      <c r="C239">
        <v>1</v>
      </c>
      <c r="D239">
        <v>1</v>
      </c>
      <c r="E239">
        <v>2</v>
      </c>
      <c r="F239">
        <v>1</v>
      </c>
      <c r="G239" t="s">
        <v>16</v>
      </c>
      <c r="H239" t="s">
        <v>616</v>
      </c>
      <c r="J239">
        <v>7.6</v>
      </c>
      <c r="K239" t="str">
        <f>"+0.5 feet"</f>
        <v>+0.5 feet</v>
      </c>
      <c r="M239">
        <v>7.5</v>
      </c>
      <c r="N239">
        <v>0.5</v>
      </c>
      <c r="O239">
        <v>89.5</v>
      </c>
    </row>
    <row r="240" spans="1:16" x14ac:dyDescent="0.25">
      <c r="A240" t="s">
        <v>100</v>
      </c>
      <c r="B240" t="s">
        <v>92</v>
      </c>
      <c r="C240">
        <v>0.5</v>
      </c>
      <c r="D240">
        <v>0.5</v>
      </c>
      <c r="E240">
        <v>3</v>
      </c>
      <c r="F240">
        <v>1</v>
      </c>
      <c r="G240" t="s">
        <v>16</v>
      </c>
      <c r="H240" t="s">
        <v>617</v>
      </c>
      <c r="J240">
        <v>18.2</v>
      </c>
      <c r="K240" t="s">
        <v>651</v>
      </c>
      <c r="M240">
        <v>18</v>
      </c>
      <c r="N240">
        <v>1.7</v>
      </c>
      <c r="O240">
        <v>90</v>
      </c>
    </row>
    <row r="241" spans="1:16" x14ac:dyDescent="0.25">
      <c r="A241" t="s">
        <v>92</v>
      </c>
      <c r="B241" t="s">
        <v>576</v>
      </c>
      <c r="C241">
        <v>2</v>
      </c>
      <c r="D241">
        <v>0.5</v>
      </c>
      <c r="E241">
        <v>1</v>
      </c>
      <c r="F241">
        <v>1.5</v>
      </c>
      <c r="G241" t="s">
        <v>16</v>
      </c>
      <c r="H241" t="s">
        <v>618</v>
      </c>
      <c r="J241">
        <v>7.8</v>
      </c>
      <c r="K241" t="str">
        <f>"-7 00"</f>
        <v>-7 00</v>
      </c>
      <c r="M241">
        <v>7.7</v>
      </c>
      <c r="N241">
        <v>-0.9</v>
      </c>
      <c r="O241">
        <v>91.7</v>
      </c>
      <c r="P241" t="s">
        <v>665</v>
      </c>
    </row>
    <row r="242" spans="1:16" x14ac:dyDescent="0.25">
      <c r="A242" t="s">
        <v>576</v>
      </c>
      <c r="B242" t="s">
        <v>577</v>
      </c>
      <c r="C242">
        <v>2</v>
      </c>
      <c r="D242">
        <v>2</v>
      </c>
      <c r="E242">
        <v>3</v>
      </c>
      <c r="F242">
        <v>2</v>
      </c>
      <c r="G242" t="s">
        <v>619</v>
      </c>
      <c r="H242" t="s">
        <v>16</v>
      </c>
      <c r="J242">
        <v>28.9</v>
      </c>
      <c r="K242" t="str">
        <f>"-17 30"</f>
        <v>-17 30</v>
      </c>
      <c r="M242">
        <v>27.5</v>
      </c>
      <c r="N242">
        <v>-8.6999999999999993</v>
      </c>
      <c r="O242">
        <v>90.8</v>
      </c>
    </row>
    <row r="243" spans="1:16" x14ac:dyDescent="0.25">
      <c r="A243" t="s">
        <v>577</v>
      </c>
      <c r="B243" t="s">
        <v>578</v>
      </c>
      <c r="C243">
        <v>3</v>
      </c>
      <c r="D243">
        <v>0.5</v>
      </c>
      <c r="E243">
        <v>3</v>
      </c>
      <c r="F243">
        <v>4</v>
      </c>
      <c r="G243" t="s">
        <v>16</v>
      </c>
      <c r="H243" t="s">
        <v>622</v>
      </c>
      <c r="J243">
        <v>22.3</v>
      </c>
      <c r="K243" t="s">
        <v>516</v>
      </c>
      <c r="M243">
        <v>22.1</v>
      </c>
      <c r="N243">
        <v>1.6</v>
      </c>
      <c r="O243">
        <v>82.1</v>
      </c>
    </row>
    <row r="244" spans="1:16" x14ac:dyDescent="0.25">
      <c r="A244" t="s">
        <v>578</v>
      </c>
      <c r="B244" t="s">
        <v>579</v>
      </c>
      <c r="C244">
        <v>4</v>
      </c>
      <c r="D244">
        <v>3</v>
      </c>
      <c r="E244">
        <v>5</v>
      </c>
      <c r="F244">
        <v>3</v>
      </c>
      <c r="G244" t="s">
        <v>620</v>
      </c>
      <c r="H244" t="s">
        <v>16</v>
      </c>
      <c r="J244">
        <v>22.9</v>
      </c>
      <c r="K244" t="s">
        <v>652</v>
      </c>
      <c r="M244">
        <v>22.9</v>
      </c>
      <c r="N244">
        <v>0.3</v>
      </c>
      <c r="O244">
        <v>83.7</v>
      </c>
    </row>
    <row r="245" spans="1:16" x14ac:dyDescent="0.25">
      <c r="A245" t="s">
        <v>579</v>
      </c>
      <c r="B245" t="s">
        <v>580</v>
      </c>
      <c r="C245">
        <v>2</v>
      </c>
      <c r="D245">
        <v>1.5</v>
      </c>
      <c r="E245" t="s">
        <v>16</v>
      </c>
      <c r="F245">
        <v>2</v>
      </c>
      <c r="G245" t="s">
        <v>16</v>
      </c>
      <c r="H245" t="s">
        <v>172</v>
      </c>
      <c r="J245">
        <v>18.8</v>
      </c>
      <c r="K245" t="str">
        <f>"-5 30"</f>
        <v>-5 30</v>
      </c>
      <c r="M245">
        <v>18.600000000000001</v>
      </c>
      <c r="N245">
        <v>-1.8</v>
      </c>
      <c r="O245">
        <v>84</v>
      </c>
    </row>
    <row r="246" spans="1:16" x14ac:dyDescent="0.25">
      <c r="A246" t="s">
        <v>580</v>
      </c>
      <c r="B246" t="s">
        <v>581</v>
      </c>
      <c r="C246">
        <v>4</v>
      </c>
      <c r="D246">
        <v>6</v>
      </c>
      <c r="E246">
        <v>3</v>
      </c>
      <c r="F246">
        <v>3</v>
      </c>
      <c r="G246" t="s">
        <v>621</v>
      </c>
      <c r="H246" t="s">
        <v>16</v>
      </c>
      <c r="J246">
        <v>47.1</v>
      </c>
      <c r="K246" t="str">
        <f>"-11 30"</f>
        <v>-11 30</v>
      </c>
      <c r="M246">
        <v>46.2</v>
      </c>
      <c r="N246">
        <v>-9.4</v>
      </c>
      <c r="O246">
        <v>82.2</v>
      </c>
      <c r="P246" t="s">
        <v>663</v>
      </c>
    </row>
    <row r="247" spans="1:16" x14ac:dyDescent="0.25">
      <c r="A247" t="s">
        <v>581</v>
      </c>
      <c r="O247">
        <v>72.8</v>
      </c>
    </row>
    <row r="248" spans="1:16" x14ac:dyDescent="0.25">
      <c r="A248" s="1" t="s">
        <v>623</v>
      </c>
      <c r="B248" s="1" t="s">
        <v>624</v>
      </c>
      <c r="C248" s="1" t="s">
        <v>625</v>
      </c>
    </row>
    <row r="249" spans="1:16" x14ac:dyDescent="0.25">
      <c r="A249" t="s">
        <v>581</v>
      </c>
      <c r="B249" t="s">
        <v>582</v>
      </c>
      <c r="C249">
        <v>3</v>
      </c>
      <c r="D249">
        <v>5</v>
      </c>
      <c r="E249">
        <v>4</v>
      </c>
      <c r="F249">
        <v>11</v>
      </c>
      <c r="G249" t="s">
        <v>16</v>
      </c>
      <c r="H249" t="s">
        <v>303</v>
      </c>
      <c r="J249">
        <v>24</v>
      </c>
      <c r="K249" t="str">
        <f>"-9 15"</f>
        <v>-9 15</v>
      </c>
      <c r="M249">
        <v>23.8</v>
      </c>
      <c r="N249">
        <v>-3.9</v>
      </c>
      <c r="O249">
        <v>72.8</v>
      </c>
      <c r="P249" t="s">
        <v>666</v>
      </c>
    </row>
    <row r="250" spans="1:16" x14ac:dyDescent="0.25">
      <c r="A250" t="s">
        <v>582</v>
      </c>
      <c r="B250" t="s">
        <v>583</v>
      </c>
      <c r="C250">
        <v>15</v>
      </c>
      <c r="D250">
        <v>2</v>
      </c>
      <c r="E250" t="s">
        <v>615</v>
      </c>
      <c r="F250">
        <v>7</v>
      </c>
      <c r="G250" t="s">
        <v>626</v>
      </c>
      <c r="H250" t="s">
        <v>16</v>
      </c>
      <c r="J250">
        <v>34.4</v>
      </c>
      <c r="K250" t="str">
        <f>"-14 30"</f>
        <v>-14 30</v>
      </c>
      <c r="M250">
        <v>33.200000000000003</v>
      </c>
      <c r="N250">
        <v>-8.6</v>
      </c>
      <c r="O250">
        <v>68.900000000000006</v>
      </c>
    </row>
    <row r="251" spans="1:16" x14ac:dyDescent="0.25">
      <c r="A251" t="s">
        <v>583</v>
      </c>
      <c r="B251" t="s">
        <v>584</v>
      </c>
      <c r="C251">
        <v>4</v>
      </c>
      <c r="D251">
        <v>1</v>
      </c>
      <c r="E251">
        <v>3</v>
      </c>
      <c r="F251" s="7" t="str">
        <f t="shared" ref="F251" si="25">"/"</f>
        <v>/</v>
      </c>
      <c r="G251" t="s">
        <v>627</v>
      </c>
      <c r="H251" t="s">
        <v>16</v>
      </c>
      <c r="J251">
        <v>23.1</v>
      </c>
      <c r="K251" t="str">
        <f>"-3.5 feet"</f>
        <v>-3.5 feet</v>
      </c>
      <c r="M251">
        <v>22.5</v>
      </c>
      <c r="N251">
        <v>-3.5</v>
      </c>
      <c r="O251">
        <v>60.3</v>
      </c>
      <c r="P251" t="s">
        <v>667</v>
      </c>
    </row>
    <row r="252" spans="1:16" x14ac:dyDescent="0.25">
      <c r="A252" t="s">
        <v>583</v>
      </c>
      <c r="B252" t="s">
        <v>585</v>
      </c>
      <c r="C252" s="7" t="str">
        <f t="shared" ref="C252:F252" si="26">"/"</f>
        <v>/</v>
      </c>
      <c r="D252" s="7" t="str">
        <f t="shared" si="26"/>
        <v>/</v>
      </c>
      <c r="E252" s="7" t="str">
        <f t="shared" si="26"/>
        <v>/</v>
      </c>
      <c r="F252" s="7" t="str">
        <f t="shared" si="26"/>
        <v>/</v>
      </c>
      <c r="G252" t="s">
        <v>16</v>
      </c>
      <c r="H252" t="s">
        <v>643</v>
      </c>
      <c r="J252">
        <v>21.6</v>
      </c>
      <c r="K252" t="s">
        <v>653</v>
      </c>
      <c r="M252">
        <v>20.2</v>
      </c>
      <c r="N252">
        <v>7.6</v>
      </c>
      <c r="O252" t="s">
        <v>659</v>
      </c>
    </row>
    <row r="253" spans="1:16" x14ac:dyDescent="0.25">
      <c r="A253" t="s">
        <v>585</v>
      </c>
      <c r="B253" t="s">
        <v>586</v>
      </c>
      <c r="C253">
        <v>2</v>
      </c>
      <c r="D253">
        <v>3</v>
      </c>
      <c r="E253">
        <v>25</v>
      </c>
      <c r="F253">
        <v>5</v>
      </c>
      <c r="G253" t="s">
        <v>628</v>
      </c>
      <c r="H253" t="s">
        <v>16</v>
      </c>
      <c r="J253">
        <v>17.399999999999999</v>
      </c>
      <c r="K253" t="str">
        <f>"-7 30"</f>
        <v>-7 30</v>
      </c>
      <c r="M253">
        <v>17.2</v>
      </c>
      <c r="N253">
        <v>-2.2999999999999998</v>
      </c>
      <c r="O253">
        <v>67.900000000000006</v>
      </c>
    </row>
    <row r="254" spans="1:16" x14ac:dyDescent="0.25">
      <c r="A254" t="s">
        <v>586</v>
      </c>
      <c r="B254" t="s">
        <v>587</v>
      </c>
      <c r="C254">
        <v>2</v>
      </c>
      <c r="D254">
        <v>1</v>
      </c>
      <c r="E254" s="7" t="str">
        <f t="shared" ref="E254" si="27">"/"</f>
        <v>/</v>
      </c>
      <c r="F254">
        <v>10</v>
      </c>
      <c r="G254" t="s">
        <v>629</v>
      </c>
      <c r="H254" t="s">
        <v>16</v>
      </c>
      <c r="J254">
        <v>18.2</v>
      </c>
      <c r="K254" t="str">
        <f>"-4 feet"</f>
        <v>-4 feet</v>
      </c>
      <c r="M254">
        <v>17.8</v>
      </c>
      <c r="N254">
        <v>-4</v>
      </c>
      <c r="O254">
        <v>65.599999999999994</v>
      </c>
      <c r="P254" t="s">
        <v>668</v>
      </c>
    </row>
    <row r="255" spans="1:16" x14ac:dyDescent="0.25">
      <c r="A255" t="s">
        <v>586</v>
      </c>
      <c r="B255" t="s">
        <v>588</v>
      </c>
      <c r="C255" s="7" t="str">
        <f t="shared" ref="C255:F255" si="28">"/"</f>
        <v>/</v>
      </c>
      <c r="D255" s="7" t="str">
        <f t="shared" si="28"/>
        <v>/</v>
      </c>
      <c r="E255" s="7" t="str">
        <f t="shared" si="28"/>
        <v>/</v>
      </c>
      <c r="F255" s="7" t="str">
        <f t="shared" si="28"/>
        <v>/</v>
      </c>
      <c r="G255" t="s">
        <v>16</v>
      </c>
      <c r="H255" t="s">
        <v>350</v>
      </c>
      <c r="J255">
        <v>17.3</v>
      </c>
      <c r="K255" t="s">
        <v>653</v>
      </c>
      <c r="M255">
        <v>16.2</v>
      </c>
      <c r="N255">
        <v>6</v>
      </c>
      <c r="O255" t="s">
        <v>660</v>
      </c>
      <c r="P255" t="s">
        <v>669</v>
      </c>
    </row>
    <row r="256" spans="1:16" x14ac:dyDescent="0.25">
      <c r="A256" t="s">
        <v>588</v>
      </c>
      <c r="B256" t="s">
        <v>589</v>
      </c>
      <c r="C256">
        <v>1</v>
      </c>
      <c r="D256">
        <v>1.5</v>
      </c>
      <c r="E256">
        <v>3</v>
      </c>
      <c r="F256">
        <v>3</v>
      </c>
      <c r="G256" t="s">
        <v>630</v>
      </c>
      <c r="H256" t="s">
        <v>16</v>
      </c>
      <c r="J256">
        <v>16.2</v>
      </c>
      <c r="K256" t="str">
        <f>"-2 45"</f>
        <v>-2 45</v>
      </c>
      <c r="M256">
        <v>16.100000000000001</v>
      </c>
      <c r="N256">
        <v>-0.8</v>
      </c>
      <c r="O256">
        <v>71.599999999999994</v>
      </c>
    </row>
    <row r="257" spans="1:16" x14ac:dyDescent="0.25">
      <c r="A257" t="s">
        <v>589</v>
      </c>
      <c r="B257" t="s">
        <v>590</v>
      </c>
      <c r="C257">
        <v>3</v>
      </c>
      <c r="D257" t="s">
        <v>16</v>
      </c>
      <c r="E257">
        <v>4</v>
      </c>
      <c r="F257">
        <v>2</v>
      </c>
      <c r="G257" t="s">
        <v>16</v>
      </c>
      <c r="H257" t="s">
        <v>644</v>
      </c>
      <c r="J257">
        <v>17.8</v>
      </c>
      <c r="K257" t="s">
        <v>551</v>
      </c>
      <c r="M257">
        <v>16.8</v>
      </c>
      <c r="N257">
        <v>6</v>
      </c>
      <c r="O257">
        <v>70.8</v>
      </c>
      <c r="P257" t="s">
        <v>670</v>
      </c>
    </row>
    <row r="258" spans="1:16" x14ac:dyDescent="0.25">
      <c r="A258" t="s">
        <v>590</v>
      </c>
      <c r="B258" t="s">
        <v>591</v>
      </c>
      <c r="C258">
        <v>1</v>
      </c>
      <c r="D258">
        <v>2</v>
      </c>
      <c r="E258">
        <v>2</v>
      </c>
      <c r="F258">
        <v>3</v>
      </c>
      <c r="G258" t="s">
        <v>631</v>
      </c>
      <c r="H258" t="s">
        <v>16</v>
      </c>
      <c r="J258">
        <v>24.3</v>
      </c>
      <c r="K258" t="s">
        <v>245</v>
      </c>
      <c r="M258">
        <v>23.8</v>
      </c>
      <c r="N258">
        <v>4.2</v>
      </c>
      <c r="O258">
        <v>76.8</v>
      </c>
    </row>
    <row r="259" spans="1:16" x14ac:dyDescent="0.25">
      <c r="A259" t="s">
        <v>591</v>
      </c>
      <c r="B259" t="s">
        <v>592</v>
      </c>
      <c r="C259">
        <v>1</v>
      </c>
      <c r="D259" s="7" t="str">
        <f t="shared" ref="D259" si="29">"/"</f>
        <v>/</v>
      </c>
      <c r="E259">
        <v>4</v>
      </c>
      <c r="F259" t="s">
        <v>16</v>
      </c>
      <c r="G259" t="s">
        <v>16</v>
      </c>
      <c r="H259" t="s">
        <v>16</v>
      </c>
      <c r="J259">
        <v>6</v>
      </c>
      <c r="K259" t="str">
        <f>"-90 00"</f>
        <v>-90 00</v>
      </c>
      <c r="M259" t="s">
        <v>16</v>
      </c>
      <c r="N259">
        <v>-6</v>
      </c>
      <c r="O259">
        <v>81</v>
      </c>
    </row>
    <row r="260" spans="1:16" x14ac:dyDescent="0.25">
      <c r="A260" t="s">
        <v>592</v>
      </c>
      <c r="B260" t="s">
        <v>593</v>
      </c>
      <c r="C260" s="7" t="str">
        <f t="shared" ref="C260" si="30">"/"</f>
        <v>/</v>
      </c>
      <c r="D260" t="s">
        <v>16</v>
      </c>
      <c r="E260">
        <v>1</v>
      </c>
      <c r="F260">
        <v>2</v>
      </c>
      <c r="G260" t="s">
        <v>16</v>
      </c>
      <c r="H260" t="s">
        <v>645</v>
      </c>
      <c r="J260">
        <v>12.5</v>
      </c>
      <c r="K260" t="str">
        <f>"-2 40"</f>
        <v>-2 40</v>
      </c>
      <c r="M260">
        <v>12.4</v>
      </c>
      <c r="N260">
        <v>-0.6</v>
      </c>
      <c r="O260">
        <v>75</v>
      </c>
      <c r="P260" t="s">
        <v>671</v>
      </c>
    </row>
    <row r="261" spans="1:16" x14ac:dyDescent="0.25">
      <c r="A261" t="s">
        <v>593</v>
      </c>
      <c r="B261" t="s">
        <v>594</v>
      </c>
      <c r="C261">
        <v>4</v>
      </c>
      <c r="D261">
        <v>4</v>
      </c>
      <c r="E261">
        <v>4</v>
      </c>
      <c r="F261">
        <v>2</v>
      </c>
      <c r="G261" t="s">
        <v>646</v>
      </c>
      <c r="H261" t="s">
        <v>16</v>
      </c>
      <c r="J261">
        <v>11.2</v>
      </c>
      <c r="K261" t="str">
        <f>"-22 30"</f>
        <v>-22 30</v>
      </c>
      <c r="M261">
        <v>10.3</v>
      </c>
      <c r="N261">
        <v>-4.3</v>
      </c>
      <c r="O261">
        <v>74.400000000000006</v>
      </c>
      <c r="P261" t="s">
        <v>672</v>
      </c>
    </row>
    <row r="262" spans="1:16" x14ac:dyDescent="0.25">
      <c r="A262" t="s">
        <v>594</v>
      </c>
      <c r="B262" t="s">
        <v>595</v>
      </c>
      <c r="C262" t="s">
        <v>614</v>
      </c>
      <c r="D262" t="s">
        <v>16</v>
      </c>
      <c r="E262">
        <v>2.5</v>
      </c>
      <c r="F262">
        <v>2.5</v>
      </c>
      <c r="G262" t="s">
        <v>16</v>
      </c>
      <c r="H262" t="s">
        <v>647</v>
      </c>
      <c r="J262">
        <v>8</v>
      </c>
      <c r="K262" t="s">
        <v>460</v>
      </c>
      <c r="M262">
        <v>7.8</v>
      </c>
      <c r="N262">
        <v>1.6</v>
      </c>
      <c r="O262">
        <v>70.099999999999994</v>
      </c>
      <c r="P262" t="s">
        <v>673</v>
      </c>
    </row>
    <row r="263" spans="1:16" x14ac:dyDescent="0.25">
      <c r="A263" t="s">
        <v>595</v>
      </c>
      <c r="B263" t="s">
        <v>596</v>
      </c>
      <c r="C263">
        <v>3</v>
      </c>
      <c r="D263">
        <v>3</v>
      </c>
      <c r="E263">
        <v>4</v>
      </c>
      <c r="F263">
        <v>2</v>
      </c>
      <c r="G263" t="s">
        <v>632</v>
      </c>
      <c r="H263" t="s">
        <v>16</v>
      </c>
      <c r="J263">
        <v>14.3</v>
      </c>
      <c r="K263" t="str">
        <f>"-12 00"</f>
        <v>-12 00</v>
      </c>
      <c r="M263">
        <v>14</v>
      </c>
      <c r="N263">
        <v>-3</v>
      </c>
      <c r="O263">
        <v>71.7</v>
      </c>
      <c r="P263" t="s">
        <v>674</v>
      </c>
    </row>
    <row r="264" spans="1:16" x14ac:dyDescent="0.25">
      <c r="A264" t="s">
        <v>596</v>
      </c>
      <c r="B264" t="s">
        <v>597</v>
      </c>
      <c r="C264">
        <v>4</v>
      </c>
      <c r="D264" t="s">
        <v>16</v>
      </c>
      <c r="E264">
        <v>2</v>
      </c>
      <c r="F264">
        <v>3</v>
      </c>
      <c r="G264" t="s">
        <v>16</v>
      </c>
      <c r="H264" t="s">
        <v>640</v>
      </c>
      <c r="J264">
        <v>12.7</v>
      </c>
      <c r="K264" t="s">
        <v>367</v>
      </c>
      <c r="M264">
        <v>12.6</v>
      </c>
      <c r="N264">
        <v>1.3</v>
      </c>
      <c r="O264">
        <v>68.7</v>
      </c>
    </row>
    <row r="265" spans="1:16" x14ac:dyDescent="0.25">
      <c r="A265" t="s">
        <v>597</v>
      </c>
      <c r="B265" t="s">
        <v>598</v>
      </c>
      <c r="C265">
        <v>7</v>
      </c>
      <c r="D265">
        <v>2</v>
      </c>
      <c r="E265">
        <v>5</v>
      </c>
      <c r="F265">
        <v>2</v>
      </c>
      <c r="G265" t="s">
        <v>633</v>
      </c>
      <c r="H265" t="s">
        <v>16</v>
      </c>
      <c r="J265">
        <v>30.5</v>
      </c>
      <c r="K265" t="str">
        <f>"-8 40"</f>
        <v>-8 40</v>
      </c>
      <c r="M265">
        <v>30.1</v>
      </c>
      <c r="N265">
        <v>-4.5999999999999996</v>
      </c>
      <c r="O265">
        <v>70</v>
      </c>
      <c r="P265" t="s">
        <v>675</v>
      </c>
    </row>
    <row r="266" spans="1:16" x14ac:dyDescent="0.25">
      <c r="A266" t="s">
        <v>598</v>
      </c>
      <c r="B266" t="s">
        <v>599</v>
      </c>
      <c r="C266">
        <v>5</v>
      </c>
      <c r="D266">
        <v>1</v>
      </c>
      <c r="E266">
        <v>1.5</v>
      </c>
      <c r="F266">
        <v>4</v>
      </c>
      <c r="G266" t="s">
        <v>16</v>
      </c>
      <c r="H266" t="s">
        <v>648</v>
      </c>
      <c r="J266">
        <v>27.4</v>
      </c>
      <c r="K266" t="s">
        <v>654</v>
      </c>
      <c r="M266">
        <v>27.4</v>
      </c>
      <c r="N266" t="s">
        <v>16</v>
      </c>
      <c r="O266">
        <v>65.400000000000006</v>
      </c>
    </row>
    <row r="267" spans="1:16" x14ac:dyDescent="0.25">
      <c r="A267" t="s">
        <v>599</v>
      </c>
      <c r="B267" t="s">
        <v>600</v>
      </c>
      <c r="C267">
        <v>2</v>
      </c>
      <c r="D267">
        <v>1.5</v>
      </c>
      <c r="E267">
        <v>8</v>
      </c>
      <c r="F267">
        <v>2.5</v>
      </c>
      <c r="G267" t="s">
        <v>634</v>
      </c>
      <c r="H267" t="s">
        <v>16</v>
      </c>
      <c r="J267">
        <v>13.7</v>
      </c>
      <c r="K267" t="str">
        <f>"-20 20"</f>
        <v>-20 20</v>
      </c>
      <c r="M267">
        <v>12.8</v>
      </c>
      <c r="N267">
        <v>-4.8</v>
      </c>
      <c r="O267">
        <v>65.400000000000006</v>
      </c>
      <c r="P267" t="s">
        <v>676</v>
      </c>
    </row>
    <row r="268" spans="1:16" x14ac:dyDescent="0.25">
      <c r="A268" t="s">
        <v>592</v>
      </c>
      <c r="B268" t="s">
        <v>601</v>
      </c>
      <c r="C268" s="7" t="str">
        <f t="shared" ref="C268:F280" si="31">"/"</f>
        <v>/</v>
      </c>
      <c r="D268" s="7" t="str">
        <f t="shared" si="31"/>
        <v>/</v>
      </c>
      <c r="E268" s="7" t="str">
        <f t="shared" si="31"/>
        <v>/</v>
      </c>
      <c r="F268" s="7" t="str">
        <f t="shared" si="31"/>
        <v>/</v>
      </c>
      <c r="G268" t="s">
        <v>16</v>
      </c>
      <c r="H268" t="s">
        <v>649</v>
      </c>
      <c r="J268">
        <v>19.2</v>
      </c>
      <c r="K268" t="s">
        <v>655</v>
      </c>
      <c r="M268">
        <v>17.8</v>
      </c>
      <c r="N268">
        <v>7.2</v>
      </c>
      <c r="O268" t="s">
        <v>661</v>
      </c>
    </row>
    <row r="269" spans="1:16" x14ac:dyDescent="0.25">
      <c r="A269" t="s">
        <v>601</v>
      </c>
      <c r="B269" t="s">
        <v>602</v>
      </c>
      <c r="C269" s="7" t="str">
        <f t="shared" si="31"/>
        <v>/</v>
      </c>
      <c r="D269" s="7" t="str">
        <f t="shared" si="31"/>
        <v>/</v>
      </c>
      <c r="E269" s="7" t="str">
        <f t="shared" si="31"/>
        <v>/</v>
      </c>
      <c r="F269" s="7" t="str">
        <f t="shared" si="31"/>
        <v>/</v>
      </c>
      <c r="G269" t="s">
        <v>635</v>
      </c>
      <c r="H269" t="s">
        <v>16</v>
      </c>
      <c r="J269">
        <v>7.2</v>
      </c>
      <c r="K269" t="s">
        <v>656</v>
      </c>
      <c r="M269">
        <v>4.0999999999999996</v>
      </c>
      <c r="N269">
        <v>5.9</v>
      </c>
      <c r="O269">
        <v>82.2</v>
      </c>
    </row>
    <row r="270" spans="1:16" x14ac:dyDescent="0.25">
      <c r="A270" t="s">
        <v>602</v>
      </c>
      <c r="B270" t="s">
        <v>603</v>
      </c>
      <c r="C270" s="7" t="str">
        <f t="shared" si="31"/>
        <v>/</v>
      </c>
      <c r="D270" s="7" t="str">
        <f t="shared" si="31"/>
        <v>/</v>
      </c>
      <c r="E270" s="7" t="str">
        <f t="shared" si="31"/>
        <v>/</v>
      </c>
      <c r="F270" s="7" t="str">
        <f t="shared" si="31"/>
        <v>/</v>
      </c>
      <c r="G270" t="s">
        <v>636</v>
      </c>
      <c r="H270" t="s">
        <v>16</v>
      </c>
      <c r="J270">
        <v>19.7</v>
      </c>
      <c r="K270" t="s">
        <v>246</v>
      </c>
      <c r="M270">
        <v>18.8</v>
      </c>
      <c r="N270">
        <v>6.1</v>
      </c>
      <c r="O270">
        <v>88.1</v>
      </c>
    </row>
    <row r="271" spans="1:16" x14ac:dyDescent="0.25">
      <c r="A271" t="s">
        <v>603</v>
      </c>
      <c r="B271" t="s">
        <v>604</v>
      </c>
      <c r="C271" s="7" t="str">
        <f t="shared" si="31"/>
        <v>/</v>
      </c>
      <c r="D271" s="7" t="str">
        <f t="shared" si="31"/>
        <v>/</v>
      </c>
      <c r="E271" s="7" t="str">
        <f t="shared" si="31"/>
        <v>/</v>
      </c>
      <c r="F271" s="7" t="str">
        <f t="shared" si="31"/>
        <v>/</v>
      </c>
      <c r="G271" t="s">
        <v>179</v>
      </c>
      <c r="H271" t="s">
        <v>16</v>
      </c>
      <c r="J271">
        <v>9.1999999999999993</v>
      </c>
      <c r="K271" t="str">
        <f>"-22 00"</f>
        <v>-22 00</v>
      </c>
      <c r="M271">
        <v>8.5</v>
      </c>
      <c r="N271">
        <v>-3.4</v>
      </c>
      <c r="O271">
        <v>94.2</v>
      </c>
    </row>
    <row r="272" spans="1:16" x14ac:dyDescent="0.25">
      <c r="A272" t="s">
        <v>604</v>
      </c>
      <c r="B272" t="s">
        <v>605</v>
      </c>
      <c r="C272" s="7" t="str">
        <f t="shared" si="31"/>
        <v>/</v>
      </c>
      <c r="D272" s="7" t="str">
        <f t="shared" si="31"/>
        <v>/</v>
      </c>
      <c r="E272" s="7" t="str">
        <f t="shared" si="31"/>
        <v>/</v>
      </c>
      <c r="F272" s="7" t="str">
        <f t="shared" si="31"/>
        <v>/</v>
      </c>
      <c r="G272" t="s">
        <v>637</v>
      </c>
      <c r="H272" t="s">
        <v>16</v>
      </c>
      <c r="J272">
        <v>15.8</v>
      </c>
      <c r="K272" t="str">
        <f>"+ 2 feet"</f>
        <v>+ 2 feet</v>
      </c>
      <c r="M272">
        <v>15.5</v>
      </c>
      <c r="N272">
        <v>2</v>
      </c>
      <c r="O272">
        <v>90.8</v>
      </c>
      <c r="P272" t="s">
        <v>677</v>
      </c>
    </row>
    <row r="273" spans="1:16" x14ac:dyDescent="0.25">
      <c r="A273" t="s">
        <v>605</v>
      </c>
      <c r="B273" t="s">
        <v>606</v>
      </c>
      <c r="C273" s="7" t="str">
        <f t="shared" si="31"/>
        <v>/</v>
      </c>
      <c r="D273" s="7" t="str">
        <f t="shared" si="31"/>
        <v>/</v>
      </c>
      <c r="E273" s="7" t="str">
        <f t="shared" si="31"/>
        <v>/</v>
      </c>
      <c r="F273" s="7" t="str">
        <f t="shared" si="31"/>
        <v>/</v>
      </c>
      <c r="G273" t="s">
        <v>638</v>
      </c>
      <c r="H273" t="s">
        <v>16</v>
      </c>
      <c r="J273">
        <v>12.3</v>
      </c>
      <c r="K273" t="s">
        <v>655</v>
      </c>
      <c r="M273">
        <v>11.4</v>
      </c>
      <c r="N273">
        <v>4.5999999999999996</v>
      </c>
      <c r="O273">
        <v>92.8</v>
      </c>
      <c r="P273" t="s">
        <v>678</v>
      </c>
    </row>
    <row r="274" spans="1:16" x14ac:dyDescent="0.25">
      <c r="A274" t="s">
        <v>606</v>
      </c>
      <c r="B274" t="s">
        <v>607</v>
      </c>
      <c r="C274" s="7" t="str">
        <f t="shared" si="31"/>
        <v>/</v>
      </c>
      <c r="D274" s="7" t="str">
        <f t="shared" si="31"/>
        <v>/</v>
      </c>
      <c r="E274" s="7" t="str">
        <f t="shared" si="31"/>
        <v>/</v>
      </c>
      <c r="F274" s="7" t="str">
        <f t="shared" si="31"/>
        <v>/</v>
      </c>
      <c r="G274" t="s">
        <v>639</v>
      </c>
      <c r="H274" t="s">
        <v>16</v>
      </c>
      <c r="J274">
        <v>14.5</v>
      </c>
      <c r="K274" t="s">
        <v>657</v>
      </c>
      <c r="M274">
        <v>9.3000000000000007</v>
      </c>
      <c r="N274">
        <v>11.1</v>
      </c>
      <c r="O274">
        <v>97.4</v>
      </c>
    </row>
    <row r="275" spans="1:16" x14ac:dyDescent="0.25">
      <c r="A275" t="s">
        <v>607</v>
      </c>
      <c r="B275" t="s">
        <v>608</v>
      </c>
      <c r="C275" s="7" t="str">
        <f t="shared" si="31"/>
        <v>/</v>
      </c>
      <c r="D275" s="7" t="str">
        <f t="shared" si="31"/>
        <v>/</v>
      </c>
      <c r="E275" s="7" t="str">
        <f t="shared" si="31"/>
        <v>/</v>
      </c>
      <c r="F275" s="7" t="str">
        <f t="shared" si="31"/>
        <v>/</v>
      </c>
      <c r="G275" t="s">
        <v>352</v>
      </c>
      <c r="H275" t="s">
        <v>16</v>
      </c>
      <c r="J275">
        <v>17.8</v>
      </c>
      <c r="K275" t="str">
        <f>"-6 30"</f>
        <v>-6 30</v>
      </c>
      <c r="M275">
        <v>17.600000000000001</v>
      </c>
      <c r="N275">
        <v>-2</v>
      </c>
      <c r="O275">
        <v>108.5</v>
      </c>
    </row>
    <row r="276" spans="1:16" x14ac:dyDescent="0.25">
      <c r="A276" t="s">
        <v>608</v>
      </c>
      <c r="B276" t="s">
        <v>609</v>
      </c>
      <c r="C276" s="7" t="str">
        <f t="shared" si="31"/>
        <v>/</v>
      </c>
      <c r="D276" s="7" t="str">
        <f t="shared" si="31"/>
        <v>/</v>
      </c>
      <c r="E276" s="7" t="str">
        <f t="shared" si="31"/>
        <v>/</v>
      </c>
      <c r="F276" s="7" t="str">
        <f t="shared" si="31"/>
        <v>/</v>
      </c>
      <c r="G276" t="s">
        <v>640</v>
      </c>
      <c r="H276" t="s">
        <v>16</v>
      </c>
      <c r="J276">
        <v>7.7</v>
      </c>
      <c r="K276" t="str">
        <f>"-53 00"</f>
        <v>-53 00</v>
      </c>
      <c r="M276">
        <v>4.5999999999999996</v>
      </c>
      <c r="N276">
        <v>-6.1</v>
      </c>
      <c r="O276">
        <v>106.5</v>
      </c>
    </row>
    <row r="277" spans="1:16" x14ac:dyDescent="0.25">
      <c r="A277" t="s">
        <v>609</v>
      </c>
      <c r="B277" t="s">
        <v>610</v>
      </c>
      <c r="C277" s="7" t="str">
        <f t="shared" si="31"/>
        <v>/</v>
      </c>
      <c r="D277" s="7" t="str">
        <f t="shared" si="31"/>
        <v>/</v>
      </c>
      <c r="E277" s="7" t="str">
        <f t="shared" si="31"/>
        <v>/</v>
      </c>
      <c r="F277" s="7" t="str">
        <f t="shared" si="31"/>
        <v>/</v>
      </c>
      <c r="G277" t="s">
        <v>641</v>
      </c>
      <c r="H277" t="s">
        <v>16</v>
      </c>
      <c r="J277">
        <v>8.5</v>
      </c>
      <c r="K277" t="s">
        <v>44</v>
      </c>
      <c r="M277">
        <v>8.5</v>
      </c>
      <c r="N277" t="s">
        <v>16</v>
      </c>
      <c r="O277">
        <v>100.4</v>
      </c>
    </row>
    <row r="278" spans="1:16" x14ac:dyDescent="0.25">
      <c r="A278" t="s">
        <v>610</v>
      </c>
      <c r="B278" t="s">
        <v>611</v>
      </c>
      <c r="C278" s="7" t="str">
        <f t="shared" si="31"/>
        <v>/</v>
      </c>
      <c r="D278" s="7" t="str">
        <f t="shared" si="31"/>
        <v>/</v>
      </c>
      <c r="E278" s="7" t="str">
        <f t="shared" si="31"/>
        <v>/</v>
      </c>
      <c r="F278" s="7" t="str">
        <f t="shared" si="31"/>
        <v>/</v>
      </c>
      <c r="G278" t="s">
        <v>642</v>
      </c>
      <c r="H278" t="s">
        <v>16</v>
      </c>
      <c r="J278">
        <v>10.8</v>
      </c>
      <c r="K278" t="s">
        <v>44</v>
      </c>
      <c r="M278">
        <v>10.8</v>
      </c>
      <c r="N278" t="s">
        <v>16</v>
      </c>
      <c r="O278">
        <v>100.4</v>
      </c>
      <c r="P278" t="s">
        <v>679</v>
      </c>
    </row>
    <row r="279" spans="1:16" x14ac:dyDescent="0.25">
      <c r="A279" t="s">
        <v>611</v>
      </c>
      <c r="B279" t="s">
        <v>612</v>
      </c>
      <c r="C279" s="7" t="str">
        <f t="shared" si="31"/>
        <v>/</v>
      </c>
      <c r="D279" s="7" t="str">
        <f t="shared" si="31"/>
        <v>/</v>
      </c>
      <c r="E279" s="7" t="str">
        <f t="shared" si="31"/>
        <v>/</v>
      </c>
      <c r="F279" s="7" t="str">
        <f t="shared" si="31"/>
        <v>/</v>
      </c>
      <c r="G279" t="s">
        <v>641</v>
      </c>
      <c r="H279" t="s">
        <v>16</v>
      </c>
      <c r="J279">
        <v>18.399999999999999</v>
      </c>
      <c r="K279" t="str">
        <f>"-2.5 feet"</f>
        <v>-2.5 feet</v>
      </c>
      <c r="M279">
        <v>18.100000000000001</v>
      </c>
      <c r="N279">
        <v>-2.5</v>
      </c>
      <c r="O279">
        <v>100.4</v>
      </c>
    </row>
    <row r="280" spans="1:16" x14ac:dyDescent="0.25">
      <c r="A280" t="s">
        <v>612</v>
      </c>
      <c r="B280" t="s">
        <v>613</v>
      </c>
      <c r="C280" s="7" t="str">
        <f t="shared" si="31"/>
        <v>/</v>
      </c>
      <c r="D280" s="7" t="str">
        <f t="shared" si="31"/>
        <v>/</v>
      </c>
      <c r="E280" s="7" t="str">
        <f t="shared" si="31"/>
        <v>/</v>
      </c>
      <c r="F280" s="7" t="str">
        <f t="shared" si="31"/>
        <v>/</v>
      </c>
      <c r="G280" t="s">
        <v>220</v>
      </c>
      <c r="H280" t="s">
        <v>16</v>
      </c>
      <c r="J280">
        <v>11</v>
      </c>
      <c r="K280" t="s">
        <v>658</v>
      </c>
      <c r="M280">
        <v>10.6</v>
      </c>
      <c r="N280" t="s">
        <v>16</v>
      </c>
      <c r="O280">
        <v>97.9</v>
      </c>
    </row>
    <row r="281" spans="1:16" x14ac:dyDescent="0.25">
      <c r="C281" s="7"/>
      <c r="D281" s="7"/>
      <c r="E281" s="7"/>
      <c r="F281" s="7"/>
      <c r="O281">
        <v>97.9</v>
      </c>
    </row>
    <row r="282" spans="1:16" x14ac:dyDescent="0.25">
      <c r="N282" t="s">
        <v>662</v>
      </c>
      <c r="O282">
        <v>88.9</v>
      </c>
    </row>
    <row r="283" spans="1:16" x14ac:dyDescent="0.25">
      <c r="A283" s="1" t="s">
        <v>832</v>
      </c>
      <c r="B283" s="1" t="s">
        <v>802</v>
      </c>
    </row>
    <row r="284" spans="1:16" x14ac:dyDescent="0.25">
      <c r="A284" t="s">
        <v>680</v>
      </c>
      <c r="B284" t="s">
        <v>736</v>
      </c>
      <c r="C284" t="s">
        <v>681</v>
      </c>
    </row>
    <row r="285" spans="1:16" x14ac:dyDescent="0.25">
      <c r="A285" t="s">
        <v>328</v>
      </c>
      <c r="B285" t="s">
        <v>682</v>
      </c>
      <c r="C285">
        <v>9</v>
      </c>
      <c r="D285">
        <v>1</v>
      </c>
      <c r="E285">
        <v>4</v>
      </c>
      <c r="F285" s="7" t="str">
        <f t="shared" ref="F285" si="32">"/"</f>
        <v>/</v>
      </c>
      <c r="G285" t="s">
        <v>16</v>
      </c>
      <c r="H285" t="s">
        <v>712</v>
      </c>
      <c r="I285" t="s">
        <v>720</v>
      </c>
      <c r="J285">
        <v>17.5</v>
      </c>
      <c r="K285" t="str">
        <f>"-0 30"</f>
        <v>-0 30</v>
      </c>
      <c r="M285">
        <v>17.5</v>
      </c>
      <c r="N285">
        <v>-0.2</v>
      </c>
      <c r="O285">
        <v>340</v>
      </c>
      <c r="P285" t="s">
        <v>778</v>
      </c>
    </row>
    <row r="286" spans="1:16" x14ac:dyDescent="0.25">
      <c r="A286" t="s">
        <v>682</v>
      </c>
      <c r="B286" t="s">
        <v>683</v>
      </c>
      <c r="C286">
        <v>8</v>
      </c>
      <c r="D286">
        <v>2.5</v>
      </c>
      <c r="E286">
        <v>5</v>
      </c>
      <c r="F286">
        <v>2</v>
      </c>
      <c r="G286" t="s">
        <v>705</v>
      </c>
      <c r="H286" t="s">
        <v>16</v>
      </c>
      <c r="I286" t="s">
        <v>705</v>
      </c>
      <c r="J286">
        <v>4.8</v>
      </c>
      <c r="K286" t="str">
        <f>"-18 30"</f>
        <v>-18 30</v>
      </c>
      <c r="M286">
        <v>4.5</v>
      </c>
      <c r="N286">
        <v>-1.5</v>
      </c>
      <c r="O286">
        <v>339.8</v>
      </c>
      <c r="P286" t="s">
        <v>779</v>
      </c>
    </row>
    <row r="287" spans="1:16" x14ac:dyDescent="0.25">
      <c r="A287" t="s">
        <v>683</v>
      </c>
      <c r="B287" t="s">
        <v>684</v>
      </c>
      <c r="C287">
        <v>6</v>
      </c>
      <c r="D287">
        <v>0.3</v>
      </c>
      <c r="E287">
        <v>4</v>
      </c>
      <c r="F287">
        <v>0.3</v>
      </c>
      <c r="G287" t="s">
        <v>16</v>
      </c>
      <c r="H287" t="s">
        <v>713</v>
      </c>
      <c r="I287" t="s">
        <v>721</v>
      </c>
      <c r="J287">
        <v>9.8000000000000007</v>
      </c>
      <c r="K287" t="s">
        <v>731</v>
      </c>
      <c r="M287">
        <v>8.5</v>
      </c>
      <c r="N287">
        <v>4.8</v>
      </c>
      <c r="O287">
        <v>338.3</v>
      </c>
      <c r="P287" t="s">
        <v>780</v>
      </c>
    </row>
    <row r="288" spans="1:16" x14ac:dyDescent="0.25">
      <c r="A288" t="s">
        <v>684</v>
      </c>
      <c r="B288" t="s">
        <v>685</v>
      </c>
      <c r="C288">
        <v>3</v>
      </c>
      <c r="D288">
        <v>2</v>
      </c>
      <c r="E288">
        <v>1</v>
      </c>
      <c r="F288">
        <v>1</v>
      </c>
      <c r="G288" t="s">
        <v>706</v>
      </c>
      <c r="H288" t="s">
        <v>16</v>
      </c>
      <c r="I288" t="s">
        <v>706</v>
      </c>
      <c r="J288">
        <v>13.3</v>
      </c>
      <c r="K288" t="s">
        <v>488</v>
      </c>
      <c r="M288">
        <v>13.3</v>
      </c>
      <c r="N288">
        <v>0.3</v>
      </c>
      <c r="O288">
        <v>343.1</v>
      </c>
    </row>
    <row r="289" spans="1:16" x14ac:dyDescent="0.25">
      <c r="A289" t="s">
        <v>685</v>
      </c>
      <c r="B289" t="s">
        <v>686</v>
      </c>
      <c r="C289">
        <v>4.5</v>
      </c>
      <c r="D289">
        <v>1</v>
      </c>
      <c r="E289">
        <v>2.5</v>
      </c>
      <c r="F289">
        <v>0.3</v>
      </c>
      <c r="G289" t="s">
        <v>16</v>
      </c>
      <c r="H289" t="s">
        <v>714</v>
      </c>
      <c r="I289" t="s">
        <v>722</v>
      </c>
      <c r="J289">
        <v>8.9</v>
      </c>
      <c r="K289" t="s">
        <v>215</v>
      </c>
      <c r="M289">
        <v>8.6999999999999993</v>
      </c>
      <c r="N289">
        <v>2.1</v>
      </c>
      <c r="O289">
        <v>343.4</v>
      </c>
      <c r="P289" t="s">
        <v>781</v>
      </c>
    </row>
    <row r="290" spans="1:16" x14ac:dyDescent="0.25">
      <c r="A290" t="s">
        <v>686</v>
      </c>
      <c r="B290" t="s">
        <v>687</v>
      </c>
      <c r="C290">
        <v>2</v>
      </c>
      <c r="D290">
        <v>1</v>
      </c>
      <c r="E290">
        <v>7</v>
      </c>
      <c r="F290" s="7" t="str">
        <f t="shared" ref="F290" si="33">"/"</f>
        <v>/</v>
      </c>
      <c r="G290" t="s">
        <v>16</v>
      </c>
      <c r="H290" t="s">
        <v>715</v>
      </c>
      <c r="I290" t="s">
        <v>723</v>
      </c>
      <c r="J290">
        <v>13.4</v>
      </c>
      <c r="K290" t="s">
        <v>215</v>
      </c>
      <c r="M290">
        <v>13</v>
      </c>
      <c r="N290">
        <v>3.1</v>
      </c>
      <c r="O290">
        <v>345.5</v>
      </c>
      <c r="P290" t="s">
        <v>782</v>
      </c>
    </row>
    <row r="291" spans="1:16" x14ac:dyDescent="0.25">
      <c r="A291" t="s">
        <v>687</v>
      </c>
      <c r="B291" t="s">
        <v>688</v>
      </c>
      <c r="C291">
        <v>2</v>
      </c>
      <c r="D291">
        <v>5</v>
      </c>
      <c r="E291">
        <v>3</v>
      </c>
      <c r="F291">
        <v>6</v>
      </c>
      <c r="G291" t="s">
        <v>640</v>
      </c>
      <c r="H291" t="s">
        <v>16</v>
      </c>
      <c r="I291" t="s">
        <v>640</v>
      </c>
      <c r="J291">
        <v>8.6999999999999993</v>
      </c>
      <c r="K291" t="str">
        <f>"-22 30"</f>
        <v>-22 30</v>
      </c>
      <c r="M291">
        <v>8</v>
      </c>
      <c r="N291">
        <v>-3.3</v>
      </c>
      <c r="O291">
        <v>348.6</v>
      </c>
      <c r="P291" t="s">
        <v>783</v>
      </c>
    </row>
    <row r="292" spans="1:16" x14ac:dyDescent="0.25">
      <c r="A292" t="s">
        <v>688</v>
      </c>
      <c r="B292" t="s">
        <v>689</v>
      </c>
      <c r="C292">
        <v>3</v>
      </c>
      <c r="D292">
        <v>2</v>
      </c>
      <c r="E292">
        <v>1.5</v>
      </c>
      <c r="F292" s="7" t="str">
        <f t="shared" ref="F292" si="34">"/"</f>
        <v>/</v>
      </c>
      <c r="G292" t="s">
        <v>16</v>
      </c>
      <c r="H292" t="s">
        <v>716</v>
      </c>
      <c r="I292" t="s">
        <v>724</v>
      </c>
      <c r="J292">
        <v>21.3</v>
      </c>
      <c r="K292" t="s">
        <v>732</v>
      </c>
      <c r="M292">
        <v>20.7</v>
      </c>
      <c r="N292">
        <v>4.8</v>
      </c>
      <c r="O292">
        <v>345.3</v>
      </c>
    </row>
    <row r="293" spans="1:16" x14ac:dyDescent="0.25">
      <c r="A293" t="s">
        <v>689</v>
      </c>
      <c r="B293" t="s">
        <v>690</v>
      </c>
      <c r="C293">
        <v>5</v>
      </c>
      <c r="D293">
        <v>1</v>
      </c>
      <c r="E293">
        <v>6</v>
      </c>
      <c r="F293">
        <v>6</v>
      </c>
      <c r="G293" t="s">
        <v>707</v>
      </c>
      <c r="H293" t="s">
        <v>16</v>
      </c>
      <c r="I293" t="s">
        <v>707</v>
      </c>
      <c r="J293">
        <v>12.8</v>
      </c>
      <c r="K293" t="s">
        <v>210</v>
      </c>
      <c r="M293">
        <v>12.6</v>
      </c>
      <c r="N293">
        <v>2.2999999999999998</v>
      </c>
      <c r="O293">
        <v>350.1</v>
      </c>
    </row>
    <row r="294" spans="1:16" x14ac:dyDescent="0.25">
      <c r="A294" t="s">
        <v>690</v>
      </c>
      <c r="B294" t="s">
        <v>691</v>
      </c>
      <c r="C294">
        <v>1</v>
      </c>
      <c r="D294">
        <v>1.5</v>
      </c>
      <c r="E294">
        <v>3</v>
      </c>
      <c r="F294" t="s">
        <v>16</v>
      </c>
      <c r="G294" t="s">
        <v>16</v>
      </c>
      <c r="H294" t="s">
        <v>717</v>
      </c>
      <c r="I294" t="s">
        <v>725</v>
      </c>
      <c r="J294">
        <v>14.1</v>
      </c>
      <c r="K294" t="str">
        <f>"-44 00"</f>
        <v>-44 00</v>
      </c>
      <c r="M294">
        <v>10.1</v>
      </c>
      <c r="N294">
        <v>-9.8000000000000007</v>
      </c>
      <c r="O294">
        <v>352.4</v>
      </c>
      <c r="P294" t="s">
        <v>784</v>
      </c>
    </row>
    <row r="295" spans="1:16" x14ac:dyDescent="0.25">
      <c r="A295" t="s">
        <v>691</v>
      </c>
      <c r="B295" t="s">
        <v>692</v>
      </c>
      <c r="C295">
        <v>2</v>
      </c>
      <c r="D295">
        <v>2</v>
      </c>
      <c r="E295" s="7" t="str">
        <f t="shared" ref="E295:E296" si="35">"/"</f>
        <v>/</v>
      </c>
      <c r="F295">
        <v>3</v>
      </c>
      <c r="G295" t="s">
        <v>420</v>
      </c>
      <c r="H295" t="s">
        <v>16</v>
      </c>
      <c r="I295" t="s">
        <v>420</v>
      </c>
      <c r="J295">
        <v>35.799999999999997</v>
      </c>
      <c r="K295" t="str">
        <f>"-18 30"</f>
        <v>-18 30</v>
      </c>
      <c r="M295">
        <v>33.9</v>
      </c>
      <c r="N295">
        <v>-11.4</v>
      </c>
      <c r="O295">
        <v>342.6</v>
      </c>
      <c r="P295" t="s">
        <v>785</v>
      </c>
    </row>
    <row r="296" spans="1:16" x14ac:dyDescent="0.25">
      <c r="A296" t="s">
        <v>692</v>
      </c>
      <c r="B296" t="s">
        <v>693</v>
      </c>
      <c r="C296">
        <v>3</v>
      </c>
      <c r="D296">
        <v>4.5</v>
      </c>
      <c r="E296" s="7" t="str">
        <f t="shared" si="35"/>
        <v>/</v>
      </c>
      <c r="F296">
        <v>13</v>
      </c>
      <c r="G296" t="s">
        <v>16</v>
      </c>
      <c r="H296" t="s">
        <v>718</v>
      </c>
      <c r="I296" t="s">
        <v>726</v>
      </c>
      <c r="J296">
        <v>11.2</v>
      </c>
      <c r="K296" t="str">
        <f>"-15 00"</f>
        <v>-15 00</v>
      </c>
      <c r="M296">
        <v>10.8</v>
      </c>
      <c r="N296">
        <v>-2.9</v>
      </c>
      <c r="O296">
        <v>331.2</v>
      </c>
      <c r="P296" t="s">
        <v>786</v>
      </c>
    </row>
    <row r="297" spans="1:16" x14ac:dyDescent="0.25">
      <c r="A297" t="s">
        <v>693</v>
      </c>
      <c r="B297" t="s">
        <v>694</v>
      </c>
      <c r="C297">
        <v>12</v>
      </c>
      <c r="D297">
        <v>2</v>
      </c>
      <c r="E297">
        <v>10</v>
      </c>
      <c r="F297">
        <v>3</v>
      </c>
      <c r="G297" t="s">
        <v>708</v>
      </c>
      <c r="H297" t="s">
        <v>16</v>
      </c>
      <c r="I297" t="s">
        <v>708</v>
      </c>
      <c r="J297">
        <v>44.5</v>
      </c>
      <c r="K297" t="str">
        <f>"-11 00"</f>
        <v>-11 00</v>
      </c>
      <c r="M297">
        <v>43.6</v>
      </c>
      <c r="N297">
        <v>-8.5</v>
      </c>
      <c r="O297">
        <v>328.3</v>
      </c>
      <c r="P297" t="s">
        <v>787</v>
      </c>
    </row>
    <row r="298" spans="1:16" x14ac:dyDescent="0.25">
      <c r="A298" t="s">
        <v>694</v>
      </c>
      <c r="B298" t="s">
        <v>695</v>
      </c>
      <c r="C298">
        <v>8</v>
      </c>
      <c r="D298">
        <v>10</v>
      </c>
      <c r="E298">
        <v>3</v>
      </c>
      <c r="F298">
        <v>1</v>
      </c>
      <c r="G298" t="s">
        <v>16</v>
      </c>
      <c r="H298" t="s">
        <v>648</v>
      </c>
      <c r="I298" t="s">
        <v>727</v>
      </c>
      <c r="J298">
        <v>14.3</v>
      </c>
      <c r="K298" t="s">
        <v>733</v>
      </c>
      <c r="M298">
        <v>13.5</v>
      </c>
      <c r="N298">
        <v>4.5</v>
      </c>
      <c r="O298">
        <v>319.8</v>
      </c>
      <c r="P298" t="s">
        <v>788</v>
      </c>
    </row>
    <row r="299" spans="1:16" x14ac:dyDescent="0.25">
      <c r="A299" t="s">
        <v>695</v>
      </c>
      <c r="B299" t="s">
        <v>696</v>
      </c>
      <c r="C299">
        <v>3</v>
      </c>
      <c r="D299">
        <v>15</v>
      </c>
      <c r="E299">
        <v>3</v>
      </c>
      <c r="F299">
        <v>1</v>
      </c>
      <c r="G299" t="s">
        <v>709</v>
      </c>
      <c r="H299" t="s">
        <v>16</v>
      </c>
      <c r="I299" t="s">
        <v>709</v>
      </c>
      <c r="J299">
        <v>16</v>
      </c>
      <c r="K299" t="s">
        <v>516</v>
      </c>
      <c r="M299">
        <v>15.9</v>
      </c>
      <c r="N299">
        <v>1.1000000000000001</v>
      </c>
      <c r="O299">
        <v>324.3</v>
      </c>
    </row>
    <row r="300" spans="1:16" x14ac:dyDescent="0.25">
      <c r="A300" t="s">
        <v>696</v>
      </c>
      <c r="B300" t="s">
        <v>697</v>
      </c>
      <c r="C300">
        <v>2</v>
      </c>
      <c r="D300">
        <v>12</v>
      </c>
      <c r="E300">
        <v>6</v>
      </c>
      <c r="F300">
        <v>2</v>
      </c>
      <c r="G300" t="s">
        <v>16</v>
      </c>
      <c r="H300" t="s">
        <v>237</v>
      </c>
      <c r="I300" t="s">
        <v>224</v>
      </c>
      <c r="J300">
        <v>15.4</v>
      </c>
      <c r="K300" t="str">
        <f>"-58 00"</f>
        <v>-58 00</v>
      </c>
      <c r="M300">
        <v>8.1999999999999993</v>
      </c>
      <c r="N300">
        <v>-13</v>
      </c>
      <c r="O300">
        <v>325.39999999999998</v>
      </c>
      <c r="P300" t="s">
        <v>789</v>
      </c>
    </row>
    <row r="301" spans="1:16" x14ac:dyDescent="0.25">
      <c r="A301" t="s">
        <v>697</v>
      </c>
      <c r="B301" t="s">
        <v>698</v>
      </c>
      <c r="C301">
        <v>15</v>
      </c>
      <c r="D301">
        <v>6</v>
      </c>
      <c r="E301">
        <v>3</v>
      </c>
      <c r="F301">
        <v>2</v>
      </c>
      <c r="G301" t="s">
        <v>710</v>
      </c>
      <c r="H301" t="s">
        <v>16</v>
      </c>
      <c r="I301" t="s">
        <v>710</v>
      </c>
      <c r="J301">
        <v>12</v>
      </c>
      <c r="K301" t="str">
        <f>"-11 00"</f>
        <v>-11 00</v>
      </c>
      <c r="M301">
        <v>11.8</v>
      </c>
      <c r="N301">
        <v>-2.2999999999999998</v>
      </c>
      <c r="O301">
        <v>312.39999999999998</v>
      </c>
    </row>
    <row r="302" spans="1:16" x14ac:dyDescent="0.25">
      <c r="A302" t="s">
        <v>698</v>
      </c>
      <c r="B302" t="s">
        <v>699</v>
      </c>
      <c r="C302">
        <v>18</v>
      </c>
      <c r="D302">
        <v>5</v>
      </c>
      <c r="E302" t="s">
        <v>16</v>
      </c>
      <c r="F302">
        <v>5</v>
      </c>
      <c r="G302" t="s">
        <v>16</v>
      </c>
      <c r="H302" t="s">
        <v>719</v>
      </c>
      <c r="I302" t="s">
        <v>728</v>
      </c>
      <c r="J302">
        <v>39</v>
      </c>
      <c r="K302" t="str">
        <f>"-6 30"</f>
        <v>-6 30</v>
      </c>
      <c r="M302">
        <v>38.6</v>
      </c>
      <c r="N302">
        <v>-4.4000000000000004</v>
      </c>
      <c r="O302">
        <v>310.10000000000002</v>
      </c>
    </row>
    <row r="303" spans="1:16" x14ac:dyDescent="0.25">
      <c r="A303" t="s">
        <v>699</v>
      </c>
      <c r="B303" t="s">
        <v>345</v>
      </c>
      <c r="C303">
        <v>6</v>
      </c>
      <c r="D303" t="s">
        <v>704</v>
      </c>
      <c r="E303">
        <v>4</v>
      </c>
      <c r="F303">
        <v>10</v>
      </c>
      <c r="G303" t="s">
        <v>711</v>
      </c>
      <c r="H303" t="s">
        <v>16</v>
      </c>
      <c r="I303" t="s">
        <v>729</v>
      </c>
      <c r="J303">
        <v>29.2</v>
      </c>
      <c r="K303" t="str">
        <f>"-24 30"</f>
        <v>-24 30</v>
      </c>
      <c r="M303">
        <v>26.5</v>
      </c>
      <c r="N303">
        <v>-12.1</v>
      </c>
      <c r="O303">
        <v>305.7</v>
      </c>
      <c r="P303" t="s">
        <v>790</v>
      </c>
    </row>
    <row r="304" spans="1:16" x14ac:dyDescent="0.25">
      <c r="A304" t="s">
        <v>345</v>
      </c>
      <c r="O304">
        <v>293.60000000000002</v>
      </c>
      <c r="P304" t="s">
        <v>791</v>
      </c>
    </row>
    <row r="305" spans="1:16" x14ac:dyDescent="0.25">
      <c r="A305" t="s">
        <v>692</v>
      </c>
      <c r="B305" t="s">
        <v>9</v>
      </c>
      <c r="C305" s="7" t="str">
        <f t="shared" ref="C305:F305" si="36">"/"</f>
        <v>/</v>
      </c>
      <c r="D305" s="7" t="str">
        <f t="shared" si="36"/>
        <v>/</v>
      </c>
      <c r="E305" s="7" t="str">
        <f t="shared" si="36"/>
        <v>/</v>
      </c>
      <c r="F305" s="7" t="str">
        <f t="shared" si="36"/>
        <v>/</v>
      </c>
      <c r="G305" t="s">
        <v>16</v>
      </c>
      <c r="H305" t="s">
        <v>730</v>
      </c>
      <c r="I305" t="s">
        <v>527</v>
      </c>
      <c r="J305">
        <v>31.3</v>
      </c>
      <c r="K305" t="s">
        <v>734</v>
      </c>
      <c r="M305">
        <v>30.7</v>
      </c>
      <c r="N305">
        <v>6</v>
      </c>
      <c r="O305">
        <v>331.2</v>
      </c>
    </row>
    <row r="306" spans="1:16" x14ac:dyDescent="0.25">
      <c r="A306" t="s">
        <v>9</v>
      </c>
      <c r="B306" t="s">
        <v>700</v>
      </c>
      <c r="C306">
        <v>10</v>
      </c>
      <c r="D306">
        <v>4</v>
      </c>
      <c r="E306">
        <v>6</v>
      </c>
      <c r="F306">
        <v>7</v>
      </c>
      <c r="G306" t="s">
        <v>354</v>
      </c>
      <c r="H306" t="s">
        <v>16</v>
      </c>
      <c r="I306" t="s">
        <v>354</v>
      </c>
      <c r="J306">
        <v>38.1</v>
      </c>
      <c r="K306" t="s">
        <v>735</v>
      </c>
      <c r="M306">
        <v>36.5</v>
      </c>
      <c r="N306">
        <v>11.2</v>
      </c>
      <c r="O306">
        <v>337.2</v>
      </c>
    </row>
    <row r="307" spans="1:16" x14ac:dyDescent="0.25">
      <c r="A307" t="s">
        <v>700</v>
      </c>
      <c r="B307" t="s">
        <v>701</v>
      </c>
      <c r="C307">
        <v>3</v>
      </c>
      <c r="D307">
        <v>0.5</v>
      </c>
      <c r="E307">
        <v>3.5</v>
      </c>
      <c r="F307">
        <v>3.5</v>
      </c>
      <c r="G307" t="s">
        <v>722</v>
      </c>
      <c r="H307" t="s">
        <v>16</v>
      </c>
      <c r="I307">
        <v>8</v>
      </c>
      <c r="J307">
        <v>18.399999999999999</v>
      </c>
      <c r="K307" t="str">
        <f>"+7 feet"</f>
        <v>+7 feet</v>
      </c>
      <c r="M307">
        <v>17.7</v>
      </c>
      <c r="N307">
        <v>7</v>
      </c>
      <c r="O307">
        <v>348.4</v>
      </c>
      <c r="P307" t="s">
        <v>792</v>
      </c>
    </row>
    <row r="308" spans="1:16" x14ac:dyDescent="0.25">
      <c r="A308" t="s">
        <v>701</v>
      </c>
      <c r="B308" t="s">
        <v>702</v>
      </c>
      <c r="C308">
        <v>1</v>
      </c>
      <c r="D308">
        <v>3</v>
      </c>
      <c r="E308">
        <v>2</v>
      </c>
      <c r="F308">
        <v>2</v>
      </c>
      <c r="G308">
        <v>46</v>
      </c>
      <c r="H308" t="s">
        <v>16</v>
      </c>
      <c r="I308">
        <v>46</v>
      </c>
      <c r="J308">
        <v>13.3</v>
      </c>
      <c r="K308" t="str">
        <f>"+5 feet"</f>
        <v>+5 feet</v>
      </c>
      <c r="M308">
        <v>12.9</v>
      </c>
      <c r="N308">
        <v>5</v>
      </c>
      <c r="O308">
        <v>355.4</v>
      </c>
      <c r="P308" t="s">
        <v>906</v>
      </c>
    </row>
    <row r="309" spans="1:16" x14ac:dyDescent="0.25">
      <c r="A309" t="s">
        <v>702</v>
      </c>
      <c r="B309" t="s">
        <v>703</v>
      </c>
      <c r="C309">
        <v>2</v>
      </c>
      <c r="D309">
        <v>2</v>
      </c>
      <c r="E309">
        <v>10</v>
      </c>
      <c r="F309">
        <v>10</v>
      </c>
      <c r="G309">
        <v>75</v>
      </c>
      <c r="H309" t="s">
        <v>16</v>
      </c>
      <c r="I309">
        <v>75</v>
      </c>
      <c r="J309">
        <v>20.2</v>
      </c>
      <c r="K309" t="str">
        <f>"+3 feet"</f>
        <v>+3 feet</v>
      </c>
      <c r="M309">
        <v>19.899999999999999</v>
      </c>
      <c r="N309">
        <v>3</v>
      </c>
      <c r="O309">
        <v>360.4</v>
      </c>
    </row>
    <row r="310" spans="1:16" x14ac:dyDescent="0.25">
      <c r="A310" t="s">
        <v>703</v>
      </c>
      <c r="C310">
        <v>4</v>
      </c>
      <c r="D310">
        <v>1</v>
      </c>
      <c r="E310">
        <v>12</v>
      </c>
      <c r="F310">
        <v>12</v>
      </c>
      <c r="O310">
        <v>363.4</v>
      </c>
      <c r="P310" t="s">
        <v>793</v>
      </c>
    </row>
    <row r="312" spans="1:16" x14ac:dyDescent="0.25">
      <c r="A312" t="s">
        <v>737</v>
      </c>
      <c r="B312" t="s">
        <v>898</v>
      </c>
      <c r="C312" t="s">
        <v>899</v>
      </c>
    </row>
    <row r="313" spans="1:16" x14ac:dyDescent="0.25">
      <c r="A313" t="s">
        <v>318</v>
      </c>
      <c r="B313" t="s">
        <v>738</v>
      </c>
      <c r="G313" t="s">
        <v>16</v>
      </c>
      <c r="H313" t="s">
        <v>350</v>
      </c>
      <c r="I313" t="s">
        <v>768</v>
      </c>
      <c r="J313">
        <v>9.8000000000000007</v>
      </c>
      <c r="K313" t="s">
        <v>774</v>
      </c>
      <c r="M313">
        <v>6.9</v>
      </c>
      <c r="N313">
        <v>7</v>
      </c>
      <c r="O313">
        <v>367.1</v>
      </c>
      <c r="P313" t="s">
        <v>794</v>
      </c>
    </row>
    <row r="314" spans="1:16" x14ac:dyDescent="0.25">
      <c r="A314" t="s">
        <v>738</v>
      </c>
      <c r="B314" t="s">
        <v>739</v>
      </c>
      <c r="G314" t="s">
        <v>16</v>
      </c>
      <c r="H314" t="s">
        <v>758</v>
      </c>
      <c r="I314" t="s">
        <v>769</v>
      </c>
      <c r="J314">
        <v>38.1</v>
      </c>
      <c r="K314" t="s">
        <v>525</v>
      </c>
      <c r="M314">
        <v>36</v>
      </c>
      <c r="N314">
        <v>12.4</v>
      </c>
      <c r="O314">
        <v>374.1</v>
      </c>
      <c r="P314" t="s">
        <v>795</v>
      </c>
    </row>
    <row r="315" spans="1:16" x14ac:dyDescent="0.25">
      <c r="A315" t="s">
        <v>739</v>
      </c>
      <c r="B315" t="s">
        <v>740</v>
      </c>
      <c r="G315" t="s">
        <v>759</v>
      </c>
      <c r="H315" t="s">
        <v>16</v>
      </c>
      <c r="I315" t="s">
        <v>759</v>
      </c>
      <c r="J315">
        <v>63.3</v>
      </c>
      <c r="K315" t="s">
        <v>775</v>
      </c>
      <c r="M315">
        <v>61.8</v>
      </c>
      <c r="N315">
        <v>13.8</v>
      </c>
      <c r="O315">
        <v>386.5</v>
      </c>
      <c r="P315" t="s">
        <v>796</v>
      </c>
    </row>
    <row r="316" spans="1:16" x14ac:dyDescent="0.25">
      <c r="A316" t="s">
        <v>739</v>
      </c>
      <c r="B316" t="s">
        <v>741</v>
      </c>
      <c r="G316" t="s">
        <v>548</v>
      </c>
      <c r="H316" t="s">
        <v>16</v>
      </c>
      <c r="I316" t="s">
        <v>548</v>
      </c>
      <c r="J316">
        <v>57.3</v>
      </c>
      <c r="K316" t="s">
        <v>245</v>
      </c>
      <c r="M316">
        <v>56.5</v>
      </c>
      <c r="N316">
        <v>9.9</v>
      </c>
      <c r="O316">
        <v>400.3</v>
      </c>
      <c r="P316" t="s">
        <v>797</v>
      </c>
    </row>
    <row r="317" spans="1:16" x14ac:dyDescent="0.25">
      <c r="A317" t="s">
        <v>739</v>
      </c>
      <c r="B317" t="s">
        <v>742</v>
      </c>
      <c r="G317" t="s">
        <v>539</v>
      </c>
      <c r="H317" t="s">
        <v>16</v>
      </c>
      <c r="I317" t="s">
        <v>539</v>
      </c>
      <c r="J317">
        <v>190.3</v>
      </c>
      <c r="K317" t="s">
        <v>314</v>
      </c>
      <c r="M317">
        <v>188.4</v>
      </c>
      <c r="N317">
        <v>26.5</v>
      </c>
      <c r="O317">
        <v>396.4</v>
      </c>
      <c r="P317" t="s">
        <v>798</v>
      </c>
    </row>
    <row r="318" spans="1:16" x14ac:dyDescent="0.25">
      <c r="A318" t="s">
        <v>742</v>
      </c>
      <c r="O318">
        <v>413</v>
      </c>
    </row>
    <row r="320" spans="1:16" x14ac:dyDescent="0.25">
      <c r="A320" t="s">
        <v>744</v>
      </c>
      <c r="B320" t="s">
        <v>745</v>
      </c>
      <c r="C320" t="s">
        <v>743</v>
      </c>
    </row>
    <row r="321" spans="1:16" x14ac:dyDescent="0.25">
      <c r="A321" t="s">
        <v>683</v>
      </c>
      <c r="B321" t="s">
        <v>746</v>
      </c>
      <c r="C321" s="7" t="str">
        <f t="shared" ref="C321:F323" si="37">"/"</f>
        <v>/</v>
      </c>
      <c r="D321" s="7" t="str">
        <f t="shared" si="37"/>
        <v>/</v>
      </c>
      <c r="E321" s="7" t="str">
        <f t="shared" si="37"/>
        <v>/</v>
      </c>
      <c r="F321" s="7" t="str">
        <f t="shared" si="37"/>
        <v>/</v>
      </c>
      <c r="G321" t="s">
        <v>16</v>
      </c>
      <c r="H321" t="s">
        <v>760</v>
      </c>
      <c r="I321" t="s">
        <v>770</v>
      </c>
      <c r="J321">
        <v>15.6</v>
      </c>
      <c r="K321" t="s">
        <v>655</v>
      </c>
      <c r="M321">
        <v>14.4</v>
      </c>
      <c r="N321">
        <v>5.9</v>
      </c>
      <c r="O321">
        <v>338.3</v>
      </c>
      <c r="P321" t="s">
        <v>799</v>
      </c>
    </row>
    <row r="322" spans="1:16" x14ac:dyDescent="0.25">
      <c r="A322" t="s">
        <v>746</v>
      </c>
      <c r="B322" t="s">
        <v>747</v>
      </c>
      <c r="C322">
        <v>2</v>
      </c>
      <c r="D322">
        <v>3</v>
      </c>
      <c r="E322">
        <v>1</v>
      </c>
      <c r="F322">
        <v>3</v>
      </c>
      <c r="G322" t="s">
        <v>761</v>
      </c>
      <c r="H322" t="s">
        <v>16</v>
      </c>
      <c r="I322" t="s">
        <v>761</v>
      </c>
      <c r="J322">
        <v>15.1</v>
      </c>
      <c r="K322" t="str">
        <f>"-33 30"</f>
        <v>-33 30</v>
      </c>
      <c r="M322">
        <v>12.6</v>
      </c>
      <c r="N322">
        <v>-8.3000000000000007</v>
      </c>
      <c r="O322">
        <v>344.2</v>
      </c>
      <c r="P322" t="s">
        <v>800</v>
      </c>
    </row>
    <row r="323" spans="1:16" x14ac:dyDescent="0.25">
      <c r="A323" t="s">
        <v>747</v>
      </c>
      <c r="B323" t="s">
        <v>748</v>
      </c>
      <c r="C323">
        <v>10</v>
      </c>
      <c r="D323">
        <v>0.2</v>
      </c>
      <c r="E323" s="7" t="str">
        <f t="shared" si="37"/>
        <v>/</v>
      </c>
      <c r="F323" s="7" t="str">
        <f t="shared" si="37"/>
        <v>/</v>
      </c>
      <c r="G323" t="s">
        <v>16</v>
      </c>
      <c r="H323" t="s">
        <v>762</v>
      </c>
      <c r="I323" t="s">
        <v>347</v>
      </c>
      <c r="J323">
        <v>16.399999999999999</v>
      </c>
      <c r="K323" t="str">
        <f>"-25 00"</f>
        <v>-25 00</v>
      </c>
      <c r="M323">
        <v>14.8</v>
      </c>
      <c r="N323">
        <v>-6.9</v>
      </c>
      <c r="O323">
        <v>335.8</v>
      </c>
    </row>
    <row r="324" spans="1:16" x14ac:dyDescent="0.25">
      <c r="A324" t="s">
        <v>748</v>
      </c>
      <c r="B324" t="s">
        <v>749</v>
      </c>
      <c r="C324">
        <v>1.7</v>
      </c>
      <c r="D324">
        <v>0.3</v>
      </c>
      <c r="E324">
        <v>0.3</v>
      </c>
      <c r="F324">
        <v>2.5</v>
      </c>
      <c r="G324" t="s">
        <v>16</v>
      </c>
      <c r="H324" t="s">
        <v>763</v>
      </c>
      <c r="I324" t="s">
        <v>771</v>
      </c>
      <c r="J324">
        <v>10</v>
      </c>
      <c r="K324" t="str">
        <f>"-3 00"</f>
        <v>-3 00</v>
      </c>
      <c r="M324">
        <v>10</v>
      </c>
      <c r="N324">
        <v>-0.5</v>
      </c>
      <c r="O324">
        <v>328.9</v>
      </c>
    </row>
    <row r="325" spans="1:16" x14ac:dyDescent="0.25">
      <c r="A325" t="s">
        <v>749</v>
      </c>
      <c r="B325" t="s">
        <v>750</v>
      </c>
      <c r="C325">
        <v>1</v>
      </c>
      <c r="D325">
        <v>3</v>
      </c>
      <c r="E325">
        <v>4</v>
      </c>
      <c r="F325">
        <v>2</v>
      </c>
      <c r="G325" t="s">
        <v>764</v>
      </c>
      <c r="H325" t="s">
        <v>16</v>
      </c>
      <c r="I325" t="s">
        <v>764</v>
      </c>
      <c r="J325">
        <v>11.5</v>
      </c>
      <c r="K325" t="str">
        <f>"-12 15"</f>
        <v>-12 15</v>
      </c>
      <c r="M325">
        <v>11.2</v>
      </c>
      <c r="N325">
        <v>-2.4</v>
      </c>
      <c r="O325">
        <v>328.2</v>
      </c>
    </row>
    <row r="326" spans="1:16" x14ac:dyDescent="0.25">
      <c r="A326" t="s">
        <v>750</v>
      </c>
      <c r="C326" s="7" t="str">
        <f t="shared" ref="C326:F327" si="38">"/"</f>
        <v>/</v>
      </c>
      <c r="D326" s="7" t="str">
        <f t="shared" si="38"/>
        <v>/</v>
      </c>
      <c r="E326" s="7" t="str">
        <f t="shared" si="38"/>
        <v>/</v>
      </c>
      <c r="F326" s="7" t="str">
        <f t="shared" si="38"/>
        <v>/</v>
      </c>
      <c r="G326" t="s">
        <v>16</v>
      </c>
      <c r="H326" t="s">
        <v>16</v>
      </c>
      <c r="I326" t="s">
        <v>16</v>
      </c>
      <c r="J326" t="s">
        <v>16</v>
      </c>
      <c r="K326" t="s">
        <v>16</v>
      </c>
      <c r="M326" t="s">
        <v>16</v>
      </c>
      <c r="N326" t="s">
        <v>16</v>
      </c>
      <c r="O326">
        <v>325.89999999999998</v>
      </c>
    </row>
    <row r="327" spans="1:16" x14ac:dyDescent="0.25">
      <c r="A327" t="s">
        <v>749</v>
      </c>
      <c r="B327" t="s">
        <v>751</v>
      </c>
      <c r="C327" s="7" t="str">
        <f t="shared" si="38"/>
        <v>/</v>
      </c>
      <c r="D327" s="7" t="str">
        <f t="shared" si="38"/>
        <v>/</v>
      </c>
      <c r="E327" s="7" t="str">
        <f t="shared" si="38"/>
        <v>/</v>
      </c>
      <c r="F327" s="7" t="str">
        <f t="shared" si="38"/>
        <v>/</v>
      </c>
      <c r="G327" t="s">
        <v>354</v>
      </c>
      <c r="H327" t="s">
        <v>16</v>
      </c>
      <c r="I327" t="s">
        <v>354</v>
      </c>
      <c r="J327">
        <v>21.6</v>
      </c>
      <c r="K327" t="s">
        <v>776</v>
      </c>
      <c r="M327">
        <v>21.4</v>
      </c>
      <c r="N327">
        <v>2.9</v>
      </c>
      <c r="O327">
        <v>328.2</v>
      </c>
    </row>
    <row r="328" spans="1:16" x14ac:dyDescent="0.25">
      <c r="A328" t="s">
        <v>751</v>
      </c>
      <c r="B328" t="s">
        <v>752</v>
      </c>
      <c r="C328">
        <v>0.5</v>
      </c>
      <c r="D328">
        <v>3</v>
      </c>
      <c r="E328">
        <v>5</v>
      </c>
      <c r="F328" t="s">
        <v>757</v>
      </c>
      <c r="G328" t="s">
        <v>16</v>
      </c>
      <c r="H328" t="s">
        <v>373</v>
      </c>
      <c r="I328" t="s">
        <v>370</v>
      </c>
      <c r="J328">
        <v>17.8</v>
      </c>
      <c r="K328" t="s">
        <v>525</v>
      </c>
      <c r="M328">
        <v>16.8</v>
      </c>
      <c r="N328">
        <v>5.8</v>
      </c>
      <c r="O328">
        <v>331.1</v>
      </c>
    </row>
    <row r="329" spans="1:16" x14ac:dyDescent="0.25">
      <c r="A329" t="s">
        <v>752</v>
      </c>
      <c r="B329" t="s">
        <v>753</v>
      </c>
      <c r="C329">
        <v>1</v>
      </c>
      <c r="D329">
        <v>4</v>
      </c>
      <c r="E329">
        <v>3</v>
      </c>
      <c r="F329">
        <v>3</v>
      </c>
      <c r="G329" t="s">
        <v>238</v>
      </c>
      <c r="H329" t="s">
        <v>16</v>
      </c>
      <c r="I329" t="s">
        <v>238</v>
      </c>
      <c r="J329">
        <v>16.100000000000001</v>
      </c>
      <c r="K329" t="s">
        <v>733</v>
      </c>
      <c r="M329">
        <v>15.2</v>
      </c>
      <c r="N329">
        <v>5.0999999999999996</v>
      </c>
      <c r="O329">
        <v>336.8</v>
      </c>
    </row>
    <row r="330" spans="1:16" x14ac:dyDescent="0.25">
      <c r="A330" t="s">
        <v>753</v>
      </c>
      <c r="B330" t="s">
        <v>754</v>
      </c>
      <c r="C330">
        <v>1.1000000000000001</v>
      </c>
      <c r="D330">
        <v>3</v>
      </c>
      <c r="E330">
        <v>2</v>
      </c>
      <c r="F330">
        <v>4</v>
      </c>
      <c r="G330" t="s">
        <v>16</v>
      </c>
      <c r="H330" t="s">
        <v>765</v>
      </c>
      <c r="I330" t="s">
        <v>772</v>
      </c>
      <c r="J330">
        <v>15.5</v>
      </c>
      <c r="K330" t="s">
        <v>777</v>
      </c>
      <c r="M330">
        <v>15</v>
      </c>
      <c r="N330">
        <v>4.0999999999999996</v>
      </c>
      <c r="O330">
        <v>341.9</v>
      </c>
      <c r="P330" t="s">
        <v>801</v>
      </c>
    </row>
    <row r="331" spans="1:16" x14ac:dyDescent="0.25">
      <c r="A331" t="s">
        <v>754</v>
      </c>
      <c r="B331" t="s">
        <v>755</v>
      </c>
      <c r="C331">
        <v>1</v>
      </c>
      <c r="D331">
        <v>2</v>
      </c>
      <c r="E331">
        <v>20</v>
      </c>
      <c r="F331" s="7" t="str">
        <f t="shared" ref="F331" si="39">"/"</f>
        <v>/</v>
      </c>
      <c r="G331" t="s">
        <v>766</v>
      </c>
      <c r="H331" t="s">
        <v>16</v>
      </c>
      <c r="I331" t="s">
        <v>766</v>
      </c>
      <c r="J331">
        <v>9.3000000000000007</v>
      </c>
      <c r="K331" t="s">
        <v>731</v>
      </c>
      <c r="M331">
        <v>8.1</v>
      </c>
      <c r="N331">
        <v>4.5999999999999996</v>
      </c>
      <c r="O331">
        <v>345.9</v>
      </c>
    </row>
    <row r="332" spans="1:16" x14ac:dyDescent="0.25">
      <c r="A332" t="s">
        <v>755</v>
      </c>
      <c r="B332" t="s">
        <v>756</v>
      </c>
      <c r="C332">
        <v>3</v>
      </c>
      <c r="D332">
        <v>4.5</v>
      </c>
      <c r="E332">
        <v>0.2</v>
      </c>
      <c r="F332">
        <v>20</v>
      </c>
      <c r="G332" t="s">
        <v>16</v>
      </c>
      <c r="H332" t="s">
        <v>767</v>
      </c>
      <c r="I332" t="s">
        <v>773</v>
      </c>
      <c r="J332">
        <v>26.5</v>
      </c>
      <c r="K332" t="s">
        <v>246</v>
      </c>
      <c r="M332">
        <v>25.2</v>
      </c>
      <c r="N332">
        <v>8.1999999999999993</v>
      </c>
      <c r="O332">
        <v>350.5</v>
      </c>
    </row>
    <row r="333" spans="1:16" x14ac:dyDescent="0.25">
      <c r="A333" t="s">
        <v>756</v>
      </c>
    </row>
    <row r="334" spans="1:16" x14ac:dyDescent="0.25">
      <c r="A334" s="1" t="s">
        <v>872</v>
      </c>
      <c r="B334" s="1" t="s">
        <v>871</v>
      </c>
    </row>
    <row r="335" spans="1:16" x14ac:dyDescent="0.25">
      <c r="A335" t="s">
        <v>756</v>
      </c>
      <c r="B335" t="s">
        <v>320</v>
      </c>
      <c r="C335">
        <v>3</v>
      </c>
      <c r="D335">
        <v>3</v>
      </c>
      <c r="E335">
        <v>20</v>
      </c>
      <c r="F335">
        <v>7</v>
      </c>
      <c r="G335" t="s">
        <v>813</v>
      </c>
      <c r="H335" s="7" t="s">
        <v>16</v>
      </c>
      <c r="I335" t="s">
        <v>823</v>
      </c>
      <c r="J335">
        <v>16.2</v>
      </c>
      <c r="K335" t="s">
        <v>827</v>
      </c>
      <c r="M335">
        <v>14.6</v>
      </c>
      <c r="N335">
        <v>7</v>
      </c>
      <c r="O335">
        <v>358.6</v>
      </c>
    </row>
    <row r="336" spans="1:16" x14ac:dyDescent="0.25">
      <c r="A336" t="str">
        <f t="shared" ref="A336:A348" si="40">B335</f>
        <v>EA</v>
      </c>
      <c r="C336" s="7" t="str">
        <f t="shared" ref="C336:F339" si="41">"/"</f>
        <v>/</v>
      </c>
      <c r="D336" s="7" t="str">
        <f t="shared" si="41"/>
        <v>/</v>
      </c>
      <c r="E336" s="7" t="str">
        <f t="shared" si="41"/>
        <v>/</v>
      </c>
      <c r="F336" s="7" t="str">
        <f t="shared" si="41"/>
        <v>/</v>
      </c>
      <c r="G336" s="7" t="s">
        <v>16</v>
      </c>
      <c r="H336" s="7" t="s">
        <v>16</v>
      </c>
      <c r="I336" t="s">
        <v>16</v>
      </c>
      <c r="J336" s="7" t="s">
        <v>16</v>
      </c>
      <c r="K336" s="7" t="s">
        <v>16</v>
      </c>
      <c r="O336">
        <v>365.5</v>
      </c>
      <c r="P336" t="s">
        <v>834</v>
      </c>
    </row>
    <row r="337" spans="1:16" x14ac:dyDescent="0.25">
      <c r="A337" t="s">
        <v>399</v>
      </c>
      <c r="B337" t="s">
        <v>803</v>
      </c>
      <c r="C337" s="7" t="str">
        <f t="shared" si="41"/>
        <v>/</v>
      </c>
      <c r="D337" s="7" t="str">
        <f t="shared" si="41"/>
        <v>/</v>
      </c>
      <c r="E337" s="7" t="str">
        <f t="shared" si="41"/>
        <v>/</v>
      </c>
      <c r="F337" s="7" t="str">
        <f t="shared" si="41"/>
        <v>/</v>
      </c>
      <c r="G337" t="s">
        <v>814</v>
      </c>
      <c r="H337" s="7" t="s">
        <v>16</v>
      </c>
      <c r="I337" t="s">
        <v>814</v>
      </c>
      <c r="J337">
        <v>26.5</v>
      </c>
      <c r="K337" t="s">
        <v>828</v>
      </c>
      <c r="M337">
        <v>24.3</v>
      </c>
      <c r="N337">
        <v>10.8</v>
      </c>
      <c r="O337">
        <v>260.8</v>
      </c>
      <c r="P337" t="s">
        <v>833</v>
      </c>
    </row>
    <row r="338" spans="1:16" x14ac:dyDescent="0.25">
      <c r="A338" t="str">
        <f t="shared" si="40"/>
        <v>GH</v>
      </c>
      <c r="B338" t="s">
        <v>804</v>
      </c>
      <c r="C338">
        <v>7</v>
      </c>
      <c r="D338">
        <v>4</v>
      </c>
      <c r="E338">
        <v>6</v>
      </c>
      <c r="F338">
        <v>12</v>
      </c>
      <c r="G338" s="7" t="s">
        <v>16</v>
      </c>
      <c r="H338" s="7" t="s">
        <v>820</v>
      </c>
      <c r="I338" t="s">
        <v>824</v>
      </c>
      <c r="J338">
        <v>20</v>
      </c>
      <c r="K338" t="s">
        <v>829</v>
      </c>
      <c r="M338">
        <v>19.899999999999999</v>
      </c>
      <c r="N338">
        <v>1.2</v>
      </c>
      <c r="O338">
        <v>271.60000000000002</v>
      </c>
    </row>
    <row r="339" spans="1:16" x14ac:dyDescent="0.25">
      <c r="A339" t="str">
        <f t="shared" si="40"/>
        <v>GI</v>
      </c>
      <c r="B339" t="s">
        <v>805</v>
      </c>
      <c r="C339">
        <v>10</v>
      </c>
      <c r="D339">
        <v>3</v>
      </c>
      <c r="E339">
        <v>8</v>
      </c>
      <c r="F339" s="7" t="str">
        <f t="shared" si="41"/>
        <v>/</v>
      </c>
      <c r="G339" t="s">
        <v>815</v>
      </c>
      <c r="H339" s="7" t="s">
        <v>16</v>
      </c>
      <c r="I339" t="s">
        <v>815</v>
      </c>
      <c r="J339">
        <v>52.9</v>
      </c>
      <c r="K339" t="s">
        <v>180</v>
      </c>
      <c r="M339">
        <v>52.2</v>
      </c>
      <c r="N339">
        <v>8.6999999999999993</v>
      </c>
      <c r="O339">
        <v>272.8</v>
      </c>
    </row>
    <row r="340" spans="1:16" x14ac:dyDescent="0.25">
      <c r="A340" t="str">
        <f t="shared" si="40"/>
        <v>GJ</v>
      </c>
      <c r="B340" t="s">
        <v>806</v>
      </c>
      <c r="C340">
        <v>14</v>
      </c>
      <c r="D340">
        <v>4</v>
      </c>
      <c r="E340">
        <v>4</v>
      </c>
      <c r="F340" t="s">
        <v>16</v>
      </c>
      <c r="G340" s="7" t="s">
        <v>816</v>
      </c>
      <c r="H340" s="7" t="s">
        <v>16</v>
      </c>
      <c r="I340" t="s">
        <v>816</v>
      </c>
      <c r="J340">
        <v>4</v>
      </c>
      <c r="K340" t="str">
        <f>"-53 30"</f>
        <v>-53 30</v>
      </c>
      <c r="M340">
        <v>2.4</v>
      </c>
      <c r="N340">
        <v>-3.2</v>
      </c>
      <c r="O340">
        <v>281.5</v>
      </c>
    </row>
    <row r="341" spans="1:16" x14ac:dyDescent="0.25">
      <c r="A341" t="str">
        <f t="shared" si="40"/>
        <v>GK</v>
      </c>
      <c r="B341" t="s">
        <v>807</v>
      </c>
      <c r="C341">
        <v>4</v>
      </c>
      <c r="D341">
        <v>0.5</v>
      </c>
      <c r="E341">
        <v>2.5</v>
      </c>
      <c r="F341">
        <v>0.3</v>
      </c>
      <c r="G341" t="s">
        <v>16</v>
      </c>
      <c r="H341" s="7" t="s">
        <v>628</v>
      </c>
      <c r="I341" t="s">
        <v>825</v>
      </c>
      <c r="J341">
        <v>11.7</v>
      </c>
      <c r="K341" t="s">
        <v>208</v>
      </c>
      <c r="M341">
        <v>10.5</v>
      </c>
      <c r="N341">
        <v>5.0999999999999996</v>
      </c>
      <c r="O341">
        <v>278.3</v>
      </c>
    </row>
    <row r="342" spans="1:16" x14ac:dyDescent="0.25">
      <c r="A342" t="str">
        <f t="shared" si="40"/>
        <v>GL</v>
      </c>
      <c r="B342" t="s">
        <v>808</v>
      </c>
      <c r="C342">
        <v>10</v>
      </c>
      <c r="D342">
        <v>2</v>
      </c>
      <c r="E342">
        <v>2</v>
      </c>
      <c r="F342">
        <v>3</v>
      </c>
      <c r="G342" s="7" t="s">
        <v>762</v>
      </c>
      <c r="H342" s="7" t="s">
        <v>16</v>
      </c>
      <c r="I342" t="s">
        <v>762</v>
      </c>
      <c r="J342">
        <v>15.8</v>
      </c>
      <c r="K342" t="s">
        <v>208</v>
      </c>
      <c r="M342">
        <v>14.2</v>
      </c>
      <c r="N342">
        <v>6.9</v>
      </c>
      <c r="O342">
        <v>283.39999999999998</v>
      </c>
    </row>
    <row r="343" spans="1:16" x14ac:dyDescent="0.25">
      <c r="A343" t="str">
        <f t="shared" si="40"/>
        <v>GM</v>
      </c>
      <c r="B343" t="s">
        <v>809</v>
      </c>
      <c r="C343">
        <v>6</v>
      </c>
      <c r="D343">
        <v>2</v>
      </c>
      <c r="E343">
        <v>1</v>
      </c>
      <c r="F343" s="7" t="str">
        <f t="shared" ref="F343" si="42">"/"</f>
        <v>/</v>
      </c>
      <c r="G343" t="s">
        <v>16</v>
      </c>
      <c r="H343" s="7" t="s">
        <v>821</v>
      </c>
      <c r="I343" t="s">
        <v>826</v>
      </c>
      <c r="J343">
        <v>12.8</v>
      </c>
      <c r="K343" t="s">
        <v>208</v>
      </c>
      <c r="M343">
        <v>11.5</v>
      </c>
      <c r="N343">
        <v>5.6</v>
      </c>
      <c r="O343">
        <v>290.3</v>
      </c>
    </row>
    <row r="344" spans="1:16" x14ac:dyDescent="0.25">
      <c r="A344" t="str">
        <f t="shared" si="40"/>
        <v>GN</v>
      </c>
      <c r="B344" t="s">
        <v>810</v>
      </c>
      <c r="C344">
        <v>10</v>
      </c>
      <c r="D344">
        <v>4</v>
      </c>
      <c r="E344">
        <v>0.5</v>
      </c>
      <c r="F344">
        <v>6</v>
      </c>
      <c r="G344" s="7" t="s">
        <v>817</v>
      </c>
      <c r="H344" s="7" t="s">
        <v>16</v>
      </c>
      <c r="I344" t="s">
        <v>817</v>
      </c>
      <c r="J344">
        <v>39.9</v>
      </c>
      <c r="K344" t="s">
        <v>507</v>
      </c>
      <c r="M344">
        <v>36.299999999999997</v>
      </c>
      <c r="N344">
        <v>16.600000000000001</v>
      </c>
      <c r="O344">
        <v>295.89999999999998</v>
      </c>
    </row>
    <row r="345" spans="1:16" x14ac:dyDescent="0.25">
      <c r="A345" t="str">
        <f t="shared" si="40"/>
        <v>GO</v>
      </c>
      <c r="B345" t="s">
        <v>811</v>
      </c>
      <c r="C345">
        <v>1</v>
      </c>
      <c r="D345">
        <v>0.2</v>
      </c>
      <c r="E345">
        <v>4</v>
      </c>
      <c r="F345">
        <v>3</v>
      </c>
      <c r="G345" t="s">
        <v>16</v>
      </c>
      <c r="H345" s="7" t="s">
        <v>822</v>
      </c>
      <c r="I345" t="s">
        <v>823</v>
      </c>
      <c r="J345">
        <v>8.9</v>
      </c>
      <c r="K345" t="s">
        <v>830</v>
      </c>
      <c r="M345">
        <v>8.4</v>
      </c>
      <c r="N345">
        <v>3</v>
      </c>
      <c r="O345">
        <v>312.5</v>
      </c>
      <c r="P345" t="s">
        <v>835</v>
      </c>
    </row>
    <row r="346" spans="1:16" x14ac:dyDescent="0.25">
      <c r="A346" t="str">
        <f t="shared" si="40"/>
        <v>GP</v>
      </c>
      <c r="B346" t="s">
        <v>812</v>
      </c>
      <c r="C346">
        <v>1</v>
      </c>
      <c r="D346">
        <v>3</v>
      </c>
      <c r="E346">
        <v>3</v>
      </c>
      <c r="F346">
        <v>7</v>
      </c>
      <c r="G346" s="7" t="s">
        <v>818</v>
      </c>
      <c r="H346" s="7" t="s">
        <v>16</v>
      </c>
      <c r="I346" t="s">
        <v>818</v>
      </c>
      <c r="J346">
        <v>27.7</v>
      </c>
      <c r="K346" t="s">
        <v>455</v>
      </c>
      <c r="M346">
        <v>26.8</v>
      </c>
      <c r="N346">
        <v>7.2</v>
      </c>
      <c r="O346">
        <v>315.5</v>
      </c>
      <c r="P346" t="s">
        <v>836</v>
      </c>
    </row>
    <row r="347" spans="1:16" x14ac:dyDescent="0.25">
      <c r="A347" t="str">
        <f t="shared" si="40"/>
        <v>GQ</v>
      </c>
      <c r="B347" t="s">
        <v>750</v>
      </c>
      <c r="C347">
        <v>2</v>
      </c>
      <c r="D347">
        <v>2</v>
      </c>
      <c r="E347">
        <v>3.5</v>
      </c>
      <c r="F347">
        <v>1</v>
      </c>
      <c r="G347" t="s">
        <v>819</v>
      </c>
      <c r="H347" s="7" t="s">
        <v>16</v>
      </c>
      <c r="I347" t="s">
        <v>819</v>
      </c>
      <c r="J347">
        <v>9.8000000000000007</v>
      </c>
      <c r="K347" t="s">
        <v>831</v>
      </c>
      <c r="M347">
        <v>9.3000000000000007</v>
      </c>
      <c r="N347">
        <v>3.3</v>
      </c>
      <c r="O347">
        <v>322.7</v>
      </c>
    </row>
    <row r="348" spans="1:16" x14ac:dyDescent="0.25">
      <c r="A348" t="str">
        <f t="shared" si="40"/>
        <v>GR</v>
      </c>
      <c r="C348">
        <v>1</v>
      </c>
      <c r="D348">
        <v>2</v>
      </c>
      <c r="E348">
        <v>1.7</v>
      </c>
      <c r="F348">
        <v>0.5</v>
      </c>
      <c r="G348" s="7" t="s">
        <v>16</v>
      </c>
      <c r="H348" s="7" t="s">
        <v>16</v>
      </c>
      <c r="O348">
        <v>325.89999999999998</v>
      </c>
      <c r="P348" t="s">
        <v>837</v>
      </c>
    </row>
    <row r="349" spans="1:16" x14ac:dyDescent="0.25">
      <c r="A349" s="1"/>
      <c r="B349" s="1"/>
      <c r="P349" t="s">
        <v>889</v>
      </c>
    </row>
    <row r="350" spans="1:16" x14ac:dyDescent="0.25">
      <c r="A350" s="1" t="s">
        <v>905</v>
      </c>
      <c r="C350" t="s">
        <v>904</v>
      </c>
    </row>
    <row r="351" spans="1:16" x14ac:dyDescent="0.25">
      <c r="A351">
        <v>46</v>
      </c>
      <c r="B351">
        <v>60</v>
      </c>
      <c r="C351" s="7" t="str">
        <f t="shared" ref="C351:H365" si="43">"/"</f>
        <v>/</v>
      </c>
      <c r="D351" s="7" t="str">
        <f t="shared" si="43"/>
        <v>/</v>
      </c>
      <c r="E351" s="7" t="str">
        <f t="shared" si="43"/>
        <v>/</v>
      </c>
      <c r="F351" s="7" t="str">
        <f t="shared" si="43"/>
        <v>/</v>
      </c>
      <c r="G351" s="7" t="str">
        <f t="shared" si="43"/>
        <v>/</v>
      </c>
      <c r="H351" s="7" t="s">
        <v>838</v>
      </c>
      <c r="I351" t="s">
        <v>839</v>
      </c>
      <c r="J351">
        <v>34.299999999999997</v>
      </c>
      <c r="K351" t="s">
        <v>732</v>
      </c>
      <c r="M351">
        <v>33.4</v>
      </c>
      <c r="N351">
        <v>7.7</v>
      </c>
      <c r="O351">
        <v>95.6</v>
      </c>
    </row>
    <row r="352" spans="1:16" x14ac:dyDescent="0.25">
      <c r="A352">
        <v>60</v>
      </c>
      <c r="B352">
        <v>61</v>
      </c>
      <c r="C352">
        <v>10</v>
      </c>
      <c r="D352">
        <v>8</v>
      </c>
      <c r="E352">
        <v>2</v>
      </c>
      <c r="F352">
        <v>8</v>
      </c>
      <c r="G352" t="s">
        <v>840</v>
      </c>
      <c r="H352" s="7" t="str">
        <f t="shared" si="43"/>
        <v>/</v>
      </c>
      <c r="I352" t="s">
        <v>840</v>
      </c>
      <c r="J352">
        <v>41.8</v>
      </c>
      <c r="K352" t="s">
        <v>829</v>
      </c>
      <c r="M352">
        <v>41.6</v>
      </c>
      <c r="N352">
        <v>2.6</v>
      </c>
      <c r="O352">
        <v>103.3</v>
      </c>
    </row>
    <row r="353" spans="1:15" x14ac:dyDescent="0.25">
      <c r="A353">
        <v>61</v>
      </c>
      <c r="B353">
        <v>62</v>
      </c>
      <c r="C353">
        <v>8</v>
      </c>
      <c r="D353">
        <v>6</v>
      </c>
      <c r="E353" t="s">
        <v>16</v>
      </c>
      <c r="F353">
        <v>3</v>
      </c>
      <c r="G353" s="7" t="str">
        <f t="shared" si="43"/>
        <v>/</v>
      </c>
      <c r="H353" t="s">
        <v>42</v>
      </c>
      <c r="I353" t="s">
        <v>842</v>
      </c>
      <c r="J353">
        <v>22.9</v>
      </c>
      <c r="K353" t="s">
        <v>367</v>
      </c>
      <c r="M353">
        <v>22.7</v>
      </c>
      <c r="N353">
        <v>2.4</v>
      </c>
      <c r="O353">
        <v>105.9</v>
      </c>
    </row>
    <row r="354" spans="1:15" x14ac:dyDescent="0.25">
      <c r="A354">
        <v>62</v>
      </c>
      <c r="B354">
        <v>63</v>
      </c>
      <c r="C354">
        <v>5</v>
      </c>
      <c r="D354">
        <v>7</v>
      </c>
      <c r="E354">
        <v>3</v>
      </c>
      <c r="F354">
        <v>1</v>
      </c>
      <c r="G354" t="s">
        <v>843</v>
      </c>
      <c r="H354" s="7" t="str">
        <f t="shared" si="43"/>
        <v>/</v>
      </c>
      <c r="I354" t="s">
        <v>843</v>
      </c>
      <c r="J354">
        <v>30.3</v>
      </c>
      <c r="K354" t="str">
        <f>"-5 00"</f>
        <v>-5 00</v>
      </c>
      <c r="M354">
        <v>30</v>
      </c>
      <c r="N354">
        <v>-2.6</v>
      </c>
      <c r="O354">
        <v>108.3</v>
      </c>
    </row>
    <row r="355" spans="1:15" x14ac:dyDescent="0.25">
      <c r="A355">
        <v>63</v>
      </c>
      <c r="B355">
        <v>64</v>
      </c>
      <c r="C355">
        <v>8</v>
      </c>
      <c r="D355">
        <v>2</v>
      </c>
      <c r="F355">
        <v>2</v>
      </c>
      <c r="G355" s="7" t="str">
        <f t="shared" si="43"/>
        <v>/</v>
      </c>
      <c r="H355" t="s">
        <v>844</v>
      </c>
      <c r="I355" t="s">
        <v>537</v>
      </c>
      <c r="J355">
        <v>12.5</v>
      </c>
      <c r="K355" t="s">
        <v>309</v>
      </c>
      <c r="M355">
        <v>12.2</v>
      </c>
      <c r="N355">
        <v>2.7</v>
      </c>
      <c r="O355">
        <v>105.7</v>
      </c>
    </row>
    <row r="356" spans="1:15" x14ac:dyDescent="0.25">
      <c r="A356">
        <v>64</v>
      </c>
      <c r="B356">
        <v>65</v>
      </c>
      <c r="C356">
        <v>10</v>
      </c>
      <c r="D356">
        <v>4</v>
      </c>
      <c r="E356">
        <v>3</v>
      </c>
      <c r="F356" t="s">
        <v>16</v>
      </c>
      <c r="G356" s="7" t="str">
        <f t="shared" si="43"/>
        <v>/</v>
      </c>
      <c r="H356" s="7" t="s">
        <v>845</v>
      </c>
      <c r="I356" t="s">
        <v>846</v>
      </c>
      <c r="J356">
        <v>15.7</v>
      </c>
      <c r="K356" t="s">
        <v>829</v>
      </c>
      <c r="M356">
        <v>15.6</v>
      </c>
      <c r="N356">
        <v>1</v>
      </c>
      <c r="O356">
        <v>108.4</v>
      </c>
    </row>
    <row r="357" spans="1:15" x14ac:dyDescent="0.25">
      <c r="A357">
        <v>65</v>
      </c>
      <c r="B357">
        <v>66</v>
      </c>
      <c r="C357" t="s">
        <v>847</v>
      </c>
      <c r="D357">
        <v>3</v>
      </c>
      <c r="E357">
        <v>2</v>
      </c>
      <c r="F357">
        <v>2</v>
      </c>
      <c r="G357" t="s">
        <v>848</v>
      </c>
      <c r="H357" s="7" t="str">
        <f t="shared" si="43"/>
        <v>/</v>
      </c>
      <c r="I357" t="s">
        <v>848</v>
      </c>
      <c r="J357">
        <v>19.3</v>
      </c>
      <c r="K357" t="s">
        <v>215</v>
      </c>
      <c r="M357">
        <v>18.8</v>
      </c>
      <c r="N357">
        <v>4.5</v>
      </c>
      <c r="O357">
        <v>109.4</v>
      </c>
    </row>
    <row r="358" spans="1:15" x14ac:dyDescent="0.25">
      <c r="A358">
        <v>66</v>
      </c>
      <c r="B358">
        <v>67</v>
      </c>
      <c r="C358">
        <v>6</v>
      </c>
      <c r="D358">
        <v>4</v>
      </c>
      <c r="E358">
        <v>3</v>
      </c>
      <c r="F358">
        <v>4</v>
      </c>
      <c r="G358" s="7" t="str">
        <f t="shared" si="43"/>
        <v>/</v>
      </c>
      <c r="H358" s="7" t="s">
        <v>849</v>
      </c>
      <c r="I358" t="s">
        <v>850</v>
      </c>
      <c r="J358">
        <v>30.2</v>
      </c>
      <c r="K358" t="str">
        <f>"-1 00"</f>
        <v>-1 00</v>
      </c>
      <c r="M358">
        <v>30.2</v>
      </c>
      <c r="N358">
        <v>-0.5</v>
      </c>
      <c r="O358">
        <v>113.9</v>
      </c>
    </row>
    <row r="359" spans="1:15" x14ac:dyDescent="0.25">
      <c r="A359">
        <v>67</v>
      </c>
      <c r="B359">
        <v>68</v>
      </c>
      <c r="C359">
        <v>3</v>
      </c>
      <c r="D359">
        <v>2</v>
      </c>
      <c r="E359">
        <v>6</v>
      </c>
      <c r="F359">
        <v>4</v>
      </c>
      <c r="G359" t="s">
        <v>422</v>
      </c>
      <c r="H359" s="7" t="str">
        <f t="shared" si="43"/>
        <v>/</v>
      </c>
      <c r="I359" t="s">
        <v>422</v>
      </c>
      <c r="J359">
        <v>48.9</v>
      </c>
      <c r="K359" t="str">
        <f>"-4 00"</f>
        <v>-4 00</v>
      </c>
      <c r="M359">
        <v>48.6</v>
      </c>
      <c r="N359">
        <v>-3.4</v>
      </c>
      <c r="O359">
        <v>113.4</v>
      </c>
    </row>
    <row r="360" spans="1:15" x14ac:dyDescent="0.25">
      <c r="A360">
        <v>68</v>
      </c>
      <c r="B360">
        <v>69</v>
      </c>
      <c r="C360">
        <v>3</v>
      </c>
      <c r="D360">
        <v>3</v>
      </c>
      <c r="E360">
        <v>1</v>
      </c>
      <c r="F360" t="s">
        <v>16</v>
      </c>
      <c r="G360" s="7" t="str">
        <f t="shared" si="43"/>
        <v>/</v>
      </c>
      <c r="H360" s="7" t="s">
        <v>851</v>
      </c>
      <c r="I360" t="s">
        <v>852</v>
      </c>
      <c r="J360">
        <v>14.8</v>
      </c>
      <c r="K360" t="s">
        <v>651</v>
      </c>
      <c r="M360">
        <v>14.6</v>
      </c>
      <c r="N360">
        <v>1.4</v>
      </c>
      <c r="O360">
        <v>110</v>
      </c>
    </row>
    <row r="361" spans="1:15" x14ac:dyDescent="0.25">
      <c r="A361">
        <v>69</v>
      </c>
      <c r="B361">
        <v>70</v>
      </c>
      <c r="C361">
        <v>6</v>
      </c>
      <c r="D361">
        <v>3</v>
      </c>
      <c r="E361">
        <v>3</v>
      </c>
      <c r="F361">
        <v>3</v>
      </c>
      <c r="G361" t="s">
        <v>853</v>
      </c>
      <c r="H361" s="7" t="str">
        <f t="shared" si="43"/>
        <v>/</v>
      </c>
      <c r="I361" t="s">
        <v>853</v>
      </c>
      <c r="J361">
        <v>21</v>
      </c>
      <c r="K361" t="str">
        <f>"-6 30"</f>
        <v>-6 30</v>
      </c>
      <c r="M361">
        <v>20.8</v>
      </c>
      <c r="N361">
        <v>-2.4</v>
      </c>
      <c r="O361">
        <v>111.4</v>
      </c>
    </row>
    <row r="362" spans="1:15" x14ac:dyDescent="0.25">
      <c r="A362">
        <v>70</v>
      </c>
      <c r="B362">
        <v>71</v>
      </c>
      <c r="C362">
        <v>3</v>
      </c>
      <c r="D362">
        <v>1</v>
      </c>
      <c r="E362">
        <v>3</v>
      </c>
      <c r="F362" s="7" t="str">
        <f t="shared" si="43"/>
        <v>/</v>
      </c>
      <c r="G362" s="7" t="str">
        <f t="shared" si="43"/>
        <v>/</v>
      </c>
      <c r="H362" t="s">
        <v>359</v>
      </c>
      <c r="I362" t="s">
        <v>352</v>
      </c>
      <c r="J362">
        <v>36.799999999999997</v>
      </c>
      <c r="K362" t="s">
        <v>79</v>
      </c>
      <c r="M362">
        <v>36.6</v>
      </c>
      <c r="N362">
        <v>2.9</v>
      </c>
      <c r="O362">
        <v>109</v>
      </c>
    </row>
    <row r="363" spans="1:15" x14ac:dyDescent="0.25">
      <c r="A363">
        <v>71</v>
      </c>
      <c r="B363">
        <v>72</v>
      </c>
      <c r="C363">
        <v>4</v>
      </c>
      <c r="D363">
        <v>3</v>
      </c>
      <c r="E363" t="s">
        <v>854</v>
      </c>
      <c r="F363">
        <v>5</v>
      </c>
      <c r="G363" t="s">
        <v>855</v>
      </c>
      <c r="H363" s="7" t="str">
        <f t="shared" si="43"/>
        <v>/</v>
      </c>
      <c r="I363" t="s">
        <v>855</v>
      </c>
      <c r="J363">
        <v>38.200000000000003</v>
      </c>
      <c r="K363" t="s">
        <v>313</v>
      </c>
      <c r="M363">
        <v>38</v>
      </c>
      <c r="N363">
        <v>3.3</v>
      </c>
      <c r="O363">
        <v>111.9</v>
      </c>
    </row>
    <row r="364" spans="1:15" x14ac:dyDescent="0.25">
      <c r="A364">
        <v>72</v>
      </c>
      <c r="B364">
        <v>73</v>
      </c>
      <c r="C364">
        <v>8</v>
      </c>
      <c r="D364">
        <v>4</v>
      </c>
      <c r="E364">
        <v>3</v>
      </c>
      <c r="F364" t="s">
        <v>16</v>
      </c>
      <c r="G364" s="7" t="str">
        <f t="shared" si="43"/>
        <v>/</v>
      </c>
      <c r="H364" t="s">
        <v>512</v>
      </c>
      <c r="I364" t="s">
        <v>511</v>
      </c>
      <c r="J364">
        <v>11.9</v>
      </c>
      <c r="K364" t="str">
        <f>"-10 00"</f>
        <v>-10 00</v>
      </c>
      <c r="M364">
        <v>11.7</v>
      </c>
      <c r="N364">
        <v>-2.1</v>
      </c>
      <c r="O364">
        <v>115.2</v>
      </c>
    </row>
    <row r="365" spans="1:15" x14ac:dyDescent="0.25">
      <c r="A365">
        <v>73</v>
      </c>
      <c r="B365">
        <v>74</v>
      </c>
      <c r="C365">
        <v>15</v>
      </c>
      <c r="D365">
        <v>2</v>
      </c>
      <c r="E365">
        <v>3</v>
      </c>
      <c r="F365">
        <v>2</v>
      </c>
      <c r="G365" t="s">
        <v>618</v>
      </c>
      <c r="H365" s="7" t="str">
        <f t="shared" si="43"/>
        <v>/</v>
      </c>
      <c r="I365" t="s">
        <v>618</v>
      </c>
      <c r="J365">
        <v>34.200000000000003</v>
      </c>
      <c r="K365" t="str">
        <f>"-1 30"</f>
        <v>-1 30</v>
      </c>
      <c r="M365">
        <v>34.200000000000003</v>
      </c>
      <c r="N365">
        <v>-0.9</v>
      </c>
      <c r="O365">
        <v>113.1</v>
      </c>
    </row>
    <row r="366" spans="1:15" x14ac:dyDescent="0.25">
      <c r="A366">
        <v>74</v>
      </c>
      <c r="B366">
        <v>75</v>
      </c>
      <c r="C366">
        <v>4</v>
      </c>
      <c r="D366" t="s">
        <v>16</v>
      </c>
      <c r="E366">
        <v>3</v>
      </c>
      <c r="F366" t="s">
        <v>854</v>
      </c>
      <c r="G366" s="7" t="str">
        <f t="shared" ref="F366:H385" si="44">"/"</f>
        <v>/</v>
      </c>
      <c r="H366" t="s">
        <v>856</v>
      </c>
      <c r="I366" t="s">
        <v>544</v>
      </c>
      <c r="J366">
        <v>9.1</v>
      </c>
      <c r="K366" t="s">
        <v>44</v>
      </c>
      <c r="M366">
        <v>9.1</v>
      </c>
      <c r="N366" t="s">
        <v>16</v>
      </c>
      <c r="O366">
        <v>112.2</v>
      </c>
    </row>
    <row r="367" spans="1:15" x14ac:dyDescent="0.25">
      <c r="A367">
        <v>75</v>
      </c>
      <c r="B367">
        <v>76</v>
      </c>
      <c r="C367">
        <v>4</v>
      </c>
      <c r="D367" t="s">
        <v>16</v>
      </c>
      <c r="E367">
        <v>1</v>
      </c>
      <c r="F367">
        <v>2</v>
      </c>
      <c r="G367" s="7" t="str">
        <f t="shared" si="44"/>
        <v>/</v>
      </c>
      <c r="H367" s="7" t="s">
        <v>716</v>
      </c>
      <c r="I367" t="s">
        <v>724</v>
      </c>
      <c r="J367">
        <v>40.700000000000003</v>
      </c>
      <c r="K367" t="s">
        <v>105</v>
      </c>
      <c r="M367">
        <v>40.4</v>
      </c>
      <c r="N367">
        <v>4.5999999999999996</v>
      </c>
      <c r="O367">
        <v>112.2</v>
      </c>
    </row>
    <row r="368" spans="1:15" x14ac:dyDescent="0.25">
      <c r="A368">
        <v>76</v>
      </c>
      <c r="B368">
        <v>77</v>
      </c>
      <c r="C368">
        <v>10</v>
      </c>
      <c r="D368">
        <v>2</v>
      </c>
      <c r="E368">
        <v>1</v>
      </c>
      <c r="F368">
        <v>2</v>
      </c>
      <c r="G368" t="s">
        <v>242</v>
      </c>
      <c r="H368" s="7" t="str">
        <f t="shared" si="44"/>
        <v>/</v>
      </c>
      <c r="I368" t="s">
        <v>242</v>
      </c>
      <c r="J368">
        <v>17.5</v>
      </c>
      <c r="K368" t="str">
        <f>"-1 30"</f>
        <v>-1 30</v>
      </c>
      <c r="M368">
        <v>17.5</v>
      </c>
      <c r="N368">
        <v>-0.5</v>
      </c>
      <c r="O368">
        <v>116.8</v>
      </c>
    </row>
    <row r="369" spans="1:15" x14ac:dyDescent="0.25">
      <c r="A369">
        <v>77</v>
      </c>
      <c r="B369">
        <v>78</v>
      </c>
      <c r="C369">
        <v>2</v>
      </c>
      <c r="D369" t="s">
        <v>16</v>
      </c>
      <c r="E369">
        <v>2</v>
      </c>
      <c r="F369">
        <v>2</v>
      </c>
      <c r="G369" s="7" t="str">
        <f t="shared" si="44"/>
        <v>/</v>
      </c>
      <c r="H369" s="7" t="s">
        <v>302</v>
      </c>
      <c r="I369" t="s">
        <v>286</v>
      </c>
      <c r="J369">
        <v>7.6</v>
      </c>
      <c r="K369" t="s">
        <v>827</v>
      </c>
      <c r="M369">
        <v>6.9</v>
      </c>
      <c r="N369">
        <v>3.3</v>
      </c>
      <c r="O369">
        <v>116.3</v>
      </c>
    </row>
    <row r="370" spans="1:15" x14ac:dyDescent="0.25">
      <c r="A370">
        <v>78</v>
      </c>
      <c r="B370">
        <v>79</v>
      </c>
      <c r="C370">
        <v>10</v>
      </c>
      <c r="D370">
        <v>3</v>
      </c>
      <c r="E370">
        <v>3</v>
      </c>
      <c r="F370">
        <v>4</v>
      </c>
      <c r="G370" t="s">
        <v>857</v>
      </c>
      <c r="H370" s="7" t="str">
        <f t="shared" si="44"/>
        <v>/</v>
      </c>
      <c r="I370" t="s">
        <v>857</v>
      </c>
      <c r="J370">
        <v>35</v>
      </c>
      <c r="K370" t="s">
        <v>516</v>
      </c>
      <c r="M370">
        <v>34.799999999999997</v>
      </c>
      <c r="N370">
        <v>2.4</v>
      </c>
      <c r="O370">
        <v>119.6</v>
      </c>
    </row>
    <row r="371" spans="1:15" x14ac:dyDescent="0.25">
      <c r="A371">
        <v>79</v>
      </c>
      <c r="B371">
        <v>80</v>
      </c>
      <c r="C371">
        <v>10</v>
      </c>
      <c r="D371">
        <v>3</v>
      </c>
      <c r="E371">
        <v>4</v>
      </c>
      <c r="F371">
        <v>4</v>
      </c>
      <c r="G371" s="7" t="str">
        <f t="shared" si="44"/>
        <v>/</v>
      </c>
      <c r="H371" s="7" t="s">
        <v>858</v>
      </c>
      <c r="I371" t="s">
        <v>859</v>
      </c>
      <c r="J371">
        <v>45.7</v>
      </c>
      <c r="K371" t="s">
        <v>181</v>
      </c>
      <c r="M371">
        <v>45.7</v>
      </c>
      <c r="N371">
        <v>0.4</v>
      </c>
      <c r="O371">
        <v>122</v>
      </c>
    </row>
    <row r="372" spans="1:15" x14ac:dyDescent="0.25">
      <c r="A372">
        <v>80</v>
      </c>
      <c r="B372">
        <v>81</v>
      </c>
      <c r="C372">
        <v>10</v>
      </c>
      <c r="D372">
        <v>3</v>
      </c>
      <c r="E372">
        <v>5</v>
      </c>
      <c r="F372">
        <v>2</v>
      </c>
      <c r="G372" t="s">
        <v>860</v>
      </c>
      <c r="H372" s="7" t="str">
        <f t="shared" si="44"/>
        <v>/</v>
      </c>
      <c r="I372" t="s">
        <v>860</v>
      </c>
      <c r="J372">
        <v>27.2</v>
      </c>
      <c r="K372" t="s">
        <v>181</v>
      </c>
      <c r="M372">
        <v>27.2</v>
      </c>
      <c r="N372">
        <v>0.2</v>
      </c>
      <c r="O372">
        <v>122.4</v>
      </c>
    </row>
    <row r="373" spans="1:15" x14ac:dyDescent="0.25">
      <c r="A373">
        <v>81</v>
      </c>
      <c r="B373">
        <v>82</v>
      </c>
      <c r="C373">
        <v>5</v>
      </c>
      <c r="D373" t="s">
        <v>16</v>
      </c>
      <c r="E373">
        <v>7</v>
      </c>
      <c r="F373">
        <v>8</v>
      </c>
      <c r="G373" s="7" t="str">
        <f t="shared" si="44"/>
        <v>/</v>
      </c>
      <c r="H373" t="s">
        <v>861</v>
      </c>
      <c r="I373" t="s">
        <v>862</v>
      </c>
      <c r="J373">
        <v>19.100000000000001</v>
      </c>
      <c r="K373" t="s">
        <v>474</v>
      </c>
      <c r="M373">
        <v>18.899999999999999</v>
      </c>
      <c r="N373">
        <v>2.2999999999999998</v>
      </c>
      <c r="O373">
        <v>122.6</v>
      </c>
    </row>
    <row r="374" spans="1:15" x14ac:dyDescent="0.25">
      <c r="A374">
        <v>82</v>
      </c>
      <c r="B374">
        <v>83</v>
      </c>
      <c r="C374">
        <v>2</v>
      </c>
      <c r="D374">
        <v>2</v>
      </c>
      <c r="E374">
        <v>8</v>
      </c>
      <c r="F374">
        <v>6</v>
      </c>
      <c r="G374" t="s">
        <v>863</v>
      </c>
      <c r="H374" s="7" t="str">
        <f t="shared" si="44"/>
        <v>/</v>
      </c>
      <c r="I374" t="s">
        <v>863</v>
      </c>
      <c r="J374">
        <v>39.700000000000003</v>
      </c>
      <c r="K374" t="s">
        <v>185</v>
      </c>
      <c r="M374">
        <v>39.5</v>
      </c>
      <c r="N374">
        <v>2.1</v>
      </c>
      <c r="O374">
        <v>124.9</v>
      </c>
    </row>
    <row r="375" spans="1:15" x14ac:dyDescent="0.25">
      <c r="A375">
        <v>83</v>
      </c>
      <c r="B375">
        <v>84</v>
      </c>
      <c r="C375">
        <v>3</v>
      </c>
      <c r="D375">
        <v>1</v>
      </c>
      <c r="E375">
        <v>5</v>
      </c>
      <c r="F375">
        <v>5</v>
      </c>
      <c r="G375" s="7" t="str">
        <f t="shared" si="44"/>
        <v>/</v>
      </c>
      <c r="H375" t="s">
        <v>710</v>
      </c>
      <c r="I375" t="s">
        <v>864</v>
      </c>
      <c r="J375">
        <v>35.5</v>
      </c>
      <c r="K375" t="s">
        <v>651</v>
      </c>
      <c r="M375">
        <v>35.299999999999997</v>
      </c>
      <c r="N375">
        <v>3.4</v>
      </c>
      <c r="O375">
        <v>127</v>
      </c>
    </row>
    <row r="376" spans="1:15" x14ac:dyDescent="0.25">
      <c r="A376">
        <v>84</v>
      </c>
      <c r="B376">
        <v>85</v>
      </c>
      <c r="C376">
        <v>1</v>
      </c>
      <c r="D376">
        <v>3</v>
      </c>
      <c r="E376">
        <v>6</v>
      </c>
      <c r="F376">
        <v>3</v>
      </c>
      <c r="G376" t="s">
        <v>865</v>
      </c>
      <c r="H376" s="7" t="str">
        <f t="shared" ref="H376" si="45">"/"</f>
        <v>/</v>
      </c>
      <c r="I376" t="s">
        <v>865</v>
      </c>
      <c r="J376">
        <v>29.1</v>
      </c>
      <c r="K376" t="s">
        <v>519</v>
      </c>
      <c r="M376">
        <v>28</v>
      </c>
      <c r="N376">
        <v>8.1</v>
      </c>
      <c r="O376">
        <v>130.4</v>
      </c>
    </row>
    <row r="377" spans="1:15" x14ac:dyDescent="0.25">
      <c r="A377">
        <v>85</v>
      </c>
      <c r="B377">
        <v>86</v>
      </c>
      <c r="C377">
        <v>3</v>
      </c>
      <c r="D377" t="s">
        <v>866</v>
      </c>
      <c r="E377">
        <v>5</v>
      </c>
      <c r="F377" s="7" t="str">
        <f t="shared" si="44"/>
        <v>/</v>
      </c>
      <c r="G377" s="7" t="str">
        <f t="shared" si="44"/>
        <v>/</v>
      </c>
      <c r="H377" t="s">
        <v>766</v>
      </c>
      <c r="I377" t="s">
        <v>616</v>
      </c>
      <c r="J377">
        <v>25.3</v>
      </c>
      <c r="K377" t="s">
        <v>378</v>
      </c>
      <c r="M377">
        <v>23.7</v>
      </c>
      <c r="N377">
        <v>9.1</v>
      </c>
      <c r="O377">
        <v>138.5</v>
      </c>
    </row>
    <row r="378" spans="1:15" x14ac:dyDescent="0.25">
      <c r="A378">
        <v>86</v>
      </c>
      <c r="B378">
        <v>87</v>
      </c>
      <c r="C378">
        <v>3</v>
      </c>
      <c r="D378">
        <v>2</v>
      </c>
      <c r="E378">
        <v>7</v>
      </c>
      <c r="F378">
        <v>3</v>
      </c>
      <c r="G378" t="s">
        <v>647</v>
      </c>
      <c r="H378" s="7" t="str">
        <f t="shared" si="44"/>
        <v>/</v>
      </c>
      <c r="I378" t="s">
        <v>647</v>
      </c>
      <c r="J378">
        <v>23.1</v>
      </c>
      <c r="K378" t="s">
        <v>733</v>
      </c>
      <c r="M378">
        <v>21.9</v>
      </c>
      <c r="N378">
        <v>7.3</v>
      </c>
      <c r="O378">
        <v>147.6</v>
      </c>
    </row>
    <row r="379" spans="1:15" x14ac:dyDescent="0.25">
      <c r="A379">
        <v>87</v>
      </c>
      <c r="B379">
        <v>88</v>
      </c>
      <c r="C379">
        <v>15</v>
      </c>
      <c r="D379">
        <v>6</v>
      </c>
      <c r="E379">
        <v>15</v>
      </c>
      <c r="F379" t="s">
        <v>867</v>
      </c>
      <c r="G379" s="7" t="str">
        <f t="shared" si="44"/>
        <v>/</v>
      </c>
      <c r="H379" t="s">
        <v>728</v>
      </c>
      <c r="I379" t="s">
        <v>719</v>
      </c>
      <c r="J379">
        <v>51.3</v>
      </c>
      <c r="K379" t="s">
        <v>309</v>
      </c>
      <c r="M379">
        <v>50.1</v>
      </c>
      <c r="N379">
        <v>11.1</v>
      </c>
      <c r="O379">
        <v>154.9</v>
      </c>
    </row>
    <row r="380" spans="1:15" x14ac:dyDescent="0.25">
      <c r="A380">
        <v>88</v>
      </c>
      <c r="B380">
        <v>89</v>
      </c>
      <c r="C380">
        <v>22</v>
      </c>
      <c r="D380">
        <v>3</v>
      </c>
      <c r="E380">
        <v>4</v>
      </c>
      <c r="F380">
        <v>5</v>
      </c>
      <c r="G380" t="s">
        <v>227</v>
      </c>
      <c r="H380" s="7" t="str">
        <f t="shared" si="44"/>
        <v>/</v>
      </c>
      <c r="I380" t="s">
        <v>227</v>
      </c>
      <c r="J380">
        <v>16.5</v>
      </c>
      <c r="K380" t="s">
        <v>182</v>
      </c>
      <c r="M380">
        <v>15.2</v>
      </c>
      <c r="N380">
        <v>6.3</v>
      </c>
      <c r="O380">
        <v>166</v>
      </c>
    </row>
    <row r="381" spans="1:15" x14ac:dyDescent="0.25">
      <c r="A381">
        <v>89</v>
      </c>
      <c r="B381">
        <v>90</v>
      </c>
      <c r="C381">
        <v>24</v>
      </c>
      <c r="D381">
        <v>6</v>
      </c>
      <c r="E381">
        <v>1</v>
      </c>
      <c r="F381">
        <v>4</v>
      </c>
      <c r="G381" s="7" t="str">
        <f t="shared" si="44"/>
        <v>/</v>
      </c>
      <c r="H381" t="s">
        <v>868</v>
      </c>
      <c r="I381" t="s">
        <v>869</v>
      </c>
      <c r="J381">
        <v>26.4</v>
      </c>
      <c r="K381" t="s">
        <v>188</v>
      </c>
      <c r="M381">
        <v>25.5</v>
      </c>
      <c r="N381">
        <v>6.6</v>
      </c>
      <c r="O381">
        <v>172.3</v>
      </c>
    </row>
    <row r="382" spans="1:15" x14ac:dyDescent="0.25">
      <c r="A382" s="1" t="s">
        <v>841</v>
      </c>
      <c r="B382" s="1" t="s">
        <v>870</v>
      </c>
    </row>
    <row r="383" spans="1:15" x14ac:dyDescent="0.25">
      <c r="A383">
        <v>90</v>
      </c>
      <c r="B383">
        <v>91</v>
      </c>
      <c r="C383">
        <v>15</v>
      </c>
      <c r="D383">
        <v>4</v>
      </c>
      <c r="E383">
        <v>3</v>
      </c>
      <c r="F383">
        <v>3</v>
      </c>
      <c r="G383" t="s">
        <v>421</v>
      </c>
      <c r="H383" s="7" t="str">
        <f t="shared" si="44"/>
        <v>/</v>
      </c>
      <c r="I383" t="s">
        <v>421</v>
      </c>
      <c r="J383">
        <v>49</v>
      </c>
      <c r="K383" t="s">
        <v>829</v>
      </c>
      <c r="M383">
        <v>48.7</v>
      </c>
      <c r="N383">
        <v>3</v>
      </c>
      <c r="O383">
        <v>178.9</v>
      </c>
    </row>
    <row r="384" spans="1:15" x14ac:dyDescent="0.25">
      <c r="A384">
        <v>91</v>
      </c>
      <c r="B384">
        <v>92</v>
      </c>
      <c r="C384">
        <v>25</v>
      </c>
      <c r="D384" t="s">
        <v>874</v>
      </c>
      <c r="E384" t="s">
        <v>16</v>
      </c>
      <c r="F384">
        <v>5</v>
      </c>
      <c r="G384" s="7" t="str">
        <f t="shared" si="44"/>
        <v>/</v>
      </c>
      <c r="H384" t="s">
        <v>770</v>
      </c>
      <c r="I384" t="s">
        <v>760</v>
      </c>
      <c r="J384">
        <v>35.799999999999997</v>
      </c>
      <c r="K384" t="s">
        <v>876</v>
      </c>
      <c r="M384">
        <v>32</v>
      </c>
      <c r="N384">
        <v>16</v>
      </c>
      <c r="O384">
        <v>181.9</v>
      </c>
    </row>
    <row r="385" spans="1:16" x14ac:dyDescent="0.25">
      <c r="A385">
        <v>92</v>
      </c>
      <c r="B385">
        <v>93</v>
      </c>
      <c r="C385">
        <v>20</v>
      </c>
      <c r="D385">
        <v>4</v>
      </c>
      <c r="E385">
        <v>8</v>
      </c>
      <c r="F385">
        <v>6</v>
      </c>
      <c r="G385" t="s">
        <v>875</v>
      </c>
      <c r="H385" s="7" t="str">
        <f t="shared" si="44"/>
        <v>/</v>
      </c>
      <c r="I385" t="s">
        <v>875</v>
      </c>
      <c r="J385">
        <v>48.2</v>
      </c>
      <c r="K385" t="s">
        <v>63</v>
      </c>
      <c r="M385">
        <v>47.7</v>
      </c>
      <c r="N385">
        <v>7.1</v>
      </c>
      <c r="O385">
        <v>197.9</v>
      </c>
    </row>
    <row r="386" spans="1:16" x14ac:dyDescent="0.25">
      <c r="A386">
        <v>93</v>
      </c>
      <c r="B386">
        <v>94</v>
      </c>
      <c r="C386">
        <v>8</v>
      </c>
      <c r="D386">
        <v>7</v>
      </c>
      <c r="E386">
        <v>5</v>
      </c>
      <c r="F386">
        <v>2</v>
      </c>
      <c r="G386" s="7" t="str">
        <f t="shared" ref="G386:H387" si="46">"/"</f>
        <v>/</v>
      </c>
      <c r="H386" t="s">
        <v>868</v>
      </c>
      <c r="I386" t="s">
        <v>869</v>
      </c>
      <c r="J386">
        <v>18.5</v>
      </c>
      <c r="K386" t="str">
        <f>"-9 00"</f>
        <v>-9 00</v>
      </c>
      <c r="M386">
        <v>18.3</v>
      </c>
      <c r="N386">
        <v>-2.9</v>
      </c>
      <c r="O386">
        <v>205</v>
      </c>
    </row>
    <row r="387" spans="1:16" x14ac:dyDescent="0.25">
      <c r="A387">
        <v>94</v>
      </c>
      <c r="B387">
        <v>95</v>
      </c>
      <c r="C387" t="s">
        <v>873</v>
      </c>
      <c r="D387">
        <v>3</v>
      </c>
      <c r="E387">
        <v>3</v>
      </c>
      <c r="F387">
        <v>1</v>
      </c>
      <c r="G387" t="s">
        <v>641</v>
      </c>
      <c r="H387" s="7" t="str">
        <f t="shared" si="46"/>
        <v>/</v>
      </c>
      <c r="I387" t="s">
        <v>641</v>
      </c>
      <c r="J387">
        <v>26</v>
      </c>
      <c r="K387" t="str">
        <f>"-4 30"</f>
        <v>-4 30</v>
      </c>
      <c r="M387">
        <v>25.8</v>
      </c>
      <c r="N387">
        <v>-2</v>
      </c>
      <c r="O387">
        <v>202.1</v>
      </c>
    </row>
    <row r="388" spans="1:16" x14ac:dyDescent="0.25">
      <c r="A388">
        <v>95</v>
      </c>
      <c r="C388">
        <v>10</v>
      </c>
      <c r="D388" t="s">
        <v>16</v>
      </c>
      <c r="E388" t="s">
        <v>16</v>
      </c>
      <c r="F388">
        <v>3</v>
      </c>
      <c r="M388">
        <v>52.5</v>
      </c>
      <c r="N388">
        <v>10</v>
      </c>
      <c r="O388">
        <v>200.1</v>
      </c>
    </row>
    <row r="389" spans="1:16" x14ac:dyDescent="0.25">
      <c r="O389">
        <v>210</v>
      </c>
    </row>
    <row r="390" spans="1:16" s="1" customFormat="1" x14ac:dyDescent="0.25">
      <c r="A390" s="1" t="s">
        <v>907</v>
      </c>
      <c r="B390" s="1" t="s">
        <v>910</v>
      </c>
      <c r="C390" s="1" t="s">
        <v>908</v>
      </c>
      <c r="M390" s="1" t="s">
        <v>909</v>
      </c>
      <c r="O390" s="4" t="s">
        <v>989</v>
      </c>
    </row>
    <row r="391" spans="1:16" x14ac:dyDescent="0.25">
      <c r="A391" t="s">
        <v>599</v>
      </c>
      <c r="B391">
        <v>98</v>
      </c>
      <c r="C391">
        <v>2</v>
      </c>
      <c r="D391">
        <v>1.5</v>
      </c>
      <c r="E391" s="7" t="str">
        <f t="shared" ref="C391:H405" si="47">"/"</f>
        <v>/</v>
      </c>
      <c r="F391" s="7" t="str">
        <f t="shared" si="47"/>
        <v>/</v>
      </c>
      <c r="G391" s="7" t="str">
        <f t="shared" si="47"/>
        <v>/</v>
      </c>
      <c r="H391" t="s">
        <v>420</v>
      </c>
      <c r="I391" t="s">
        <v>414</v>
      </c>
      <c r="J391">
        <v>3.3</v>
      </c>
      <c r="K391" t="s">
        <v>244</v>
      </c>
      <c r="M391">
        <v>3</v>
      </c>
      <c r="N391">
        <v>1.3</v>
      </c>
      <c r="O391">
        <v>470.1</v>
      </c>
      <c r="P391" t="s">
        <v>964</v>
      </c>
    </row>
    <row r="392" spans="1:16" x14ac:dyDescent="0.25">
      <c r="A392">
        <v>98</v>
      </c>
      <c r="B392">
        <v>99</v>
      </c>
      <c r="C392" s="7" t="str">
        <f t="shared" si="47"/>
        <v>/</v>
      </c>
      <c r="D392" s="7" t="str">
        <f t="shared" si="47"/>
        <v>/</v>
      </c>
      <c r="E392" s="7" t="str">
        <f t="shared" si="47"/>
        <v>/</v>
      </c>
      <c r="F392" s="7" t="str">
        <f t="shared" si="47"/>
        <v>/</v>
      </c>
      <c r="G392" t="s">
        <v>918</v>
      </c>
      <c r="H392" s="7" t="str">
        <f t="shared" si="47"/>
        <v>/</v>
      </c>
      <c r="I392" t="s">
        <v>918</v>
      </c>
      <c r="J392">
        <v>19.5</v>
      </c>
      <c r="K392" t="str">
        <f>"-19 30"</f>
        <v>-19 30</v>
      </c>
      <c r="M392">
        <v>18.399999999999999</v>
      </c>
      <c r="N392">
        <v>-6.5</v>
      </c>
      <c r="O392">
        <v>471.4</v>
      </c>
    </row>
    <row r="393" spans="1:16" x14ac:dyDescent="0.25">
      <c r="A393">
        <v>99</v>
      </c>
      <c r="B393">
        <v>100</v>
      </c>
      <c r="C393">
        <v>1</v>
      </c>
      <c r="D393">
        <v>0.3</v>
      </c>
      <c r="E393">
        <v>1.8</v>
      </c>
      <c r="F393">
        <v>3</v>
      </c>
      <c r="G393" t="s">
        <v>919</v>
      </c>
      <c r="H393" s="7" t="str">
        <f t="shared" si="47"/>
        <v>/</v>
      </c>
      <c r="I393" t="s">
        <v>919</v>
      </c>
      <c r="J393">
        <v>7.3</v>
      </c>
      <c r="K393" t="str">
        <f>"+0.2 feet"</f>
        <v>+0.2 feet</v>
      </c>
      <c r="M393">
        <v>7.3</v>
      </c>
      <c r="N393">
        <v>0.2</v>
      </c>
      <c r="O393">
        <v>464.9</v>
      </c>
      <c r="P393" t="s">
        <v>965</v>
      </c>
    </row>
    <row r="394" spans="1:16" x14ac:dyDescent="0.25">
      <c r="A394">
        <v>100</v>
      </c>
      <c r="B394">
        <v>101</v>
      </c>
      <c r="C394">
        <v>3</v>
      </c>
      <c r="D394">
        <v>0.3</v>
      </c>
      <c r="E394">
        <v>3.5</v>
      </c>
      <c r="F394">
        <v>1.2</v>
      </c>
      <c r="G394" s="7" t="str">
        <f t="shared" si="47"/>
        <v>/</v>
      </c>
      <c r="H394" t="s">
        <v>920</v>
      </c>
      <c r="I394" t="s">
        <v>944</v>
      </c>
      <c r="J394">
        <v>10.5</v>
      </c>
      <c r="K394" t="s">
        <v>957</v>
      </c>
      <c r="M394">
        <v>8.1999999999999993</v>
      </c>
      <c r="N394">
        <v>6.5</v>
      </c>
      <c r="O394">
        <v>465.1</v>
      </c>
      <c r="P394" t="s">
        <v>966</v>
      </c>
    </row>
    <row r="395" spans="1:16" x14ac:dyDescent="0.25">
      <c r="A395">
        <v>101</v>
      </c>
      <c r="B395">
        <v>102</v>
      </c>
      <c r="C395">
        <v>3</v>
      </c>
      <c r="D395">
        <v>1</v>
      </c>
      <c r="E395" t="s">
        <v>913</v>
      </c>
      <c r="F395">
        <v>4</v>
      </c>
      <c r="G395" t="s">
        <v>921</v>
      </c>
      <c r="H395" s="7" t="str">
        <f t="shared" si="47"/>
        <v>/</v>
      </c>
      <c r="I395" t="s">
        <v>921</v>
      </c>
      <c r="J395">
        <v>15.5</v>
      </c>
      <c r="K395" t="str">
        <f>"-7 00"</f>
        <v>-7 00</v>
      </c>
      <c r="M395">
        <v>15.4</v>
      </c>
      <c r="N395">
        <v>-1.9</v>
      </c>
      <c r="O395">
        <v>471.6</v>
      </c>
    </row>
    <row r="396" spans="1:16" x14ac:dyDescent="0.25">
      <c r="A396">
        <v>102</v>
      </c>
      <c r="B396">
        <v>103</v>
      </c>
      <c r="C396" t="s">
        <v>911</v>
      </c>
      <c r="D396">
        <v>1</v>
      </c>
      <c r="E396">
        <v>2</v>
      </c>
      <c r="F396" t="s">
        <v>916</v>
      </c>
      <c r="G396" s="7" t="str">
        <f t="shared" si="47"/>
        <v>/</v>
      </c>
      <c r="H396" t="s">
        <v>922</v>
      </c>
      <c r="I396" t="s">
        <v>945</v>
      </c>
      <c r="J396">
        <v>28.9</v>
      </c>
      <c r="K396" t="s">
        <v>653</v>
      </c>
      <c r="M396">
        <v>27</v>
      </c>
      <c r="N396">
        <v>10.1</v>
      </c>
      <c r="O396">
        <v>469.7</v>
      </c>
    </row>
    <row r="397" spans="1:16" x14ac:dyDescent="0.25">
      <c r="A397">
        <v>103</v>
      </c>
      <c r="B397">
        <v>104</v>
      </c>
      <c r="C397" t="s">
        <v>912</v>
      </c>
      <c r="D397">
        <v>6</v>
      </c>
      <c r="E397">
        <v>1</v>
      </c>
      <c r="F397">
        <v>3</v>
      </c>
      <c r="G397" t="s">
        <v>923</v>
      </c>
      <c r="H397" s="7" t="str">
        <f t="shared" si="47"/>
        <v>/</v>
      </c>
      <c r="I397" t="s">
        <v>923</v>
      </c>
      <c r="J397">
        <v>7.5</v>
      </c>
      <c r="K397" t="str">
        <f>"-12 30"</f>
        <v>-12 30</v>
      </c>
      <c r="M397">
        <v>7.3</v>
      </c>
      <c r="N397">
        <v>-1.6</v>
      </c>
      <c r="O397">
        <v>479.8</v>
      </c>
    </row>
    <row r="398" spans="1:16" x14ac:dyDescent="0.25">
      <c r="A398">
        <v>104</v>
      </c>
      <c r="B398">
        <v>105</v>
      </c>
      <c r="C398">
        <v>20</v>
      </c>
      <c r="D398">
        <v>3</v>
      </c>
      <c r="E398">
        <v>1</v>
      </c>
      <c r="F398" t="s">
        <v>917</v>
      </c>
      <c r="G398" s="7" t="str">
        <f t="shared" si="47"/>
        <v>/</v>
      </c>
      <c r="H398" t="s">
        <v>924</v>
      </c>
      <c r="I398" t="s">
        <v>946</v>
      </c>
      <c r="J398">
        <v>6.7</v>
      </c>
      <c r="K398" t="s">
        <v>210</v>
      </c>
      <c r="M398">
        <v>6.6</v>
      </c>
      <c r="N398">
        <v>1.2</v>
      </c>
      <c r="O398">
        <v>478.2</v>
      </c>
    </row>
    <row r="399" spans="1:16" x14ac:dyDescent="0.25">
      <c r="A399">
        <v>105</v>
      </c>
      <c r="B399">
        <v>106</v>
      </c>
      <c r="C399">
        <v>20</v>
      </c>
      <c r="D399">
        <v>2</v>
      </c>
      <c r="E399">
        <v>2</v>
      </c>
      <c r="F399">
        <v>1.5</v>
      </c>
      <c r="G399" t="s">
        <v>925</v>
      </c>
      <c r="H399" s="7" t="str">
        <f t="shared" si="47"/>
        <v>/</v>
      </c>
      <c r="I399" t="s">
        <v>925</v>
      </c>
      <c r="J399">
        <v>20.2</v>
      </c>
      <c r="K399" t="s">
        <v>63</v>
      </c>
      <c r="M399">
        <v>20</v>
      </c>
      <c r="N399">
        <v>3</v>
      </c>
      <c r="O399">
        <v>479.4</v>
      </c>
    </row>
    <row r="400" spans="1:16" x14ac:dyDescent="0.25">
      <c r="A400">
        <v>106</v>
      </c>
      <c r="B400">
        <v>107</v>
      </c>
      <c r="C400">
        <v>18</v>
      </c>
      <c r="D400">
        <v>2</v>
      </c>
      <c r="E400">
        <v>2.5</v>
      </c>
      <c r="F400">
        <v>6</v>
      </c>
      <c r="G400" s="7" t="str">
        <f t="shared" si="47"/>
        <v>/</v>
      </c>
      <c r="H400" t="s">
        <v>926</v>
      </c>
      <c r="I400" t="s">
        <v>947</v>
      </c>
      <c r="J400">
        <v>3.3</v>
      </c>
      <c r="K400" t="s">
        <v>367</v>
      </c>
      <c r="M400">
        <v>3.3</v>
      </c>
      <c r="N400">
        <v>0.3</v>
      </c>
      <c r="O400">
        <v>482.4</v>
      </c>
    </row>
    <row r="401" spans="1:16" x14ac:dyDescent="0.25">
      <c r="A401">
        <v>107</v>
      </c>
      <c r="B401">
        <v>108</v>
      </c>
      <c r="C401" s="7" t="str">
        <f t="shared" ref="C401:F402" si="48">"/"</f>
        <v>/</v>
      </c>
      <c r="D401" s="7" t="str">
        <f t="shared" si="48"/>
        <v>/</v>
      </c>
      <c r="E401" s="7" t="str">
        <f t="shared" si="48"/>
        <v>/</v>
      </c>
      <c r="F401" s="7" t="str">
        <f t="shared" si="48"/>
        <v>/</v>
      </c>
      <c r="G401" t="s">
        <v>927</v>
      </c>
      <c r="H401" s="7" t="str">
        <f t="shared" si="47"/>
        <v>/</v>
      </c>
      <c r="I401" t="s">
        <v>927</v>
      </c>
      <c r="J401">
        <v>15</v>
      </c>
      <c r="K401" t="str">
        <f>"-8 50"</f>
        <v>-8 50</v>
      </c>
      <c r="M401">
        <v>14.8</v>
      </c>
      <c r="N401">
        <v>-2.2999999999999998</v>
      </c>
      <c r="O401">
        <v>482.7</v>
      </c>
    </row>
    <row r="402" spans="1:16" x14ac:dyDescent="0.25">
      <c r="A402">
        <v>108</v>
      </c>
      <c r="B402">
        <v>109</v>
      </c>
      <c r="C402">
        <v>3</v>
      </c>
      <c r="D402">
        <v>1.5</v>
      </c>
      <c r="E402">
        <v>15</v>
      </c>
      <c r="F402" s="7" t="str">
        <f t="shared" si="48"/>
        <v>/</v>
      </c>
      <c r="G402" s="7" t="str">
        <f t="shared" si="47"/>
        <v>/</v>
      </c>
      <c r="H402" t="s">
        <v>928</v>
      </c>
      <c r="I402" t="s">
        <v>948</v>
      </c>
      <c r="J402">
        <v>40.200000000000003</v>
      </c>
      <c r="K402" t="s">
        <v>958</v>
      </c>
      <c r="M402">
        <v>39.9</v>
      </c>
      <c r="N402">
        <v>5.3</v>
      </c>
      <c r="O402">
        <v>480.4</v>
      </c>
    </row>
    <row r="403" spans="1:16" x14ac:dyDescent="0.25">
      <c r="A403">
        <v>109</v>
      </c>
      <c r="B403">
        <v>110</v>
      </c>
      <c r="C403">
        <v>18</v>
      </c>
      <c r="D403">
        <v>10</v>
      </c>
      <c r="E403">
        <v>6</v>
      </c>
      <c r="F403">
        <v>1.5</v>
      </c>
      <c r="G403" t="s">
        <v>929</v>
      </c>
      <c r="H403" s="7" t="str">
        <f t="shared" si="47"/>
        <v>/</v>
      </c>
      <c r="I403" t="s">
        <v>929</v>
      </c>
      <c r="J403">
        <v>20.399999999999999</v>
      </c>
      <c r="K403" t="str">
        <f>"-24 30"</f>
        <v>-24 30</v>
      </c>
      <c r="M403">
        <v>18.5</v>
      </c>
      <c r="N403">
        <v>-8.5</v>
      </c>
      <c r="O403">
        <v>485.7</v>
      </c>
    </row>
    <row r="404" spans="1:16" x14ac:dyDescent="0.25">
      <c r="A404">
        <v>110</v>
      </c>
      <c r="B404">
        <v>111</v>
      </c>
      <c r="C404">
        <v>18</v>
      </c>
      <c r="D404">
        <v>0.5</v>
      </c>
      <c r="E404" t="s">
        <v>914</v>
      </c>
      <c r="F404">
        <v>5</v>
      </c>
      <c r="G404" s="7" t="str">
        <f t="shared" si="47"/>
        <v>/</v>
      </c>
      <c r="H404" t="s">
        <v>930</v>
      </c>
      <c r="I404" t="s">
        <v>949</v>
      </c>
      <c r="J404">
        <v>26</v>
      </c>
      <c r="K404" t="s">
        <v>653</v>
      </c>
      <c r="M404">
        <v>24.3</v>
      </c>
      <c r="N404">
        <v>9.1</v>
      </c>
      <c r="O404">
        <v>477.2</v>
      </c>
    </row>
    <row r="405" spans="1:16" x14ac:dyDescent="0.25">
      <c r="A405">
        <v>111</v>
      </c>
      <c r="B405">
        <v>112</v>
      </c>
      <c r="C405">
        <v>2</v>
      </c>
      <c r="D405">
        <v>2</v>
      </c>
      <c r="E405">
        <v>2.5</v>
      </c>
      <c r="F405">
        <v>2</v>
      </c>
      <c r="G405" t="s">
        <v>409</v>
      </c>
      <c r="H405" s="7" t="str">
        <f t="shared" si="47"/>
        <v>/</v>
      </c>
      <c r="I405" t="s">
        <v>409</v>
      </c>
      <c r="J405">
        <v>31.5</v>
      </c>
      <c r="K405" t="str">
        <f>"-14 40"</f>
        <v>-14 40</v>
      </c>
      <c r="M405">
        <v>30.5</v>
      </c>
      <c r="N405">
        <v>-8</v>
      </c>
      <c r="O405">
        <v>486.3</v>
      </c>
    </row>
    <row r="406" spans="1:16" x14ac:dyDescent="0.25">
      <c r="A406">
        <v>112</v>
      </c>
      <c r="B406">
        <v>113</v>
      </c>
      <c r="C406">
        <v>2</v>
      </c>
      <c r="D406">
        <v>0.3</v>
      </c>
      <c r="E406">
        <v>8</v>
      </c>
      <c r="F406">
        <v>3.5</v>
      </c>
      <c r="G406" s="7" t="s">
        <v>931</v>
      </c>
      <c r="H406" s="7" t="str">
        <f t="shared" ref="G406:H412" si="49">"/"</f>
        <v>/</v>
      </c>
      <c r="I406" t="s">
        <v>931</v>
      </c>
      <c r="J406">
        <v>13.9</v>
      </c>
      <c r="K406" t="str">
        <f>"-12 30"</f>
        <v>-12 30</v>
      </c>
      <c r="M406">
        <v>13.6</v>
      </c>
      <c r="N406">
        <v>-3</v>
      </c>
      <c r="O406">
        <v>478.3</v>
      </c>
    </row>
    <row r="407" spans="1:16" x14ac:dyDescent="0.25">
      <c r="A407">
        <v>113</v>
      </c>
      <c r="B407">
        <v>114</v>
      </c>
      <c r="C407">
        <v>2</v>
      </c>
      <c r="D407">
        <v>0.5</v>
      </c>
      <c r="E407">
        <v>0.5</v>
      </c>
      <c r="F407">
        <v>4</v>
      </c>
      <c r="G407" s="7" t="str">
        <f t="shared" si="49"/>
        <v>/</v>
      </c>
      <c r="H407" t="s">
        <v>175</v>
      </c>
      <c r="I407" t="s">
        <v>165</v>
      </c>
      <c r="J407">
        <v>17.7</v>
      </c>
      <c r="K407" t="s">
        <v>959</v>
      </c>
      <c r="M407">
        <v>11.6</v>
      </c>
      <c r="N407">
        <v>13.4</v>
      </c>
      <c r="O407">
        <v>475.3</v>
      </c>
      <c r="P407" t="s">
        <v>967</v>
      </c>
    </row>
    <row r="408" spans="1:16" x14ac:dyDescent="0.25">
      <c r="A408">
        <v>114</v>
      </c>
      <c r="B408">
        <v>115</v>
      </c>
      <c r="C408">
        <v>2.5</v>
      </c>
      <c r="D408">
        <v>4</v>
      </c>
      <c r="E408">
        <v>0.5</v>
      </c>
      <c r="F408">
        <v>1</v>
      </c>
      <c r="G408" s="7" t="s">
        <v>932</v>
      </c>
      <c r="H408" s="7" t="str">
        <f t="shared" si="49"/>
        <v>/</v>
      </c>
      <c r="I408" t="s">
        <v>932</v>
      </c>
      <c r="J408">
        <v>7.6</v>
      </c>
      <c r="K408" t="s">
        <v>243</v>
      </c>
      <c r="M408">
        <v>7.6</v>
      </c>
      <c r="N408">
        <v>0.1</v>
      </c>
      <c r="O408">
        <v>488.7</v>
      </c>
    </row>
    <row r="409" spans="1:16" x14ac:dyDescent="0.25">
      <c r="A409">
        <v>115</v>
      </c>
      <c r="B409">
        <v>116</v>
      </c>
      <c r="C409">
        <v>2</v>
      </c>
      <c r="D409">
        <v>0.3</v>
      </c>
      <c r="E409">
        <v>2.5</v>
      </c>
      <c r="F409">
        <v>1</v>
      </c>
      <c r="G409" s="7" t="str">
        <f t="shared" si="49"/>
        <v>/</v>
      </c>
      <c r="H409" t="s">
        <v>933</v>
      </c>
      <c r="I409" t="s">
        <v>950</v>
      </c>
      <c r="J409">
        <v>9.9</v>
      </c>
      <c r="K409" t="str">
        <f>"-14 30"</f>
        <v>-14 30</v>
      </c>
      <c r="M409">
        <v>9.6</v>
      </c>
      <c r="N409">
        <v>-2.5</v>
      </c>
      <c r="O409">
        <v>488.8</v>
      </c>
    </row>
    <row r="410" spans="1:16" x14ac:dyDescent="0.25">
      <c r="A410">
        <v>116</v>
      </c>
      <c r="B410">
        <v>117</v>
      </c>
      <c r="C410">
        <v>2</v>
      </c>
      <c r="D410">
        <v>12.9</v>
      </c>
      <c r="E410">
        <v>2</v>
      </c>
      <c r="F410" s="7" t="str">
        <f t="shared" ref="F410" si="50">"/"</f>
        <v>/</v>
      </c>
      <c r="G410" s="7" t="str">
        <f t="shared" si="49"/>
        <v>/</v>
      </c>
      <c r="H410" t="s">
        <v>934</v>
      </c>
      <c r="I410" t="s">
        <v>951</v>
      </c>
      <c r="J410">
        <v>19.8</v>
      </c>
      <c r="K410" t="str">
        <f>"-3 00"</f>
        <v>-3 00</v>
      </c>
      <c r="M410">
        <v>19.7</v>
      </c>
      <c r="N410">
        <v>-2.1</v>
      </c>
      <c r="O410">
        <v>486.3</v>
      </c>
      <c r="P410" t="s">
        <v>968</v>
      </c>
    </row>
    <row r="411" spans="1:16" x14ac:dyDescent="0.25">
      <c r="A411">
        <v>117</v>
      </c>
      <c r="B411">
        <v>118</v>
      </c>
      <c r="C411">
        <v>2.5</v>
      </c>
      <c r="D411">
        <v>7</v>
      </c>
      <c r="E411">
        <v>1</v>
      </c>
      <c r="F411">
        <v>0.5</v>
      </c>
      <c r="G411" t="s">
        <v>529</v>
      </c>
      <c r="H411" s="7" t="str">
        <f t="shared" si="49"/>
        <v>/</v>
      </c>
      <c r="I411" t="s">
        <v>529</v>
      </c>
      <c r="J411">
        <v>18.100000000000001</v>
      </c>
      <c r="K411" t="str">
        <f>"-11 10"</f>
        <v>-11 10</v>
      </c>
      <c r="M411">
        <v>17.8</v>
      </c>
      <c r="N411">
        <v>-3.5</v>
      </c>
      <c r="O411">
        <v>484.2</v>
      </c>
      <c r="P411" t="s">
        <v>969</v>
      </c>
    </row>
    <row r="412" spans="1:16" x14ac:dyDescent="0.25">
      <c r="A412">
        <v>118</v>
      </c>
      <c r="B412">
        <v>119</v>
      </c>
      <c r="C412">
        <v>7</v>
      </c>
      <c r="D412">
        <v>1</v>
      </c>
      <c r="E412">
        <v>1.5</v>
      </c>
      <c r="F412">
        <v>4</v>
      </c>
      <c r="G412" s="7" t="str">
        <f t="shared" si="49"/>
        <v>/</v>
      </c>
      <c r="H412" t="s">
        <v>935</v>
      </c>
      <c r="I412" t="s">
        <v>952</v>
      </c>
      <c r="J412">
        <v>4.3</v>
      </c>
      <c r="K412" t="s">
        <v>960</v>
      </c>
      <c r="M412">
        <v>3.2</v>
      </c>
      <c r="N412">
        <v>2.8</v>
      </c>
      <c r="O412">
        <v>480.7</v>
      </c>
    </row>
    <row r="413" spans="1:16" x14ac:dyDescent="0.25">
      <c r="A413">
        <v>119</v>
      </c>
      <c r="B413">
        <v>120</v>
      </c>
      <c r="C413">
        <v>5</v>
      </c>
      <c r="D413">
        <v>4</v>
      </c>
      <c r="E413">
        <v>4</v>
      </c>
      <c r="F413">
        <v>6</v>
      </c>
      <c r="G413" t="s">
        <v>936</v>
      </c>
      <c r="H413" s="7" t="str">
        <f t="shared" ref="G413:H420" si="51">"/"</f>
        <v>/</v>
      </c>
      <c r="I413" t="s">
        <v>936</v>
      </c>
      <c r="J413">
        <v>6.2</v>
      </c>
      <c r="K413" t="str">
        <f>"-23 30"</f>
        <v>-23 30</v>
      </c>
      <c r="M413">
        <v>5.7</v>
      </c>
      <c r="N413">
        <v>-2.5</v>
      </c>
      <c r="O413">
        <v>483.5</v>
      </c>
      <c r="P413" t="s">
        <v>970</v>
      </c>
    </row>
    <row r="414" spans="1:16" x14ac:dyDescent="0.25">
      <c r="A414">
        <v>120</v>
      </c>
      <c r="B414">
        <v>121</v>
      </c>
      <c r="C414">
        <v>0.5</v>
      </c>
      <c r="D414">
        <v>1</v>
      </c>
      <c r="E414">
        <v>0.5</v>
      </c>
      <c r="F414">
        <v>2</v>
      </c>
      <c r="G414" t="s">
        <v>769</v>
      </c>
      <c r="H414" s="7" t="str">
        <f t="shared" si="51"/>
        <v>/</v>
      </c>
      <c r="I414" t="s">
        <v>769</v>
      </c>
      <c r="J414">
        <v>9.1999999999999993</v>
      </c>
      <c r="K414" t="s">
        <v>961</v>
      </c>
      <c r="M414">
        <v>9.1999999999999993</v>
      </c>
      <c r="N414" s="7" t="str">
        <f t="shared" ref="N414" si="52">"/"</f>
        <v>/</v>
      </c>
      <c r="O414">
        <v>481</v>
      </c>
    </row>
    <row r="415" spans="1:16" x14ac:dyDescent="0.25">
      <c r="A415">
        <v>121</v>
      </c>
      <c r="B415">
        <v>122</v>
      </c>
      <c r="C415">
        <v>1.5</v>
      </c>
      <c r="D415">
        <v>0.5</v>
      </c>
      <c r="E415">
        <v>1.5</v>
      </c>
      <c r="F415">
        <v>2</v>
      </c>
      <c r="G415" s="7" t="str">
        <f t="shared" si="51"/>
        <v>/</v>
      </c>
      <c r="H415" t="s">
        <v>441</v>
      </c>
      <c r="I415" t="s">
        <v>953</v>
      </c>
      <c r="J415">
        <v>10</v>
      </c>
      <c r="K415" t="s">
        <v>828</v>
      </c>
      <c r="M415">
        <v>9.1</v>
      </c>
      <c r="N415">
        <v>4.0999999999999996</v>
      </c>
      <c r="O415">
        <v>481</v>
      </c>
    </row>
    <row r="416" spans="1:16" x14ac:dyDescent="0.25">
      <c r="A416">
        <v>122</v>
      </c>
      <c r="B416">
        <v>123</v>
      </c>
      <c r="C416">
        <v>2</v>
      </c>
      <c r="D416">
        <v>1</v>
      </c>
      <c r="E416">
        <v>2.5</v>
      </c>
      <c r="F416">
        <v>1.5</v>
      </c>
      <c r="G416" t="s">
        <v>711</v>
      </c>
      <c r="H416" s="7" t="str">
        <f t="shared" si="51"/>
        <v>/</v>
      </c>
      <c r="I416" t="s">
        <v>711</v>
      </c>
      <c r="J416">
        <v>22</v>
      </c>
      <c r="K416" t="str">
        <f>"-10 00"</f>
        <v>-10 00</v>
      </c>
      <c r="M416">
        <v>21.7</v>
      </c>
      <c r="N416">
        <v>-3.8</v>
      </c>
      <c r="O416">
        <v>485.1</v>
      </c>
      <c r="P416" t="s">
        <v>971</v>
      </c>
    </row>
    <row r="417" spans="1:16" x14ac:dyDescent="0.25">
      <c r="A417">
        <v>123</v>
      </c>
      <c r="B417">
        <v>124</v>
      </c>
      <c r="C417">
        <v>2</v>
      </c>
      <c r="D417">
        <v>0.3</v>
      </c>
      <c r="E417">
        <v>2</v>
      </c>
      <c r="F417">
        <v>1.5</v>
      </c>
      <c r="G417" s="7" t="str">
        <f t="shared" si="51"/>
        <v>/</v>
      </c>
      <c r="H417" t="s">
        <v>869</v>
      </c>
      <c r="I417" t="s">
        <v>868</v>
      </c>
      <c r="J417">
        <v>18.7</v>
      </c>
      <c r="K417" t="s">
        <v>519</v>
      </c>
      <c r="M417">
        <v>18</v>
      </c>
      <c r="N417">
        <v>5.3</v>
      </c>
      <c r="O417">
        <v>481.3</v>
      </c>
    </row>
    <row r="418" spans="1:16" x14ac:dyDescent="0.25">
      <c r="A418">
        <v>124</v>
      </c>
      <c r="B418">
        <v>125</v>
      </c>
      <c r="C418">
        <v>1.5</v>
      </c>
      <c r="D418">
        <v>1.2</v>
      </c>
      <c r="E418">
        <v>4</v>
      </c>
      <c r="F418">
        <v>2.5</v>
      </c>
      <c r="G418" t="s">
        <v>937</v>
      </c>
      <c r="H418" s="7" t="str">
        <f t="shared" si="51"/>
        <v>/</v>
      </c>
      <c r="I418" t="s">
        <v>937</v>
      </c>
      <c r="J418">
        <v>40.700000000000003</v>
      </c>
      <c r="K418" t="str">
        <f>"-14 15"</f>
        <v>-14 15</v>
      </c>
      <c r="M418">
        <v>39.4</v>
      </c>
      <c r="N418">
        <v>-10</v>
      </c>
      <c r="O418">
        <v>486.6</v>
      </c>
      <c r="P418" t="s">
        <v>972</v>
      </c>
    </row>
    <row r="419" spans="1:16" x14ac:dyDescent="0.25">
      <c r="A419">
        <v>125</v>
      </c>
      <c r="B419">
        <v>126</v>
      </c>
      <c r="C419">
        <v>2</v>
      </c>
      <c r="D419">
        <v>0.3</v>
      </c>
      <c r="E419">
        <v>3</v>
      </c>
      <c r="F419">
        <v>6</v>
      </c>
      <c r="G419" s="7" t="str">
        <f t="shared" si="51"/>
        <v>/</v>
      </c>
      <c r="H419" t="s">
        <v>938</v>
      </c>
      <c r="I419" t="s">
        <v>954</v>
      </c>
      <c r="J419">
        <v>13.8</v>
      </c>
      <c r="K419" t="s">
        <v>651</v>
      </c>
      <c r="M419">
        <v>13.7</v>
      </c>
      <c r="N419">
        <v>1.3</v>
      </c>
      <c r="O419">
        <v>476.6</v>
      </c>
    </row>
    <row r="420" spans="1:16" x14ac:dyDescent="0.25">
      <c r="A420">
        <v>126</v>
      </c>
      <c r="B420">
        <v>127</v>
      </c>
      <c r="C420">
        <v>2.5</v>
      </c>
      <c r="D420">
        <v>1.5</v>
      </c>
      <c r="E420" s="7" t="str">
        <f t="shared" ref="E420" si="53">"/"</f>
        <v>/</v>
      </c>
      <c r="F420" s="7">
        <v>4</v>
      </c>
      <c r="G420" t="s">
        <v>500</v>
      </c>
      <c r="H420" s="7" t="str">
        <f t="shared" si="51"/>
        <v>/</v>
      </c>
      <c r="I420" t="s">
        <v>500</v>
      </c>
      <c r="J420">
        <v>20.5</v>
      </c>
      <c r="K420" t="str">
        <f>"-9 15"</f>
        <v>-9 15</v>
      </c>
      <c r="M420">
        <v>20.3</v>
      </c>
      <c r="N420">
        <v>-3.3</v>
      </c>
      <c r="O420">
        <v>477.9</v>
      </c>
    </row>
    <row r="421" spans="1:16" x14ac:dyDescent="0.25">
      <c r="A421">
        <v>127</v>
      </c>
      <c r="B421">
        <v>128</v>
      </c>
      <c r="C421">
        <v>1.5</v>
      </c>
      <c r="D421">
        <v>0.2</v>
      </c>
      <c r="E421">
        <v>3</v>
      </c>
      <c r="F421">
        <v>1</v>
      </c>
      <c r="G421" s="7" t="str">
        <f t="shared" ref="G421:H428" si="54">"/"</f>
        <v>/</v>
      </c>
      <c r="H421" t="s">
        <v>506</v>
      </c>
      <c r="I421" t="s">
        <v>505</v>
      </c>
      <c r="J421">
        <v>4.3</v>
      </c>
      <c r="K421" t="s">
        <v>735</v>
      </c>
      <c r="M421">
        <v>4.0999999999999996</v>
      </c>
      <c r="N421">
        <v>1.3</v>
      </c>
      <c r="O421">
        <v>474.6</v>
      </c>
    </row>
    <row r="422" spans="1:16" x14ac:dyDescent="0.25">
      <c r="A422">
        <v>128</v>
      </c>
      <c r="B422">
        <v>129</v>
      </c>
      <c r="C422">
        <v>3.5</v>
      </c>
      <c r="D422">
        <v>1</v>
      </c>
      <c r="E422" t="s">
        <v>915</v>
      </c>
      <c r="F422">
        <v>2.5</v>
      </c>
      <c r="G422" t="s">
        <v>939</v>
      </c>
      <c r="H422" s="7" t="str">
        <f t="shared" si="54"/>
        <v>/</v>
      </c>
      <c r="I422" t="s">
        <v>939</v>
      </c>
      <c r="J422">
        <v>10.3</v>
      </c>
      <c r="K422" t="s">
        <v>962</v>
      </c>
      <c r="M422">
        <v>10.199999999999999</v>
      </c>
      <c r="N422">
        <v>1.5</v>
      </c>
      <c r="O422">
        <v>475.9</v>
      </c>
    </row>
    <row r="423" spans="1:16" x14ac:dyDescent="0.25">
      <c r="A423">
        <v>129</v>
      </c>
      <c r="B423">
        <v>130</v>
      </c>
      <c r="C423">
        <v>3.5</v>
      </c>
      <c r="D423">
        <v>2</v>
      </c>
      <c r="E423" s="7" t="str">
        <f t="shared" ref="E423" si="55">"/"</f>
        <v>/</v>
      </c>
      <c r="F423" s="7">
        <v>6</v>
      </c>
      <c r="G423" s="7" t="str">
        <f t="shared" si="54"/>
        <v>/</v>
      </c>
      <c r="H423" t="s">
        <v>940</v>
      </c>
      <c r="I423" t="s">
        <v>955</v>
      </c>
      <c r="J423">
        <v>43.2</v>
      </c>
      <c r="K423" t="str">
        <f>"-10 20"</f>
        <v>-10 20</v>
      </c>
      <c r="M423">
        <v>42.5</v>
      </c>
      <c r="N423">
        <v>-7.7</v>
      </c>
      <c r="O423">
        <v>477.4</v>
      </c>
    </row>
    <row r="424" spans="1:16" x14ac:dyDescent="0.25">
      <c r="A424">
        <v>130</v>
      </c>
      <c r="B424">
        <v>131</v>
      </c>
      <c r="C424">
        <v>1.5</v>
      </c>
      <c r="D424">
        <v>1</v>
      </c>
      <c r="E424">
        <v>5</v>
      </c>
      <c r="F424">
        <v>3</v>
      </c>
      <c r="G424" t="s">
        <v>161</v>
      </c>
      <c r="H424" s="7" t="str">
        <f t="shared" si="54"/>
        <v>/</v>
      </c>
      <c r="I424" t="s">
        <v>161</v>
      </c>
      <c r="J424">
        <v>37.799999999999997</v>
      </c>
      <c r="K424" t="str">
        <f>"-3 00"</f>
        <v>-3 00</v>
      </c>
      <c r="M424">
        <v>37.6</v>
      </c>
      <c r="N424">
        <v>-2</v>
      </c>
      <c r="O424">
        <v>469.7</v>
      </c>
    </row>
    <row r="425" spans="1:16" x14ac:dyDescent="0.25">
      <c r="A425">
        <v>131</v>
      </c>
      <c r="B425">
        <v>132</v>
      </c>
      <c r="C425">
        <v>2</v>
      </c>
      <c r="D425">
        <v>0.5</v>
      </c>
      <c r="E425">
        <v>3</v>
      </c>
      <c r="F425">
        <v>4</v>
      </c>
      <c r="G425" s="7" t="str">
        <f t="shared" si="54"/>
        <v>/</v>
      </c>
      <c r="H425" t="s">
        <v>941</v>
      </c>
      <c r="I425" t="s">
        <v>956</v>
      </c>
      <c r="J425">
        <v>9.3000000000000007</v>
      </c>
      <c r="K425" t="s">
        <v>653</v>
      </c>
      <c r="M425">
        <v>8.6999999999999993</v>
      </c>
      <c r="N425">
        <v>3.3</v>
      </c>
      <c r="O425">
        <v>467.7</v>
      </c>
    </row>
    <row r="426" spans="1:16" x14ac:dyDescent="0.25">
      <c r="A426">
        <v>132</v>
      </c>
      <c r="B426">
        <v>133</v>
      </c>
      <c r="C426">
        <v>1</v>
      </c>
      <c r="D426">
        <v>1.5</v>
      </c>
      <c r="E426">
        <v>10</v>
      </c>
      <c r="F426">
        <v>4</v>
      </c>
      <c r="G426" t="s">
        <v>942</v>
      </c>
      <c r="H426" s="7" t="str">
        <f t="shared" si="54"/>
        <v>/</v>
      </c>
      <c r="I426" t="s">
        <v>942</v>
      </c>
      <c r="J426">
        <v>14.6</v>
      </c>
      <c r="K426" t="str">
        <f>"-11 30"</f>
        <v>-11 30</v>
      </c>
      <c r="M426">
        <v>14.3</v>
      </c>
      <c r="N426">
        <v>-2.9</v>
      </c>
      <c r="O426">
        <v>471</v>
      </c>
    </row>
    <row r="427" spans="1:16" x14ac:dyDescent="0.25">
      <c r="A427">
        <v>133</v>
      </c>
      <c r="B427">
        <v>134</v>
      </c>
      <c r="C427">
        <v>10</v>
      </c>
      <c r="D427">
        <v>0.3</v>
      </c>
      <c r="E427">
        <v>3</v>
      </c>
      <c r="F427">
        <v>1.5</v>
      </c>
      <c r="G427" s="7" t="str">
        <f t="shared" si="54"/>
        <v>/</v>
      </c>
      <c r="H427" t="s">
        <v>242</v>
      </c>
      <c r="I427" t="s">
        <v>234</v>
      </c>
      <c r="J427">
        <v>14.7</v>
      </c>
      <c r="K427" t="s">
        <v>963</v>
      </c>
      <c r="M427">
        <v>13.8</v>
      </c>
      <c r="N427">
        <v>5.2</v>
      </c>
      <c r="O427">
        <v>468.1</v>
      </c>
    </row>
    <row r="428" spans="1:16" x14ac:dyDescent="0.25">
      <c r="A428">
        <v>134</v>
      </c>
      <c r="B428">
        <v>135</v>
      </c>
      <c r="C428">
        <v>15</v>
      </c>
      <c r="D428">
        <v>3</v>
      </c>
      <c r="E428">
        <v>3.5</v>
      </c>
      <c r="F428">
        <v>1.5</v>
      </c>
      <c r="G428" t="s">
        <v>943</v>
      </c>
      <c r="H428" s="7" t="str">
        <f t="shared" si="54"/>
        <v>/</v>
      </c>
      <c r="I428" t="s">
        <v>943</v>
      </c>
      <c r="J428">
        <v>21.5</v>
      </c>
      <c r="K428" t="str">
        <f>"-6 20"</f>
        <v>-6 20</v>
      </c>
      <c r="M428">
        <v>21.3</v>
      </c>
      <c r="N428">
        <v>-2.4</v>
      </c>
      <c r="O428">
        <v>473.3</v>
      </c>
    </row>
    <row r="429" spans="1:16" x14ac:dyDescent="0.25">
      <c r="G429" s="7"/>
      <c r="O429">
        <v>470.9</v>
      </c>
    </row>
    <row r="430" spans="1:16" x14ac:dyDescent="0.25">
      <c r="A430" s="1" t="s">
        <v>973</v>
      </c>
      <c r="B430" s="1" t="s">
        <v>974</v>
      </c>
      <c r="H430" s="7"/>
    </row>
    <row r="431" spans="1:16" x14ac:dyDescent="0.25">
      <c r="A431">
        <v>135</v>
      </c>
      <c r="B431">
        <v>136</v>
      </c>
      <c r="C431">
        <v>3.5</v>
      </c>
      <c r="D431">
        <v>1.2</v>
      </c>
      <c r="E431" s="7" t="str">
        <f t="shared" ref="E431" si="56">"/"</f>
        <v>/</v>
      </c>
      <c r="F431">
        <v>3</v>
      </c>
      <c r="G431" s="7" t="str">
        <f t="shared" ref="G431" si="57">"/"</f>
        <v>/</v>
      </c>
      <c r="H431" t="s">
        <v>977</v>
      </c>
      <c r="I431" t="s">
        <v>984</v>
      </c>
      <c r="J431">
        <v>57.2</v>
      </c>
      <c r="K431" t="str">
        <f>"-13 40"</f>
        <v>-13 40</v>
      </c>
      <c r="M431">
        <v>55.7</v>
      </c>
      <c r="N431">
        <v>-13.5</v>
      </c>
      <c r="O431">
        <v>470.9</v>
      </c>
    </row>
    <row r="432" spans="1:16" x14ac:dyDescent="0.25">
      <c r="A432">
        <v>136</v>
      </c>
      <c r="B432">
        <v>137</v>
      </c>
      <c r="C432">
        <v>2</v>
      </c>
      <c r="D432">
        <v>1</v>
      </c>
      <c r="E432">
        <v>6</v>
      </c>
      <c r="F432" s="7" t="str">
        <f t="shared" ref="F432:G433" si="58">"/"</f>
        <v>/</v>
      </c>
      <c r="G432" t="s">
        <v>978</v>
      </c>
      <c r="H432" s="7" t="str">
        <f t="shared" ref="H432" si="59">"/"</f>
        <v>/</v>
      </c>
      <c r="I432" t="s">
        <v>978</v>
      </c>
      <c r="J432">
        <v>18.399999999999999</v>
      </c>
      <c r="K432" t="str">
        <f>"-6 00"</f>
        <v>-6 00</v>
      </c>
      <c r="M432">
        <v>18.2</v>
      </c>
      <c r="N432">
        <v>-1.9</v>
      </c>
      <c r="O432">
        <v>457.4</v>
      </c>
    </row>
    <row r="433" spans="1:16" x14ac:dyDescent="0.25">
      <c r="A433">
        <v>137</v>
      </c>
      <c r="B433">
        <v>138</v>
      </c>
      <c r="C433">
        <v>5.5</v>
      </c>
      <c r="D433">
        <v>0.3</v>
      </c>
      <c r="E433">
        <v>4</v>
      </c>
      <c r="F433" s="7" t="str">
        <f t="shared" si="58"/>
        <v>/</v>
      </c>
      <c r="G433" s="7" t="str">
        <f t="shared" si="58"/>
        <v>/</v>
      </c>
      <c r="H433" t="s">
        <v>979</v>
      </c>
      <c r="I433" t="s">
        <v>985</v>
      </c>
      <c r="J433">
        <v>24.8</v>
      </c>
      <c r="K433" t="s">
        <v>988</v>
      </c>
      <c r="M433">
        <v>20.7</v>
      </c>
      <c r="N433">
        <v>13.6</v>
      </c>
      <c r="O433">
        <v>455.5</v>
      </c>
    </row>
    <row r="434" spans="1:16" x14ac:dyDescent="0.25">
      <c r="A434">
        <v>138</v>
      </c>
      <c r="B434">
        <v>139</v>
      </c>
      <c r="C434">
        <v>2.5</v>
      </c>
      <c r="D434">
        <v>1.5</v>
      </c>
      <c r="E434">
        <v>5</v>
      </c>
      <c r="F434">
        <v>1</v>
      </c>
      <c r="G434" t="s">
        <v>980</v>
      </c>
      <c r="H434" s="7" t="str">
        <f t="shared" ref="H434" si="60">"/"</f>
        <v>/</v>
      </c>
      <c r="I434" t="s">
        <v>980</v>
      </c>
      <c r="J434">
        <v>19</v>
      </c>
      <c r="K434" t="s">
        <v>311</v>
      </c>
      <c r="M434">
        <v>18.2</v>
      </c>
      <c r="N434">
        <v>5.4</v>
      </c>
      <c r="O434">
        <v>469.1</v>
      </c>
    </row>
    <row r="435" spans="1:16" x14ac:dyDescent="0.25">
      <c r="A435">
        <v>139</v>
      </c>
      <c r="B435">
        <v>140</v>
      </c>
      <c r="C435">
        <v>0.8</v>
      </c>
      <c r="D435">
        <v>0.3</v>
      </c>
      <c r="E435">
        <v>5</v>
      </c>
      <c r="F435">
        <v>2</v>
      </c>
      <c r="G435" s="7" t="str">
        <f t="shared" ref="G435" si="61">"/"</f>
        <v>/</v>
      </c>
      <c r="H435" t="s">
        <v>981</v>
      </c>
      <c r="I435" t="s">
        <v>986</v>
      </c>
      <c r="J435">
        <v>35</v>
      </c>
      <c r="K435" t="str">
        <f>"-19 20"</f>
        <v>-19 20</v>
      </c>
      <c r="M435">
        <v>33</v>
      </c>
      <c r="N435">
        <v>-11.6</v>
      </c>
      <c r="O435">
        <v>474.5</v>
      </c>
    </row>
    <row r="436" spans="1:16" x14ac:dyDescent="0.25">
      <c r="A436">
        <v>140</v>
      </c>
      <c r="B436">
        <v>141</v>
      </c>
      <c r="C436" t="s">
        <v>975</v>
      </c>
      <c r="D436">
        <v>1.5</v>
      </c>
      <c r="E436">
        <v>4</v>
      </c>
      <c r="F436">
        <v>5</v>
      </c>
      <c r="G436" t="s">
        <v>494</v>
      </c>
      <c r="H436" s="7" t="str">
        <f t="shared" ref="H436" si="62">"/"</f>
        <v>/</v>
      </c>
      <c r="I436" t="s">
        <v>494</v>
      </c>
      <c r="J436">
        <v>51.6</v>
      </c>
      <c r="K436" t="str">
        <f>"-19 00"</f>
        <v>-19 00</v>
      </c>
      <c r="M436">
        <v>48.6</v>
      </c>
      <c r="N436">
        <v>-16.8</v>
      </c>
      <c r="O436">
        <v>462.9</v>
      </c>
    </row>
    <row r="437" spans="1:16" x14ac:dyDescent="0.25">
      <c r="A437">
        <v>141</v>
      </c>
      <c r="B437">
        <v>142</v>
      </c>
      <c r="C437">
        <v>2.5</v>
      </c>
      <c r="D437">
        <v>2</v>
      </c>
      <c r="E437">
        <v>15</v>
      </c>
      <c r="F437">
        <v>3</v>
      </c>
      <c r="G437" s="7" t="str">
        <f t="shared" ref="G437" si="63">"/"</f>
        <v>/</v>
      </c>
      <c r="H437" t="s">
        <v>982</v>
      </c>
      <c r="I437" t="s">
        <v>987</v>
      </c>
      <c r="J437">
        <v>21.6</v>
      </c>
      <c r="K437" t="s">
        <v>734</v>
      </c>
      <c r="M437">
        <v>21.2</v>
      </c>
      <c r="N437">
        <v>4.0999999999999996</v>
      </c>
      <c r="O437">
        <v>446.1</v>
      </c>
    </row>
    <row r="438" spans="1:16" x14ac:dyDescent="0.25">
      <c r="A438">
        <v>142</v>
      </c>
      <c r="B438">
        <v>143</v>
      </c>
      <c r="C438">
        <v>3</v>
      </c>
      <c r="D438">
        <v>1.5</v>
      </c>
      <c r="E438">
        <v>11</v>
      </c>
      <c r="F438" s="7" t="str">
        <f t="shared" ref="F438" si="64">"/"</f>
        <v>/</v>
      </c>
      <c r="G438" t="s">
        <v>983</v>
      </c>
      <c r="H438" s="7" t="str">
        <f t="shared" ref="H438" si="65">"/"</f>
        <v>/</v>
      </c>
      <c r="I438" t="s">
        <v>983</v>
      </c>
      <c r="J438">
        <v>22.4</v>
      </c>
      <c r="K438" t="s">
        <v>211</v>
      </c>
      <c r="M438">
        <v>19.600000000000001</v>
      </c>
      <c r="N438">
        <v>10.7</v>
      </c>
      <c r="O438">
        <v>450.2</v>
      </c>
    </row>
    <row r="439" spans="1:16" x14ac:dyDescent="0.25">
      <c r="A439">
        <v>143</v>
      </c>
      <c r="C439">
        <v>0</v>
      </c>
      <c r="D439">
        <v>3.5</v>
      </c>
      <c r="O439">
        <v>460.9</v>
      </c>
      <c r="P439" t="s">
        <v>976</v>
      </c>
    </row>
    <row r="441" spans="1:16" x14ac:dyDescent="0.25">
      <c r="A441" t="s">
        <v>1010</v>
      </c>
    </row>
    <row r="443" spans="1:16" x14ac:dyDescent="0.25">
      <c r="A443" s="1" t="s">
        <v>1011</v>
      </c>
      <c r="B443" s="1" t="s">
        <v>1012</v>
      </c>
    </row>
    <row r="444" spans="1:16" x14ac:dyDescent="0.25">
      <c r="A444" s="1" t="s">
        <v>1013</v>
      </c>
      <c r="B444" s="1" t="s">
        <v>1014</v>
      </c>
      <c r="C444" s="1" t="s">
        <v>1015</v>
      </c>
      <c r="M444" t="s">
        <v>1016</v>
      </c>
    </row>
    <row r="445" spans="1:16" x14ac:dyDescent="0.25">
      <c r="A445">
        <v>143</v>
      </c>
      <c r="B445">
        <v>201</v>
      </c>
      <c r="C445">
        <v>0</v>
      </c>
      <c r="D445">
        <v>3</v>
      </c>
      <c r="E445">
        <v>3</v>
      </c>
      <c r="F445">
        <v>6</v>
      </c>
      <c r="G445" s="7" t="str">
        <f t="shared" ref="F445:H448" si="66">"/"</f>
        <v>/</v>
      </c>
      <c r="H445" t="s">
        <v>1018</v>
      </c>
      <c r="J445">
        <v>38.4</v>
      </c>
      <c r="K445" t="s">
        <v>733</v>
      </c>
    </row>
    <row r="446" spans="1:16" x14ac:dyDescent="0.25">
      <c r="A446">
        <v>201</v>
      </c>
      <c r="B446">
        <v>202</v>
      </c>
      <c r="C446">
        <v>3</v>
      </c>
      <c r="D446">
        <v>2</v>
      </c>
      <c r="E446" t="s">
        <v>1017</v>
      </c>
      <c r="F446" s="7" t="str">
        <f t="shared" si="66"/>
        <v>/</v>
      </c>
      <c r="G446" t="s">
        <v>1019</v>
      </c>
      <c r="H446" s="7" t="str">
        <f t="shared" si="66"/>
        <v>/</v>
      </c>
      <c r="J446">
        <v>35.700000000000003</v>
      </c>
      <c r="K446" t="s">
        <v>244</v>
      </c>
    </row>
    <row r="447" spans="1:16" x14ac:dyDescent="0.25">
      <c r="A447">
        <v>202</v>
      </c>
      <c r="B447">
        <v>203</v>
      </c>
      <c r="C447">
        <v>3</v>
      </c>
      <c r="D447">
        <v>2</v>
      </c>
      <c r="E447">
        <v>4</v>
      </c>
      <c r="F447">
        <v>0</v>
      </c>
      <c r="G447" s="7" t="str">
        <f t="shared" si="66"/>
        <v>/</v>
      </c>
      <c r="H447" t="s">
        <v>1020</v>
      </c>
      <c r="J447">
        <v>16.8</v>
      </c>
      <c r="K447" t="str">
        <f>"-3 30"</f>
        <v>-3 30</v>
      </c>
    </row>
    <row r="448" spans="1:16" x14ac:dyDescent="0.25">
      <c r="A448">
        <v>203</v>
      </c>
      <c r="B448">
        <v>204</v>
      </c>
      <c r="C448">
        <v>3</v>
      </c>
      <c r="D448">
        <v>4</v>
      </c>
      <c r="E448" s="7" t="str">
        <f t="shared" ref="E448" si="67">"/"</f>
        <v>/</v>
      </c>
      <c r="F448">
        <v>5</v>
      </c>
      <c r="G448" t="s">
        <v>224</v>
      </c>
      <c r="H448" s="7" t="str">
        <f t="shared" si="66"/>
        <v>/</v>
      </c>
      <c r="J448">
        <v>10.8</v>
      </c>
      <c r="K448" t="str">
        <f>"-20 30"</f>
        <v>-20 30</v>
      </c>
    </row>
    <row r="449" spans="1:13" x14ac:dyDescent="0.25">
      <c r="A449">
        <v>204</v>
      </c>
      <c r="C449">
        <v>2</v>
      </c>
      <c r="D449">
        <v>1</v>
      </c>
    </row>
    <row r="451" spans="1:13" x14ac:dyDescent="0.25">
      <c r="A451">
        <v>124</v>
      </c>
      <c r="B451">
        <v>205</v>
      </c>
      <c r="C451">
        <v>0</v>
      </c>
      <c r="D451">
        <v>3</v>
      </c>
      <c r="E451">
        <v>2</v>
      </c>
      <c r="F451">
        <v>2</v>
      </c>
      <c r="G451" s="7" t="str">
        <f t="shared" ref="G451" si="68">"/"</f>
        <v>/</v>
      </c>
      <c r="H451" t="s">
        <v>1024</v>
      </c>
      <c r="J451">
        <v>28.2</v>
      </c>
      <c r="K451" t="str">
        <f>"-17 30"</f>
        <v>-17 30</v>
      </c>
    </row>
    <row r="452" spans="1:13" x14ac:dyDescent="0.25">
      <c r="A452">
        <v>205</v>
      </c>
      <c r="B452">
        <v>206</v>
      </c>
      <c r="C452">
        <v>2.5</v>
      </c>
      <c r="D452">
        <v>1</v>
      </c>
      <c r="E452">
        <v>3</v>
      </c>
      <c r="F452">
        <v>3</v>
      </c>
      <c r="G452" t="s">
        <v>221</v>
      </c>
      <c r="H452" s="7" t="str">
        <f t="shared" ref="H452" si="69">"/"</f>
        <v>/</v>
      </c>
      <c r="J452">
        <v>54.7</v>
      </c>
      <c r="K452" t="s">
        <v>451</v>
      </c>
    </row>
    <row r="453" spans="1:13" x14ac:dyDescent="0.25">
      <c r="A453">
        <v>206</v>
      </c>
      <c r="B453">
        <v>207</v>
      </c>
      <c r="C453">
        <v>2.5</v>
      </c>
      <c r="D453">
        <v>0.5</v>
      </c>
      <c r="E453">
        <v>4</v>
      </c>
      <c r="F453" t="s">
        <v>1022</v>
      </c>
      <c r="G453" s="7" t="str">
        <f t="shared" ref="G453" si="70">"/"</f>
        <v>/</v>
      </c>
      <c r="H453" t="s">
        <v>929</v>
      </c>
      <c r="J453">
        <v>43.6</v>
      </c>
      <c r="K453" t="s">
        <v>1027</v>
      </c>
    </row>
    <row r="454" spans="1:13" x14ac:dyDescent="0.25">
      <c r="A454">
        <v>205</v>
      </c>
      <c r="B454">
        <v>208</v>
      </c>
      <c r="E454">
        <v>3</v>
      </c>
      <c r="F454">
        <v>3</v>
      </c>
      <c r="G454" t="s">
        <v>633</v>
      </c>
      <c r="H454" s="7" t="str">
        <f t="shared" ref="H454" si="71">"/"</f>
        <v>/</v>
      </c>
      <c r="J454">
        <v>39.700000000000003</v>
      </c>
      <c r="K454" t="str">
        <f>"-16 00"</f>
        <v>-16 00</v>
      </c>
    </row>
    <row r="455" spans="1:13" x14ac:dyDescent="0.25">
      <c r="A455">
        <v>208</v>
      </c>
      <c r="B455">
        <v>209</v>
      </c>
      <c r="C455">
        <v>2.5</v>
      </c>
      <c r="D455">
        <v>2</v>
      </c>
      <c r="E455">
        <v>1</v>
      </c>
      <c r="F455" t="s">
        <v>1023</v>
      </c>
      <c r="G455" s="7" t="str">
        <f t="shared" ref="G455:H456" si="72">"/"</f>
        <v>/</v>
      </c>
      <c r="H455" t="s">
        <v>933</v>
      </c>
      <c r="J455">
        <v>16.7</v>
      </c>
      <c r="K455" t="str">
        <f>"-11 30"</f>
        <v>-11 30</v>
      </c>
    </row>
    <row r="456" spans="1:13" x14ac:dyDescent="0.25">
      <c r="A456">
        <v>209</v>
      </c>
      <c r="B456">
        <v>210</v>
      </c>
      <c r="G456" s="7" t="str">
        <f t="shared" si="72"/>
        <v>/</v>
      </c>
      <c r="H456" s="7" t="str">
        <f t="shared" si="72"/>
        <v>/</v>
      </c>
      <c r="J456">
        <v>2.6</v>
      </c>
      <c r="K456" t="s">
        <v>310</v>
      </c>
    </row>
    <row r="457" spans="1:13" x14ac:dyDescent="0.25">
      <c r="A457">
        <v>210</v>
      </c>
      <c r="B457">
        <v>211</v>
      </c>
      <c r="C457">
        <v>5</v>
      </c>
      <c r="D457">
        <v>3</v>
      </c>
      <c r="E457">
        <v>3</v>
      </c>
      <c r="F457">
        <v>3</v>
      </c>
      <c r="G457" s="7" t="str">
        <f t="shared" ref="E457:H459" si="73">"/"</f>
        <v>/</v>
      </c>
      <c r="H457" t="s">
        <v>1025</v>
      </c>
      <c r="J457">
        <v>36.299999999999997</v>
      </c>
      <c r="K457" t="s">
        <v>1028</v>
      </c>
    </row>
    <row r="458" spans="1:13" x14ac:dyDescent="0.25">
      <c r="A458">
        <v>211</v>
      </c>
      <c r="B458">
        <v>212</v>
      </c>
      <c r="C458">
        <v>12</v>
      </c>
      <c r="D458">
        <v>4</v>
      </c>
      <c r="E458">
        <v>2</v>
      </c>
      <c r="F458">
        <v>2</v>
      </c>
      <c r="G458" t="s">
        <v>235</v>
      </c>
      <c r="H458" s="7" t="str">
        <f t="shared" si="73"/>
        <v>/</v>
      </c>
      <c r="J458">
        <v>26.8</v>
      </c>
      <c r="K458" t="s">
        <v>1029</v>
      </c>
    </row>
    <row r="459" spans="1:13" x14ac:dyDescent="0.25">
      <c r="A459">
        <v>212</v>
      </c>
      <c r="B459" t="s">
        <v>1021</v>
      </c>
      <c r="D459">
        <v>4</v>
      </c>
      <c r="E459" s="7" t="str">
        <f t="shared" si="73"/>
        <v>/</v>
      </c>
      <c r="F459" s="7" t="str">
        <f t="shared" si="73"/>
        <v>/</v>
      </c>
      <c r="G459">
        <v>20</v>
      </c>
      <c r="H459" s="7" t="str">
        <f t="shared" si="73"/>
        <v>/</v>
      </c>
      <c r="J459" t="s">
        <v>1026</v>
      </c>
      <c r="K459">
        <v>50</v>
      </c>
    </row>
    <row r="461" spans="1:13" x14ac:dyDescent="0.25">
      <c r="A461" s="1" t="s">
        <v>1030</v>
      </c>
      <c r="B461" s="1" t="s">
        <v>1031</v>
      </c>
      <c r="C461" s="1" t="s">
        <v>1032</v>
      </c>
      <c r="M461" t="s">
        <v>1033</v>
      </c>
    </row>
    <row r="462" spans="1:13" x14ac:dyDescent="0.25">
      <c r="A462">
        <v>113</v>
      </c>
      <c r="B462">
        <v>213</v>
      </c>
      <c r="G462" s="7" t="str">
        <f t="shared" ref="G462" si="74">"/"</f>
        <v>/</v>
      </c>
      <c r="H462" t="s">
        <v>1036</v>
      </c>
      <c r="I462" t="s">
        <v>1044</v>
      </c>
      <c r="J462">
        <v>27.5</v>
      </c>
      <c r="K462" t="s">
        <v>777</v>
      </c>
    </row>
    <row r="463" spans="1:13" x14ac:dyDescent="0.25">
      <c r="A463">
        <v>213</v>
      </c>
      <c r="B463">
        <v>214</v>
      </c>
      <c r="G463" t="s">
        <v>762</v>
      </c>
      <c r="H463" s="7" t="str">
        <f t="shared" ref="H463" si="75">"/"</f>
        <v>/</v>
      </c>
      <c r="I463" t="s">
        <v>762</v>
      </c>
      <c r="J463">
        <v>18.3</v>
      </c>
      <c r="K463">
        <v>9</v>
      </c>
    </row>
    <row r="464" spans="1:13" x14ac:dyDescent="0.25">
      <c r="A464">
        <v>214</v>
      </c>
      <c r="B464">
        <v>215</v>
      </c>
      <c r="G464" s="7" t="str">
        <f t="shared" ref="G464" si="76">"/"</f>
        <v>/</v>
      </c>
      <c r="H464" t="s">
        <v>200</v>
      </c>
      <c r="I464" t="s">
        <v>206</v>
      </c>
      <c r="J464">
        <v>13</v>
      </c>
      <c r="K464" t="str">
        <f>"-25 30"</f>
        <v>-25 30</v>
      </c>
    </row>
    <row r="465" spans="1:11" x14ac:dyDescent="0.25">
      <c r="A465">
        <v>215</v>
      </c>
      <c r="B465">
        <v>216</v>
      </c>
      <c r="G465" t="s">
        <v>1037</v>
      </c>
      <c r="H465" s="7" t="str">
        <f t="shared" ref="H465" si="77">"/"</f>
        <v>/</v>
      </c>
      <c r="I465" t="s">
        <v>1037</v>
      </c>
      <c r="J465">
        <v>61.4</v>
      </c>
      <c r="K465" t="s">
        <v>731</v>
      </c>
    </row>
    <row r="466" spans="1:11" x14ac:dyDescent="0.25">
      <c r="A466">
        <v>216</v>
      </c>
      <c r="B466">
        <v>217</v>
      </c>
      <c r="C466">
        <v>10</v>
      </c>
      <c r="D466" t="s">
        <v>1035</v>
      </c>
      <c r="E466">
        <v>4</v>
      </c>
      <c r="F466">
        <v>3</v>
      </c>
      <c r="G466" s="7" t="str">
        <f t="shared" ref="G466" si="78">"/"</f>
        <v>/</v>
      </c>
      <c r="H466" t="s">
        <v>1038</v>
      </c>
      <c r="I466" t="s">
        <v>1045</v>
      </c>
      <c r="J466">
        <v>13.3</v>
      </c>
      <c r="K466" t="s">
        <v>488</v>
      </c>
    </row>
    <row r="467" spans="1:11" x14ac:dyDescent="0.25">
      <c r="A467">
        <v>217</v>
      </c>
      <c r="B467">
        <v>218</v>
      </c>
      <c r="C467">
        <v>3</v>
      </c>
      <c r="D467">
        <v>1</v>
      </c>
      <c r="E467">
        <v>2</v>
      </c>
      <c r="F467">
        <v>2</v>
      </c>
      <c r="G467" t="s">
        <v>1039</v>
      </c>
      <c r="H467" s="7" t="str">
        <f t="shared" ref="E467:H473" si="79">"/"</f>
        <v>/</v>
      </c>
      <c r="I467" t="s">
        <v>1039</v>
      </c>
      <c r="J467">
        <v>18.3</v>
      </c>
      <c r="K467" t="s">
        <v>215</v>
      </c>
    </row>
    <row r="468" spans="1:11" x14ac:dyDescent="0.25">
      <c r="A468">
        <v>218</v>
      </c>
      <c r="B468">
        <v>219</v>
      </c>
      <c r="C468">
        <v>3</v>
      </c>
      <c r="D468">
        <v>4</v>
      </c>
      <c r="E468">
        <v>1</v>
      </c>
      <c r="F468">
        <v>3</v>
      </c>
      <c r="G468" s="7" t="str">
        <f t="shared" si="79"/>
        <v>/</v>
      </c>
      <c r="H468" t="s">
        <v>936</v>
      </c>
      <c r="I468" t="s">
        <v>865</v>
      </c>
      <c r="J468">
        <v>22</v>
      </c>
      <c r="K468" t="s">
        <v>732</v>
      </c>
    </row>
    <row r="469" spans="1:11" x14ac:dyDescent="0.25">
      <c r="A469">
        <v>219</v>
      </c>
      <c r="B469">
        <v>220</v>
      </c>
      <c r="C469">
        <v>5</v>
      </c>
      <c r="D469">
        <v>3</v>
      </c>
      <c r="E469">
        <v>1</v>
      </c>
      <c r="F469">
        <v>1</v>
      </c>
      <c r="G469" t="s">
        <v>1040</v>
      </c>
      <c r="H469" s="7" t="str">
        <f t="shared" si="79"/>
        <v>/</v>
      </c>
      <c r="I469" t="s">
        <v>1040</v>
      </c>
      <c r="J469">
        <v>32.299999999999997</v>
      </c>
      <c r="K469" t="str">
        <f>"-22 30"</f>
        <v>-22 30</v>
      </c>
    </row>
    <row r="470" spans="1:11" x14ac:dyDescent="0.25">
      <c r="A470">
        <v>220</v>
      </c>
      <c r="B470">
        <v>221</v>
      </c>
      <c r="C470">
        <v>20</v>
      </c>
      <c r="D470">
        <v>2</v>
      </c>
      <c r="E470" s="7" t="str">
        <f t="shared" si="79"/>
        <v>/</v>
      </c>
      <c r="F470">
        <v>1</v>
      </c>
      <c r="G470" s="7" t="str">
        <f t="shared" si="79"/>
        <v>/</v>
      </c>
      <c r="H470" t="s">
        <v>1041</v>
      </c>
      <c r="I470" t="s">
        <v>639</v>
      </c>
      <c r="J470">
        <v>19.7</v>
      </c>
      <c r="K470" t="s">
        <v>830</v>
      </c>
    </row>
    <row r="471" spans="1:11" x14ac:dyDescent="0.25">
      <c r="A471">
        <v>221</v>
      </c>
      <c r="B471">
        <v>222</v>
      </c>
      <c r="C471">
        <v>20</v>
      </c>
      <c r="D471">
        <v>5</v>
      </c>
      <c r="E471" s="7" t="str">
        <f t="shared" si="79"/>
        <v>/</v>
      </c>
      <c r="F471">
        <v>3</v>
      </c>
      <c r="G471" t="s">
        <v>1042</v>
      </c>
      <c r="H471" s="7" t="str">
        <f t="shared" si="79"/>
        <v>/</v>
      </c>
      <c r="I471" t="s">
        <v>1042</v>
      </c>
      <c r="J471">
        <v>20.2</v>
      </c>
      <c r="K471" t="s">
        <v>1046</v>
      </c>
    </row>
    <row r="472" spans="1:11" x14ac:dyDescent="0.25">
      <c r="A472">
        <v>222</v>
      </c>
      <c r="B472">
        <v>223</v>
      </c>
      <c r="C472">
        <v>10</v>
      </c>
      <c r="D472">
        <v>4</v>
      </c>
      <c r="E472">
        <v>4</v>
      </c>
      <c r="F472">
        <v>3</v>
      </c>
      <c r="G472" s="7" t="str">
        <f t="shared" si="79"/>
        <v>/</v>
      </c>
      <c r="H472" t="s">
        <v>1043</v>
      </c>
      <c r="I472" t="s">
        <v>192</v>
      </c>
      <c r="J472">
        <v>32.700000000000003</v>
      </c>
      <c r="K472" t="s">
        <v>214</v>
      </c>
    </row>
    <row r="473" spans="1:11" x14ac:dyDescent="0.25">
      <c r="A473">
        <v>223</v>
      </c>
      <c r="B473" t="s">
        <v>1034</v>
      </c>
      <c r="C473">
        <v>2</v>
      </c>
      <c r="D473">
        <v>1.5</v>
      </c>
      <c r="E473">
        <v>2</v>
      </c>
      <c r="F473">
        <v>1</v>
      </c>
      <c r="G473">
        <v>47</v>
      </c>
      <c r="H473" s="7" t="str">
        <f t="shared" si="79"/>
        <v>/</v>
      </c>
      <c r="I473">
        <v>47</v>
      </c>
      <c r="J473">
        <v>10</v>
      </c>
      <c r="K473" t="s">
        <v>1047</v>
      </c>
    </row>
  </sheetData>
  <mergeCells count="1">
    <mergeCell ref="E3:F3"/>
  </mergeCells>
  <conditionalFormatting sqref="O390">
    <cfRule type="expression" dxfId="14" priority="1">
      <formula>ABS(O390-D390)&gt;0.15</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82"/>
  <sheetViews>
    <sheetView zoomScale="85" zoomScaleNormal="85" workbookViewId="0">
      <pane xSplit="2" ySplit="4" topLeftCell="C382" activePane="bottomRight" state="frozen"/>
      <selection pane="topRight" activeCell="C1" sqref="C1"/>
      <selection pane="bottomLeft" activeCell="A5" sqref="A5"/>
      <selection pane="bottomRight" activeCell="D390" sqref="D390"/>
    </sheetView>
  </sheetViews>
  <sheetFormatPr defaultRowHeight="15" x14ac:dyDescent="0.25"/>
  <cols>
    <col min="10" max="10" width="9.5703125" bestFit="1" customWidth="1"/>
    <col min="11" max="11" width="14.28515625" customWidth="1"/>
    <col min="12" max="15" width="10" customWidth="1"/>
    <col min="16" max="16" width="27.42578125" customWidth="1"/>
    <col min="17" max="17" width="3.42578125" customWidth="1"/>
    <col min="18" max="22" width="9.140625" style="3"/>
  </cols>
  <sheetData>
    <row r="1" spans="1:26" x14ac:dyDescent="0.25">
      <c r="A1" t="str">
        <f>IF('Raw Data'!A1="","",'Raw Data'!A1)</f>
        <v>p. 45-46</v>
      </c>
      <c r="B1" t="str">
        <f>IF('Raw Data'!B1="","",'Raw Data'!B1)</f>
        <v>(=PDF p.49-50)</v>
      </c>
      <c r="C1" t="str">
        <f>IF('Raw Data'!C1="","",'Raw Data'!C1)</f>
        <v/>
      </c>
      <c r="D1" t="str">
        <f>IF('Raw Data'!D1="","",'Raw Data'!D1)</f>
        <v/>
      </c>
      <c r="E1" t="str">
        <f>IF('Raw Data'!E1="","",'Raw Data'!E1)</f>
        <v/>
      </c>
      <c r="F1" t="str">
        <f>IF('Raw Data'!F1="","",'Raw Data'!F1)</f>
        <v/>
      </c>
      <c r="G1" t="str">
        <f>IF('Raw Data'!G1="","",'Raw Data'!G1)</f>
        <v/>
      </c>
      <c r="H1" t="str">
        <f>IF('Raw Data'!H1="","",'Raw Data'!H1)</f>
        <v/>
      </c>
      <c r="I1" t="str">
        <f>IF('Raw Data'!I1="","",'Raw Data'!I1)</f>
        <v/>
      </c>
      <c r="J1" t="str">
        <f>IF('Raw Data'!J1="","",'Raw Data'!J1)</f>
        <v/>
      </c>
      <c r="K1" t="str">
        <f>IF('Raw Data'!K1="","",'Raw Data'!K1)</f>
        <v/>
      </c>
      <c r="L1" t="str">
        <f>IF('Raw Data'!L1="","",'Raw Data'!L1)</f>
        <v/>
      </c>
      <c r="M1" t="str">
        <f>IF('Raw Data'!M1="","",'Raw Data'!M1)</f>
        <v/>
      </c>
      <c r="N1" t="str">
        <f>IF('Raw Data'!N1="","",'Raw Data'!N1)</f>
        <v/>
      </c>
      <c r="O1" t="str">
        <f>IF('Raw Data'!O1="","",'Raw Data'!O1)</f>
        <v/>
      </c>
      <c r="Q1" t="str">
        <f>" "</f>
        <v xml:space="preserve"> </v>
      </c>
      <c r="R1" s="3" t="s">
        <v>253</v>
      </c>
      <c r="W1" s="3" t="s">
        <v>22</v>
      </c>
    </row>
    <row r="2" spans="1:26" x14ac:dyDescent="0.25">
      <c r="A2" t="str">
        <f>IF('Raw Data'!A2="","",'Raw Data'!A2)</f>
        <v>21st July 1951</v>
      </c>
      <c r="B2" t="str">
        <f>IF('Raw Data'!B2="","",'Raw Data'!B2)</f>
        <v>W.I.Stanton</v>
      </c>
      <c r="C2" t="str">
        <f>IF('Raw Data'!C2="","",'Raw Data'!C2)</f>
        <v>SWILDONS HOLE</v>
      </c>
      <c r="D2" t="str">
        <f>IF('Raw Data'!D2="","",'Raw Data'!D2)</f>
        <v/>
      </c>
      <c r="E2" t="str">
        <f>IF('Raw Data'!E2="","",'Raw Data'!E2)</f>
        <v/>
      </c>
      <c r="F2" t="str">
        <f>IF('Raw Data'!F2="","",'Raw Data'!F2)</f>
        <v/>
      </c>
      <c r="G2" t="str">
        <f>IF('Raw Data'!G2="","",'Raw Data'!G2)</f>
        <v/>
      </c>
      <c r="H2" t="str">
        <f>IF('Raw Data'!H2="","",'Raw Data'!H2)</f>
        <v/>
      </c>
      <c r="I2" t="str">
        <f>IF('Raw Data'!I2="","",'Raw Data'!I2)</f>
        <v/>
      </c>
      <c r="J2" t="str">
        <f>IF('Raw Data'!J2="","",'Raw Data'!J2)</f>
        <v/>
      </c>
      <c r="K2" t="str">
        <f>IF('Raw Data'!K2="","",'Raw Data'!K2)</f>
        <v/>
      </c>
      <c r="L2" t="str">
        <f>IF('Raw Data'!L2="","",'Raw Data'!L2)</f>
        <v/>
      </c>
      <c r="M2" t="str">
        <f>IF('Raw Data'!M2="","",'Raw Data'!M2)</f>
        <v>Compass bearings magnetic 11(deg)30' W</v>
      </c>
      <c r="N2" t="str">
        <f>IF('Raw Data'!N2="","",'Raw Data'!N2)</f>
        <v/>
      </c>
      <c r="O2" t="str">
        <f>IF('Raw Data'!O2="","",'Raw Data'!O2)</f>
        <v/>
      </c>
      <c r="Q2" t="str">
        <f t="shared" ref="Q2:Q65" si="0">" "</f>
        <v xml:space="preserve"> </v>
      </c>
      <c r="W2" s="3"/>
    </row>
    <row r="3" spans="1:26" x14ac:dyDescent="0.25">
      <c r="A3" t="str">
        <f>IF('Raw Data'!A3="","",'Raw Data'!A3)</f>
        <v/>
      </c>
      <c r="B3" t="str">
        <f>IF('Raw Data'!B3="","",'Raw Data'!B3)</f>
        <v/>
      </c>
      <c r="C3" t="str">
        <f>IF('Raw Data'!C3="","",'Raw Data'!C3)</f>
        <v/>
      </c>
      <c r="D3" t="str">
        <f>IF('Raw Data'!D3="","",'Raw Data'!D3)</f>
        <v/>
      </c>
      <c r="E3" s="23" t="str">
        <f>IF('Raw Data'!E3="","",'Raw Data'!E3)</f>
        <v>Looking Forward</v>
      </c>
      <c r="F3" s="23"/>
      <c r="G3" t="str">
        <f>IF('Raw Data'!G3="","",'Raw Data'!G3)</f>
        <v/>
      </c>
      <c r="H3" t="str">
        <f>IF('Raw Data'!H3="","",'Raw Data'!H3)</f>
        <v/>
      </c>
      <c r="I3" t="str">
        <f>IF('Raw Data'!I3="","",'Raw Data'!I3)</f>
        <v/>
      </c>
      <c r="J3" t="str">
        <f>IF('Raw Data'!J3="","",'Raw Data'!J3)</f>
        <v/>
      </c>
      <c r="K3" t="str">
        <f>IF('Raw Data'!K3="","",'Raw Data'!K3)</f>
        <v/>
      </c>
      <c r="Q3" t="str">
        <f t="shared" si="0"/>
        <v xml:space="preserve"> </v>
      </c>
    </row>
    <row r="4" spans="1:26" ht="45" x14ac:dyDescent="0.25">
      <c r="A4" s="13" t="str">
        <f>IF('Raw Data'!A4="","",'Raw Data'!A4)</f>
        <v>Sta.</v>
      </c>
      <c r="B4" s="13" t="str">
        <f>IF('Raw Data'!B4="","",'Raw Data'!B4)</f>
        <v>Sta.</v>
      </c>
      <c r="C4" s="13" t="str">
        <f>IF('Raw Data'!C4="","",'Raw Data'!C4)</f>
        <v>Ht Rf</v>
      </c>
      <c r="D4" s="13" t="str">
        <f>IF('Raw Data'!D4="","",'Raw Data'!D4)</f>
        <v>Dp Fl</v>
      </c>
      <c r="E4" s="13" t="str">
        <f>IF('Raw Data'!E4="","",'Raw Data'!E4)</f>
        <v>Width L</v>
      </c>
      <c r="F4" s="13" t="str">
        <f>IF('Raw Data'!F4="","",'Raw Data'!F4)</f>
        <v>Width R</v>
      </c>
      <c r="G4" s="13" t="str">
        <f>IF('Raw Data'!G4="","",'Raw Data'!G4)</f>
        <v>FS</v>
      </c>
      <c r="H4" s="13" t="str">
        <f>IF('Raw Data'!H4="","",'Raw Data'!H4)</f>
        <v>BS</v>
      </c>
      <c r="I4" s="13" t="str">
        <f>IF('Raw Data'!I4="","",'Raw Data'!I4)</f>
        <v>Bearing</v>
      </c>
      <c r="J4" s="13" t="str">
        <f>IF('Raw Data'!J4="","",'Raw Data'!J4)</f>
        <v>Distance</v>
      </c>
      <c r="K4" s="13" t="str">
        <f>IF('Raw Data'!K4="","",'Raw Data'!K4)</f>
        <v>Fore Clino</v>
      </c>
      <c r="L4" s="13" t="str">
        <f>IF('Raw Data'!L4="","",'Raw Data'!L4)</f>
        <v/>
      </c>
      <c r="M4" s="13" t="str">
        <f>IF('Raw Data'!M4="","",'Raw Data'!M4)</f>
        <v>Hor Dist.</v>
      </c>
      <c r="N4" s="13" t="str">
        <f>IF('Raw Data'!N4="","",'Raw Data'!N4)</f>
        <v>Vert Dist.</v>
      </c>
      <c r="O4" s="13" t="str">
        <f>IF('Raw Data'!O4="","",'Raw Data'!O4)</f>
        <v>Dp. Below sump I</v>
      </c>
      <c r="P4" s="13"/>
      <c r="Q4" s="13" t="str">
        <f t="shared" si="0"/>
        <v xml:space="preserve"> </v>
      </c>
      <c r="R4" s="17" t="str">
        <f>G4</f>
        <v>FS</v>
      </c>
      <c r="S4" s="17" t="str">
        <f>H4</f>
        <v>BS</v>
      </c>
      <c r="T4" s="17" t="str">
        <f>I4</f>
        <v>Bearing</v>
      </c>
      <c r="U4" s="17" t="str">
        <f>K4</f>
        <v>Fore Clino</v>
      </c>
      <c r="V4" s="17"/>
      <c r="W4" s="17" t="s">
        <v>20</v>
      </c>
      <c r="X4" s="17" t="s">
        <v>21</v>
      </c>
      <c r="Y4" s="17" t="s">
        <v>275</v>
      </c>
      <c r="Z4" s="17" t="s">
        <v>891</v>
      </c>
    </row>
    <row r="5" spans="1:26" x14ac:dyDescent="0.25">
      <c r="A5" t="str">
        <f>IF('Raw Data'!A5="","",'Raw Data'!A5)</f>
        <v>A</v>
      </c>
      <c r="B5" t="str">
        <f>IF('Raw Data'!B5="","",'Raw Data'!B5)</f>
        <v>B</v>
      </c>
      <c r="C5">
        <f>IF('Raw Data'!C5="","",'Raw Data'!C5)</f>
        <v>20</v>
      </c>
      <c r="D5" t="str">
        <f>IF('Raw Data'!D5="","",'Raw Data'!D5)</f>
        <v>-</v>
      </c>
      <c r="E5">
        <f>IF('Raw Data'!E5="","",'Raw Data'!E5)</f>
        <v>4</v>
      </c>
      <c r="F5" t="str">
        <f>IF('Raw Data'!F5="","",'Raw Data'!F5)</f>
        <v>4(19' in aven)</v>
      </c>
      <c r="G5" s="7" t="str">
        <f>IF('Raw Data'!G5="/","-",IF('Raw Data'!G5="","-",SUBSTITUTE('Raw Data'!G5," ",":",1)))</f>
        <v>-</v>
      </c>
      <c r="H5" s="7" t="str">
        <f>IF('Raw Data'!H5="/","-",IF('Raw Data'!H5="","-",SUBSTITUTE('Raw Data'!H5," ",":",1)))</f>
        <v>103</v>
      </c>
      <c r="I5" s="7" t="str">
        <f>IF('Raw Data'!I5="/","-",IF('Raw Data'!I5="","-",SUBSTITUTE('Raw Data'!I5," ",":",1)))</f>
        <v>283</v>
      </c>
      <c r="J5" s="12">
        <f>IF('Raw Data'!J5="",IF(LEN(K5)&gt;6,SQRT('Raw Data'!M5^2+N5^2),""),'Raw Data'!J5)</f>
        <v>21</v>
      </c>
      <c r="K5" s="7" t="str">
        <f>IF('Raw Data'!K5="","",IF(LEN('Raw Data'!K5)&lt;7,SUBSTITUTE('Raw Data'!K5," ",":",1),'Raw Data'!K5))</f>
        <v>8:30</v>
      </c>
      <c r="L5" t="str">
        <f>IF('Raw Data'!L5="","",'Raw Data'!L5)</f>
        <v/>
      </c>
      <c r="M5">
        <f>IF('Raw Data'!M5="","",'Raw Data'!M5)</f>
        <v>20.8</v>
      </c>
      <c r="N5">
        <f>IF('Raw Data'!N5="","",IF('Raw Data'!N5="-",0,'Raw Data'!N5))</f>
        <v>3.1</v>
      </c>
      <c r="O5">
        <f>IF('Raw Data'!O5="",IF('Raw Data'!N5="","",0),'Raw Data'!O5)</f>
        <v>0</v>
      </c>
      <c r="P5" t="str">
        <f>IF('Raw Data'!P5="","",'Raw Data'!P5)</f>
        <v>A is at the base of the cable spike on the downstream side of Sump I</v>
      </c>
      <c r="Q5" t="str">
        <f t="shared" si="0"/>
        <v xml:space="preserve"> </v>
      </c>
      <c r="R5" s="3" t="str">
        <f>IF(ISERROR(FIND(":",G5)),IF(G5&lt;&gt;"-",1*G5,G5),1*LEFT(G5,FIND(":",G5)-1)+RIGHT(G5,LEN(G5)-FIND(":",G5))/60)</f>
        <v>-</v>
      </c>
      <c r="S5" s="3">
        <f>IF(ISERROR(FIND(":",H5)),IF(H5&lt;&gt;"-",1*H5,H5),1*LEFT(H5,FIND(":",H5)-1)+RIGHT(H5,LEN(H5)-FIND(":",H5))/60)</f>
        <v>103</v>
      </c>
      <c r="T5" s="3">
        <f>IF(ISERROR(FIND(":",I5)),IF(I5&lt;&gt;"-",1*I5,I5),1*LEFT(I5,FIND(":",I5)-1)+RIGHT(I5,LEN(I5)-FIND(":",I5))/60)</f>
        <v>283</v>
      </c>
      <c r="U5" s="3">
        <f t="shared" ref="U5:U6" si="1">IF(ISERROR(FIND(":",K5)),IF(K5="zero",0,1*K5),1*CONCATENATE(LEFT(K5,FIND(":",K5)-1),".",MID(RIGHT(K5,LEN(K5)-FIND(":",K5))/60,3,8)))</f>
        <v>8.5</v>
      </c>
      <c r="W5" s="4">
        <f>J5*COS(U5*PI()/180)</f>
        <v>20.769333130600252</v>
      </c>
      <c r="X5" s="4">
        <f>J5*SIN(U5*PI()/180)</f>
        <v>3.1039976337218231</v>
      </c>
      <c r="Y5" s="3">
        <f>IF(R5="-",IF(S5&gt;180,S5-180,S5+180),R5)</f>
        <v>283</v>
      </c>
    </row>
    <row r="6" spans="1:26" x14ac:dyDescent="0.25">
      <c r="A6" t="str">
        <f>IF('Raw Data'!A6="","",'Raw Data'!A6)</f>
        <v>B</v>
      </c>
      <c r="B6" t="str">
        <f>IF('Raw Data'!B6="","",'Raw Data'!B6)</f>
        <v>C</v>
      </c>
      <c r="C6">
        <f>IF('Raw Data'!C6="","",'Raw Data'!C6)</f>
        <v>6</v>
      </c>
      <c r="D6">
        <f>IF('Raw Data'!D6="","",'Raw Data'!D6)</f>
        <v>3.5</v>
      </c>
      <c r="E6">
        <f>IF('Raw Data'!E6="","",'Raw Data'!E6)</f>
        <v>3</v>
      </c>
      <c r="F6">
        <f>IF('Raw Data'!F6="","",'Raw Data'!F6)</f>
        <v>6</v>
      </c>
      <c r="G6" s="7" t="str">
        <f>IF('Raw Data'!G6="/","-",IF('Raw Data'!G6="","-",SUBSTITUTE('Raw Data'!G6," ",":",1)))</f>
        <v>322:30</v>
      </c>
      <c r="H6" s="7" t="str">
        <f>IF('Raw Data'!H6="/","-",IF('Raw Data'!H6="","-",SUBSTITUTE('Raw Data'!H6," ",":",1)))</f>
        <v>-</v>
      </c>
      <c r="I6" s="7" t="str">
        <f>IF('Raw Data'!I6="/","-",IF('Raw Data'!I6="","-",SUBSTITUTE('Raw Data'!I6," ",":",1)))</f>
        <v>322:30</v>
      </c>
      <c r="J6" s="12">
        <f>IF('Raw Data'!J6="",IF(LEN(K6)&gt;6,SQRT('Raw Data'!M6^2+N6^2),""),'Raw Data'!J6)</f>
        <v>27</v>
      </c>
      <c r="K6" s="7" t="str">
        <f>IF('Raw Data'!K6="","",IF(LEN('Raw Data'!K6)&lt;7,SUBSTITUTE('Raw Data'!K6," ",":",1),'Raw Data'!K6))</f>
        <v>-9:30</v>
      </c>
      <c r="L6" t="str">
        <f>IF('Raw Data'!L6="","",'Raw Data'!L6)</f>
        <v/>
      </c>
      <c r="M6">
        <f>IF('Raw Data'!M6="","",'Raw Data'!M6)</f>
        <v>26.7</v>
      </c>
      <c r="N6">
        <f>IF('Raw Data'!N6="","",IF('Raw Data'!N6="-",0,'Raw Data'!N6))</f>
        <v>-4.5</v>
      </c>
      <c r="O6">
        <f>IF('Raw Data'!O6="",IF('Raw Data'!N6="","",0),'Raw Data'!O6)</f>
        <v>3.1</v>
      </c>
      <c r="P6" t="str">
        <f>IF('Raw Data'!P6="","",'Raw Data'!P6)</f>
        <v>B is on a rock at upstream end of pool</v>
      </c>
      <c r="Q6" t="str">
        <f t="shared" si="0"/>
        <v xml:space="preserve"> </v>
      </c>
      <c r="R6" s="3">
        <f t="shared" ref="R6:R27" si="2">IF(ISERROR(FIND(":",G6)),IF(G6&lt;&gt;"-",1*G6,G6),1*LEFT(G6,FIND(":",G6)-1)+RIGHT(G6,LEN(G6)-FIND(":",G6))/60)</f>
        <v>322.5</v>
      </c>
      <c r="S6" s="3" t="str">
        <f t="shared" ref="S6:S27" si="3">IF(ISERROR(FIND(":",H6)),IF(H6&lt;&gt;"-",1*H6,H6),1*LEFT(H6,FIND(":",H6)-1)+RIGHT(H6,LEN(H6)-FIND(":",H6))/60)</f>
        <v>-</v>
      </c>
      <c r="T6" s="3">
        <f t="shared" ref="T6:T27" si="4">IF(ISERROR(FIND(":",I6)),IF(I6&lt;&gt;"-",1*I6,I6),1*LEFT(I6,FIND(":",I6)-1)+RIGHT(I6,LEN(I6)-FIND(":",I6))/60)</f>
        <v>322.5</v>
      </c>
      <c r="U6" s="3">
        <f t="shared" si="1"/>
        <v>-9.5</v>
      </c>
      <c r="W6" s="4">
        <f t="shared" ref="W6:W8" si="5">J6*COS(U6*PI()/180)</f>
        <v>26.629711241505248</v>
      </c>
      <c r="X6" s="4">
        <f t="shared" ref="X6:X8" si="6">J6*SIN(U6*PI()/180)</f>
        <v>-4.4562853582382962</v>
      </c>
      <c r="Y6" s="3">
        <f t="shared" ref="Y6:Y67" si="7">IF(R6="-",IF(S6&gt;180,S6-180,S6+180),R6)</f>
        <v>322.5</v>
      </c>
      <c r="Z6" s="4">
        <f>IF('Raw Data'!O6="","",O5+N5)</f>
        <v>3.1</v>
      </c>
    </row>
    <row r="7" spans="1:26" x14ac:dyDescent="0.25">
      <c r="A7" t="str">
        <f>IF('Raw Data'!A7="","",'Raw Data'!A7)</f>
        <v>C</v>
      </c>
      <c r="B7" t="str">
        <f>IF('Raw Data'!B7="","",'Raw Data'!B7)</f>
        <v>D</v>
      </c>
      <c r="C7">
        <f>IF('Raw Data'!C7="","",'Raw Data'!C7)</f>
        <v>7</v>
      </c>
      <c r="D7" t="str">
        <f>IF('Raw Data'!D7="","",'Raw Data'!D7)</f>
        <v>-</v>
      </c>
      <c r="E7">
        <f>IF('Raw Data'!E7="","",'Raw Data'!E7)</f>
        <v>4</v>
      </c>
      <c r="F7">
        <f>IF('Raw Data'!F7="","",'Raw Data'!F7)</f>
        <v>2</v>
      </c>
      <c r="G7" s="7" t="str">
        <f>IF('Raw Data'!G7="/","-",IF('Raw Data'!G7="","-",SUBSTITUTE('Raw Data'!G7," ",":",1)))</f>
        <v>-</v>
      </c>
      <c r="H7" s="7" t="str">
        <f>IF('Raw Data'!H7="/","-",IF('Raw Data'!H7="","-",SUBSTITUTE('Raw Data'!H7," ",":",1)))</f>
        <v>83</v>
      </c>
      <c r="I7" s="7" t="str">
        <f>IF('Raw Data'!I7="/","-",IF('Raw Data'!I7="","-",SUBSTITUTE('Raw Data'!I7," ",":",1)))</f>
        <v>263</v>
      </c>
      <c r="J7" s="12">
        <f>IF('Raw Data'!J7="",IF(LEN(K7)&gt;6,SQRT('Raw Data'!M7^2+N7^2),""),'Raw Data'!J7)</f>
        <v>37</v>
      </c>
      <c r="K7" s="7" t="str">
        <f>IF('Raw Data'!K7="","",IF(LEN('Raw Data'!K7)&lt;7,SUBSTITUTE('Raw Data'!K7," ",":",1),'Raw Data'!K7))</f>
        <v>rise of 1.5 feet</v>
      </c>
      <c r="L7" t="str">
        <f>IF('Raw Data'!L7="","",'Raw Data'!L7)</f>
        <v/>
      </c>
      <c r="M7">
        <f>IF('Raw Data'!M7="","",'Raw Data'!M7)</f>
        <v>37</v>
      </c>
      <c r="N7">
        <f>IF('Raw Data'!N7="","",IF('Raw Data'!N7="-",0,'Raw Data'!N7))</f>
        <v>1.5</v>
      </c>
      <c r="O7">
        <f>IF('Raw Data'!O7="",IF('Raw Data'!N7="","",0),'Raw Data'!O7)</f>
        <v>-1.4</v>
      </c>
      <c r="P7" t="str">
        <f>IF('Raw Data'!P7="","",'Raw Data'!P7)</f>
        <v>C is on edge of pool 10' before Duck I</v>
      </c>
      <c r="Q7" t="str">
        <f t="shared" si="0"/>
        <v xml:space="preserve"> </v>
      </c>
      <c r="R7" s="3" t="str">
        <f t="shared" si="2"/>
        <v>-</v>
      </c>
      <c r="S7" s="3">
        <f t="shared" si="3"/>
        <v>83</v>
      </c>
      <c r="T7" s="3">
        <f t="shared" si="4"/>
        <v>263</v>
      </c>
      <c r="U7" s="16">
        <f>ASIN(N7/J7)*180/PI()</f>
        <v>2.3234386110520671</v>
      </c>
      <c r="W7" s="4">
        <f t="shared" si="5"/>
        <v>36.96958209122738</v>
      </c>
      <c r="X7" s="4">
        <f t="shared" si="6"/>
        <v>1.5</v>
      </c>
      <c r="Y7" s="3">
        <f t="shared" si="7"/>
        <v>263</v>
      </c>
      <c r="Z7" s="4">
        <f>IF('Raw Data'!O7="","",O6+N6)</f>
        <v>-1.4</v>
      </c>
    </row>
    <row r="8" spans="1:26" x14ac:dyDescent="0.25">
      <c r="A8" t="str">
        <f>IF('Raw Data'!A8="","",'Raw Data'!A8)</f>
        <v>D</v>
      </c>
      <c r="B8" t="str">
        <f>IF('Raw Data'!B8="","",'Raw Data'!B8)</f>
        <v>E</v>
      </c>
      <c r="C8">
        <f>IF('Raw Data'!C8="","",'Raw Data'!C8)</f>
        <v>25</v>
      </c>
      <c r="D8">
        <f>IF('Raw Data'!D8="","",'Raw Data'!D8)</f>
        <v>2</v>
      </c>
      <c r="E8" t="str">
        <f>IF('Raw Data'!E8="","",'Raw Data'!E8)</f>
        <v>-</v>
      </c>
      <c r="F8">
        <f>IF('Raw Data'!F8="","",'Raw Data'!F8)</f>
        <v>10</v>
      </c>
      <c r="G8" s="7" t="str">
        <f>IF('Raw Data'!G8="/","-",IF('Raw Data'!G8="","-",SUBSTITUTE('Raw Data'!G8," ",":",1)))</f>
        <v>192:30</v>
      </c>
      <c r="H8" s="7" t="str">
        <f>IF('Raw Data'!H8="/","-",IF('Raw Data'!H8="","-",SUBSTITUTE('Raw Data'!H8," ",":",1)))</f>
        <v>-</v>
      </c>
      <c r="I8" s="7" t="str">
        <f>IF('Raw Data'!I8="/","-",IF('Raw Data'!I8="","-",SUBSTITUTE('Raw Data'!I8," ",":",1)))</f>
        <v>192:30</v>
      </c>
      <c r="J8" s="12">
        <f>IF('Raw Data'!J8="",IF(LEN(K8)&gt;6,SQRT('Raw Data'!M8^2+N8^2),""),'Raw Data'!J8)</f>
        <v>16.2</v>
      </c>
      <c r="K8" s="7" t="str">
        <f>IF('Raw Data'!K8="","",IF(LEN('Raw Data'!K8)&lt;7,SUBSTITUTE('Raw Data'!K8," ",":",1),'Raw Data'!K8))</f>
        <v>4:30</v>
      </c>
      <c r="L8" t="str">
        <f>IF('Raw Data'!L8="","",'Raw Data'!L8)</f>
        <v/>
      </c>
      <c r="M8">
        <f>IF('Raw Data'!M8="","",'Raw Data'!M8)</f>
        <v>16.100000000000001</v>
      </c>
      <c r="N8">
        <f>IF('Raw Data'!N8="","",IF('Raw Data'!N8="-",0,'Raw Data'!N8))</f>
        <v>1.3</v>
      </c>
      <c r="O8">
        <f>IF('Raw Data'!O8="",IF('Raw Data'!N8="","",0),'Raw Data'!O8)</f>
        <v>0.1</v>
      </c>
      <c r="P8" t="str">
        <f>IF('Raw Data'!P8="","",'Raw Data'!P8)</f>
        <v>D is in stream. Big rock (start of New Series survey) 10' away at 350 (deg). Big passage starts as continuation of Howards Dig.</v>
      </c>
      <c r="Q8" t="str">
        <f t="shared" si="0"/>
        <v xml:space="preserve"> </v>
      </c>
      <c r="R8" s="3">
        <f t="shared" si="2"/>
        <v>192.5</v>
      </c>
      <c r="S8" s="3" t="str">
        <f t="shared" si="3"/>
        <v>-</v>
      </c>
      <c r="T8" s="3">
        <f t="shared" si="4"/>
        <v>192.5</v>
      </c>
      <c r="U8" s="3">
        <f t="shared" ref="U8:U9" si="8">IF(ISERROR(FIND(":",K8)),IF(K8="zero",0,1*K8),1*CONCATENATE(LEFT(K8,FIND(":",K8)-1),".",MID(RIGHT(K8,LEN(K8)-FIND(":",K8))/60,3,8)))</f>
        <v>4.5</v>
      </c>
      <c r="W8" s="4">
        <f t="shared" si="5"/>
        <v>16.150060806476674</v>
      </c>
      <c r="X8" s="4">
        <f t="shared" si="6"/>
        <v>1.2710373507910879</v>
      </c>
      <c r="Y8" s="3">
        <f t="shared" si="7"/>
        <v>192.5</v>
      </c>
      <c r="Z8" s="4">
        <f>IF('Raw Data'!O8="","",O7+N7)</f>
        <v>0.10000000000000009</v>
      </c>
    </row>
    <row r="9" spans="1:26" x14ac:dyDescent="0.25">
      <c r="A9" t="str">
        <f>IF('Raw Data'!A9="","",'Raw Data'!A9)</f>
        <v>E</v>
      </c>
      <c r="B9" t="str">
        <f>IF('Raw Data'!B9="","",'Raw Data'!B9)</f>
        <v>F</v>
      </c>
      <c r="C9">
        <f>IF('Raw Data'!C9="","",'Raw Data'!C9)</f>
        <v>25</v>
      </c>
      <c r="D9">
        <f>IF('Raw Data'!D9="","",'Raw Data'!D9)</f>
        <v>4.5</v>
      </c>
      <c r="E9">
        <f>IF('Raw Data'!E9="","",'Raw Data'!E9)</f>
        <v>6</v>
      </c>
      <c r="F9" t="str">
        <f>IF('Raw Data'!F9="","",'Raw Data'!F9)</f>
        <v>-</v>
      </c>
      <c r="G9" s="7" t="str">
        <f>IF('Raw Data'!G9="/","-",IF('Raw Data'!G9="","-",SUBSTITUTE('Raw Data'!G9," ",":",1)))</f>
        <v>-</v>
      </c>
      <c r="H9" s="7" t="str">
        <f>IF('Raw Data'!H9="/","-",IF('Raw Data'!H9="","-",SUBSTITUTE('Raw Data'!H9," ",":",1)))</f>
        <v>78</v>
      </c>
      <c r="I9" s="7" t="str">
        <f>IF('Raw Data'!I9="/","-",IF('Raw Data'!I9="","-",SUBSTITUTE('Raw Data'!I9," ",":",1)))</f>
        <v>258</v>
      </c>
      <c r="J9" s="12">
        <f>IF('Raw Data'!J9="",IF(LEN(K9)&gt;6,SQRT('Raw Data'!M9^2+N9^2),""),'Raw Data'!J9)</f>
        <v>47</v>
      </c>
      <c r="K9" s="7" t="str">
        <f>IF('Raw Data'!K9="","",IF(LEN('Raw Data'!K9)&lt;7,SUBSTITUTE('Raw Data'!K9," ",":",1),'Raw Data'!K9))</f>
        <v>-5:30</v>
      </c>
      <c r="L9" t="str">
        <f>IF('Raw Data'!L9="","",'Raw Data'!L9)</f>
        <v/>
      </c>
      <c r="M9">
        <f>IF('Raw Data'!M9="","",'Raw Data'!M9)</f>
        <v>46.8</v>
      </c>
      <c r="N9">
        <f>IF('Raw Data'!N9="","",IF('Raw Data'!N9="-",0,'Raw Data'!N9))</f>
        <v>-4.5</v>
      </c>
      <c r="O9">
        <f>IF('Raw Data'!O9="",IF('Raw Data'!N9="","",0),'Raw Data'!O9)</f>
        <v>1.4</v>
      </c>
      <c r="P9" t="str">
        <f>IF('Raw Data'!P9="","",'Raw Data'!P9)</f>
        <v/>
      </c>
      <c r="Q9" t="str">
        <f t="shared" si="0"/>
        <v xml:space="preserve"> </v>
      </c>
      <c r="R9" s="3" t="str">
        <f t="shared" si="2"/>
        <v>-</v>
      </c>
      <c r="S9" s="3">
        <f t="shared" si="3"/>
        <v>78</v>
      </c>
      <c r="T9" s="3">
        <f t="shared" si="4"/>
        <v>258</v>
      </c>
      <c r="U9" s="3">
        <f t="shared" si="8"/>
        <v>-5.5</v>
      </c>
      <c r="W9" s="4">
        <f t="shared" ref="W9:W72" si="9">J9*COS(U9*PI()/180)</f>
        <v>46.783621323257407</v>
      </c>
      <c r="X9" s="4">
        <f t="shared" ref="X9:X72" si="10">J9*SIN(U9*PI()/180)</f>
        <v>-4.5047503684505275</v>
      </c>
      <c r="Y9" s="3">
        <f t="shared" si="7"/>
        <v>258</v>
      </c>
      <c r="Z9" s="4">
        <f>IF('Raw Data'!O9="","",O8+N8)</f>
        <v>1.4000000000000001</v>
      </c>
    </row>
    <row r="10" spans="1:26" x14ac:dyDescent="0.25">
      <c r="A10" t="str">
        <f>IF('Raw Data'!A10="","",'Raw Data'!A10)</f>
        <v>F</v>
      </c>
      <c r="B10" t="str">
        <f>IF('Raw Data'!B10="","",'Raw Data'!B10)</f>
        <v>G</v>
      </c>
      <c r="C10">
        <f>IF('Raw Data'!C10="","",'Raw Data'!C10)</f>
        <v>4</v>
      </c>
      <c r="D10">
        <f>IF('Raw Data'!D10="","",'Raw Data'!D10)</f>
        <v>2</v>
      </c>
      <c r="E10">
        <f>IF('Raw Data'!E10="","",'Raw Data'!E10)</f>
        <v>0.5</v>
      </c>
      <c r="F10" t="str">
        <f>IF('Raw Data'!F10="","",'Raw Data'!F10)</f>
        <v>3 (30 in B.Place(?))</v>
      </c>
      <c r="G10" s="7" t="str">
        <f>IF('Raw Data'!G10="/","-",IF('Raw Data'!G10="","-",SUBSTITUTE('Raw Data'!G10," ",":",1)))</f>
        <v>292</v>
      </c>
      <c r="H10" s="7" t="str">
        <f>IF('Raw Data'!H10="/","-",IF('Raw Data'!H10="","-",SUBSTITUTE('Raw Data'!H10," ",":",1)))</f>
        <v>-</v>
      </c>
      <c r="I10" s="7" t="str">
        <f>IF('Raw Data'!I10="/","-",IF('Raw Data'!I10="","-",SUBSTITUTE('Raw Data'!I10," ",":",1)))</f>
        <v>292</v>
      </c>
      <c r="J10" s="12">
        <f>IF('Raw Data'!J10="",IF(LEN(K10)&gt;6,SQRT('Raw Data'!M10^2+N10^2),""),'Raw Data'!J10)</f>
        <v>48</v>
      </c>
      <c r="K10" s="7" t="str">
        <f>IF('Raw Data'!K10="","",IF(LEN('Raw Data'!K10)&lt;7,SUBSTITUTE('Raw Data'!K10," ",":",1),'Raw Data'!K10))</f>
        <v>fall of 2.5 feet</v>
      </c>
      <c r="L10" t="str">
        <f>IF('Raw Data'!L10="","",'Raw Data'!L10)</f>
        <v/>
      </c>
      <c r="M10">
        <f>IF('Raw Data'!M10="","",'Raw Data'!M10)</f>
        <v>48</v>
      </c>
      <c r="N10">
        <f>IF('Raw Data'!N10="","",IF('Raw Data'!N10="-",0,'Raw Data'!N10))</f>
        <v>-2.5</v>
      </c>
      <c r="O10">
        <f>IF('Raw Data'!O10="",IF('Raw Data'!N10="","",0),'Raw Data'!O10)</f>
        <v>-3.1</v>
      </c>
      <c r="P10" t="str">
        <f>IF('Raw Data'!P10="","",'Raw Data'!P10)</f>
        <v>At 40' the roof lowers suddenly to Creep I. The big Bedding Plane passage comes in on the right, from -5' to 40'</v>
      </c>
      <c r="Q10" t="str">
        <f t="shared" si="0"/>
        <v xml:space="preserve"> </v>
      </c>
      <c r="R10" s="3">
        <f t="shared" si="2"/>
        <v>292</v>
      </c>
      <c r="S10" s="3" t="str">
        <f t="shared" si="3"/>
        <v>-</v>
      </c>
      <c r="T10" s="3">
        <f t="shared" si="4"/>
        <v>292</v>
      </c>
      <c r="U10" s="16">
        <f t="shared" ref="U10:U11" si="11">ASIN(N10/J10)*180/PI()</f>
        <v>-2.9855060057465379</v>
      </c>
      <c r="W10" s="4">
        <f t="shared" si="9"/>
        <v>47.934851621758462</v>
      </c>
      <c r="X10" s="4">
        <f t="shared" si="10"/>
        <v>-2.5</v>
      </c>
      <c r="Y10" s="3">
        <f t="shared" si="7"/>
        <v>292</v>
      </c>
      <c r="Z10" s="4">
        <f>IF('Raw Data'!O10="","",O9+N9)</f>
        <v>-3.1</v>
      </c>
    </row>
    <row r="11" spans="1:26" x14ac:dyDescent="0.25">
      <c r="A11" t="str">
        <f>IF('Raw Data'!A11="","",'Raw Data'!A11)</f>
        <v>G</v>
      </c>
      <c r="B11" t="str">
        <f>IF('Raw Data'!B11="","",'Raw Data'!B11)</f>
        <v>H</v>
      </c>
      <c r="C11">
        <f>IF('Raw Data'!C11="","",'Raw Data'!C11)</f>
        <v>2.5</v>
      </c>
      <c r="D11">
        <f>IF('Raw Data'!D11="","",'Raw Data'!D11)</f>
        <v>0.5</v>
      </c>
      <c r="E11">
        <f>IF('Raw Data'!E11="","",'Raw Data'!E11)</f>
        <v>3.5</v>
      </c>
      <c r="F11">
        <f>IF('Raw Data'!F11="","",'Raw Data'!F11)</f>
        <v>7</v>
      </c>
      <c r="G11" s="7" t="str">
        <f>IF('Raw Data'!G11="/","-",IF('Raw Data'!G11="","-",SUBSTITUTE('Raw Data'!G11," ",":",1)))</f>
        <v>-</v>
      </c>
      <c r="H11" s="7" t="str">
        <f>IF('Raw Data'!H11="/","-",IF('Raw Data'!H11="","-",SUBSTITUTE('Raw Data'!H11," ",":",1)))</f>
        <v>159</v>
      </c>
      <c r="I11" s="7" t="str">
        <f>IF('Raw Data'!I11="/","-",IF('Raw Data'!I11="","-",SUBSTITUTE('Raw Data'!I11," ",":",1)))</f>
        <v>339</v>
      </c>
      <c r="J11" s="12">
        <f>IF('Raw Data'!J11="",IF(LEN(K11)&gt;6,SQRT('Raw Data'!M11^2+N11^2),""),'Raw Data'!J11)</f>
        <v>36</v>
      </c>
      <c r="K11" s="7" t="str">
        <f>IF('Raw Data'!K11="","",IF(LEN('Raw Data'!K11)&lt;7,SUBSTITUTE('Raw Data'!K11," ",":",1),'Raw Data'!K11))</f>
        <v>level</v>
      </c>
      <c r="L11" t="str">
        <f>IF('Raw Data'!L11="","",'Raw Data'!L11)</f>
        <v/>
      </c>
      <c r="M11">
        <f>IF('Raw Data'!M11="","",'Raw Data'!M11)</f>
        <v>36</v>
      </c>
      <c r="N11">
        <f>IF('Raw Data'!N11="","",IF('Raw Data'!N11="-",0,'Raw Data'!N11))</f>
        <v>0</v>
      </c>
      <c r="O11">
        <f>IF('Raw Data'!O11="",IF('Raw Data'!N11="","",0),'Raw Data'!O11)</f>
        <v>-5.6</v>
      </c>
      <c r="P11" t="str">
        <f>IF('Raw Data'!P11="","",'Raw Data'!P11)</f>
        <v/>
      </c>
      <c r="Q11" t="str">
        <f t="shared" si="0"/>
        <v xml:space="preserve"> </v>
      </c>
      <c r="R11" s="3" t="str">
        <f t="shared" si="2"/>
        <v>-</v>
      </c>
      <c r="S11" s="3">
        <f t="shared" si="3"/>
        <v>159</v>
      </c>
      <c r="T11" s="3">
        <f t="shared" si="4"/>
        <v>339</v>
      </c>
      <c r="U11" s="16">
        <f t="shared" si="11"/>
        <v>0</v>
      </c>
      <c r="W11" s="4">
        <f t="shared" si="9"/>
        <v>36</v>
      </c>
      <c r="X11" s="4">
        <f t="shared" si="10"/>
        <v>0</v>
      </c>
      <c r="Y11" s="3">
        <f t="shared" si="7"/>
        <v>339</v>
      </c>
      <c r="Z11" s="4">
        <f>IF('Raw Data'!O11="","",O10+N10)</f>
        <v>-5.6</v>
      </c>
    </row>
    <row r="12" spans="1:26" x14ac:dyDescent="0.25">
      <c r="A12" t="str">
        <f>IF('Raw Data'!A12="","",'Raw Data'!A12)</f>
        <v>H</v>
      </c>
      <c r="B12" t="str">
        <f>IF('Raw Data'!B12="","",'Raw Data'!B12)</f>
        <v>I</v>
      </c>
      <c r="C12">
        <f>IF('Raw Data'!C12="","",'Raw Data'!C12)</f>
        <v>15</v>
      </c>
      <c r="D12">
        <f>IF('Raw Data'!D12="","",'Raw Data'!D12)</f>
        <v>1</v>
      </c>
      <c r="E12">
        <f>IF('Raw Data'!E12="","",'Raw Data'!E12)</f>
        <v>10</v>
      </c>
      <c r="F12">
        <f>IF('Raw Data'!F12="","",'Raw Data'!F12)</f>
        <v>3</v>
      </c>
      <c r="G12" s="7" t="str">
        <f>IF('Raw Data'!G12="/","-",IF('Raw Data'!G12="","-",SUBSTITUTE('Raw Data'!G12," ",":",1)))</f>
        <v>247</v>
      </c>
      <c r="H12" s="7" t="str">
        <f>IF('Raw Data'!H12="/","-",IF('Raw Data'!H12="","-",SUBSTITUTE('Raw Data'!H12," ",":",1)))</f>
        <v>-</v>
      </c>
      <c r="I12" s="7" t="str">
        <f>IF('Raw Data'!I12="/","-",IF('Raw Data'!I12="","-",SUBSTITUTE('Raw Data'!I12," ",":",1)))</f>
        <v>247</v>
      </c>
      <c r="J12" s="12">
        <f>IF('Raw Data'!J12="",IF(LEN(K12)&gt;6,SQRT('Raw Data'!M12^2+N12^2),""),'Raw Data'!J12)</f>
        <v>31</v>
      </c>
      <c r="K12" s="7" t="str">
        <f>IF('Raw Data'!K12="","",IF(LEN('Raw Data'!K12)&lt;7,SUBSTITUTE('Raw Data'!K12," ",":",1),'Raw Data'!K12))</f>
        <v>-2:30</v>
      </c>
      <c r="L12" t="str">
        <f>IF('Raw Data'!L12="","",'Raw Data'!L12)</f>
        <v/>
      </c>
      <c r="M12">
        <f>IF('Raw Data'!M12="","",'Raw Data'!M12)</f>
        <v>31</v>
      </c>
      <c r="N12">
        <f>IF('Raw Data'!N12="","",IF('Raw Data'!N12="-",0,'Raw Data'!N12))</f>
        <v>-1.3</v>
      </c>
      <c r="O12">
        <f>IF('Raw Data'!O12="",IF('Raw Data'!N12="","",0),'Raw Data'!O12)</f>
        <v>-5.6</v>
      </c>
      <c r="P12" t="str">
        <f>IF('Raw Data'!P12="","",'Raw Data'!P12)</f>
        <v/>
      </c>
      <c r="Q12" t="str">
        <f t="shared" si="0"/>
        <v xml:space="preserve"> </v>
      </c>
      <c r="R12" s="3">
        <f t="shared" si="2"/>
        <v>247</v>
      </c>
      <c r="S12" s="3" t="str">
        <f t="shared" si="3"/>
        <v>-</v>
      </c>
      <c r="T12" s="3">
        <f t="shared" si="4"/>
        <v>247</v>
      </c>
      <c r="U12" s="3">
        <f t="shared" ref="U12:U19" si="12">IF(ISERROR(FIND(":",K12)),IF(K12="zero",0,1*K12),1*CONCATENATE(LEFT(K12,FIND(":",K12)-1),".",MID(RIGHT(K12,LEN(K12)-FIND(":",K12))/60,3,8)))</f>
        <v>-2.5</v>
      </c>
      <c r="W12" s="4">
        <f t="shared" si="9"/>
        <v>30.970494869037591</v>
      </c>
      <c r="X12" s="4">
        <f t="shared" si="10"/>
        <v>-1.3522010083254159</v>
      </c>
      <c r="Y12" s="3">
        <f t="shared" si="7"/>
        <v>247</v>
      </c>
      <c r="Z12" s="4">
        <f>IF('Raw Data'!O12="","",O11+N11)</f>
        <v>-5.6</v>
      </c>
    </row>
    <row r="13" spans="1:26" x14ac:dyDescent="0.25">
      <c r="A13" t="str">
        <f>IF('Raw Data'!A13="","",'Raw Data'!A13)</f>
        <v>I</v>
      </c>
      <c r="B13" t="str">
        <f>IF('Raw Data'!B13="","",'Raw Data'!B13)</f>
        <v>J</v>
      </c>
      <c r="C13">
        <f>IF('Raw Data'!C13="","",'Raw Data'!C13)</f>
        <v>15</v>
      </c>
      <c r="D13">
        <f>IF('Raw Data'!D13="","",'Raw Data'!D13)</f>
        <v>1</v>
      </c>
      <c r="E13">
        <f>IF('Raw Data'!E13="","",'Raw Data'!E13)</f>
        <v>8</v>
      </c>
      <c r="F13">
        <f>IF('Raw Data'!F13="","",'Raw Data'!F13)</f>
        <v>2</v>
      </c>
      <c r="G13" s="7" t="str">
        <f>IF('Raw Data'!G13="/","-",IF('Raw Data'!G13="","-",SUBSTITUTE('Raw Data'!G13," ",":",1)))</f>
        <v>-</v>
      </c>
      <c r="H13" s="7" t="str">
        <f>IF('Raw Data'!H13="/","-",IF('Raw Data'!H13="","-",SUBSTITUTE('Raw Data'!H13," ",":",1)))</f>
        <v>95</v>
      </c>
      <c r="I13" s="7" t="str">
        <f>IF('Raw Data'!I13="/","-",IF('Raw Data'!I13="","-",SUBSTITUTE('Raw Data'!I13," ",":",1)))</f>
        <v>275</v>
      </c>
      <c r="J13" s="12">
        <f>IF('Raw Data'!J13="",IF(LEN(K13)&gt;6,SQRT('Raw Data'!M13^2+N13^2),""),'Raw Data'!J13)</f>
        <v>26</v>
      </c>
      <c r="K13" s="7" t="str">
        <f>IF('Raw Data'!K13="","",IF(LEN('Raw Data'!K13)&lt;7,SUBSTITUTE('Raw Data'!K13," ",":",1),'Raw Data'!K13))</f>
        <v>2</v>
      </c>
      <c r="L13" t="str">
        <f>IF('Raw Data'!L13="","",'Raw Data'!L13)</f>
        <v/>
      </c>
      <c r="M13">
        <f>IF('Raw Data'!M13="","",'Raw Data'!M13)</f>
        <v>26</v>
      </c>
      <c r="N13">
        <f>IF('Raw Data'!N13="","",IF('Raw Data'!N13="-",0,'Raw Data'!N13))</f>
        <v>0.9</v>
      </c>
      <c r="O13">
        <f>IF('Raw Data'!O13="",IF('Raw Data'!N13="","",0),'Raw Data'!O13)</f>
        <v>-6.9</v>
      </c>
      <c r="P13" t="str">
        <f>IF('Raw Data'!P13="","",'Raw Data'!P13)</f>
        <v/>
      </c>
      <c r="Q13" t="str">
        <f t="shared" si="0"/>
        <v xml:space="preserve"> </v>
      </c>
      <c r="R13" s="3" t="str">
        <f t="shared" si="2"/>
        <v>-</v>
      </c>
      <c r="S13" s="3">
        <f t="shared" si="3"/>
        <v>95</v>
      </c>
      <c r="T13" s="3">
        <f t="shared" si="4"/>
        <v>275</v>
      </c>
      <c r="U13" s="3">
        <f t="shared" si="12"/>
        <v>2</v>
      </c>
      <c r="W13" s="4">
        <f t="shared" si="9"/>
        <v>25.984161502496491</v>
      </c>
      <c r="X13" s="4">
        <f t="shared" si="10"/>
        <v>0.90738691426502516</v>
      </c>
      <c r="Y13" s="3">
        <f t="shared" si="7"/>
        <v>275</v>
      </c>
      <c r="Z13" s="4">
        <f>IF('Raw Data'!O13="","",O12+N12)</f>
        <v>-6.8999999999999995</v>
      </c>
    </row>
    <row r="14" spans="1:26" x14ac:dyDescent="0.25">
      <c r="A14" t="str">
        <f>IF('Raw Data'!A14="","",'Raw Data'!A14)</f>
        <v>J</v>
      </c>
      <c r="B14" t="str">
        <f>IF('Raw Data'!B14="","",'Raw Data'!B14)</f>
        <v>K</v>
      </c>
      <c r="C14">
        <f>IF('Raw Data'!C14="","",'Raw Data'!C14)</f>
        <v>8</v>
      </c>
      <c r="D14">
        <f>IF('Raw Data'!D14="","",'Raw Data'!D14)</f>
        <v>3</v>
      </c>
      <c r="E14">
        <f>IF('Raw Data'!E14="","",'Raw Data'!E14)</f>
        <v>1</v>
      </c>
      <c r="F14">
        <f>IF('Raw Data'!F14="","",'Raw Data'!F14)</f>
        <v>2</v>
      </c>
      <c r="G14" s="7" t="str">
        <f>IF('Raw Data'!G14="/","-",IF('Raw Data'!G14="","-",SUBSTITUTE('Raw Data'!G14," ",":",1)))</f>
        <v>320</v>
      </c>
      <c r="H14" s="7" t="str">
        <f>IF('Raw Data'!H14="/","-",IF('Raw Data'!H14="","-",SUBSTITUTE('Raw Data'!H14," ",":",1)))</f>
        <v>-</v>
      </c>
      <c r="I14" s="7" t="str">
        <f>IF('Raw Data'!I14="/","-",IF('Raw Data'!I14="","-",SUBSTITUTE('Raw Data'!I14," ",":",1)))</f>
        <v>320</v>
      </c>
      <c r="J14" s="12">
        <f>IF('Raw Data'!J14="",IF(LEN(K14)&gt;6,SQRT('Raw Data'!M14^2+N14^2),""),'Raw Data'!J14)</f>
        <v>26.5</v>
      </c>
      <c r="K14" s="7" t="str">
        <f>IF('Raw Data'!K14="","",IF(LEN('Raw Data'!K14)&lt;7,SUBSTITUTE('Raw Data'!K14," ",":",1),'Raw Data'!K14))</f>
        <v>1</v>
      </c>
      <c r="L14" t="str">
        <f>IF('Raw Data'!L14="","",'Raw Data'!L14)</f>
        <v/>
      </c>
      <c r="M14">
        <f>IF('Raw Data'!M14="","",'Raw Data'!M14)</f>
        <v>26.5</v>
      </c>
      <c r="N14">
        <f>IF('Raw Data'!N14="","",IF('Raw Data'!N14="-",0,'Raw Data'!N14))</f>
        <v>0.5</v>
      </c>
      <c r="O14">
        <f>IF('Raw Data'!O14="",IF('Raw Data'!N14="","",0),'Raw Data'!O14)</f>
        <v>-6</v>
      </c>
      <c r="P14" t="str">
        <f>IF('Raw Data'!P14="","",'Raw Data'!P14)</f>
        <v>Pots</v>
      </c>
      <c r="Q14" t="str">
        <f t="shared" si="0"/>
        <v xml:space="preserve"> </v>
      </c>
      <c r="R14" s="3">
        <f t="shared" si="2"/>
        <v>320</v>
      </c>
      <c r="S14" s="3" t="str">
        <f t="shared" si="3"/>
        <v>-</v>
      </c>
      <c r="T14" s="3">
        <f t="shared" si="4"/>
        <v>320</v>
      </c>
      <c r="U14" s="3">
        <f t="shared" si="12"/>
        <v>1</v>
      </c>
      <c r="W14" s="4">
        <f t="shared" si="9"/>
        <v>26.495963921644368</v>
      </c>
      <c r="X14" s="4">
        <f t="shared" si="10"/>
        <v>0.46248877058801308</v>
      </c>
      <c r="Y14" s="3">
        <f t="shared" si="7"/>
        <v>320</v>
      </c>
      <c r="Z14" s="4">
        <f>IF('Raw Data'!O14="","",O13+N13)</f>
        <v>-6</v>
      </c>
    </row>
    <row r="15" spans="1:26" x14ac:dyDescent="0.25">
      <c r="A15" t="str">
        <f>IF('Raw Data'!A15="","",'Raw Data'!A15)</f>
        <v>K</v>
      </c>
      <c r="B15" t="str">
        <f>IF('Raw Data'!B15="","",'Raw Data'!B15)</f>
        <v>L</v>
      </c>
      <c r="C15">
        <f>IF('Raw Data'!C15="","",'Raw Data'!C15)</f>
        <v>25</v>
      </c>
      <c r="D15">
        <f>IF('Raw Data'!D15="","",'Raw Data'!D15)</f>
        <v>4.5</v>
      </c>
      <c r="E15" t="str">
        <f>IF('Raw Data'!E15="","",'Raw Data'!E15)</f>
        <v>-</v>
      </c>
      <c r="F15">
        <f>IF('Raw Data'!F15="","",'Raw Data'!F15)</f>
        <v>4</v>
      </c>
      <c r="G15" s="7" t="str">
        <f>IF('Raw Data'!G15="/","-",IF('Raw Data'!G15="","-",SUBSTITUTE('Raw Data'!G15," ",":",1)))</f>
        <v>-</v>
      </c>
      <c r="H15" s="7" t="str">
        <f>IF('Raw Data'!H15="/","-",IF('Raw Data'!H15="","-",SUBSTITUTE('Raw Data'!H15," ",":",1)))</f>
        <v>193</v>
      </c>
      <c r="I15" s="7" t="str">
        <f>IF('Raw Data'!I15="/","-",IF('Raw Data'!I15="","-",SUBSTITUTE('Raw Data'!I15," ",":",1)))</f>
        <v>13</v>
      </c>
      <c r="J15" s="12">
        <f>IF('Raw Data'!J15="",IF(LEN(K15)&gt;6,SQRT('Raw Data'!M15^2+N15^2),""),'Raw Data'!J15)</f>
        <v>17.5</v>
      </c>
      <c r="K15" s="7" t="str">
        <f>IF('Raw Data'!K15="","",IF(LEN('Raw Data'!K15)&lt;7,SUBSTITUTE('Raw Data'!K15," ",":",1),'Raw Data'!K15))</f>
        <v>-9</v>
      </c>
      <c r="L15" t="str">
        <f>IF('Raw Data'!L15="","",'Raw Data'!L15)</f>
        <v/>
      </c>
      <c r="M15">
        <f>IF('Raw Data'!M15="","",'Raw Data'!M15)</f>
        <v>17.3</v>
      </c>
      <c r="N15">
        <f>IF('Raw Data'!N15="","",IF('Raw Data'!N15="-",0,'Raw Data'!N15))</f>
        <v>-2.7</v>
      </c>
      <c r="O15">
        <f>IF('Raw Data'!O15="",IF('Raw Data'!N15="","",0),'Raw Data'!O15)</f>
        <v>-5.5</v>
      </c>
      <c r="P15" t="str">
        <f>IF('Raw Data'!P15="","",'Raw Data'!P15)</f>
        <v>Pots</v>
      </c>
      <c r="Q15" t="str">
        <f t="shared" si="0"/>
        <v xml:space="preserve"> </v>
      </c>
      <c r="R15" s="3" t="str">
        <f t="shared" si="2"/>
        <v>-</v>
      </c>
      <c r="S15" s="3">
        <f t="shared" si="3"/>
        <v>193</v>
      </c>
      <c r="T15" s="3">
        <f t="shared" si="4"/>
        <v>13</v>
      </c>
      <c r="U15" s="3">
        <f t="shared" si="12"/>
        <v>-9</v>
      </c>
      <c r="W15" s="4">
        <f t="shared" si="9"/>
        <v>17.28454596041491</v>
      </c>
      <c r="X15" s="4">
        <f t="shared" si="10"/>
        <v>-2.7376031382040402</v>
      </c>
      <c r="Y15" s="3">
        <f t="shared" si="7"/>
        <v>13</v>
      </c>
      <c r="Z15" s="4">
        <f>IF('Raw Data'!O15="","",O14+N14)</f>
        <v>-5.5</v>
      </c>
    </row>
    <row r="16" spans="1:26" x14ac:dyDescent="0.25">
      <c r="A16" t="str">
        <f>IF('Raw Data'!A16="","",'Raw Data'!A16)</f>
        <v>L</v>
      </c>
      <c r="B16" t="str">
        <f>IF('Raw Data'!B16="","",'Raw Data'!B16)</f>
        <v>M</v>
      </c>
      <c r="C16">
        <f>IF('Raw Data'!C16="","",'Raw Data'!C16)</f>
        <v>20</v>
      </c>
      <c r="D16">
        <f>IF('Raw Data'!D16="","",'Raw Data'!D16)</f>
        <v>3</v>
      </c>
      <c r="E16">
        <f>IF('Raw Data'!E16="","",'Raw Data'!E16)</f>
        <v>2</v>
      </c>
      <c r="F16">
        <f>IF('Raw Data'!F16="","",'Raw Data'!F16)</f>
        <v>2</v>
      </c>
      <c r="G16" s="7" t="str">
        <f>IF('Raw Data'!G16="/","-",IF('Raw Data'!G16="","-",SUBSTITUTE('Raw Data'!G16," ",":",1)))</f>
        <v>299</v>
      </c>
      <c r="H16" s="7" t="str">
        <f>IF('Raw Data'!H16="/","-",IF('Raw Data'!H16="","-",SUBSTITUTE('Raw Data'!H16," ",":",1)))</f>
        <v>-</v>
      </c>
      <c r="I16" s="7" t="str">
        <f>IF('Raw Data'!I16="/","-",IF('Raw Data'!I16="","-",SUBSTITUTE('Raw Data'!I16," ",":",1)))</f>
        <v>299</v>
      </c>
      <c r="J16" s="12">
        <f>IF('Raw Data'!J16="",IF(LEN(K16)&gt;6,SQRT('Raw Data'!M16^2+N16^2),""),'Raw Data'!J16)</f>
        <v>33</v>
      </c>
      <c r="K16" s="7" t="str">
        <f>IF('Raw Data'!K16="","",IF(LEN('Raw Data'!K16)&lt;7,SUBSTITUTE('Raw Data'!K16," ",":",1),'Raw Data'!K16))</f>
        <v>-3</v>
      </c>
      <c r="L16" t="str">
        <f>IF('Raw Data'!L16="","",'Raw Data'!L16)</f>
        <v/>
      </c>
      <c r="M16">
        <f>IF('Raw Data'!M16="","",'Raw Data'!M16)</f>
        <v>33</v>
      </c>
      <c r="N16">
        <f>IF('Raw Data'!N16="","",IF('Raw Data'!N16="-",0,'Raw Data'!N16))</f>
        <v>-1.7</v>
      </c>
      <c r="O16">
        <f>IF('Raw Data'!O16="",IF('Raw Data'!N16="","",0),'Raw Data'!O16)</f>
        <v>-8.1999999999999993</v>
      </c>
      <c r="P16" t="str">
        <f>IF('Raw Data'!P16="","",'Raw Data'!P16)</f>
        <v>L is at foot of climb to Approach passage. Clay fill remains 6' up on left wall.</v>
      </c>
      <c r="Q16" t="str">
        <f t="shared" si="0"/>
        <v xml:space="preserve"> </v>
      </c>
      <c r="R16" s="3">
        <f t="shared" si="2"/>
        <v>299</v>
      </c>
      <c r="S16" s="3" t="str">
        <f t="shared" si="3"/>
        <v>-</v>
      </c>
      <c r="T16" s="3">
        <f t="shared" si="4"/>
        <v>299</v>
      </c>
      <c r="U16" s="3">
        <f t="shared" si="12"/>
        <v>-3</v>
      </c>
      <c r="W16" s="4">
        <f t="shared" si="9"/>
        <v>32.954774646900937</v>
      </c>
      <c r="X16" s="4">
        <f t="shared" si="10"/>
        <v>-1.7270865560171462</v>
      </c>
      <c r="Y16" s="3">
        <f t="shared" si="7"/>
        <v>299</v>
      </c>
      <c r="Z16" s="4">
        <f>IF('Raw Data'!O16="","",O15+N15)</f>
        <v>-8.1999999999999993</v>
      </c>
    </row>
    <row r="17" spans="1:26" x14ac:dyDescent="0.25">
      <c r="A17" t="str">
        <f>IF('Raw Data'!A17="","",'Raw Data'!A17)</f>
        <v>M</v>
      </c>
      <c r="B17" t="str">
        <f>IF('Raw Data'!B17="","",'Raw Data'!B17)</f>
        <v>N</v>
      </c>
      <c r="C17">
        <f>IF('Raw Data'!C17="","",'Raw Data'!C17)</f>
        <v>15</v>
      </c>
      <c r="D17">
        <f>IF('Raw Data'!D17="","",'Raw Data'!D17)</f>
        <v>7</v>
      </c>
      <c r="E17">
        <f>IF('Raw Data'!E17="","",'Raw Data'!E17)</f>
        <v>4</v>
      </c>
      <c r="F17" t="str">
        <f>IF('Raw Data'!F17="","",'Raw Data'!F17)</f>
        <v>-</v>
      </c>
      <c r="G17" s="7" t="str">
        <f>IF('Raw Data'!G17="/","-",IF('Raw Data'!G17="","-",SUBSTITUTE('Raw Data'!G17," ",":",1)))</f>
        <v>-</v>
      </c>
      <c r="H17" s="7" t="str">
        <f>IF('Raw Data'!H17="/","-",IF('Raw Data'!H17="","-",SUBSTITUTE('Raw Data'!H17," ",":",1)))</f>
        <v>142</v>
      </c>
      <c r="I17" s="7" t="str">
        <f>IF('Raw Data'!I17="/","-",IF('Raw Data'!I17="","-",SUBSTITUTE('Raw Data'!I17," ",":",1)))</f>
        <v>322</v>
      </c>
      <c r="J17" s="12">
        <f>IF('Raw Data'!J17="",IF(LEN(K17)&gt;6,SQRT('Raw Data'!M17^2+N17^2),""),'Raw Data'!J17)</f>
        <v>43</v>
      </c>
      <c r="K17" s="7" t="str">
        <f>IF('Raw Data'!K17="","",IF(LEN('Raw Data'!K17)&lt;7,SUBSTITUTE('Raw Data'!K17," ",":",1),'Raw Data'!K17))</f>
        <v>-7.3</v>
      </c>
      <c r="L17" t="str">
        <f>IF('Raw Data'!L17="","",'Raw Data'!L17)</f>
        <v/>
      </c>
      <c r="M17">
        <f>IF('Raw Data'!M17="","",'Raw Data'!M17)</f>
        <v>42.7</v>
      </c>
      <c r="N17">
        <f>IF('Raw Data'!N17="","",IF('Raw Data'!N17="-",0,'Raw Data'!N17))</f>
        <v>-5.6</v>
      </c>
      <c r="O17">
        <f>IF('Raw Data'!O17="",IF('Raw Data'!N17="","",0),'Raw Data'!O17)</f>
        <v>-9.9</v>
      </c>
      <c r="P17" t="str">
        <f>IF('Raw Data'!P17="","",'Raw Data'!P17)</f>
        <v>Pots</v>
      </c>
      <c r="Q17" t="str">
        <f t="shared" si="0"/>
        <v xml:space="preserve"> </v>
      </c>
      <c r="R17" s="3" t="str">
        <f t="shared" si="2"/>
        <v>-</v>
      </c>
      <c r="S17" s="3">
        <f t="shared" si="3"/>
        <v>142</v>
      </c>
      <c r="T17" s="3">
        <f t="shared" si="4"/>
        <v>322</v>
      </c>
      <c r="U17" s="3">
        <f t="shared" si="12"/>
        <v>-7.3</v>
      </c>
      <c r="W17" s="4">
        <f t="shared" si="9"/>
        <v>42.651461031371277</v>
      </c>
      <c r="X17" s="4">
        <f t="shared" si="10"/>
        <v>-5.4637781698580703</v>
      </c>
      <c r="Y17" s="3">
        <f t="shared" si="7"/>
        <v>322</v>
      </c>
      <c r="Z17" s="4">
        <f>IF('Raw Data'!O17="","",O16+N16)</f>
        <v>-9.8999999999999986</v>
      </c>
    </row>
    <row r="18" spans="1:26" x14ac:dyDescent="0.25">
      <c r="A18" t="str">
        <f>IF('Raw Data'!A18="","",'Raw Data'!A18)</f>
        <v>N</v>
      </c>
      <c r="B18" t="str">
        <f>IF('Raw Data'!B18="","",'Raw Data'!B18)</f>
        <v>O</v>
      </c>
      <c r="C18">
        <f>IF('Raw Data'!C18="","",'Raw Data'!C18)</f>
        <v>25</v>
      </c>
      <c r="D18">
        <f>IF('Raw Data'!D18="","",'Raw Data'!D18)</f>
        <v>3</v>
      </c>
      <c r="E18">
        <f>IF('Raw Data'!E18="","",'Raw Data'!E18)</f>
        <v>2</v>
      </c>
      <c r="F18">
        <f>IF('Raw Data'!F18="","",'Raw Data'!F18)</f>
        <v>1</v>
      </c>
      <c r="G18" s="7" t="str">
        <f>IF('Raw Data'!G18="/","-",IF('Raw Data'!G18="","-",SUBSTITUTE('Raw Data'!G18," ",":",1)))</f>
        <v>281</v>
      </c>
      <c r="H18" s="7" t="str">
        <f>IF('Raw Data'!H18="/","-",IF('Raw Data'!H18="","-",SUBSTITUTE('Raw Data'!H18," ",":",1)))</f>
        <v>-</v>
      </c>
      <c r="I18" s="7" t="str">
        <f>IF('Raw Data'!I18="/","-",IF('Raw Data'!I18="","-",SUBSTITUTE('Raw Data'!I18," ",":",1)))</f>
        <v>281</v>
      </c>
      <c r="J18" s="12">
        <f>IF('Raw Data'!J18="",IF(LEN(K18)&gt;6,SQRT('Raw Data'!M18^2+N18^2),""),'Raw Data'!J18)</f>
        <v>15.5</v>
      </c>
      <c r="K18" s="7" t="str">
        <f>IF('Raw Data'!K18="","",IF(LEN('Raw Data'!K18)&lt;7,SUBSTITUTE('Raw Data'!K18," ",":",1),'Raw Data'!K18))</f>
        <v>-2</v>
      </c>
      <c r="L18" t="str">
        <f>IF('Raw Data'!L18="","",'Raw Data'!L18)</f>
        <v/>
      </c>
      <c r="M18">
        <f>IF('Raw Data'!M18="","",'Raw Data'!M18)</f>
        <v>15.5</v>
      </c>
      <c r="N18">
        <f>IF('Raw Data'!N18="","",IF('Raw Data'!N18="-",0,'Raw Data'!N18))</f>
        <v>-0.5</v>
      </c>
      <c r="O18">
        <f>IF('Raw Data'!O18="",IF('Raw Data'!N18="","",0),'Raw Data'!O18)</f>
        <v>-15.5</v>
      </c>
      <c r="P18" t="str">
        <f>IF('Raw Data'!P18="","",'Raw Data'!P18)</f>
        <v>Pots</v>
      </c>
      <c r="Q18" t="str">
        <f t="shared" si="0"/>
        <v xml:space="preserve"> </v>
      </c>
      <c r="R18" s="3">
        <f t="shared" si="2"/>
        <v>281</v>
      </c>
      <c r="S18" s="3" t="str">
        <f t="shared" si="3"/>
        <v>-</v>
      </c>
      <c r="T18" s="3">
        <f t="shared" si="4"/>
        <v>281</v>
      </c>
      <c r="U18" s="3">
        <f t="shared" si="12"/>
        <v>-2</v>
      </c>
      <c r="W18" s="4">
        <f t="shared" si="9"/>
        <v>15.490557818795985</v>
      </c>
      <c r="X18" s="4">
        <f t="shared" si="10"/>
        <v>-0.54094219888876505</v>
      </c>
      <c r="Y18" s="3">
        <f t="shared" si="7"/>
        <v>281</v>
      </c>
      <c r="Z18" s="4">
        <f>IF('Raw Data'!O18="","",O17+N17)</f>
        <v>-15.5</v>
      </c>
    </row>
    <row r="19" spans="1:26" x14ac:dyDescent="0.25">
      <c r="A19" t="str">
        <f>IF('Raw Data'!A19="","",'Raw Data'!A19)</f>
        <v>O</v>
      </c>
      <c r="B19" t="str">
        <f>IF('Raw Data'!B19="","",'Raw Data'!B19)</f>
        <v>P</v>
      </c>
      <c r="C19">
        <f>IF('Raw Data'!C19="","",'Raw Data'!C19)</f>
        <v>40</v>
      </c>
      <c r="D19">
        <f>IF('Raw Data'!D19="","",'Raw Data'!D19)</f>
        <v>4.5</v>
      </c>
      <c r="E19">
        <f>IF('Raw Data'!E19="","",'Raw Data'!E19)</f>
        <v>2</v>
      </c>
      <c r="F19">
        <f>IF('Raw Data'!F19="","",'Raw Data'!F19)</f>
        <v>2</v>
      </c>
      <c r="G19" s="7" t="str">
        <f>IF('Raw Data'!G19="/","-",IF('Raw Data'!G19="","-",SUBSTITUTE('Raw Data'!G19," ",":",1)))</f>
        <v>-</v>
      </c>
      <c r="H19" s="7" t="str">
        <f>IF('Raw Data'!H19="/","-",IF('Raw Data'!H19="","-",SUBSTITUTE('Raw Data'!H19," ",":",1)))</f>
        <v>127</v>
      </c>
      <c r="I19" s="7" t="str">
        <f>IF('Raw Data'!I19="/","-",IF('Raw Data'!I19="","-",SUBSTITUTE('Raw Data'!I19," ",":",1)))</f>
        <v>307</v>
      </c>
      <c r="J19" s="12">
        <f>IF('Raw Data'!J19="",IF(LEN(K19)&gt;6,SQRT('Raw Data'!M19^2+N19^2),""),'Raw Data'!J19)</f>
        <v>56</v>
      </c>
      <c r="K19" s="7" t="str">
        <f>IF('Raw Data'!K19="","",IF(LEN('Raw Data'!K19)&lt;7,SUBSTITUTE('Raw Data'!K19," ",":",1),'Raw Data'!K19))</f>
        <v>-5</v>
      </c>
      <c r="L19" t="str">
        <f>IF('Raw Data'!L19="","",'Raw Data'!L19)</f>
        <v/>
      </c>
      <c r="M19">
        <f>IF('Raw Data'!M19="","",'Raw Data'!M19)</f>
        <v>55.8</v>
      </c>
      <c r="N19">
        <f>IF('Raw Data'!N19="","",IF('Raw Data'!N19="-",0,'Raw Data'!N19))</f>
        <v>-4.9000000000000004</v>
      </c>
      <c r="O19">
        <f>IF('Raw Data'!O19="",IF('Raw Data'!N19="","",0),'Raw Data'!O19)</f>
        <v>-16</v>
      </c>
      <c r="P19" t="str">
        <f>IF('Raw Data'!P19="","",'Raw Data'!P19)</f>
        <v>Pots. Very pretty coral on left wall</v>
      </c>
      <c r="Q19" t="str">
        <f t="shared" si="0"/>
        <v xml:space="preserve"> </v>
      </c>
      <c r="R19" s="3" t="str">
        <f t="shared" si="2"/>
        <v>-</v>
      </c>
      <c r="S19" s="3">
        <f t="shared" si="3"/>
        <v>127</v>
      </c>
      <c r="T19" s="3">
        <f t="shared" si="4"/>
        <v>307</v>
      </c>
      <c r="U19" s="3">
        <f t="shared" si="12"/>
        <v>-5</v>
      </c>
      <c r="W19" s="4">
        <f t="shared" si="9"/>
        <v>55.786903093137752</v>
      </c>
      <c r="X19" s="4">
        <f t="shared" si="10"/>
        <v>-4.8807215938688575</v>
      </c>
      <c r="Y19" s="3">
        <f t="shared" si="7"/>
        <v>307</v>
      </c>
      <c r="Z19" s="4">
        <f>IF('Raw Data'!O19="","",O18+N18)</f>
        <v>-16</v>
      </c>
    </row>
    <row r="20" spans="1:26" x14ac:dyDescent="0.25">
      <c r="A20" t="str">
        <f>IF('Raw Data'!A20="","",'Raw Data'!A20)</f>
        <v>P</v>
      </c>
      <c r="B20" t="str">
        <f>IF('Raw Data'!B20="","",'Raw Data'!B20)</f>
        <v>Q</v>
      </c>
      <c r="C20">
        <f>IF('Raw Data'!C20="","",'Raw Data'!C20)</f>
        <v>40</v>
      </c>
      <c r="D20">
        <f>IF('Raw Data'!D20="","",'Raw Data'!D20)</f>
        <v>3</v>
      </c>
      <c r="E20">
        <f>IF('Raw Data'!E20="","",'Raw Data'!E20)</f>
        <v>2</v>
      </c>
      <c r="F20">
        <f>IF('Raw Data'!F20="","",'Raw Data'!F20)</f>
        <v>3</v>
      </c>
      <c r="G20" s="7" t="str">
        <f>IF('Raw Data'!G20="/","-",IF('Raw Data'!G20="","-",SUBSTITUTE('Raw Data'!G20," ",":",1)))</f>
        <v>283</v>
      </c>
      <c r="H20" s="7" t="str">
        <f>IF('Raw Data'!H20="/","-",IF('Raw Data'!H20="","-",SUBSTITUTE('Raw Data'!H20," ",":",1)))</f>
        <v>-</v>
      </c>
      <c r="I20" s="7" t="str">
        <f>IF('Raw Data'!I20="/","-",IF('Raw Data'!I20="","-",SUBSTITUTE('Raw Data'!I20," ",":",1)))</f>
        <v>283</v>
      </c>
      <c r="J20" s="12">
        <f>IF('Raw Data'!J20="",IF(LEN(K20)&gt;6,SQRT('Raw Data'!M20^2+N20^2),""),'Raw Data'!J20)</f>
        <v>15.8</v>
      </c>
      <c r="K20" s="7" t="str">
        <f>IF('Raw Data'!K20="","",IF(LEN('Raw Data'!K20)&lt;7,SUBSTITUTE('Raw Data'!K20," ",":",1),'Raw Data'!K20))</f>
        <v>-0:15</v>
      </c>
      <c r="L20" t="str">
        <f>IF('Raw Data'!L20="","",'Raw Data'!L20)</f>
        <v/>
      </c>
      <c r="M20">
        <f>IF('Raw Data'!M20="","",'Raw Data'!M20)</f>
        <v>15.8</v>
      </c>
      <c r="N20">
        <f>IF('Raw Data'!N20="","",IF('Raw Data'!N20="-",0,'Raw Data'!N20))</f>
        <v>-0.1</v>
      </c>
      <c r="O20">
        <f>IF('Raw Data'!O20="",IF('Raw Data'!N20="","",0),'Raw Data'!O20)</f>
        <v>-20.9</v>
      </c>
      <c r="P20" t="str">
        <f>IF('Raw Data'!P20="","",'Raw Data'!P20)</f>
        <v/>
      </c>
      <c r="Q20" t="str">
        <f t="shared" si="0"/>
        <v xml:space="preserve"> </v>
      </c>
      <c r="R20" s="3">
        <f t="shared" si="2"/>
        <v>283</v>
      </c>
      <c r="S20" s="3" t="str">
        <f t="shared" si="3"/>
        <v>-</v>
      </c>
      <c r="T20" s="3">
        <f t="shared" si="4"/>
        <v>283</v>
      </c>
      <c r="U20" s="16">
        <f t="shared" ref="U20:U22" si="13">ASIN(N20/J20)*180/PI()</f>
        <v>-0.36263393697894891</v>
      </c>
      <c r="W20" s="4">
        <f t="shared" si="9"/>
        <v>15.799683541134614</v>
      </c>
      <c r="X20" s="4">
        <f t="shared" si="10"/>
        <v>-0.1</v>
      </c>
      <c r="Y20" s="3">
        <f t="shared" si="7"/>
        <v>283</v>
      </c>
      <c r="Z20" s="4">
        <f>IF('Raw Data'!O20="","",O19+N19)</f>
        <v>-20.9</v>
      </c>
    </row>
    <row r="21" spans="1:26" x14ac:dyDescent="0.25">
      <c r="A21" t="str">
        <f>IF('Raw Data'!A21="","",'Raw Data'!A21)</f>
        <v>Q</v>
      </c>
      <c r="B21" t="str">
        <f>IF('Raw Data'!B21="","",'Raw Data'!B21)</f>
        <v>R</v>
      </c>
      <c r="C21">
        <f>IF('Raw Data'!C21="","",'Raw Data'!C21)</f>
        <v>40</v>
      </c>
      <c r="D21">
        <f>IF('Raw Data'!D21="","",'Raw Data'!D21)</f>
        <v>4</v>
      </c>
      <c r="E21">
        <f>IF('Raw Data'!E21="","",'Raw Data'!E21)</f>
        <v>4</v>
      </c>
      <c r="F21" t="str">
        <f>IF('Raw Data'!F21="","",'Raw Data'!F21)</f>
        <v>-</v>
      </c>
      <c r="G21" s="7" t="str">
        <f>IF('Raw Data'!G21="/","-",IF('Raw Data'!G21="","-",SUBSTITUTE('Raw Data'!G21," ",":",1)))</f>
        <v>-</v>
      </c>
      <c r="H21" s="7" t="str">
        <f>IF('Raw Data'!H21="/","-",IF('Raw Data'!H21="","-",SUBSTITUTE('Raw Data'!H21," ",":",1)))</f>
        <v>37</v>
      </c>
      <c r="I21" s="7" t="str">
        <f>IF('Raw Data'!I21="/","-",IF('Raw Data'!I21="","-",SUBSTITUTE('Raw Data'!I21," ",":",1)))</f>
        <v>217</v>
      </c>
      <c r="J21" s="16">
        <f>IF(LEN(K21)&gt;6,SQRT('Raw Data'!M21^2+N21^2),'Raw Data'!J21)</f>
        <v>15.814234094637655</v>
      </c>
      <c r="K21" s="7" t="str">
        <f>IF('Raw Data'!K21="","",IF(LEN('Raw Data'!K21)&lt;7,SUBSTITUTE('Raw Data'!K21," ",":",1),'Raw Data'!K21))</f>
        <v>fall of 4 feet</v>
      </c>
      <c r="L21" t="str">
        <f>IF('Raw Data'!L21="","",'Raw Data'!L21)</f>
        <v/>
      </c>
      <c r="M21">
        <f>IF('Raw Data'!M21="","",'Raw Data'!M21)</f>
        <v>15.3</v>
      </c>
      <c r="N21">
        <f>IF('Raw Data'!N21="","",IF('Raw Data'!N21="-",0,'Raw Data'!N21))</f>
        <v>-4</v>
      </c>
      <c r="O21">
        <f>IF('Raw Data'!O21="",IF('Raw Data'!N21="","",0),'Raw Data'!O21)</f>
        <v>-21</v>
      </c>
      <c r="P21" t="str">
        <f>IF('Raw Data'!P21="","",'Raw Data'!P21)</f>
        <v>1.5 foot deep pool starts at P.</v>
      </c>
      <c r="Q21" t="str">
        <f t="shared" si="0"/>
        <v xml:space="preserve"> </v>
      </c>
      <c r="R21" s="3" t="str">
        <f t="shared" si="2"/>
        <v>-</v>
      </c>
      <c r="S21" s="3">
        <f t="shared" si="3"/>
        <v>37</v>
      </c>
      <c r="T21" s="3">
        <f t="shared" si="4"/>
        <v>217</v>
      </c>
      <c r="U21" s="16">
        <f t="shared" si="13"/>
        <v>-14.65135857182217</v>
      </c>
      <c r="W21" s="4">
        <f t="shared" si="9"/>
        <v>15.300000000000002</v>
      </c>
      <c r="X21" s="4">
        <f t="shared" si="10"/>
        <v>-3.9999999999999996</v>
      </c>
      <c r="Y21" s="3">
        <f t="shared" si="7"/>
        <v>217</v>
      </c>
      <c r="Z21" s="4">
        <f>IF('Raw Data'!O21="","",O20+N20)</f>
        <v>-21</v>
      </c>
    </row>
    <row r="22" spans="1:26" x14ac:dyDescent="0.25">
      <c r="A22" t="str">
        <f>IF('Raw Data'!A22="","",'Raw Data'!A22)</f>
        <v>R</v>
      </c>
      <c r="B22" t="str">
        <f>IF('Raw Data'!B22="","",'Raw Data'!B22)</f>
        <v>S</v>
      </c>
      <c r="C22">
        <f>IF('Raw Data'!C22="","",'Raw Data'!C22)</f>
        <v>40</v>
      </c>
      <c r="D22" t="str">
        <f>IF('Raw Data'!D22="","",'Raw Data'!D22)</f>
        <v>-</v>
      </c>
      <c r="E22" t="str">
        <f>IF('Raw Data'!E22="","",'Raw Data'!E22)</f>
        <v>-</v>
      </c>
      <c r="F22">
        <f>IF('Raw Data'!F22="","",'Raw Data'!F22)</f>
        <v>4</v>
      </c>
      <c r="G22" s="7" t="str">
        <f>IF('Raw Data'!G22="/","-",IF('Raw Data'!G22="","-",SUBSTITUTE('Raw Data'!G22," ",":",1)))</f>
        <v>310</v>
      </c>
      <c r="H22" s="7" t="str">
        <f>IF('Raw Data'!H22="/","-",IF('Raw Data'!H22="","-",SUBSTITUTE('Raw Data'!H22," ",":",1)))</f>
        <v>-</v>
      </c>
      <c r="I22" s="7" t="str">
        <f>IF('Raw Data'!I22="/","-",IF('Raw Data'!I22="","-",SUBSTITUTE('Raw Data'!I22," ",":",1)))</f>
        <v>310</v>
      </c>
      <c r="J22" s="16">
        <f>IF(LEN(K22)&gt;6,SQRT('Raw Data'!M22^2+N22^2),'Raw Data'!J22)</f>
        <v>39.702015062210634</v>
      </c>
      <c r="K22" s="7" t="str">
        <f>IF('Raw Data'!K22="","",IF(LEN('Raw Data'!K22)&lt;7,SUBSTITUTE('Raw Data'!K22," ",":",1),'Raw Data'!K22))</f>
        <v>rise of 4 feet</v>
      </c>
      <c r="L22" t="str">
        <f>IF('Raw Data'!L22="","",'Raw Data'!L22)</f>
        <v/>
      </c>
      <c r="M22">
        <f>IF('Raw Data'!M22="","",'Raw Data'!M22)</f>
        <v>39.5</v>
      </c>
      <c r="N22">
        <f>IF('Raw Data'!N22="","",IF('Raw Data'!N22="-",0,'Raw Data'!N22))</f>
        <v>4</v>
      </c>
      <c r="O22">
        <f>IF('Raw Data'!O22="",IF('Raw Data'!N22="","",0),'Raw Data'!O22)</f>
        <v>-25</v>
      </c>
      <c r="P22" t="str">
        <f>IF('Raw Data'!P22="","",'Raw Data'!P22)</f>
        <v>Pool 2.5' deep at R, ends 15' on. Scalloping as in Goughs 1st Sandy Chamber.</v>
      </c>
      <c r="Q22" t="str">
        <f t="shared" si="0"/>
        <v xml:space="preserve"> </v>
      </c>
      <c r="R22" s="3">
        <f t="shared" si="2"/>
        <v>310</v>
      </c>
      <c r="S22" s="3" t="str">
        <f t="shared" si="3"/>
        <v>-</v>
      </c>
      <c r="T22" s="3">
        <f t="shared" si="4"/>
        <v>310</v>
      </c>
      <c r="U22" s="16">
        <f t="shared" si="13"/>
        <v>5.782392322364041</v>
      </c>
      <c r="W22" s="4">
        <f t="shared" si="9"/>
        <v>39.5</v>
      </c>
      <c r="X22" s="4">
        <f t="shared" si="10"/>
        <v>4</v>
      </c>
      <c r="Y22" s="3">
        <f t="shared" si="7"/>
        <v>310</v>
      </c>
      <c r="Z22" s="4">
        <f>IF('Raw Data'!O22="","",O21+N21)</f>
        <v>-25</v>
      </c>
    </row>
    <row r="23" spans="1:26" x14ac:dyDescent="0.25">
      <c r="A23" t="str">
        <f>IF('Raw Data'!A23="","",'Raw Data'!A23)</f>
        <v>S</v>
      </c>
      <c r="B23" t="str">
        <f>IF('Raw Data'!B23="","",'Raw Data'!B23)</f>
        <v>T</v>
      </c>
      <c r="C23">
        <f>IF('Raw Data'!C23="","",'Raw Data'!C23)</f>
        <v>12</v>
      </c>
      <c r="D23">
        <f>IF('Raw Data'!D23="","",'Raw Data'!D23)</f>
        <v>4.5</v>
      </c>
      <c r="E23">
        <f>IF('Raw Data'!E23="","",'Raw Data'!E23)</f>
        <v>8</v>
      </c>
      <c r="F23" t="str">
        <f>IF('Raw Data'!F23="","",'Raw Data'!F23)</f>
        <v>-</v>
      </c>
      <c r="G23" s="7" t="str">
        <f>IF('Raw Data'!G23="/","-",IF('Raw Data'!G23="","-",SUBSTITUTE('Raw Data'!G23," ",":",1)))</f>
        <v>-</v>
      </c>
      <c r="H23" s="7" t="str">
        <f>IF('Raw Data'!H23="/","-",IF('Raw Data'!H23="","-",SUBSTITUTE('Raw Data'!H23," ",":",1)))</f>
        <v>58</v>
      </c>
      <c r="I23" s="7" t="str">
        <f>IF('Raw Data'!I23="/","-",IF('Raw Data'!I23="","-",SUBSTITUTE('Raw Data'!I23," ",":",1)))</f>
        <v>238</v>
      </c>
      <c r="J23" s="12">
        <f>IF('Raw Data'!J23="",IF(LEN(K23)&gt;6,SQRT('Raw Data'!M23^2+N23^2),""),'Raw Data'!J23)</f>
        <v>39.6</v>
      </c>
      <c r="K23" s="7" t="str">
        <f>IF('Raw Data'!K23="","",IF(LEN('Raw Data'!K23)&lt;7,SUBSTITUTE('Raw Data'!K23," ",":",1),'Raw Data'!K23))</f>
        <v>-2:30</v>
      </c>
      <c r="L23" t="str">
        <f>IF('Raw Data'!L23="","",'Raw Data'!L23)</f>
        <v/>
      </c>
      <c r="M23">
        <f>IF('Raw Data'!M23="","",'Raw Data'!M23)</f>
        <v>39.6</v>
      </c>
      <c r="N23">
        <f>IF('Raw Data'!N23="","",IF('Raw Data'!N23="-",0,'Raw Data'!N23))</f>
        <v>-1.9</v>
      </c>
      <c r="O23">
        <f>IF('Raw Data'!O23="",IF('Raw Data'!N23="","",0),'Raw Data'!O23)</f>
        <v>-21</v>
      </c>
      <c r="P23" t="str">
        <f>IF('Raw Data'!P23="","",'Raw Data'!P23)</f>
        <v>S is marked on wall. At 20' there is a muddy chamber overhead.</v>
      </c>
      <c r="Q23" t="str">
        <f t="shared" si="0"/>
        <v xml:space="preserve"> </v>
      </c>
      <c r="R23" s="3" t="str">
        <f t="shared" si="2"/>
        <v>-</v>
      </c>
      <c r="S23" s="3">
        <f t="shared" si="3"/>
        <v>58</v>
      </c>
      <c r="T23" s="3">
        <f t="shared" si="4"/>
        <v>238</v>
      </c>
      <c r="U23" s="3">
        <f t="shared" ref="U23" si="14">IF(ISERROR(FIND(":",K23)),IF(K23="zero",0,1*K23),1*CONCATENATE(LEFT(K23,FIND(":",K23)-1),".",MID(RIGHT(K23,LEN(K23)-FIND(":",K23))/60,3,8)))</f>
        <v>-2.5</v>
      </c>
      <c r="W23" s="4">
        <f t="shared" si="9"/>
        <v>39.562309574641567</v>
      </c>
      <c r="X23" s="4">
        <f t="shared" si="10"/>
        <v>-1.7273277396673057</v>
      </c>
      <c r="Y23" s="3">
        <f t="shared" si="7"/>
        <v>238</v>
      </c>
      <c r="Z23" s="4">
        <f>IF('Raw Data'!O23="","",O22+N22)</f>
        <v>-21</v>
      </c>
    </row>
    <row r="24" spans="1:26" x14ac:dyDescent="0.25">
      <c r="A24" t="str">
        <f>IF('Raw Data'!A24="","",'Raw Data'!A24)</f>
        <v>T</v>
      </c>
      <c r="B24" t="str">
        <f>IF('Raw Data'!B24="","",'Raw Data'!B24)</f>
        <v>U</v>
      </c>
      <c r="C24">
        <f>IF('Raw Data'!C24="","",'Raw Data'!C24)</f>
        <v>2</v>
      </c>
      <c r="D24">
        <f>IF('Raw Data'!D24="","",'Raw Data'!D24)</f>
        <v>2.5</v>
      </c>
      <c r="E24">
        <f>IF('Raw Data'!E24="","",'Raw Data'!E24)</f>
        <v>15</v>
      </c>
      <c r="F24">
        <f>IF('Raw Data'!F24="","",'Raw Data'!F24)</f>
        <v>6</v>
      </c>
      <c r="G24" s="7" t="str">
        <f>IF('Raw Data'!G24="/","-",IF('Raw Data'!G24="","-",SUBSTITUTE('Raw Data'!G24," ",":",1)))</f>
        <v>148</v>
      </c>
      <c r="H24" s="7" t="str">
        <f>IF('Raw Data'!H24="/","-",IF('Raw Data'!H24="","-",SUBSTITUTE('Raw Data'!H24," ",":",1)))</f>
        <v>-</v>
      </c>
      <c r="I24" s="7" t="str">
        <f>IF('Raw Data'!I24="/","-",IF('Raw Data'!I24="","-",SUBSTITUTE('Raw Data'!I24," ",":",1)))</f>
        <v>148</v>
      </c>
      <c r="J24" s="12">
        <f>IF('Raw Data'!J24="",IF(LEN(K24)&gt;6,SQRT('Raw Data'!M24^2+N24^2),""),'Raw Data'!J24)</f>
        <v>49</v>
      </c>
      <c r="K24" s="7" t="str">
        <f>IF('Raw Data'!K24="","",IF(LEN('Raw Data'!K24)&lt;7,SUBSTITUTE('Raw Data'!K24," ",":",1),'Raw Data'!K24))</f>
        <v>fall of 1.7 feet</v>
      </c>
      <c r="L24" t="str">
        <f>IF('Raw Data'!L24="","",'Raw Data'!L24)</f>
        <v/>
      </c>
      <c r="M24">
        <f>IF('Raw Data'!M24="","",'Raw Data'!M24)</f>
        <v>49</v>
      </c>
      <c r="N24">
        <f>IF('Raw Data'!N24="","",IF('Raw Data'!N24="-",0,'Raw Data'!N24))</f>
        <v>-1.7</v>
      </c>
      <c r="O24">
        <f>IF('Raw Data'!O24="",IF('Raw Data'!N24="","",0),'Raw Data'!O24)</f>
        <v>-22.9</v>
      </c>
      <c r="P24" t="str">
        <f>IF('Raw Data'!P24="","",'Raw Data'!P24)</f>
        <v/>
      </c>
      <c r="Q24" t="str">
        <f t="shared" si="0"/>
        <v xml:space="preserve"> </v>
      </c>
      <c r="R24" s="3">
        <f t="shared" si="2"/>
        <v>148</v>
      </c>
      <c r="S24" s="3" t="str">
        <f t="shared" si="3"/>
        <v>-</v>
      </c>
      <c r="T24" s="3">
        <f t="shared" si="4"/>
        <v>148</v>
      </c>
      <c r="U24" s="16">
        <f>ASIN(N24/J24)*180/PI()</f>
        <v>-1.9882117515894562</v>
      </c>
      <c r="W24" s="4">
        <f t="shared" si="9"/>
        <v>48.970501324777146</v>
      </c>
      <c r="X24" s="4">
        <f t="shared" si="10"/>
        <v>-1.7</v>
      </c>
      <c r="Y24" s="3">
        <f t="shared" si="7"/>
        <v>148</v>
      </c>
      <c r="Z24" s="4">
        <f>IF('Raw Data'!O24="","",O23+N23)</f>
        <v>-22.9</v>
      </c>
    </row>
    <row r="25" spans="1:26" x14ac:dyDescent="0.25">
      <c r="A25" t="str">
        <f>IF('Raw Data'!A25="","",'Raw Data'!A25)</f>
        <v>U</v>
      </c>
      <c r="B25" t="str">
        <f>IF('Raw Data'!B25="","",'Raw Data'!B25)</f>
        <v/>
      </c>
      <c r="C25">
        <f>IF('Raw Data'!C25="","",'Raw Data'!C25)</f>
        <v>1.5</v>
      </c>
      <c r="D25">
        <f>IF('Raw Data'!D25="","",'Raw Data'!D25)</f>
        <v>1.5</v>
      </c>
      <c r="E25" t="str">
        <f>IF('Raw Data'!E25="","",'Raw Data'!E25)</f>
        <v/>
      </c>
      <c r="F25" t="str">
        <f>IF('Raw Data'!F25="","",'Raw Data'!F25)</f>
        <v/>
      </c>
      <c r="G25" s="7" t="str">
        <f>IF('Raw Data'!G25="/","-",IF('Raw Data'!G25="","-",SUBSTITUTE('Raw Data'!G25," ",":",1)))</f>
        <v>-</v>
      </c>
      <c r="H25" s="7" t="str">
        <f>IF('Raw Data'!H25="/","-",IF('Raw Data'!H25="","-",SUBSTITUTE('Raw Data'!H25," ",":",1)))</f>
        <v>-</v>
      </c>
      <c r="I25" s="7" t="str">
        <f>IF('Raw Data'!I25="/","-",IF('Raw Data'!I25="","-",SUBSTITUTE('Raw Data'!I25," ",":",1)))</f>
        <v>-</v>
      </c>
      <c r="J25" s="12" t="str">
        <f>IF('Raw Data'!J25="",IF(LEN(K25)&gt;6,SQRT('Raw Data'!M25^2+N25^2),""),'Raw Data'!J25)</f>
        <v/>
      </c>
      <c r="K25" s="7" t="str">
        <f>IF('Raw Data'!K25="","",IF(LEN('Raw Data'!K25)&lt;7,SUBSTITUTE('Raw Data'!K25," ",":",1),'Raw Data'!K25))</f>
        <v/>
      </c>
      <c r="L25" t="str">
        <f>IF('Raw Data'!L25="","",'Raw Data'!L25)</f>
        <v/>
      </c>
      <c r="M25" t="str">
        <f>IF('Raw Data'!M25="","",'Raw Data'!M25)</f>
        <v/>
      </c>
      <c r="N25" t="str">
        <f>IF('Raw Data'!N25="","",IF('Raw Data'!N25="-",0,'Raw Data'!N25))</f>
        <v/>
      </c>
      <c r="O25">
        <f>IF('Raw Data'!O25="",IF('Raw Data'!N25="","",0),'Raw Data'!O25)</f>
        <v>-24.6</v>
      </c>
      <c r="P25" t="str">
        <f>IF('Raw Data'!P25="","",'Raw Data'!P25)</f>
        <v>Beasts (or Pearls? Not clear in scan) seen here.    Total = 650'</v>
      </c>
      <c r="Q25" t="str">
        <f t="shared" si="0"/>
        <v xml:space="preserve"> </v>
      </c>
      <c r="U25" s="19"/>
      <c r="W25" s="4"/>
      <c r="X25" s="4"/>
      <c r="Y25" s="3">
        <f t="shared" si="7"/>
        <v>0</v>
      </c>
      <c r="Z25" s="4">
        <f>IF('Raw Data'!O25="","",O24+N24)</f>
        <v>-24.599999999999998</v>
      </c>
    </row>
    <row r="26" spans="1:26" x14ac:dyDescent="0.25">
      <c r="A26" t="str">
        <f>IF('Raw Data'!A26="","",'Raw Data'!A26)</f>
        <v>A1</v>
      </c>
      <c r="B26" t="str">
        <f>IF('Raw Data'!B26="","",'Raw Data'!B26)</f>
        <v>B1</v>
      </c>
      <c r="C26" t="str">
        <f>IF('Raw Data'!C26="","",'Raw Data'!C26)</f>
        <v>-</v>
      </c>
      <c r="D26">
        <f>IF('Raw Data'!D26="","",'Raw Data'!D26)</f>
        <v>1</v>
      </c>
      <c r="E26">
        <f>IF('Raw Data'!E26="","",'Raw Data'!E26)</f>
        <v>1</v>
      </c>
      <c r="F26">
        <f>IF('Raw Data'!F26="","",'Raw Data'!F26)</f>
        <v>0.5</v>
      </c>
      <c r="G26" s="7" t="str">
        <f>IF('Raw Data'!G26="/","-",IF('Raw Data'!G26="","-",SUBSTITUTE('Raw Data'!G26," ",":",1)))</f>
        <v>-</v>
      </c>
      <c r="H26" s="7" t="str">
        <f>IF('Raw Data'!H26="/","-",IF('Raw Data'!H26="","-",SUBSTITUTE('Raw Data'!H26," ",":",1)))</f>
        <v>326</v>
      </c>
      <c r="I26" s="7" t="str">
        <f>IF('Raw Data'!I26="/","-",IF('Raw Data'!I26="","-",SUBSTITUTE('Raw Data'!I26," ",":",1)))</f>
        <v>146</v>
      </c>
      <c r="J26" s="12">
        <f>IF('Raw Data'!J26="",IF(LEN(K26)&gt;6,SQRT('Raw Data'!M26^2+N26^2),""),'Raw Data'!J26)</f>
        <v>30.4</v>
      </c>
      <c r="K26" s="7" t="str">
        <f>IF('Raw Data'!K26="","",IF(LEN('Raw Data'!K26)&lt;7,SUBSTITUTE('Raw Data'!K26," ",":",1),'Raw Data'!K26))</f>
        <v>level</v>
      </c>
      <c r="L26" t="str">
        <f>IF('Raw Data'!L26="","",'Raw Data'!L26)</f>
        <v/>
      </c>
      <c r="M26">
        <f>IF('Raw Data'!M26="","",'Raw Data'!M26)</f>
        <v>30.4</v>
      </c>
      <c r="N26">
        <f>IF('Raw Data'!N26="","",IF('Raw Data'!N26="-",0,'Raw Data'!N26))</f>
        <v>0</v>
      </c>
      <c r="O26">
        <f>IF('Raw Data'!O26="",IF('Raw Data'!N26="","",0),'Raw Data'!O26)</f>
        <v>0</v>
      </c>
      <c r="P26" t="str">
        <f>IF('Raw Data'!P26="","",'Raw Data'!P26)</f>
        <v>A1 is far end of "Priddy Green" passage. At choke</v>
      </c>
      <c r="Q26" t="str">
        <f t="shared" si="0"/>
        <v xml:space="preserve"> </v>
      </c>
      <c r="R26" s="3" t="str">
        <f t="shared" si="2"/>
        <v>-</v>
      </c>
      <c r="S26" s="3">
        <f t="shared" si="3"/>
        <v>326</v>
      </c>
      <c r="T26" s="3">
        <f t="shared" si="4"/>
        <v>146</v>
      </c>
      <c r="U26" s="16">
        <f>ASIN(N26/J26)*180/PI()</f>
        <v>0</v>
      </c>
      <c r="W26" s="4">
        <f t="shared" si="9"/>
        <v>30.4</v>
      </c>
      <c r="X26" s="4">
        <f t="shared" si="10"/>
        <v>0</v>
      </c>
      <c r="Y26" s="3">
        <f t="shared" si="7"/>
        <v>146</v>
      </c>
      <c r="Z26" s="4" t="str">
        <f>IF('Raw Data'!O26="","",O25+N25)</f>
        <v/>
      </c>
    </row>
    <row r="27" spans="1:26" x14ac:dyDescent="0.25">
      <c r="A27" t="str">
        <f>IF('Raw Data'!A27="","",'Raw Data'!A27)</f>
        <v>B1</v>
      </c>
      <c r="B27" t="str">
        <f>IF('Raw Data'!B27="","",'Raw Data'!B27)</f>
        <v>C1</v>
      </c>
      <c r="C27">
        <f>IF('Raw Data'!C27="","",'Raw Data'!C27)</f>
        <v>4</v>
      </c>
      <c r="D27">
        <f>IF('Raw Data'!D27="","",'Raw Data'!D27)</f>
        <v>1</v>
      </c>
      <c r="E27">
        <f>IF('Raw Data'!E27="","",'Raw Data'!E27)</f>
        <v>10</v>
      </c>
      <c r="F27">
        <f>IF('Raw Data'!F27="","",'Raw Data'!F27)</f>
        <v>2</v>
      </c>
      <c r="G27" s="7" t="str">
        <f>IF('Raw Data'!G27="/","-",IF('Raw Data'!G27="","-",SUBSTITUTE('Raw Data'!G27," ",":",1)))</f>
        <v>248</v>
      </c>
      <c r="H27" s="7" t="str">
        <f>IF('Raw Data'!H27="/","-",IF('Raw Data'!H27="","-",SUBSTITUTE('Raw Data'!H27," ",":",1)))</f>
        <v>-</v>
      </c>
      <c r="I27" s="7" t="str">
        <f>IF('Raw Data'!I27="/","-",IF('Raw Data'!I27="","-",SUBSTITUTE('Raw Data'!I27," ",":",1)))</f>
        <v>248</v>
      </c>
      <c r="J27" s="12">
        <f>IF('Raw Data'!J27="",IF(LEN(K27)&gt;6,SQRT('Raw Data'!M27^2+N27^2),""),'Raw Data'!J27)</f>
        <v>37.5</v>
      </c>
      <c r="K27" s="7" t="str">
        <f>IF('Raw Data'!K27="","",IF(LEN('Raw Data'!K27)&lt;7,SUBSTITUTE('Raw Data'!K27," ",":",1),'Raw Data'!K27))</f>
        <v>-6:00</v>
      </c>
      <c r="L27" t="str">
        <f>IF('Raw Data'!L27="","",'Raw Data'!L27)</f>
        <v/>
      </c>
      <c r="M27">
        <f>IF('Raw Data'!M27="","",'Raw Data'!M27)</f>
        <v>37.299999999999997</v>
      </c>
      <c r="N27">
        <f>IF('Raw Data'!N27="","",IF('Raw Data'!N27="-",0,'Raw Data'!N27))</f>
        <v>-3.9</v>
      </c>
      <c r="O27">
        <f>IF('Raw Data'!O27="",IF('Raw Data'!N27="","",0),'Raw Data'!O27)</f>
        <v>11</v>
      </c>
      <c r="P27" t="str">
        <f>IF('Raw Data'!P27="","",'Raw Data'!P27)</f>
        <v>B1 is ent to P.G. pass, above stalagmite keloid (sp.?)</v>
      </c>
      <c r="Q27" t="str">
        <f t="shared" si="0"/>
        <v xml:space="preserve"> </v>
      </c>
      <c r="R27" s="3">
        <f t="shared" si="2"/>
        <v>248</v>
      </c>
      <c r="S27" s="3" t="str">
        <f t="shared" si="3"/>
        <v>-</v>
      </c>
      <c r="T27" s="3">
        <f t="shared" si="4"/>
        <v>248</v>
      </c>
      <c r="U27" s="3">
        <f t="shared" ref="U27" si="15">IF(ISERROR(FIND(":",K27)),IF(K27="zero",0,1*K27),1*CONCATENATE(LEFT(K27,FIND(":",K27)-1),".",MID(RIGHT(K27,LEN(K27)-FIND(":",K27))/60,3,8)))</f>
        <v>-6</v>
      </c>
      <c r="W27" s="4">
        <f t="shared" si="9"/>
        <v>37.294571076310248</v>
      </c>
      <c r="X27" s="4">
        <f t="shared" si="10"/>
        <v>-3.9198173725370045</v>
      </c>
      <c r="Y27" s="3">
        <f t="shared" si="7"/>
        <v>248</v>
      </c>
      <c r="Z27" s="4">
        <f>IF('Raw Data'!O27="","",O26-N31-N30-N27)</f>
        <v>11</v>
      </c>
    </row>
    <row r="28" spans="1:26" x14ac:dyDescent="0.25">
      <c r="A28" t="str">
        <f>IF('Raw Data'!A28="","",'Raw Data'!A28)</f>
        <v>p. 47-50</v>
      </c>
      <c r="B28" t="str">
        <f>IF('Raw Data'!B28="","",'Raw Data'!B28)</f>
        <v>(=PDF p.51-54)</v>
      </c>
      <c r="C28" t="str">
        <f>IF('Raw Data'!C28="","",'Raw Data'!C28)</f>
        <v/>
      </c>
      <c r="D28" t="str">
        <f>IF('Raw Data'!D28="","",'Raw Data'!D28)</f>
        <v/>
      </c>
      <c r="E28" t="str">
        <f>IF('Raw Data'!E28="","",'Raw Data'!E28)</f>
        <v/>
      </c>
      <c r="F28" t="str">
        <f>IF('Raw Data'!F28="","",'Raw Data'!F28)</f>
        <v/>
      </c>
      <c r="G28" s="7" t="str">
        <f>IF('Raw Data'!G28="/","-",IF('Raw Data'!G28="","-",SUBSTITUTE('Raw Data'!G28," ",":",1)))</f>
        <v>-</v>
      </c>
      <c r="H28" s="7" t="str">
        <f>IF('Raw Data'!H28="/","-",IF('Raw Data'!H28="","-",SUBSTITUTE('Raw Data'!H28," ",":",1)))</f>
        <v>-</v>
      </c>
      <c r="I28" s="7" t="str">
        <f>IF('Raw Data'!I28="/","-",IF('Raw Data'!I28="","-",SUBSTITUTE('Raw Data'!I28," ",":",1)))</f>
        <v>-</v>
      </c>
      <c r="J28" s="12" t="str">
        <f>IF('Raw Data'!J28="",IF(LEN(K28)&gt;6,SQRT('Raw Data'!M28^2+N28^2),""),'Raw Data'!J28)</f>
        <v/>
      </c>
      <c r="K28" s="7" t="str">
        <f>IF('Raw Data'!K28="","",IF(LEN('Raw Data'!K28)&lt;7,SUBSTITUTE('Raw Data'!K28," ",":",1),'Raw Data'!K28))</f>
        <v/>
      </c>
      <c r="L28" t="str">
        <f>IF('Raw Data'!L28="","",'Raw Data'!L28)</f>
        <v/>
      </c>
      <c r="M28" t="str">
        <f>IF('Raw Data'!M28="","",'Raw Data'!M28)</f>
        <v/>
      </c>
      <c r="N28" t="str">
        <f>IF('Raw Data'!N28="","",IF('Raw Data'!N28="-",0,'Raw Data'!N28))</f>
        <v/>
      </c>
      <c r="O28" t="str">
        <f>IF('Raw Data'!O28="",IF('Raw Data'!N28="","",0),'Raw Data'!O28)</f>
        <v/>
      </c>
      <c r="P28" t="str">
        <f>IF('Raw Data'!P28="","",'Raw Data'!P28)</f>
        <v/>
      </c>
      <c r="Q28" t="str">
        <f t="shared" si="0"/>
        <v xml:space="preserve"> </v>
      </c>
      <c r="U28" s="19"/>
      <c r="W28" s="4"/>
      <c r="X28" s="4"/>
      <c r="Y28" s="3"/>
      <c r="Z28" s="4" t="str">
        <f>IF('Raw Data'!O28="","",O27+N27)</f>
        <v/>
      </c>
    </row>
    <row r="29" spans="1:26" x14ac:dyDescent="0.25">
      <c r="A29" t="str">
        <f>IF('Raw Data'!A29="","",'Raw Data'!A29)</f>
        <v>5th August 1951</v>
      </c>
      <c r="B29" t="str">
        <f>IF('Raw Data'!B29="","",'Raw Data'!B29)</f>
        <v>SWILDONS HOLE SURVEY</v>
      </c>
      <c r="C29" t="str">
        <f>IF('Raw Data'!C29="","",'Raw Data'!C29)</f>
        <v/>
      </c>
      <c r="D29" t="str">
        <f>IF('Raw Data'!D29="","",'Raw Data'!D29)</f>
        <v/>
      </c>
      <c r="E29" t="str">
        <f>IF('Raw Data'!E29="","",'Raw Data'!E29)</f>
        <v/>
      </c>
      <c r="F29" t="str">
        <f>IF('Raw Data'!F29="","",'Raw Data'!F29)</f>
        <v/>
      </c>
      <c r="G29" s="7" t="str">
        <f>IF('Raw Data'!G29="/","-",IF('Raw Data'!G29="","-",SUBSTITUTE('Raw Data'!G29," ",":",1)))</f>
        <v>-</v>
      </c>
      <c r="H29" s="7" t="str">
        <f>IF('Raw Data'!H29="/","-",IF('Raw Data'!H29="","-",SUBSTITUTE('Raw Data'!H29," ",":",1)))</f>
        <v>-</v>
      </c>
      <c r="I29" s="7" t="str">
        <f>IF('Raw Data'!I29="/","-",IF('Raw Data'!I29="","-",SUBSTITUTE('Raw Data'!I29," ",":",1)))</f>
        <v>-</v>
      </c>
      <c r="J29" s="12" t="str">
        <f>IF('Raw Data'!J29="",IF(LEN(K29)&gt;6,SQRT('Raw Data'!M29^2+N29^2),""),'Raw Data'!J29)</f>
        <v/>
      </c>
      <c r="K29" s="7" t="str">
        <f>IF('Raw Data'!K29="","",IF(LEN('Raw Data'!K29)&lt;7,SUBSTITUTE('Raw Data'!K29," ",":",1),'Raw Data'!K29))</f>
        <v/>
      </c>
      <c r="L29" t="str">
        <f>IF('Raw Data'!L29="","",'Raw Data'!L29)</f>
        <v/>
      </c>
      <c r="M29" t="str">
        <f>IF('Raw Data'!M29="","",'Raw Data'!M29)</f>
        <v xml:space="preserve"> CONTINUED</v>
      </c>
      <c r="N29" t="str">
        <f>IF('Raw Data'!N29="","",IF('Raw Data'!N29="-",0,'Raw Data'!N29))</f>
        <v/>
      </c>
      <c r="O29" t="str">
        <f>IF('Raw Data'!O29="",IF('Raw Data'!N29="","",0),'Raw Data'!O29)</f>
        <v>Compass bearings magnetic 11(deg)30' W</v>
      </c>
      <c r="P29" t="str">
        <f>IF('Raw Data'!P29="","",'Raw Data'!P29)</f>
        <v/>
      </c>
      <c r="Q29" t="str">
        <f t="shared" si="0"/>
        <v xml:space="preserve"> </v>
      </c>
      <c r="U29" s="19"/>
      <c r="W29" s="4"/>
      <c r="X29" s="4"/>
      <c r="Y29" s="3"/>
      <c r="Z29" s="4"/>
    </row>
    <row r="30" spans="1:26" x14ac:dyDescent="0.25">
      <c r="A30" t="str">
        <f>IF('Raw Data'!A30="","",'Raw Data'!A30)</f>
        <v>C1</v>
      </c>
      <c r="B30" t="str">
        <f>IF('Raw Data'!B30="","",'Raw Data'!B30)</f>
        <v>D1</v>
      </c>
      <c r="C30">
        <f>IF('Raw Data'!C30="","",'Raw Data'!C30)</f>
        <v>5</v>
      </c>
      <c r="D30">
        <f>IF('Raw Data'!D30="","",'Raw Data'!D30)</f>
        <v>6</v>
      </c>
      <c r="E30">
        <f>IF('Raw Data'!E30="","",'Raw Data'!E30)</f>
        <v>15</v>
      </c>
      <c r="F30">
        <f>IF('Raw Data'!F30="","",'Raw Data'!F30)</f>
        <v>4</v>
      </c>
      <c r="G30" s="7" t="str">
        <f>IF('Raw Data'!G30="/","-",IF('Raw Data'!G30="","-",SUBSTITUTE('Raw Data'!G30," ",":",1)))</f>
        <v>-</v>
      </c>
      <c r="H30" s="7" t="str">
        <f>IF('Raw Data'!H30="/","-",IF('Raw Data'!H30="","-",SUBSTITUTE('Raw Data'!H30," ",":",1)))</f>
        <v>85</v>
      </c>
      <c r="I30" s="7" t="str">
        <f>IF('Raw Data'!I30="/","-",IF('Raw Data'!I30="","-",SUBSTITUTE('Raw Data'!I30," ",":",1)))</f>
        <v>265</v>
      </c>
      <c r="J30" s="12">
        <f>IF('Raw Data'!J30="",IF(LEN(K30)&gt;6,SQRT('Raw Data'!M30^2+N30^2),""),'Raw Data'!J30)</f>
        <v>11.8</v>
      </c>
      <c r="K30" s="7" t="str">
        <f>IF('Raw Data'!K30="","",IF(LEN('Raw Data'!K30)&lt;7,SUBSTITUTE('Raw Data'!K30," ",":",1),'Raw Data'!K30))</f>
        <v>-24</v>
      </c>
      <c r="L30" t="str">
        <f>IF('Raw Data'!L30="","",'Raw Data'!L30)</f>
        <v/>
      </c>
      <c r="M30">
        <f>IF('Raw Data'!M30="","",'Raw Data'!M30)</f>
        <v>10.8</v>
      </c>
      <c r="N30">
        <f>IF('Raw Data'!N30="","",IF('Raw Data'!N30="-",0,'Raw Data'!N30))</f>
        <v>-4.8</v>
      </c>
      <c r="O30">
        <f>IF('Raw Data'!O30="",IF('Raw Data'!N30="","",0),'Raw Data'!O30)</f>
        <v>7.1</v>
      </c>
      <c r="P30" t="str">
        <f>IF('Raw Data'!P30="","",'Raw Data'!P30)</f>
        <v>On rocky bank.</v>
      </c>
      <c r="Q30" t="str">
        <f t="shared" si="0"/>
        <v xml:space="preserve"> </v>
      </c>
      <c r="R30" s="3" t="str">
        <f t="shared" ref="R30" si="16">IF(ISERROR(FIND(":",G30)),IF(G30&lt;&gt;"-",1*G30,G30),1*LEFT(G30,FIND(":",G30)-1)+RIGHT(G30,LEN(G30)-FIND(":",G30))/60)</f>
        <v>-</v>
      </c>
      <c r="S30" s="3">
        <f t="shared" ref="S30" si="17">IF(ISERROR(FIND(":",H30)),IF(H30&lt;&gt;"-",1*H30,H30),1*LEFT(H30,FIND(":",H30)-1)+RIGHT(H30,LEN(H30)-FIND(":",H30))/60)</f>
        <v>85</v>
      </c>
      <c r="T30" s="3">
        <f t="shared" ref="T30" si="18">IF(ISERROR(FIND(":",I30)),IF(I30&lt;&gt;"-",1*I30,I30),1*LEFT(I30,FIND(":",I30)-1)+RIGHT(I30,LEN(I30)-FIND(":",I30))/60)</f>
        <v>265</v>
      </c>
      <c r="U30" s="3">
        <f t="shared" ref="U30" si="19">IF(ISERROR(FIND(":",K30)),IF(K30="zero",0,1*K30),1*CONCATENATE(LEFT(K30,FIND(":",K30)-1),".",MID(RIGHT(K30,LEN(K30)-FIND(":",K30))/60,3,8)))</f>
        <v>-24</v>
      </c>
      <c r="W30" s="4">
        <f t="shared" si="9"/>
        <v>10.77983640018269</v>
      </c>
      <c r="X30" s="4">
        <f t="shared" si="10"/>
        <v>-4.7994923882944418</v>
      </c>
      <c r="Y30" s="3">
        <f t="shared" si="7"/>
        <v>265</v>
      </c>
      <c r="Z30" s="4">
        <f>IF('Raw Data'!O30="","",O27+N27)</f>
        <v>7.1</v>
      </c>
    </row>
    <row r="31" spans="1:26" x14ac:dyDescent="0.25">
      <c r="A31" t="str">
        <f>IF('Raw Data'!A31="","",'Raw Data'!A31)</f>
        <v>D1</v>
      </c>
      <c r="B31" t="str">
        <f>IF('Raw Data'!B31="","",'Raw Data'!B31)</f>
        <v>A</v>
      </c>
      <c r="C31">
        <f>IF('Raw Data'!C31="","",'Raw Data'!C31)</f>
        <v>2</v>
      </c>
      <c r="D31">
        <f>IF('Raw Data'!D31="","",'Raw Data'!D31)</f>
        <v>2.2999999999999998</v>
      </c>
      <c r="E31">
        <f>IF('Raw Data'!E31="","",'Raw Data'!E31)</f>
        <v>10</v>
      </c>
      <c r="F31">
        <f>IF('Raw Data'!F31="","",'Raw Data'!F31)</f>
        <v>4</v>
      </c>
      <c r="G31" s="7" t="str">
        <f>IF('Raw Data'!G31="/","-",IF('Raw Data'!G31="","-",SUBSTITUTE('Raw Data'!G31," ",":",1)))</f>
        <v>251</v>
      </c>
      <c r="H31" s="7" t="str">
        <f>IF('Raw Data'!H31="/","-",IF('Raw Data'!H31="","-",SUBSTITUTE('Raw Data'!H31," ",":",1)))</f>
        <v>-</v>
      </c>
      <c r="I31" s="7" t="str">
        <f>IF('Raw Data'!I31="/","-",IF('Raw Data'!I31="","-",SUBSTITUTE('Raw Data'!I31," ",":",1)))</f>
        <v>251</v>
      </c>
      <c r="J31" s="12">
        <f>IF('Raw Data'!J31="",IF(LEN(K31)&gt;6,SQRT('Raw Data'!M31^2+N31^2),""),'Raw Data'!J31)</f>
        <v>36.799999999999997</v>
      </c>
      <c r="K31" s="7" t="str">
        <f>IF('Raw Data'!K31="","",IF(LEN('Raw Data'!K31)&lt;7,SUBSTITUTE('Raw Data'!K31," ",":",1),'Raw Data'!K31))</f>
        <v>water level</v>
      </c>
      <c r="L31" t="str">
        <f>IF('Raw Data'!L31="","",'Raw Data'!L31)</f>
        <v/>
      </c>
      <c r="M31">
        <f>IF('Raw Data'!M31="","",'Raw Data'!M31)</f>
        <v>36.6</v>
      </c>
      <c r="N31">
        <f>IF('Raw Data'!N31="","",IF('Raw Data'!N31="-",0,'Raw Data'!N31))</f>
        <v>-2.2999999999999998</v>
      </c>
      <c r="O31">
        <f>IF('Raw Data'!O31="",IF('Raw Data'!N31="","",0),'Raw Data'!O31)</f>
        <v>2.2999999999999998</v>
      </c>
      <c r="P31" t="str">
        <f>IF('Raw Data'!P31="","",'Raw Data'!P31)</f>
        <v>D1 to near side of Sump I 11.8'. D1 to far side of Sump I 18'. D1 is in pool at stake for cable.</v>
      </c>
      <c r="Q31" t="str">
        <f t="shared" si="0"/>
        <v xml:space="preserve"> </v>
      </c>
      <c r="R31" s="3">
        <f t="shared" ref="R31:R35" si="20">IF(ISERROR(FIND(":",G31)),IF(G31&lt;&gt;"-",1*G31,G31),1*LEFT(G31,FIND(":",G31)-1)+RIGHT(G31,LEN(G31)-FIND(":",G31))/60)</f>
        <v>251</v>
      </c>
      <c r="S31" s="3" t="str">
        <f t="shared" ref="S31:S35" si="21">IF(ISERROR(FIND(":",H31)),IF(H31&lt;&gt;"-",1*H31,H31),1*LEFT(H31,FIND(":",H31)-1)+RIGHT(H31,LEN(H31)-FIND(":",H31))/60)</f>
        <v>-</v>
      </c>
      <c r="T31" s="3">
        <f t="shared" ref="T31:T35" si="22">IF(ISERROR(FIND(":",I31)),IF(I31&lt;&gt;"-",1*I31,I31),1*LEFT(I31,FIND(":",I31)-1)+RIGHT(I31,LEN(I31)-FIND(":",I31))/60)</f>
        <v>251</v>
      </c>
      <c r="U31" s="16">
        <f t="shared" ref="U31:U35" si="23">ASIN(N31/J31)*180/PI()</f>
        <v>-3.5833216984719738</v>
      </c>
      <c r="W31" s="4">
        <f t="shared" si="9"/>
        <v>36.728054672144012</v>
      </c>
      <c r="X31" s="4">
        <f t="shared" si="10"/>
        <v>-2.3000000000000003</v>
      </c>
      <c r="Y31" s="3">
        <f t="shared" si="7"/>
        <v>251</v>
      </c>
      <c r="Z31" s="4">
        <f>IF('Raw Data'!O31="","",O30+N30)</f>
        <v>2.2999999999999998</v>
      </c>
    </row>
    <row r="32" spans="1:26" x14ac:dyDescent="0.25">
      <c r="A32" t="str">
        <f>IF('Raw Data'!A32="","",'Raw Data'!A32)</f>
        <v>U</v>
      </c>
      <c r="B32" t="str">
        <f>IF('Raw Data'!B32="","",'Raw Data'!B32)</f>
        <v>V</v>
      </c>
      <c r="C32">
        <f>IF('Raw Data'!C32="","",'Raw Data'!C32)</f>
        <v>1.5</v>
      </c>
      <c r="D32">
        <f>IF('Raw Data'!D32="","",'Raw Data'!D32)</f>
        <v>1.5</v>
      </c>
      <c r="E32">
        <f>IF('Raw Data'!E32="","",'Raw Data'!E32)</f>
        <v>2.5</v>
      </c>
      <c r="F32">
        <f>IF('Raw Data'!F32="","",'Raw Data'!F32)</f>
        <v>15</v>
      </c>
      <c r="G32" s="7" t="str">
        <f>IF('Raw Data'!G32="/","-",IF('Raw Data'!G32="","-",SUBSTITUTE('Raw Data'!G32," ",":",1)))</f>
        <v>-</v>
      </c>
      <c r="H32" s="7" t="str">
        <f>IF('Raw Data'!H32="/","-",IF('Raw Data'!H32="","-",SUBSTITUTE('Raw Data'!H32," ",":",1)))</f>
        <v>6:30</v>
      </c>
      <c r="I32" s="7" t="str">
        <f>IF('Raw Data'!I32="/","-",IF('Raw Data'!I32="","-",SUBSTITUTE('Raw Data'!I32," ",":",1)))</f>
        <v>186:30</v>
      </c>
      <c r="J32" s="12">
        <f>IF('Raw Data'!J32="",IF(LEN(K32)&gt;6,SQRT('Raw Data'!M32^2+N32^2),""),'Raw Data'!J32)</f>
        <v>29</v>
      </c>
      <c r="K32" s="7" t="str">
        <f>IF('Raw Data'!K32="","",IF(LEN('Raw Data'!K32)&lt;7,SUBSTITUTE('Raw Data'!K32," ",":",1),'Raw Data'!K32))</f>
        <v>water level</v>
      </c>
      <c r="L32" t="str">
        <f>IF('Raw Data'!L32="","",'Raw Data'!L32)</f>
        <v/>
      </c>
      <c r="M32">
        <f>IF('Raw Data'!M32="","",'Raw Data'!M32)</f>
        <v>29</v>
      </c>
      <c r="N32">
        <f>IF('Raw Data'!N32="","",IF('Raw Data'!N32="-",0,'Raw Data'!N32))</f>
        <v>0</v>
      </c>
      <c r="O32">
        <f>IF('Raw Data'!O32="",IF('Raw Data'!N32="","",0),'Raw Data'!O32)</f>
        <v>-24.6</v>
      </c>
      <c r="P32" t="str">
        <f>IF('Raw Data'!P32="","",'Raw Data'!P32)</f>
        <v>Lake begins as 10'. (Little sketch)</v>
      </c>
      <c r="Q32" t="str">
        <f t="shared" si="0"/>
        <v xml:space="preserve"> </v>
      </c>
      <c r="R32" s="3" t="str">
        <f t="shared" si="20"/>
        <v>-</v>
      </c>
      <c r="S32" s="3">
        <f t="shared" si="21"/>
        <v>6.5</v>
      </c>
      <c r="T32" s="3">
        <f t="shared" si="22"/>
        <v>186.5</v>
      </c>
      <c r="U32" s="16">
        <f t="shared" si="23"/>
        <v>0</v>
      </c>
      <c r="W32" s="4">
        <f t="shared" si="9"/>
        <v>29</v>
      </c>
      <c r="X32" s="4">
        <f t="shared" si="10"/>
        <v>0</v>
      </c>
      <c r="Y32" s="3">
        <f t="shared" si="7"/>
        <v>186.5</v>
      </c>
      <c r="Z32" s="4">
        <f>IF('Raw Data'!O32="","",O24+N24)</f>
        <v>-24.599999999999998</v>
      </c>
    </row>
    <row r="33" spans="1:27" x14ac:dyDescent="0.25">
      <c r="A33" t="str">
        <f>IF('Raw Data'!A33="","",'Raw Data'!A33)</f>
        <v>V</v>
      </c>
      <c r="B33" t="str">
        <f>IF('Raw Data'!B33="","",'Raw Data'!B33)</f>
        <v>W</v>
      </c>
      <c r="C33">
        <f>IF('Raw Data'!C33="","",'Raw Data'!C33)</f>
        <v>15</v>
      </c>
      <c r="D33" t="str">
        <f>IF('Raw Data'!D33="","",'Raw Data'!D33)</f>
        <v>-</v>
      </c>
      <c r="E33">
        <f>IF('Raw Data'!E33="","",'Raw Data'!E33)</f>
        <v>2</v>
      </c>
      <c r="F33">
        <f>IF('Raw Data'!F33="","",'Raw Data'!F33)</f>
        <v>4</v>
      </c>
      <c r="G33" s="7" t="str">
        <f>IF('Raw Data'!G33="/","-",IF('Raw Data'!G33="","-",SUBSTITUTE('Raw Data'!G33," ",":",1)))</f>
        <v>141:30</v>
      </c>
      <c r="H33" s="7" t="str">
        <f>IF('Raw Data'!H33="/","-",IF('Raw Data'!H33="","-",SUBSTITUTE('Raw Data'!H33," ",":",1)))</f>
        <v>-</v>
      </c>
      <c r="I33" s="7" t="str">
        <f>IF('Raw Data'!I33="/","-",IF('Raw Data'!I33="","-",SUBSTITUTE('Raw Data'!I33," ",":",1)))</f>
        <v>141:30</v>
      </c>
      <c r="J33" s="12">
        <f>IF('Raw Data'!J33="",IF(LEN(K33)&gt;6,SQRT('Raw Data'!M33^2+N33^2),""),'Raw Data'!J33)</f>
        <v>33.799999999999997</v>
      </c>
      <c r="K33" s="7" t="str">
        <f>IF('Raw Data'!K33="","",IF(LEN('Raw Data'!K33)&lt;7,SUBSTITUTE('Raw Data'!K33," ",":",1),'Raw Data'!K33))</f>
        <v>water level</v>
      </c>
      <c r="L33" t="str">
        <f>IF('Raw Data'!L33="","",'Raw Data'!L33)</f>
        <v/>
      </c>
      <c r="M33">
        <f>IF('Raw Data'!M33="","",'Raw Data'!M33)</f>
        <v>33.799999999999997</v>
      </c>
      <c r="N33">
        <f>IF('Raw Data'!N33="","",IF('Raw Data'!N33="-",0,'Raw Data'!N33))</f>
        <v>0</v>
      </c>
      <c r="O33">
        <f>IF('Raw Data'!O33="",IF('Raw Data'!N33="","",0),'Raw Data'!O33)</f>
        <v>-26.1</v>
      </c>
      <c r="P33" t="str">
        <f>IF('Raw Data'!P33="","",'Raw Data'!P33)</f>
        <v>Lake</v>
      </c>
      <c r="Q33" t="str">
        <f t="shared" si="0"/>
        <v xml:space="preserve"> </v>
      </c>
      <c r="R33" s="3">
        <f t="shared" si="20"/>
        <v>141.5</v>
      </c>
      <c r="S33" s="3" t="str">
        <f t="shared" si="21"/>
        <v>-</v>
      </c>
      <c r="T33" s="3">
        <f t="shared" si="22"/>
        <v>141.5</v>
      </c>
      <c r="U33" s="16">
        <f t="shared" si="23"/>
        <v>0</v>
      </c>
      <c r="W33" s="4">
        <f t="shared" si="9"/>
        <v>33.799999999999997</v>
      </c>
      <c r="X33" s="4">
        <f t="shared" si="10"/>
        <v>0</v>
      </c>
      <c r="Y33" s="3">
        <f t="shared" si="7"/>
        <v>141.5</v>
      </c>
      <c r="Z33" s="4">
        <f>IF('Raw Data'!O33="","",O32+N32)</f>
        <v>-24.6</v>
      </c>
      <c r="AA33" t="s">
        <v>893</v>
      </c>
    </row>
    <row r="34" spans="1:27" x14ac:dyDescent="0.25">
      <c r="A34" t="str">
        <f>IF('Raw Data'!A34="","",'Raw Data'!A34)</f>
        <v>W</v>
      </c>
      <c r="B34" t="str">
        <f>IF('Raw Data'!B34="","",'Raw Data'!B34)</f>
        <v>X</v>
      </c>
      <c r="C34">
        <f>IF('Raw Data'!C34="","",'Raw Data'!C34)</f>
        <v>4</v>
      </c>
      <c r="D34" t="str">
        <f>IF('Raw Data'!D34="","",'Raw Data'!D34)</f>
        <v>-</v>
      </c>
      <c r="E34">
        <f>IF('Raw Data'!E34="","",'Raw Data'!E34)</f>
        <v>0.5</v>
      </c>
      <c r="F34">
        <f>IF('Raw Data'!F34="","",'Raw Data'!F34)</f>
        <v>8</v>
      </c>
      <c r="G34" s="7" t="str">
        <f>IF('Raw Data'!G34="/","-",IF('Raw Data'!G34="","-",SUBSTITUTE('Raw Data'!G34," ",":",1)))</f>
        <v>132:10</v>
      </c>
      <c r="H34" s="7" t="str">
        <f>IF('Raw Data'!H34="/","-",IF('Raw Data'!H34="","-",SUBSTITUTE('Raw Data'!H34," ",":",1)))</f>
        <v>-</v>
      </c>
      <c r="I34" s="7" t="str">
        <f>IF('Raw Data'!I34="/","-",IF('Raw Data'!I34="","-",SUBSTITUTE('Raw Data'!I34," ",":",1)))</f>
        <v>132:10</v>
      </c>
      <c r="J34" s="12">
        <f>IF('Raw Data'!J34="",IF(LEN(K34)&gt;6,SQRT('Raw Data'!M34^2+N34^2),""),'Raw Data'!J34)</f>
        <v>47</v>
      </c>
      <c r="K34" s="7" t="str">
        <f>IF('Raw Data'!K34="","",IF(LEN('Raw Data'!K34)&lt;7,SUBSTITUTE('Raw Data'!K34," ",":",1),'Raw Data'!K34))</f>
        <v>water level</v>
      </c>
      <c r="L34" t="str">
        <f>IF('Raw Data'!L34="","",'Raw Data'!L34)</f>
        <v/>
      </c>
      <c r="M34">
        <f>IF('Raw Data'!M34="","",'Raw Data'!M34)</f>
        <v>47</v>
      </c>
      <c r="N34">
        <f>IF('Raw Data'!N34="","",IF('Raw Data'!N34="-",0,'Raw Data'!N34))</f>
        <v>0</v>
      </c>
      <c r="O34">
        <f>IF('Raw Data'!O34="",IF('Raw Data'!N34="","",0),'Raw Data'!O34)</f>
        <v>-26.1</v>
      </c>
      <c r="P34" t="str">
        <f>IF('Raw Data'!P34="","",'Raw Data'!P34)</f>
        <v>Bearing from 2' to right. W to near side Duck II = 3.5. W to far side Duck II = 20.4</v>
      </c>
      <c r="Q34" t="str">
        <f t="shared" si="0"/>
        <v xml:space="preserve"> </v>
      </c>
      <c r="R34" s="3">
        <f t="shared" si="20"/>
        <v>132.16666666666666</v>
      </c>
      <c r="S34" s="3" t="str">
        <f t="shared" si="21"/>
        <v>-</v>
      </c>
      <c r="T34" s="3">
        <f t="shared" si="22"/>
        <v>132.16666666666666</v>
      </c>
      <c r="U34" s="16">
        <f t="shared" si="23"/>
        <v>0</v>
      </c>
      <c r="W34" s="4">
        <f t="shared" si="9"/>
        <v>47</v>
      </c>
      <c r="X34" s="4">
        <f t="shared" si="10"/>
        <v>0</v>
      </c>
      <c r="Y34" s="3">
        <f t="shared" si="7"/>
        <v>132.16666666666666</v>
      </c>
      <c r="Z34" s="4">
        <f>IF('Raw Data'!O34="","",O33+N33)</f>
        <v>-26.1</v>
      </c>
    </row>
    <row r="35" spans="1:27" x14ac:dyDescent="0.25">
      <c r="A35" t="str">
        <f>IF('Raw Data'!A35="","",'Raw Data'!A35)</f>
        <v>X</v>
      </c>
      <c r="B35" t="str">
        <f>IF('Raw Data'!B35="","",'Raw Data'!B35)</f>
        <v>Y</v>
      </c>
      <c r="C35">
        <f>IF('Raw Data'!C35="","",'Raw Data'!C35)</f>
        <v>12</v>
      </c>
      <c r="D35" t="str">
        <f>IF('Raw Data'!D35="","",'Raw Data'!D35)</f>
        <v>-</v>
      </c>
      <c r="E35">
        <f>IF('Raw Data'!E35="","",'Raw Data'!E35)</f>
        <v>2</v>
      </c>
      <c r="F35">
        <f>IF('Raw Data'!F35="","",'Raw Data'!F35)</f>
        <v>10</v>
      </c>
      <c r="G35" s="7" t="str">
        <f>IF('Raw Data'!G35="/","-",IF('Raw Data'!G35="","-",SUBSTITUTE('Raw Data'!G35," ",":",1)))</f>
        <v>-</v>
      </c>
      <c r="H35" s="7" t="str">
        <f>IF('Raw Data'!H35="/","-",IF('Raw Data'!H35="","-",SUBSTITUTE('Raw Data'!H35," ",":",1)))</f>
        <v>354</v>
      </c>
      <c r="I35" s="7" t="str">
        <f>IF('Raw Data'!I35="/","-",IF('Raw Data'!I35="","-",SUBSTITUTE('Raw Data'!I35," ",":",1)))</f>
        <v>174</v>
      </c>
      <c r="J35" s="12">
        <f>IF('Raw Data'!J35="",IF(LEN(K35)&gt;6,SQRT('Raw Data'!M35^2+N35^2),""),'Raw Data'!J35)</f>
        <v>83.5</v>
      </c>
      <c r="K35" s="7" t="str">
        <f>IF('Raw Data'!K35="","",IF(LEN('Raw Data'!K35)&lt;7,SUBSTITUTE('Raw Data'!K35," ",":",1),'Raw Data'!K35))</f>
        <v>fall 0.7'</v>
      </c>
      <c r="L35" t="str">
        <f>IF('Raw Data'!L35="","",'Raw Data'!L35)</f>
        <v/>
      </c>
      <c r="M35">
        <f>IF('Raw Data'!M35="","",'Raw Data'!M35)</f>
        <v>83.5</v>
      </c>
      <c r="N35">
        <f>IF('Raw Data'!N35="","",IF('Raw Data'!N35="-",0,'Raw Data'!N35))</f>
        <v>-0.7</v>
      </c>
      <c r="O35">
        <f>IF('Raw Data'!O35="",IF('Raw Data'!N35="","",0),'Raw Data'!O35)</f>
        <v>-26.1</v>
      </c>
      <c r="P35" t="str">
        <f>IF('Raw Data'!P35="","",'Raw Data'!P35)</f>
        <v>Y at lip of Sump II, 3" air space goes on 10 more</v>
      </c>
      <c r="Q35" t="str">
        <f t="shared" si="0"/>
        <v xml:space="preserve"> </v>
      </c>
      <c r="R35" s="3" t="str">
        <f t="shared" si="20"/>
        <v>-</v>
      </c>
      <c r="S35" s="3">
        <f t="shared" si="21"/>
        <v>354</v>
      </c>
      <c r="T35" s="3">
        <f t="shared" si="22"/>
        <v>174</v>
      </c>
      <c r="U35" s="16">
        <f t="shared" si="23"/>
        <v>-0.48032952636983861</v>
      </c>
      <c r="W35" s="4">
        <f t="shared" si="9"/>
        <v>83.497065816709991</v>
      </c>
      <c r="X35" s="4">
        <f t="shared" si="10"/>
        <v>-0.7</v>
      </c>
      <c r="Y35" s="3">
        <f t="shared" si="7"/>
        <v>174</v>
      </c>
      <c r="Z35" s="4">
        <f>IF('Raw Data'!O35="","",O34+N34)</f>
        <v>-26.1</v>
      </c>
    </row>
    <row r="36" spans="1:27" x14ac:dyDescent="0.25">
      <c r="A36" t="str">
        <f>IF('Raw Data'!A36="","",'Raw Data'!A36)</f>
        <v>Y</v>
      </c>
      <c r="B36" t="str">
        <f>IF('Raw Data'!B36="","",'Raw Data'!B36)</f>
        <v/>
      </c>
      <c r="C36" t="str">
        <f>IF('Raw Data'!C36="","",'Raw Data'!C36)</f>
        <v>0.4 (12)</v>
      </c>
      <c r="D36" t="str">
        <f>IF('Raw Data'!D36="","",'Raw Data'!D36)</f>
        <v>-</v>
      </c>
      <c r="E36">
        <f>IF('Raw Data'!E36="","",'Raw Data'!E36)</f>
        <v>4</v>
      </c>
      <c r="F36">
        <f>IF('Raw Data'!F36="","",'Raw Data'!F36)</f>
        <v>2</v>
      </c>
      <c r="G36" s="7" t="str">
        <f>IF('Raw Data'!G36="/","-",IF('Raw Data'!G36="","-",SUBSTITUTE('Raw Data'!G36," ",":",1)))</f>
        <v>-</v>
      </c>
      <c r="H36" s="7" t="str">
        <f>IF('Raw Data'!H36="/","-",IF('Raw Data'!H36="","-",SUBSTITUTE('Raw Data'!H36," ",":",1)))</f>
        <v>-</v>
      </c>
      <c r="I36" s="7" t="str">
        <f>IF('Raw Data'!I36="/","-",IF('Raw Data'!I36="","-",SUBSTITUTE('Raw Data'!I36," ",":",1)))</f>
        <v>-</v>
      </c>
      <c r="J36" s="12" t="str">
        <f>IF('Raw Data'!J36="",IF(LEN(K36)&gt;6,SQRT('Raw Data'!M36^2+N36^2),""),'Raw Data'!J36)</f>
        <v/>
      </c>
      <c r="K36" s="7" t="str">
        <f>IF('Raw Data'!K36="","",IF(LEN('Raw Data'!K36)&lt;7,SUBSTITUTE('Raw Data'!K36," ",":",1),'Raw Data'!K36))</f>
        <v/>
      </c>
      <c r="L36" t="str">
        <f>IF('Raw Data'!L36="","",'Raw Data'!L36)</f>
        <v/>
      </c>
      <c r="M36" t="str">
        <f>IF('Raw Data'!M36="","",'Raw Data'!M36)</f>
        <v/>
      </c>
      <c r="N36" t="str">
        <f>IF('Raw Data'!N36="","",IF('Raw Data'!N36="-",0,'Raw Data'!N36))</f>
        <v/>
      </c>
      <c r="O36">
        <f>IF('Raw Data'!O36="",IF('Raw Data'!N36="","",0),'Raw Data'!O36)</f>
        <v>-26.8</v>
      </c>
      <c r="P36" t="str">
        <f>IF('Raw Data'!P36="","",'Raw Data'!P36)</f>
        <v>(Little sketch). Total 1010'</v>
      </c>
      <c r="Q36" t="str">
        <f t="shared" si="0"/>
        <v xml:space="preserve"> </v>
      </c>
      <c r="U36" s="19"/>
      <c r="W36" s="4"/>
      <c r="X36" s="4"/>
      <c r="Y36" s="3"/>
      <c r="Z36" s="4">
        <f>IF('Raw Data'!O36="","",O35+N35)</f>
        <v>-26.8</v>
      </c>
    </row>
    <row r="37" spans="1:27" x14ac:dyDescent="0.25">
      <c r="A37" t="str">
        <f>IF('Raw Data'!A37="","",'Raw Data'!A37)</f>
        <v>T</v>
      </c>
      <c r="B37" t="str">
        <f>IF('Raw Data'!B37="","",'Raw Data'!B37)</f>
        <v>Ri</v>
      </c>
      <c r="C37" t="str">
        <f>IF('Raw Data'!C37="","",'Raw Data'!C37)</f>
        <v>/</v>
      </c>
      <c r="D37" t="str">
        <f>IF('Raw Data'!D37="","",'Raw Data'!D37)</f>
        <v>/</v>
      </c>
      <c r="E37" t="str">
        <f>IF('Raw Data'!E37="","",'Raw Data'!E37)</f>
        <v>/</v>
      </c>
      <c r="F37" t="str">
        <f>IF('Raw Data'!F37="","",'Raw Data'!F37)</f>
        <v>/</v>
      </c>
      <c r="G37" s="7" t="str">
        <f>IF('Raw Data'!G37="/","-",IF('Raw Data'!G37="","-",SUBSTITUTE('Raw Data'!G37," ",":",1)))</f>
        <v>19</v>
      </c>
      <c r="H37" s="7" t="str">
        <f>IF('Raw Data'!H37="/","-",IF('Raw Data'!H37="","-",SUBSTITUTE('Raw Data'!H37," ",":",1)))</f>
        <v>-</v>
      </c>
      <c r="I37" s="7" t="str">
        <f>IF('Raw Data'!I37="/","-",IF('Raw Data'!I37="","-",SUBSTITUTE('Raw Data'!I37," ",":",1)))</f>
        <v>19</v>
      </c>
      <c r="J37" s="12">
        <f>IF('Raw Data'!J37="",IF(LEN(K37)&gt;6,SQRT('Raw Data'!M37^2+N37^2),""),'Raw Data'!J37)</f>
        <v>22.1</v>
      </c>
      <c r="K37" s="7" t="str">
        <f>IF('Raw Data'!K37="","",IF(LEN('Raw Data'!K37)&lt;7,SUBSTITUTE('Raw Data'!K37," ",":",1),'Raw Data'!K37))</f>
        <v>20</v>
      </c>
      <c r="L37" t="str">
        <f>IF('Raw Data'!L37="","",'Raw Data'!L37)</f>
        <v/>
      </c>
      <c r="M37">
        <f>IF('Raw Data'!M37="","",'Raw Data'!M37)</f>
        <v>20.8</v>
      </c>
      <c r="N37">
        <f>IF('Raw Data'!N37="","",IF('Raw Data'!N37="-",0,'Raw Data'!N37))</f>
        <v>7.6</v>
      </c>
      <c r="O37">
        <f>IF('Raw Data'!O37="",IF('Raw Data'!N37="","",0),'Raw Data'!O37)</f>
        <v>-22.9</v>
      </c>
      <c r="P37" t="str">
        <f>IF('Raw Data'!P37="","",'Raw Data'!P37)</f>
        <v/>
      </c>
      <c r="Q37" t="str">
        <f t="shared" si="0"/>
        <v xml:space="preserve"> </v>
      </c>
      <c r="R37" s="3">
        <f t="shared" ref="R37" si="24">IF(ISERROR(FIND(":",G37)),IF(G37&lt;&gt;"-",1*G37,G37),1*LEFT(G37,FIND(":",G37)-1)+RIGHT(G37,LEN(G37)-FIND(":",G37))/60)</f>
        <v>19</v>
      </c>
      <c r="S37" s="3" t="str">
        <f t="shared" ref="S37" si="25">IF(ISERROR(FIND(":",H37)),IF(H37&lt;&gt;"-",1*H37,H37),1*LEFT(H37,FIND(":",H37)-1)+RIGHT(H37,LEN(H37)-FIND(":",H37))/60)</f>
        <v>-</v>
      </c>
      <c r="T37" s="3">
        <f t="shared" ref="T37" si="26">IF(ISERROR(FIND(":",I37)),IF(I37&lt;&gt;"-",1*I37,I37),1*LEFT(I37,FIND(":",I37)-1)+RIGHT(I37,LEN(I37)-FIND(":",I37))/60)</f>
        <v>19</v>
      </c>
      <c r="U37" s="3">
        <f t="shared" ref="U37:U39" si="27">IF(ISERROR(FIND(":",K37)),IF(K37="zero",0,1*K37),1*CONCATENATE(LEFT(K37,FIND(":",K37)-1),".",MID(RIGHT(K37,LEN(K37)-FIND(":",K37))/60,3,8)))</f>
        <v>20</v>
      </c>
      <c r="W37" s="4">
        <f t="shared" si="9"/>
        <v>20.767206919368579</v>
      </c>
      <c r="X37" s="4">
        <f t="shared" si="10"/>
        <v>7.5586451674972794</v>
      </c>
      <c r="Y37" s="3">
        <f t="shared" si="7"/>
        <v>19</v>
      </c>
      <c r="Z37" s="4">
        <f>IF('Raw Data'!O37="","",O23+N23)</f>
        <v>-22.9</v>
      </c>
    </row>
    <row r="38" spans="1:27" x14ac:dyDescent="0.25">
      <c r="A38" t="str">
        <f>IF('Raw Data'!A38="","",'Raw Data'!A38)</f>
        <v>Ri</v>
      </c>
      <c r="B38" t="str">
        <f>IF('Raw Data'!B38="","",'Raw Data'!B38)</f>
        <v>Rii</v>
      </c>
      <c r="C38">
        <f>IF('Raw Data'!C38="","",'Raw Data'!C38)</f>
        <v>1</v>
      </c>
      <c r="D38">
        <f>IF('Raw Data'!D38="","",'Raw Data'!D38)</f>
        <v>0.5</v>
      </c>
      <c r="E38">
        <f>IF('Raw Data'!E38="","",'Raw Data'!E38)</f>
        <v>8</v>
      </c>
      <c r="F38">
        <f>IF('Raw Data'!F38="","",'Raw Data'!F38)</f>
        <v>8</v>
      </c>
      <c r="G38" s="7" t="str">
        <f>IF('Raw Data'!G38="/","-",IF('Raw Data'!G38="","-",SUBSTITUTE('Raw Data'!G38," ",":",1)))</f>
        <v>315</v>
      </c>
      <c r="H38" s="7" t="str">
        <f>IF('Raw Data'!H38="/","-",IF('Raw Data'!H38="","-",SUBSTITUTE('Raw Data'!H38," ",":",1)))</f>
        <v>-</v>
      </c>
      <c r="I38" s="7" t="str">
        <f>IF('Raw Data'!I38="/","-",IF('Raw Data'!I38="","-",SUBSTITUTE('Raw Data'!I38," ",":",1)))</f>
        <v>315</v>
      </c>
      <c r="J38" s="12">
        <f>IF('Raw Data'!J38="",IF(LEN(K38)&gt;6,SQRT('Raw Data'!M38^2+N38^2),""),'Raw Data'!J38)</f>
        <v>46</v>
      </c>
      <c r="K38" s="7" t="str">
        <f>IF('Raw Data'!K38="","",IF(LEN('Raw Data'!K38)&lt;7,SUBSTITUTE('Raw Data'!K38," ",":",1),'Raw Data'!K38))</f>
        <v>-3</v>
      </c>
      <c r="L38" t="str">
        <f>IF('Raw Data'!L38="","",'Raw Data'!L38)</f>
        <v/>
      </c>
      <c r="M38">
        <f>IF('Raw Data'!M38="","",'Raw Data'!M38)</f>
        <v>45.9</v>
      </c>
      <c r="N38">
        <f>IF('Raw Data'!N38="","",IF('Raw Data'!N38="-",0,'Raw Data'!N38))</f>
        <v>-2.4</v>
      </c>
      <c r="O38">
        <f>IF('Raw Data'!O38="",IF('Raw Data'!N38="","",0),'Raw Data'!O38)</f>
        <v>-15.3</v>
      </c>
      <c r="P38" t="str">
        <f>IF('Raw Data'!P38="","",'Raw Data'!P38)</f>
        <v>Sump on left at 41' feet</v>
      </c>
      <c r="Q38" t="str">
        <f t="shared" si="0"/>
        <v xml:space="preserve"> </v>
      </c>
      <c r="R38" s="3">
        <f t="shared" ref="R38:R71" si="28">IF(ISERROR(FIND(":",G38)),IF(G38&lt;&gt;"-",1*G38,G38),1*LEFT(G38,FIND(":",G38)-1)+RIGHT(G38,LEN(G38)-FIND(":",G38))/60)</f>
        <v>315</v>
      </c>
      <c r="S38" s="3" t="str">
        <f t="shared" ref="S38:S71" si="29">IF(ISERROR(FIND(":",H38)),IF(H38&lt;&gt;"-",1*H38,H38),1*LEFT(H38,FIND(":",H38)-1)+RIGHT(H38,LEN(H38)-FIND(":",H38))/60)</f>
        <v>-</v>
      </c>
      <c r="T38" s="3">
        <f t="shared" ref="T38:T71" si="30">IF(ISERROR(FIND(":",I38)),IF(I38&lt;&gt;"-",1*I38,I38),1*LEFT(I38,FIND(":",I38)-1)+RIGHT(I38,LEN(I38)-FIND(":",I38))/60)</f>
        <v>315</v>
      </c>
      <c r="U38" s="3">
        <f t="shared" si="27"/>
        <v>-3</v>
      </c>
      <c r="W38" s="4">
        <f t="shared" si="9"/>
        <v>45.936958598710397</v>
      </c>
      <c r="X38" s="4">
        <f t="shared" si="10"/>
        <v>-2.4074539871754159</v>
      </c>
      <c r="Y38" s="3">
        <f t="shared" si="7"/>
        <v>315</v>
      </c>
      <c r="Z38" s="4">
        <f>IF('Raw Data'!O38="","",O37+N37)</f>
        <v>-15.299999999999999</v>
      </c>
    </row>
    <row r="39" spans="1:27" x14ac:dyDescent="0.25">
      <c r="A39" t="str">
        <f>IF('Raw Data'!A39="","",'Raw Data'!A39)</f>
        <v>Rii</v>
      </c>
      <c r="B39" t="str">
        <f>IF('Raw Data'!B39="","",'Raw Data'!B39)</f>
        <v>Riii</v>
      </c>
      <c r="C39">
        <f>IF('Raw Data'!C39="","",'Raw Data'!C39)</f>
        <v>1</v>
      </c>
      <c r="D39">
        <f>IF('Raw Data'!D39="","",'Raw Data'!D39)</f>
        <v>2</v>
      </c>
      <c r="E39">
        <f>IF('Raw Data'!E39="","",'Raw Data'!E39)</f>
        <v>4</v>
      </c>
      <c r="F39">
        <f>IF('Raw Data'!F39="","",'Raw Data'!F39)</f>
        <v>4</v>
      </c>
      <c r="G39" s="7" t="str">
        <f>IF('Raw Data'!G39="/","-",IF('Raw Data'!G39="","-",SUBSTITUTE('Raw Data'!G39," ",":",1)))</f>
        <v>348</v>
      </c>
      <c r="H39" s="7" t="str">
        <f>IF('Raw Data'!H39="/","-",IF('Raw Data'!H39="","-",SUBSTITUTE('Raw Data'!H39," ",":",1)))</f>
        <v>-</v>
      </c>
      <c r="I39" s="7" t="str">
        <f>IF('Raw Data'!I39="/","-",IF('Raw Data'!I39="","-",SUBSTITUTE('Raw Data'!I39," ",":",1)))</f>
        <v>348</v>
      </c>
      <c r="J39" s="12">
        <f>IF('Raw Data'!J39="",IF(LEN(K39)&gt;6,SQRT('Raw Data'!M39^2+N39^2),""),'Raw Data'!J39)</f>
        <v>32</v>
      </c>
      <c r="K39" s="7" t="str">
        <f>IF('Raw Data'!K39="","",IF(LEN('Raw Data'!K39)&lt;7,SUBSTITUTE('Raw Data'!K39," ",":",1),'Raw Data'!K39))</f>
        <v>2</v>
      </c>
      <c r="L39" t="str">
        <f>IF('Raw Data'!L39="","",'Raw Data'!L39)</f>
        <v/>
      </c>
      <c r="M39">
        <f>IF('Raw Data'!M39="","",'Raw Data'!M39)</f>
        <v>32</v>
      </c>
      <c r="N39">
        <f>IF('Raw Data'!N39="","",IF('Raw Data'!N39="-",0,'Raw Data'!N39))</f>
        <v>1.1000000000000001</v>
      </c>
      <c r="O39">
        <f>IF('Raw Data'!O39="",IF('Raw Data'!N39="","",0),'Raw Data'!O39)</f>
        <v>-17.7</v>
      </c>
      <c r="P39" t="str">
        <f>IF('Raw Data'!P39="","",'Raw Data'!P39)</f>
        <v>Bearing from 3 feet to left</v>
      </c>
      <c r="Q39" t="str">
        <f t="shared" si="0"/>
        <v xml:space="preserve"> </v>
      </c>
      <c r="R39" s="3">
        <f t="shared" si="28"/>
        <v>348</v>
      </c>
      <c r="S39" s="3" t="str">
        <f t="shared" si="29"/>
        <v>-</v>
      </c>
      <c r="T39" s="3">
        <f t="shared" si="30"/>
        <v>348</v>
      </c>
      <c r="U39" s="3">
        <f t="shared" si="27"/>
        <v>2</v>
      </c>
      <c r="W39" s="4">
        <f t="shared" si="9"/>
        <v>31.980506464611064</v>
      </c>
      <c r="X39" s="4">
        <f t="shared" si="10"/>
        <v>1.116783894480031</v>
      </c>
      <c r="Y39" s="3">
        <f t="shared" si="7"/>
        <v>348</v>
      </c>
      <c r="Z39" s="4">
        <f>IF('Raw Data'!O39="","",O38+N38)</f>
        <v>-17.7</v>
      </c>
    </row>
    <row r="40" spans="1:27" x14ac:dyDescent="0.25">
      <c r="A40" t="str">
        <f>IF('Raw Data'!A40="","",'Raw Data'!A40)</f>
        <v>Riii</v>
      </c>
      <c r="B40" t="str">
        <f>IF('Raw Data'!B40="","",'Raw Data'!B40)</f>
        <v>Riv</v>
      </c>
      <c r="C40">
        <f>IF('Raw Data'!C40="","",'Raw Data'!C40)</f>
        <v>2</v>
      </c>
      <c r="D40">
        <f>IF('Raw Data'!D40="","",'Raw Data'!D40)</f>
        <v>1.5</v>
      </c>
      <c r="E40">
        <f>IF('Raw Data'!E40="","",'Raw Data'!E40)</f>
        <v>5</v>
      </c>
      <c r="F40">
        <f>IF('Raw Data'!F40="","",'Raw Data'!F40)</f>
        <v>2</v>
      </c>
      <c r="G40" s="7" t="str">
        <f>IF('Raw Data'!G40="/","-",IF('Raw Data'!G40="","-",SUBSTITUTE('Raw Data'!G40," ",":",1)))</f>
        <v>284</v>
      </c>
      <c r="H40" s="7" t="str">
        <f>IF('Raw Data'!H40="/","-",IF('Raw Data'!H40="","-",SUBSTITUTE('Raw Data'!H40," ",":",1)))</f>
        <v>-</v>
      </c>
      <c r="I40" s="7" t="str">
        <f>IF('Raw Data'!I40="/","-",IF('Raw Data'!I40="","-",SUBSTITUTE('Raw Data'!I40," ",":",1)))</f>
        <v>284</v>
      </c>
      <c r="J40" s="16">
        <f>IF(LEN(K40)&gt;6,SQRT('Raw Data'!M40^2+N40^2),'Raw Data'!J40)</f>
        <v>27.591484193497095</v>
      </c>
      <c r="K40" s="7" t="str">
        <f>IF('Raw Data'!K40="","",IF(LEN('Raw Data'!K40)&lt;7,SUBSTITUTE('Raw Data'!K40," ",":",1),'Raw Data'!K40))</f>
        <v>fall 4 feet</v>
      </c>
      <c r="L40" t="str">
        <f>IF('Raw Data'!L40="","",'Raw Data'!L40)</f>
        <v/>
      </c>
      <c r="M40">
        <f>IF('Raw Data'!M40="","",'Raw Data'!M40)</f>
        <v>27.3</v>
      </c>
      <c r="N40">
        <f>IF('Raw Data'!N40="","",IF('Raw Data'!N40="-",0,'Raw Data'!N40))</f>
        <v>-4</v>
      </c>
      <c r="O40">
        <f>IF('Raw Data'!O40="",IF('Raw Data'!N40="","",0),'Raw Data'!O40)</f>
        <v>-16.600000000000001</v>
      </c>
      <c r="P40" t="str">
        <f>IF('Raw Data'!P40="","",'Raw Data'!P40)</f>
        <v>Bearing from 2' to left. Iv is Muddy Sump. Dp below Sump I is 20.6 feet. Total 1127'</v>
      </c>
      <c r="Q40" t="str">
        <f t="shared" si="0"/>
        <v xml:space="preserve"> </v>
      </c>
      <c r="R40" s="3">
        <f t="shared" si="28"/>
        <v>284</v>
      </c>
      <c r="S40" s="3" t="str">
        <f t="shared" si="29"/>
        <v>-</v>
      </c>
      <c r="T40" s="3">
        <f t="shared" si="30"/>
        <v>284</v>
      </c>
      <c r="U40" s="16">
        <f>ASIN(N40/J40)*180/PI()</f>
        <v>-8.3356732078743381</v>
      </c>
      <c r="W40" s="4">
        <f t="shared" si="9"/>
        <v>27.3</v>
      </c>
      <c r="X40" s="4">
        <f t="shared" si="10"/>
        <v>-4</v>
      </c>
      <c r="Y40" s="3">
        <f t="shared" si="7"/>
        <v>284</v>
      </c>
      <c r="Z40" s="4">
        <f>IF('Raw Data'!O40="","",O39+N39)</f>
        <v>-16.599999999999998</v>
      </c>
    </row>
    <row r="41" spans="1:27" x14ac:dyDescent="0.25">
      <c r="A41" t="str">
        <f>IF('Raw Data'!A41="","",'Raw Data'!A41)</f>
        <v>a</v>
      </c>
      <c r="B41" t="str">
        <f>IF('Raw Data'!B41="","",'Raw Data'!B41)</f>
        <v>b</v>
      </c>
      <c r="C41" t="str">
        <f>IF('Raw Data'!C41="","",'Raw Data'!C41)</f>
        <v>/</v>
      </c>
      <c r="D41">
        <f>IF('Raw Data'!D41="","",'Raw Data'!D41)</f>
        <v>1</v>
      </c>
      <c r="E41">
        <f>IF('Raw Data'!E41="","",'Raw Data'!E41)</f>
        <v>3</v>
      </c>
      <c r="F41" t="str">
        <f>IF('Raw Data'!F41="","",'Raw Data'!F41)</f>
        <v>/</v>
      </c>
      <c r="G41" s="7" t="str">
        <f>IF('Raw Data'!G41="/","-",IF('Raw Data'!G41="","-",SUBSTITUTE('Raw Data'!G41," ",":",1)))</f>
        <v>83</v>
      </c>
      <c r="H41" s="7" t="str">
        <f>IF('Raw Data'!H41="/","-",IF('Raw Data'!H41="","-",SUBSTITUTE('Raw Data'!H41," ",":",1)))</f>
        <v>-</v>
      </c>
      <c r="I41" s="7" t="str">
        <f>IF('Raw Data'!I41="/","-",IF('Raw Data'!I41="","-",SUBSTITUTE('Raw Data'!I41," ",":",1)))</f>
        <v>83</v>
      </c>
      <c r="J41" s="12">
        <f>IF('Raw Data'!J41="",IF(LEN(K41)&gt;6,SQRT('Raw Data'!M41^2+N41^2),""),'Raw Data'!J41)</f>
        <v>43</v>
      </c>
      <c r="K41" s="7" t="str">
        <f>IF('Raw Data'!K41="","",IF(LEN('Raw Data'!K41)&lt;7,SUBSTITUTE('Raw Data'!K41," ",":",1),'Raw Data'!K41))</f>
        <v>15</v>
      </c>
      <c r="L41" t="str">
        <f>IF('Raw Data'!L41="","",'Raw Data'!L41)</f>
        <v/>
      </c>
      <c r="M41">
        <f>IF('Raw Data'!M41="","",'Raw Data'!M41)</f>
        <v>41.5</v>
      </c>
      <c r="N41">
        <f>IF('Raw Data'!N41="","",IF('Raw Data'!N41="-",0,'Raw Data'!N41))</f>
        <v>11.1</v>
      </c>
      <c r="O41">
        <f>IF('Raw Data'!O41="",IF('Raw Data'!N41="","",0),'Raw Data'!O41)</f>
        <v>-4.5999999999999996</v>
      </c>
      <c r="P41" t="str">
        <f>IF('Raw Data'!P41="","",'Raw Data'!P41)</f>
        <v>a is on N.Side of passage just before Creep I -&gt; (sketch)</v>
      </c>
      <c r="Q41" t="str">
        <f t="shared" si="0"/>
        <v xml:space="preserve"> </v>
      </c>
      <c r="R41" s="3">
        <f t="shared" si="28"/>
        <v>83</v>
      </c>
      <c r="S41" s="3" t="str">
        <f t="shared" si="29"/>
        <v>-</v>
      </c>
      <c r="T41" s="3">
        <f t="shared" si="30"/>
        <v>83</v>
      </c>
      <c r="U41" s="3">
        <f t="shared" ref="U41:U43" si="31">IF(ISERROR(FIND(":",K41)),IF(K41="zero",0,1*K41),1*CONCATENATE(LEFT(K41,FIND(":",K41)-1),".",MID(RIGHT(K41,LEN(K41)-FIND(":",K41))/60,3,8)))</f>
        <v>15</v>
      </c>
      <c r="W41" s="4">
        <f t="shared" si="9"/>
        <v>41.534810530429937</v>
      </c>
      <c r="X41" s="4">
        <f t="shared" si="10"/>
        <v>11.129218939408393</v>
      </c>
      <c r="Y41" s="3">
        <f t="shared" si="7"/>
        <v>83</v>
      </c>
      <c r="Z41" s="4">
        <f>IF('Raw Data'!O41="","",O42-N41)</f>
        <v>-4.5999999999999996</v>
      </c>
    </row>
    <row r="42" spans="1:27" x14ac:dyDescent="0.25">
      <c r="A42" t="str">
        <f>IF('Raw Data'!A42="","",'Raw Data'!A42)</f>
        <v>b</v>
      </c>
      <c r="B42" t="str">
        <f>IF('Raw Data'!B42="","",'Raw Data'!B42)</f>
        <v>c</v>
      </c>
      <c r="C42" t="str">
        <f>IF('Raw Data'!C42="","",'Raw Data'!C42)</f>
        <v>/</v>
      </c>
      <c r="D42">
        <f>IF('Raw Data'!D42="","",'Raw Data'!D42)</f>
        <v>2</v>
      </c>
      <c r="E42">
        <f>IF('Raw Data'!E42="","",'Raw Data'!E42)</f>
        <v>5</v>
      </c>
      <c r="F42">
        <f>IF('Raw Data'!F42="","",'Raw Data'!F42)</f>
        <v>7</v>
      </c>
      <c r="G42" s="7" t="str">
        <f>IF('Raw Data'!G42="/","-",IF('Raw Data'!G42="","-",SUBSTITUTE('Raw Data'!G42," ",":",1)))</f>
        <v>6</v>
      </c>
      <c r="H42" s="7" t="str">
        <f>IF('Raw Data'!H42="/","-",IF('Raw Data'!H42="","-",SUBSTITUTE('Raw Data'!H42," ",":",1)))</f>
        <v>-</v>
      </c>
      <c r="I42" s="7" t="str">
        <f>IF('Raw Data'!I42="/","-",IF('Raw Data'!I42="","-",SUBSTITUTE('Raw Data'!I42," ",":",1)))</f>
        <v>6</v>
      </c>
      <c r="J42" s="12">
        <f>IF('Raw Data'!J42="",IF(LEN(K42)&gt;6,SQRT('Raw Data'!M42^2+N42^2),""),'Raw Data'!J42)</f>
        <v>20.7</v>
      </c>
      <c r="K42" s="7" t="str">
        <f>IF('Raw Data'!K42="","",IF(LEN('Raw Data'!K42)&lt;7,SUBSTITUTE('Raw Data'!K42," ",":",1),'Raw Data'!K42))</f>
        <v>8</v>
      </c>
      <c r="L42" t="str">
        <f>IF('Raw Data'!L42="","",'Raw Data'!L42)</f>
        <v/>
      </c>
      <c r="M42">
        <f>IF('Raw Data'!M42="","",'Raw Data'!M42)</f>
        <v>20.5</v>
      </c>
      <c r="N42">
        <f>IF('Raw Data'!N42="","",IF('Raw Data'!N42="-",0,'Raw Data'!N42))</f>
        <v>2.9</v>
      </c>
      <c r="O42">
        <f>IF('Raw Data'!O42="",IF('Raw Data'!N42="","",0),'Raw Data'!O42)</f>
        <v>6.5</v>
      </c>
      <c r="P42" t="str">
        <f>IF('Raw Data'!P42="","",'Raw Data'!P42)</f>
        <v/>
      </c>
      <c r="Q42" t="str">
        <f t="shared" si="0"/>
        <v xml:space="preserve"> </v>
      </c>
      <c r="R42" s="3">
        <f t="shared" si="28"/>
        <v>6</v>
      </c>
      <c r="S42" s="3" t="str">
        <f t="shared" si="29"/>
        <v>-</v>
      </c>
      <c r="T42" s="3">
        <f t="shared" si="30"/>
        <v>6</v>
      </c>
      <c r="U42" s="3">
        <f t="shared" si="31"/>
        <v>8</v>
      </c>
      <c r="W42" s="4">
        <f t="shared" si="9"/>
        <v>20.498549022950506</v>
      </c>
      <c r="X42" s="4">
        <f t="shared" si="10"/>
        <v>2.8808831898733547</v>
      </c>
      <c r="Y42" s="3">
        <f t="shared" si="7"/>
        <v>6</v>
      </c>
      <c r="Z42" s="4">
        <f>IF('Raw Data'!O42="","",O41+N41)</f>
        <v>6.5</v>
      </c>
    </row>
    <row r="43" spans="1:27" x14ac:dyDescent="0.25">
      <c r="A43" t="str">
        <f>IF('Raw Data'!A43="","",'Raw Data'!A43)</f>
        <v>c</v>
      </c>
      <c r="B43" t="str">
        <f>IF('Raw Data'!B43="","",'Raw Data'!B43)</f>
        <v>d</v>
      </c>
      <c r="C43" t="str">
        <f>IF('Raw Data'!C43="","",'Raw Data'!C43)</f>
        <v>/</v>
      </c>
      <c r="D43">
        <f>IF('Raw Data'!D43="","",'Raw Data'!D43)</f>
        <v>1</v>
      </c>
      <c r="E43">
        <f>IF('Raw Data'!E43="","",'Raw Data'!E43)</f>
        <v>2</v>
      </c>
      <c r="F43">
        <f>IF('Raw Data'!F43="","",'Raw Data'!F43)</f>
        <v>3</v>
      </c>
      <c r="G43" s="7" t="str">
        <f>IF('Raw Data'!G43="/","-",IF('Raw Data'!G43="","-",SUBSTITUTE('Raw Data'!G43," ",":",1)))</f>
        <v>42</v>
      </c>
      <c r="H43" s="7" t="str">
        <f>IF('Raw Data'!H43="/","-",IF('Raw Data'!H43="","-",SUBSTITUTE('Raw Data'!H43," ",":",1)))</f>
        <v>-</v>
      </c>
      <c r="I43" s="7" t="str">
        <f>IF('Raw Data'!I43="/","-",IF('Raw Data'!I43="","-",SUBSTITUTE('Raw Data'!I43," ",":",1)))</f>
        <v>42</v>
      </c>
      <c r="J43" s="12">
        <f>IF('Raw Data'!J43="",IF(LEN(K43)&gt;6,SQRT('Raw Data'!M43^2+N43^2),""),'Raw Data'!J43)</f>
        <v>11.3</v>
      </c>
      <c r="K43" s="7" t="str">
        <f>IF('Raw Data'!K43="","",IF(LEN('Raw Data'!K43)&lt;7,SUBSTITUTE('Raw Data'!K43," ",":",1),'Raw Data'!K43))</f>
        <v>10</v>
      </c>
      <c r="L43" t="str">
        <f>IF('Raw Data'!L43="","",'Raw Data'!L43)</f>
        <v/>
      </c>
      <c r="M43">
        <f>IF('Raw Data'!M43="","",'Raw Data'!M43)</f>
        <v>11.1</v>
      </c>
      <c r="N43">
        <f>IF('Raw Data'!N43="","",IF('Raw Data'!N43="-",0,'Raw Data'!N43))</f>
        <v>2</v>
      </c>
      <c r="O43">
        <f>IF('Raw Data'!O43="",IF('Raw Data'!N43="","",0),'Raw Data'!O43)</f>
        <v>9.4</v>
      </c>
      <c r="P43" t="str">
        <f>IF('Raw Data'!P43="","",'Raw Data'!P43)</f>
        <v/>
      </c>
      <c r="Q43" t="str">
        <f t="shared" si="0"/>
        <v xml:space="preserve"> </v>
      </c>
      <c r="R43" s="3">
        <f t="shared" si="28"/>
        <v>42</v>
      </c>
      <c r="S43" s="3" t="str">
        <f t="shared" si="29"/>
        <v>-</v>
      </c>
      <c r="T43" s="3">
        <f t="shared" si="30"/>
        <v>42</v>
      </c>
      <c r="U43" s="3">
        <f t="shared" si="31"/>
        <v>10</v>
      </c>
      <c r="W43" s="4">
        <f t="shared" si="9"/>
        <v>11.128327609037951</v>
      </c>
      <c r="X43" s="4">
        <f t="shared" si="10"/>
        <v>1.9622244076363129</v>
      </c>
      <c r="Y43" s="3">
        <f t="shared" si="7"/>
        <v>42</v>
      </c>
      <c r="Z43" s="4">
        <f>IF('Raw Data'!O43="","",O42+N42)</f>
        <v>9.4</v>
      </c>
    </row>
    <row r="44" spans="1:27" x14ac:dyDescent="0.25">
      <c r="A44" t="str">
        <f>IF('Raw Data'!A44="","",'Raw Data'!A44)</f>
        <v>d</v>
      </c>
      <c r="B44" t="str">
        <f>IF('Raw Data'!B44="","",'Raw Data'!B44)</f>
        <v>e</v>
      </c>
      <c r="C44" t="str">
        <f>IF('Raw Data'!C44="","",'Raw Data'!C44)</f>
        <v>/</v>
      </c>
      <c r="D44">
        <f>IF('Raw Data'!D44="","",'Raw Data'!D44)</f>
        <v>0.5</v>
      </c>
      <c r="E44">
        <f>IF('Raw Data'!E44="","",'Raw Data'!E44)</f>
        <v>1</v>
      </c>
      <c r="F44" t="str">
        <f>IF('Raw Data'!F44="","",'Raw Data'!F44)</f>
        <v>/</v>
      </c>
      <c r="G44" s="7" t="str">
        <f>IF('Raw Data'!G44="/","-",IF('Raw Data'!G44="","-",SUBSTITUTE('Raw Data'!G44," ",":",1)))</f>
        <v>139</v>
      </c>
      <c r="H44" s="7" t="str">
        <f>IF('Raw Data'!H44="/","-",IF('Raw Data'!H44="","-",SUBSTITUTE('Raw Data'!H44," ",":",1)))</f>
        <v>-</v>
      </c>
      <c r="I44" s="7" t="str">
        <f>IF('Raw Data'!I44="/","-",IF('Raw Data'!I44="","-",SUBSTITUTE('Raw Data'!I44," ",":",1)))</f>
        <v>139</v>
      </c>
      <c r="J44" s="12">
        <f>IF('Raw Data'!J44="",IF(LEN(K44)&gt;6,SQRT('Raw Data'!M44^2+N44^2),""),'Raw Data'!J44)</f>
        <v>18.899999999999999</v>
      </c>
      <c r="K44" s="7" t="str">
        <f>IF('Raw Data'!K44="","",IF(LEN('Raw Data'!K44)&lt;7,SUBSTITUTE('Raw Data'!K44," ",":",1),'Raw Data'!K44))</f>
        <v>level</v>
      </c>
      <c r="L44" t="str">
        <f>IF('Raw Data'!L44="","",'Raw Data'!L44)</f>
        <v/>
      </c>
      <c r="M44">
        <f>IF('Raw Data'!M44="","",'Raw Data'!M44)</f>
        <v>18.899999999999999</v>
      </c>
      <c r="N44">
        <f>IF('Raw Data'!N44="","",IF('Raw Data'!N44="-",0,'Raw Data'!N44))</f>
        <v>0</v>
      </c>
      <c r="O44">
        <f>IF('Raw Data'!O44="",IF('Raw Data'!N44="","",0),'Raw Data'!O44)</f>
        <v>11.4</v>
      </c>
      <c r="P44" t="str">
        <f>IF('Raw Data'!P44="","",'Raw Data'!P44)</f>
        <v>(e) is where passage rejoins streamway. Stn 35 (p.52)-(e) is F.S. 234 (TRUE), Dist 18', Clino +45 (deg), HD 12.7, VD +12.7</v>
      </c>
      <c r="Q44" t="str">
        <f t="shared" si="0"/>
        <v xml:space="preserve"> </v>
      </c>
      <c r="R44" s="3">
        <f t="shared" si="28"/>
        <v>139</v>
      </c>
      <c r="S44" s="3" t="str">
        <f t="shared" si="29"/>
        <v>-</v>
      </c>
      <c r="T44" s="3">
        <f t="shared" si="30"/>
        <v>139</v>
      </c>
      <c r="U44" s="16">
        <f>ASIN(N44/J44)*180/PI()</f>
        <v>0</v>
      </c>
      <c r="W44" s="4">
        <f t="shared" si="9"/>
        <v>18.899999999999999</v>
      </c>
      <c r="X44" s="4">
        <f t="shared" si="10"/>
        <v>0</v>
      </c>
      <c r="Y44" s="3">
        <f t="shared" si="7"/>
        <v>139</v>
      </c>
      <c r="Z44" s="4">
        <f>IF('Raw Data'!O44="","",O43+N43)</f>
        <v>11.4</v>
      </c>
    </row>
    <row r="45" spans="1:27" x14ac:dyDescent="0.25">
      <c r="A45" t="str">
        <f>IF('Raw Data'!A45="","",'Raw Data'!A45)</f>
        <v>d</v>
      </c>
      <c r="B45" t="str">
        <f>IF('Raw Data'!B45="","",'Raw Data'!B45)</f>
        <v>f</v>
      </c>
      <c r="C45" t="str">
        <f>IF('Raw Data'!C45="","",'Raw Data'!C45)</f>
        <v>/</v>
      </c>
      <c r="D45" t="str">
        <f>IF('Raw Data'!D45="","",'Raw Data'!D45)</f>
        <v>/</v>
      </c>
      <c r="E45" t="str">
        <f>IF('Raw Data'!E45="","",'Raw Data'!E45)</f>
        <v>/</v>
      </c>
      <c r="F45">
        <f>IF('Raw Data'!F45="","",'Raw Data'!F45)</f>
        <v>6</v>
      </c>
      <c r="G45" s="7" t="str">
        <f>IF('Raw Data'!G45="/","-",IF('Raw Data'!G45="","-",SUBSTITUTE('Raw Data'!G45," ",":",1)))</f>
        <v>245</v>
      </c>
      <c r="H45" s="7" t="str">
        <f>IF('Raw Data'!H45="/","-",IF('Raw Data'!H45="","-",SUBSTITUTE('Raw Data'!H45," ",":",1)))</f>
        <v>-</v>
      </c>
      <c r="I45" s="7" t="str">
        <f>IF('Raw Data'!I45="/","-",IF('Raw Data'!I45="","-",SUBSTITUTE('Raw Data'!I45," ",":",1)))</f>
        <v>245</v>
      </c>
      <c r="J45" s="12">
        <f>IF('Raw Data'!J45="",IF(LEN(K45)&gt;6,SQRT('Raw Data'!M45^2+N45^2),""),'Raw Data'!J45)</f>
        <v>10.3</v>
      </c>
      <c r="K45" s="7" t="str">
        <f>IF('Raw Data'!K45="","",IF(LEN('Raw Data'!K45)&lt;7,SUBSTITUTE('Raw Data'!K45," ",":",1),'Raw Data'!K45))</f>
        <v>60</v>
      </c>
      <c r="L45" t="str">
        <f>IF('Raw Data'!L45="","",'Raw Data'!L45)</f>
        <v/>
      </c>
      <c r="M45">
        <f>IF('Raw Data'!M45="","",'Raw Data'!M45)</f>
        <v>5.0999999999999996</v>
      </c>
      <c r="N45">
        <f>IF('Raw Data'!N45="","",IF('Raw Data'!N45="-",0,'Raw Data'!N45))</f>
        <v>8.9</v>
      </c>
      <c r="O45">
        <f>IF('Raw Data'!O45="",IF('Raw Data'!N45="","",0),'Raw Data'!O45)</f>
        <v>11.4</v>
      </c>
      <c r="P45" t="str">
        <f>IF('Raw Data'!P45="","",'Raw Data'!P45)</f>
        <v/>
      </c>
      <c r="Q45" t="str">
        <f t="shared" si="0"/>
        <v xml:space="preserve"> </v>
      </c>
      <c r="R45" s="3">
        <f t="shared" si="28"/>
        <v>245</v>
      </c>
      <c r="S45" s="3" t="str">
        <f t="shared" si="29"/>
        <v>-</v>
      </c>
      <c r="T45" s="3">
        <f t="shared" si="30"/>
        <v>245</v>
      </c>
      <c r="U45" s="3">
        <f t="shared" ref="U45" si="32">IF(ISERROR(FIND(":",K45)),IF(K45="zero",0,1*K45),1*CONCATENATE(LEFT(K45,FIND(":",K45)-1),".",MID(RIGHT(K45,LEN(K45)-FIND(":",K45))/60,3,8)))</f>
        <v>60</v>
      </c>
      <c r="W45" s="4">
        <f t="shared" si="9"/>
        <v>5.1500000000000012</v>
      </c>
      <c r="X45" s="4">
        <f t="shared" si="10"/>
        <v>8.9200616589797175</v>
      </c>
      <c r="Y45" s="3">
        <f t="shared" si="7"/>
        <v>245</v>
      </c>
      <c r="Z45" s="4">
        <f>IF('Raw Data'!O45="","",O44+N44)</f>
        <v>11.4</v>
      </c>
    </row>
    <row r="46" spans="1:27" x14ac:dyDescent="0.25">
      <c r="A46" t="str">
        <f>IF('Raw Data'!A46="","",'Raw Data'!A46)</f>
        <v>f</v>
      </c>
      <c r="B46" t="str">
        <f>IF('Raw Data'!B46="","",'Raw Data'!B46)</f>
        <v>g</v>
      </c>
      <c r="C46" t="str">
        <f>IF('Raw Data'!C46="","",'Raw Data'!C46)</f>
        <v>/</v>
      </c>
      <c r="D46" t="str">
        <f>IF('Raw Data'!D46="","",'Raw Data'!D46)</f>
        <v>/</v>
      </c>
      <c r="E46">
        <f>IF('Raw Data'!E46="","",'Raw Data'!E46)</f>
        <v>1</v>
      </c>
      <c r="F46">
        <f>IF('Raw Data'!F46="","",'Raw Data'!F46)</f>
        <v>1</v>
      </c>
      <c r="G46" s="7" t="str">
        <f>IF('Raw Data'!G46="/","-",IF('Raw Data'!G46="","-",SUBSTITUTE('Raw Data'!G46," ",":",1)))</f>
        <v>319</v>
      </c>
      <c r="H46" s="7" t="str">
        <f>IF('Raw Data'!H46="/","-",IF('Raw Data'!H46="","-",SUBSTITUTE('Raw Data'!H46," ",":",1)))</f>
        <v>-</v>
      </c>
      <c r="I46" s="7" t="str">
        <f>IF('Raw Data'!I46="/","-",IF('Raw Data'!I46="","-",SUBSTITUTE('Raw Data'!I46," ",":",1)))</f>
        <v>319</v>
      </c>
      <c r="J46" s="12">
        <f>IF('Raw Data'!J46="",IF(LEN(K46)&gt;6,SQRT('Raw Data'!M46^2+N46^2),""),'Raw Data'!J46)</f>
        <v>6.2</v>
      </c>
      <c r="K46" s="7" t="str">
        <f>IF('Raw Data'!K46="","",IF(LEN('Raw Data'!K46)&lt;7,SUBSTITUTE('Raw Data'!K46," ",":",1),'Raw Data'!K46))</f>
        <v>level</v>
      </c>
      <c r="L46" t="str">
        <f>IF('Raw Data'!L46="","",'Raw Data'!L46)</f>
        <v/>
      </c>
      <c r="M46">
        <f>IF('Raw Data'!M46="","",'Raw Data'!M46)</f>
        <v>6.2</v>
      </c>
      <c r="N46">
        <f>IF('Raw Data'!N46="","",IF('Raw Data'!N46="-",0,'Raw Data'!N46))</f>
        <v>0</v>
      </c>
      <c r="O46">
        <f>IF('Raw Data'!O46="",IF('Raw Data'!N46="","",0),'Raw Data'!O46)</f>
        <v>20.3</v>
      </c>
      <c r="P46" t="str">
        <f>IF('Raw Data'!P46="","",'Raw Data'!P46)</f>
        <v/>
      </c>
      <c r="Q46" t="str">
        <f t="shared" si="0"/>
        <v xml:space="preserve"> </v>
      </c>
      <c r="R46" s="3">
        <f t="shared" si="28"/>
        <v>319</v>
      </c>
      <c r="S46" s="3" t="str">
        <f t="shared" si="29"/>
        <v>-</v>
      </c>
      <c r="T46" s="3">
        <f t="shared" si="30"/>
        <v>319</v>
      </c>
      <c r="U46" s="16">
        <f>ASIN(N46/J46)*180/PI()</f>
        <v>0</v>
      </c>
      <c r="W46" s="4">
        <f t="shared" si="9"/>
        <v>6.2</v>
      </c>
      <c r="X46" s="4">
        <f t="shared" si="10"/>
        <v>0</v>
      </c>
      <c r="Y46" s="3">
        <f t="shared" si="7"/>
        <v>319</v>
      </c>
      <c r="Z46" s="4">
        <f>IF('Raw Data'!O46="","",O45+N45)</f>
        <v>20.3</v>
      </c>
    </row>
    <row r="47" spans="1:27" x14ac:dyDescent="0.25">
      <c r="A47" t="str">
        <f>IF('Raw Data'!A47="","",'Raw Data'!A47)</f>
        <v>g</v>
      </c>
      <c r="B47" t="str">
        <f>IF('Raw Data'!B47="","",'Raw Data'!B47)</f>
        <v>h</v>
      </c>
      <c r="C47" t="str">
        <f>IF('Raw Data'!C47="","",'Raw Data'!C47)</f>
        <v>/</v>
      </c>
      <c r="D47" t="str">
        <f>IF('Raw Data'!D47="","",'Raw Data'!D47)</f>
        <v>/</v>
      </c>
      <c r="E47" t="str">
        <f>IF('Raw Data'!E47="","",'Raw Data'!E47)</f>
        <v>/</v>
      </c>
      <c r="F47">
        <f>IF('Raw Data'!F47="","",'Raw Data'!F47)</f>
        <v>2</v>
      </c>
      <c r="G47" s="7" t="str">
        <f>IF('Raw Data'!G47="/","-",IF('Raw Data'!G47="","-",SUBSTITUTE('Raw Data'!G47," ",":",1)))</f>
        <v>237</v>
      </c>
      <c r="H47" s="7" t="str">
        <f>IF('Raw Data'!H47="/","-",IF('Raw Data'!H47="","-",SUBSTITUTE('Raw Data'!H47," ",":",1)))</f>
        <v>-</v>
      </c>
      <c r="I47" s="7" t="str">
        <f>IF('Raw Data'!I47="/","-",IF('Raw Data'!I47="","-",SUBSTITUTE('Raw Data'!I47," ",":",1)))</f>
        <v>237</v>
      </c>
      <c r="J47" s="12">
        <f>IF('Raw Data'!J47="",IF(LEN(K47)&gt;6,SQRT('Raw Data'!M47^2+N47^2),""),'Raw Data'!J47)</f>
        <v>16</v>
      </c>
      <c r="K47" s="7" t="str">
        <f>IF('Raw Data'!K47="","",IF(LEN('Raw Data'!K47)&lt;7,SUBSTITUTE('Raw Data'!K47," ",":",1),'Raw Data'!K47))</f>
        <v>65</v>
      </c>
      <c r="L47" t="str">
        <f>IF('Raw Data'!L47="","",'Raw Data'!L47)</f>
        <v/>
      </c>
      <c r="M47">
        <f>IF('Raw Data'!M47="","",'Raw Data'!M47)</f>
        <v>6.8</v>
      </c>
      <c r="N47">
        <f>IF('Raw Data'!N47="","",IF('Raw Data'!N47="-",0,'Raw Data'!N47))</f>
        <v>14.5</v>
      </c>
      <c r="O47">
        <f>IF('Raw Data'!O47="",IF('Raw Data'!N47="","",0),'Raw Data'!O47)</f>
        <v>20.3</v>
      </c>
      <c r="P47" t="str">
        <f>IF('Raw Data'!P47="","",'Raw Data'!P47)</f>
        <v/>
      </c>
      <c r="Q47" t="str">
        <f t="shared" si="0"/>
        <v xml:space="preserve"> </v>
      </c>
      <c r="R47" s="3">
        <f t="shared" si="28"/>
        <v>237</v>
      </c>
      <c r="S47" s="3" t="str">
        <f t="shared" si="29"/>
        <v>-</v>
      </c>
      <c r="T47" s="3">
        <f t="shared" si="30"/>
        <v>237</v>
      </c>
      <c r="U47" s="3">
        <f t="shared" ref="U47" si="33">IF(ISERROR(FIND(":",K47)),IF(K47="zero",0,1*K47),1*CONCATENATE(LEFT(K47,FIND(":",K47)-1),".",MID(RIGHT(K47,LEN(K47)-FIND(":",K47))/60,3,8)))</f>
        <v>65</v>
      </c>
      <c r="W47" s="4">
        <f t="shared" si="9"/>
        <v>6.7618921878511911</v>
      </c>
      <c r="X47" s="4">
        <f t="shared" si="10"/>
        <v>14.500924592586399</v>
      </c>
      <c r="Y47" s="3">
        <f t="shared" si="7"/>
        <v>237</v>
      </c>
      <c r="Z47" s="4">
        <f>IF('Raw Data'!O47="","",O46+N46)</f>
        <v>20.3</v>
      </c>
    </row>
    <row r="48" spans="1:27" x14ac:dyDescent="0.25">
      <c r="A48" t="str">
        <f>IF('Raw Data'!A48="","",'Raw Data'!A48)</f>
        <v>h</v>
      </c>
      <c r="B48" t="str">
        <f>IF('Raw Data'!B48="","",'Raw Data'!B48)</f>
        <v>i</v>
      </c>
      <c r="C48" t="str">
        <f>IF('Raw Data'!C48="","",'Raw Data'!C48)</f>
        <v>3 (8 in aven)</v>
      </c>
      <c r="D48">
        <f>IF('Raw Data'!D48="","",'Raw Data'!D48)</f>
        <v>1</v>
      </c>
      <c r="E48">
        <f>IF('Raw Data'!E48="","",'Raw Data'!E48)</f>
        <v>1</v>
      </c>
      <c r="F48">
        <f>IF('Raw Data'!F48="","",'Raw Data'!F48)</f>
        <v>1</v>
      </c>
      <c r="G48" s="7" t="str">
        <f>IF('Raw Data'!G48="/","-",IF('Raw Data'!G48="","-",SUBSTITUTE('Raw Data'!G48," ",":",1)))</f>
        <v>329</v>
      </c>
      <c r="H48" s="7" t="str">
        <f>IF('Raw Data'!H48="/","-",IF('Raw Data'!H48="","-",SUBSTITUTE('Raw Data'!H48," ",":",1)))</f>
        <v>-</v>
      </c>
      <c r="I48" s="7" t="str">
        <f>IF('Raw Data'!I48="/","-",IF('Raw Data'!I48="","-",SUBSTITUTE('Raw Data'!I48," ",":",1)))</f>
        <v>329</v>
      </c>
      <c r="J48" s="12">
        <f>IF('Raw Data'!J48="",IF(LEN(K48)&gt;6,SQRT('Raw Data'!M48^2+N48^2),""),'Raw Data'!J48)</f>
        <v>46</v>
      </c>
      <c r="K48" s="7" t="str">
        <f>IF('Raw Data'!K48="","",IF(LEN('Raw Data'!K48)&lt;7,SUBSTITUTE('Raw Data'!K48," ",":",1),'Raw Data'!K48))</f>
        <v>level</v>
      </c>
      <c r="L48" t="str">
        <f>IF('Raw Data'!L48="","",'Raw Data'!L48)</f>
        <v/>
      </c>
      <c r="M48">
        <f>IF('Raw Data'!M48="","",'Raw Data'!M48)</f>
        <v>46</v>
      </c>
      <c r="N48">
        <f>IF('Raw Data'!N48="","",IF('Raw Data'!N48="-",0,'Raw Data'!N48))</f>
        <v>0</v>
      </c>
      <c r="O48">
        <f>IF('Raw Data'!O48="",IF('Raw Data'!N48="","",0),'Raw Data'!O48)</f>
        <v>34.799999999999997</v>
      </c>
      <c r="P48" t="str">
        <f>IF('Raw Data'!P48="","",'Raw Data'!P48)</f>
        <v>(i) is where passage gets too low. (some indistinct numbers follow. Too faint to read on logbook scan). Total 1207' (?)</v>
      </c>
      <c r="Q48" t="str">
        <f t="shared" si="0"/>
        <v xml:space="preserve"> </v>
      </c>
      <c r="R48" s="3">
        <f t="shared" si="28"/>
        <v>329</v>
      </c>
      <c r="S48" s="3" t="str">
        <f t="shared" si="29"/>
        <v>-</v>
      </c>
      <c r="T48" s="3">
        <f t="shared" si="30"/>
        <v>329</v>
      </c>
      <c r="U48" s="16">
        <f>ASIN(N48/J48)*180/PI()</f>
        <v>0</v>
      </c>
      <c r="W48" s="4">
        <f t="shared" si="9"/>
        <v>46</v>
      </c>
      <c r="X48" s="4">
        <f t="shared" si="10"/>
        <v>0</v>
      </c>
      <c r="Y48" s="3">
        <f t="shared" si="7"/>
        <v>329</v>
      </c>
      <c r="Z48" s="4">
        <f>IF('Raw Data'!O48="","",O47+N47)</f>
        <v>34.799999999999997</v>
      </c>
    </row>
    <row r="49" spans="1:27" x14ac:dyDescent="0.25">
      <c r="A49" t="str">
        <f>IF('Raw Data'!A49="","",'Raw Data'!A49)</f>
        <v>M</v>
      </c>
      <c r="B49">
        <f>IF('Raw Data'!B49="","",'Raw Data'!B49)</f>
        <v>1</v>
      </c>
      <c r="C49" t="str">
        <f>IF('Raw Data'!C49="","",'Raw Data'!C49)</f>
        <v>/</v>
      </c>
      <c r="D49" t="str">
        <f>IF('Raw Data'!D49="","",'Raw Data'!D49)</f>
        <v>/</v>
      </c>
      <c r="E49" t="str">
        <f>IF('Raw Data'!E49="","",'Raw Data'!E49)</f>
        <v>/</v>
      </c>
      <c r="F49" t="str">
        <f>IF('Raw Data'!F49="","",'Raw Data'!F49)</f>
        <v>/</v>
      </c>
      <c r="G49" s="7" t="str">
        <f>IF('Raw Data'!G49="/","-",IF('Raw Data'!G49="","-",SUBSTITUTE('Raw Data'!G49," ",":",1)))</f>
        <v>-</v>
      </c>
      <c r="H49" s="7" t="str">
        <f>IF('Raw Data'!H49="/","-",IF('Raw Data'!H49="","-",SUBSTITUTE('Raw Data'!H49," ",":",1)))</f>
        <v>145</v>
      </c>
      <c r="I49" s="7" t="str">
        <f>IF('Raw Data'!I49="/","-",IF('Raw Data'!I49="","-",SUBSTITUTE('Raw Data'!I49," ",":",1)))</f>
        <v>325</v>
      </c>
      <c r="J49" s="12">
        <f>IF('Raw Data'!J49="",IF(LEN(K49)&gt;6,SQRT('Raw Data'!M49^2+N49^2),""),'Raw Data'!J49)</f>
        <v>11.7</v>
      </c>
      <c r="K49" s="7" t="str">
        <f>IF('Raw Data'!K49="","",IF(LEN('Raw Data'!K49)&lt;7,SUBSTITUTE('Raw Data'!K49," ",":",1),'Raw Data'!K49))</f>
        <v>-20</v>
      </c>
      <c r="L49" t="str">
        <f>IF('Raw Data'!L49="","",'Raw Data'!L49)</f>
        <v/>
      </c>
      <c r="M49">
        <f>IF('Raw Data'!M49="","",'Raw Data'!M49)</f>
        <v>10.9</v>
      </c>
      <c r="N49">
        <f>IF('Raw Data'!N49="","",IF('Raw Data'!N49="-",0,'Raw Data'!N49))</f>
        <v>-4</v>
      </c>
      <c r="O49">
        <f>IF('Raw Data'!O49="",IF('Raw Data'!N49="","",0),'Raw Data'!O49)</f>
        <v>-9.9</v>
      </c>
      <c r="P49" t="str">
        <f>IF('Raw Data'!P49="","",'Raw Data'!P49)</f>
        <v/>
      </c>
      <c r="Q49" t="str">
        <f t="shared" si="0"/>
        <v xml:space="preserve"> </v>
      </c>
      <c r="R49" s="3" t="str">
        <f t="shared" si="28"/>
        <v>-</v>
      </c>
      <c r="S49" s="3">
        <f t="shared" si="29"/>
        <v>145</v>
      </c>
      <c r="T49" s="3">
        <f t="shared" si="30"/>
        <v>325</v>
      </c>
      <c r="U49" s="3">
        <f t="shared" ref="U49:U60" si="34">IF(ISERROR(FIND(":",K49)),IF(K49="zero",0,1*K49),1*CONCATENATE(LEFT(K49,FIND(":",K49)-1),".",MID(RIGHT(K49,LEN(K49)-FIND(":",K49))/60,3,8)))</f>
        <v>-20</v>
      </c>
      <c r="W49" s="4">
        <f t="shared" si="9"/>
        <v>10.994403663195127</v>
      </c>
      <c r="X49" s="4">
        <f t="shared" si="10"/>
        <v>-4.0016356769103236</v>
      </c>
      <c r="Y49" s="3">
        <f t="shared" si="7"/>
        <v>325</v>
      </c>
      <c r="Z49" s="4">
        <f>IF('Raw Data'!O49="","",O15+N49)</f>
        <v>-9.5</v>
      </c>
    </row>
    <row r="50" spans="1:27" x14ac:dyDescent="0.25">
      <c r="A50">
        <f>IF('Raw Data'!A50="","",'Raw Data'!A50)</f>
        <v>1</v>
      </c>
      <c r="B50">
        <f>IF('Raw Data'!B50="","",'Raw Data'!B50)</f>
        <v>2</v>
      </c>
      <c r="C50" t="str">
        <f>IF('Raw Data'!C50="","",'Raw Data'!C50)</f>
        <v>/</v>
      </c>
      <c r="D50">
        <f>IF('Raw Data'!D50="","",'Raw Data'!D50)</f>
        <v>2.5</v>
      </c>
      <c r="E50" t="str">
        <f>IF('Raw Data'!E50="","",'Raw Data'!E50)</f>
        <v>/</v>
      </c>
      <c r="F50" t="str">
        <f>IF('Raw Data'!F50="","",'Raw Data'!F50)</f>
        <v>/</v>
      </c>
      <c r="G50" s="7" t="str">
        <f>IF('Raw Data'!G50="/","-",IF('Raw Data'!G50="","-",SUBSTITUTE('Raw Data'!G50," ",":",1)))</f>
        <v>35</v>
      </c>
      <c r="H50" s="7" t="str">
        <f>IF('Raw Data'!H50="/","-",IF('Raw Data'!H50="","-",SUBSTITUTE('Raw Data'!H50," ",":",1)))</f>
        <v>-</v>
      </c>
      <c r="I50" s="7" t="str">
        <f>IF('Raw Data'!I50="/","-",IF('Raw Data'!I50="","-",SUBSTITUTE('Raw Data'!I50," ",":",1)))</f>
        <v>35</v>
      </c>
      <c r="J50" s="12">
        <f>IF('Raw Data'!J50="",IF(LEN(K50)&gt;6,SQRT('Raw Data'!M50^2+N50^2),""),'Raw Data'!J50)</f>
        <v>28.5</v>
      </c>
      <c r="K50" s="7" t="str">
        <f>IF('Raw Data'!K50="","",IF(LEN('Raw Data'!K50)&lt;7,SUBSTITUTE('Raw Data'!K50," ",":",1),'Raw Data'!K50))</f>
        <v>85</v>
      </c>
      <c r="L50" t="str">
        <f>IF('Raw Data'!L50="","",'Raw Data'!L50)</f>
        <v/>
      </c>
      <c r="M50">
        <f>IF('Raw Data'!M50="","",'Raw Data'!M50)</f>
        <v>2.5</v>
      </c>
      <c r="N50">
        <f>IF('Raw Data'!N50="","",IF('Raw Data'!N50="-",0,'Raw Data'!N50))</f>
        <v>28.4</v>
      </c>
      <c r="O50">
        <f>IF('Raw Data'!O50="",IF('Raw Data'!N50="","",0),'Raw Data'!O50)</f>
        <v>-13.9</v>
      </c>
      <c r="P50" t="str">
        <f>IF('Raw Data'!P50="","",'Raw Data'!P50)</f>
        <v/>
      </c>
      <c r="Q50" t="str">
        <f t="shared" si="0"/>
        <v xml:space="preserve"> </v>
      </c>
      <c r="R50" s="3">
        <f t="shared" si="28"/>
        <v>35</v>
      </c>
      <c r="S50" s="3" t="str">
        <f t="shared" si="29"/>
        <v>-</v>
      </c>
      <c r="T50" s="3">
        <f t="shared" si="30"/>
        <v>35</v>
      </c>
      <c r="U50" s="3">
        <f t="shared" si="34"/>
        <v>85</v>
      </c>
      <c r="W50" s="4">
        <f t="shared" si="9"/>
        <v>2.4839386683082569</v>
      </c>
      <c r="X50" s="4">
        <f t="shared" si="10"/>
        <v>28.391548895614747</v>
      </c>
      <c r="Y50" s="3">
        <f t="shared" si="7"/>
        <v>35</v>
      </c>
      <c r="Z50" s="4">
        <f>IF('Raw Data'!O50="","",O49+N49)</f>
        <v>-13.9</v>
      </c>
    </row>
    <row r="51" spans="1:27" x14ac:dyDescent="0.25">
      <c r="A51">
        <f>IF('Raw Data'!A51="","",'Raw Data'!A51)</f>
        <v>2</v>
      </c>
      <c r="B51">
        <f>IF('Raw Data'!B51="","",'Raw Data'!B51)</f>
        <v>3</v>
      </c>
      <c r="C51">
        <f>IF('Raw Data'!C51="","",'Raw Data'!C51)</f>
        <v>4</v>
      </c>
      <c r="D51" t="str">
        <f>IF('Raw Data'!D51="","",'Raw Data'!D51)</f>
        <v>-</v>
      </c>
      <c r="E51">
        <f>IF('Raw Data'!E51="","",'Raw Data'!E51)</f>
        <v>2</v>
      </c>
      <c r="F51">
        <f>IF('Raw Data'!F51="","",'Raw Data'!F51)</f>
        <v>2</v>
      </c>
      <c r="G51" s="7" t="str">
        <f>IF('Raw Data'!G51="/","-",IF('Raw Data'!G51="","-",SUBSTITUTE('Raw Data'!G51," ",":",1)))</f>
        <v>-</v>
      </c>
      <c r="H51" s="7" t="str">
        <f>IF('Raw Data'!H51="/","-",IF('Raw Data'!H51="","-",SUBSTITUTE('Raw Data'!H51," ",":",1)))</f>
        <v>230</v>
      </c>
      <c r="I51" s="7" t="str">
        <f>IF('Raw Data'!I51="/","-",IF('Raw Data'!I51="","-",SUBSTITUTE('Raw Data'!I51," ",":",1)))</f>
        <v>50</v>
      </c>
      <c r="J51" s="12">
        <f>IF('Raw Data'!J51="",IF(LEN(K51)&gt;6,SQRT('Raw Data'!M51^2+N51^2),""),'Raw Data'!J51)</f>
        <v>19.899999999999999</v>
      </c>
      <c r="K51" s="7" t="str">
        <f>IF('Raw Data'!K51="","",IF(LEN('Raw Data'!K51)&lt;7,SUBSTITUTE('Raw Data'!K51," ",":",1),'Raw Data'!K51))</f>
        <v>16</v>
      </c>
      <c r="L51" t="str">
        <f>IF('Raw Data'!L51="","",'Raw Data'!L51)</f>
        <v/>
      </c>
      <c r="M51">
        <f>IF('Raw Data'!M51="","",'Raw Data'!M51)</f>
        <v>19.100000000000001</v>
      </c>
      <c r="N51">
        <f>IF('Raw Data'!N51="","",IF('Raw Data'!N51="-",0,'Raw Data'!N51))</f>
        <v>5.5</v>
      </c>
      <c r="O51" t="str">
        <f>IF('Raw Data'!O51="",IF('Raw Data'!N51="","",0),'Raw Data'!O51)</f>
        <v>+</v>
      </c>
      <c r="P51" t="str">
        <f>IF('Raw Data'!P51="","",'Raw Data'!P51)</f>
        <v>2 is on lip of Approach passage. Little passage starts 15 back.</v>
      </c>
      <c r="Q51" t="str">
        <f t="shared" si="0"/>
        <v xml:space="preserve"> </v>
      </c>
      <c r="R51" s="3" t="str">
        <f t="shared" si="28"/>
        <v>-</v>
      </c>
      <c r="S51" s="3">
        <f t="shared" si="29"/>
        <v>230</v>
      </c>
      <c r="T51" s="3">
        <f t="shared" si="30"/>
        <v>50</v>
      </c>
      <c r="U51" s="3">
        <f t="shared" si="34"/>
        <v>16</v>
      </c>
      <c r="W51" s="4">
        <f t="shared" si="9"/>
        <v>19.129107749172544</v>
      </c>
      <c r="X51" s="4">
        <f t="shared" si="10"/>
        <v>5.4851833807582828</v>
      </c>
      <c r="Y51" s="3">
        <f t="shared" si="7"/>
        <v>50</v>
      </c>
      <c r="Z51" s="4">
        <f>IF('Raw Data'!O51="","",O50+N50)</f>
        <v>14.499999999999998</v>
      </c>
    </row>
    <row r="52" spans="1:27" x14ac:dyDescent="0.25">
      <c r="A52">
        <f>IF('Raw Data'!A52="","",'Raw Data'!A52)</f>
        <v>3</v>
      </c>
      <c r="B52">
        <f>IF('Raw Data'!B52="","",'Raw Data'!B52)</f>
        <v>4</v>
      </c>
      <c r="C52">
        <f>IF('Raw Data'!C52="","",'Raw Data'!C52)</f>
        <v>2</v>
      </c>
      <c r="D52">
        <f>IF('Raw Data'!D52="","",'Raw Data'!D52)</f>
        <v>1</v>
      </c>
      <c r="E52">
        <f>IF('Raw Data'!E52="","",'Raw Data'!E52)</f>
        <v>2</v>
      </c>
      <c r="F52">
        <f>IF('Raw Data'!F52="","",'Raw Data'!F52)</f>
        <v>2</v>
      </c>
      <c r="G52" s="7" t="str">
        <f>IF('Raw Data'!G52="/","-",IF('Raw Data'!G52="","-",SUBSTITUTE('Raw Data'!G52," ",":",1)))</f>
        <v>122</v>
      </c>
      <c r="H52" s="7" t="str">
        <f>IF('Raw Data'!H52="/","-",IF('Raw Data'!H52="","-",SUBSTITUTE('Raw Data'!H52," ",":",1)))</f>
        <v>-</v>
      </c>
      <c r="I52" s="7" t="str">
        <f>IF('Raw Data'!I52="/","-",IF('Raw Data'!I52="","-",SUBSTITUTE('Raw Data'!I52," ",":",1)))</f>
        <v>122</v>
      </c>
      <c r="J52" s="12">
        <f>IF('Raw Data'!J52="",IF(LEN(K52)&gt;6,SQRT('Raw Data'!M52^2+N52^2),""),'Raw Data'!J52)</f>
        <v>16</v>
      </c>
      <c r="K52" s="7" t="str">
        <f>IF('Raw Data'!K52="","",IF(LEN('Raw Data'!K52)&lt;7,SUBSTITUTE('Raw Data'!K52," ",":",1),'Raw Data'!K52))</f>
        <v>7</v>
      </c>
      <c r="L52" t="str">
        <f>IF('Raw Data'!L52="","",'Raw Data'!L52)</f>
        <v/>
      </c>
      <c r="M52">
        <f>IF('Raw Data'!M52="","",'Raw Data'!M52)</f>
        <v>15.9</v>
      </c>
      <c r="N52">
        <f>IF('Raw Data'!N52="","",IF('Raw Data'!N52="-",0,'Raw Data'!N52))</f>
        <v>1.9</v>
      </c>
      <c r="O52">
        <f>IF('Raw Data'!O52="",IF('Raw Data'!N52="","",0),'Raw Data'!O52)</f>
        <v>22</v>
      </c>
      <c r="P52" t="str">
        <f>IF('Raw Data'!P52="","",'Raw Data'!P52)</f>
        <v>3 - 12 Trench up to 2 feet deep in floor of this passage</v>
      </c>
      <c r="Q52" t="str">
        <f t="shared" si="0"/>
        <v xml:space="preserve"> </v>
      </c>
      <c r="R52" s="3">
        <f t="shared" si="28"/>
        <v>122</v>
      </c>
      <c r="S52" s="3" t="str">
        <f t="shared" si="29"/>
        <v>-</v>
      </c>
      <c r="T52" s="3">
        <f t="shared" si="30"/>
        <v>122</v>
      </c>
      <c r="U52" s="3">
        <f t="shared" si="34"/>
        <v>7</v>
      </c>
      <c r="W52" s="4">
        <f t="shared" si="9"/>
        <v>15.880738426261152</v>
      </c>
      <c r="X52" s="4">
        <f t="shared" si="10"/>
        <v>1.9499094944823596</v>
      </c>
      <c r="Y52" s="3">
        <f t="shared" si="7"/>
        <v>122</v>
      </c>
      <c r="Z52" s="4">
        <f>IF('Raw Data'!O52="","",Z51+N51)</f>
        <v>20</v>
      </c>
      <c r="AA52" t="s">
        <v>894</v>
      </c>
    </row>
    <row r="53" spans="1:27" x14ac:dyDescent="0.25">
      <c r="A53">
        <f>IF('Raw Data'!A53="","",'Raw Data'!A53)</f>
        <v>4</v>
      </c>
      <c r="B53">
        <f>IF('Raw Data'!B53="","",'Raw Data'!B53)</f>
        <v>5</v>
      </c>
      <c r="C53">
        <f>IF('Raw Data'!C53="","",'Raw Data'!C53)</f>
        <v>2</v>
      </c>
      <c r="D53">
        <f>IF('Raw Data'!D53="","",'Raw Data'!D53)</f>
        <v>1</v>
      </c>
      <c r="E53">
        <f>IF('Raw Data'!E53="","",'Raw Data'!E53)</f>
        <v>2</v>
      </c>
      <c r="F53">
        <f>IF('Raw Data'!F53="","",'Raw Data'!F53)</f>
        <v>4</v>
      </c>
      <c r="G53" s="7" t="str">
        <f>IF('Raw Data'!G53="/","-",IF('Raw Data'!G53="","-",SUBSTITUTE('Raw Data'!G53," ",":",1)))</f>
        <v>59</v>
      </c>
      <c r="H53" s="7" t="str">
        <f>IF('Raw Data'!H53="/","-",IF('Raw Data'!H53="","-",SUBSTITUTE('Raw Data'!H53," ",":",1)))</f>
        <v>-</v>
      </c>
      <c r="I53" s="7" t="str">
        <f>IF('Raw Data'!I53="/","-",IF('Raw Data'!I53="","-",SUBSTITUTE('Raw Data'!I53," ",":",1)))</f>
        <v>59</v>
      </c>
      <c r="J53" s="12">
        <f>IF('Raw Data'!J53="",IF(LEN(K53)&gt;6,SQRT('Raw Data'!M53^2+N53^2),""),'Raw Data'!J53)</f>
        <v>18</v>
      </c>
      <c r="K53" s="7" t="str">
        <f>IF('Raw Data'!K53="","",IF(LEN('Raw Data'!K53)&lt;7,SUBSTITUTE('Raw Data'!K53," ",":",1),'Raw Data'!K53))</f>
        <v>15</v>
      </c>
      <c r="L53" t="str">
        <f>IF('Raw Data'!L53="","",'Raw Data'!L53)</f>
        <v/>
      </c>
      <c r="M53">
        <f>IF('Raw Data'!M53="","",'Raw Data'!M53)</f>
        <v>17.399999999999999</v>
      </c>
      <c r="N53">
        <f>IF('Raw Data'!N53="","",IF('Raw Data'!N53="-",0,'Raw Data'!N53))</f>
        <v>4.7</v>
      </c>
      <c r="O53">
        <f>IF('Raw Data'!O53="",IF('Raw Data'!N53="","",0),'Raw Data'!O53)</f>
        <v>26.9</v>
      </c>
      <c r="P53" t="str">
        <f>IF('Raw Data'!P53="","",'Raw Data'!P53)</f>
        <v>Little passage off to South from 4</v>
      </c>
      <c r="Q53" t="str">
        <f t="shared" si="0"/>
        <v xml:space="preserve"> </v>
      </c>
      <c r="R53" s="3">
        <f t="shared" si="28"/>
        <v>59</v>
      </c>
      <c r="S53" s="3" t="str">
        <f t="shared" si="29"/>
        <v>-</v>
      </c>
      <c r="T53" s="3">
        <f t="shared" si="30"/>
        <v>59</v>
      </c>
      <c r="U53" s="3">
        <f t="shared" si="34"/>
        <v>15</v>
      </c>
      <c r="W53" s="4">
        <f t="shared" si="9"/>
        <v>17.38666487320323</v>
      </c>
      <c r="X53" s="4">
        <f t="shared" si="10"/>
        <v>4.6587428118453733</v>
      </c>
      <c r="Y53" s="3">
        <f t="shared" si="7"/>
        <v>59</v>
      </c>
      <c r="Z53" s="4">
        <f>IF('Raw Data'!O53="","",Z52+N52)</f>
        <v>21.9</v>
      </c>
    </row>
    <row r="54" spans="1:27" x14ac:dyDescent="0.25">
      <c r="A54">
        <f>IF('Raw Data'!A54="","",'Raw Data'!A54)</f>
        <v>5</v>
      </c>
      <c r="B54">
        <f>IF('Raw Data'!B54="","",'Raw Data'!B54)</f>
        <v>6</v>
      </c>
      <c r="C54" t="str">
        <f>IF('Raw Data'!C54="","",'Raw Data'!C54)</f>
        <v>/</v>
      </c>
      <c r="D54">
        <f>IF('Raw Data'!D54="","",'Raw Data'!D54)</f>
        <v>1</v>
      </c>
      <c r="E54" t="str">
        <f>IF('Raw Data'!E54="","",'Raw Data'!E54)</f>
        <v>/</v>
      </c>
      <c r="F54" t="str">
        <f>IF('Raw Data'!F54="","",'Raw Data'!F54)</f>
        <v>/</v>
      </c>
      <c r="G54" s="7" t="str">
        <f>IF('Raw Data'!G54="/","-",IF('Raw Data'!G54="","-",SUBSTITUTE('Raw Data'!G54," ",":",1)))</f>
        <v>17</v>
      </c>
      <c r="H54" s="7" t="str">
        <f>IF('Raw Data'!H54="/","-",IF('Raw Data'!H54="","-",SUBSTITUTE('Raw Data'!H54," ",":",1)))</f>
        <v>-</v>
      </c>
      <c r="I54" s="7" t="str">
        <f>IF('Raw Data'!I54="/","-",IF('Raw Data'!I54="","-",SUBSTITUTE('Raw Data'!I54," ",":",1)))</f>
        <v>17</v>
      </c>
      <c r="J54" s="12">
        <f>IF('Raw Data'!J54="",IF(LEN(K54)&gt;6,SQRT('Raw Data'!M54^2+N54^2),""),'Raw Data'!J54)</f>
        <v>9.5</v>
      </c>
      <c r="K54" s="7" t="str">
        <f>IF('Raw Data'!K54="","",IF(LEN('Raw Data'!K54)&lt;7,SUBSTITUTE('Raw Data'!K54," ",":",1),'Raw Data'!K54))</f>
        <v>10</v>
      </c>
      <c r="L54" t="str">
        <f>IF('Raw Data'!L54="","",'Raw Data'!L54)</f>
        <v/>
      </c>
      <c r="M54">
        <f>IF('Raw Data'!M54="","",'Raw Data'!M54)</f>
        <v>9.4</v>
      </c>
      <c r="N54">
        <f>IF('Raw Data'!N54="","",IF('Raw Data'!N54="-",0,'Raw Data'!N54))</f>
        <v>1.6</v>
      </c>
      <c r="O54">
        <f>IF('Raw Data'!O54="",IF('Raw Data'!N54="","",0),'Raw Data'!O54)</f>
        <v>33.6</v>
      </c>
      <c r="P54" t="str">
        <f>IF('Raw Data'!P54="","",'Raw Data'!P54)</f>
        <v/>
      </c>
      <c r="Q54" t="str">
        <f t="shared" si="0"/>
        <v xml:space="preserve"> </v>
      </c>
      <c r="R54" s="3">
        <f t="shared" si="28"/>
        <v>17</v>
      </c>
      <c r="S54" s="3" t="str">
        <f t="shared" si="29"/>
        <v>-</v>
      </c>
      <c r="T54" s="3">
        <f t="shared" si="30"/>
        <v>17</v>
      </c>
      <c r="U54" s="3">
        <f t="shared" si="34"/>
        <v>10</v>
      </c>
      <c r="W54" s="4">
        <f t="shared" si="9"/>
        <v>9.3556736536159768</v>
      </c>
      <c r="X54" s="4">
        <f t="shared" si="10"/>
        <v>1.6496576878358382</v>
      </c>
      <c r="Y54" s="3">
        <f t="shared" si="7"/>
        <v>17</v>
      </c>
      <c r="Z54" s="4">
        <f>IF('Raw Data'!O54="","",O53+N53)</f>
        <v>31.599999999999998</v>
      </c>
    </row>
    <row r="55" spans="1:27" x14ac:dyDescent="0.25">
      <c r="A55">
        <f>IF('Raw Data'!A55="","",'Raw Data'!A55)</f>
        <v>6</v>
      </c>
      <c r="B55">
        <f>IF('Raw Data'!B55="","",'Raw Data'!B55)</f>
        <v>7</v>
      </c>
      <c r="C55">
        <f>IF('Raw Data'!C55="","",'Raw Data'!C55)</f>
        <v>2</v>
      </c>
      <c r="D55">
        <f>IF('Raw Data'!D55="","",'Raw Data'!D55)</f>
        <v>0.5</v>
      </c>
      <c r="E55">
        <f>IF('Raw Data'!E55="","",'Raw Data'!E55)</f>
        <v>3</v>
      </c>
      <c r="F55">
        <f>IF('Raw Data'!F55="","",'Raw Data'!F55)</f>
        <v>1</v>
      </c>
      <c r="G55" s="7" t="str">
        <f>IF('Raw Data'!G55="/","-",IF('Raw Data'!G55="","-",SUBSTITUTE('Raw Data'!G55," ",":",1)))</f>
        <v>46</v>
      </c>
      <c r="H55" s="7" t="str">
        <f>IF('Raw Data'!H55="/","-",IF('Raw Data'!H55="","-",SUBSTITUTE('Raw Data'!H55," ",":",1)))</f>
        <v>-</v>
      </c>
      <c r="I55" s="7" t="str">
        <f>IF('Raw Data'!I55="/","-",IF('Raw Data'!I55="","-",SUBSTITUTE('Raw Data'!I55," ",":",1)))</f>
        <v>46</v>
      </c>
      <c r="J55" s="12">
        <f>IF('Raw Data'!J55="",IF(LEN(K55)&gt;6,SQRT('Raw Data'!M55^2+N55^2),""),'Raw Data'!J55)</f>
        <v>13.5</v>
      </c>
      <c r="K55" s="7" t="str">
        <f>IF('Raw Data'!K55="","",IF(LEN('Raw Data'!K55)&lt;7,SUBSTITUTE('Raw Data'!K55," ",":",1),'Raw Data'!K55))</f>
        <v>17</v>
      </c>
      <c r="L55" t="str">
        <f>IF('Raw Data'!L55="","",'Raw Data'!L55)</f>
        <v/>
      </c>
      <c r="M55">
        <f>IF('Raw Data'!M55="","",'Raw Data'!M55)</f>
        <v>12.9</v>
      </c>
      <c r="N55">
        <f>IF('Raw Data'!N55="","",IF('Raw Data'!N55="-",0,'Raw Data'!N55))</f>
        <v>4</v>
      </c>
      <c r="O55">
        <f>IF('Raw Data'!O55="",IF('Raw Data'!N55="","",0),'Raw Data'!O55)</f>
        <v>38.200000000000003</v>
      </c>
      <c r="P55" t="str">
        <f>IF('Raw Data'!P55="","",'Raw Data'!P55)</f>
        <v/>
      </c>
      <c r="Q55" t="str">
        <f t="shared" si="0"/>
        <v xml:space="preserve"> </v>
      </c>
      <c r="R55" s="3">
        <f t="shared" si="28"/>
        <v>46</v>
      </c>
      <c r="S55" s="3" t="str">
        <f t="shared" si="29"/>
        <v>-</v>
      </c>
      <c r="T55" s="3">
        <f t="shared" si="30"/>
        <v>46</v>
      </c>
      <c r="U55" s="3">
        <f t="shared" si="34"/>
        <v>17</v>
      </c>
      <c r="W55" s="4">
        <f t="shared" si="9"/>
        <v>12.910114205500978</v>
      </c>
      <c r="X55" s="4">
        <f t="shared" si="10"/>
        <v>3.9470180137569466</v>
      </c>
      <c r="Y55" s="3">
        <f t="shared" si="7"/>
        <v>46</v>
      </c>
      <c r="Z55" s="4">
        <f>IF('Raw Data'!O55="","",O54+N54)</f>
        <v>35.200000000000003</v>
      </c>
    </row>
    <row r="56" spans="1:27" x14ac:dyDescent="0.25">
      <c r="A56">
        <f>IF('Raw Data'!A56="","",'Raw Data'!A56)</f>
        <v>7</v>
      </c>
      <c r="B56">
        <f>IF('Raw Data'!B56="","",'Raw Data'!B56)</f>
        <v>8</v>
      </c>
      <c r="C56">
        <f>IF('Raw Data'!C56="","",'Raw Data'!C56)</f>
        <v>2</v>
      </c>
      <c r="D56">
        <f>IF('Raw Data'!D56="","",'Raw Data'!D56)</f>
        <v>0.5</v>
      </c>
      <c r="E56">
        <f>IF('Raw Data'!E56="","",'Raw Data'!E56)</f>
        <v>1</v>
      </c>
      <c r="F56">
        <f>IF('Raw Data'!F56="","",'Raw Data'!F56)</f>
        <v>2</v>
      </c>
      <c r="G56" s="7" t="str">
        <f>IF('Raw Data'!G56="/","-",IF('Raw Data'!G56="","-",SUBSTITUTE('Raw Data'!G56," ",":",1)))</f>
        <v>74</v>
      </c>
      <c r="H56" s="7" t="str">
        <f>IF('Raw Data'!H56="/","-",IF('Raw Data'!H56="","-",SUBSTITUTE('Raw Data'!H56," ",":",1)))</f>
        <v>-</v>
      </c>
      <c r="I56" s="7" t="str">
        <f>IF('Raw Data'!I56="/","-",IF('Raw Data'!I56="","-",SUBSTITUTE('Raw Data'!I56," ",":",1)))</f>
        <v>74</v>
      </c>
      <c r="J56" s="12">
        <f>IF('Raw Data'!J56="",IF(LEN(K56)&gt;6,SQRT('Raw Data'!M56^2+N56^2),""),'Raw Data'!J56)</f>
        <v>24.2</v>
      </c>
      <c r="K56" s="7" t="str">
        <f>IF('Raw Data'!K56="","",IF(LEN('Raw Data'!K56)&lt;7,SUBSTITUTE('Raw Data'!K56," ",":",1),'Raw Data'!K56))</f>
        <v>13</v>
      </c>
      <c r="L56" t="str">
        <f>IF('Raw Data'!L56="","",'Raw Data'!L56)</f>
        <v/>
      </c>
      <c r="M56">
        <f>IF('Raw Data'!M56="","",'Raw Data'!M56)</f>
        <v>23.6</v>
      </c>
      <c r="N56">
        <f>IF('Raw Data'!N56="","",IF('Raw Data'!N56="-",0,'Raw Data'!N56))</f>
        <v>5.4</v>
      </c>
      <c r="O56">
        <f>IF('Raw Data'!O56="",IF('Raw Data'!N56="","",0),'Raw Data'!O56)</f>
        <v>46.2</v>
      </c>
      <c r="P56" t="str">
        <f>IF('Raw Data'!P56="","",'Raw Data'!P56)</f>
        <v/>
      </c>
      <c r="Q56" t="str">
        <f t="shared" si="0"/>
        <v xml:space="preserve"> </v>
      </c>
      <c r="R56" s="3">
        <f t="shared" si="28"/>
        <v>74</v>
      </c>
      <c r="S56" s="3" t="str">
        <f t="shared" si="29"/>
        <v>-</v>
      </c>
      <c r="T56" s="3">
        <f t="shared" si="30"/>
        <v>74</v>
      </c>
      <c r="U56" s="3">
        <f t="shared" si="34"/>
        <v>13</v>
      </c>
      <c r="W56" s="4">
        <f t="shared" si="9"/>
        <v>23.579755567802692</v>
      </c>
      <c r="X56" s="4">
        <f t="shared" si="10"/>
        <v>5.4438155151215328</v>
      </c>
      <c r="Y56" s="3">
        <f t="shared" si="7"/>
        <v>74</v>
      </c>
      <c r="Z56" s="4">
        <f>IF('Raw Data'!O56="","",O55+N55)</f>
        <v>42.2</v>
      </c>
    </row>
    <row r="57" spans="1:27" x14ac:dyDescent="0.25">
      <c r="A57">
        <f>IF('Raw Data'!A57="","",'Raw Data'!A57)</f>
        <v>8</v>
      </c>
      <c r="B57">
        <f>IF('Raw Data'!B57="","",'Raw Data'!B57)</f>
        <v>9</v>
      </c>
      <c r="C57">
        <f>IF('Raw Data'!C57="","",'Raw Data'!C57)</f>
        <v>3</v>
      </c>
      <c r="D57">
        <f>IF('Raw Data'!D57="","",'Raw Data'!D57)</f>
        <v>0.5</v>
      </c>
      <c r="E57">
        <f>IF('Raw Data'!E57="","",'Raw Data'!E57)</f>
        <v>2</v>
      </c>
      <c r="F57">
        <f>IF('Raw Data'!F57="","",'Raw Data'!F57)</f>
        <v>1</v>
      </c>
      <c r="G57" s="7" t="str">
        <f>IF('Raw Data'!G57="/","-",IF('Raw Data'!G57="","-",SUBSTITUTE('Raw Data'!G57," ",":",1)))</f>
        <v>137</v>
      </c>
      <c r="H57" s="7" t="str">
        <f>IF('Raw Data'!H57="/","-",IF('Raw Data'!H57="","-",SUBSTITUTE('Raw Data'!H57," ",":",1)))</f>
        <v>-</v>
      </c>
      <c r="I57" s="7" t="str">
        <f>IF('Raw Data'!I57="/","-",IF('Raw Data'!I57="","-",SUBSTITUTE('Raw Data'!I57," ",":",1)))</f>
        <v>137</v>
      </c>
      <c r="J57" s="12">
        <f>IF('Raw Data'!J57="",IF(LEN(K57)&gt;6,SQRT('Raw Data'!M57^2+N57^2),""),'Raw Data'!J57)</f>
        <v>8.8000000000000007</v>
      </c>
      <c r="K57" s="7" t="str">
        <f>IF('Raw Data'!K57="","",IF(LEN('Raw Data'!K57)&lt;7,SUBSTITUTE('Raw Data'!K57," ",":",1),'Raw Data'!K57))</f>
        <v>10</v>
      </c>
      <c r="L57" t="str">
        <f>IF('Raw Data'!L57="","",'Raw Data'!L57)</f>
        <v/>
      </c>
      <c r="M57">
        <f>IF('Raw Data'!M57="","",'Raw Data'!M57)</f>
        <v>8.6999999999999993</v>
      </c>
      <c r="N57">
        <f>IF('Raw Data'!N57="","",IF('Raw Data'!N57="-",0,'Raw Data'!N57))</f>
        <v>1.5</v>
      </c>
      <c r="O57">
        <f>IF('Raw Data'!O57="",IF('Raw Data'!N57="","",0),'Raw Data'!O57)</f>
        <v>52.6</v>
      </c>
      <c r="P57" t="str">
        <f>IF('Raw Data'!P57="","",'Raw Data'!P57)</f>
        <v/>
      </c>
      <c r="Q57" t="str">
        <f t="shared" si="0"/>
        <v xml:space="preserve"> </v>
      </c>
      <c r="R57" s="3">
        <f t="shared" si="28"/>
        <v>137</v>
      </c>
      <c r="S57" s="3" t="str">
        <f t="shared" si="29"/>
        <v>-</v>
      </c>
      <c r="T57" s="3">
        <f t="shared" si="30"/>
        <v>137</v>
      </c>
      <c r="U57" s="3">
        <f t="shared" si="34"/>
        <v>10</v>
      </c>
      <c r="W57" s="4">
        <f t="shared" si="9"/>
        <v>8.6663082265074305</v>
      </c>
      <c r="X57" s="4">
        <f t="shared" si="10"/>
        <v>1.528103963468987</v>
      </c>
      <c r="Y57" s="3">
        <f t="shared" si="7"/>
        <v>137</v>
      </c>
      <c r="Z57" s="4">
        <f>IF('Raw Data'!O57="","",O56+N56)</f>
        <v>51.6</v>
      </c>
    </row>
    <row r="58" spans="1:27" x14ac:dyDescent="0.25">
      <c r="A58">
        <f>IF('Raw Data'!A58="","",'Raw Data'!A58)</f>
        <v>9</v>
      </c>
      <c r="B58">
        <f>IF('Raw Data'!B58="","",'Raw Data'!B58)</f>
        <v>10</v>
      </c>
      <c r="C58">
        <f>IF('Raw Data'!C58="","",'Raw Data'!C58)</f>
        <v>2</v>
      </c>
      <c r="D58">
        <f>IF('Raw Data'!D58="","",'Raw Data'!D58)</f>
        <v>0.5</v>
      </c>
      <c r="E58">
        <f>IF('Raw Data'!E58="","",'Raw Data'!E58)</f>
        <v>2</v>
      </c>
      <c r="F58">
        <f>IF('Raw Data'!F58="","",'Raw Data'!F58)</f>
        <v>2</v>
      </c>
      <c r="G58" s="7" t="str">
        <f>IF('Raw Data'!G58="/","-",IF('Raw Data'!G58="","-",SUBSTITUTE('Raw Data'!G58," ",":",1)))</f>
        <v>89</v>
      </c>
      <c r="H58" s="7" t="str">
        <f>IF('Raw Data'!H58="/","-",IF('Raw Data'!H58="","-",SUBSTITUTE('Raw Data'!H58," ",":",1)))</f>
        <v>-</v>
      </c>
      <c r="I58" s="7" t="str">
        <f>IF('Raw Data'!I58="/","-",IF('Raw Data'!I58="","-",SUBSTITUTE('Raw Data'!I58," ",":",1)))</f>
        <v>89</v>
      </c>
      <c r="J58" s="12">
        <f>IF('Raw Data'!J58="",IF(LEN(K58)&gt;6,SQRT('Raw Data'!M58^2+N58^2),""),'Raw Data'!J58)</f>
        <v>19.8</v>
      </c>
      <c r="K58" s="7" t="str">
        <f>IF('Raw Data'!K58="","",IF(LEN('Raw Data'!K58)&lt;7,SUBSTITUTE('Raw Data'!K58," ",":",1),'Raw Data'!K58))</f>
        <v>15</v>
      </c>
      <c r="L58" t="str">
        <f>IF('Raw Data'!L58="","",'Raw Data'!L58)</f>
        <v/>
      </c>
      <c r="M58">
        <f>IF('Raw Data'!M58="","",'Raw Data'!M58)</f>
        <v>19.100000000000001</v>
      </c>
      <c r="N58">
        <f>IF('Raw Data'!N58="","",IF('Raw Data'!N58="-",0,'Raw Data'!N58))</f>
        <v>5.0999999999999996</v>
      </c>
      <c r="O58">
        <f>IF('Raw Data'!O58="",IF('Raw Data'!N58="","",0),'Raw Data'!O58)</f>
        <v>56.1</v>
      </c>
      <c r="P58" t="str">
        <f>IF('Raw Data'!P58="","",'Raw Data'!P58)</f>
        <v/>
      </c>
      <c r="Q58" t="str">
        <f t="shared" si="0"/>
        <v xml:space="preserve"> </v>
      </c>
      <c r="R58" s="3">
        <f t="shared" si="28"/>
        <v>89</v>
      </c>
      <c r="S58" s="3" t="str">
        <f t="shared" si="29"/>
        <v>-</v>
      </c>
      <c r="T58" s="3">
        <f t="shared" si="30"/>
        <v>89</v>
      </c>
      <c r="U58" s="3">
        <f t="shared" si="34"/>
        <v>15</v>
      </c>
      <c r="W58" s="4">
        <f t="shared" si="9"/>
        <v>19.125331360523553</v>
      </c>
      <c r="X58" s="4">
        <f t="shared" si="10"/>
        <v>5.1246170930299106</v>
      </c>
      <c r="Y58" s="3">
        <f t="shared" si="7"/>
        <v>89</v>
      </c>
      <c r="Z58" s="4">
        <f>IF('Raw Data'!O58="","",O57+N57)</f>
        <v>54.1</v>
      </c>
    </row>
    <row r="59" spans="1:27" x14ac:dyDescent="0.25">
      <c r="A59">
        <f>IF('Raw Data'!A59="","",'Raw Data'!A59)</f>
        <v>10</v>
      </c>
      <c r="B59">
        <f>IF('Raw Data'!B59="","",'Raw Data'!B59)</f>
        <v>11</v>
      </c>
      <c r="C59" t="str">
        <f>IF('Raw Data'!C59="","",'Raw Data'!C59)</f>
        <v>/</v>
      </c>
      <c r="D59">
        <f>IF('Raw Data'!D59="","",'Raw Data'!D59)</f>
        <v>0.5</v>
      </c>
      <c r="E59">
        <f>IF('Raw Data'!E59="","",'Raw Data'!E59)</f>
        <v>1</v>
      </c>
      <c r="F59">
        <f>IF('Raw Data'!F59="","",'Raw Data'!F59)</f>
        <v>3</v>
      </c>
      <c r="G59" s="7" t="str">
        <f>IF('Raw Data'!G59="/","-",IF('Raw Data'!G59="","-",SUBSTITUTE('Raw Data'!G59," ",":",1)))</f>
        <v>26</v>
      </c>
      <c r="H59" s="7" t="str">
        <f>IF('Raw Data'!H59="/","-",IF('Raw Data'!H59="","-",SUBSTITUTE('Raw Data'!H59," ",":",1)))</f>
        <v>-</v>
      </c>
      <c r="I59" s="7" t="str">
        <f>IF('Raw Data'!I59="/","-",IF('Raw Data'!I59="","-",SUBSTITUTE('Raw Data'!I59," ",":",1)))</f>
        <v>26</v>
      </c>
      <c r="J59" s="12">
        <f>IF('Raw Data'!J59="",IF(LEN(K59)&gt;6,SQRT('Raw Data'!M59^2+N59^2),""),'Raw Data'!J59)</f>
        <v>9</v>
      </c>
      <c r="K59" s="7" t="str">
        <f>IF('Raw Data'!K59="","",IF(LEN('Raw Data'!K59)&lt;7,SUBSTITUTE('Raw Data'!K59," ",":",1),'Raw Data'!K59))</f>
        <v>12</v>
      </c>
      <c r="L59" t="str">
        <f>IF('Raw Data'!L59="","",'Raw Data'!L59)</f>
        <v/>
      </c>
      <c r="M59">
        <f>IF('Raw Data'!M59="","",'Raw Data'!M59)</f>
        <v>8.8000000000000007</v>
      </c>
      <c r="N59">
        <f>IF('Raw Data'!N59="","",IF('Raw Data'!N59="-",0,'Raw Data'!N59))</f>
        <v>1.9</v>
      </c>
      <c r="O59">
        <f>IF('Raw Data'!O59="",IF('Raw Data'!N59="","",0),'Raw Data'!O59)</f>
        <v>62.2</v>
      </c>
      <c r="P59" t="str">
        <f>IF('Raw Data'!P59="","",'Raw Data'!P59)</f>
        <v/>
      </c>
      <c r="Q59" t="str">
        <f t="shared" si="0"/>
        <v xml:space="preserve"> </v>
      </c>
      <c r="R59" s="3">
        <f t="shared" si="28"/>
        <v>26</v>
      </c>
      <c r="S59" s="3" t="str">
        <f t="shared" si="29"/>
        <v>-</v>
      </c>
      <c r="T59" s="3">
        <f t="shared" si="30"/>
        <v>26</v>
      </c>
      <c r="U59" s="3">
        <f t="shared" si="34"/>
        <v>12</v>
      </c>
      <c r="W59" s="4">
        <f t="shared" si="9"/>
        <v>8.8033284066042512</v>
      </c>
      <c r="X59" s="4">
        <f t="shared" si="10"/>
        <v>1.8712052173598339</v>
      </c>
      <c r="Y59" s="3">
        <f t="shared" si="7"/>
        <v>26</v>
      </c>
      <c r="Z59" s="4">
        <f>IF('Raw Data'!O59="","",O58+N58)</f>
        <v>61.2</v>
      </c>
    </row>
    <row r="60" spans="1:27" x14ac:dyDescent="0.25">
      <c r="A60">
        <f>IF('Raw Data'!A60="","",'Raw Data'!A60)</f>
        <v>11</v>
      </c>
      <c r="B60">
        <f>IF('Raw Data'!B60="","",'Raw Data'!B60)</f>
        <v>12</v>
      </c>
      <c r="C60">
        <f>IF('Raw Data'!C60="","",'Raw Data'!C60)</f>
        <v>2</v>
      </c>
      <c r="D60">
        <f>IF('Raw Data'!D60="","",'Raw Data'!D60)</f>
        <v>0.5</v>
      </c>
      <c r="E60" t="str">
        <f>IF('Raw Data'!E60="","",'Raw Data'!E60)</f>
        <v>/</v>
      </c>
      <c r="F60" t="str">
        <f>IF('Raw Data'!F60="","",'Raw Data'!F60)</f>
        <v>/</v>
      </c>
      <c r="G60" s="7" t="str">
        <f>IF('Raw Data'!G60="/","-",IF('Raw Data'!G60="","-",SUBSTITUTE('Raw Data'!G60," ",":",1)))</f>
        <v>78</v>
      </c>
      <c r="H60" s="7" t="str">
        <f>IF('Raw Data'!H60="/","-",IF('Raw Data'!H60="","-",SUBSTITUTE('Raw Data'!H60," ",":",1)))</f>
        <v>-</v>
      </c>
      <c r="I60" s="7" t="str">
        <f>IF('Raw Data'!I60="/","-",IF('Raw Data'!I60="","-",SUBSTITUTE('Raw Data'!I60," ",":",1)))</f>
        <v>78</v>
      </c>
      <c r="J60" s="12">
        <f>IF('Raw Data'!J60="",IF(LEN(K60)&gt;6,SQRT('Raw Data'!M60^2+N60^2),""),'Raw Data'!J60)</f>
        <v>10.7</v>
      </c>
      <c r="K60" s="7" t="str">
        <f>IF('Raw Data'!K60="","",IF(LEN('Raw Data'!K60)&lt;7,SUBSTITUTE('Raw Data'!K60," ",":",1),'Raw Data'!K60))</f>
        <v>10</v>
      </c>
      <c r="L60" t="str">
        <f>IF('Raw Data'!L60="","",'Raw Data'!L60)</f>
        <v/>
      </c>
      <c r="M60">
        <f>IF('Raw Data'!M60="","",'Raw Data'!M60)</f>
        <v>10.5</v>
      </c>
      <c r="N60">
        <f>IF('Raw Data'!N60="","",IF('Raw Data'!N60="-",0,'Raw Data'!N60))</f>
        <v>1.9</v>
      </c>
      <c r="O60">
        <f>IF('Raw Data'!O60="",IF('Raw Data'!N60="","",0),'Raw Data'!O60)</f>
        <v>65.099999999999994</v>
      </c>
      <c r="P60" t="str">
        <f>IF('Raw Data'!P60="","",'Raw Data'!P60)</f>
        <v/>
      </c>
      <c r="Q60" t="str">
        <f t="shared" si="0"/>
        <v xml:space="preserve"> </v>
      </c>
      <c r="R60" s="3">
        <f t="shared" si="28"/>
        <v>78</v>
      </c>
      <c r="S60" s="3" t="str">
        <f t="shared" si="29"/>
        <v>-</v>
      </c>
      <c r="T60" s="3">
        <f t="shared" si="30"/>
        <v>78</v>
      </c>
      <c r="U60" s="3">
        <f t="shared" si="34"/>
        <v>10</v>
      </c>
      <c r="W60" s="4">
        <f t="shared" si="9"/>
        <v>10.537442957230626</v>
      </c>
      <c r="X60" s="4">
        <f t="shared" si="10"/>
        <v>1.8580355010361544</v>
      </c>
      <c r="Y60" s="3">
        <f t="shared" si="7"/>
        <v>78</v>
      </c>
      <c r="Z60" s="4">
        <f>IF('Raw Data'!O60="","",O59+N59)</f>
        <v>64.100000000000009</v>
      </c>
    </row>
    <row r="61" spans="1:27" x14ac:dyDescent="0.25">
      <c r="A61">
        <f>IF('Raw Data'!A61="","",'Raw Data'!A61)</f>
        <v>12</v>
      </c>
      <c r="B61">
        <f>IF('Raw Data'!B61="","",'Raw Data'!B61)</f>
        <v>13</v>
      </c>
      <c r="C61">
        <f>IF('Raw Data'!C61="","",'Raw Data'!C61)</f>
        <v>2</v>
      </c>
      <c r="D61">
        <f>IF('Raw Data'!D61="","",'Raw Data'!D61)</f>
        <v>2</v>
      </c>
      <c r="E61" t="str">
        <f>IF('Raw Data'!E61="","",'Raw Data'!E61)</f>
        <v>/</v>
      </c>
      <c r="F61">
        <f>IF('Raw Data'!F61="","",'Raw Data'!F61)</f>
        <v>1</v>
      </c>
      <c r="G61" s="7" t="str">
        <f>IF('Raw Data'!G61="/","-",IF('Raw Data'!G61="","-",SUBSTITUTE('Raw Data'!G61," ",":",1)))</f>
        <v>25</v>
      </c>
      <c r="H61" s="7" t="str">
        <f>IF('Raw Data'!H61="/","-",IF('Raw Data'!H61="","-",SUBSTITUTE('Raw Data'!H61," ",":",1)))</f>
        <v>-</v>
      </c>
      <c r="I61" s="7" t="str">
        <f>IF('Raw Data'!I61="/","-",IF('Raw Data'!I61="","-",SUBSTITUTE('Raw Data'!I61," ",":",1)))</f>
        <v>25</v>
      </c>
      <c r="J61" s="12">
        <f>IF('Raw Data'!J61="",IF(LEN(K61)&gt;6,SQRT('Raw Data'!M61^2+N61^2),""),'Raw Data'!J61)</f>
        <v>8.5</v>
      </c>
      <c r="K61" s="7" t="str">
        <f>IF('Raw Data'!K61="","",IF(LEN('Raw Data'!K61)&lt;7,SUBSTITUTE('Raw Data'!K61," ",":",1),'Raw Data'!K61))</f>
        <v>fall 2 feet</v>
      </c>
      <c r="L61" t="str">
        <f>IF('Raw Data'!L61="","",'Raw Data'!L61)</f>
        <v/>
      </c>
      <c r="M61">
        <f>IF('Raw Data'!M61="","",'Raw Data'!M61)</f>
        <v>8.1999999999999993</v>
      </c>
      <c r="N61">
        <f>IF('Raw Data'!N61="","",IF('Raw Data'!N61="-",0,'Raw Data'!N61))</f>
        <v>-2</v>
      </c>
      <c r="O61">
        <f>IF('Raw Data'!O61="",IF('Raw Data'!N61="","",0),'Raw Data'!O61)</f>
        <v>67</v>
      </c>
      <c r="P61" t="str">
        <f>IF('Raw Data'!P61="","",'Raw Data'!P61)</f>
        <v>Little passage goes uphill straight on</v>
      </c>
      <c r="Q61" t="str">
        <f t="shared" si="0"/>
        <v xml:space="preserve"> </v>
      </c>
      <c r="R61" s="3">
        <f t="shared" si="28"/>
        <v>25</v>
      </c>
      <c r="S61" s="3" t="str">
        <f t="shared" si="29"/>
        <v>-</v>
      </c>
      <c r="T61" s="3">
        <f t="shared" si="30"/>
        <v>25</v>
      </c>
      <c r="U61" s="16">
        <f>ASIN(N61/J61)*180/PI()</f>
        <v>-13.608960630782917</v>
      </c>
      <c r="W61" s="4">
        <f t="shared" si="9"/>
        <v>8.2613558209291522</v>
      </c>
      <c r="X61" s="4">
        <f t="shared" si="10"/>
        <v>-2</v>
      </c>
      <c r="Y61" s="3">
        <f t="shared" si="7"/>
        <v>25</v>
      </c>
      <c r="Z61" s="4">
        <f>IF('Raw Data'!O61="","",O60+N60)</f>
        <v>67</v>
      </c>
    </row>
    <row r="62" spans="1:27" x14ac:dyDescent="0.25">
      <c r="A62">
        <f>IF('Raw Data'!A62="","",'Raw Data'!A62)</f>
        <v>13</v>
      </c>
      <c r="B62">
        <f>IF('Raw Data'!B62="","",'Raw Data'!B62)</f>
        <v>14</v>
      </c>
      <c r="C62">
        <f>IF('Raw Data'!C62="","",'Raw Data'!C62)</f>
        <v>1</v>
      </c>
      <c r="D62">
        <f>IF('Raw Data'!D62="","",'Raw Data'!D62)</f>
        <v>0.5</v>
      </c>
      <c r="E62">
        <f>IF('Raw Data'!E62="","",'Raw Data'!E62)</f>
        <v>2</v>
      </c>
      <c r="F62">
        <f>IF('Raw Data'!F62="","",'Raw Data'!F62)</f>
        <v>3</v>
      </c>
      <c r="G62" s="7" t="str">
        <f>IF('Raw Data'!G62="/","-",IF('Raw Data'!G62="","-",SUBSTITUTE('Raw Data'!G62," ",":",1)))</f>
        <v>85</v>
      </c>
      <c r="H62" s="7" t="str">
        <f>IF('Raw Data'!H62="/","-",IF('Raw Data'!H62="","-",SUBSTITUTE('Raw Data'!H62," ",":",1)))</f>
        <v>-</v>
      </c>
      <c r="I62" s="7" t="str">
        <f>IF('Raw Data'!I62="/","-",IF('Raw Data'!I62="","-",SUBSTITUTE('Raw Data'!I62," ",":",1)))</f>
        <v>85</v>
      </c>
      <c r="J62" s="12">
        <f>IF('Raw Data'!J62="",IF(LEN(K62)&gt;6,SQRT('Raw Data'!M62^2+N62^2),""),'Raw Data'!J62)</f>
        <v>12.3</v>
      </c>
      <c r="K62" s="7" t="str">
        <f>IF('Raw Data'!K62="","",IF(LEN('Raw Data'!K62)&lt;7,SUBSTITUTE('Raw Data'!K62," ",":",1),'Raw Data'!K62))</f>
        <v>9</v>
      </c>
      <c r="L62" t="str">
        <f>IF('Raw Data'!L62="","",'Raw Data'!L62)</f>
        <v/>
      </c>
      <c r="M62">
        <f>IF('Raw Data'!M62="","",'Raw Data'!M62)</f>
        <v>12.1</v>
      </c>
      <c r="N62">
        <f>IF('Raw Data'!N62="","",IF('Raw Data'!N62="-",0,'Raw Data'!N62))</f>
        <v>1.9</v>
      </c>
      <c r="O62">
        <f>IF('Raw Data'!O62="",IF('Raw Data'!N62="","",0),'Raw Data'!O62)</f>
        <v>65</v>
      </c>
      <c r="P62" t="str">
        <f>IF('Raw Data'!P62="","",'Raw Data'!P62)</f>
        <v/>
      </c>
      <c r="Q62" t="str">
        <f t="shared" si="0"/>
        <v xml:space="preserve"> </v>
      </c>
      <c r="R62" s="3">
        <f t="shared" si="28"/>
        <v>85</v>
      </c>
      <c r="S62" s="3" t="str">
        <f t="shared" si="29"/>
        <v>-</v>
      </c>
      <c r="T62" s="3">
        <f t="shared" si="30"/>
        <v>85</v>
      </c>
      <c r="U62" s="3">
        <f t="shared" ref="U62:U63" si="35">IF(ISERROR(FIND(":",K62)),IF(K62="zero",0,1*K62),1*CONCATENATE(LEFT(K62,FIND(":",K62)-1),".",MID(RIGHT(K62,LEN(K62)-FIND(":",K62))/60,3,8)))</f>
        <v>9</v>
      </c>
      <c r="W62" s="4">
        <f t="shared" si="9"/>
        <v>12.148566589320195</v>
      </c>
      <c r="X62" s="4">
        <f t="shared" si="10"/>
        <v>1.9241439199948398</v>
      </c>
      <c r="Y62" s="3">
        <f t="shared" si="7"/>
        <v>85</v>
      </c>
      <c r="Z62" s="4">
        <f>IF('Raw Data'!O62="","",O61+N61)</f>
        <v>65</v>
      </c>
    </row>
    <row r="63" spans="1:27" x14ac:dyDescent="0.25">
      <c r="A63">
        <f>IF('Raw Data'!A63="","",'Raw Data'!A63)</f>
        <v>14</v>
      </c>
      <c r="B63">
        <f>IF('Raw Data'!B63="","",'Raw Data'!B63)</f>
        <v>15</v>
      </c>
      <c r="C63">
        <f>IF('Raw Data'!C63="","",'Raw Data'!C63)</f>
        <v>2</v>
      </c>
      <c r="D63">
        <f>IF('Raw Data'!D63="","",'Raw Data'!D63)</f>
        <v>0.5</v>
      </c>
      <c r="E63" t="str">
        <f>IF('Raw Data'!E63="","",'Raw Data'!E63)</f>
        <v>/</v>
      </c>
      <c r="F63" t="str">
        <f>IF('Raw Data'!F63="","",'Raw Data'!F63)</f>
        <v>/</v>
      </c>
      <c r="G63" s="7" t="str">
        <f>IF('Raw Data'!G63="/","-",IF('Raw Data'!G63="","-",SUBSTITUTE('Raw Data'!G63," ",":",1)))</f>
        <v>63</v>
      </c>
      <c r="H63" s="7" t="str">
        <f>IF('Raw Data'!H63="/","-",IF('Raw Data'!H63="","-",SUBSTITUTE('Raw Data'!H63," ",":",1)))</f>
        <v>-</v>
      </c>
      <c r="I63" s="7" t="str">
        <f>IF('Raw Data'!I63="/","-",IF('Raw Data'!I63="","-",SUBSTITUTE('Raw Data'!I63," ",":",1)))</f>
        <v>63</v>
      </c>
      <c r="J63" s="12">
        <f>IF('Raw Data'!J63="",IF(LEN(K63)&gt;6,SQRT('Raw Data'!M63^2+N63^2),""),'Raw Data'!J63)</f>
        <v>11.6</v>
      </c>
      <c r="K63" s="7" t="str">
        <f>IF('Raw Data'!K63="","",IF(LEN('Raw Data'!K63)&lt;7,SUBSTITUTE('Raw Data'!K63," ",":",1),'Raw Data'!K63))</f>
        <v>10</v>
      </c>
      <c r="L63" t="str">
        <f>IF('Raw Data'!L63="","",'Raw Data'!L63)</f>
        <v/>
      </c>
      <c r="M63">
        <f>IF('Raw Data'!M63="","",'Raw Data'!M63)</f>
        <v>11.4</v>
      </c>
      <c r="N63">
        <f>IF('Raw Data'!N63="","",IF('Raw Data'!N63="-",0,'Raw Data'!N63))</f>
        <v>2</v>
      </c>
      <c r="O63">
        <f>IF('Raw Data'!O63="",IF('Raw Data'!N63="","",0),'Raw Data'!O63)</f>
        <v>69.900000000000006</v>
      </c>
      <c r="P63" t="str">
        <f>IF('Raw Data'!P63="","",'Raw Data'!P63)</f>
        <v/>
      </c>
      <c r="Q63" t="str">
        <f t="shared" si="0"/>
        <v xml:space="preserve"> </v>
      </c>
      <c r="R63" s="3">
        <f t="shared" si="28"/>
        <v>63</v>
      </c>
      <c r="S63" s="3" t="str">
        <f t="shared" si="29"/>
        <v>-</v>
      </c>
      <c r="T63" s="3">
        <f t="shared" si="30"/>
        <v>63</v>
      </c>
      <c r="U63" s="3">
        <f t="shared" si="35"/>
        <v>10</v>
      </c>
      <c r="W63" s="4">
        <f t="shared" si="9"/>
        <v>11.423769934941612</v>
      </c>
      <c r="X63" s="4">
        <f t="shared" si="10"/>
        <v>2.0143188609363918</v>
      </c>
      <c r="Y63" s="3">
        <f t="shared" si="7"/>
        <v>63</v>
      </c>
      <c r="Z63" s="4">
        <f>IF('Raw Data'!O63="","",O62+N62)</f>
        <v>66.900000000000006</v>
      </c>
    </row>
    <row r="64" spans="1:27" x14ac:dyDescent="0.25">
      <c r="A64">
        <f>IF('Raw Data'!A64="","",'Raw Data'!A64)</f>
        <v>15</v>
      </c>
      <c r="B64">
        <f>IF('Raw Data'!B64="","",'Raw Data'!B64)</f>
        <v>16</v>
      </c>
      <c r="C64">
        <f>IF('Raw Data'!C64="","",'Raw Data'!C64)</f>
        <v>3</v>
      </c>
      <c r="D64">
        <f>IF('Raw Data'!D64="","",'Raw Data'!D64)</f>
        <v>4</v>
      </c>
      <c r="E64">
        <f>IF('Raw Data'!E64="","",'Raw Data'!E64)</f>
        <v>2</v>
      </c>
      <c r="F64" t="str">
        <f>IF('Raw Data'!F64="","",'Raw Data'!F64)</f>
        <v>/</v>
      </c>
      <c r="G64" s="7" t="str">
        <f>IF('Raw Data'!G64="/","-",IF('Raw Data'!G64="","-",SUBSTITUTE('Raw Data'!G64," ",":",1)))</f>
        <v>125</v>
      </c>
      <c r="H64" s="7" t="str">
        <f>IF('Raw Data'!H64="/","-",IF('Raw Data'!H64="","-",SUBSTITUTE('Raw Data'!H64," ",":",1)))</f>
        <v>-</v>
      </c>
      <c r="I64" s="7" t="str">
        <f>IF('Raw Data'!I64="/","-",IF('Raw Data'!I64="","-",SUBSTITUTE('Raw Data'!I64," ",":",1)))</f>
        <v>125</v>
      </c>
      <c r="J64" s="16">
        <f>IF(LEN(K64)&gt;6,SQRT('Raw Data'!M64^2+N64^2),'Raw Data'!J64)</f>
        <v>12.5</v>
      </c>
      <c r="K64" s="7" t="str">
        <f>IF('Raw Data'!K64="","",IF(LEN('Raw Data'!K64)&lt;7,SUBSTITUTE('Raw Data'!K64," ",":",1),'Raw Data'!K64))</f>
        <v>fall 3.5 feet</v>
      </c>
      <c r="L64" t="str">
        <f>IF('Raw Data'!L64="","",'Raw Data'!L64)</f>
        <v/>
      </c>
      <c r="M64">
        <f>IF('Raw Data'!M64="","",'Raw Data'!M64)</f>
        <v>12</v>
      </c>
      <c r="N64">
        <f>IF('Raw Data'!N64="","",IF('Raw Data'!N64="-",0,'Raw Data'!N64))</f>
        <v>-3.5</v>
      </c>
      <c r="O64">
        <f>IF('Raw Data'!O64="",IF('Raw Data'!N64="","",0),'Raw Data'!O64)</f>
        <v>72.900000000000006</v>
      </c>
      <c r="P64" t="str">
        <f>IF('Raw Data'!P64="","",'Raw Data'!P64)</f>
        <v>Low creep at 4-10 feet. Chamber goes 15' in same line</v>
      </c>
      <c r="Q64" t="str">
        <f t="shared" si="0"/>
        <v xml:space="preserve"> </v>
      </c>
      <c r="R64" s="3">
        <f t="shared" si="28"/>
        <v>125</v>
      </c>
      <c r="S64" s="3" t="str">
        <f t="shared" si="29"/>
        <v>-</v>
      </c>
      <c r="T64" s="3">
        <f t="shared" si="30"/>
        <v>125</v>
      </c>
      <c r="U64" s="16">
        <f>ASIN(N64/J64)*180/PI()</f>
        <v>-16.26020470831196</v>
      </c>
      <c r="W64" s="4">
        <f t="shared" si="9"/>
        <v>12</v>
      </c>
      <c r="X64" s="4">
        <f t="shared" si="10"/>
        <v>-3.5000000000000004</v>
      </c>
      <c r="Y64" s="3">
        <f t="shared" si="7"/>
        <v>125</v>
      </c>
      <c r="Z64" s="4">
        <f>IF('Raw Data'!O64="","",O63+N63)</f>
        <v>71.900000000000006</v>
      </c>
    </row>
    <row r="65" spans="1:27" x14ac:dyDescent="0.25">
      <c r="A65">
        <f>IF('Raw Data'!A65="","",'Raw Data'!A65)</f>
        <v>16</v>
      </c>
      <c r="B65">
        <f>IF('Raw Data'!B65="","",'Raw Data'!B65)</f>
        <v>17</v>
      </c>
      <c r="C65">
        <f>IF('Raw Data'!C65="","",'Raw Data'!C65)</f>
        <v>1</v>
      </c>
      <c r="D65">
        <f>IF('Raw Data'!D65="","",'Raw Data'!D65)</f>
        <v>0.5</v>
      </c>
      <c r="E65">
        <f>IF('Raw Data'!E65="","",'Raw Data'!E65)</f>
        <v>3</v>
      </c>
      <c r="F65">
        <f>IF('Raw Data'!F65="","",'Raw Data'!F65)</f>
        <v>3</v>
      </c>
      <c r="G65" s="7" t="str">
        <f>IF('Raw Data'!G65="/","-",IF('Raw Data'!G65="","-",SUBSTITUTE('Raw Data'!G65," ",":",1)))</f>
        <v>-</v>
      </c>
      <c r="H65" s="7" t="str">
        <f>IF('Raw Data'!H65="/","-",IF('Raw Data'!H65="","-",SUBSTITUTE('Raw Data'!H65," ",":",1)))</f>
        <v>265</v>
      </c>
      <c r="I65" s="7" t="str">
        <f>IF('Raw Data'!I65="/","-",IF('Raw Data'!I65="","-",SUBSTITUTE('Raw Data'!I65," ",":",1)))</f>
        <v>85</v>
      </c>
      <c r="J65" s="12">
        <f>IF('Raw Data'!J65="",IF(LEN(K65)&gt;6,SQRT('Raw Data'!M65^2+N65^2),""),'Raw Data'!J65)</f>
        <v>14.5</v>
      </c>
      <c r="K65" s="7" t="str">
        <f>IF('Raw Data'!K65="","",IF(LEN('Raw Data'!K65)&lt;7,SUBSTITUTE('Raw Data'!K65," ",":",1),'Raw Data'!K65))</f>
        <v>6</v>
      </c>
      <c r="L65" t="str">
        <f>IF('Raw Data'!L65="","",'Raw Data'!L65)</f>
        <v/>
      </c>
      <c r="M65">
        <f>IF('Raw Data'!M65="","",'Raw Data'!M65)</f>
        <v>14.4</v>
      </c>
      <c r="N65">
        <f>IF('Raw Data'!N65="","",IF('Raw Data'!N65="-",0,'Raw Data'!N65))</f>
        <v>1.5</v>
      </c>
      <c r="O65">
        <f>IF('Raw Data'!O65="",IF('Raw Data'!N65="","",0),'Raw Data'!O65)</f>
        <v>71.400000000000006</v>
      </c>
      <c r="P65" t="str">
        <f>IF('Raw Data'!P65="","",'Raw Data'!P65)</f>
        <v/>
      </c>
      <c r="Q65" t="str">
        <f t="shared" si="0"/>
        <v xml:space="preserve"> </v>
      </c>
      <c r="R65" s="3" t="str">
        <f t="shared" si="28"/>
        <v>-</v>
      </c>
      <c r="S65" s="3">
        <f t="shared" si="29"/>
        <v>265</v>
      </c>
      <c r="T65" s="3">
        <f t="shared" si="30"/>
        <v>85</v>
      </c>
      <c r="U65" s="3">
        <f t="shared" ref="U65:U67" si="36">IF(ISERROR(FIND(":",K65)),IF(K65="zero",0,1*K65),1*CONCATENATE(LEFT(K65,FIND(":",K65)-1),".",MID(RIGHT(K65,LEN(K65)-FIND(":",K65))/60,3,8)))</f>
        <v>6</v>
      </c>
      <c r="W65" s="4">
        <f t="shared" si="9"/>
        <v>14.420567482839962</v>
      </c>
      <c r="X65" s="4">
        <f t="shared" si="10"/>
        <v>1.5156627173809751</v>
      </c>
      <c r="Y65" s="3">
        <f t="shared" si="7"/>
        <v>85</v>
      </c>
      <c r="Z65" s="4">
        <f>IF('Raw Data'!O65="","",O64+N64)</f>
        <v>69.400000000000006</v>
      </c>
    </row>
    <row r="66" spans="1:27" x14ac:dyDescent="0.25">
      <c r="A66">
        <f>IF('Raw Data'!A66="","",'Raw Data'!A66)</f>
        <v>17</v>
      </c>
      <c r="B66">
        <f>IF('Raw Data'!B66="","",'Raw Data'!B66)</f>
        <v>18</v>
      </c>
      <c r="C66">
        <f>IF('Raw Data'!C66="","",'Raw Data'!C66)</f>
        <v>1</v>
      </c>
      <c r="D66">
        <f>IF('Raw Data'!D66="","",'Raw Data'!D66)</f>
        <v>1</v>
      </c>
      <c r="E66">
        <f>IF('Raw Data'!E66="","",'Raw Data'!E66)</f>
        <v>2</v>
      </c>
      <c r="F66">
        <f>IF('Raw Data'!F66="","",'Raw Data'!F66)</f>
        <v>3</v>
      </c>
      <c r="G66" s="7" t="str">
        <f>IF('Raw Data'!G66="/","-",IF('Raw Data'!G66="","-",SUBSTITUTE('Raw Data'!G66," ",":",1)))</f>
        <v>22</v>
      </c>
      <c r="H66" s="7" t="str">
        <f>IF('Raw Data'!H66="/","-",IF('Raw Data'!H66="","-",SUBSTITUTE('Raw Data'!H66," ",":",1)))</f>
        <v>-</v>
      </c>
      <c r="I66" s="7" t="str">
        <f>IF('Raw Data'!I66="/","-",IF('Raw Data'!I66="","-",SUBSTITUTE('Raw Data'!I66," ",":",1)))</f>
        <v>22</v>
      </c>
      <c r="J66" s="12">
        <f>IF('Raw Data'!J66="",IF(LEN(K66)&gt;6,SQRT('Raw Data'!M66^2+N66^2),""),'Raw Data'!J66)</f>
        <v>12.6</v>
      </c>
      <c r="K66" s="7" t="str">
        <f>IF('Raw Data'!K66="","",IF(LEN('Raw Data'!K66)&lt;7,SUBSTITUTE('Raw Data'!K66," ",":",1),'Raw Data'!K66))</f>
        <v>6</v>
      </c>
      <c r="L66" t="str">
        <f>IF('Raw Data'!L66="","",'Raw Data'!L66)</f>
        <v/>
      </c>
      <c r="M66">
        <f>IF('Raw Data'!M66="","",'Raw Data'!M66)</f>
        <v>12.5</v>
      </c>
      <c r="N66">
        <f>IF('Raw Data'!N66="","",IF('Raw Data'!N66="-",0,'Raw Data'!N66))</f>
        <v>1.3</v>
      </c>
      <c r="O66">
        <f>IF('Raw Data'!O66="",IF('Raw Data'!N66="","",0),'Raw Data'!O66)</f>
        <v>74.900000000000006</v>
      </c>
      <c r="P66" t="str">
        <f>IF('Raw Data'!P66="","",'Raw Data'!P66)</f>
        <v/>
      </c>
      <c r="Q66" t="str">
        <f t="shared" ref="Q66:Q119" si="37">" "</f>
        <v xml:space="preserve"> </v>
      </c>
      <c r="R66" s="3">
        <f t="shared" si="28"/>
        <v>22</v>
      </c>
      <c r="S66" s="3" t="str">
        <f t="shared" si="29"/>
        <v>-</v>
      </c>
      <c r="T66" s="3">
        <f t="shared" si="30"/>
        <v>22</v>
      </c>
      <c r="U66" s="3">
        <f t="shared" si="36"/>
        <v>6</v>
      </c>
      <c r="W66" s="4">
        <f t="shared" si="9"/>
        <v>12.530975881640243</v>
      </c>
      <c r="X66" s="4">
        <f t="shared" si="10"/>
        <v>1.3170586371724335</v>
      </c>
      <c r="Y66" s="3">
        <f t="shared" si="7"/>
        <v>22</v>
      </c>
      <c r="Z66" s="4">
        <f>IF('Raw Data'!O66="","",O65+N65)</f>
        <v>72.900000000000006</v>
      </c>
    </row>
    <row r="67" spans="1:27" x14ac:dyDescent="0.25">
      <c r="A67">
        <f>IF('Raw Data'!A67="","",'Raw Data'!A67)</f>
        <v>18</v>
      </c>
      <c r="B67">
        <f>IF('Raw Data'!B67="","",'Raw Data'!B67)</f>
        <v>19</v>
      </c>
      <c r="C67">
        <f>IF('Raw Data'!C67="","",'Raw Data'!C67)</f>
        <v>3</v>
      </c>
      <c r="D67">
        <f>IF('Raw Data'!D67="","",'Raw Data'!D67)</f>
        <v>11</v>
      </c>
      <c r="E67">
        <f>IF('Raw Data'!E67="","",'Raw Data'!E67)</f>
        <v>2</v>
      </c>
      <c r="F67">
        <f>IF('Raw Data'!F67="","",'Raw Data'!F67)</f>
        <v>2</v>
      </c>
      <c r="G67" s="7" t="str">
        <f>IF('Raw Data'!G67="/","-",IF('Raw Data'!G67="","-",SUBSTITUTE('Raw Data'!G67," ",":",1)))</f>
        <v>-</v>
      </c>
      <c r="H67" s="7" t="str">
        <f>IF('Raw Data'!H67="/","-",IF('Raw Data'!H67="","-",SUBSTITUTE('Raw Data'!H67," ",":",1)))</f>
        <v>-</v>
      </c>
      <c r="I67" s="7" t="str">
        <f>IF('Raw Data'!I67="/","-",IF('Raw Data'!I67="","-",SUBSTITUTE('Raw Data'!I67," ",":",1)))</f>
        <v>-</v>
      </c>
      <c r="J67" s="12">
        <f>IF('Raw Data'!J67="",IF(LEN(K67)&gt;6,SQRT('Raw Data'!M67^2+N67^2),""),'Raw Data'!J67)</f>
        <v>11</v>
      </c>
      <c r="K67" s="7" t="str">
        <f>IF('Raw Data'!K67="","",IF(LEN('Raw Data'!K67)&lt;7,SUBSTITUTE('Raw Data'!K67," ",":",1),'Raw Data'!K67))</f>
        <v>-90</v>
      </c>
      <c r="L67" t="str">
        <f>IF('Raw Data'!L67="","",'Raw Data'!L67)</f>
        <v/>
      </c>
      <c r="M67" t="str">
        <f>IF('Raw Data'!M67="","",'Raw Data'!M67)</f>
        <v>-</v>
      </c>
      <c r="N67">
        <f>IF('Raw Data'!N67="","",IF('Raw Data'!N67="-",0,'Raw Data'!N67))</f>
        <v>-11</v>
      </c>
      <c r="O67">
        <f>IF('Raw Data'!O67="",IF('Raw Data'!N67="","",0),'Raw Data'!O67)</f>
        <v>76.400000000000006</v>
      </c>
      <c r="P67" t="str">
        <f>IF('Raw Data'!P67="","",'Raw Data'!P67)</f>
        <v>18 is in crack at top of "11 foot drop"</v>
      </c>
      <c r="Q67" t="str">
        <f t="shared" si="37"/>
        <v xml:space="preserve"> </v>
      </c>
      <c r="R67" s="3" t="str">
        <f t="shared" si="28"/>
        <v>-</v>
      </c>
      <c r="S67" s="3" t="str">
        <f t="shared" si="29"/>
        <v>-</v>
      </c>
      <c r="T67" s="3" t="str">
        <f t="shared" si="30"/>
        <v>-</v>
      </c>
      <c r="U67" s="3">
        <f t="shared" si="36"/>
        <v>-90</v>
      </c>
      <c r="W67" s="4">
        <f t="shared" si="9"/>
        <v>6.7383165019974101E-16</v>
      </c>
      <c r="X67" s="4">
        <f t="shared" si="10"/>
        <v>-11</v>
      </c>
      <c r="Y67" s="3" t="e">
        <f t="shared" si="7"/>
        <v>#VALUE!</v>
      </c>
      <c r="Z67" s="4">
        <f>IF('Raw Data'!O67="","",O66+N66)</f>
        <v>76.2</v>
      </c>
      <c r="AA67" t="s">
        <v>895</v>
      </c>
    </row>
    <row r="68" spans="1:27" x14ac:dyDescent="0.25">
      <c r="A68" t="str">
        <f>IF('Raw Data'!A68="","",'Raw Data'!A68)</f>
        <v/>
      </c>
      <c r="B68" t="str">
        <f>IF('Raw Data'!B68="","",'Raw Data'!B68)</f>
        <v/>
      </c>
      <c r="C68" t="str">
        <f>IF('Raw Data'!C68="","",'Raw Data'!C68)</f>
        <v/>
      </c>
      <c r="D68" t="str">
        <f>IF('Raw Data'!D68="","",'Raw Data'!D68)</f>
        <v/>
      </c>
      <c r="E68" t="str">
        <f>IF('Raw Data'!E68="","",'Raw Data'!E68)</f>
        <v/>
      </c>
      <c r="F68" t="str">
        <f>IF('Raw Data'!F68="","",'Raw Data'!F68)</f>
        <v/>
      </c>
      <c r="G68" s="7" t="str">
        <f>IF('Raw Data'!G68="/","-",IF('Raw Data'!G68="","-",SUBSTITUTE('Raw Data'!G68," ",":",1)))</f>
        <v>-</v>
      </c>
      <c r="H68" s="7" t="str">
        <f>IF('Raw Data'!H68="/","-",IF('Raw Data'!H68="","-",SUBSTITUTE('Raw Data'!H68," ",":",1)))</f>
        <v>-</v>
      </c>
      <c r="I68" s="7" t="str">
        <f>IF('Raw Data'!I68="/","-",IF('Raw Data'!I68="","-",SUBSTITUTE('Raw Data'!I68," ",":",1)))</f>
        <v>-</v>
      </c>
      <c r="J68" s="12" t="str">
        <f>IF('Raw Data'!J68="",IF(LEN(K68)&gt;6,SQRT('Raw Data'!M68^2+N68^2),""),'Raw Data'!J68)</f>
        <v/>
      </c>
      <c r="K68" s="7" t="str">
        <f>IF('Raw Data'!K68="","",IF(LEN('Raw Data'!K68)&lt;7,SUBSTITUTE('Raw Data'!K68," ",":",1),'Raw Data'!K68))</f>
        <v/>
      </c>
      <c r="L68" t="str">
        <f>IF('Raw Data'!L68="","",'Raw Data'!L68)</f>
        <v/>
      </c>
      <c r="M68" t="str">
        <f>IF('Raw Data'!M68="","",'Raw Data'!M68)</f>
        <v/>
      </c>
      <c r="N68" t="str">
        <f>IF('Raw Data'!N68="","",IF('Raw Data'!N68="-",0,'Raw Data'!N68))</f>
        <v/>
      </c>
      <c r="O68" t="str">
        <f>IF('Raw Data'!O68="",IF('Raw Data'!N68="","",0),'Raw Data'!O68)</f>
        <v/>
      </c>
      <c r="P68" t="str">
        <f>IF('Raw Data'!P68="","",'Raw Data'!P68)</f>
        <v>Total = 1562'</v>
      </c>
      <c r="Q68" t="str">
        <f t="shared" si="37"/>
        <v xml:space="preserve"> </v>
      </c>
      <c r="W68" s="4"/>
      <c r="X68" s="4"/>
      <c r="Y68" s="3"/>
      <c r="Z68" s="4" t="str">
        <f>IF('Raw Data'!O68="","",O67+N67)</f>
        <v/>
      </c>
    </row>
    <row r="69" spans="1:27" x14ac:dyDescent="0.25">
      <c r="A69" t="str">
        <f>IF('Raw Data'!A69="","",'Raw Data'!A69)</f>
        <v>p. 51-52</v>
      </c>
      <c r="B69" t="str">
        <f>IF('Raw Data'!B69="","",'Raw Data'!B69)</f>
        <v>(=PDF p.55-56)</v>
      </c>
      <c r="C69" t="str">
        <f>IF('Raw Data'!C69="","",'Raw Data'!C69)</f>
        <v/>
      </c>
      <c r="D69" t="str">
        <f>IF('Raw Data'!D69="","",'Raw Data'!D69)</f>
        <v/>
      </c>
      <c r="E69" t="str">
        <f>IF('Raw Data'!E69="","",'Raw Data'!E69)</f>
        <v/>
      </c>
      <c r="F69" t="str">
        <f>IF('Raw Data'!F69="","",'Raw Data'!F69)</f>
        <v/>
      </c>
      <c r="G69" s="7" t="str">
        <f>IF('Raw Data'!G69="/","-",IF('Raw Data'!G69="","-",SUBSTITUTE('Raw Data'!G69," ",":",1)))</f>
        <v>-</v>
      </c>
      <c r="H69" s="7" t="str">
        <f>IF('Raw Data'!H69="/","-",IF('Raw Data'!H69="","-",SUBSTITUTE('Raw Data'!H69," ",":",1)))</f>
        <v>-</v>
      </c>
      <c r="I69" s="7" t="str">
        <f>IF('Raw Data'!I69="/","-",IF('Raw Data'!I69="","-",SUBSTITUTE('Raw Data'!I69," ",":",1)))</f>
        <v>-</v>
      </c>
      <c r="J69" s="12" t="str">
        <f>IF('Raw Data'!J69="",IF(LEN(K69)&gt;6,SQRT('Raw Data'!M69^2+N69^2),""),'Raw Data'!J69)</f>
        <v/>
      </c>
      <c r="K69" s="7" t="str">
        <f>IF('Raw Data'!K69="","",IF(LEN('Raw Data'!K69)&lt;7,SUBSTITUTE('Raw Data'!K69," ",":",1),'Raw Data'!K69))</f>
        <v/>
      </c>
      <c r="L69" t="str">
        <f>IF('Raw Data'!L69="","",'Raw Data'!L69)</f>
        <v/>
      </c>
      <c r="M69" t="str">
        <f>IF('Raw Data'!M69="","",'Raw Data'!M69)</f>
        <v/>
      </c>
      <c r="N69" t="str">
        <f>IF('Raw Data'!N69="","",IF('Raw Data'!N69="-",0,'Raw Data'!N69))</f>
        <v/>
      </c>
      <c r="O69" t="str">
        <f>IF('Raw Data'!O69="",IF('Raw Data'!N69="","",0),'Raw Data'!O69)</f>
        <v/>
      </c>
      <c r="P69" t="str">
        <f>IF('Raw Data'!P69="","",'Raw Data'!P69)</f>
        <v/>
      </c>
      <c r="Q69" t="str">
        <f t="shared" si="37"/>
        <v xml:space="preserve"> </v>
      </c>
      <c r="W69" s="4"/>
      <c r="X69" s="4"/>
      <c r="Y69" s="3"/>
      <c r="Z69" s="4" t="str">
        <f>IF('Raw Data'!O69="","",O68+N68)</f>
        <v/>
      </c>
    </row>
    <row r="70" spans="1:27" x14ac:dyDescent="0.25">
      <c r="A70" t="str">
        <f>IF('Raw Data'!A70="","",'Raw Data'!A70)</f>
        <v>30th March 1952</v>
      </c>
      <c r="B70" t="str">
        <f>IF('Raw Data'!B70="","",'Raw Data'!B70)</f>
        <v/>
      </c>
      <c r="C70" t="str">
        <f>IF('Raw Data'!C70="","",'Raw Data'!C70)</f>
        <v/>
      </c>
      <c r="D70" t="str">
        <f>IF('Raw Data'!D70="","",'Raw Data'!D70)</f>
        <v/>
      </c>
      <c r="E70" t="str">
        <f>IF('Raw Data'!E70="","",'Raw Data'!E70)</f>
        <v/>
      </c>
      <c r="F70" t="str">
        <f>IF('Raw Data'!F70="","",'Raw Data'!F70)</f>
        <v/>
      </c>
      <c r="G70" s="7" t="str">
        <f>IF('Raw Data'!G70="/","-",IF('Raw Data'!G70="","-",SUBSTITUTE('Raw Data'!G70," ",":",1)))</f>
        <v>-</v>
      </c>
      <c r="H70" s="7" t="str">
        <f>IF('Raw Data'!H70="/","-",IF('Raw Data'!H70="","-",SUBSTITUTE('Raw Data'!H70," ",":",1)))</f>
        <v>-</v>
      </c>
      <c r="I70" s="7" t="str">
        <f>IF('Raw Data'!I70="/","-",IF('Raw Data'!I70="","-",SUBSTITUTE('Raw Data'!I70," ",":",1)))</f>
        <v>-</v>
      </c>
      <c r="J70" s="12" t="str">
        <f>IF('Raw Data'!J70="",IF(LEN(K70)&gt;6,SQRT('Raw Data'!M70^2+N70^2),""),'Raw Data'!J70)</f>
        <v/>
      </c>
      <c r="K70" s="7" t="str">
        <f>IF('Raw Data'!K70="","",IF(LEN('Raw Data'!K70)&lt;7,SUBSTITUTE('Raw Data'!K70," ",":",1),'Raw Data'!K70))</f>
        <v/>
      </c>
      <c r="L70" t="str">
        <f>IF('Raw Data'!L70="","",'Raw Data'!L70)</f>
        <v/>
      </c>
      <c r="M70" t="str">
        <f>IF('Raw Data'!M70="","",'Raw Data'!M70)</f>
        <v/>
      </c>
      <c r="N70" t="str">
        <f>IF('Raw Data'!N70="","",IF('Raw Data'!N70="-",0,'Raw Data'!N70))</f>
        <v/>
      </c>
      <c r="O70" t="str">
        <f>IF('Raw Data'!O70="",IF('Raw Data'!N70="","",0),'Raw Data'!O70)</f>
        <v/>
      </c>
      <c r="P70" t="str">
        <f>IF('Raw Data'!P70="","",'Raw Data'!P70)</f>
        <v/>
      </c>
      <c r="Q70" t="str">
        <f t="shared" si="37"/>
        <v xml:space="preserve"> </v>
      </c>
      <c r="W70" s="4"/>
      <c r="X70" s="4"/>
      <c r="Y70" s="3"/>
      <c r="Z70" s="4" t="str">
        <f>IF('Raw Data'!O70="","",O69+N69)</f>
        <v/>
      </c>
    </row>
    <row r="71" spans="1:27" x14ac:dyDescent="0.25">
      <c r="A71" t="str">
        <f>IF('Raw Data'!A71="","",'Raw Data'!A71)</f>
        <v>B1</v>
      </c>
      <c r="B71" t="str">
        <f>IF('Raw Data'!B71="","",'Raw Data'!B71)</f>
        <v>AA</v>
      </c>
      <c r="C71" t="str">
        <f>IF('Raw Data'!C71="","",'Raw Data'!C71)</f>
        <v>/</v>
      </c>
      <c r="D71">
        <f>IF('Raw Data'!D71="","",'Raw Data'!D71)</f>
        <v>2</v>
      </c>
      <c r="E71" t="str">
        <f>IF('Raw Data'!E71="","",'Raw Data'!E71)</f>
        <v>/</v>
      </c>
      <c r="F71" t="str">
        <f>IF('Raw Data'!F71="","",'Raw Data'!F71)</f>
        <v>/</v>
      </c>
      <c r="G71" s="7" t="str">
        <f>IF('Raw Data'!G71="/","-",IF('Raw Data'!G71="","-",SUBSTITUTE('Raw Data'!G71," ",":",1)))</f>
        <v>-</v>
      </c>
      <c r="H71" s="7" t="str">
        <f>IF('Raw Data'!H71="/","-",IF('Raw Data'!H71="","-",SUBSTITUTE('Raw Data'!H71," ",":",1)))</f>
        <v>293:40</v>
      </c>
      <c r="I71" s="7" t="str">
        <f>IF('Raw Data'!I71="/","-",IF('Raw Data'!I71="","-",SUBSTITUTE('Raw Data'!I71," ",":",1)))</f>
        <v>113:40</v>
      </c>
      <c r="J71" s="12">
        <f>IF('Raw Data'!J71="",IF(LEN(K71)&gt;6,SQRT('Raw Data'!M71^2+N71^2),""),'Raw Data'!J71)</f>
        <v>78.099999999999994</v>
      </c>
      <c r="K71" s="7" t="str">
        <f>IF('Raw Data'!K71="","",IF(LEN('Raw Data'!K71)&lt;7,SUBSTITUTE('Raw Data'!K71," ",":",1),'Raw Data'!K71))</f>
        <v>9:30</v>
      </c>
      <c r="L71" t="str">
        <f>IF('Raw Data'!L71="","",'Raw Data'!L71)</f>
        <v/>
      </c>
      <c r="M71">
        <f>IF('Raw Data'!M71="","",'Raw Data'!M71)</f>
        <v>77.099999999999994</v>
      </c>
      <c r="N71">
        <f>IF('Raw Data'!N71="","",IF('Raw Data'!N71="-",0,'Raw Data'!N71))</f>
        <v>12.9</v>
      </c>
      <c r="O71">
        <f>IF('Raw Data'!O71="",IF('Raw Data'!N71="","",0),'Raw Data'!O71)</f>
        <v>12</v>
      </c>
      <c r="P71" t="str">
        <f>IF('Raw Data'!P71="","",'Raw Data'!P71)</f>
        <v>B1 ('beta' in original notes) is station B1 of page 45, at entrance to "P.G." passage</v>
      </c>
      <c r="Q71" t="str">
        <f t="shared" si="37"/>
        <v xml:space="preserve"> </v>
      </c>
      <c r="R71" s="3" t="str">
        <f t="shared" si="28"/>
        <v>-</v>
      </c>
      <c r="S71" s="3">
        <f t="shared" si="29"/>
        <v>293.66666666666669</v>
      </c>
      <c r="T71" s="3">
        <f t="shared" si="30"/>
        <v>113.66666666666667</v>
      </c>
      <c r="U71" s="3">
        <f t="shared" ref="U71:U82" si="38">IF(ISERROR(FIND(":",K71)),IF(K71="zero",0,1*K71),1*CONCATENATE(LEFT(K71,FIND(":",K71)-1),".",MID(RIGHT(K71,LEN(K71)-FIND(":",K71))/60,3,8)))</f>
        <v>9.5</v>
      </c>
      <c r="W71" s="4">
        <f t="shared" si="9"/>
        <v>77.028905480057773</v>
      </c>
      <c r="X71" s="4">
        <f t="shared" si="10"/>
        <v>12.890218017718922</v>
      </c>
      <c r="Y71" s="3">
        <f t="shared" ref="Y71:Y119" si="39">IF(R71="-",IF(S71&gt;180,S71-180,S71+180),R71)</f>
        <v>113.66666666666669</v>
      </c>
      <c r="Z71" s="4">
        <f>IF('Raw Data'!O71="","",O27)</f>
        <v>11</v>
      </c>
      <c r="AA71" t="s">
        <v>897</v>
      </c>
    </row>
    <row r="72" spans="1:27" x14ac:dyDescent="0.25">
      <c r="A72" t="str">
        <f>IF('Raw Data'!A72="","",'Raw Data'!A72)</f>
        <v>AA</v>
      </c>
      <c r="B72" t="str">
        <f>IF('Raw Data'!B72="","",'Raw Data'!B72)</f>
        <v>AB</v>
      </c>
      <c r="C72">
        <f>IF('Raw Data'!C72="","",'Raw Data'!C72)</f>
        <v>25</v>
      </c>
      <c r="D72">
        <f>IF('Raw Data'!D72="","",'Raw Data'!D72)</f>
        <v>5</v>
      </c>
      <c r="E72">
        <f>IF('Raw Data'!E72="","",'Raw Data'!E72)</f>
        <v>8</v>
      </c>
      <c r="F72">
        <f>IF('Raw Data'!F72="","",'Raw Data'!F72)</f>
        <v>7</v>
      </c>
      <c r="G72" s="7" t="str">
        <f>IF('Raw Data'!G72="/","-",IF('Raw Data'!G72="","-",SUBSTITUTE('Raw Data'!G72," ",":",1)))</f>
        <v>115:30</v>
      </c>
      <c r="H72" s="7" t="str">
        <f>IF('Raw Data'!H72="/","-",IF('Raw Data'!H72="","-",SUBSTITUTE('Raw Data'!H72," ",":",1)))</f>
        <v>-</v>
      </c>
      <c r="I72" s="7" t="str">
        <f>IF('Raw Data'!I72="/","-",IF('Raw Data'!I72="","-",SUBSTITUTE('Raw Data'!I72," ",":",1)))</f>
        <v>115:30</v>
      </c>
      <c r="J72" s="12">
        <f>IF('Raw Data'!J72="",IF(LEN(K72)&gt;6,SQRT('Raw Data'!M72^2+N72^2),""),'Raw Data'!J72)</f>
        <v>24.1</v>
      </c>
      <c r="K72" s="7" t="str">
        <f>IF('Raw Data'!K72="","",IF(LEN('Raw Data'!K72)&lt;7,SUBSTITUTE('Raw Data'!K72," ",":",1),'Raw Data'!K72))</f>
        <v>-5:30</v>
      </c>
      <c r="L72" t="str">
        <f>IF('Raw Data'!L72="","",'Raw Data'!L72)</f>
        <v/>
      </c>
      <c r="M72">
        <f>IF('Raw Data'!M72="","",'Raw Data'!M72)</f>
        <v>24</v>
      </c>
      <c r="N72">
        <f>IF('Raw Data'!N72="","",IF('Raw Data'!N72="-",0,'Raw Data'!N72))</f>
        <v>-2.2999999999999998</v>
      </c>
      <c r="O72">
        <f>IF('Raw Data'!O72="",IF('Raw Data'!N72="","",0),'Raw Data'!O72)</f>
        <v>24.9</v>
      </c>
      <c r="P72" t="str">
        <f>IF('Raw Data'!P72="","",'Raw Data'!P72)</f>
        <v>AA on a big high rock</v>
      </c>
      <c r="Q72" t="str">
        <f t="shared" si="37"/>
        <v xml:space="preserve"> </v>
      </c>
      <c r="R72" s="3">
        <f t="shared" ref="R72:R86" si="40">IF(ISERROR(FIND(":",G72)),IF(G72&lt;&gt;"-",1*G72,G72),1*LEFT(G72,FIND(":",G72)-1)+RIGHT(G72,LEN(G72)-FIND(":",G72))/60)</f>
        <v>115.5</v>
      </c>
      <c r="S72" s="3" t="str">
        <f t="shared" ref="S72:S86" si="41">IF(ISERROR(FIND(":",H72)),IF(H72&lt;&gt;"-",1*H72,H72),1*LEFT(H72,FIND(":",H72)-1)+RIGHT(H72,LEN(H72)-FIND(":",H72))/60)</f>
        <v>-</v>
      </c>
      <c r="T72" s="3">
        <f t="shared" ref="T72:T86" si="42">IF(ISERROR(FIND(":",I72)),IF(I72&lt;&gt;"-",1*I72,I72),1*LEFT(I72,FIND(":",I72)-1)+RIGHT(I72,LEN(I72)-FIND(":",I72))/60)</f>
        <v>115.5</v>
      </c>
      <c r="U72" s="3">
        <f t="shared" si="38"/>
        <v>-5.5</v>
      </c>
      <c r="W72" s="4">
        <f t="shared" si="9"/>
        <v>23.989048380649013</v>
      </c>
      <c r="X72" s="4">
        <f t="shared" si="10"/>
        <v>-2.3098826357373983</v>
      </c>
      <c r="Y72" s="3">
        <f t="shared" si="39"/>
        <v>115.5</v>
      </c>
      <c r="Z72" s="4">
        <f>IF('Raw Data'!O72="","",O71+N71)</f>
        <v>24.9</v>
      </c>
    </row>
    <row r="73" spans="1:27" x14ac:dyDescent="0.25">
      <c r="A73" t="str">
        <f>IF('Raw Data'!A73="","",'Raw Data'!A73)</f>
        <v>AB</v>
      </c>
      <c r="B73" t="str">
        <f>IF('Raw Data'!B73="","",'Raw Data'!B73)</f>
        <v>AC</v>
      </c>
      <c r="C73">
        <f>IF('Raw Data'!C73="","",'Raw Data'!C73)</f>
        <v>20</v>
      </c>
      <c r="D73">
        <f>IF('Raw Data'!D73="","",'Raw Data'!D73)</f>
        <v>5</v>
      </c>
      <c r="E73">
        <f>IF('Raw Data'!E73="","",'Raw Data'!E73)</f>
        <v>6</v>
      </c>
      <c r="F73">
        <f>IF('Raw Data'!F73="","",'Raw Data'!F73)</f>
        <v>0.5</v>
      </c>
      <c r="G73" s="7" t="str">
        <f>IF('Raw Data'!G73="/","-",IF('Raw Data'!G73="","-",SUBSTITUTE('Raw Data'!G73," ",":",1)))</f>
        <v>-</v>
      </c>
      <c r="H73" s="7" t="str">
        <f>IF('Raw Data'!H73="/","-",IF('Raw Data'!H73="","-",SUBSTITUTE('Raw Data'!H73," ",":",1)))</f>
        <v>277:50</v>
      </c>
      <c r="I73" s="7" t="str">
        <f>IF('Raw Data'!I73="/","-",IF('Raw Data'!I73="","-",SUBSTITUTE('Raw Data'!I73," ",":",1)))</f>
        <v>097:50</v>
      </c>
      <c r="J73" s="12">
        <f>IF('Raw Data'!J73="",IF(LEN(K73)&gt;6,SQRT('Raw Data'!M73^2+N73^2),""),'Raw Data'!J73)</f>
        <v>29.2</v>
      </c>
      <c r="K73" s="7" t="str">
        <f>IF('Raw Data'!K73="","",IF(LEN('Raw Data'!K73)&lt;7,SUBSTITUTE('Raw Data'!K73," ",":",1),'Raw Data'!K73))</f>
        <v>0:30</v>
      </c>
      <c r="L73" t="str">
        <f>IF('Raw Data'!L73="","",'Raw Data'!L73)</f>
        <v/>
      </c>
      <c r="M73">
        <f>IF('Raw Data'!M73="","",'Raw Data'!M73)</f>
        <v>29.2</v>
      </c>
      <c r="N73">
        <f>IF('Raw Data'!N73="","",IF('Raw Data'!N73="-",0,'Raw Data'!N73))</f>
        <v>0.3</v>
      </c>
      <c r="O73">
        <f>IF('Raw Data'!O73="",IF('Raw Data'!N73="","",0),'Raw Data'!O73)</f>
        <v>22.6</v>
      </c>
      <c r="P73" t="str">
        <f>IF('Raw Data'!P73="","",'Raw Data'!P73)</f>
        <v>AB on big rock. Stream sinks below boulders.</v>
      </c>
      <c r="Q73" t="str">
        <f t="shared" si="37"/>
        <v xml:space="preserve"> </v>
      </c>
      <c r="R73" s="3" t="str">
        <f t="shared" si="40"/>
        <v>-</v>
      </c>
      <c r="S73" s="3">
        <f t="shared" si="41"/>
        <v>277.83333333333331</v>
      </c>
      <c r="T73" s="3">
        <f t="shared" si="42"/>
        <v>97.833333333333329</v>
      </c>
      <c r="U73" s="3">
        <f t="shared" si="38"/>
        <v>0.5</v>
      </c>
      <c r="W73" s="4">
        <f t="shared" ref="W73:W119" si="43">J73*COS(U73*PI()/180)</f>
        <v>29.198888153473803</v>
      </c>
      <c r="X73" s="4">
        <f t="shared" ref="X73:X119" si="44">J73*SIN(U73*PI()/180)</f>
        <v>0.25481483655251891</v>
      </c>
      <c r="Y73" s="3">
        <f t="shared" si="39"/>
        <v>97.833333333333314</v>
      </c>
      <c r="Z73" s="4">
        <f>IF('Raw Data'!O73="","",O72+N72)</f>
        <v>22.599999999999998</v>
      </c>
    </row>
    <row r="74" spans="1:27" x14ac:dyDescent="0.25">
      <c r="A74" t="str">
        <f>IF('Raw Data'!A74="","",'Raw Data'!A74)</f>
        <v>AC</v>
      </c>
      <c r="B74" t="str">
        <f>IF('Raw Data'!B74="","",'Raw Data'!B74)</f>
        <v>AD</v>
      </c>
      <c r="C74" t="str">
        <f>IF('Raw Data'!C74="","",'Raw Data'!C74)</f>
        <v>5 to rock jam</v>
      </c>
      <c r="D74">
        <f>IF('Raw Data'!D74="","",'Raw Data'!D74)</f>
        <v>2.5</v>
      </c>
      <c r="E74">
        <f>IF('Raw Data'!E74="","",'Raw Data'!E74)</f>
        <v>1</v>
      </c>
      <c r="F74">
        <f>IF('Raw Data'!F74="","",'Raw Data'!F74)</f>
        <v>7.2</v>
      </c>
      <c r="G74" s="7" t="str">
        <f>IF('Raw Data'!G74="/","-",IF('Raw Data'!G74="","-",SUBSTITUTE('Raw Data'!G74," ",":",1)))</f>
        <v>121:00</v>
      </c>
      <c r="H74" s="7" t="str">
        <f>IF('Raw Data'!H74="/","-",IF('Raw Data'!H74="","-",SUBSTITUTE('Raw Data'!H74," ",":",1)))</f>
        <v>-</v>
      </c>
      <c r="I74" s="7" t="str">
        <f>IF('Raw Data'!I74="/","-",IF('Raw Data'!I74="","-",SUBSTITUTE('Raw Data'!I74," ",":",1)))</f>
        <v>121:00</v>
      </c>
      <c r="J74" s="12">
        <f>IF('Raw Data'!J74="",IF(LEN(K74)&gt;6,SQRT('Raw Data'!M74^2+N74^2),""),'Raw Data'!J74)</f>
        <v>10.6</v>
      </c>
      <c r="K74" s="7" t="str">
        <f>IF('Raw Data'!K74="","",IF(LEN('Raw Data'!K74)&lt;7,SUBSTITUTE('Raw Data'!K74," ",":",1),'Raw Data'!K74))</f>
        <v>22:30</v>
      </c>
      <c r="L74" t="str">
        <f>IF('Raw Data'!L74="","",'Raw Data'!L74)</f>
        <v/>
      </c>
      <c r="M74">
        <f>IF('Raw Data'!M74="","",'Raw Data'!M74)</f>
        <v>9.8000000000000007</v>
      </c>
      <c r="N74">
        <f>IF('Raw Data'!N74="","",IF('Raw Data'!N74="-",0,'Raw Data'!N74))</f>
        <v>4.0999999999999996</v>
      </c>
      <c r="O74">
        <f>IF('Raw Data'!O74="",IF('Raw Data'!N74="","",0),'Raw Data'!O74)</f>
        <v>22.9</v>
      </c>
      <c r="P74" t="str">
        <f>IF('Raw Data'!P74="","",'Raw Data'!P74)</f>
        <v>AC on dirty great big rock.</v>
      </c>
      <c r="Q74" t="str">
        <f t="shared" si="37"/>
        <v xml:space="preserve"> </v>
      </c>
      <c r="R74" s="3">
        <f t="shared" si="40"/>
        <v>121</v>
      </c>
      <c r="S74" s="3" t="str">
        <f t="shared" si="41"/>
        <v>-</v>
      </c>
      <c r="T74" s="3">
        <f t="shared" si="42"/>
        <v>121</v>
      </c>
      <c r="U74" s="3">
        <f t="shared" si="38"/>
        <v>22.5</v>
      </c>
      <c r="W74" s="4">
        <f t="shared" si="43"/>
        <v>9.7931230446196391</v>
      </c>
      <c r="X74" s="4">
        <f t="shared" si="44"/>
        <v>4.0564443830699517</v>
      </c>
      <c r="Y74" s="3">
        <f t="shared" si="39"/>
        <v>121</v>
      </c>
      <c r="Z74" s="4">
        <f>IF('Raw Data'!O74="","",O73+N73)</f>
        <v>22.900000000000002</v>
      </c>
    </row>
    <row r="75" spans="1:27" x14ac:dyDescent="0.25">
      <c r="A75" t="str">
        <f>IF('Raw Data'!A75="","",'Raw Data'!A75)</f>
        <v>AD</v>
      </c>
      <c r="B75" t="str">
        <f>IF('Raw Data'!B75="","",'Raw Data'!B75)</f>
        <v>AE</v>
      </c>
      <c r="C75">
        <f>IF('Raw Data'!C75="","",'Raw Data'!C75)</f>
        <v>30</v>
      </c>
      <c r="D75">
        <f>IF('Raw Data'!D75="","",'Raw Data'!D75)</f>
        <v>5</v>
      </c>
      <c r="E75">
        <f>IF('Raw Data'!E75="","",'Raw Data'!E75)</f>
        <v>5</v>
      </c>
      <c r="F75">
        <f>IF('Raw Data'!F75="","",'Raw Data'!F75)</f>
        <v>2</v>
      </c>
      <c r="G75" s="7" t="str">
        <f>IF('Raw Data'!G75="/","-",IF('Raw Data'!G75="","-",SUBSTITUTE('Raw Data'!G75," ",":",1)))</f>
        <v>-</v>
      </c>
      <c r="H75" s="7" t="str">
        <f>IF('Raw Data'!H75="/","-",IF('Raw Data'!H75="","-",SUBSTITUTE('Raw Data'!H75," ",":",1)))</f>
        <v>290:00</v>
      </c>
      <c r="I75" s="7" t="str">
        <f>IF('Raw Data'!I75="/","-",IF('Raw Data'!I75="","-",SUBSTITUTE('Raw Data'!I75," ",":",1)))</f>
        <v>110:00</v>
      </c>
      <c r="J75" s="12">
        <f>IF('Raw Data'!J75="",IF(LEN(K75)&gt;6,SQRT('Raw Data'!M75^2+N75^2),""),'Raw Data'!J75)</f>
        <v>48.3</v>
      </c>
      <c r="K75" s="7" t="str">
        <f>IF('Raw Data'!K75="","",IF(LEN('Raw Data'!K75)&lt;7,SUBSTITUTE('Raw Data'!K75," ",":",1),'Raw Data'!K75))</f>
        <v>9:40</v>
      </c>
      <c r="L75" t="str">
        <f>IF('Raw Data'!L75="","",'Raw Data'!L75)</f>
        <v/>
      </c>
      <c r="M75">
        <f>IF('Raw Data'!M75="","",'Raw Data'!M75)</f>
        <v>47.6</v>
      </c>
      <c r="N75">
        <f>IF('Raw Data'!N75="","",IF('Raw Data'!N75="-",0,'Raw Data'!N75))</f>
        <v>8.1</v>
      </c>
      <c r="O75">
        <f>IF('Raw Data'!O75="",IF('Raw Data'!N75="","",0),'Raw Data'!O75)</f>
        <v>27</v>
      </c>
      <c r="P75" t="str">
        <f>IF('Raw Data'!P75="","",'Raw Data'!P75)</f>
        <v>Stream rises from boulders.</v>
      </c>
      <c r="Q75" t="str">
        <f t="shared" si="37"/>
        <v xml:space="preserve"> </v>
      </c>
      <c r="R75" s="3" t="str">
        <f t="shared" si="40"/>
        <v>-</v>
      </c>
      <c r="S75" s="3">
        <f t="shared" si="41"/>
        <v>290</v>
      </c>
      <c r="T75" s="3">
        <f t="shared" si="42"/>
        <v>110</v>
      </c>
      <c r="U75" s="3">
        <f t="shared" si="38"/>
        <v>9.6666666600000006</v>
      </c>
      <c r="W75" s="4">
        <f t="shared" si="43"/>
        <v>47.614204018655279</v>
      </c>
      <c r="X75" s="4">
        <f t="shared" si="44"/>
        <v>8.1103375805123683</v>
      </c>
      <c r="Y75" s="3">
        <f t="shared" si="39"/>
        <v>110</v>
      </c>
      <c r="Z75" s="4">
        <f>IF('Raw Data'!O75="","",O74+N74)</f>
        <v>27</v>
      </c>
    </row>
    <row r="76" spans="1:27" x14ac:dyDescent="0.25">
      <c r="A76" t="str">
        <f>IF('Raw Data'!A76="","",'Raw Data'!A76)</f>
        <v>AE</v>
      </c>
      <c r="B76" t="str">
        <f>IF('Raw Data'!B76="","",'Raw Data'!B76)</f>
        <v>AF</v>
      </c>
      <c r="C76">
        <f>IF('Raw Data'!C76="","",'Raw Data'!C76)</f>
        <v>40</v>
      </c>
      <c r="D76" t="str">
        <f>IF('Raw Data'!D76="","",'Raw Data'!D76)</f>
        <v>5 to water</v>
      </c>
      <c r="E76">
        <f>IF('Raw Data'!E76="","",'Raw Data'!E76)</f>
        <v>3</v>
      </c>
      <c r="F76">
        <f>IF('Raw Data'!F76="","",'Raw Data'!F76)</f>
        <v>4</v>
      </c>
      <c r="G76" s="7" t="str">
        <f>IF('Raw Data'!G76="/","-",IF('Raw Data'!G76="","-",SUBSTITUTE('Raw Data'!G76," ",":",1)))</f>
        <v>050:30</v>
      </c>
      <c r="H76" s="7" t="str">
        <f>IF('Raw Data'!H76="/","-",IF('Raw Data'!H76="","-",SUBSTITUTE('Raw Data'!H76," ",":",1)))</f>
        <v>-</v>
      </c>
      <c r="I76" s="7" t="str">
        <f>IF('Raw Data'!I76="/","-",IF('Raw Data'!I76="","-",SUBSTITUTE('Raw Data'!I76," ",":",1)))</f>
        <v>050:30</v>
      </c>
      <c r="J76" s="12">
        <f>IF('Raw Data'!J76="",IF(LEN(K76)&gt;6,SQRT('Raw Data'!M76^2+N76^2),""),'Raw Data'!J76)</f>
        <v>17</v>
      </c>
      <c r="K76" s="7" t="str">
        <f>IF('Raw Data'!K76="","",IF(LEN('Raw Data'!K76)&lt;7,SUBSTITUTE('Raw Data'!K76," ",":",1),'Raw Data'!K76))</f>
        <v>10:20</v>
      </c>
      <c r="L76" t="str">
        <f>IF('Raw Data'!L76="","",'Raw Data'!L76)</f>
        <v/>
      </c>
      <c r="M76">
        <f>IF('Raw Data'!M76="","",'Raw Data'!M76)</f>
        <v>16.7</v>
      </c>
      <c r="N76">
        <f>IF('Raw Data'!N76="","",IF('Raw Data'!N76="-",0,'Raw Data'!N76))</f>
        <v>3</v>
      </c>
      <c r="O76">
        <f>IF('Raw Data'!O76="",IF('Raw Data'!N76="","",0),'Raw Data'!O76)</f>
        <v>35.1</v>
      </c>
      <c r="P76" t="str">
        <f>IF('Raw Data'!P76="","",'Raw Data'!P76)</f>
        <v>Stream sinks below boulders.</v>
      </c>
      <c r="Q76" t="str">
        <f t="shared" si="37"/>
        <v xml:space="preserve"> </v>
      </c>
      <c r="R76" s="3">
        <f t="shared" si="40"/>
        <v>50.5</v>
      </c>
      <c r="S76" s="3" t="str">
        <f t="shared" si="41"/>
        <v>-</v>
      </c>
      <c r="T76" s="3">
        <f t="shared" si="42"/>
        <v>50.5</v>
      </c>
      <c r="U76" s="3">
        <f t="shared" si="38"/>
        <v>10.33333333</v>
      </c>
      <c r="W76" s="4">
        <f t="shared" si="43"/>
        <v>16.724274425060901</v>
      </c>
      <c r="X76" s="4">
        <f t="shared" si="44"/>
        <v>3.0493679599637966</v>
      </c>
      <c r="Y76" s="3">
        <f t="shared" si="39"/>
        <v>50.5</v>
      </c>
      <c r="Z76" s="4">
        <f>IF('Raw Data'!O76="","",O75+N75)</f>
        <v>35.1</v>
      </c>
    </row>
    <row r="77" spans="1:27" x14ac:dyDescent="0.25">
      <c r="A77" t="str">
        <f>IF('Raw Data'!A77="","",'Raw Data'!A77)</f>
        <v>AF</v>
      </c>
      <c r="B77" t="str">
        <f>IF('Raw Data'!B77="","",'Raw Data'!B77)</f>
        <v>AG</v>
      </c>
      <c r="C77">
        <f>IF('Raw Data'!C77="","",'Raw Data'!C77)</f>
        <v>30</v>
      </c>
      <c r="D77">
        <f>IF('Raw Data'!D77="","",'Raw Data'!D77)</f>
        <v>5</v>
      </c>
      <c r="E77" t="str">
        <f>IF('Raw Data'!E77="","",'Raw Data'!E77)</f>
        <v>-</v>
      </c>
      <c r="F77">
        <f>IF('Raw Data'!F77="","",'Raw Data'!F77)</f>
        <v>3</v>
      </c>
      <c r="G77" s="7" t="str">
        <f>IF('Raw Data'!G77="/","-",IF('Raw Data'!G77="","-",SUBSTITUTE('Raw Data'!G77," ",":",1)))</f>
        <v>-</v>
      </c>
      <c r="H77" s="7" t="str">
        <f>IF('Raw Data'!H77="/","-",IF('Raw Data'!H77="","-",SUBSTITUTE('Raw Data'!H77," ",":",1)))</f>
        <v>313:00</v>
      </c>
      <c r="I77" s="7" t="str">
        <f>IF('Raw Data'!I77="/","-",IF('Raw Data'!I77="","-",SUBSTITUTE('Raw Data'!I77," ",":",1)))</f>
        <v>133:00</v>
      </c>
      <c r="J77" s="12">
        <f>IF('Raw Data'!J77="",IF(LEN(K77)&gt;6,SQRT('Raw Data'!M77^2+N77^2),""),'Raw Data'!J77)</f>
        <v>20.2</v>
      </c>
      <c r="K77" s="7" t="str">
        <f>IF('Raw Data'!K77="","",IF(LEN('Raw Data'!K77)&lt;7,SUBSTITUTE('Raw Data'!K77," ",":",1),'Raw Data'!K77))</f>
        <v>3:00</v>
      </c>
      <c r="L77" t="str">
        <f>IF('Raw Data'!L77="","",'Raw Data'!L77)</f>
        <v/>
      </c>
      <c r="M77">
        <f>IF('Raw Data'!M77="","",'Raw Data'!M77)</f>
        <v>20.2</v>
      </c>
      <c r="N77">
        <f>IF('Raw Data'!N77="","",IF('Raw Data'!N77="-",0,'Raw Data'!N77))</f>
        <v>1.1000000000000001</v>
      </c>
      <c r="O77">
        <f>IF('Raw Data'!O77="",IF('Raw Data'!N77="","",0),'Raw Data'!O77)</f>
        <v>38.1</v>
      </c>
      <c r="P77" t="str">
        <f>IF('Raw Data'!P77="","",'Raw Data'!P77)</f>
        <v>AF above waterfall.</v>
      </c>
      <c r="Q77" t="str">
        <f t="shared" si="37"/>
        <v xml:space="preserve"> </v>
      </c>
      <c r="R77" s="3" t="str">
        <f t="shared" si="40"/>
        <v>-</v>
      </c>
      <c r="S77" s="3">
        <f t="shared" si="41"/>
        <v>313</v>
      </c>
      <c r="T77" s="3">
        <f t="shared" si="42"/>
        <v>133</v>
      </c>
      <c r="U77" s="3">
        <f t="shared" si="38"/>
        <v>3</v>
      </c>
      <c r="W77" s="4">
        <f t="shared" si="43"/>
        <v>20.17231660204239</v>
      </c>
      <c r="X77" s="4">
        <f t="shared" si="44"/>
        <v>1.0571863161074653</v>
      </c>
      <c r="Y77" s="3">
        <f t="shared" si="39"/>
        <v>133</v>
      </c>
      <c r="Z77" s="4">
        <f>IF('Raw Data'!O77="","",O76+N76)</f>
        <v>38.1</v>
      </c>
    </row>
    <row r="78" spans="1:27" x14ac:dyDescent="0.25">
      <c r="A78" t="str">
        <f>IF('Raw Data'!A78="","",'Raw Data'!A78)</f>
        <v>AG</v>
      </c>
      <c r="B78" t="str">
        <f>IF('Raw Data'!B78="","",'Raw Data'!B78)</f>
        <v>AH</v>
      </c>
      <c r="C78">
        <f>IF('Raw Data'!C78="","",'Raw Data'!C78)</f>
        <v>30</v>
      </c>
      <c r="D78">
        <f>IF('Raw Data'!D78="","",'Raw Data'!D78)</f>
        <v>4</v>
      </c>
      <c r="E78">
        <f>IF('Raw Data'!E78="","",'Raw Data'!E78)</f>
        <v>4</v>
      </c>
      <c r="F78" t="str">
        <f>IF('Raw Data'!F78="","",'Raw Data'!F78)</f>
        <v>/</v>
      </c>
      <c r="G78" s="7" t="str">
        <f>IF('Raw Data'!G78="/","-",IF('Raw Data'!G78="","-",SUBSTITUTE('Raw Data'!G78," ",":",1)))</f>
        <v>195:50</v>
      </c>
      <c r="H78" s="7" t="str">
        <f>IF('Raw Data'!H78="/","-",IF('Raw Data'!H78="","-",SUBSTITUTE('Raw Data'!H78," ",":",1)))</f>
        <v>-</v>
      </c>
      <c r="I78" s="7" t="str">
        <f>IF('Raw Data'!I78="/","-",IF('Raw Data'!I78="","-",SUBSTITUTE('Raw Data'!I78," ",":",1)))</f>
        <v>192:50</v>
      </c>
      <c r="J78" s="12">
        <f>IF('Raw Data'!J78="",IF(LEN(K78)&gt;6,SQRT('Raw Data'!M78^2+N78^2),""),'Raw Data'!J78)</f>
        <v>10.1</v>
      </c>
      <c r="K78" s="7" t="str">
        <f>IF('Raw Data'!K78="","",IF(LEN('Raw Data'!K78)&lt;7,SUBSTITUTE('Raw Data'!K78," ",":",1),'Raw Data'!K78))</f>
        <v>11:20</v>
      </c>
      <c r="L78" t="str">
        <f>IF('Raw Data'!L78="","",'Raw Data'!L78)</f>
        <v/>
      </c>
      <c r="M78">
        <f>IF('Raw Data'!M78="","",'Raw Data'!M78)</f>
        <v>9.9</v>
      </c>
      <c r="N78">
        <f>IF('Raw Data'!N78="","",IF('Raw Data'!N78="-",0,'Raw Data'!N78))</f>
        <v>2</v>
      </c>
      <c r="O78">
        <f>IF('Raw Data'!O78="",IF('Raw Data'!N78="","",0),'Raw Data'!O78)</f>
        <v>39.200000000000003</v>
      </c>
      <c r="P78" t="str">
        <f>IF('Raw Data'!P78="","",'Raw Data'!P78)</f>
        <v/>
      </c>
      <c r="Q78" t="str">
        <f t="shared" si="37"/>
        <v xml:space="preserve"> </v>
      </c>
      <c r="R78" s="3">
        <f t="shared" si="40"/>
        <v>195.83333333333334</v>
      </c>
      <c r="S78" s="3" t="str">
        <f t="shared" si="41"/>
        <v>-</v>
      </c>
      <c r="T78" s="3">
        <f t="shared" si="42"/>
        <v>192.83333333333334</v>
      </c>
      <c r="U78" s="3">
        <f t="shared" si="38"/>
        <v>11.33333333</v>
      </c>
      <c r="W78" s="4">
        <f t="shared" si="43"/>
        <v>9.9030550072508632</v>
      </c>
      <c r="X78" s="4">
        <f t="shared" si="44"/>
        <v>1.9848177557054478</v>
      </c>
      <c r="Y78" s="3">
        <f t="shared" si="39"/>
        <v>195.83333333333334</v>
      </c>
      <c r="Z78" s="4">
        <f>IF('Raw Data'!O78="","",O77+N77)</f>
        <v>39.200000000000003</v>
      </c>
    </row>
    <row r="79" spans="1:27" x14ac:dyDescent="0.25">
      <c r="A79" t="str">
        <f>IF('Raw Data'!A79="","",'Raw Data'!A79)</f>
        <v>AH</v>
      </c>
      <c r="B79" t="str">
        <f>IF('Raw Data'!B79="","",'Raw Data'!B79)</f>
        <v>AI</v>
      </c>
      <c r="C79">
        <f>IF('Raw Data'!C79="","",'Raw Data'!C79)</f>
        <v>30</v>
      </c>
      <c r="D79">
        <f>IF('Raw Data'!D79="","",'Raw Data'!D79)</f>
        <v>3</v>
      </c>
      <c r="E79">
        <f>IF('Raw Data'!E79="","",'Raw Data'!E79)</f>
        <v>6</v>
      </c>
      <c r="F79">
        <f>IF('Raw Data'!F79="","",'Raw Data'!F79)</f>
        <v>0</v>
      </c>
      <c r="G79" s="7" t="str">
        <f>IF('Raw Data'!G79="/","-",IF('Raw Data'!G79="","-",SUBSTITUTE('Raw Data'!G79," ",":",1)))</f>
        <v>-</v>
      </c>
      <c r="H79" s="7" t="str">
        <f>IF('Raw Data'!H79="/","-",IF('Raw Data'!H79="","-",SUBSTITUTE('Raw Data'!H79," ",":",1)))</f>
        <v>292:10</v>
      </c>
      <c r="I79" s="7" t="str">
        <f>IF('Raw Data'!I79="/","-",IF('Raw Data'!I79="","-",SUBSTITUTE('Raw Data'!I79," ",":",1)))</f>
        <v>112:10</v>
      </c>
      <c r="J79" s="12">
        <f>IF('Raw Data'!J79="",IF(LEN(K79)&gt;6,SQRT('Raw Data'!M79^2+N79^2),""),'Raw Data'!J79)</f>
        <v>41.6</v>
      </c>
      <c r="K79" s="7" t="str">
        <f>IF('Raw Data'!K79="","",IF(LEN('Raw Data'!K79)&lt;7,SUBSTITUTE('Raw Data'!K79," ",":",1),'Raw Data'!K79))</f>
        <v>4:50</v>
      </c>
      <c r="L79" t="str">
        <f>IF('Raw Data'!L79="","",'Raw Data'!L79)</f>
        <v/>
      </c>
      <c r="M79">
        <f>IF('Raw Data'!M79="","",'Raw Data'!M79)</f>
        <v>41.4</v>
      </c>
      <c r="N79">
        <f>IF('Raw Data'!N79="","",IF('Raw Data'!N79="-",0,'Raw Data'!N79))</f>
        <v>3.5</v>
      </c>
      <c r="O79">
        <f>IF('Raw Data'!O79="",IF('Raw Data'!N79="","",0),'Raw Data'!O79)</f>
        <v>41.2</v>
      </c>
      <c r="P79" t="str">
        <f>IF('Raw Data'!P79="","",'Raw Data'!P79)</f>
        <v/>
      </c>
      <c r="Q79" t="str">
        <f t="shared" si="37"/>
        <v xml:space="preserve"> </v>
      </c>
      <c r="R79" s="3" t="str">
        <f t="shared" si="40"/>
        <v>-</v>
      </c>
      <c r="S79" s="3">
        <f t="shared" si="41"/>
        <v>292.16666666666669</v>
      </c>
      <c r="T79" s="3">
        <f t="shared" si="42"/>
        <v>112.16666666666667</v>
      </c>
      <c r="U79" s="3">
        <f t="shared" si="38"/>
        <v>4.8333333300000003</v>
      </c>
      <c r="W79" s="4">
        <f t="shared" si="43"/>
        <v>41.452070767031543</v>
      </c>
      <c r="X79" s="4">
        <f t="shared" si="44"/>
        <v>3.5051147092512509</v>
      </c>
      <c r="Y79" s="3">
        <f t="shared" si="39"/>
        <v>112.16666666666669</v>
      </c>
      <c r="Z79" s="4">
        <f>IF('Raw Data'!O79="","",O78+N78)</f>
        <v>41.2</v>
      </c>
    </row>
    <row r="80" spans="1:27" x14ac:dyDescent="0.25">
      <c r="A80" t="str">
        <f>IF('Raw Data'!A80="","",'Raw Data'!A80)</f>
        <v>AI</v>
      </c>
      <c r="B80" t="str">
        <f>IF('Raw Data'!B80="","",'Raw Data'!B80)</f>
        <v>AJ</v>
      </c>
      <c r="C80">
        <f>IF('Raw Data'!C80="","",'Raw Data'!C80)</f>
        <v>25</v>
      </c>
      <c r="D80">
        <f>IF('Raw Data'!D80="","",'Raw Data'!D80)</f>
        <v>3</v>
      </c>
      <c r="E80">
        <f>IF('Raw Data'!E80="","",'Raw Data'!E80)</f>
        <v>2</v>
      </c>
      <c r="F80">
        <f>IF('Raw Data'!F80="","",'Raw Data'!F80)</f>
        <v>3</v>
      </c>
      <c r="G80" s="7" t="str">
        <f>IF('Raw Data'!G80="/","-",IF('Raw Data'!G80="","-",SUBSTITUTE('Raw Data'!G80," ",":",1)))</f>
        <v>138:30</v>
      </c>
      <c r="H80" s="7" t="str">
        <f>IF('Raw Data'!H80="/","-",IF('Raw Data'!H80="","-",SUBSTITUTE('Raw Data'!H80," ",":",1)))</f>
        <v>-</v>
      </c>
      <c r="I80" s="7" t="str">
        <f>IF('Raw Data'!I80="/","-",IF('Raw Data'!I80="","-",SUBSTITUTE('Raw Data'!I80," ",":",1)))</f>
        <v>138:30</v>
      </c>
      <c r="J80" s="12">
        <f>IF('Raw Data'!J80="",IF(LEN(K80)&gt;6,SQRT('Raw Data'!M80^2+N80^2),""),'Raw Data'!J80)</f>
        <v>34.200000000000003</v>
      </c>
      <c r="K80" s="7" t="str">
        <f>IF('Raw Data'!K80="","",IF(LEN('Raw Data'!K80)&lt;7,SUBSTITUTE('Raw Data'!K80," ",":",1),'Raw Data'!K80))</f>
        <v>6:30</v>
      </c>
      <c r="L80" t="str">
        <f>IF('Raw Data'!L80="","",'Raw Data'!L80)</f>
        <v/>
      </c>
      <c r="M80">
        <f>IF('Raw Data'!M80="","",'Raw Data'!M80)</f>
        <v>34</v>
      </c>
      <c r="N80">
        <f>IF('Raw Data'!N80="","",IF('Raw Data'!N80="-",0,'Raw Data'!N80))</f>
        <v>3.9</v>
      </c>
      <c r="O80">
        <f>IF('Raw Data'!O80="",IF('Raw Data'!N80="","",0),'Raw Data'!O80)</f>
        <v>44.7</v>
      </c>
      <c r="P80" t="str">
        <f>IF('Raw Data'!P80="","",'Raw Data'!P80)</f>
        <v/>
      </c>
      <c r="Q80" t="str">
        <f t="shared" si="37"/>
        <v xml:space="preserve"> </v>
      </c>
      <c r="R80" s="3">
        <f t="shared" si="40"/>
        <v>138.5</v>
      </c>
      <c r="S80" s="3" t="str">
        <f t="shared" si="41"/>
        <v>-</v>
      </c>
      <c r="T80" s="3">
        <f t="shared" si="42"/>
        <v>138.5</v>
      </c>
      <c r="U80" s="3">
        <f t="shared" si="38"/>
        <v>6.5</v>
      </c>
      <c r="W80" s="4">
        <f t="shared" si="43"/>
        <v>33.980157464139296</v>
      </c>
      <c r="X80" s="4">
        <f t="shared" si="44"/>
        <v>3.8715499108624103</v>
      </c>
      <c r="Y80" s="3">
        <f t="shared" si="39"/>
        <v>138.5</v>
      </c>
      <c r="Z80" s="4">
        <f>IF('Raw Data'!O80="","",O79+N79)</f>
        <v>44.7</v>
      </c>
    </row>
    <row r="81" spans="1:26" x14ac:dyDescent="0.25">
      <c r="A81" t="str">
        <f>IF('Raw Data'!A81="","",'Raw Data'!A81)</f>
        <v>AJ</v>
      </c>
      <c r="B81" t="str">
        <f>IF('Raw Data'!B81="","",'Raw Data'!B81)</f>
        <v>AK</v>
      </c>
      <c r="C81">
        <f>IF('Raw Data'!C81="","",'Raw Data'!C81)</f>
        <v>10</v>
      </c>
      <c r="D81">
        <f>IF('Raw Data'!D81="","",'Raw Data'!D81)</f>
        <v>6</v>
      </c>
      <c r="E81">
        <f>IF('Raw Data'!E81="","",'Raw Data'!E81)</f>
        <v>1</v>
      </c>
      <c r="F81">
        <f>IF('Raw Data'!F81="","",'Raw Data'!F81)</f>
        <v>2.5</v>
      </c>
      <c r="G81" s="7" t="str">
        <f>IF('Raw Data'!G81="/","-",IF('Raw Data'!G81="","-",SUBSTITUTE('Raw Data'!G81," ",":",1)))</f>
        <v>-</v>
      </c>
      <c r="H81" s="7" t="str">
        <f>IF('Raw Data'!H81="/","-",IF('Raw Data'!H81="","-",SUBSTITUTE('Raw Data'!H81," ",":",1)))</f>
        <v>286:00</v>
      </c>
      <c r="I81" s="7" t="str">
        <f>IF('Raw Data'!I81="/","-",IF('Raw Data'!I81="","-",SUBSTITUTE('Raw Data'!I81," ",":",1)))</f>
        <v>106:00</v>
      </c>
      <c r="J81" s="12">
        <f>IF('Raw Data'!J81="",IF(LEN(K81)&gt;6,SQRT('Raw Data'!M81^2+N81^2),""),'Raw Data'!J81)</f>
        <v>31.8</v>
      </c>
      <c r="K81" s="7" t="str">
        <f>IF('Raw Data'!K81="","",IF(LEN('Raw Data'!K81)&lt;7,SUBSTITUTE('Raw Data'!K81," ",":",1),'Raw Data'!K81))</f>
        <v>14:30</v>
      </c>
      <c r="L81" t="str">
        <f>IF('Raw Data'!L81="","",'Raw Data'!L81)</f>
        <v/>
      </c>
      <c r="M81">
        <f>IF('Raw Data'!M81="","",'Raw Data'!M81)</f>
        <v>30.7</v>
      </c>
      <c r="N81">
        <f>IF('Raw Data'!N81="","",IF('Raw Data'!N81="-",0,'Raw Data'!N81))</f>
        <v>8</v>
      </c>
      <c r="O81">
        <f>IF('Raw Data'!O81="",IF('Raw Data'!N81="","",0),'Raw Data'!O81)</f>
        <v>48.6</v>
      </c>
      <c r="P81" t="str">
        <f>IF('Raw Data'!P81="","",'Raw Data'!P81)</f>
        <v/>
      </c>
      <c r="Q81" t="str">
        <f t="shared" si="37"/>
        <v xml:space="preserve"> </v>
      </c>
      <c r="R81" s="3" t="str">
        <f t="shared" si="40"/>
        <v>-</v>
      </c>
      <c r="S81" s="3">
        <f t="shared" si="41"/>
        <v>286</v>
      </c>
      <c r="T81" s="3">
        <f t="shared" si="42"/>
        <v>106</v>
      </c>
      <c r="U81" s="3">
        <f t="shared" si="38"/>
        <v>14.5</v>
      </c>
      <c r="W81" s="4">
        <f t="shared" si="43"/>
        <v>30.787094964023826</v>
      </c>
      <c r="X81" s="4">
        <f t="shared" si="44"/>
        <v>7.9620841289312381</v>
      </c>
      <c r="Y81" s="3">
        <f t="shared" si="39"/>
        <v>106</v>
      </c>
      <c r="Z81" s="4">
        <f>IF('Raw Data'!O81="","",O80+N80)</f>
        <v>48.6</v>
      </c>
    </row>
    <row r="82" spans="1:26" x14ac:dyDescent="0.25">
      <c r="A82" t="str">
        <f>IF('Raw Data'!A82="","",'Raw Data'!A82)</f>
        <v>AK</v>
      </c>
      <c r="B82" t="str">
        <f>IF('Raw Data'!B82="","",'Raw Data'!B82)</f>
        <v>AL</v>
      </c>
      <c r="C82" t="str">
        <f>IF('Raw Data'!C82="","",'Raw Data'!C82)</f>
        <v>4 (cascade)</v>
      </c>
      <c r="D82">
        <f>IF('Raw Data'!D82="","",'Raw Data'!D82)</f>
        <v>10</v>
      </c>
      <c r="E82">
        <f>IF('Raw Data'!E82="","",'Raw Data'!E82)</f>
        <v>4</v>
      </c>
      <c r="F82">
        <f>IF('Raw Data'!F82="","",'Raw Data'!F82)</f>
        <v>3</v>
      </c>
      <c r="G82" s="7" t="str">
        <f>IF('Raw Data'!G82="/","-",IF('Raw Data'!G82="","-",SUBSTITUTE('Raw Data'!G82," ",":",1)))</f>
        <v>044:00</v>
      </c>
      <c r="H82" s="7" t="str">
        <f>IF('Raw Data'!H82="/","-",IF('Raw Data'!H82="","-",SUBSTITUTE('Raw Data'!H82," ",":",1)))</f>
        <v>-</v>
      </c>
      <c r="I82" s="7" t="str">
        <f>IF('Raw Data'!I82="/","-",IF('Raw Data'!I82="","-",SUBSTITUTE('Raw Data'!I82," ",":",1)))</f>
        <v>044:00</v>
      </c>
      <c r="J82" s="12">
        <f>IF('Raw Data'!J82="",IF(LEN(K82)&gt;6,SQRT('Raw Data'!M82^2+N82^2),""),'Raw Data'!J82)</f>
        <v>11.3</v>
      </c>
      <c r="K82" s="7" t="str">
        <f>IF('Raw Data'!K82="","",IF(LEN('Raw Data'!K82)&lt;7,SUBSTITUTE('Raw Data'!K82," ",":",1),'Raw Data'!K82))</f>
        <v>-0:30</v>
      </c>
      <c r="L82" t="str">
        <f>IF('Raw Data'!L82="","",'Raw Data'!L82)</f>
        <v/>
      </c>
      <c r="M82">
        <f>IF('Raw Data'!M82="","",'Raw Data'!M82)</f>
        <v>11.3</v>
      </c>
      <c r="N82">
        <f>IF('Raw Data'!N82="","",IF('Raw Data'!N82="-",0,'Raw Data'!N82))</f>
        <v>-0.1</v>
      </c>
      <c r="O82">
        <f>IF('Raw Data'!O82="",IF('Raw Data'!N82="","",0),'Raw Data'!O82)</f>
        <v>56.6</v>
      </c>
      <c r="P82" t="str">
        <f>IF('Raw Data'!P82="","",'Raw Data'!P82)</f>
        <v>AK is below hole into Upper Grottos. Asellus (sp?) present.</v>
      </c>
      <c r="Q82" t="str">
        <f t="shared" si="37"/>
        <v xml:space="preserve"> </v>
      </c>
      <c r="R82" s="3">
        <f t="shared" si="40"/>
        <v>44</v>
      </c>
      <c r="S82" s="3" t="str">
        <f t="shared" si="41"/>
        <v>-</v>
      </c>
      <c r="T82" s="3">
        <f t="shared" si="42"/>
        <v>44</v>
      </c>
      <c r="U82" s="3">
        <f t="shared" si="38"/>
        <v>-0.5</v>
      </c>
      <c r="W82" s="4">
        <f t="shared" si="43"/>
        <v>11.299569730625137</v>
      </c>
      <c r="X82" s="4">
        <f t="shared" si="44"/>
        <v>-9.8609851131625473E-2</v>
      </c>
      <c r="Y82" s="3">
        <f t="shared" si="39"/>
        <v>44</v>
      </c>
      <c r="Z82" s="4">
        <f>IF('Raw Data'!O82="","",O81+N81)</f>
        <v>56.6</v>
      </c>
    </row>
    <row r="83" spans="1:26" x14ac:dyDescent="0.25">
      <c r="A83" t="str">
        <f>IF('Raw Data'!A83="","",'Raw Data'!A83)</f>
        <v>AL</v>
      </c>
      <c r="B83" t="str">
        <f>IF('Raw Data'!B83="","",'Raw Data'!B83)</f>
        <v/>
      </c>
      <c r="C83" t="str">
        <f>IF('Raw Data'!C83="","",'Raw Data'!C83)</f>
        <v/>
      </c>
      <c r="D83" t="str">
        <f>IF('Raw Data'!D83="","",'Raw Data'!D83)</f>
        <v/>
      </c>
      <c r="E83" t="str">
        <f>IF('Raw Data'!E83="","",'Raw Data'!E83)</f>
        <v/>
      </c>
      <c r="F83" t="str">
        <f>IF('Raw Data'!F83="","",'Raw Data'!F83)</f>
        <v/>
      </c>
      <c r="G83" s="7" t="str">
        <f>IF('Raw Data'!G83="/","-",IF('Raw Data'!G83="","-",SUBSTITUTE('Raw Data'!G83," ",":",1)))</f>
        <v>-</v>
      </c>
      <c r="H83" s="7" t="str">
        <f>IF('Raw Data'!H83="/","-",IF('Raw Data'!H83="","-",SUBSTITUTE('Raw Data'!H83," ",":",1)))</f>
        <v>-</v>
      </c>
      <c r="I83" s="7" t="str">
        <f>IF('Raw Data'!I83="/","-",IF('Raw Data'!I83="","-",SUBSTITUTE('Raw Data'!I83," ",":",1)))</f>
        <v>-</v>
      </c>
      <c r="J83" s="12" t="str">
        <f>IF('Raw Data'!J83="",IF(LEN(K83)&gt;6,SQRT('Raw Data'!M83^2+N83^2),""),'Raw Data'!J83)</f>
        <v/>
      </c>
      <c r="K83" s="7" t="str">
        <f>IF('Raw Data'!K83="","",IF(LEN('Raw Data'!K83)&lt;7,SUBSTITUTE('Raw Data'!K83," ",":",1),'Raw Data'!K83))</f>
        <v/>
      </c>
      <c r="L83" t="str">
        <f>IF('Raw Data'!L83="","",'Raw Data'!L83)</f>
        <v/>
      </c>
      <c r="M83" t="str">
        <f>IF('Raw Data'!M83="","",'Raw Data'!M83)</f>
        <v/>
      </c>
      <c r="N83" t="str">
        <f>IF('Raw Data'!N83="","",IF('Raw Data'!N83="-",0,'Raw Data'!N83))</f>
        <v/>
      </c>
      <c r="O83">
        <f>IF('Raw Data'!O83="",IF('Raw Data'!N83="","",0),'Raw Data'!O83)</f>
        <v>56.5</v>
      </c>
      <c r="P83" t="str">
        <f>IF('Raw Data'!P83="","",'Raw Data'!P83)</f>
        <v>Total = 1,918'</v>
      </c>
      <c r="Q83" t="str">
        <f t="shared" si="37"/>
        <v xml:space="preserve"> </v>
      </c>
      <c r="W83" s="4"/>
      <c r="X83" s="4"/>
      <c r="Y83" s="3"/>
      <c r="Z83" s="4">
        <f>IF('Raw Data'!O83="","",O82+N82)</f>
        <v>56.5</v>
      </c>
    </row>
    <row r="84" spans="1:26" x14ac:dyDescent="0.25">
      <c r="A84" t="str">
        <f>IF('Raw Data'!A84="","",'Raw Data'!A84)</f>
        <v/>
      </c>
      <c r="B84" t="str">
        <f>IF('Raw Data'!B84="","",'Raw Data'!B84)</f>
        <v/>
      </c>
      <c r="C84" t="str">
        <f>IF('Raw Data'!C84="","",'Raw Data'!C84)</f>
        <v/>
      </c>
      <c r="D84" t="str">
        <f>IF('Raw Data'!D84="","",'Raw Data'!D84)</f>
        <v/>
      </c>
      <c r="E84" t="str">
        <f>IF('Raw Data'!E84="","",'Raw Data'!E84)</f>
        <v/>
      </c>
      <c r="F84" t="str">
        <f>IF('Raw Data'!F84="","",'Raw Data'!F84)</f>
        <v/>
      </c>
      <c r="G84" s="7" t="str">
        <f>IF('Raw Data'!G84="/","-",IF('Raw Data'!G84="","-",SUBSTITUTE('Raw Data'!G84," ",":",1)))</f>
        <v>-</v>
      </c>
      <c r="H84" s="7" t="str">
        <f>IF('Raw Data'!H84="/","-",IF('Raw Data'!H84="","-",SUBSTITUTE('Raw Data'!H84," ",":",1)))</f>
        <v>-</v>
      </c>
      <c r="I84" s="7" t="str">
        <f>IF('Raw Data'!I84="/","-",IF('Raw Data'!I84="","-",SUBSTITUTE('Raw Data'!I84," ",":",1)))</f>
        <v>-</v>
      </c>
      <c r="J84" s="12" t="str">
        <f>IF('Raw Data'!J84="",IF(LEN(K84)&gt;6,SQRT('Raw Data'!M84^2+N84^2),""),'Raw Data'!J84)</f>
        <v/>
      </c>
      <c r="K84" s="7" t="str">
        <f>IF('Raw Data'!K84="","",IF(LEN('Raw Data'!K84)&lt;7,SUBSTITUTE('Raw Data'!K84," ",":",1),'Raw Data'!K84))</f>
        <v/>
      </c>
      <c r="L84" t="str">
        <f>IF('Raw Data'!L84="","",'Raw Data'!L84)</f>
        <v/>
      </c>
      <c r="M84" t="str">
        <f>IF('Raw Data'!M84="","",'Raw Data'!M84)</f>
        <v/>
      </c>
      <c r="N84" t="str">
        <f>IF('Raw Data'!N84="","",IF('Raw Data'!N84="-",0,'Raw Data'!N84))</f>
        <v/>
      </c>
      <c r="O84" t="str">
        <f>IF('Raw Data'!O84="",IF('Raw Data'!N84="","",0),'Raw Data'!O84)</f>
        <v/>
      </c>
      <c r="P84" t="str">
        <f>IF('Raw Data'!P84="","",'Raw Data'!P84)</f>
        <v/>
      </c>
      <c r="Q84" t="str">
        <f t="shared" si="37"/>
        <v xml:space="preserve"> </v>
      </c>
      <c r="W84" s="4"/>
      <c r="X84" s="4"/>
      <c r="Y84" s="3"/>
      <c r="Z84" s="4" t="str">
        <f>IF('Raw Data'!O84="","",O83+N83)</f>
        <v/>
      </c>
    </row>
    <row r="85" spans="1:26" x14ac:dyDescent="0.25">
      <c r="A85" t="str">
        <f>IF('Raw Data'!A85="","",'Raw Data'!A85)</f>
        <v>2nd April 1952</v>
      </c>
      <c r="B85" t="str">
        <f>IF('Raw Data'!B85="","",'Raw Data'!B85)</f>
        <v>Cono &amp; Roy Blewett</v>
      </c>
      <c r="C85" t="str">
        <f>IF('Raw Data'!C85="","",'Raw Data'!C85)</f>
        <v/>
      </c>
      <c r="D85" t="str">
        <f>IF('Raw Data'!D85="","",'Raw Data'!D85)</f>
        <v/>
      </c>
      <c r="E85" t="str">
        <f>IF('Raw Data'!E85="","",'Raw Data'!E85)</f>
        <v/>
      </c>
      <c r="F85" t="str">
        <f>IF('Raw Data'!F85="","",'Raw Data'!F85)</f>
        <v/>
      </c>
      <c r="G85" s="7" t="str">
        <f>IF('Raw Data'!G85="/","-",IF('Raw Data'!G85="","-",SUBSTITUTE('Raw Data'!G85," ",":",1)))</f>
        <v>-</v>
      </c>
      <c r="H85" s="7" t="str">
        <f>IF('Raw Data'!H85="/","-",IF('Raw Data'!H85="","-",SUBSTITUTE('Raw Data'!H85," ",":",1)))</f>
        <v>-</v>
      </c>
      <c r="I85" s="7" t="str">
        <f>IF('Raw Data'!I85="/","-",IF('Raw Data'!I85="","-",SUBSTITUTE('Raw Data'!I85," ",":",1)))</f>
        <v>-</v>
      </c>
      <c r="J85" s="12" t="str">
        <f>IF('Raw Data'!J85="",IF(LEN(K85)&gt;6,SQRT('Raw Data'!M85^2+N85^2),""),'Raw Data'!J85)</f>
        <v/>
      </c>
      <c r="K85" s="7" t="str">
        <f>IF('Raw Data'!K85="","",IF(LEN('Raw Data'!K85)&lt;7,SUBSTITUTE('Raw Data'!K85," ",":",1),'Raw Data'!K85))</f>
        <v/>
      </c>
      <c r="L85" t="str">
        <f>IF('Raw Data'!L85="","",'Raw Data'!L85)</f>
        <v/>
      </c>
      <c r="M85" t="str">
        <f>IF('Raw Data'!M85="","",'Raw Data'!M85)</f>
        <v/>
      </c>
      <c r="N85" t="str">
        <f>IF('Raw Data'!N85="","",IF('Raw Data'!N85="-",0,'Raw Data'!N85))</f>
        <v/>
      </c>
      <c r="O85" t="str">
        <f>IF('Raw Data'!O85="",IF('Raw Data'!N85="","",0),'Raw Data'!O85)</f>
        <v/>
      </c>
      <c r="P85" t="str">
        <f>IF('Raw Data'!P85="","",'Raw Data'!P85)</f>
        <v/>
      </c>
      <c r="Q85" t="str">
        <f t="shared" si="37"/>
        <v xml:space="preserve"> </v>
      </c>
      <c r="W85" s="4"/>
      <c r="X85" s="4"/>
      <c r="Y85" s="3"/>
      <c r="Z85" s="4" t="str">
        <f>IF('Raw Data'!O85="","",O84+N84)</f>
        <v/>
      </c>
    </row>
    <row r="86" spans="1:26" x14ac:dyDescent="0.25">
      <c r="A86" t="str">
        <f>IF('Raw Data'!A86="","",'Raw Data'!A86)</f>
        <v>AL</v>
      </c>
      <c r="B86" t="str">
        <f>IF('Raw Data'!B86="","",'Raw Data'!B86)</f>
        <v>AN</v>
      </c>
      <c r="C86">
        <f>IF('Raw Data'!C86="","",'Raw Data'!C86)</f>
        <v>8</v>
      </c>
      <c r="D86">
        <f>IF('Raw Data'!D86="","",'Raw Data'!D86)</f>
        <v>6</v>
      </c>
      <c r="E86">
        <f>IF('Raw Data'!E86="","",'Raw Data'!E86)</f>
        <v>6</v>
      </c>
      <c r="F86">
        <f>IF('Raw Data'!F86="","",'Raw Data'!F86)</f>
        <v>0</v>
      </c>
      <c r="G86" s="7" t="str">
        <f>IF('Raw Data'!G86="/","-",IF('Raw Data'!G86="","-",SUBSTITUTE('Raw Data'!G86," ",":",1)))</f>
        <v>-</v>
      </c>
      <c r="H86" s="7" t="str">
        <f>IF('Raw Data'!H86="/","-",IF('Raw Data'!H86="","-",SUBSTITUTE('Raw Data'!H86," ",":",1)))</f>
        <v>126:40</v>
      </c>
      <c r="I86" s="7" t="str">
        <f>IF('Raw Data'!I86="/","-",IF('Raw Data'!I86="","-",SUBSTITUTE('Raw Data'!I86," ",":",1)))</f>
        <v>306:40</v>
      </c>
      <c r="J86" s="12">
        <f>IF('Raw Data'!J86="",IF(LEN(K86)&gt;6,SQRT('Raw Data'!M86^2+N86^2),""),'Raw Data'!J86)</f>
        <v>12.8</v>
      </c>
      <c r="K86" s="7" t="str">
        <f>IF('Raw Data'!K86="","",IF(LEN('Raw Data'!K86)&lt;7,SUBSTITUTE('Raw Data'!K86," ",":",1),'Raw Data'!K86))</f>
        <v>-4:30</v>
      </c>
      <c r="L86" t="str">
        <f>IF('Raw Data'!L86="","",'Raw Data'!L86)</f>
        <v/>
      </c>
      <c r="M86">
        <f>IF('Raw Data'!M86="","",'Raw Data'!M86)</f>
        <v>12.8</v>
      </c>
      <c r="N86">
        <f>IF('Raw Data'!N86="","",IF('Raw Data'!N86="-",0,'Raw Data'!N86))</f>
        <v>-1</v>
      </c>
      <c r="O86">
        <f>IF('Raw Data'!O86="",IF('Raw Data'!N86="","",0),'Raw Data'!O86)</f>
        <v>56.5</v>
      </c>
      <c r="P86" t="str">
        <f>IF('Raw Data'!P86="","",'Raw Data'!P86)</f>
        <v>AL is start of St. Pauls survey</v>
      </c>
      <c r="Q86" t="str">
        <f t="shared" si="37"/>
        <v xml:space="preserve"> </v>
      </c>
      <c r="R86" s="3" t="str">
        <f t="shared" si="40"/>
        <v>-</v>
      </c>
      <c r="S86" s="3">
        <f t="shared" si="41"/>
        <v>126.66666666666667</v>
      </c>
      <c r="T86" s="3">
        <f t="shared" si="42"/>
        <v>306.66666666666669</v>
      </c>
      <c r="U86" s="3">
        <f t="shared" ref="U86:U97" si="45">IF(ISERROR(FIND(":",K86)),IF(K86="zero",0,1*K86),1*CONCATENATE(LEFT(K86,FIND(":",K86)-1),".",MID(RIGHT(K86,LEN(K86)-FIND(":",K86))/60,3,8)))</f>
        <v>-4.5</v>
      </c>
      <c r="W86" s="4">
        <f t="shared" si="43"/>
        <v>12.760541871784039</v>
      </c>
      <c r="X86" s="4">
        <f t="shared" si="44"/>
        <v>-1.0042764253164154</v>
      </c>
      <c r="Y86" s="3">
        <f t="shared" si="39"/>
        <v>306.66666666666669</v>
      </c>
      <c r="Z86" s="4">
        <f>IF('Raw Data'!O86="","",O82+N82)</f>
        <v>56.5</v>
      </c>
    </row>
    <row r="87" spans="1:26" x14ac:dyDescent="0.25">
      <c r="A87" t="str">
        <f>IF('Raw Data'!A87="","",'Raw Data'!A87)</f>
        <v>AN</v>
      </c>
      <c r="B87" t="str">
        <f>IF('Raw Data'!B87="","",'Raw Data'!B87)</f>
        <v>AO</v>
      </c>
      <c r="C87">
        <f>IF('Raw Data'!C87="","",'Raw Data'!C87)</f>
        <v>12</v>
      </c>
      <c r="D87">
        <f>IF('Raw Data'!D87="","",'Raw Data'!D87)</f>
        <v>4</v>
      </c>
      <c r="E87">
        <f>IF('Raw Data'!E87="","",'Raw Data'!E87)</f>
        <v>2</v>
      </c>
      <c r="F87">
        <f>IF('Raw Data'!F87="","",'Raw Data'!F87)</f>
        <v>4</v>
      </c>
      <c r="G87" s="7" t="str">
        <f>IF('Raw Data'!G87="/","-",IF('Raw Data'!G87="","-",SUBSTITUTE('Raw Data'!G87," ",":",1)))</f>
        <v>025:20</v>
      </c>
      <c r="H87" s="7" t="str">
        <f>IF('Raw Data'!H87="/","-",IF('Raw Data'!H87="","-",SUBSTITUTE('Raw Data'!H87," ",":",1)))</f>
        <v>-</v>
      </c>
      <c r="I87" s="7" t="str">
        <f>IF('Raw Data'!I87="/","-",IF('Raw Data'!I87="","-",SUBSTITUTE('Raw Data'!I87," ",":",1)))</f>
        <v>025:20</v>
      </c>
      <c r="J87" s="12">
        <f>IF('Raw Data'!J87="",IF(LEN(K87)&gt;6,SQRT('Raw Data'!M87^2+N87^2),""),'Raw Data'!J87)</f>
        <v>16.8</v>
      </c>
      <c r="K87" s="7" t="str">
        <f>IF('Raw Data'!K87="","",IF(LEN('Raw Data'!K87)&lt;7,SUBSTITUTE('Raw Data'!K87," ",":",1),'Raw Data'!K87))</f>
        <v>26:00</v>
      </c>
      <c r="L87" t="str">
        <f>IF('Raw Data'!L87="","",'Raw Data'!L87)</f>
        <v/>
      </c>
      <c r="M87">
        <f>IF('Raw Data'!M87="","",'Raw Data'!M87)</f>
        <v>15.1</v>
      </c>
      <c r="N87">
        <f>IF('Raw Data'!N87="","",IF('Raw Data'!N87="-",0,'Raw Data'!N87))</f>
        <v>7.4</v>
      </c>
      <c r="O87">
        <f>IF('Raw Data'!O87="",IF('Raw Data'!N87="","",0),'Raw Data'!O87)</f>
        <v>55.5</v>
      </c>
      <c r="P87" t="str">
        <f>IF('Raw Data'!P87="","",'Raw Data'!P87)</f>
        <v>AN is at S. end of lower big pot.</v>
      </c>
      <c r="Q87" t="str">
        <f t="shared" si="37"/>
        <v xml:space="preserve"> </v>
      </c>
      <c r="R87" s="3">
        <f t="shared" ref="R87:R101" si="46">IF(ISERROR(FIND(":",G87)),IF(G87&lt;&gt;"-",1*G87,G87),1*LEFT(G87,FIND(":",G87)-1)+RIGHT(G87,LEN(G87)-FIND(":",G87))/60)</f>
        <v>25.333333333333332</v>
      </c>
      <c r="S87" s="3" t="str">
        <f t="shared" ref="S87:S101" si="47">IF(ISERROR(FIND(":",H87)),IF(H87&lt;&gt;"-",1*H87,H87),1*LEFT(H87,FIND(":",H87)-1)+RIGHT(H87,LEN(H87)-FIND(":",H87))/60)</f>
        <v>-</v>
      </c>
      <c r="T87" s="3">
        <f t="shared" ref="T87:T101" si="48">IF(ISERROR(FIND(":",I87)),IF(I87&lt;&gt;"-",1*I87,I87),1*LEFT(I87,FIND(":",I87)-1)+RIGHT(I87,LEN(I87)-FIND(":",I87))/60)</f>
        <v>25.333333333333332</v>
      </c>
      <c r="U87" s="3">
        <f t="shared" si="45"/>
        <v>26</v>
      </c>
      <c r="W87" s="4">
        <f t="shared" si="43"/>
        <v>15.099739977826006</v>
      </c>
      <c r="X87" s="4">
        <f t="shared" si="44"/>
        <v>7.3646352660565011</v>
      </c>
      <c r="Y87" s="3">
        <f t="shared" si="39"/>
        <v>25.333333333333332</v>
      </c>
      <c r="Z87" s="4">
        <f>IF('Raw Data'!O87="","",O86+N86)</f>
        <v>55.5</v>
      </c>
    </row>
    <row r="88" spans="1:26" x14ac:dyDescent="0.25">
      <c r="A88" t="str">
        <f>IF('Raw Data'!A88="","",'Raw Data'!A88)</f>
        <v>AO</v>
      </c>
      <c r="B88" t="str">
        <f>IF('Raw Data'!B88="","",'Raw Data'!B88)</f>
        <v>AP</v>
      </c>
      <c r="C88">
        <f>IF('Raw Data'!C88="","",'Raw Data'!C88)</f>
        <v>8</v>
      </c>
      <c r="D88">
        <f>IF('Raw Data'!D88="","",'Raw Data'!D88)</f>
        <v>6</v>
      </c>
      <c r="E88">
        <f>IF('Raw Data'!E88="","",'Raw Data'!E88)</f>
        <v>1</v>
      </c>
      <c r="F88">
        <f>IF('Raw Data'!F88="","",'Raw Data'!F88)</f>
        <v>2</v>
      </c>
      <c r="G88" s="7" t="str">
        <f>IF('Raw Data'!G88="/","-",IF('Raw Data'!G88="","-",SUBSTITUTE('Raw Data'!G88," ",":",1)))</f>
        <v>-</v>
      </c>
      <c r="H88" s="7" t="str">
        <f>IF('Raw Data'!H88="/","-",IF('Raw Data'!H88="","-",SUBSTITUTE('Raw Data'!H88," ",":",1)))</f>
        <v>243:50</v>
      </c>
      <c r="I88" s="7" t="str">
        <f>IF('Raw Data'!I88="/","-",IF('Raw Data'!I88="","-",SUBSTITUTE('Raw Data'!I88," ",":",1)))</f>
        <v>063:50</v>
      </c>
      <c r="J88" s="12">
        <f>IF('Raw Data'!J88="",IF(LEN(K88)&gt;6,SQRT('Raw Data'!M88^2+N88^2),""),'Raw Data'!J88)</f>
        <v>27.7</v>
      </c>
      <c r="K88" s="7" t="str">
        <f>IF('Raw Data'!K88="","",IF(LEN('Raw Data'!K88)&lt;7,SUBSTITUTE('Raw Data'!K88," ",":",1),'Raw Data'!K88))</f>
        <v>12:00</v>
      </c>
      <c r="L88" t="str">
        <f>IF('Raw Data'!L88="","",'Raw Data'!L88)</f>
        <v/>
      </c>
      <c r="M88">
        <f>IF('Raw Data'!M88="","",'Raw Data'!M88)</f>
        <v>27.1</v>
      </c>
      <c r="N88">
        <f>IF('Raw Data'!N88="","",IF('Raw Data'!N88="-",0,'Raw Data'!N88))</f>
        <v>5.8</v>
      </c>
      <c r="O88">
        <f>IF('Raw Data'!O88="",IF('Raw Data'!N88="","",0),'Raw Data'!O88)</f>
        <v>62.9</v>
      </c>
      <c r="P88" t="str">
        <f>IF('Raw Data'!P88="","",'Raw Data'!P88)</f>
        <v/>
      </c>
      <c r="Q88" t="str">
        <f t="shared" si="37"/>
        <v xml:space="preserve"> </v>
      </c>
      <c r="R88" s="3" t="str">
        <f t="shared" si="46"/>
        <v>-</v>
      </c>
      <c r="S88" s="3">
        <f t="shared" si="47"/>
        <v>243.83333333333334</v>
      </c>
      <c r="T88" s="3">
        <f t="shared" si="48"/>
        <v>63.833333333333336</v>
      </c>
      <c r="U88" s="3">
        <f t="shared" si="45"/>
        <v>12</v>
      </c>
      <c r="W88" s="4">
        <f t="shared" si="43"/>
        <v>27.094688540326416</v>
      </c>
      <c r="X88" s="4">
        <f t="shared" si="44"/>
        <v>5.759153835651933</v>
      </c>
      <c r="Y88" s="3">
        <f t="shared" si="39"/>
        <v>63.833333333333343</v>
      </c>
      <c r="Z88" s="4">
        <f>IF('Raw Data'!O88="","",O87+N87)</f>
        <v>62.9</v>
      </c>
    </row>
    <row r="89" spans="1:26" x14ac:dyDescent="0.25">
      <c r="A89" t="str">
        <f>IF('Raw Data'!A89="","",'Raw Data'!A89)</f>
        <v>AP</v>
      </c>
      <c r="B89" t="str">
        <f>IF('Raw Data'!B89="","",'Raw Data'!B89)</f>
        <v>AQ</v>
      </c>
      <c r="C89">
        <f>IF('Raw Data'!C89="","",'Raw Data'!C89)</f>
        <v>20</v>
      </c>
      <c r="D89">
        <f>IF('Raw Data'!D89="","",'Raw Data'!D89)</f>
        <v>4.5</v>
      </c>
      <c r="E89">
        <f>IF('Raw Data'!E89="","",'Raw Data'!E89)</f>
        <v>1</v>
      </c>
      <c r="F89">
        <f>IF('Raw Data'!F89="","",'Raw Data'!F89)</f>
        <v>3</v>
      </c>
      <c r="G89" s="7" t="str">
        <f>IF('Raw Data'!G89="/","-",IF('Raw Data'!G89="","-",SUBSTITUTE('Raw Data'!G89," ",":",1)))</f>
        <v>094:00</v>
      </c>
      <c r="H89" s="7" t="str">
        <f>IF('Raw Data'!H89="/","-",IF('Raw Data'!H89="","-",SUBSTITUTE('Raw Data'!H89," ",":",1)))</f>
        <v>-</v>
      </c>
      <c r="I89" s="7" t="str">
        <f>IF('Raw Data'!I89="/","-",IF('Raw Data'!I89="","-",SUBSTITUTE('Raw Data'!I89," ",":",1)))</f>
        <v>094:00</v>
      </c>
      <c r="J89" s="12">
        <f>IF('Raw Data'!J89="",IF(LEN(K89)&gt;6,SQRT('Raw Data'!M89^2+N89^2),""),'Raw Data'!J89)</f>
        <v>23.2</v>
      </c>
      <c r="K89" s="7" t="str">
        <f>IF('Raw Data'!K89="","",IF(LEN('Raw Data'!K89)&lt;7,SUBSTITUTE('Raw Data'!K89," ",":",1),'Raw Data'!K89))</f>
        <v>10:30</v>
      </c>
      <c r="L89" t="str">
        <f>IF('Raw Data'!L89="","",'Raw Data'!L89)</f>
        <v/>
      </c>
      <c r="M89">
        <f>IF('Raw Data'!M89="","",'Raw Data'!M89)</f>
        <v>22.8</v>
      </c>
      <c r="N89">
        <f>IF('Raw Data'!N89="","",IF('Raw Data'!N89="-",0,'Raw Data'!N89))</f>
        <v>4.0999999999999996</v>
      </c>
      <c r="O89">
        <f>IF('Raw Data'!O89="",IF('Raw Data'!N89="","",0),'Raw Data'!O89)</f>
        <v>68.7</v>
      </c>
      <c r="P89" t="str">
        <f>IF('Raw Data'!P89="","",'Raw Data'!P89)</f>
        <v/>
      </c>
      <c r="Q89" t="str">
        <f t="shared" si="37"/>
        <v xml:space="preserve"> </v>
      </c>
      <c r="R89" s="3">
        <f t="shared" si="46"/>
        <v>94</v>
      </c>
      <c r="S89" s="3" t="str">
        <f t="shared" si="47"/>
        <v>-</v>
      </c>
      <c r="T89" s="3">
        <f t="shared" si="48"/>
        <v>94</v>
      </c>
      <c r="U89" s="3">
        <f t="shared" si="45"/>
        <v>10.5</v>
      </c>
      <c r="W89" s="4">
        <f t="shared" si="43"/>
        <v>22.811513855483746</v>
      </c>
      <c r="X89" s="4">
        <f t="shared" si="44"/>
        <v>4.2278641914178214</v>
      </c>
      <c r="Y89" s="3">
        <f t="shared" si="39"/>
        <v>94</v>
      </c>
      <c r="Z89" s="4">
        <f>IF('Raw Data'!O89="","",O88+N88)</f>
        <v>68.7</v>
      </c>
    </row>
    <row r="90" spans="1:26" x14ac:dyDescent="0.25">
      <c r="A90" t="str">
        <f>IF('Raw Data'!A90="","",'Raw Data'!A90)</f>
        <v>AQ</v>
      </c>
      <c r="B90" t="str">
        <f>IF('Raw Data'!B90="","",'Raw Data'!B90)</f>
        <v>AR</v>
      </c>
      <c r="C90">
        <f>IF('Raw Data'!C90="","",'Raw Data'!C90)</f>
        <v>30</v>
      </c>
      <c r="D90">
        <f>IF('Raw Data'!D90="","",'Raw Data'!D90)</f>
        <v>6</v>
      </c>
      <c r="E90">
        <f>IF('Raw Data'!E90="","",'Raw Data'!E90)</f>
        <v>0</v>
      </c>
      <c r="F90">
        <f>IF('Raw Data'!F90="","",'Raw Data'!F90)</f>
        <v>4</v>
      </c>
      <c r="G90" s="7" t="str">
        <f>IF('Raw Data'!G90="/","-",IF('Raw Data'!G90="","-",SUBSTITUTE('Raw Data'!G90," ",":",1)))</f>
        <v>-</v>
      </c>
      <c r="H90" s="7" t="str">
        <f>IF('Raw Data'!H90="/","-",IF('Raw Data'!H90="","-",SUBSTITUTE('Raw Data'!H90," ",":",1)))</f>
        <v>316:00</v>
      </c>
      <c r="I90" s="7" t="str">
        <f>IF('Raw Data'!I90="/","-",IF('Raw Data'!I90="","-",SUBSTITUTE('Raw Data'!I90," ",":",1)))</f>
        <v>136:00</v>
      </c>
      <c r="J90" s="12">
        <f>IF('Raw Data'!J90="",IF(LEN(K90)&gt;6,SQRT('Raw Data'!M90^2+N90^2),""),'Raw Data'!J90)</f>
        <v>10.7</v>
      </c>
      <c r="K90" s="7" t="str">
        <f>IF('Raw Data'!K90="","",IF(LEN('Raw Data'!K90)&lt;7,SUBSTITUTE('Raw Data'!K90," ",":",1),'Raw Data'!K90))</f>
        <v>-5:30</v>
      </c>
      <c r="L90" t="str">
        <f>IF('Raw Data'!L90="","",'Raw Data'!L90)</f>
        <v/>
      </c>
      <c r="M90">
        <f>IF('Raw Data'!M90="","",'Raw Data'!M90)</f>
        <v>10.6</v>
      </c>
      <c r="N90">
        <f>IF('Raw Data'!N90="","",IF('Raw Data'!N90="-",0,'Raw Data'!N90))</f>
        <v>-1</v>
      </c>
      <c r="O90">
        <f>IF('Raw Data'!O90="",IF('Raw Data'!N90="","",0),'Raw Data'!O90)</f>
        <v>72.8</v>
      </c>
      <c r="P90" t="str">
        <f>IF('Raw Data'!P90="","",'Raw Data'!P90)</f>
        <v/>
      </c>
      <c r="Q90" t="str">
        <f t="shared" si="37"/>
        <v xml:space="preserve"> </v>
      </c>
      <c r="R90" s="3" t="str">
        <f t="shared" si="46"/>
        <v>-</v>
      </c>
      <c r="S90" s="3">
        <f t="shared" si="47"/>
        <v>316</v>
      </c>
      <c r="T90" s="3">
        <f t="shared" si="48"/>
        <v>136</v>
      </c>
      <c r="U90" s="3">
        <f t="shared" si="45"/>
        <v>-5.5</v>
      </c>
      <c r="W90" s="4">
        <f t="shared" si="43"/>
        <v>10.650739322528812</v>
      </c>
      <c r="X90" s="4">
        <f t="shared" si="44"/>
        <v>-1.0255495519663966</v>
      </c>
      <c r="Y90" s="3">
        <f t="shared" si="39"/>
        <v>136</v>
      </c>
      <c r="Z90" s="4">
        <f>IF('Raw Data'!O90="","",O89+N89)</f>
        <v>72.8</v>
      </c>
    </row>
    <row r="91" spans="1:26" x14ac:dyDescent="0.25">
      <c r="A91" t="str">
        <f>IF('Raw Data'!A91="","",'Raw Data'!A91)</f>
        <v>AR</v>
      </c>
      <c r="B91" t="str">
        <f>IF('Raw Data'!B91="","",'Raw Data'!B91)</f>
        <v>AS</v>
      </c>
      <c r="C91">
        <f>IF('Raw Data'!C91="","",'Raw Data'!C91)</f>
        <v>30</v>
      </c>
      <c r="D91">
        <f>IF('Raw Data'!D91="","",'Raw Data'!D91)</f>
        <v>4</v>
      </c>
      <c r="E91" t="str">
        <f>IF('Raw Data'!E91="","",'Raw Data'!E91)</f>
        <v>/</v>
      </c>
      <c r="F91">
        <f>IF('Raw Data'!F91="","",'Raw Data'!F91)</f>
        <v>2</v>
      </c>
      <c r="G91" s="7" t="str">
        <f>IF('Raw Data'!G91="/","-",IF('Raw Data'!G91="","-",SUBSTITUTE('Raw Data'!G91," ",":",1)))</f>
        <v>012:20</v>
      </c>
      <c r="H91" s="7" t="str">
        <f>IF('Raw Data'!H91="/","-",IF('Raw Data'!H91="","-",SUBSTITUTE('Raw Data'!H91," ",":",1)))</f>
        <v>-</v>
      </c>
      <c r="I91" s="7" t="str">
        <f>IF('Raw Data'!I91="/","-",IF('Raw Data'!I91="","-",SUBSTITUTE('Raw Data'!I91," ",":",1)))</f>
        <v>012:20</v>
      </c>
      <c r="J91" s="12">
        <f>IF('Raw Data'!J91="",IF(LEN(K91)&gt;6,SQRT('Raw Data'!M91^2+N91^2),""),'Raw Data'!J91)</f>
        <v>26.5</v>
      </c>
      <c r="K91" s="7" t="str">
        <f>IF('Raw Data'!K91="","",IF(LEN('Raw Data'!K91)&lt;7,SUBSTITUTE('Raw Data'!K91," ",":",1),'Raw Data'!K91))</f>
        <v>28:30</v>
      </c>
      <c r="L91" t="str">
        <f>IF('Raw Data'!L91="","",'Raw Data'!L91)</f>
        <v/>
      </c>
      <c r="M91">
        <f>IF('Raw Data'!M91="","",'Raw Data'!M91)</f>
        <v>23.3</v>
      </c>
      <c r="N91">
        <f>IF('Raw Data'!N91="","",IF('Raw Data'!N91="-",0,'Raw Data'!N91))</f>
        <v>12.6</v>
      </c>
      <c r="O91">
        <f>IF('Raw Data'!O91="",IF('Raw Data'!N91="","",0),'Raw Data'!O91)</f>
        <v>71.8</v>
      </c>
      <c r="P91" t="str">
        <f>IF('Raw Data'!P91="","",'Raw Data'!P91)</f>
        <v/>
      </c>
      <c r="Q91" t="str">
        <f t="shared" si="37"/>
        <v xml:space="preserve"> </v>
      </c>
      <c r="R91" s="3">
        <f t="shared" si="46"/>
        <v>12.333333333333334</v>
      </c>
      <c r="S91" s="3" t="str">
        <f t="shared" si="47"/>
        <v>-</v>
      </c>
      <c r="T91" s="3">
        <f t="shared" si="48"/>
        <v>12.333333333333334</v>
      </c>
      <c r="U91" s="3">
        <f t="shared" si="45"/>
        <v>28.5</v>
      </c>
      <c r="W91" s="4">
        <f t="shared" si="43"/>
        <v>23.288653485542081</v>
      </c>
      <c r="X91" s="4">
        <f t="shared" si="44"/>
        <v>12.644707146879623</v>
      </c>
      <c r="Y91" s="3">
        <f t="shared" si="39"/>
        <v>12.333333333333334</v>
      </c>
      <c r="Z91" s="4">
        <f>IF('Raw Data'!O91="","",O90+N90)</f>
        <v>71.8</v>
      </c>
    </row>
    <row r="92" spans="1:26" x14ac:dyDescent="0.25">
      <c r="A92" t="str">
        <f>IF('Raw Data'!A92="","",'Raw Data'!A92)</f>
        <v>AS</v>
      </c>
      <c r="B92" t="str">
        <f>IF('Raw Data'!B92="","",'Raw Data'!B92)</f>
        <v>AT</v>
      </c>
      <c r="C92">
        <f>IF('Raw Data'!C92="","",'Raw Data'!C92)</f>
        <v>30</v>
      </c>
      <c r="D92">
        <f>IF('Raw Data'!D92="","",'Raw Data'!D92)</f>
        <v>10</v>
      </c>
      <c r="E92">
        <f>IF('Raw Data'!E92="","",'Raw Data'!E92)</f>
        <v>6</v>
      </c>
      <c r="F92">
        <f>IF('Raw Data'!F92="","",'Raw Data'!F92)</f>
        <v>1</v>
      </c>
      <c r="G92" s="7" t="str">
        <f>IF('Raw Data'!G92="/","-",IF('Raw Data'!G92="","-",SUBSTITUTE('Raw Data'!G92," ",":",1)))</f>
        <v>-</v>
      </c>
      <c r="H92" s="7" t="str">
        <f>IF('Raw Data'!H92="/","-",IF('Raw Data'!H92="","-",SUBSTITUTE('Raw Data'!H92," ",":",1)))</f>
        <v>169:30</v>
      </c>
      <c r="I92" s="7" t="str">
        <f>IF('Raw Data'!I92="/","-",IF('Raw Data'!I92="","-",SUBSTITUTE('Raw Data'!I92," ",":",1)))</f>
        <v>349:30</v>
      </c>
      <c r="J92" s="12">
        <f>IF('Raw Data'!J92="",IF(LEN(K92)&gt;6,SQRT('Raw Data'!M92^2+N92^2),""),'Raw Data'!J92)</f>
        <v>38.6</v>
      </c>
      <c r="K92" s="7" t="str">
        <f>IF('Raw Data'!K92="","",IF(LEN('Raw Data'!K92)&lt;7,SUBSTITUTE('Raw Data'!K92," ",":",1),'Raw Data'!K92))</f>
        <v>10:30</v>
      </c>
      <c r="L92" t="str">
        <f>IF('Raw Data'!L92="","",'Raw Data'!L92)</f>
        <v/>
      </c>
      <c r="M92">
        <f>IF('Raw Data'!M92="","",'Raw Data'!M92)</f>
        <v>38</v>
      </c>
      <c r="N92">
        <f>IF('Raw Data'!N92="","",IF('Raw Data'!N92="-",0,'Raw Data'!N92))</f>
        <v>7</v>
      </c>
      <c r="O92">
        <f>IF('Raw Data'!O92="",IF('Raw Data'!N92="","",0),'Raw Data'!O92)</f>
        <v>84.4</v>
      </c>
      <c r="P92" t="str">
        <f>IF('Raw Data'!P92="","",'Raw Data'!P92)</f>
        <v/>
      </c>
      <c r="Q92" t="str">
        <f t="shared" si="37"/>
        <v xml:space="preserve"> </v>
      </c>
      <c r="R92" s="3" t="str">
        <f t="shared" si="46"/>
        <v>-</v>
      </c>
      <c r="S92" s="3">
        <f t="shared" si="47"/>
        <v>169.5</v>
      </c>
      <c r="T92" s="3">
        <f t="shared" si="48"/>
        <v>349.5</v>
      </c>
      <c r="U92" s="3">
        <f t="shared" si="45"/>
        <v>10.5</v>
      </c>
      <c r="W92" s="4">
        <f t="shared" si="43"/>
        <v>37.953639431968647</v>
      </c>
      <c r="X92" s="4">
        <f t="shared" si="44"/>
        <v>7.0342912839968923</v>
      </c>
      <c r="Y92" s="3">
        <f t="shared" si="39"/>
        <v>349.5</v>
      </c>
      <c r="Z92" s="4">
        <f>IF('Raw Data'!O92="","",O91+N91)</f>
        <v>84.399999999999991</v>
      </c>
    </row>
    <row r="93" spans="1:26" x14ac:dyDescent="0.25">
      <c r="A93" t="str">
        <f>IF('Raw Data'!A93="","",'Raw Data'!A93)</f>
        <v>AT</v>
      </c>
      <c r="B93" t="str">
        <f>IF('Raw Data'!B93="","",'Raw Data'!B93)</f>
        <v>AU</v>
      </c>
      <c r="C93">
        <f>IF('Raw Data'!C93="","",'Raw Data'!C93)</f>
        <v>8</v>
      </c>
      <c r="D93">
        <f>IF('Raw Data'!D93="","",'Raw Data'!D93)</f>
        <v>13</v>
      </c>
      <c r="E93">
        <f>IF('Raw Data'!E93="","",'Raw Data'!E93)</f>
        <v>6</v>
      </c>
      <c r="F93">
        <f>IF('Raw Data'!F93="","",'Raw Data'!F93)</f>
        <v>1</v>
      </c>
      <c r="G93" s="7" t="str">
        <f>IF('Raw Data'!G93="/","-",IF('Raw Data'!G93="","-",SUBSTITUTE('Raw Data'!G93," ",":",1)))</f>
        <v>321:40</v>
      </c>
      <c r="H93" s="7" t="str">
        <f>IF('Raw Data'!H93="/","-",IF('Raw Data'!H93="","-",SUBSTITUTE('Raw Data'!H93," ",":",1)))</f>
        <v>-</v>
      </c>
      <c r="I93" s="7" t="str">
        <f>IF('Raw Data'!I93="/","-",IF('Raw Data'!I93="","-",SUBSTITUTE('Raw Data'!I93," ",":",1)))</f>
        <v>321:40</v>
      </c>
      <c r="J93" s="12">
        <f>IF('Raw Data'!J93="",IF(LEN(K93)&gt;6,SQRT('Raw Data'!M93^2+N93^2),""),'Raw Data'!J93)</f>
        <v>23.3</v>
      </c>
      <c r="K93" s="7" t="str">
        <f>IF('Raw Data'!K93="","",IF(LEN('Raw Data'!K93)&lt;7,SUBSTITUTE('Raw Data'!K93," ",":",1),'Raw Data'!K93))</f>
        <v>-4:00</v>
      </c>
      <c r="L93" t="str">
        <f>IF('Raw Data'!L93="","",'Raw Data'!L93)</f>
        <v/>
      </c>
      <c r="M93">
        <f>IF('Raw Data'!M93="","",'Raw Data'!M93)</f>
        <v>23.2</v>
      </c>
      <c r="N93">
        <f>IF('Raw Data'!N93="","",IF('Raw Data'!N93="-",0,'Raw Data'!N93))</f>
        <v>-1.6</v>
      </c>
      <c r="O93">
        <f>IF('Raw Data'!O93="",IF('Raw Data'!N93="","",0),'Raw Data'!O93)</f>
        <v>91.4</v>
      </c>
      <c r="P93" t="str">
        <f>IF('Raw Data'!P93="","",'Raw Data'!P93)</f>
        <v/>
      </c>
      <c r="Q93" t="str">
        <f t="shared" si="37"/>
        <v xml:space="preserve"> </v>
      </c>
      <c r="R93" s="3">
        <f t="shared" si="46"/>
        <v>321.66666666666669</v>
      </c>
      <c r="S93" s="3" t="str">
        <f t="shared" si="47"/>
        <v>-</v>
      </c>
      <c r="T93" s="3">
        <f t="shared" si="48"/>
        <v>321.66666666666669</v>
      </c>
      <c r="U93" s="3">
        <f t="shared" si="45"/>
        <v>-4</v>
      </c>
      <c r="W93" s="4">
        <f t="shared" si="43"/>
        <v>23.243242371053906</v>
      </c>
      <c r="X93" s="4">
        <f t="shared" si="44"/>
        <v>-1.6253258382381195</v>
      </c>
      <c r="Y93" s="3">
        <f t="shared" si="39"/>
        <v>321.66666666666669</v>
      </c>
      <c r="Z93" s="4">
        <f>IF('Raw Data'!O93="","",O92+N92)</f>
        <v>91.4</v>
      </c>
    </row>
    <row r="94" spans="1:26" x14ac:dyDescent="0.25">
      <c r="A94" t="str">
        <f>IF('Raw Data'!A94="","",'Raw Data'!A94)</f>
        <v>AU</v>
      </c>
      <c r="B94" t="str">
        <f>IF('Raw Data'!B94="","",'Raw Data'!B94)</f>
        <v>AV</v>
      </c>
      <c r="C94">
        <f>IF('Raw Data'!C94="","",'Raw Data'!C94)</f>
        <v>25</v>
      </c>
      <c r="D94">
        <f>IF('Raw Data'!D94="","",'Raw Data'!D94)</f>
        <v>5</v>
      </c>
      <c r="E94">
        <f>IF('Raw Data'!E94="","",'Raw Data'!E94)</f>
        <v>2</v>
      </c>
      <c r="F94">
        <f>IF('Raw Data'!F94="","",'Raw Data'!F94)</f>
        <v>6</v>
      </c>
      <c r="G94" s="7" t="str">
        <f>IF('Raw Data'!G94="/","-",IF('Raw Data'!G94="","-",SUBSTITUTE('Raw Data'!G94," ",":",1)))</f>
        <v>-</v>
      </c>
      <c r="H94" s="7" t="str">
        <f>IF('Raw Data'!H94="/","-",IF('Raw Data'!H94="","-",SUBSTITUTE('Raw Data'!H94," ",":",1)))</f>
        <v>245:30</v>
      </c>
      <c r="I94" s="7" t="str">
        <f>IF('Raw Data'!I94="/","-",IF('Raw Data'!I94="","-",SUBSTITUTE('Raw Data'!I94," ",":",1)))</f>
        <v>065:30</v>
      </c>
      <c r="J94" s="12">
        <f>IF('Raw Data'!J94="",IF(LEN(K94)&gt;6,SQRT('Raw Data'!M94^2+N94^2),""),'Raw Data'!J94)</f>
        <v>23.3</v>
      </c>
      <c r="K94" s="7" t="str">
        <f>IF('Raw Data'!K94="","",IF(LEN('Raw Data'!K94)&lt;7,SUBSTITUTE('Raw Data'!K94," ",":",1),'Raw Data'!K94))</f>
        <v>9:00</v>
      </c>
      <c r="L94" t="str">
        <f>IF('Raw Data'!L94="","",'Raw Data'!L94)</f>
        <v/>
      </c>
      <c r="M94">
        <f>IF('Raw Data'!M94="","",'Raw Data'!M94)</f>
        <v>23</v>
      </c>
      <c r="N94">
        <f>IF('Raw Data'!N94="","",IF('Raw Data'!N94="-",0,'Raw Data'!N94))</f>
        <v>3.6</v>
      </c>
      <c r="O94">
        <f>IF('Raw Data'!O94="",IF('Raw Data'!N94="","",0),'Raw Data'!O94)</f>
        <v>89.8</v>
      </c>
      <c r="P94" t="str">
        <f>IF('Raw Data'!P94="","",'Raw Data'!P94)</f>
        <v/>
      </c>
      <c r="Q94" t="str">
        <f t="shared" si="37"/>
        <v xml:space="preserve"> </v>
      </c>
      <c r="R94" s="3" t="str">
        <f t="shared" si="46"/>
        <v>-</v>
      </c>
      <c r="S94" s="3">
        <f t="shared" si="47"/>
        <v>245.5</v>
      </c>
      <c r="T94" s="3">
        <f t="shared" si="48"/>
        <v>65.5</v>
      </c>
      <c r="U94" s="3">
        <f t="shared" si="45"/>
        <v>9</v>
      </c>
      <c r="W94" s="4">
        <f t="shared" si="43"/>
        <v>23.01313833586671</v>
      </c>
      <c r="X94" s="4">
        <f t="shared" si="44"/>
        <v>3.6449230354373792</v>
      </c>
      <c r="Y94" s="3">
        <f t="shared" si="39"/>
        <v>65.5</v>
      </c>
      <c r="Z94" s="4">
        <f>IF('Raw Data'!O94="","",O93+N93)</f>
        <v>89.800000000000011</v>
      </c>
    </row>
    <row r="95" spans="1:26" x14ac:dyDescent="0.25">
      <c r="A95" t="str">
        <f>IF('Raw Data'!A95="","",'Raw Data'!A95)</f>
        <v>AV</v>
      </c>
      <c r="B95" t="str">
        <f>IF('Raw Data'!B95="","",'Raw Data'!B95)</f>
        <v>AW</v>
      </c>
      <c r="C95">
        <f>IF('Raw Data'!C95="","",'Raw Data'!C95)</f>
        <v>30</v>
      </c>
      <c r="D95">
        <f>IF('Raw Data'!D95="","",'Raw Data'!D95)</f>
        <v>1.5</v>
      </c>
      <c r="E95">
        <f>IF('Raw Data'!E95="","",'Raw Data'!E95)</f>
        <v>7</v>
      </c>
      <c r="F95">
        <f>IF('Raw Data'!F95="","",'Raw Data'!F95)</f>
        <v>8</v>
      </c>
      <c r="G95" s="7" t="str">
        <f>IF('Raw Data'!G95="/","-",IF('Raw Data'!G95="","-",SUBSTITUTE('Raw Data'!G95," ",":",1)))</f>
        <v>108:30</v>
      </c>
      <c r="H95" s="7" t="str">
        <f>IF('Raw Data'!H95="/","-",IF('Raw Data'!H95="","-",SUBSTITUTE('Raw Data'!H95," ",":",1)))</f>
        <v>-</v>
      </c>
      <c r="I95" s="7" t="str">
        <f>IF('Raw Data'!I95="/","-",IF('Raw Data'!I95="","-",SUBSTITUTE('Raw Data'!I95," ",":",1)))</f>
        <v>108:30</v>
      </c>
      <c r="J95" s="12">
        <f>IF('Raw Data'!J95="",IF(LEN(K95)&gt;6,SQRT('Raw Data'!M95^2+N95^2),""),'Raw Data'!J95)</f>
        <v>24.1</v>
      </c>
      <c r="K95" s="7" t="str">
        <f>IF('Raw Data'!K95="","",IF(LEN('Raw Data'!K95)&lt;7,SUBSTITUTE('Raw Data'!K95," ",":",1),'Raw Data'!K95))</f>
        <v>27:30</v>
      </c>
      <c r="L95" t="str">
        <f>IF('Raw Data'!L95="","",'Raw Data'!L95)</f>
        <v/>
      </c>
      <c r="M95">
        <f>IF('Raw Data'!M95="","",'Raw Data'!M95)</f>
        <v>21.4</v>
      </c>
      <c r="N95">
        <f>IF('Raw Data'!N95="","",IF('Raw Data'!N95="-",0,'Raw Data'!N95))</f>
        <v>11.1</v>
      </c>
      <c r="O95">
        <f>IF('Raw Data'!O95="",IF('Raw Data'!N95="","",0),'Raw Data'!O95)</f>
        <v>93.4</v>
      </c>
      <c r="P95" t="str">
        <f>IF('Raw Data'!P95="","",'Raw Data'!P95)</f>
        <v>AV is in middle of upper big pot.</v>
      </c>
      <c r="Q95" t="str">
        <f t="shared" si="37"/>
        <v xml:space="preserve"> </v>
      </c>
      <c r="R95" s="3">
        <f t="shared" si="46"/>
        <v>108.5</v>
      </c>
      <c r="S95" s="3" t="str">
        <f t="shared" si="47"/>
        <v>-</v>
      </c>
      <c r="T95" s="3">
        <f t="shared" si="48"/>
        <v>108.5</v>
      </c>
      <c r="U95" s="3">
        <f t="shared" si="45"/>
        <v>27.5</v>
      </c>
      <c r="W95" s="4">
        <f t="shared" si="43"/>
        <v>21.376961079595144</v>
      </c>
      <c r="X95" s="4">
        <f t="shared" si="44"/>
        <v>11.128141578964318</v>
      </c>
      <c r="Y95" s="3">
        <f t="shared" si="39"/>
        <v>108.5</v>
      </c>
      <c r="Z95" s="4">
        <f>IF('Raw Data'!O95="","",O94+N94)</f>
        <v>93.399999999999991</v>
      </c>
    </row>
    <row r="96" spans="1:26" x14ac:dyDescent="0.25">
      <c r="A96" t="str">
        <f>IF('Raw Data'!A96="","",'Raw Data'!A96)</f>
        <v>AW</v>
      </c>
      <c r="B96" t="str">
        <f>IF('Raw Data'!B96="","",'Raw Data'!B96)</f>
        <v>AX</v>
      </c>
      <c r="C96">
        <f>IF('Raw Data'!C96="","",'Raw Data'!C96)</f>
        <v>35</v>
      </c>
      <c r="D96">
        <f>IF('Raw Data'!D96="","",'Raw Data'!D96)</f>
        <v>6</v>
      </c>
      <c r="E96">
        <f>IF('Raw Data'!E96="","",'Raw Data'!E96)</f>
        <v>8</v>
      </c>
      <c r="F96">
        <f>IF('Raw Data'!F96="","",'Raw Data'!F96)</f>
        <v>2</v>
      </c>
      <c r="G96" s="7" t="str">
        <f>IF('Raw Data'!G96="/","-",IF('Raw Data'!G96="","-",SUBSTITUTE('Raw Data'!G96," ",":",1)))</f>
        <v>-</v>
      </c>
      <c r="H96" s="7" t="str">
        <f>IF('Raw Data'!H96="/","-",IF('Raw Data'!H96="","-",SUBSTITUTE('Raw Data'!H96," ",":",1)))</f>
        <v>259:40</v>
      </c>
      <c r="I96" s="7" t="str">
        <f>IF('Raw Data'!I96="/","-",IF('Raw Data'!I96="","-",SUBSTITUTE('Raw Data'!I96," ",":",1)))</f>
        <v>079:40</v>
      </c>
      <c r="J96" s="12">
        <f>IF('Raw Data'!J96="",IF(LEN(K96)&gt;6,SQRT('Raw Data'!M96^2+N96^2),""),'Raw Data'!J96)</f>
        <v>14.6</v>
      </c>
      <c r="K96" s="7" t="str">
        <f>IF('Raw Data'!K96="","",IF(LEN('Raw Data'!K96)&lt;7,SUBSTITUTE('Raw Data'!K96," ",":",1),'Raw Data'!K96))</f>
        <v>23:30</v>
      </c>
      <c r="L96" t="str">
        <f>IF('Raw Data'!L96="","",'Raw Data'!L96)</f>
        <v/>
      </c>
      <c r="M96">
        <f>IF('Raw Data'!M96="","",'Raw Data'!M96)</f>
        <v>13.4</v>
      </c>
      <c r="N96">
        <f>IF('Raw Data'!N96="","",IF('Raw Data'!N96="-",0,'Raw Data'!N96))</f>
        <v>5.8</v>
      </c>
      <c r="O96">
        <f>IF('Raw Data'!O96="",IF('Raw Data'!N96="","",0),'Raw Data'!O96)</f>
        <v>104.5</v>
      </c>
      <c r="P96" t="str">
        <f>IF('Raw Data'!P96="","",'Raw Data'!P96)</f>
        <v/>
      </c>
      <c r="Q96" t="str">
        <f t="shared" si="37"/>
        <v xml:space="preserve"> </v>
      </c>
      <c r="R96" s="3" t="str">
        <f t="shared" si="46"/>
        <v>-</v>
      </c>
      <c r="S96" s="3">
        <f t="shared" si="47"/>
        <v>259.66666666666669</v>
      </c>
      <c r="T96" s="3">
        <f t="shared" si="48"/>
        <v>79.666666666666671</v>
      </c>
      <c r="U96" s="3">
        <f t="shared" si="45"/>
        <v>23.5</v>
      </c>
      <c r="W96" s="4">
        <f t="shared" si="43"/>
        <v>13.389077086022811</v>
      </c>
      <c r="X96" s="4">
        <f t="shared" si="44"/>
        <v>5.8217364063085943</v>
      </c>
      <c r="Y96" s="3">
        <f t="shared" si="39"/>
        <v>79.666666666666686</v>
      </c>
      <c r="Z96" s="4">
        <f>IF('Raw Data'!O96="","",O95+N95)</f>
        <v>104.5</v>
      </c>
    </row>
    <row r="97" spans="1:26" x14ac:dyDescent="0.25">
      <c r="A97" t="str">
        <f>IF('Raw Data'!A97="","",'Raw Data'!A97)</f>
        <v>AX</v>
      </c>
      <c r="B97" t="str">
        <f>IF('Raw Data'!B97="","",'Raw Data'!B97)</f>
        <v>AY</v>
      </c>
      <c r="C97">
        <f>IF('Raw Data'!C97="","",'Raw Data'!C97)</f>
        <v>15</v>
      </c>
      <c r="D97">
        <f>IF('Raw Data'!D97="","",'Raw Data'!D97)</f>
        <v>6</v>
      </c>
      <c r="E97">
        <f>IF('Raw Data'!E97="","",'Raw Data'!E97)</f>
        <v>10</v>
      </c>
      <c r="F97">
        <f>IF('Raw Data'!F97="","",'Raw Data'!F97)</f>
        <v>5</v>
      </c>
      <c r="G97" s="7" t="str">
        <f>IF('Raw Data'!G97="/","-",IF('Raw Data'!G97="","-",SUBSTITUTE('Raw Data'!G97," ",":",1)))</f>
        <v>128:00</v>
      </c>
      <c r="H97" s="7" t="str">
        <f>IF('Raw Data'!H97="/","-",IF('Raw Data'!H97="","-",SUBSTITUTE('Raw Data'!H97," ",":",1)))</f>
        <v>-</v>
      </c>
      <c r="I97" s="7" t="str">
        <f>IF('Raw Data'!I97="/","-",IF('Raw Data'!I97="","-",SUBSTITUTE('Raw Data'!I97," ",":",1)))</f>
        <v>128:00</v>
      </c>
      <c r="J97" s="12">
        <f>IF('Raw Data'!J97="",IF(LEN(K97)&gt;6,SQRT('Raw Data'!M97^2+N97^2),""),'Raw Data'!J97)</f>
        <v>15</v>
      </c>
      <c r="K97" s="7" t="str">
        <f>IF('Raw Data'!K97="","",IF(LEN('Raw Data'!K97)&lt;7,SUBSTITUTE('Raw Data'!K97," ",":",1),'Raw Data'!K97))</f>
        <v>13:30</v>
      </c>
      <c r="L97" t="str">
        <f>IF('Raw Data'!L97="","",'Raw Data'!L97)</f>
        <v/>
      </c>
      <c r="M97">
        <f>IF('Raw Data'!M97="","",'Raw Data'!M97)</f>
        <v>14.6</v>
      </c>
      <c r="N97">
        <f>IF('Raw Data'!N97="","",IF('Raw Data'!N97="-",0,'Raw Data'!N97))</f>
        <v>3.5</v>
      </c>
      <c r="O97">
        <f>IF('Raw Data'!O97="",IF('Raw Data'!N97="","",0),'Raw Data'!O97)</f>
        <v>110.3</v>
      </c>
      <c r="P97" t="str">
        <f>IF('Raw Data'!P97="","",'Raw Data'!P97)</f>
        <v>AY is on stumpy stalagmite on cascade on E side of passage.</v>
      </c>
      <c r="Q97" t="str">
        <f t="shared" si="37"/>
        <v xml:space="preserve"> </v>
      </c>
      <c r="R97" s="3">
        <f t="shared" si="46"/>
        <v>128</v>
      </c>
      <c r="S97" s="3" t="str">
        <f t="shared" si="47"/>
        <v>-</v>
      </c>
      <c r="T97" s="3">
        <f t="shared" si="48"/>
        <v>128</v>
      </c>
      <c r="U97" s="3">
        <f t="shared" si="45"/>
        <v>13.5</v>
      </c>
      <c r="W97" s="4">
        <f t="shared" si="43"/>
        <v>14.585548805965148</v>
      </c>
      <c r="X97" s="4">
        <f t="shared" si="44"/>
        <v>3.5016804578385807</v>
      </c>
      <c r="Y97" s="3">
        <f t="shared" si="39"/>
        <v>128</v>
      </c>
      <c r="Z97" s="4">
        <f>IF('Raw Data'!O97="","",O96+N96)</f>
        <v>110.3</v>
      </c>
    </row>
    <row r="98" spans="1:26" x14ac:dyDescent="0.25">
      <c r="A98" t="str">
        <f>IF('Raw Data'!A98="","",'Raw Data'!A98)</f>
        <v>AY</v>
      </c>
      <c r="B98" t="str">
        <f>IF('Raw Data'!B98="","",'Raw Data'!B98)</f>
        <v/>
      </c>
      <c r="C98" t="str">
        <f>IF('Raw Data'!C98="","",'Raw Data'!C98)</f>
        <v/>
      </c>
      <c r="D98" t="str">
        <f>IF('Raw Data'!D98="","",'Raw Data'!D98)</f>
        <v/>
      </c>
      <c r="E98" t="str">
        <f>IF('Raw Data'!E98="","",'Raw Data'!E98)</f>
        <v/>
      </c>
      <c r="F98" t="str">
        <f>IF('Raw Data'!F98="","",'Raw Data'!F98)</f>
        <v/>
      </c>
      <c r="G98" s="7" t="str">
        <f>IF('Raw Data'!G98="/","-",IF('Raw Data'!G98="","-",SUBSTITUTE('Raw Data'!G98," ",":",1)))</f>
        <v>-</v>
      </c>
      <c r="H98" s="7" t="str">
        <f>IF('Raw Data'!H98="/","-",IF('Raw Data'!H98="","-",SUBSTITUTE('Raw Data'!H98," ",":",1)))</f>
        <v>-</v>
      </c>
      <c r="I98" s="7" t="str">
        <f>IF('Raw Data'!I98="/","-",IF('Raw Data'!I98="","-",SUBSTITUTE('Raw Data'!I98," ",":",1)))</f>
        <v>-</v>
      </c>
      <c r="J98" s="12" t="str">
        <f>IF('Raw Data'!J98="",IF(LEN(K98)&gt;6,SQRT('Raw Data'!M98^2+N98^2),""),'Raw Data'!J98)</f>
        <v/>
      </c>
      <c r="K98" s="7" t="str">
        <f>IF('Raw Data'!K98="","",IF(LEN('Raw Data'!K98)&lt;7,SUBSTITUTE('Raw Data'!K98," ",":",1),'Raw Data'!K98))</f>
        <v/>
      </c>
      <c r="L98" t="str">
        <f>IF('Raw Data'!L98="","",'Raw Data'!L98)</f>
        <v/>
      </c>
      <c r="M98" t="str">
        <f>IF('Raw Data'!M98="","",'Raw Data'!M98)</f>
        <v/>
      </c>
      <c r="N98" t="str">
        <f>IF('Raw Data'!N98="","",IF('Raw Data'!N98="-",0,'Raw Data'!N98))</f>
        <v/>
      </c>
      <c r="O98">
        <f>IF('Raw Data'!O98="",IF('Raw Data'!N98="","",0),'Raw Data'!O98)</f>
        <v>113.8</v>
      </c>
      <c r="P98" t="str">
        <f>IF('Raw Data'!P98="","",'Raw Data'!P98)</f>
        <v>Total = 2,188'</v>
      </c>
      <c r="Q98" t="str">
        <f t="shared" si="37"/>
        <v xml:space="preserve"> </v>
      </c>
      <c r="W98" s="4"/>
      <c r="X98" s="4"/>
      <c r="Y98" s="3"/>
      <c r="Z98" s="4">
        <f>IF('Raw Data'!O98="","",O97+N97)</f>
        <v>113.8</v>
      </c>
    </row>
    <row r="99" spans="1:26" x14ac:dyDescent="0.25">
      <c r="A99" t="str">
        <f>IF('Raw Data'!A99="","",'Raw Data'!A99)</f>
        <v/>
      </c>
      <c r="B99" t="str">
        <f>IF('Raw Data'!B99="","",'Raw Data'!B99)</f>
        <v/>
      </c>
      <c r="C99" t="str">
        <f>IF('Raw Data'!C99="","",'Raw Data'!C99)</f>
        <v/>
      </c>
      <c r="D99" t="str">
        <f>IF('Raw Data'!D99="","",'Raw Data'!D99)</f>
        <v/>
      </c>
      <c r="E99" t="str">
        <f>IF('Raw Data'!E99="","",'Raw Data'!E99)</f>
        <v/>
      </c>
      <c r="F99" t="str">
        <f>IF('Raw Data'!F99="","",'Raw Data'!F99)</f>
        <v/>
      </c>
      <c r="G99" s="7" t="str">
        <f>IF('Raw Data'!G99="/","-",IF('Raw Data'!G99="","-",SUBSTITUTE('Raw Data'!G99," ",":",1)))</f>
        <v>-</v>
      </c>
      <c r="H99" s="7" t="str">
        <f>IF('Raw Data'!H99="/","-",IF('Raw Data'!H99="","-",SUBSTITUTE('Raw Data'!H99," ",":",1)))</f>
        <v>-</v>
      </c>
      <c r="I99" s="7" t="str">
        <f>IF('Raw Data'!I99="/","-",IF('Raw Data'!I99="","-",SUBSTITUTE('Raw Data'!I99," ",":",1)))</f>
        <v>-</v>
      </c>
      <c r="J99" s="12" t="str">
        <f>IF('Raw Data'!J99="",IF(LEN(K99)&gt;6,SQRT('Raw Data'!M99^2+N99^2),""),'Raw Data'!J99)</f>
        <v/>
      </c>
      <c r="K99" s="7" t="str">
        <f>IF('Raw Data'!K99="","",IF(LEN('Raw Data'!K99)&lt;7,SUBSTITUTE('Raw Data'!K99," ",":",1),'Raw Data'!K99))</f>
        <v/>
      </c>
      <c r="L99" t="str">
        <f>IF('Raw Data'!L99="","",'Raw Data'!L99)</f>
        <v/>
      </c>
      <c r="M99" t="str">
        <f>IF('Raw Data'!M99="","",'Raw Data'!M99)</f>
        <v/>
      </c>
      <c r="N99" t="str">
        <f>IF('Raw Data'!N99="","",IF('Raw Data'!N99="-",0,'Raw Data'!N99))</f>
        <v/>
      </c>
      <c r="O99" t="str">
        <f>IF('Raw Data'!O99="",IF('Raw Data'!N99="","",0),'Raw Data'!O99)</f>
        <v/>
      </c>
      <c r="P99" t="str">
        <f>IF('Raw Data'!P99="","",'Raw Data'!P99)</f>
        <v/>
      </c>
      <c r="Q99" t="str">
        <f t="shared" si="37"/>
        <v xml:space="preserve"> </v>
      </c>
      <c r="W99" s="4"/>
      <c r="X99" s="4"/>
      <c r="Y99" s="3"/>
      <c r="Z99" s="4" t="str">
        <f>IF('Raw Data'!O99="","",O98+N98)</f>
        <v/>
      </c>
    </row>
    <row r="100" spans="1:26" x14ac:dyDescent="0.25">
      <c r="A100" t="str">
        <f>IF('Raw Data'!A100="","",'Raw Data'!A100)</f>
        <v>14th August '52</v>
      </c>
      <c r="B100" t="str">
        <f>IF('Raw Data'!B100="","",'Raw Data'!B100)</f>
        <v>Colin</v>
      </c>
      <c r="C100" t="str">
        <f>IF('Raw Data'!C100="","",'Raw Data'!C100)</f>
        <v>Contd from P.49. Upper Mud Series</v>
      </c>
      <c r="D100" t="str">
        <f>IF('Raw Data'!D100="","",'Raw Data'!D100)</f>
        <v/>
      </c>
      <c r="E100" t="str">
        <f>IF('Raw Data'!E100="","",'Raw Data'!E100)</f>
        <v/>
      </c>
      <c r="F100" t="str">
        <f>IF('Raw Data'!F100="","",'Raw Data'!F100)</f>
        <v/>
      </c>
      <c r="G100" s="7" t="str">
        <f>IF('Raw Data'!G100="/","-",IF('Raw Data'!G100="","-",SUBSTITUTE('Raw Data'!G100," ",":",1)))</f>
        <v>-</v>
      </c>
      <c r="H100" s="7" t="str">
        <f>IF('Raw Data'!H100="/","-",IF('Raw Data'!H100="","-",SUBSTITUTE('Raw Data'!H100," ",":",1)))</f>
        <v>-</v>
      </c>
      <c r="I100" s="7" t="str">
        <f>IF('Raw Data'!I100="/","-",IF('Raw Data'!I100="","-",SUBSTITUTE('Raw Data'!I100," ",":",1)))</f>
        <v>-</v>
      </c>
      <c r="J100" s="12" t="str">
        <f>IF('Raw Data'!J100="",IF(LEN(K100)&gt;6,SQRT('Raw Data'!M100^2+N100^2),""),'Raw Data'!J100)</f>
        <v/>
      </c>
      <c r="K100" s="7" t="str">
        <f>IF('Raw Data'!K100="","",IF(LEN('Raw Data'!K100)&lt;7,SUBSTITUTE('Raw Data'!K100," ",":",1),'Raw Data'!K100))</f>
        <v/>
      </c>
      <c r="L100" t="str">
        <f>IF('Raw Data'!L100="","",'Raw Data'!L100)</f>
        <v/>
      </c>
      <c r="M100" t="str">
        <f>IF('Raw Data'!M100="","",'Raw Data'!M100)</f>
        <v/>
      </c>
      <c r="N100" t="str">
        <f>IF('Raw Data'!N100="","",IF('Raw Data'!N100="-",0,'Raw Data'!N100))</f>
        <v/>
      </c>
      <c r="O100" t="str">
        <f>IF('Raw Data'!O100="",IF('Raw Data'!N100="","",0),'Raw Data'!O100)</f>
        <v/>
      </c>
      <c r="P100" t="str">
        <f>IF('Raw Data'!P100="","",'Raw Data'!P100)</f>
        <v/>
      </c>
      <c r="Q100" t="str">
        <f t="shared" si="37"/>
        <v xml:space="preserve"> </v>
      </c>
      <c r="W100" s="4"/>
      <c r="X100" s="4"/>
      <c r="Y100" s="3"/>
      <c r="Z100" s="4" t="str">
        <f>IF('Raw Data'!O100="","",O99+N99)</f>
        <v/>
      </c>
    </row>
    <row r="101" spans="1:26" x14ac:dyDescent="0.25">
      <c r="A101">
        <f>IF('Raw Data'!A101="","",'Raw Data'!A101)</f>
        <v>18</v>
      </c>
      <c r="B101">
        <f>IF('Raw Data'!B101="","",'Raw Data'!B101)</f>
        <v>19</v>
      </c>
      <c r="C101">
        <f>IF('Raw Data'!C101="","",'Raw Data'!C101)</f>
        <v>3</v>
      </c>
      <c r="D101">
        <f>IF('Raw Data'!D101="","",'Raw Data'!D101)</f>
        <v>11</v>
      </c>
      <c r="E101">
        <f>IF('Raw Data'!E101="","",'Raw Data'!E101)</f>
        <v>2</v>
      </c>
      <c r="F101">
        <f>IF('Raw Data'!F101="","",'Raw Data'!F101)</f>
        <v>2</v>
      </c>
      <c r="G101" s="7" t="str">
        <f>IF('Raw Data'!G101="/","-",IF('Raw Data'!G101="","-",SUBSTITUTE('Raw Data'!G101," ",":",1)))</f>
        <v>-</v>
      </c>
      <c r="H101" s="7" t="str">
        <f>IF('Raw Data'!H101="/","-",IF('Raw Data'!H101="","-",SUBSTITUTE('Raw Data'!H101," ",":",1)))</f>
        <v>-</v>
      </c>
      <c r="I101" s="7" t="str">
        <f>IF('Raw Data'!I101="/","-",IF('Raw Data'!I101="","-",SUBSTITUTE('Raw Data'!I101," ",":",1)))</f>
        <v>-</v>
      </c>
      <c r="J101" s="12">
        <f>IF('Raw Data'!J101="",IF(LEN(K101)&gt;6,SQRT('Raw Data'!M101^2+N101^2),""),'Raw Data'!J101)</f>
        <v>10.1</v>
      </c>
      <c r="K101" s="7" t="str">
        <f>IF('Raw Data'!K101="","",IF(LEN('Raw Data'!K101)&lt;7,SUBSTITUTE('Raw Data'!K101," ",":",1),'Raw Data'!K101))</f>
        <v>-90:00</v>
      </c>
      <c r="L101" t="str">
        <f>IF('Raw Data'!L101="","",'Raw Data'!L101)</f>
        <v/>
      </c>
      <c r="M101" t="str">
        <f>IF('Raw Data'!M101="","",'Raw Data'!M101)</f>
        <v>-</v>
      </c>
      <c r="N101">
        <f>IF('Raw Data'!N101="","",IF('Raw Data'!N101="-",0,'Raw Data'!N101))</f>
        <v>-10.1</v>
      </c>
      <c r="O101">
        <f>IF('Raw Data'!O101="",IF('Raw Data'!N101="","",0),'Raw Data'!O101)</f>
        <v>76.400000000000006</v>
      </c>
      <c r="P101" t="str">
        <f>IF('Raw Data'!P101="","",'Raw Data'!P101)</f>
        <v>18 is in crack at top of 11 Foot Drop.</v>
      </c>
      <c r="Q101" t="str">
        <f t="shared" si="37"/>
        <v xml:space="preserve"> </v>
      </c>
      <c r="R101" s="3" t="str">
        <f t="shared" si="46"/>
        <v>-</v>
      </c>
      <c r="S101" s="3" t="str">
        <f t="shared" si="47"/>
        <v>-</v>
      </c>
      <c r="T101" s="3" t="str">
        <f t="shared" si="48"/>
        <v>-</v>
      </c>
      <c r="U101" s="3">
        <f t="shared" ref="U101:U113" si="49">IF(ISERROR(FIND(":",K101)),IF(K101="zero",0,1*K101),1*CONCATENATE(LEFT(K101,FIND(":",K101)-1),".",MID(RIGHT(K101,LEN(K101)-FIND(":",K101))/60,3,8)))</f>
        <v>-90</v>
      </c>
      <c r="W101" s="4">
        <f t="shared" si="43"/>
        <v>6.1869996972885311E-16</v>
      </c>
      <c r="X101" s="4">
        <f t="shared" si="44"/>
        <v>-10.1</v>
      </c>
      <c r="Y101" s="3" t="e">
        <f t="shared" si="39"/>
        <v>#VALUE!</v>
      </c>
      <c r="Z101" s="4">
        <f>IF('Raw Data'!O101="","",O67)</f>
        <v>76.400000000000006</v>
      </c>
    </row>
    <row r="102" spans="1:26" x14ac:dyDescent="0.25">
      <c r="A102">
        <f>IF('Raw Data'!A102="","",'Raw Data'!A102)</f>
        <v>19</v>
      </c>
      <c r="B102">
        <f>IF('Raw Data'!B102="","",'Raw Data'!B102)</f>
        <v>20</v>
      </c>
      <c r="C102" t="str">
        <f>IF('Raw Data'!C102="","",'Raw Data'!C102)</f>
        <v>/</v>
      </c>
      <c r="D102">
        <f>IF('Raw Data'!D102="","",'Raw Data'!D102)</f>
        <v>1</v>
      </c>
      <c r="E102">
        <f>IF('Raw Data'!E102="","",'Raw Data'!E102)</f>
        <v>3</v>
      </c>
      <c r="F102">
        <f>IF('Raw Data'!F102="","",'Raw Data'!F102)</f>
        <v>3</v>
      </c>
      <c r="G102" s="7" t="str">
        <f>IF('Raw Data'!G102="/","-",IF('Raw Data'!G102="","-",SUBSTITUTE('Raw Data'!G102," ",":",1)))</f>
        <v>-</v>
      </c>
      <c r="H102" s="7" t="str">
        <f>IF('Raw Data'!H102="/","-",IF('Raw Data'!H102="","-",SUBSTITUTE('Raw Data'!H102," ",":",1)))</f>
        <v>355:00</v>
      </c>
      <c r="I102" s="7" t="str">
        <f>IF('Raw Data'!I102="/","-",IF('Raw Data'!I102="","-",SUBSTITUTE('Raw Data'!I102," ",":",1)))</f>
        <v>175:00</v>
      </c>
      <c r="J102" s="12">
        <f>IF('Raw Data'!J102="",IF(LEN(K102)&gt;6,SQRT('Raw Data'!M102^2+N102^2),""),'Raw Data'!J102)</f>
        <v>8</v>
      </c>
      <c r="K102" s="7" t="str">
        <f>IF('Raw Data'!K102="","",IF(LEN('Raw Data'!K102)&lt;7,SUBSTITUTE('Raw Data'!K102," ",":",1),'Raw Data'!K102))</f>
        <v>1:00</v>
      </c>
      <c r="L102" t="str">
        <f>IF('Raw Data'!L102="","",'Raw Data'!L102)</f>
        <v/>
      </c>
      <c r="M102">
        <f>IF('Raw Data'!M102="","",'Raw Data'!M102)</f>
        <v>8</v>
      </c>
      <c r="N102">
        <f>IF('Raw Data'!N102="","",IF('Raw Data'!N102="-",0,'Raw Data'!N102))</f>
        <v>0.1</v>
      </c>
      <c r="O102">
        <f>IF('Raw Data'!O102="",IF('Raw Data'!N102="","",0),'Raw Data'!O102)</f>
        <v>66.3</v>
      </c>
      <c r="P102" t="str">
        <f>IF('Raw Data'!P102="","",'Raw Data'!P102)</f>
        <v>(sketch of 18 - 24)</v>
      </c>
      <c r="Q102" t="str">
        <f t="shared" si="37"/>
        <v xml:space="preserve"> </v>
      </c>
      <c r="R102" s="3" t="str">
        <f t="shared" ref="R102:R119" si="50">IF(ISERROR(FIND(":",G102)),IF(G102&lt;&gt;"-",1*G102,G102),1*LEFT(G102,FIND(":",G102)-1)+RIGHT(G102,LEN(G102)-FIND(":",G102))/60)</f>
        <v>-</v>
      </c>
      <c r="S102" s="3">
        <f t="shared" ref="S102:S119" si="51">IF(ISERROR(FIND(":",H102)),IF(H102&lt;&gt;"-",1*H102,H102),1*LEFT(H102,FIND(":",H102)-1)+RIGHT(H102,LEN(H102)-FIND(":",H102))/60)</f>
        <v>355</v>
      </c>
      <c r="T102" s="3">
        <f t="shared" ref="T102:T119" si="52">IF(ISERROR(FIND(":",I102)),IF(I102&lt;&gt;"-",1*I102,I102),1*LEFT(I102,FIND(":",I102)-1)+RIGHT(I102,LEN(I102)-FIND(":",I102))/60)</f>
        <v>175</v>
      </c>
      <c r="U102" s="3">
        <f t="shared" si="49"/>
        <v>1</v>
      </c>
      <c r="W102" s="4">
        <f t="shared" si="43"/>
        <v>7.9987815612511302</v>
      </c>
      <c r="X102" s="4">
        <f t="shared" si="44"/>
        <v>0.13961925149826809</v>
      </c>
      <c r="Y102" s="3">
        <f t="shared" si="39"/>
        <v>175</v>
      </c>
      <c r="Z102" s="4">
        <f>IF('Raw Data'!O102="","",O101+N101)</f>
        <v>66.300000000000011</v>
      </c>
    </row>
    <row r="103" spans="1:26" x14ac:dyDescent="0.25">
      <c r="A103">
        <f>IF('Raw Data'!A103="","",'Raw Data'!A103)</f>
        <v>20</v>
      </c>
      <c r="B103">
        <f>IF('Raw Data'!B103="","",'Raw Data'!B103)</f>
        <v>21</v>
      </c>
      <c r="C103">
        <f>IF('Raw Data'!C103="","",'Raw Data'!C103)</f>
        <v>3</v>
      </c>
      <c r="D103">
        <f>IF('Raw Data'!D103="","",'Raw Data'!D103)</f>
        <v>1</v>
      </c>
      <c r="E103">
        <f>IF('Raw Data'!E103="","",'Raw Data'!E103)</f>
        <v>3</v>
      </c>
      <c r="F103">
        <f>IF('Raw Data'!F103="","",'Raw Data'!F103)</f>
        <v>2</v>
      </c>
      <c r="G103" s="7" t="str">
        <f>IF('Raw Data'!G103="/","-",IF('Raw Data'!G103="","-",SUBSTITUTE('Raw Data'!G103," ",":",1)))</f>
        <v>091:00</v>
      </c>
      <c r="H103" s="7" t="str">
        <f>IF('Raw Data'!H103="/","-",IF('Raw Data'!H103="","-",SUBSTITUTE('Raw Data'!H103," ",":",1)))</f>
        <v>-</v>
      </c>
      <c r="I103" s="7" t="str">
        <f>IF('Raw Data'!I103="/","-",IF('Raw Data'!I103="","-",SUBSTITUTE('Raw Data'!I103," ",":",1)))</f>
        <v>091:00</v>
      </c>
      <c r="J103" s="12">
        <f>IF('Raw Data'!J103="",IF(LEN(K103)&gt;6,SQRT('Raw Data'!M103^2+N103^2),""),'Raw Data'!J103)</f>
        <v>24.8</v>
      </c>
      <c r="K103" s="7" t="str">
        <f>IF('Raw Data'!K103="","",IF(LEN('Raw Data'!K103)&lt;7,SUBSTITUTE('Raw Data'!K103," ",":",1),'Raw Data'!K103))</f>
        <v>23:00</v>
      </c>
      <c r="L103" t="str">
        <f>IF('Raw Data'!L103="","",'Raw Data'!L103)</f>
        <v/>
      </c>
      <c r="M103">
        <f>IF('Raw Data'!M103="","",'Raw Data'!M103)</f>
        <v>22.8</v>
      </c>
      <c r="N103">
        <f>IF('Raw Data'!N103="","",IF('Raw Data'!N103="-",0,'Raw Data'!N103))</f>
        <v>9.6999999999999993</v>
      </c>
      <c r="O103">
        <f>IF('Raw Data'!O103="",IF('Raw Data'!N103="","",0),'Raw Data'!O103)</f>
        <v>66.400000000000006</v>
      </c>
      <c r="P103" t="str">
        <f>IF('Raw Data'!P103="","",'Raw Data'!P103)</f>
        <v/>
      </c>
      <c r="Q103" t="str">
        <f t="shared" si="37"/>
        <v xml:space="preserve"> </v>
      </c>
      <c r="R103" s="3">
        <f t="shared" si="50"/>
        <v>91</v>
      </c>
      <c r="S103" s="3" t="str">
        <f t="shared" si="51"/>
        <v>-</v>
      </c>
      <c r="T103" s="3">
        <f t="shared" si="52"/>
        <v>91</v>
      </c>
      <c r="U103" s="3">
        <f t="shared" si="49"/>
        <v>23</v>
      </c>
      <c r="W103" s="4">
        <f t="shared" si="43"/>
        <v>22.828520365620523</v>
      </c>
      <c r="X103" s="4">
        <f t="shared" si="44"/>
        <v>9.6901319865339879</v>
      </c>
      <c r="Y103" s="3">
        <f t="shared" si="39"/>
        <v>91</v>
      </c>
      <c r="Z103" s="4">
        <f>IF('Raw Data'!O103="","",O102+N102)</f>
        <v>66.399999999999991</v>
      </c>
    </row>
    <row r="104" spans="1:26" x14ac:dyDescent="0.25">
      <c r="A104">
        <f>IF('Raw Data'!A104="","",'Raw Data'!A104)</f>
        <v>21</v>
      </c>
      <c r="B104">
        <f>IF('Raw Data'!B104="","",'Raw Data'!B104)</f>
        <v>22</v>
      </c>
      <c r="C104">
        <f>IF('Raw Data'!C104="","",'Raw Data'!C104)</f>
        <v>1</v>
      </c>
      <c r="D104">
        <f>IF('Raw Data'!D104="","",'Raw Data'!D104)</f>
        <v>0.5</v>
      </c>
      <c r="E104">
        <f>IF('Raw Data'!E104="","",'Raw Data'!E104)</f>
        <v>1.5</v>
      </c>
      <c r="F104">
        <f>IF('Raw Data'!F104="","",'Raw Data'!F104)</f>
        <v>3</v>
      </c>
      <c r="G104" s="7" t="str">
        <f>IF('Raw Data'!G104="/","-",IF('Raw Data'!G104="","-",SUBSTITUTE('Raw Data'!G104," ",":",1)))</f>
        <v>-</v>
      </c>
      <c r="H104" s="7" t="str">
        <f>IF('Raw Data'!H104="/","-",IF('Raw Data'!H104="","-",SUBSTITUTE('Raw Data'!H104," ",":",1)))</f>
        <v>302:00</v>
      </c>
      <c r="I104" s="7" t="str">
        <f>IF('Raw Data'!I104="/","-",IF('Raw Data'!I104="","-",SUBSTITUTE('Raw Data'!I104," ",":",1)))</f>
        <v>122:00</v>
      </c>
      <c r="J104" s="12">
        <f>IF('Raw Data'!J104="",IF(LEN(K104)&gt;6,SQRT('Raw Data'!M104^2+N104^2),""),'Raw Data'!J104)</f>
        <v>11.2</v>
      </c>
      <c r="K104" s="7" t="str">
        <f>IF('Raw Data'!K104="","",IF(LEN('Raw Data'!K104)&lt;7,SUBSTITUTE('Raw Data'!K104," ",":",1),'Raw Data'!K104))</f>
        <v>10:00</v>
      </c>
      <c r="L104" t="str">
        <f>IF('Raw Data'!L104="","",'Raw Data'!L104)</f>
        <v/>
      </c>
      <c r="M104">
        <f>IF('Raw Data'!M104="","",'Raw Data'!M104)</f>
        <v>11</v>
      </c>
      <c r="N104">
        <f>IF('Raw Data'!N104="","",IF('Raw Data'!N104="-",0,'Raw Data'!N104))</f>
        <v>1.9</v>
      </c>
      <c r="O104">
        <f>IF('Raw Data'!O104="",IF('Raw Data'!N104="","",0),'Raw Data'!O104)</f>
        <v>76.099999999999994</v>
      </c>
      <c r="P104" t="str">
        <f>IF('Raw Data'!P104="","",'Raw Data'!P104)</f>
        <v/>
      </c>
      <c r="Q104" t="str">
        <f t="shared" si="37"/>
        <v xml:space="preserve"> </v>
      </c>
      <c r="R104" s="3" t="str">
        <f t="shared" si="50"/>
        <v>-</v>
      </c>
      <c r="S104" s="3">
        <f t="shared" si="51"/>
        <v>302</v>
      </c>
      <c r="T104" s="3">
        <f t="shared" si="52"/>
        <v>122</v>
      </c>
      <c r="U104" s="3">
        <f t="shared" si="49"/>
        <v>10</v>
      </c>
      <c r="W104" s="4">
        <f t="shared" si="43"/>
        <v>11.029846833736729</v>
      </c>
      <c r="X104" s="4">
        <f t="shared" si="44"/>
        <v>1.9448595898696195</v>
      </c>
      <c r="Y104" s="3">
        <f t="shared" si="39"/>
        <v>122</v>
      </c>
      <c r="Z104" s="4">
        <f>IF('Raw Data'!O104="","",O103+N103)</f>
        <v>76.100000000000009</v>
      </c>
    </row>
    <row r="105" spans="1:26" x14ac:dyDescent="0.25">
      <c r="A105">
        <f>IF('Raw Data'!A105="","",'Raw Data'!A105)</f>
        <v>22</v>
      </c>
      <c r="B105">
        <f>IF('Raw Data'!B105="","",'Raw Data'!B105)</f>
        <v>23</v>
      </c>
      <c r="C105">
        <f>IF('Raw Data'!C105="","",'Raw Data'!C105)</f>
        <v>1</v>
      </c>
      <c r="D105">
        <f>IF('Raw Data'!D105="","",'Raw Data'!D105)</f>
        <v>1</v>
      </c>
      <c r="E105">
        <f>IF('Raw Data'!E105="","",'Raw Data'!E105)</f>
        <v>2</v>
      </c>
      <c r="F105">
        <f>IF('Raw Data'!F105="","",'Raw Data'!F105)</f>
        <v>3</v>
      </c>
      <c r="G105" s="7" t="str">
        <f>IF('Raw Data'!G105="/","-",IF('Raw Data'!G105="","-",SUBSTITUTE('Raw Data'!G105," ",":",1)))</f>
        <v>172:40</v>
      </c>
      <c r="H105" s="7" t="str">
        <f>IF('Raw Data'!H105="/","-",IF('Raw Data'!H105="","-",SUBSTITUTE('Raw Data'!H105," ",":",1)))</f>
        <v>-</v>
      </c>
      <c r="I105" s="7" t="str">
        <f>IF('Raw Data'!I105="/","-",IF('Raw Data'!I105="","-",SUBSTITUTE('Raw Data'!I105," ",":",1)))</f>
        <v>172:40</v>
      </c>
      <c r="J105" s="12">
        <f>IF('Raw Data'!J105="",IF(LEN(K105)&gt;6,SQRT('Raw Data'!M105^2+N105^2),""),'Raw Data'!J105)</f>
        <v>25.5</v>
      </c>
      <c r="K105" s="7" t="str">
        <f>IF('Raw Data'!K105="","",IF(LEN('Raw Data'!K105)&lt;7,SUBSTITUTE('Raw Data'!K105," ",":",1),'Raw Data'!K105))</f>
        <v>-9:00</v>
      </c>
      <c r="L105" t="str">
        <f>IF('Raw Data'!L105="","",'Raw Data'!L105)</f>
        <v/>
      </c>
      <c r="M105">
        <f>IF('Raw Data'!M105="","",'Raw Data'!M105)</f>
        <v>25.2</v>
      </c>
      <c r="N105">
        <f>IF('Raw Data'!N105="","",IF('Raw Data'!N105="-",0,'Raw Data'!N105))</f>
        <v>-4</v>
      </c>
      <c r="O105">
        <f>IF('Raw Data'!O105="",IF('Raw Data'!N105="","",0),'Raw Data'!O105)</f>
        <v>78</v>
      </c>
      <c r="P105" t="str">
        <f>IF('Raw Data'!P105="","",'Raw Data'!P105)</f>
        <v/>
      </c>
      <c r="Q105" t="str">
        <f t="shared" si="37"/>
        <v xml:space="preserve"> </v>
      </c>
      <c r="R105" s="3">
        <f t="shared" si="50"/>
        <v>172.66666666666666</v>
      </c>
      <c r="S105" s="3" t="str">
        <f t="shared" si="51"/>
        <v>-</v>
      </c>
      <c r="T105" s="3">
        <f t="shared" si="52"/>
        <v>172.66666666666666</v>
      </c>
      <c r="U105" s="3">
        <f t="shared" si="49"/>
        <v>-9</v>
      </c>
      <c r="W105" s="4">
        <f t="shared" si="43"/>
        <v>25.186052685176012</v>
      </c>
      <c r="X105" s="4">
        <f t="shared" si="44"/>
        <v>-3.989078858525887</v>
      </c>
      <c r="Y105" s="3">
        <f t="shared" si="39"/>
        <v>172.66666666666666</v>
      </c>
      <c r="Z105" s="4">
        <f>IF('Raw Data'!O105="","",O104+N104)</f>
        <v>78</v>
      </c>
    </row>
    <row r="106" spans="1:26" x14ac:dyDescent="0.25">
      <c r="A106">
        <f>IF('Raw Data'!A106="","",'Raw Data'!A106)</f>
        <v>23</v>
      </c>
      <c r="B106">
        <f>IF('Raw Data'!B106="","",'Raw Data'!B106)</f>
        <v>24</v>
      </c>
      <c r="C106">
        <f>IF('Raw Data'!C106="","",'Raw Data'!C106)</f>
        <v>1</v>
      </c>
      <c r="D106">
        <f>IF('Raw Data'!D106="","",'Raw Data'!D106)</f>
        <v>3</v>
      </c>
      <c r="E106">
        <f>IF('Raw Data'!E106="","",'Raw Data'!E106)</f>
        <v>5</v>
      </c>
      <c r="F106">
        <f>IF('Raw Data'!F106="","",'Raw Data'!F106)</f>
        <v>0</v>
      </c>
      <c r="G106" s="7" t="str">
        <f>IF('Raw Data'!G106="/","-",IF('Raw Data'!G106="","-",SUBSTITUTE('Raw Data'!G106," ",":",1)))</f>
        <v>-</v>
      </c>
      <c r="H106" s="7" t="str">
        <f>IF('Raw Data'!H106="/","-",IF('Raw Data'!H106="","-",SUBSTITUTE('Raw Data'!H106," ",":",1)))</f>
        <v>248:00</v>
      </c>
      <c r="I106" s="7" t="str">
        <f>IF('Raw Data'!I106="/","-",IF('Raw Data'!I106="","-",SUBSTITUTE('Raw Data'!I106," ",":",1)))</f>
        <v>068:00</v>
      </c>
      <c r="J106" s="12">
        <f>IF('Raw Data'!J106="",IF(LEN(K106)&gt;6,SQRT('Raw Data'!M106^2+N106^2),""),'Raw Data'!J106)</f>
        <v>50.7</v>
      </c>
      <c r="K106" s="7" t="str">
        <f>IF('Raw Data'!K106="","",IF(LEN('Raw Data'!K106)&lt;7,SUBSTITUTE('Raw Data'!K106," ",":",1),'Raw Data'!K106))</f>
        <v>18:00</v>
      </c>
      <c r="L106" t="str">
        <f>IF('Raw Data'!L106="","",'Raw Data'!L106)</f>
        <v/>
      </c>
      <c r="M106">
        <f>IF('Raw Data'!M106="","",'Raw Data'!M106)</f>
        <v>48.2</v>
      </c>
      <c r="N106">
        <f>IF('Raw Data'!N106="","",IF('Raw Data'!N106="-",0,'Raw Data'!N106))</f>
        <v>15.6</v>
      </c>
      <c r="O106">
        <f>IF('Raw Data'!O106="",IF('Raw Data'!N106="","",0),'Raw Data'!O106)</f>
        <v>74</v>
      </c>
      <c r="P106" t="str">
        <f>IF('Raw Data'!P106="","",'Raw Data'!P106)</f>
        <v/>
      </c>
      <c r="Q106" t="str">
        <f t="shared" si="37"/>
        <v xml:space="preserve"> </v>
      </c>
      <c r="R106" s="3" t="str">
        <f t="shared" si="50"/>
        <v>-</v>
      </c>
      <c r="S106" s="3">
        <f t="shared" si="51"/>
        <v>248</v>
      </c>
      <c r="T106" s="3">
        <f t="shared" si="52"/>
        <v>68</v>
      </c>
      <c r="U106" s="3">
        <f t="shared" si="49"/>
        <v>18</v>
      </c>
      <c r="W106" s="4">
        <f t="shared" si="43"/>
        <v>48.218565376164285</v>
      </c>
      <c r="X106" s="4">
        <f t="shared" si="44"/>
        <v>15.667161614809833</v>
      </c>
      <c r="Y106" s="3">
        <f t="shared" si="39"/>
        <v>68</v>
      </c>
      <c r="Z106" s="4">
        <f>IF('Raw Data'!O106="","",O105+N105)</f>
        <v>74</v>
      </c>
    </row>
    <row r="107" spans="1:26" x14ac:dyDescent="0.25">
      <c r="A107">
        <f>IF('Raw Data'!A107="","",'Raw Data'!A107)</f>
        <v>24</v>
      </c>
      <c r="B107">
        <f>IF('Raw Data'!B107="","",'Raw Data'!B107)</f>
        <v>25</v>
      </c>
      <c r="C107" t="str">
        <f>IF('Raw Data'!C107="","",'Raw Data'!C107)</f>
        <v>3 (30)</v>
      </c>
      <c r="D107">
        <f>IF('Raw Data'!D107="","",'Raw Data'!D107)</f>
        <v>1</v>
      </c>
      <c r="E107">
        <f>IF('Raw Data'!E107="","",'Raw Data'!E107)</f>
        <v>20</v>
      </c>
      <c r="F107">
        <f>IF('Raw Data'!F107="","",'Raw Data'!F107)</f>
        <v>20</v>
      </c>
      <c r="G107" s="7" t="str">
        <f>IF('Raw Data'!G107="/","-",IF('Raw Data'!G107="","-",SUBSTITUTE('Raw Data'!G107," ",":",1)))</f>
        <v>046:00</v>
      </c>
      <c r="H107" s="7" t="str">
        <f>IF('Raw Data'!H107="/","-",IF('Raw Data'!H107="","-",SUBSTITUTE('Raw Data'!H107," ",":",1)))</f>
        <v>-</v>
      </c>
      <c r="I107" s="7" t="str">
        <f>IF('Raw Data'!I107="/","-",IF('Raw Data'!I107="","-",SUBSTITUTE('Raw Data'!I107," ",":",1)))</f>
        <v>046:00</v>
      </c>
      <c r="J107" s="12">
        <f>IF('Raw Data'!J107="",IF(LEN(K107)&gt;6,SQRT('Raw Data'!M107^2+N107^2),""),'Raw Data'!J107)</f>
        <v>14</v>
      </c>
      <c r="K107" s="7" t="str">
        <f>IF('Raw Data'!K107="","",IF(LEN('Raw Data'!K107)&lt;7,SUBSTITUTE('Raw Data'!K107," ",":",1),'Raw Data'!K107))</f>
        <v>-46:00</v>
      </c>
      <c r="L107" t="str">
        <f>IF('Raw Data'!L107="","",'Raw Data'!L107)</f>
        <v/>
      </c>
      <c r="M107">
        <f>IF('Raw Data'!M107="","",'Raw Data'!M107)</f>
        <v>9.6999999999999993</v>
      </c>
      <c r="N107">
        <f>IF('Raw Data'!N107="","",IF('Raw Data'!N107="-",0,'Raw Data'!N107))</f>
        <v>-10.1</v>
      </c>
      <c r="O107">
        <f>IF('Raw Data'!O107="",IF('Raw Data'!N107="","",0),'Raw Data'!O107)</f>
        <v>89.6</v>
      </c>
      <c r="P107" t="str">
        <f>IF('Raw Data'!P107="","",'Raw Data'!P107)</f>
        <v>(sketch of 24 - 35)</v>
      </c>
      <c r="Q107" t="str">
        <f t="shared" si="37"/>
        <v xml:space="preserve"> </v>
      </c>
      <c r="R107" s="3">
        <f t="shared" si="50"/>
        <v>46</v>
      </c>
      <c r="S107" s="3" t="str">
        <f t="shared" si="51"/>
        <v>-</v>
      </c>
      <c r="T107" s="3">
        <f t="shared" si="52"/>
        <v>46</v>
      </c>
      <c r="U107" s="3">
        <f t="shared" si="49"/>
        <v>-46</v>
      </c>
      <c r="W107" s="4">
        <f t="shared" si="43"/>
        <v>9.7252171864259633</v>
      </c>
      <c r="X107" s="4">
        <f t="shared" si="44"/>
        <v>-10.070757204741115</v>
      </c>
      <c r="Y107" s="3">
        <f t="shared" si="39"/>
        <v>46</v>
      </c>
      <c r="Z107" s="4">
        <f>IF('Raw Data'!O107="","",O106+N106)</f>
        <v>89.6</v>
      </c>
    </row>
    <row r="108" spans="1:26" x14ac:dyDescent="0.25">
      <c r="A108">
        <f>IF('Raw Data'!A108="","",'Raw Data'!A108)</f>
        <v>25</v>
      </c>
      <c r="B108">
        <f>IF('Raw Data'!B108="","",'Raw Data'!B108)</f>
        <v>26</v>
      </c>
      <c r="C108" t="str">
        <f>IF('Raw Data'!C108="","",'Raw Data'!C108)</f>
        <v>/</v>
      </c>
      <c r="D108" t="str">
        <f>IF('Raw Data'!D108="","",'Raw Data'!D108)</f>
        <v>/</v>
      </c>
      <c r="E108" t="str">
        <f>IF('Raw Data'!E108="","",'Raw Data'!E108)</f>
        <v>/</v>
      </c>
      <c r="F108" t="str">
        <f>IF('Raw Data'!F108="","",'Raw Data'!F108)</f>
        <v>/</v>
      </c>
      <c r="G108" s="7" t="str">
        <f>IF('Raw Data'!G108="/","-",IF('Raw Data'!G108="","-",SUBSTITUTE('Raw Data'!G108," ",":",1)))</f>
        <v>-</v>
      </c>
      <c r="H108" s="7" t="str">
        <f>IF('Raw Data'!H108="/","-",IF('Raw Data'!H108="","-",SUBSTITUTE('Raw Data'!H108," ",":",1)))</f>
        <v>293:00</v>
      </c>
      <c r="I108" s="7" t="str">
        <f>IF('Raw Data'!I108="/","-",IF('Raw Data'!I108="","-",SUBSTITUTE('Raw Data'!I108," ",":",1)))</f>
        <v>113:00</v>
      </c>
      <c r="J108" s="12">
        <f>IF('Raw Data'!J108="",IF(LEN(K108)&gt;6,SQRT('Raw Data'!M108^2+N108^2),""),'Raw Data'!J108)</f>
        <v>15.3</v>
      </c>
      <c r="K108" s="7" t="str">
        <f>IF('Raw Data'!K108="","",IF(LEN('Raw Data'!K108)&lt;7,SUBSTITUTE('Raw Data'!K108," ",":",1),'Raw Data'!K108))</f>
        <v>-43:00</v>
      </c>
      <c r="L108" t="str">
        <f>IF('Raw Data'!L108="","",'Raw Data'!L108)</f>
        <v/>
      </c>
      <c r="M108">
        <f>IF('Raw Data'!M108="","",'Raw Data'!M108)</f>
        <v>11.2</v>
      </c>
      <c r="N108">
        <f>IF('Raw Data'!N108="","",IF('Raw Data'!N108="-",0,'Raw Data'!N108))</f>
        <v>-10.4</v>
      </c>
      <c r="O108">
        <f>IF('Raw Data'!O108="",IF('Raw Data'!N108="","",0),'Raw Data'!O108)</f>
        <v>79.5</v>
      </c>
      <c r="P108" t="str">
        <f>IF('Raw Data'!P108="","",'Raw Data'!P108)</f>
        <v/>
      </c>
      <c r="Q108" t="str">
        <f t="shared" si="37"/>
        <v xml:space="preserve"> </v>
      </c>
      <c r="R108" s="3" t="str">
        <f t="shared" si="50"/>
        <v>-</v>
      </c>
      <c r="S108" s="3">
        <f t="shared" si="51"/>
        <v>293</v>
      </c>
      <c r="T108" s="3">
        <f t="shared" si="52"/>
        <v>113</v>
      </c>
      <c r="U108" s="3">
        <f t="shared" si="49"/>
        <v>-43</v>
      </c>
      <c r="W108" s="4">
        <f t="shared" si="43"/>
        <v>11.18971163477331</v>
      </c>
      <c r="X108" s="4">
        <f t="shared" si="44"/>
        <v>-10.434574908956227</v>
      </c>
      <c r="Y108" s="3">
        <f t="shared" si="39"/>
        <v>113</v>
      </c>
      <c r="Z108" s="4">
        <f>IF('Raw Data'!O108="","",O107+N107)</f>
        <v>79.5</v>
      </c>
    </row>
    <row r="109" spans="1:26" x14ac:dyDescent="0.25">
      <c r="A109">
        <f>IF('Raw Data'!A109="","",'Raw Data'!A109)</f>
        <v>26</v>
      </c>
      <c r="B109">
        <f>IF('Raw Data'!B109="","",'Raw Data'!B109)</f>
        <v>27</v>
      </c>
      <c r="C109" t="str">
        <f>IF('Raw Data'!C109="","",'Raw Data'!C109)</f>
        <v>/</v>
      </c>
      <c r="D109" t="str">
        <f>IF('Raw Data'!D109="","",'Raw Data'!D109)</f>
        <v>/</v>
      </c>
      <c r="E109" t="str">
        <f>IF('Raw Data'!E109="","",'Raw Data'!E109)</f>
        <v>/</v>
      </c>
      <c r="F109" t="str">
        <f>IF('Raw Data'!F109="","",'Raw Data'!F109)</f>
        <v>/</v>
      </c>
      <c r="G109" s="7" t="str">
        <f>IF('Raw Data'!G109="/","-",IF('Raw Data'!G109="","-",SUBSTITUTE('Raw Data'!G109," ",":",1)))</f>
        <v>061:00</v>
      </c>
      <c r="H109" s="7" t="str">
        <f>IF('Raw Data'!H109="/","-",IF('Raw Data'!H109="","-",SUBSTITUTE('Raw Data'!H109," ",":",1)))</f>
        <v>-</v>
      </c>
      <c r="I109" s="7" t="str">
        <f>IF('Raw Data'!I109="/","-",IF('Raw Data'!I109="","-",SUBSTITUTE('Raw Data'!I109," ",":",1)))</f>
        <v>061:00</v>
      </c>
      <c r="J109" s="12">
        <f>IF('Raw Data'!J109="",IF(LEN(K109)&gt;6,SQRT('Raw Data'!M109^2+N109^2),""),'Raw Data'!J109)</f>
        <v>23.2</v>
      </c>
      <c r="K109" s="7" t="str">
        <f>IF('Raw Data'!K109="","",IF(LEN('Raw Data'!K109)&lt;7,SUBSTITUTE('Raw Data'!K109," ",":",1),'Raw Data'!K109))</f>
        <v>-55:00</v>
      </c>
      <c r="L109" t="str">
        <f>IF('Raw Data'!L109="","",'Raw Data'!L109)</f>
        <v/>
      </c>
      <c r="M109">
        <f>IF('Raw Data'!M109="","",'Raw Data'!M109)</f>
        <v>13.3</v>
      </c>
      <c r="N109">
        <f>IF('Raw Data'!N109="","",IF('Raw Data'!N109="-",0,'Raw Data'!N109))</f>
        <v>-19</v>
      </c>
      <c r="O109">
        <f>IF('Raw Data'!O109="",IF('Raw Data'!N109="","",0),'Raw Data'!O109)</f>
        <v>69.099999999999994</v>
      </c>
      <c r="P109" t="str">
        <f>IF('Raw Data'!P109="","",'Raw Data'!P109)</f>
        <v/>
      </c>
      <c r="Q109" t="str">
        <f t="shared" si="37"/>
        <v xml:space="preserve"> </v>
      </c>
      <c r="R109" s="3">
        <f t="shared" si="50"/>
        <v>61</v>
      </c>
      <c r="S109" s="3" t="str">
        <f t="shared" si="51"/>
        <v>-</v>
      </c>
      <c r="T109" s="3">
        <f t="shared" si="52"/>
        <v>61</v>
      </c>
      <c r="U109" s="3">
        <f t="shared" si="49"/>
        <v>-55</v>
      </c>
      <c r="W109" s="4">
        <f t="shared" si="43"/>
        <v>13.30697332334427</v>
      </c>
      <c r="X109" s="4">
        <f t="shared" si="44"/>
        <v>-19.004327427504609</v>
      </c>
      <c r="Y109" s="3">
        <f t="shared" si="39"/>
        <v>61</v>
      </c>
      <c r="Z109" s="4">
        <f>IF('Raw Data'!O109="","",O108+N108)</f>
        <v>69.099999999999994</v>
      </c>
    </row>
    <row r="110" spans="1:26" x14ac:dyDescent="0.25">
      <c r="A110">
        <f>IF('Raw Data'!A110="","",'Raw Data'!A110)</f>
        <v>27</v>
      </c>
      <c r="B110">
        <f>IF('Raw Data'!B110="","",'Raw Data'!B110)</f>
        <v>28</v>
      </c>
      <c r="C110" t="str">
        <f>IF('Raw Data'!C110="","",'Raw Data'!C110)</f>
        <v>/</v>
      </c>
      <c r="D110">
        <f>IF('Raw Data'!D110="","",'Raw Data'!D110)</f>
        <v>5</v>
      </c>
      <c r="E110" t="str">
        <f>IF('Raw Data'!E110="","",'Raw Data'!E110)</f>
        <v>-</v>
      </c>
      <c r="F110">
        <f>IF('Raw Data'!F110="","",'Raw Data'!F110)</f>
        <v>12</v>
      </c>
      <c r="G110" s="7" t="str">
        <f>IF('Raw Data'!G110="/","-",IF('Raw Data'!G110="","-",SUBSTITUTE('Raw Data'!G110," ",":",1)))</f>
        <v>-</v>
      </c>
      <c r="H110" s="7" t="str">
        <f>IF('Raw Data'!H110="/","-",IF('Raw Data'!H110="","-",SUBSTITUTE('Raw Data'!H110," ",":",1)))</f>
        <v>015:30</v>
      </c>
      <c r="I110" s="7" t="str">
        <f>IF('Raw Data'!I110="/","-",IF('Raw Data'!I110="","-",SUBSTITUTE('Raw Data'!I110," ",":",1)))</f>
        <v>195:30</v>
      </c>
      <c r="J110" s="12">
        <f>IF('Raw Data'!J110="",IF(LEN(K110)&gt;6,SQRT('Raw Data'!M110^2+N110^2),""),'Raw Data'!J110)</f>
        <v>25.3</v>
      </c>
      <c r="K110" s="7" t="str">
        <f>IF('Raw Data'!K110="","",IF(LEN('Raw Data'!K110)&lt;7,SUBSTITUTE('Raw Data'!K110," ",":",1),'Raw Data'!K110))</f>
        <v>-24:30</v>
      </c>
      <c r="L110" t="str">
        <f>IF('Raw Data'!L110="","",'Raw Data'!L110)</f>
        <v/>
      </c>
      <c r="M110">
        <f>IF('Raw Data'!M110="","",'Raw Data'!M110)</f>
        <v>23</v>
      </c>
      <c r="N110">
        <f>IF('Raw Data'!N110="","",IF('Raw Data'!N110="-",0,'Raw Data'!N110))</f>
        <v>-10.5</v>
      </c>
      <c r="O110">
        <f>IF('Raw Data'!O110="",IF('Raw Data'!N110="","",0),'Raw Data'!O110)</f>
        <v>50.1</v>
      </c>
      <c r="P110" t="str">
        <f>IF('Raw Data'!P110="","",'Raw Data'!P110)</f>
        <v/>
      </c>
      <c r="Q110" t="str">
        <f t="shared" si="37"/>
        <v xml:space="preserve"> </v>
      </c>
      <c r="R110" s="3" t="str">
        <f t="shared" si="50"/>
        <v>-</v>
      </c>
      <c r="S110" s="3">
        <f t="shared" si="51"/>
        <v>15.5</v>
      </c>
      <c r="T110" s="3">
        <f t="shared" si="52"/>
        <v>195.5</v>
      </c>
      <c r="U110" s="3">
        <f t="shared" si="49"/>
        <v>-24.5</v>
      </c>
      <c r="W110" s="4">
        <f t="shared" si="43"/>
        <v>23.022020153176545</v>
      </c>
      <c r="X110" s="4">
        <f t="shared" si="44"/>
        <v>-10.491739039202848</v>
      </c>
      <c r="Y110" s="3">
        <f t="shared" si="39"/>
        <v>195.5</v>
      </c>
      <c r="Z110" s="4">
        <f>IF('Raw Data'!O110="","",O109+N109)</f>
        <v>50.099999999999994</v>
      </c>
    </row>
    <row r="111" spans="1:26" x14ac:dyDescent="0.25">
      <c r="A111">
        <f>IF('Raw Data'!A111="","",'Raw Data'!A111)</f>
        <v>28</v>
      </c>
      <c r="B111">
        <f>IF('Raw Data'!B111="","",'Raw Data'!B111)</f>
        <v>29</v>
      </c>
      <c r="C111">
        <f>IF('Raw Data'!C111="","",'Raw Data'!C111)</f>
        <v>3</v>
      </c>
      <c r="D111">
        <f>IF('Raw Data'!D111="","",'Raw Data'!D111)</f>
        <v>1</v>
      </c>
      <c r="E111">
        <f>IF('Raw Data'!E111="","",'Raw Data'!E111)</f>
        <v>3</v>
      </c>
      <c r="F111">
        <f>IF('Raw Data'!F111="","",'Raw Data'!F111)</f>
        <v>4</v>
      </c>
      <c r="G111" s="7" t="str">
        <f>IF('Raw Data'!G111="/","-",IF('Raw Data'!G111="","-",SUBSTITUTE('Raw Data'!G111," ",":",1)))</f>
        <v>242:00</v>
      </c>
      <c r="H111" s="7" t="str">
        <f>IF('Raw Data'!H111="/","-",IF('Raw Data'!H111="","-",SUBSTITUTE('Raw Data'!H111," ",":",1)))</f>
        <v>-</v>
      </c>
      <c r="I111" s="7" t="str">
        <f>IF('Raw Data'!I111="/","-",IF('Raw Data'!I111="","-",SUBSTITUTE('Raw Data'!I111," ",":",1)))</f>
        <v>242:00</v>
      </c>
      <c r="J111" s="12">
        <f>IF('Raw Data'!J111="",IF(LEN(K111)&gt;6,SQRT('Raw Data'!M111^2+N111^2),""),'Raw Data'!J111)</f>
        <v>51</v>
      </c>
      <c r="K111" s="7" t="str">
        <f>IF('Raw Data'!K111="","",IF(LEN('Raw Data'!K111)&lt;7,SUBSTITUTE('Raw Data'!K111," ",":",1),'Raw Data'!K111))</f>
        <v>-23:30</v>
      </c>
      <c r="L111" t="str">
        <f>IF('Raw Data'!L111="","",'Raw Data'!L111)</f>
        <v/>
      </c>
      <c r="M111">
        <f>IF('Raw Data'!M111="","",'Raw Data'!M111)</f>
        <v>46.8</v>
      </c>
      <c r="N111">
        <f>IF('Raw Data'!N111="","",IF('Raw Data'!N111="-",0,'Raw Data'!N111))</f>
        <v>-20.3</v>
      </c>
      <c r="O111">
        <f>IF('Raw Data'!O111="",IF('Raw Data'!N111="","",0),'Raw Data'!O111)</f>
        <v>39.6</v>
      </c>
      <c r="P111" t="str">
        <f>IF('Raw Data'!P111="","",'Raw Data'!P111)</f>
        <v/>
      </c>
      <c r="Q111" t="str">
        <f t="shared" si="37"/>
        <v xml:space="preserve"> </v>
      </c>
      <c r="R111" s="3">
        <f t="shared" si="50"/>
        <v>242</v>
      </c>
      <c r="S111" s="3" t="str">
        <f t="shared" si="51"/>
        <v>-</v>
      </c>
      <c r="T111" s="3">
        <f t="shared" si="52"/>
        <v>242</v>
      </c>
      <c r="U111" s="3">
        <f t="shared" si="49"/>
        <v>-23.5</v>
      </c>
      <c r="W111" s="4">
        <f t="shared" si="43"/>
        <v>46.770063793641327</v>
      </c>
      <c r="X111" s="4">
        <f t="shared" si="44"/>
        <v>-20.336202515187555</v>
      </c>
      <c r="Y111" s="3">
        <f t="shared" si="39"/>
        <v>242</v>
      </c>
      <c r="Z111" s="4">
        <f>IF('Raw Data'!O111="","",O110+N110)</f>
        <v>39.6</v>
      </c>
    </row>
    <row r="112" spans="1:26" x14ac:dyDescent="0.25">
      <c r="A112">
        <f>IF('Raw Data'!A112="","",'Raw Data'!A112)</f>
        <v>29</v>
      </c>
      <c r="B112">
        <f>IF('Raw Data'!B112="","",'Raw Data'!B112)</f>
        <v>30</v>
      </c>
      <c r="C112">
        <f>IF('Raw Data'!C112="","",'Raw Data'!C112)</f>
        <v>3</v>
      </c>
      <c r="D112">
        <f>IF('Raw Data'!D112="","",'Raw Data'!D112)</f>
        <v>1</v>
      </c>
      <c r="E112" t="str">
        <f>IF('Raw Data'!E112="","",'Raw Data'!E112)</f>
        <v>/</v>
      </c>
      <c r="F112">
        <f>IF('Raw Data'!F112="","",'Raw Data'!F112)</f>
        <v>3</v>
      </c>
      <c r="G112" s="7" t="str">
        <f>IF('Raw Data'!G112="/","-",IF('Raw Data'!G112="","-",SUBSTITUTE('Raw Data'!G112," ",":",1)))</f>
        <v>-</v>
      </c>
      <c r="H112" s="7" t="str">
        <f>IF('Raw Data'!H112="/","-",IF('Raw Data'!H112="","-",SUBSTITUTE('Raw Data'!H112," ",":",1)))</f>
        <v>340:00</v>
      </c>
      <c r="I112" s="7" t="str">
        <f>IF('Raw Data'!I112="/","-",IF('Raw Data'!I112="","-",SUBSTITUTE('Raw Data'!I112," ",":",1)))</f>
        <v>160:00</v>
      </c>
      <c r="J112" s="12">
        <f>IF('Raw Data'!J112="",IF(LEN(K112)&gt;6,SQRT('Raw Data'!M112^2+N112^2),""),'Raw Data'!J112)</f>
        <v>13.7</v>
      </c>
      <c r="K112" s="7" t="str">
        <f>IF('Raw Data'!K112="","",IF(LEN('Raw Data'!K112)&lt;7,SUBSTITUTE('Raw Data'!K112," ",":",1),'Raw Data'!K112))</f>
        <v>-3:00</v>
      </c>
      <c r="L112" t="str">
        <f>IF('Raw Data'!L112="","",'Raw Data'!L112)</f>
        <v/>
      </c>
      <c r="M112">
        <f>IF('Raw Data'!M112="","",'Raw Data'!M112)</f>
        <v>13.6</v>
      </c>
      <c r="N112">
        <f>IF('Raw Data'!N112="","",IF('Raw Data'!N112="-",0,'Raw Data'!N112))</f>
        <v>-0.7</v>
      </c>
      <c r="O112">
        <f>IF('Raw Data'!O112="",IF('Raw Data'!N112="","",0),'Raw Data'!O112)</f>
        <v>19.3</v>
      </c>
      <c r="P112" t="str">
        <f>IF('Raw Data'!P112="","",'Raw Data'!P112)</f>
        <v/>
      </c>
      <c r="Q112" t="str">
        <f t="shared" si="37"/>
        <v xml:space="preserve"> </v>
      </c>
      <c r="R112" s="3" t="str">
        <f t="shared" si="50"/>
        <v>-</v>
      </c>
      <c r="S112" s="3">
        <f t="shared" si="51"/>
        <v>340</v>
      </c>
      <c r="T112" s="3">
        <f t="shared" si="52"/>
        <v>160</v>
      </c>
      <c r="U112" s="3">
        <f t="shared" si="49"/>
        <v>-3</v>
      </c>
      <c r="W112" s="4">
        <f t="shared" si="43"/>
        <v>13.681224626137661</v>
      </c>
      <c r="X112" s="4">
        <f t="shared" si="44"/>
        <v>-0.71700260052833042</v>
      </c>
      <c r="Y112" s="3">
        <f t="shared" si="39"/>
        <v>160</v>
      </c>
      <c r="Z112" s="4">
        <f>IF('Raw Data'!O112="","",O111+N111)</f>
        <v>19.3</v>
      </c>
    </row>
    <row r="113" spans="1:26" x14ac:dyDescent="0.25">
      <c r="A113">
        <f>IF('Raw Data'!A113="","",'Raw Data'!A113)</f>
        <v>30</v>
      </c>
      <c r="B113">
        <f>IF('Raw Data'!B113="","",'Raw Data'!B113)</f>
        <v>31</v>
      </c>
      <c r="C113">
        <f>IF('Raw Data'!C113="","",'Raw Data'!C113)</f>
        <v>2</v>
      </c>
      <c r="D113">
        <f>IF('Raw Data'!D113="","",'Raw Data'!D113)</f>
        <v>1</v>
      </c>
      <c r="E113">
        <f>IF('Raw Data'!E113="","",'Raw Data'!E113)</f>
        <v>5</v>
      </c>
      <c r="F113" t="str">
        <f>IF('Raw Data'!F113="","",'Raw Data'!F113)</f>
        <v>/</v>
      </c>
      <c r="G113" s="7" t="str">
        <f>IF('Raw Data'!G113="/","-",IF('Raw Data'!G113="","-",SUBSTITUTE('Raw Data'!G113," ",":",1)))</f>
        <v>239:00</v>
      </c>
      <c r="H113" s="7" t="str">
        <f>IF('Raw Data'!H113="/","-",IF('Raw Data'!H113="","-",SUBSTITUTE('Raw Data'!H113," ",":",1)))</f>
        <v>-</v>
      </c>
      <c r="I113" s="7" t="str">
        <f>IF('Raw Data'!I113="/","-",IF('Raw Data'!I113="","-",SUBSTITUTE('Raw Data'!I113," ",":",1)))</f>
        <v>239:00</v>
      </c>
      <c r="J113" s="12">
        <f>IF('Raw Data'!J113="",IF(LEN(K113)&gt;6,SQRT('Raw Data'!M113^2+N113^2),""),'Raw Data'!J113)</f>
        <v>25.4</v>
      </c>
      <c r="K113" s="7" t="str">
        <f>IF('Raw Data'!K113="","",IF(LEN('Raw Data'!K113)&lt;7,SUBSTITUTE('Raw Data'!K113," ",":",1),'Raw Data'!K113))</f>
        <v>-19:00</v>
      </c>
      <c r="L113" t="str">
        <f>IF('Raw Data'!L113="","",'Raw Data'!L113)</f>
        <v/>
      </c>
      <c r="M113">
        <f>IF('Raw Data'!M113="","",'Raw Data'!M113)</f>
        <v>24</v>
      </c>
      <c r="N113">
        <f>IF('Raw Data'!N113="","",IF('Raw Data'!N113="-",0,'Raw Data'!N113))</f>
        <v>-8.3000000000000007</v>
      </c>
      <c r="O113">
        <f>IF('Raw Data'!O113="",IF('Raw Data'!N113="","",0),'Raw Data'!O113)</f>
        <v>18.600000000000001</v>
      </c>
      <c r="P113" t="str">
        <f>IF('Raw Data'!P113="","",'Raw Data'!P113)</f>
        <v/>
      </c>
      <c r="Q113" t="str">
        <f t="shared" si="37"/>
        <v xml:space="preserve"> </v>
      </c>
      <c r="R113" s="3">
        <f t="shared" si="50"/>
        <v>239</v>
      </c>
      <c r="S113" s="3" t="str">
        <f t="shared" si="51"/>
        <v>-</v>
      </c>
      <c r="T113" s="3">
        <f t="shared" si="52"/>
        <v>239</v>
      </c>
      <c r="U113" s="3">
        <f t="shared" si="49"/>
        <v>-19</v>
      </c>
      <c r="W113" s="4">
        <f t="shared" si="43"/>
        <v>24.016171820222645</v>
      </c>
      <c r="X113" s="4">
        <f t="shared" si="44"/>
        <v>-8.2694311232117776</v>
      </c>
      <c r="Y113" s="3">
        <f t="shared" si="39"/>
        <v>239</v>
      </c>
      <c r="Z113" s="4">
        <f>IF('Raw Data'!O113="","",O112+N112)</f>
        <v>18.600000000000001</v>
      </c>
    </row>
    <row r="114" spans="1:26" x14ac:dyDescent="0.25">
      <c r="A114">
        <f>IF('Raw Data'!A114="","",'Raw Data'!A114)</f>
        <v>31</v>
      </c>
      <c r="B114">
        <f>IF('Raw Data'!B114="","",'Raw Data'!B114)</f>
        <v>32</v>
      </c>
      <c r="C114">
        <f>IF('Raw Data'!C114="","",'Raw Data'!C114)</f>
        <v>6</v>
      </c>
      <c r="D114">
        <f>IF('Raw Data'!D114="","",'Raw Data'!D114)</f>
        <v>2</v>
      </c>
      <c r="E114">
        <f>IF('Raw Data'!E114="","",'Raw Data'!E114)</f>
        <v>5</v>
      </c>
      <c r="F114">
        <f>IF('Raw Data'!F114="","",'Raw Data'!F114)</f>
        <v>4</v>
      </c>
      <c r="G114" s="7" t="str">
        <f>IF('Raw Data'!G114="/","-",IF('Raw Data'!G114="","-",SUBSTITUTE('Raw Data'!G114," ",":",1)))</f>
        <v>-</v>
      </c>
      <c r="H114" s="7" t="str">
        <f>IF('Raw Data'!H114="/","-",IF('Raw Data'!H114="","-",SUBSTITUTE('Raw Data'!H114," ",":",1)))</f>
        <v>106:00</v>
      </c>
      <c r="I114" s="7" t="str">
        <f>IF('Raw Data'!I114="/","-",IF('Raw Data'!I114="","-",SUBSTITUTE('Raw Data'!I114," ",":",1)))</f>
        <v>286:00</v>
      </c>
      <c r="J114" s="12">
        <f>IF('Raw Data'!J114="",IF(LEN(K114)&gt;6,SQRT('Raw Data'!M114^2+N114^2),""),'Raw Data'!J114)</f>
        <v>11.2</v>
      </c>
      <c r="K114" s="7" t="str">
        <f>IF('Raw Data'!K114="","",IF(LEN('Raw Data'!K114)&lt;7,SUBSTITUTE('Raw Data'!K114," ",":",1),'Raw Data'!K114))</f>
        <v>fall 1 foot</v>
      </c>
      <c r="L114" t="str">
        <f>IF('Raw Data'!L114="","",'Raw Data'!L114)</f>
        <v/>
      </c>
      <c r="M114">
        <f>IF('Raw Data'!M114="","",'Raw Data'!M114)</f>
        <v>11.1</v>
      </c>
      <c r="N114">
        <f>IF('Raw Data'!N114="","",IF('Raw Data'!N114="-",0,'Raw Data'!N114))</f>
        <v>-1</v>
      </c>
      <c r="O114">
        <f>IF('Raw Data'!O114="",IF('Raw Data'!N114="","",0),'Raw Data'!O114)</f>
        <v>10.3</v>
      </c>
      <c r="P114" t="str">
        <f>IF('Raw Data'!P114="","",'Raw Data'!P114)</f>
        <v/>
      </c>
      <c r="Q114" t="str">
        <f t="shared" si="37"/>
        <v xml:space="preserve"> </v>
      </c>
      <c r="R114" s="3" t="str">
        <f t="shared" si="50"/>
        <v>-</v>
      </c>
      <c r="S114" s="3">
        <f t="shared" si="51"/>
        <v>106</v>
      </c>
      <c r="T114" s="3">
        <f t="shared" si="52"/>
        <v>286</v>
      </c>
      <c r="U114" s="9">
        <f>ASIN(N114/J114)*180/PI()</f>
        <v>-5.1225160997809072</v>
      </c>
      <c r="W114" s="4">
        <f t="shared" si="43"/>
        <v>11.155267813907471</v>
      </c>
      <c r="X114" s="4">
        <f t="shared" si="44"/>
        <v>-1</v>
      </c>
      <c r="Y114" s="3">
        <f t="shared" si="39"/>
        <v>286</v>
      </c>
      <c r="Z114" s="4">
        <f>IF('Raw Data'!O114="","",O113+N113)</f>
        <v>10.3</v>
      </c>
    </row>
    <row r="115" spans="1:26" x14ac:dyDescent="0.25">
      <c r="A115">
        <f>IF('Raw Data'!A115="","",'Raw Data'!A115)</f>
        <v>32</v>
      </c>
      <c r="B115">
        <f>IF('Raw Data'!B115="","",'Raw Data'!B115)</f>
        <v>33</v>
      </c>
      <c r="C115">
        <f>IF('Raw Data'!C115="","",'Raw Data'!C115)</f>
        <v>0.5</v>
      </c>
      <c r="D115">
        <f>IF('Raw Data'!D115="","",'Raw Data'!D115)</f>
        <v>0.5</v>
      </c>
      <c r="E115" t="str">
        <f>IF('Raw Data'!E115="","",'Raw Data'!E115)</f>
        <v>/</v>
      </c>
      <c r="F115">
        <f>IF('Raw Data'!F115="","",'Raw Data'!F115)</f>
        <v>1</v>
      </c>
      <c r="G115" s="7" t="str">
        <f>IF('Raw Data'!G115="/","-",IF('Raw Data'!G115="","-",SUBSTITUTE('Raw Data'!G115," ",":",1)))</f>
        <v>182:00</v>
      </c>
      <c r="H115" s="7" t="str">
        <f>IF('Raw Data'!H115="/","-",IF('Raw Data'!H115="","-",SUBSTITUTE('Raw Data'!H115," ",":",1)))</f>
        <v>-</v>
      </c>
      <c r="I115" s="7" t="str">
        <f>IF('Raw Data'!I115="/","-",IF('Raw Data'!I115="","-",SUBSTITUTE('Raw Data'!I115," ",":",1)))</f>
        <v>182:00</v>
      </c>
      <c r="J115" s="12">
        <f>IF('Raw Data'!J115="",IF(LEN(K115)&gt;6,SQRT('Raw Data'!M115^2+N115^2),""),'Raw Data'!J115)</f>
        <v>14.1</v>
      </c>
      <c r="K115" s="7" t="str">
        <f>IF('Raw Data'!K115="","",IF(LEN('Raw Data'!K115)&lt;7,SUBSTITUTE('Raw Data'!K115," ",":",1),'Raw Data'!K115))</f>
        <v>-9:00</v>
      </c>
      <c r="L115" t="str">
        <f>IF('Raw Data'!L115="","",'Raw Data'!L115)</f>
        <v/>
      </c>
      <c r="M115">
        <f>IF('Raw Data'!M115="","",'Raw Data'!M115)</f>
        <v>13.9</v>
      </c>
      <c r="N115">
        <f>IF('Raw Data'!N115="","",IF('Raw Data'!N115="-",0,'Raw Data'!N115))</f>
        <v>-2.2000000000000002</v>
      </c>
      <c r="O115">
        <f>IF('Raw Data'!O115="",IF('Raw Data'!N115="","",0),'Raw Data'!O115)</f>
        <v>9.3000000000000007</v>
      </c>
      <c r="P115" t="str">
        <f>IF('Raw Data'!P115="","",'Raw Data'!P115)</f>
        <v/>
      </c>
      <c r="Q115" t="str">
        <f t="shared" si="37"/>
        <v xml:space="preserve"> </v>
      </c>
      <c r="R115" s="3">
        <f t="shared" si="50"/>
        <v>182</v>
      </c>
      <c r="S115" s="3" t="str">
        <f t="shared" si="51"/>
        <v>-</v>
      </c>
      <c r="T115" s="3">
        <f t="shared" si="52"/>
        <v>182</v>
      </c>
      <c r="U115" s="3">
        <f t="shared" ref="U115" si="53">IF(ISERROR(FIND(":",K115)),IF(K115="zero",0,1*K115),1*CONCATENATE(LEFT(K115,FIND(":",K115)-1),".",MID(RIGHT(K115,LEN(K115)-FIND(":",K115))/60,3,8)))</f>
        <v>-9</v>
      </c>
      <c r="W115" s="4">
        <f t="shared" si="43"/>
        <v>13.926405602391442</v>
      </c>
      <c r="X115" s="4">
        <f t="shared" si="44"/>
        <v>-2.2057259570672554</v>
      </c>
      <c r="Y115" s="3">
        <f t="shared" si="39"/>
        <v>182</v>
      </c>
      <c r="Z115" s="4">
        <f>IF('Raw Data'!O115="","",O114+N114)</f>
        <v>9.3000000000000007</v>
      </c>
    </row>
    <row r="116" spans="1:26" x14ac:dyDescent="0.25">
      <c r="A116">
        <f>IF('Raw Data'!A116="","",'Raw Data'!A116)</f>
        <v>33</v>
      </c>
      <c r="B116">
        <f>IF('Raw Data'!B116="","",'Raw Data'!B116)</f>
        <v>34</v>
      </c>
      <c r="C116">
        <f>IF('Raw Data'!C116="","",'Raw Data'!C116)</f>
        <v>0.5</v>
      </c>
      <c r="D116">
        <f>IF('Raw Data'!D116="","",'Raw Data'!D116)</f>
        <v>0.5</v>
      </c>
      <c r="E116" t="str">
        <f>IF('Raw Data'!E116="","",'Raw Data'!E116)</f>
        <v>-</v>
      </c>
      <c r="F116">
        <f>IF('Raw Data'!F116="","",'Raw Data'!F116)</f>
        <v>2</v>
      </c>
      <c r="G116" s="7" t="str">
        <f>IF('Raw Data'!G116="/","-",IF('Raw Data'!G116="","-",SUBSTITUTE('Raw Data'!G116," ",":",1)))</f>
        <v>-</v>
      </c>
      <c r="H116" s="7" t="str">
        <f>IF('Raw Data'!H116="/","-",IF('Raw Data'!H116="","-",SUBSTITUTE('Raw Data'!H116," ",":",1)))</f>
        <v>339:00</v>
      </c>
      <c r="I116" s="7" t="str">
        <f>IF('Raw Data'!I116="/","-",IF('Raw Data'!I116="","-",SUBSTITUTE('Raw Data'!I116," ",":",1)))</f>
        <v>159:00</v>
      </c>
      <c r="J116" s="16">
        <f>IF(LEN(K116)&gt;6,SQRT('Raw Data'!M116^2+N116^2),'Raw Data'!J116)</f>
        <v>16.829735589129143</v>
      </c>
      <c r="K116" s="7" t="str">
        <f>IF('Raw Data'!K116="","",IF(LEN('Raw Data'!K116)&lt;7,SUBSTITUTE('Raw Data'!K116," ",":",1),'Raw Data'!K116))</f>
        <v>rise 1 foot</v>
      </c>
      <c r="L116" t="str">
        <f>IF('Raw Data'!L116="","",'Raw Data'!L116)</f>
        <v/>
      </c>
      <c r="M116">
        <f>IF('Raw Data'!M116="","",'Raw Data'!M116)</f>
        <v>16.8</v>
      </c>
      <c r="N116">
        <f>IF('Raw Data'!N116="","",IF('Raw Data'!N116="-",0,'Raw Data'!N116))</f>
        <v>1</v>
      </c>
      <c r="O116">
        <f>IF('Raw Data'!O116="",IF('Raw Data'!N116="","",0),'Raw Data'!O116)</f>
        <v>7.1</v>
      </c>
      <c r="P116" t="str">
        <f>IF('Raw Data'!P116="","",'Raw Data'!P116)</f>
        <v/>
      </c>
      <c r="Q116" t="str">
        <f t="shared" si="37"/>
        <v xml:space="preserve"> </v>
      </c>
      <c r="R116" s="3" t="str">
        <f t="shared" si="50"/>
        <v>-</v>
      </c>
      <c r="S116" s="3">
        <f t="shared" si="51"/>
        <v>339</v>
      </c>
      <c r="T116" s="3">
        <f t="shared" si="52"/>
        <v>159</v>
      </c>
      <c r="U116" s="9">
        <f>ASIN(N116/J116)*180/PI()</f>
        <v>3.4064437549947186</v>
      </c>
      <c r="W116" s="4">
        <f t="shared" si="43"/>
        <v>16.8</v>
      </c>
      <c r="X116" s="4">
        <f t="shared" si="44"/>
        <v>0.99999999999999989</v>
      </c>
      <c r="Y116" s="3">
        <f t="shared" si="39"/>
        <v>159</v>
      </c>
      <c r="Z116" s="4">
        <f>IF('Raw Data'!O116="","",O115+N115)</f>
        <v>7.1000000000000005</v>
      </c>
    </row>
    <row r="117" spans="1:26" x14ac:dyDescent="0.25">
      <c r="A117">
        <f>IF('Raw Data'!A117="","",'Raw Data'!A117)</f>
        <v>34</v>
      </c>
      <c r="B117">
        <f>IF('Raw Data'!B117="","",'Raw Data'!B117)</f>
        <v>35</v>
      </c>
      <c r="C117">
        <f>IF('Raw Data'!C117="","",'Raw Data'!C117)</f>
        <v>3</v>
      </c>
      <c r="D117">
        <f>IF('Raw Data'!D117="","",'Raw Data'!D117)</f>
        <v>2</v>
      </c>
      <c r="E117">
        <f>IF('Raw Data'!E117="","",'Raw Data'!E117)</f>
        <v>2</v>
      </c>
      <c r="F117" t="str">
        <f>IF('Raw Data'!F117="","",'Raw Data'!F117)</f>
        <v>/</v>
      </c>
      <c r="G117" s="7" t="str">
        <f>IF('Raw Data'!G117="/","-",IF('Raw Data'!G117="","-",SUBSTITUTE('Raw Data'!G117," ",":",1)))</f>
        <v>-</v>
      </c>
      <c r="H117" s="7" t="str">
        <f>IF('Raw Data'!H117="/","-",IF('Raw Data'!H117="","-",SUBSTITUTE('Raw Data'!H117," ",":",1)))</f>
        <v>341:00</v>
      </c>
      <c r="I117" s="7" t="str">
        <f>IF('Raw Data'!I117="/","-",IF('Raw Data'!I117="","-",SUBSTITUTE('Raw Data'!I117," ",":",1)))</f>
        <v>161:00</v>
      </c>
      <c r="J117" s="12">
        <f>IF('Raw Data'!J117="",IF(LEN(K117)&gt;6,SQRT('Raw Data'!M117^2+N117^2),""),'Raw Data'!J117)</f>
        <v>13.9</v>
      </c>
      <c r="K117" s="7" t="str">
        <f>IF('Raw Data'!K117="","",IF(LEN('Raw Data'!K117)&lt;7,SUBSTITUTE('Raw Data'!K117," ",":",1),'Raw Data'!K117))</f>
        <v>-12:30</v>
      </c>
      <c r="L117" t="str">
        <f>IF('Raw Data'!L117="","",'Raw Data'!L117)</f>
        <v/>
      </c>
      <c r="M117">
        <f>IF('Raw Data'!M117="","",'Raw Data'!M117)</f>
        <v>13.7</v>
      </c>
      <c r="N117">
        <f>IF('Raw Data'!N117="","",IF('Raw Data'!N117="-",0,'Raw Data'!N117))</f>
        <v>-3</v>
      </c>
      <c r="O117">
        <f>IF('Raw Data'!O117="",IF('Raw Data'!N117="","",0),'Raw Data'!O117)</f>
        <v>8.1</v>
      </c>
      <c r="P117" t="str">
        <f>IF('Raw Data'!P117="","",'Raw Data'!P117)</f>
        <v>35 = A on p.25 = Big rock by D on p.46 (Top of)</v>
      </c>
      <c r="Q117" t="str">
        <f t="shared" si="37"/>
        <v xml:space="preserve"> </v>
      </c>
      <c r="R117" s="3" t="str">
        <f t="shared" si="50"/>
        <v>-</v>
      </c>
      <c r="S117" s="3">
        <f t="shared" si="51"/>
        <v>341</v>
      </c>
      <c r="T117" s="3">
        <f t="shared" si="52"/>
        <v>161</v>
      </c>
      <c r="U117" s="3">
        <f t="shared" ref="U117" si="54">IF(ISERROR(FIND(":",K117)),IF(K117="zero",0,1*K117),1*CONCATENATE(LEFT(K117,FIND(":",K117)-1),".",MID(RIGHT(K117,LEN(K117)-FIND(":",K117))/60,3,8)))</f>
        <v>-12.5</v>
      </c>
      <c r="W117" s="4">
        <f t="shared" si="43"/>
        <v>13.570514498967075</v>
      </c>
      <c r="X117" s="4">
        <f t="shared" si="44"/>
        <v>-3.0085106337396299</v>
      </c>
      <c r="Y117" s="3">
        <f t="shared" si="39"/>
        <v>161</v>
      </c>
      <c r="Z117" s="4">
        <f>IF('Raw Data'!O117="","",O116+N116)</f>
        <v>8.1</v>
      </c>
    </row>
    <row r="118" spans="1:26" x14ac:dyDescent="0.25">
      <c r="A118">
        <f>IF('Raw Data'!A118="","",'Raw Data'!A118)</f>
        <v>35</v>
      </c>
      <c r="B118" t="str">
        <f>IF('Raw Data'!B118="","",'Raw Data'!B118)</f>
        <v/>
      </c>
      <c r="C118" t="str">
        <f>IF('Raw Data'!C118="","",'Raw Data'!C118)</f>
        <v/>
      </c>
      <c r="D118" t="str">
        <f>IF('Raw Data'!D118="","",'Raw Data'!D118)</f>
        <v/>
      </c>
      <c r="E118" t="str">
        <f>IF('Raw Data'!E118="","",'Raw Data'!E118)</f>
        <v/>
      </c>
      <c r="F118" t="str">
        <f>IF('Raw Data'!F118="","",'Raw Data'!F118)</f>
        <v/>
      </c>
      <c r="G118" s="7" t="str">
        <f>IF('Raw Data'!G118="/","-",IF('Raw Data'!G118="","-",SUBSTITUTE('Raw Data'!G118," ",":",1)))</f>
        <v>-</v>
      </c>
      <c r="H118" s="7" t="str">
        <f>IF('Raw Data'!H118="/","-",IF('Raw Data'!H118="","-",SUBSTITUTE('Raw Data'!H118," ",":",1)))</f>
        <v>-</v>
      </c>
      <c r="I118" s="7" t="str">
        <f>IF('Raw Data'!I118="/","-",IF('Raw Data'!I118="","-",SUBSTITUTE('Raw Data'!I118," ",":",1)))</f>
        <v>-</v>
      </c>
      <c r="J118" s="12" t="str">
        <f>IF('Raw Data'!J118="",IF(LEN(K118)&gt;6,SQRT('Raw Data'!M118^2+N118^2),""),'Raw Data'!J118)</f>
        <v/>
      </c>
      <c r="K118" s="7" t="str">
        <f>IF('Raw Data'!K118="","",IF(LEN('Raw Data'!K118)&lt;7,SUBSTITUTE('Raw Data'!K118," ",":",1),'Raw Data'!K118))</f>
        <v/>
      </c>
      <c r="L118" t="str">
        <f>IF('Raw Data'!L118="","",'Raw Data'!L118)</f>
        <v/>
      </c>
      <c r="M118" t="str">
        <f>IF('Raw Data'!M118="","",'Raw Data'!M118)</f>
        <v/>
      </c>
      <c r="N118" t="str">
        <f>IF('Raw Data'!N118="","",IF('Raw Data'!N118="-",0,'Raw Data'!N118))</f>
        <v/>
      </c>
      <c r="O118">
        <f>IF('Raw Data'!O118="",IF('Raw Data'!N118="","",0),'Raw Data'!O118)</f>
        <v>5.0999999999999996</v>
      </c>
      <c r="P118" t="str">
        <f>IF('Raw Data'!P118="","",'Raw Data'!P118)</f>
        <v>Total = 2,642'</v>
      </c>
      <c r="Q118" t="str">
        <f t="shared" si="37"/>
        <v xml:space="preserve"> </v>
      </c>
      <c r="W118" s="4"/>
      <c r="X118" s="4"/>
      <c r="Y118" s="3"/>
      <c r="Z118" s="4">
        <f>IF('Raw Data'!O118="","",O117+N117)</f>
        <v>5.0999999999999996</v>
      </c>
    </row>
    <row r="119" spans="1:26" x14ac:dyDescent="0.25">
      <c r="A119">
        <f>IF('Raw Data'!A119="","",'Raw Data'!A119)</f>
        <v>35</v>
      </c>
      <c r="B119" t="str">
        <f>IF('Raw Data'!B119="","",'Raw Data'!B119)</f>
        <v>e</v>
      </c>
      <c r="C119" t="str">
        <f>IF('Raw Data'!C119="","",'Raw Data'!C119)</f>
        <v/>
      </c>
      <c r="D119" t="str">
        <f>IF('Raw Data'!D119="","",'Raw Data'!D119)</f>
        <v/>
      </c>
      <c r="E119" t="str">
        <f>IF('Raw Data'!E119="","",'Raw Data'!E119)</f>
        <v/>
      </c>
      <c r="F119" t="str">
        <f>IF('Raw Data'!F119="","",'Raw Data'!F119)</f>
        <v/>
      </c>
      <c r="G119" s="7" t="str">
        <f>IF('Raw Data'!G119="/","-",IF('Raw Data'!G119="","-",SUBSTITUTE('Raw Data'!G119," ",":",1)))</f>
        <v>234</v>
      </c>
      <c r="H119" s="7" t="str">
        <f>IF('Raw Data'!H119="/","-",IF('Raw Data'!H119="","-",SUBSTITUTE('Raw Data'!H119," ",":",1)))</f>
        <v>-</v>
      </c>
      <c r="I119" s="7" t="str">
        <f>IF('Raw Data'!I119="/","-",IF('Raw Data'!I119="","-",SUBSTITUTE('Raw Data'!I119," ",":",1)))</f>
        <v>234</v>
      </c>
      <c r="J119" s="12">
        <f>IF('Raw Data'!J119="",IF(LEN(K119)&gt;6,SQRT('Raw Data'!M119^2+N119^2),""),'Raw Data'!J119)</f>
        <v>18</v>
      </c>
      <c r="K119" s="7" t="str">
        <f>IF('Raw Data'!K119="","",IF(LEN('Raw Data'!K119)&lt;7,SUBSTITUTE('Raw Data'!K119," ",":",1),'Raw Data'!K119))</f>
        <v>45</v>
      </c>
      <c r="L119" t="str">
        <f>IF('Raw Data'!L119="","",'Raw Data'!L119)</f>
        <v/>
      </c>
      <c r="M119">
        <f>IF('Raw Data'!M119="","",'Raw Data'!M119)</f>
        <v>12.7</v>
      </c>
      <c r="N119">
        <f>IF('Raw Data'!N119="","",IF('Raw Data'!N119="-",0,'Raw Data'!N119))</f>
        <v>12.7</v>
      </c>
      <c r="O119">
        <f>IF('Raw Data'!O119="",IF('Raw Data'!N119="","",0),'Raw Data'!O119)</f>
        <v>0</v>
      </c>
      <c r="P119" t="str">
        <f>IF('Raw Data'!P119="","",'Raw Data'!P119)</f>
        <v>(e) is where passage rejoins streamway. Stn 35 (p.52)-(e) is F.S. 234 (TRUE), Dist 18', Clino +45 (deg), HD 12.7, VD +12.7</v>
      </c>
      <c r="Q119" t="str">
        <f t="shared" si="37"/>
        <v xml:space="preserve"> </v>
      </c>
      <c r="R119" s="3">
        <f t="shared" si="50"/>
        <v>234</v>
      </c>
      <c r="S119" s="3" t="str">
        <f t="shared" si="51"/>
        <v>-</v>
      </c>
      <c r="T119" s="3">
        <f t="shared" si="52"/>
        <v>234</v>
      </c>
      <c r="U119" s="3">
        <f t="shared" ref="U119:U120" si="55">IF(ISERROR(FIND(":",K119)),IF(K119="zero",0,1*K119),1*CONCATENATE(LEFT(K119,FIND(":",K119)-1),".",MID(RIGHT(K119,LEN(K119)-FIND(":",K119))/60,3,8)))</f>
        <v>45</v>
      </c>
      <c r="W119" s="4">
        <f t="shared" si="43"/>
        <v>12.727922061357857</v>
      </c>
      <c r="X119" s="4">
        <f t="shared" si="44"/>
        <v>12.727922061357855</v>
      </c>
      <c r="Y119" s="3">
        <f t="shared" si="39"/>
        <v>234</v>
      </c>
      <c r="Z119" s="4" t="str">
        <f>IF('Raw Data'!O119="","",O118+N118)</f>
        <v/>
      </c>
    </row>
    <row r="120" spans="1:26" x14ac:dyDescent="0.25">
      <c r="A120">
        <f>IF('Raw Data'!A120="","",'Raw Data'!A120)</f>
        <v>35</v>
      </c>
      <c r="B120" t="str">
        <f>IF('Raw Data'!B120="","",'Raw Data'!B120)</f>
        <v>D</v>
      </c>
      <c r="C120" t="str">
        <f>IF('Raw Data'!C120="","",'Raw Data'!C120)</f>
        <v/>
      </c>
      <c r="D120" t="str">
        <f>IF('Raw Data'!D120="","",'Raw Data'!D120)</f>
        <v/>
      </c>
      <c r="E120" t="str">
        <f>IF('Raw Data'!E120="","",'Raw Data'!E120)</f>
        <v/>
      </c>
      <c r="F120" t="str">
        <f>IF('Raw Data'!F120="","",'Raw Data'!F120)</f>
        <v/>
      </c>
      <c r="G120" s="7" t="str">
        <f>IF('Raw Data'!G120="/","-",IF('Raw Data'!G120="","-",SUBSTITUTE('Raw Data'!G120," ",":",1)))</f>
        <v>-</v>
      </c>
      <c r="H120" s="7" t="str">
        <f>IF('Raw Data'!H120="/","-",IF('Raw Data'!H120="","-",SUBSTITUTE('Raw Data'!H120," ",":",1)))</f>
        <v>350</v>
      </c>
      <c r="I120" s="7" t="str">
        <f>IF('Raw Data'!I120="/","-",IF('Raw Data'!I120="","-",SUBSTITUTE('Raw Data'!I120," ",":",1)))</f>
        <v>170</v>
      </c>
      <c r="J120" s="12">
        <f>IF('Raw Data'!J120="",IF(LEN(K120)&gt;6,SQRT('Raw Data'!M120^2+N120^2),""),'Raw Data'!J120)</f>
        <v>10</v>
      </c>
      <c r="K120" s="7" t="str">
        <f>IF('Raw Data'!K120="","",IF(LEN('Raw Data'!K120)&lt;7,SUBSTITUTE('Raw Data'!K120," ",":",1),'Raw Data'!K120))</f>
        <v>0</v>
      </c>
      <c r="L120" t="str">
        <f>IF('Raw Data'!L120="","",'Raw Data'!L120)</f>
        <v/>
      </c>
      <c r="M120">
        <f>IF('Raw Data'!M120="","",'Raw Data'!M120)</f>
        <v>10</v>
      </c>
      <c r="N120">
        <f>IF('Raw Data'!N120="","",IF('Raw Data'!N120="-",0,'Raw Data'!N120))</f>
        <v>0</v>
      </c>
      <c r="O120">
        <f>IF('Raw Data'!O120="",IF('Raw Data'!N120="","",0),'Raw Data'!O120)</f>
        <v>0</v>
      </c>
      <c r="P120" t="str">
        <f>IF('Raw Data'!P120="","",'Raw Data'!P120)</f>
        <v>D is in stream. Big rock (start of New Series survey) 10' away at 350 (deg). Big passage starts as continuation of Howards Dig.</v>
      </c>
      <c r="R120" s="3" t="str">
        <f t="shared" ref="R120" si="56">IF(ISERROR(FIND(":",G120)),IF(G120&lt;&gt;"-",1*G120,G120),1*LEFT(G120,FIND(":",G120)-1)+RIGHT(G120,LEN(G120)-FIND(":",G120))/60)</f>
        <v>-</v>
      </c>
      <c r="S120" s="3">
        <f t="shared" ref="S120" si="57">IF(ISERROR(FIND(":",H120)),IF(H120&lt;&gt;"-",1*H120,H120),1*LEFT(H120,FIND(":",H120)-1)+RIGHT(H120,LEN(H120)-FIND(":",H120))/60)</f>
        <v>350</v>
      </c>
      <c r="T120" s="3">
        <f t="shared" ref="T120" si="58">IF(ISERROR(FIND(":",I120)),IF(I120&lt;&gt;"-",1*I120,I120),1*LEFT(I120,FIND(":",I120)-1)+RIGHT(I120,LEN(I120)-FIND(":",I120))/60)</f>
        <v>170</v>
      </c>
      <c r="U120" s="3">
        <f t="shared" si="55"/>
        <v>0</v>
      </c>
      <c r="W120" s="4">
        <f t="shared" ref="W120" si="59">J120*COS(U120*PI()/180)</f>
        <v>10</v>
      </c>
      <c r="X120" s="4">
        <f t="shared" ref="X120" si="60">J120*SIN(U120*PI()/180)</f>
        <v>0</v>
      </c>
      <c r="Y120" s="3">
        <f t="shared" ref="Y120" si="61">IF(R120="-",IF(S120&gt;180,S120-180,S120+180),R120)</f>
        <v>170</v>
      </c>
      <c r="Z120" s="4" t="str">
        <f>IF('Raw Data'!O120="","",O119+N119)</f>
        <v/>
      </c>
    </row>
    <row r="121" spans="1:26" x14ac:dyDescent="0.25">
      <c r="A121" t="str">
        <f>IF('Raw Data'!A121="","",'Raw Data'!A121)</f>
        <v/>
      </c>
      <c r="B121" t="str">
        <f>IF('Raw Data'!B121="","",'Raw Data'!B121)</f>
        <v/>
      </c>
      <c r="C121" t="str">
        <f>IF('Raw Data'!C121="","",'Raw Data'!C121)</f>
        <v/>
      </c>
      <c r="D121" t="str">
        <f>IF('Raw Data'!D121="","",'Raw Data'!D121)</f>
        <v/>
      </c>
      <c r="E121" t="str">
        <f>IF('Raw Data'!E121="","",'Raw Data'!E121)</f>
        <v/>
      </c>
      <c r="F121" t="str">
        <f>IF('Raw Data'!F121="","",'Raw Data'!F121)</f>
        <v/>
      </c>
      <c r="G121" s="7" t="str">
        <f>IF('Raw Data'!G121="/","-",IF('Raw Data'!G121="","-",SUBSTITUTE('Raw Data'!G121," ",":",1)))</f>
        <v>-</v>
      </c>
      <c r="H121" s="7" t="str">
        <f>IF('Raw Data'!H121="/","-",IF('Raw Data'!H121="","-",SUBSTITUTE('Raw Data'!H121," ",":",1)))</f>
        <v>-</v>
      </c>
      <c r="I121" s="7" t="str">
        <f>IF('Raw Data'!I121="/","-",IF('Raw Data'!I121="","-",SUBSTITUTE('Raw Data'!I121," ",":",1)))</f>
        <v>-</v>
      </c>
      <c r="J121" s="12" t="str">
        <f>IF('Raw Data'!J121="",IF(LEN(K121)&gt;6,SQRT('Raw Data'!M121^2+N121^2),""),'Raw Data'!J121)</f>
        <v/>
      </c>
      <c r="K121" s="7"/>
      <c r="O121" t="str">
        <f>IF('Raw Data'!O121="",IF('Raw Data'!N121="","",0),'Raw Data'!O121)</f>
        <v/>
      </c>
      <c r="W121" s="4"/>
      <c r="X121" s="4"/>
      <c r="Y121" s="3"/>
      <c r="Z121" s="4" t="str">
        <f>IF('Raw Data'!O121="","",O120+N120)</f>
        <v/>
      </c>
    </row>
    <row r="122" spans="1:26" x14ac:dyDescent="0.25">
      <c r="A122" t="str">
        <f>IF('Raw Data'!A122="","",'Raw Data'!A122)</f>
        <v>p. 53-56</v>
      </c>
      <c r="B122" t="str">
        <f>IF('Raw Data'!B122="","",'Raw Data'!B122)</f>
        <v>(=PDF p.57-60)</v>
      </c>
      <c r="C122" t="str">
        <f>IF('Raw Data'!C122="","",'Raw Data'!C122)</f>
        <v/>
      </c>
      <c r="D122" t="str">
        <f>IF('Raw Data'!D122="","",'Raw Data'!D122)</f>
        <v/>
      </c>
      <c r="E122" t="str">
        <f>IF('Raw Data'!E122="","",'Raw Data'!E122)</f>
        <v/>
      </c>
      <c r="F122" t="str">
        <f>IF('Raw Data'!F122="","",'Raw Data'!F122)</f>
        <v/>
      </c>
      <c r="G122" s="7" t="str">
        <f>IF('Raw Data'!G122="/","-",IF('Raw Data'!G122="","-",SUBSTITUTE('Raw Data'!G122," ",":",1)))</f>
        <v>-</v>
      </c>
      <c r="H122" s="7" t="str">
        <f>IF('Raw Data'!H122="/","-",IF('Raw Data'!H122="","-",SUBSTITUTE('Raw Data'!H122," ",":",1)))</f>
        <v>-</v>
      </c>
      <c r="I122" s="7" t="str">
        <f>IF('Raw Data'!I122="/","-",IF('Raw Data'!I122="","-",SUBSTITUTE('Raw Data'!I122," ",":",1)))</f>
        <v>-</v>
      </c>
      <c r="J122" s="12" t="str">
        <f>IF('Raw Data'!J122="",IF(LEN(K122)&gt;6,SQRT('Raw Data'!M122^2+N122^2),""),'Raw Data'!J122)</f>
        <v/>
      </c>
      <c r="K122" s="7"/>
      <c r="O122" t="str">
        <f>IF('Raw Data'!O122="",IF('Raw Data'!N122="","",0),'Raw Data'!O122)</f>
        <v/>
      </c>
      <c r="W122" s="4"/>
      <c r="X122" s="4"/>
      <c r="Y122" s="3"/>
      <c r="Z122" s="4" t="str">
        <f>IF('Raw Data'!O122="","",O121+N121)</f>
        <v/>
      </c>
    </row>
    <row r="123" spans="1:26" x14ac:dyDescent="0.25">
      <c r="A123">
        <f>IF('Raw Data'!A123="","",'Raw Data'!A123)</f>
        <v>27</v>
      </c>
      <c r="B123">
        <f>IF('Raw Data'!B123="","",'Raw Data'!B123)</f>
        <v>36</v>
      </c>
      <c r="C123" t="str">
        <f>IF('Raw Data'!C123="","",'Raw Data'!C123)</f>
        <v>-</v>
      </c>
      <c r="D123" t="str">
        <f>IF('Raw Data'!D123="","",'Raw Data'!D123)</f>
        <v>-</v>
      </c>
      <c r="E123" t="str">
        <f>IF('Raw Data'!E123="","",'Raw Data'!E123)</f>
        <v>-</v>
      </c>
      <c r="F123" t="str">
        <f>IF('Raw Data'!F123="","",'Raw Data'!F123)</f>
        <v>-</v>
      </c>
      <c r="G123" s="7" t="str">
        <f>IF('Raw Data'!G123="/","-",IF('Raw Data'!G123="","-",SUBSTITUTE('Raw Data'!G123," ",":",1)))</f>
        <v>-</v>
      </c>
      <c r="H123" s="7" t="str">
        <f>IF('Raw Data'!H123="/","-",IF('Raw Data'!H123="","-",SUBSTITUTE('Raw Data'!H123," ",":",1)))</f>
        <v>-</v>
      </c>
      <c r="I123" s="7" t="str">
        <f>IF('Raw Data'!I123="/","-",IF('Raw Data'!I123="","-",SUBSTITUTE('Raw Data'!I123," ",":",1)))</f>
        <v>-</v>
      </c>
      <c r="J123" s="12">
        <f>IF('Raw Data'!J123="",IF(LEN(K123)&gt;6,SQRT('Raw Data'!M123^2+N123^2),""),'Raw Data'!J123)</f>
        <v>6</v>
      </c>
      <c r="K123" s="7" t="str">
        <f>IF('Raw Data'!K123="","",IF(LEN('Raw Data'!K123)&lt;7,SUBSTITUTE('Raw Data'!K123," ",":",1),'Raw Data'!K123))</f>
        <v>90:00</v>
      </c>
      <c r="L123" t="str">
        <f>IF('Raw Data'!L123="","",'Raw Data'!L123)</f>
        <v/>
      </c>
      <c r="M123" t="str">
        <f>IF('Raw Data'!M123="","",'Raw Data'!M123)</f>
        <v>-</v>
      </c>
      <c r="N123">
        <f>IF('Raw Data'!N123="","",IF('Raw Data'!N123="-",0,'Raw Data'!N123))</f>
        <v>6</v>
      </c>
      <c r="O123">
        <f>IF('Raw Data'!O123="",IF('Raw Data'!N123="","",0),'Raw Data'!O123)</f>
        <v>50.1</v>
      </c>
      <c r="P123" t="str">
        <f>IF('Raw Data'!P123="","",'Raw Data'!P123)</f>
        <v>27 = 27 of p.52</v>
      </c>
      <c r="R123" s="3" t="str">
        <f t="shared" ref="R123:R131" si="62">IF(ISERROR(FIND(":",G123)),IF(G123&lt;&gt;"-",1*G123,G123),1*LEFT(G123,FIND(":",G123)-1)+RIGHT(G123,LEN(G123)-FIND(":",G123))/60)</f>
        <v>-</v>
      </c>
      <c r="S123" s="3" t="str">
        <f t="shared" ref="S123:S131" si="63">IF(ISERROR(FIND(":",H123)),IF(H123&lt;&gt;"-",1*H123,H123),1*LEFT(H123,FIND(":",H123)-1)+RIGHT(H123,LEN(H123)-FIND(":",H123))/60)</f>
        <v>-</v>
      </c>
      <c r="T123" s="3" t="str">
        <f t="shared" ref="T123:T131" si="64">IF(ISERROR(FIND(":",I123)),IF(I123&lt;&gt;"-",1*I123,I123),1*LEFT(I123,FIND(":",I123)-1)+RIGHT(I123,LEN(I123)-FIND(":",I123))/60)</f>
        <v>-</v>
      </c>
      <c r="U123" s="3">
        <f t="shared" ref="U123:U140" si="65">IF(ISERROR(FIND(":",K123)),IF(K123="zero",0,1*K123),1*CONCATENATE(LEFT(K123,FIND(":",K123)-1),".",MID(RIGHT(K123,LEN(K123)-FIND(":",K123))/60,3,8)))</f>
        <v>90</v>
      </c>
      <c r="W123" s="4">
        <f t="shared" ref="W123:W131" si="66">J123*COS(U123*PI()/180)</f>
        <v>3.67544536472586E-16</v>
      </c>
      <c r="X123" s="4">
        <f t="shared" ref="X123:X131" si="67">J123*SIN(U123*PI()/180)</f>
        <v>6</v>
      </c>
      <c r="Y123" s="3" t="e">
        <f t="shared" ref="Y123:Y131" si="68">IF(R123="-",IF(S123&gt;180,S123-180,S123+180),R123)</f>
        <v>#VALUE!</v>
      </c>
      <c r="Z123" s="4">
        <f>IF('Raw Data'!O123="","",O110)</f>
        <v>50.1</v>
      </c>
    </row>
    <row r="124" spans="1:26" x14ac:dyDescent="0.25">
      <c r="A124">
        <f>IF('Raw Data'!A124="","",'Raw Data'!A124)</f>
        <v>36</v>
      </c>
      <c r="B124">
        <f>IF('Raw Data'!B124="","",'Raw Data'!B124)</f>
        <v>37</v>
      </c>
      <c r="C124">
        <f>IF('Raw Data'!C124="","",'Raw Data'!C124)</f>
        <v>3</v>
      </c>
      <c r="D124">
        <f>IF('Raw Data'!D124="","",'Raw Data'!D124)</f>
        <v>1</v>
      </c>
      <c r="E124">
        <f>IF('Raw Data'!E124="","",'Raw Data'!E124)</f>
        <v>4</v>
      </c>
      <c r="F124">
        <f>IF('Raw Data'!F124="","",'Raw Data'!F124)</f>
        <v>4</v>
      </c>
      <c r="G124" s="7" t="str">
        <f>IF('Raw Data'!G124="/","-",IF('Raw Data'!G124="","-",SUBSTITUTE('Raw Data'!G124," ",":",1)))</f>
        <v>-</v>
      </c>
      <c r="H124" s="7" t="str">
        <f>IF('Raw Data'!H124="/","-",IF('Raw Data'!H124="","-",SUBSTITUTE('Raw Data'!H124," ",":",1)))</f>
        <v>158:00</v>
      </c>
      <c r="I124" s="7" t="str">
        <f>IF('Raw Data'!I124="/","-",IF('Raw Data'!I124="","-",SUBSTITUTE('Raw Data'!I124," ",":",1)))</f>
        <v>338:00</v>
      </c>
      <c r="J124" s="12">
        <f>IF('Raw Data'!J124="",IF(LEN(K124)&gt;6,SQRT('Raw Data'!M124^2+N124^2),""),'Raw Data'!J124)</f>
        <v>29.4</v>
      </c>
      <c r="K124" s="7" t="str">
        <f>IF('Raw Data'!K124="","",IF(LEN('Raw Data'!K124)&lt;7,SUBSTITUTE('Raw Data'!K124," ",":",1),'Raw Data'!K124))</f>
        <v>12:30</v>
      </c>
      <c r="L124" t="str">
        <f>IF('Raw Data'!L124="","",'Raw Data'!L124)</f>
        <v/>
      </c>
      <c r="M124">
        <f>IF('Raw Data'!M124="","",'Raw Data'!M124)</f>
        <v>28.6</v>
      </c>
      <c r="N124">
        <f>IF('Raw Data'!N124="","",IF('Raw Data'!N124="-",0,'Raw Data'!N124))</f>
        <v>6.4</v>
      </c>
      <c r="O124">
        <f>IF('Raw Data'!O124="",IF('Raw Data'!N124="","",0),'Raw Data'!O124)</f>
        <v>56.1</v>
      </c>
      <c r="P124" t="str">
        <f>IF('Raw Data'!P124="","",'Raw Data'!P124)</f>
        <v/>
      </c>
      <c r="R124" s="3" t="str">
        <f t="shared" si="62"/>
        <v>-</v>
      </c>
      <c r="S124" s="3">
        <f t="shared" si="63"/>
        <v>158</v>
      </c>
      <c r="T124" s="3">
        <f t="shared" si="64"/>
        <v>338</v>
      </c>
      <c r="U124" s="3">
        <f t="shared" si="65"/>
        <v>12.5</v>
      </c>
      <c r="W124" s="4">
        <f t="shared" si="66"/>
        <v>28.703102609326038</v>
      </c>
      <c r="X124" s="4">
        <f t="shared" si="67"/>
        <v>6.3633246497802238</v>
      </c>
      <c r="Y124" s="3">
        <f t="shared" si="68"/>
        <v>338</v>
      </c>
      <c r="Z124" s="4">
        <f>IF('Raw Data'!O124="","",O123+N123)</f>
        <v>56.1</v>
      </c>
    </row>
    <row r="125" spans="1:26" x14ac:dyDescent="0.25">
      <c r="A125">
        <f>IF('Raw Data'!A125="","",'Raw Data'!A125)</f>
        <v>37</v>
      </c>
      <c r="B125">
        <f>IF('Raw Data'!B125="","",'Raw Data'!B125)</f>
        <v>38</v>
      </c>
      <c r="C125">
        <f>IF('Raw Data'!C125="","",'Raw Data'!C125)</f>
        <v>1</v>
      </c>
      <c r="D125">
        <f>IF('Raw Data'!D125="","",'Raw Data'!D125)</f>
        <v>3</v>
      </c>
      <c r="E125">
        <f>IF('Raw Data'!E125="","",'Raw Data'!E125)</f>
        <v>4</v>
      </c>
      <c r="F125">
        <f>IF('Raw Data'!F125="","",'Raw Data'!F125)</f>
        <v>1</v>
      </c>
      <c r="G125" s="7" t="str">
        <f>IF('Raw Data'!G125="/","-",IF('Raw Data'!G125="","-",SUBSTITUTE('Raw Data'!G125," ",":",1)))</f>
        <v>011:00</v>
      </c>
      <c r="H125" s="7" t="str">
        <f>IF('Raw Data'!H125="/","-",IF('Raw Data'!H125="","-",SUBSTITUTE('Raw Data'!H125," ",":",1)))</f>
        <v>-</v>
      </c>
      <c r="I125" s="7" t="str">
        <f>IF('Raw Data'!I125="/","-",IF('Raw Data'!I125="","-",SUBSTITUTE('Raw Data'!I125," ",":",1)))</f>
        <v>011:00</v>
      </c>
      <c r="J125" s="12">
        <f>IF('Raw Data'!J125="",IF(LEN(K125)&gt;6,SQRT('Raw Data'!M125^2+N125^2),""),'Raw Data'!J125)</f>
        <v>12.1</v>
      </c>
      <c r="K125" s="7" t="str">
        <f>IF('Raw Data'!K125="","",IF(LEN('Raw Data'!K125)&lt;7,SUBSTITUTE('Raw Data'!K125," ",":",1),'Raw Data'!K125))</f>
        <v>-38:00</v>
      </c>
      <c r="L125" t="str">
        <f>IF('Raw Data'!L125="","",'Raw Data'!L125)</f>
        <v/>
      </c>
      <c r="M125">
        <f>IF('Raw Data'!M125="","",'Raw Data'!M125)</f>
        <v>9.5</v>
      </c>
      <c r="N125">
        <f>IF('Raw Data'!N125="","",IF('Raw Data'!N125="-",0,'Raw Data'!N125))</f>
        <v>-7.4</v>
      </c>
      <c r="O125">
        <f>IF('Raw Data'!O125="",IF('Raw Data'!N125="","",0),'Raw Data'!O125)</f>
        <v>62.5</v>
      </c>
      <c r="P125" t="str">
        <f>IF('Raw Data'!P125="","",'Raw Data'!P125)</f>
        <v>(sketch of 36-54)</v>
      </c>
      <c r="R125" s="3">
        <f t="shared" si="62"/>
        <v>11</v>
      </c>
      <c r="S125" s="3" t="str">
        <f t="shared" si="63"/>
        <v>-</v>
      </c>
      <c r="T125" s="3">
        <f t="shared" si="64"/>
        <v>11</v>
      </c>
      <c r="U125" s="3">
        <f t="shared" si="65"/>
        <v>-38</v>
      </c>
      <c r="W125" s="4">
        <f t="shared" si="66"/>
        <v>9.534930118641336</v>
      </c>
      <c r="X125" s="4">
        <f t="shared" si="67"/>
        <v>-7.4495038514404639</v>
      </c>
      <c r="Y125" s="3">
        <f t="shared" si="68"/>
        <v>11</v>
      </c>
      <c r="Z125" s="4">
        <f>IF('Raw Data'!O125="","",O124+N124)</f>
        <v>62.5</v>
      </c>
    </row>
    <row r="126" spans="1:26" x14ac:dyDescent="0.25">
      <c r="A126">
        <f>IF('Raw Data'!A126="","",'Raw Data'!A126)</f>
        <v>38</v>
      </c>
      <c r="B126">
        <f>IF('Raw Data'!B126="","",'Raw Data'!B126)</f>
        <v>39</v>
      </c>
      <c r="C126">
        <f>IF('Raw Data'!C126="","",'Raw Data'!C126)</f>
        <v>1</v>
      </c>
      <c r="D126">
        <f>IF('Raw Data'!D126="","",'Raw Data'!D126)</f>
        <v>0.5</v>
      </c>
      <c r="E126">
        <f>IF('Raw Data'!E126="","",'Raw Data'!E126)</f>
        <v>1</v>
      </c>
      <c r="F126">
        <f>IF('Raw Data'!F126="","",'Raw Data'!F126)</f>
        <v>4</v>
      </c>
      <c r="G126" s="7" t="str">
        <f>IF('Raw Data'!G126="/","-",IF('Raw Data'!G126="","-",SUBSTITUTE('Raw Data'!G126," ",":",1)))</f>
        <v>-</v>
      </c>
      <c r="H126" s="7" t="str">
        <f>IF('Raw Data'!H126="/","-",IF('Raw Data'!H126="","-",SUBSTITUTE('Raw Data'!H126," ",":",1)))</f>
        <v>282:00</v>
      </c>
      <c r="I126" s="7" t="str">
        <f>IF('Raw Data'!I126="/","-",IF('Raw Data'!I126="","-",SUBSTITUTE('Raw Data'!I126," ",":",1)))</f>
        <v>102:00</v>
      </c>
      <c r="J126" s="12">
        <f>IF('Raw Data'!J126="",IF(LEN(K126)&gt;6,SQRT('Raw Data'!M126^2+N126^2),""),'Raw Data'!J126)</f>
        <v>30.2</v>
      </c>
      <c r="K126" s="7" t="str">
        <f>IF('Raw Data'!K126="","",IF(LEN('Raw Data'!K126)&lt;7,SUBSTITUTE('Raw Data'!K126," ",":",1),'Raw Data'!K126))</f>
        <v>16:30</v>
      </c>
      <c r="L126" t="str">
        <f>IF('Raw Data'!L126="","",'Raw Data'!L126)</f>
        <v/>
      </c>
      <c r="M126">
        <f>IF('Raw Data'!M126="","",'Raw Data'!M126)</f>
        <v>28.9</v>
      </c>
      <c r="N126">
        <f>IF('Raw Data'!N126="","",IF('Raw Data'!N126="-",0,'Raw Data'!N126))</f>
        <v>8.6</v>
      </c>
      <c r="O126">
        <f>IF('Raw Data'!O126="",IF('Raw Data'!N126="","",0),'Raw Data'!O126)</f>
        <v>55.1</v>
      </c>
      <c r="P126" t="str">
        <f>IF('Raw Data'!P126="","",'Raw Data'!P126)</f>
        <v/>
      </c>
      <c r="R126" s="3" t="str">
        <f t="shared" si="62"/>
        <v>-</v>
      </c>
      <c r="S126" s="3">
        <f t="shared" si="63"/>
        <v>282</v>
      </c>
      <c r="T126" s="3">
        <f t="shared" si="64"/>
        <v>102</v>
      </c>
      <c r="U126" s="3">
        <f t="shared" si="65"/>
        <v>16.5</v>
      </c>
      <c r="W126" s="4">
        <f t="shared" si="66"/>
        <v>28.956355993019429</v>
      </c>
      <c r="X126" s="4">
        <f t="shared" si="67"/>
        <v>8.5772634100584639</v>
      </c>
      <c r="Y126" s="3">
        <f t="shared" si="68"/>
        <v>102</v>
      </c>
      <c r="Z126" s="4">
        <f>IF('Raw Data'!O126="","",O125+N125)</f>
        <v>55.1</v>
      </c>
    </row>
    <row r="127" spans="1:26" x14ac:dyDescent="0.25">
      <c r="A127">
        <f>IF('Raw Data'!A127="","",'Raw Data'!A127)</f>
        <v>39</v>
      </c>
      <c r="B127">
        <f>IF('Raw Data'!B127="","",'Raw Data'!B127)</f>
        <v>40</v>
      </c>
      <c r="C127">
        <f>IF('Raw Data'!C127="","",'Raw Data'!C127)</f>
        <v>2</v>
      </c>
      <c r="D127">
        <f>IF('Raw Data'!D127="","",'Raw Data'!D127)</f>
        <v>2</v>
      </c>
      <c r="E127">
        <f>IF('Raw Data'!E127="","",'Raw Data'!E127)</f>
        <v>3</v>
      </c>
      <c r="F127">
        <f>IF('Raw Data'!F127="","",'Raw Data'!F127)</f>
        <v>4</v>
      </c>
      <c r="G127" s="7" t="str">
        <f>IF('Raw Data'!G127="/","-",IF('Raw Data'!G127="","-",SUBSTITUTE('Raw Data'!G127," ",":",1)))</f>
        <v>063:30</v>
      </c>
      <c r="H127" s="7" t="str">
        <f>IF('Raw Data'!H127="/","-",IF('Raw Data'!H127="","-",SUBSTITUTE('Raw Data'!H127," ",":",1)))</f>
        <v>-</v>
      </c>
      <c r="I127" s="7" t="str">
        <f>IF('Raw Data'!I127="/","-",IF('Raw Data'!I127="","-",SUBSTITUTE('Raw Data'!I127," ",":",1)))</f>
        <v>063:30</v>
      </c>
      <c r="J127" s="12">
        <f>IF('Raw Data'!J127="",IF(LEN(K127)&gt;6,SQRT('Raw Data'!M127^2+N127^2),""),'Raw Data'!J127)</f>
        <v>15</v>
      </c>
      <c r="K127" s="7" t="str">
        <f>IF('Raw Data'!K127="","",IF(LEN('Raw Data'!K127)&lt;7,SUBSTITUTE('Raw Data'!K127," ",":",1),'Raw Data'!K127))</f>
        <v>27:00</v>
      </c>
      <c r="L127" t="str">
        <f>IF('Raw Data'!L127="","",'Raw Data'!L127)</f>
        <v/>
      </c>
      <c r="M127">
        <f>IF('Raw Data'!M127="","",'Raw Data'!M127)</f>
        <v>13.4</v>
      </c>
      <c r="N127">
        <f>IF('Raw Data'!N127="","",IF('Raw Data'!N127="-",0,'Raw Data'!N127))</f>
        <v>6.8</v>
      </c>
      <c r="O127">
        <f>IF('Raw Data'!O127="",IF('Raw Data'!N127="","",0),'Raw Data'!O127)</f>
        <v>63.7</v>
      </c>
      <c r="P127" t="str">
        <f>IF('Raw Data'!P127="","",'Raw Data'!P127)</f>
        <v/>
      </c>
      <c r="R127" s="3">
        <f t="shared" si="62"/>
        <v>63.5</v>
      </c>
      <c r="S127" s="3" t="str">
        <f t="shared" si="63"/>
        <v>-</v>
      </c>
      <c r="T127" s="3">
        <f t="shared" si="64"/>
        <v>63.5</v>
      </c>
      <c r="U127" s="3">
        <f t="shared" si="65"/>
        <v>27</v>
      </c>
      <c r="W127" s="4">
        <f t="shared" si="66"/>
        <v>13.365097862825518</v>
      </c>
      <c r="X127" s="4">
        <f t="shared" si="67"/>
        <v>6.8098574960932012</v>
      </c>
      <c r="Y127" s="3">
        <f t="shared" si="68"/>
        <v>63.5</v>
      </c>
      <c r="Z127" s="4">
        <f>IF('Raw Data'!O127="","",O126+N126)</f>
        <v>63.7</v>
      </c>
    </row>
    <row r="128" spans="1:26" x14ac:dyDescent="0.25">
      <c r="A128">
        <f>IF('Raw Data'!A128="","",'Raw Data'!A128)</f>
        <v>40</v>
      </c>
      <c r="B128">
        <f>IF('Raw Data'!B128="","",'Raw Data'!B128)</f>
        <v>41</v>
      </c>
      <c r="C128">
        <f>IF('Raw Data'!C128="","",'Raw Data'!C128)</f>
        <v>2</v>
      </c>
      <c r="D128">
        <f>IF('Raw Data'!D128="","",'Raw Data'!D128)</f>
        <v>2</v>
      </c>
      <c r="E128">
        <f>IF('Raw Data'!E128="","",'Raw Data'!E128)</f>
        <v>6</v>
      </c>
      <c r="F128">
        <f>IF('Raw Data'!F128="","",'Raw Data'!F128)</f>
        <v>2</v>
      </c>
      <c r="G128" s="7" t="str">
        <f>IF('Raw Data'!G128="/","-",IF('Raw Data'!G128="","-",SUBSTITUTE('Raw Data'!G128," ",":",1)))</f>
        <v>-</v>
      </c>
      <c r="H128" s="7" t="str">
        <f>IF('Raw Data'!H128="/","-",IF('Raw Data'!H128="","-",SUBSTITUTE('Raw Data'!H128," ",":",1)))</f>
        <v>284:00</v>
      </c>
      <c r="I128" s="7" t="str">
        <f>IF('Raw Data'!I128="/","-",IF('Raw Data'!I128="","-",SUBSTITUTE('Raw Data'!I128," ",":",1)))</f>
        <v>104:00</v>
      </c>
      <c r="J128" s="12">
        <f>IF('Raw Data'!J128="",IF(LEN(K128)&gt;6,SQRT('Raw Data'!M128^2+N128^2),""),'Raw Data'!J128)</f>
        <v>24.4</v>
      </c>
      <c r="K128" s="7" t="str">
        <f>IF('Raw Data'!K128="","",IF(LEN('Raw Data'!K128)&lt;7,SUBSTITUTE('Raw Data'!K128," ",":",1),'Raw Data'!K128))</f>
        <v>13:30</v>
      </c>
      <c r="L128" t="str">
        <f>IF('Raw Data'!L128="","",'Raw Data'!L128)</f>
        <v/>
      </c>
      <c r="M128">
        <f>IF('Raw Data'!M128="","",'Raw Data'!M128)</f>
        <v>23.7</v>
      </c>
      <c r="N128">
        <f>IF('Raw Data'!N128="","",IF('Raw Data'!N128="-",0,'Raw Data'!N128))</f>
        <v>5.7</v>
      </c>
      <c r="O128">
        <f>IF('Raw Data'!O128="",IF('Raw Data'!N128="","",0),'Raw Data'!O128)</f>
        <v>70.599999999999994</v>
      </c>
      <c r="P128" t="str">
        <f>IF('Raw Data'!P128="","",'Raw Data'!P128)</f>
        <v/>
      </c>
      <c r="R128" s="3" t="str">
        <f t="shared" si="62"/>
        <v>-</v>
      </c>
      <c r="S128" s="3">
        <f t="shared" si="63"/>
        <v>284</v>
      </c>
      <c r="T128" s="3">
        <f t="shared" si="64"/>
        <v>104</v>
      </c>
      <c r="U128" s="3">
        <f t="shared" si="65"/>
        <v>13.5</v>
      </c>
      <c r="W128" s="4">
        <f t="shared" si="66"/>
        <v>23.725826057703305</v>
      </c>
      <c r="X128" s="4">
        <f t="shared" si="67"/>
        <v>5.6960668780840908</v>
      </c>
      <c r="Y128" s="3">
        <f t="shared" si="68"/>
        <v>104</v>
      </c>
      <c r="Z128" s="4">
        <f>IF('Raw Data'!O128="","",O127+N127)</f>
        <v>70.5</v>
      </c>
    </row>
    <row r="129" spans="1:27" x14ac:dyDescent="0.25">
      <c r="A129">
        <f>IF('Raw Data'!A129="","",'Raw Data'!A129)</f>
        <v>41</v>
      </c>
      <c r="B129">
        <f>IF('Raw Data'!B129="","",'Raw Data'!B129)</f>
        <v>42</v>
      </c>
      <c r="C129">
        <f>IF('Raw Data'!C129="","",'Raw Data'!C129)</f>
        <v>3</v>
      </c>
      <c r="D129">
        <f>IF('Raw Data'!D129="","",'Raw Data'!D129)</f>
        <v>2</v>
      </c>
      <c r="E129">
        <f>IF('Raw Data'!E129="","",'Raw Data'!E129)</f>
        <v>2</v>
      </c>
      <c r="F129">
        <f>IF('Raw Data'!F129="","",'Raw Data'!F129)</f>
        <v>6</v>
      </c>
      <c r="G129" s="7" t="str">
        <f>IF('Raw Data'!G129="/","-",IF('Raw Data'!G129="","-",SUBSTITUTE('Raw Data'!G129," ",":",1)))</f>
        <v>083:00</v>
      </c>
      <c r="H129" s="7" t="str">
        <f>IF('Raw Data'!H129="/","-",IF('Raw Data'!H129="","-",SUBSTITUTE('Raw Data'!H129," ",":",1)))</f>
        <v>-</v>
      </c>
      <c r="I129" s="7" t="str">
        <f>IF('Raw Data'!I129="/","-",IF('Raw Data'!I129="","-",SUBSTITUTE('Raw Data'!I129," ",":",1)))</f>
        <v>083:00</v>
      </c>
      <c r="J129" s="12">
        <f>IF('Raw Data'!J129="",IF(LEN(K129)&gt;6,SQRT('Raw Data'!M129^2+N129^2),""),'Raw Data'!J129)</f>
        <v>19.5</v>
      </c>
      <c r="K129" s="7" t="str">
        <f>IF('Raw Data'!K129="","",IF(LEN('Raw Data'!K129)&lt;7,SUBSTITUTE('Raw Data'!K129," ",":",1),'Raw Data'!K129))</f>
        <v>10:30</v>
      </c>
      <c r="L129" t="str">
        <f>IF('Raw Data'!L129="","",'Raw Data'!L129)</f>
        <v/>
      </c>
      <c r="M129">
        <f>IF('Raw Data'!M129="","",'Raw Data'!M129)</f>
        <v>19.2</v>
      </c>
      <c r="N129">
        <f>IF('Raw Data'!N129="","",IF('Raw Data'!N129="-",0,'Raw Data'!N129))</f>
        <v>3.5</v>
      </c>
      <c r="O129">
        <f>IF('Raw Data'!O129="",IF('Raw Data'!N129="","",0),'Raw Data'!O129)</f>
        <v>76.3</v>
      </c>
      <c r="P129" t="str">
        <f>IF('Raw Data'!P129="","",'Raw Data'!P129)</f>
        <v/>
      </c>
      <c r="R129" s="3">
        <f t="shared" si="62"/>
        <v>83</v>
      </c>
      <c r="S129" s="3" t="str">
        <f t="shared" si="63"/>
        <v>-</v>
      </c>
      <c r="T129" s="3">
        <f t="shared" si="64"/>
        <v>83</v>
      </c>
      <c r="U129" s="3">
        <f t="shared" si="65"/>
        <v>10.5</v>
      </c>
      <c r="W129" s="4">
        <f t="shared" si="66"/>
        <v>19.173470697497116</v>
      </c>
      <c r="X129" s="4">
        <f t="shared" si="67"/>
        <v>3.5535927470968756</v>
      </c>
      <c r="Y129" s="3">
        <f t="shared" si="68"/>
        <v>83</v>
      </c>
      <c r="Z129" s="4">
        <f>IF('Raw Data'!O129="","",O128+N128)</f>
        <v>76.3</v>
      </c>
    </row>
    <row r="130" spans="1:27" x14ac:dyDescent="0.25">
      <c r="A130">
        <f>IF('Raw Data'!A130="","",'Raw Data'!A130)</f>
        <v>42</v>
      </c>
      <c r="B130">
        <f>IF('Raw Data'!B130="","",'Raw Data'!B130)</f>
        <v>43</v>
      </c>
      <c r="C130">
        <f>IF('Raw Data'!C130="","",'Raw Data'!C130)</f>
        <v>2</v>
      </c>
      <c r="D130">
        <f>IF('Raw Data'!D130="","",'Raw Data'!D130)</f>
        <v>0.5</v>
      </c>
      <c r="E130">
        <f>IF('Raw Data'!E130="","",'Raw Data'!E130)</f>
        <v>2</v>
      </c>
      <c r="F130">
        <f>IF('Raw Data'!F130="","",'Raw Data'!F130)</f>
        <v>1</v>
      </c>
      <c r="G130" s="7" t="str">
        <f>IF('Raw Data'!G130="/","-",IF('Raw Data'!G130="","-",SUBSTITUTE('Raw Data'!G130," ",":",1)))</f>
        <v>-</v>
      </c>
      <c r="H130" s="7" t="str">
        <f>IF('Raw Data'!H130="/","-",IF('Raw Data'!H130="","-",SUBSTITUTE('Raw Data'!H130," ",":",1)))</f>
        <v>296:30</v>
      </c>
      <c r="I130" s="7" t="str">
        <f>IF('Raw Data'!I130="/","-",IF('Raw Data'!I130="","-",SUBSTITUTE('Raw Data'!I130," ",":",1)))</f>
        <v>116:30</v>
      </c>
      <c r="J130" s="12">
        <f>IF('Raw Data'!J130="",IF(LEN(K130)&gt;6,SQRT('Raw Data'!M130^2+N130^2),""),'Raw Data'!J130)</f>
        <v>14.8</v>
      </c>
      <c r="K130" s="7" t="str">
        <f>IF('Raw Data'!K130="","",IF(LEN('Raw Data'!K130)&lt;7,SUBSTITUTE('Raw Data'!K130," ",":",1),'Raw Data'!K130))</f>
        <v>14:30</v>
      </c>
      <c r="L130" t="str">
        <f>IF('Raw Data'!L130="","",'Raw Data'!L130)</f>
        <v/>
      </c>
      <c r="M130">
        <f>IF('Raw Data'!M130="","",'Raw Data'!M130)</f>
        <v>14.3</v>
      </c>
      <c r="N130">
        <f>IF('Raw Data'!N130="","",IF('Raw Data'!N130="-",0,'Raw Data'!N130))</f>
        <v>3.7</v>
      </c>
      <c r="O130">
        <f>IF('Raw Data'!O130="",IF('Raw Data'!N130="","",0),'Raw Data'!O130)</f>
        <v>79.900000000000006</v>
      </c>
      <c r="P130" t="str">
        <f>IF('Raw Data'!P130="","",'Raw Data'!P130)</f>
        <v/>
      </c>
      <c r="R130" s="3" t="str">
        <f t="shared" si="62"/>
        <v>-</v>
      </c>
      <c r="S130" s="3">
        <f t="shared" si="63"/>
        <v>296.5</v>
      </c>
      <c r="T130" s="3">
        <f t="shared" si="64"/>
        <v>116.5</v>
      </c>
      <c r="U130" s="3">
        <f t="shared" si="65"/>
        <v>14.5</v>
      </c>
      <c r="W130" s="4">
        <f t="shared" si="66"/>
        <v>14.328585077595996</v>
      </c>
      <c r="X130" s="4">
        <f t="shared" si="67"/>
        <v>3.7056240600057335</v>
      </c>
      <c r="Y130" s="3">
        <f t="shared" si="68"/>
        <v>116.5</v>
      </c>
      <c r="Z130" s="4">
        <f>IF('Raw Data'!O130="","",O129+N129)</f>
        <v>79.8</v>
      </c>
    </row>
    <row r="131" spans="1:27" x14ac:dyDescent="0.25">
      <c r="A131">
        <f>IF('Raw Data'!A131="","",'Raw Data'!A131)</f>
        <v>43</v>
      </c>
      <c r="B131">
        <f>IF('Raw Data'!B131="","",'Raw Data'!B131)</f>
        <v>44</v>
      </c>
      <c r="C131">
        <f>IF('Raw Data'!C131="","",'Raw Data'!C131)</f>
        <v>2</v>
      </c>
      <c r="D131">
        <f>IF('Raw Data'!D131="","",'Raw Data'!D131)</f>
        <v>2</v>
      </c>
      <c r="E131">
        <f>IF('Raw Data'!E131="","",'Raw Data'!E131)</f>
        <v>2</v>
      </c>
      <c r="F131">
        <f>IF('Raw Data'!F131="","",'Raw Data'!F131)</f>
        <v>7</v>
      </c>
      <c r="G131" s="7" t="str">
        <f>IF('Raw Data'!G131="/","-",IF('Raw Data'!G131="","-",SUBSTITUTE('Raw Data'!G131," ",":",1)))</f>
        <v>074:30</v>
      </c>
      <c r="H131" s="7" t="str">
        <f>IF('Raw Data'!H131="/","-",IF('Raw Data'!H131="","-",SUBSTITUTE('Raw Data'!H131," ",":",1)))</f>
        <v>-</v>
      </c>
      <c r="I131" s="7" t="str">
        <f>IF('Raw Data'!I131="/","-",IF('Raw Data'!I131="","-",SUBSTITUTE('Raw Data'!I131," ",":",1)))</f>
        <v>074:30</v>
      </c>
      <c r="J131" s="12">
        <f>IF('Raw Data'!J131="",IF(LEN(K131)&gt;6,SQRT('Raw Data'!M131^2+N131^2),""),'Raw Data'!J131)</f>
        <v>49.3</v>
      </c>
      <c r="K131" s="7" t="str">
        <f>IF('Raw Data'!K131="","",IF(LEN('Raw Data'!K131)&lt;7,SUBSTITUTE('Raw Data'!K131," ",":",1),'Raw Data'!K131))</f>
        <v>23:00</v>
      </c>
      <c r="L131" t="str">
        <f>IF('Raw Data'!L131="","",'Raw Data'!L131)</f>
        <v/>
      </c>
      <c r="M131">
        <f>IF('Raw Data'!M131="","",'Raw Data'!M131)</f>
        <v>45.4</v>
      </c>
      <c r="N131">
        <f>IF('Raw Data'!N131="","",IF('Raw Data'!N131="-",0,'Raw Data'!N131))</f>
        <v>19.2</v>
      </c>
      <c r="O131">
        <f>IF('Raw Data'!O131="",IF('Raw Data'!N131="","",0),'Raw Data'!O131)</f>
        <v>83.6</v>
      </c>
      <c r="P131" t="str">
        <f>IF('Raw Data'!P131="","",'Raw Data'!P131)</f>
        <v/>
      </c>
      <c r="R131" s="3">
        <f t="shared" si="62"/>
        <v>74.5</v>
      </c>
      <c r="S131" s="3" t="str">
        <f t="shared" si="63"/>
        <v>-</v>
      </c>
      <c r="T131" s="3">
        <f t="shared" si="64"/>
        <v>74.5</v>
      </c>
      <c r="U131" s="3">
        <f t="shared" si="65"/>
        <v>23</v>
      </c>
      <c r="W131" s="4">
        <f t="shared" si="66"/>
        <v>45.380889275205305</v>
      </c>
      <c r="X131" s="4">
        <f t="shared" si="67"/>
        <v>19.263044634521194</v>
      </c>
      <c r="Y131" s="3">
        <f t="shared" si="68"/>
        <v>74.5</v>
      </c>
      <c r="Z131" s="4">
        <f>IF('Raw Data'!O131="","",O130+N130)</f>
        <v>83.600000000000009</v>
      </c>
    </row>
    <row r="132" spans="1:27" x14ac:dyDescent="0.25">
      <c r="A132">
        <f>IF('Raw Data'!A132="","",'Raw Data'!A132)</f>
        <v>44</v>
      </c>
      <c r="B132">
        <f>IF('Raw Data'!B132="","",'Raw Data'!B132)</f>
        <v>45</v>
      </c>
      <c r="C132">
        <f>IF('Raw Data'!C132="","",'Raw Data'!C132)</f>
        <v>7</v>
      </c>
      <c r="D132">
        <f>IF('Raw Data'!D132="","",'Raw Data'!D132)</f>
        <v>3</v>
      </c>
      <c r="E132">
        <f>IF('Raw Data'!E132="","",'Raw Data'!E132)</f>
        <v>0</v>
      </c>
      <c r="F132">
        <f>IF('Raw Data'!F132="","",'Raw Data'!F132)</f>
        <v>4</v>
      </c>
      <c r="G132" s="7" t="str">
        <f>IF('Raw Data'!G132="/","-",IF('Raw Data'!G132="","-",SUBSTITUTE('Raw Data'!G132," ",":",1)))</f>
        <v>-</v>
      </c>
      <c r="H132" s="7" t="str">
        <f>IF('Raw Data'!H132="/","-",IF('Raw Data'!H132="","-",SUBSTITUTE('Raw Data'!H132," ",":",1)))</f>
        <v>337:00</v>
      </c>
      <c r="I132" s="7" t="str">
        <f>IF('Raw Data'!I132="/","-",IF('Raw Data'!I132="","-",SUBSTITUTE('Raw Data'!I132," ",":",1)))</f>
        <v>157:00</v>
      </c>
      <c r="J132" s="12">
        <f>IF('Raw Data'!J132="",IF(LEN(K132)&gt;6,SQRT('Raw Data'!M132^2+N132^2),""),'Raw Data'!J132)</f>
        <v>7.3</v>
      </c>
      <c r="K132" s="7" t="str">
        <f>IF('Raw Data'!K132="","",IF(LEN('Raw Data'!K132)&lt;7,SUBSTITUTE('Raw Data'!K132," ",":",1),'Raw Data'!K132))</f>
        <v>5:00</v>
      </c>
      <c r="L132" t="str">
        <f>IF('Raw Data'!L132="","",'Raw Data'!L132)</f>
        <v/>
      </c>
      <c r="M132">
        <f>IF('Raw Data'!M132="","",'Raw Data'!M132)</f>
        <v>7.3</v>
      </c>
      <c r="N132">
        <f>IF('Raw Data'!N132="","",IF('Raw Data'!N132="-",0,'Raw Data'!N132))</f>
        <v>0.8</v>
      </c>
      <c r="O132">
        <f>IF('Raw Data'!O132="",IF('Raw Data'!N132="","",0),'Raw Data'!O132)</f>
        <v>103</v>
      </c>
      <c r="P132" t="str">
        <f>IF('Raw Data'!P132="","",'Raw Data'!P132)</f>
        <v/>
      </c>
      <c r="R132" s="3" t="str">
        <f t="shared" ref="R132:R179" si="69">IF(ISERROR(FIND(":",G132)),IF(G132&lt;&gt;"-",1*G132,G132),1*LEFT(G132,FIND(":",G132)-1)+RIGHT(G132,LEN(G132)-FIND(":",G132))/60)</f>
        <v>-</v>
      </c>
      <c r="S132" s="3">
        <f t="shared" ref="S132:S179" si="70">IF(ISERROR(FIND(":",H132)),IF(H132&lt;&gt;"-",1*H132,H132),1*LEFT(H132,FIND(":",H132)-1)+RIGHT(H132,LEN(H132)-FIND(":",H132))/60)</f>
        <v>337</v>
      </c>
      <c r="T132" s="3">
        <f t="shared" ref="T132:T179" si="71">IF(ISERROR(FIND(":",I132)),IF(I132&lt;&gt;"-",1*I132,I132),1*LEFT(I132,FIND(":",I132)-1)+RIGHT(I132,LEN(I132)-FIND(":",I132))/60)</f>
        <v>157</v>
      </c>
      <c r="U132" s="3">
        <f t="shared" si="65"/>
        <v>5</v>
      </c>
      <c r="W132" s="4">
        <f t="shared" ref="W132:W179" si="72">J132*COS(U132*PI()/180)</f>
        <v>7.2722212960697421</v>
      </c>
      <c r="X132" s="4">
        <f t="shared" ref="X132:X179" si="73">J132*SIN(U132*PI()/180)</f>
        <v>0.63623692205790461</v>
      </c>
      <c r="Y132" s="3">
        <f t="shared" ref="Y132:Y179" si="74">IF(R132="-",IF(S132&gt;180,S132-180,S132+180),R132)</f>
        <v>157</v>
      </c>
      <c r="Z132" s="4">
        <f>IF('Raw Data'!O132="","",O131+N131)</f>
        <v>102.8</v>
      </c>
      <c r="AA132" t="s">
        <v>900</v>
      </c>
    </row>
    <row r="133" spans="1:27" x14ac:dyDescent="0.25">
      <c r="A133">
        <f>IF('Raw Data'!A133="","",'Raw Data'!A133)</f>
        <v>45</v>
      </c>
      <c r="B133">
        <f>IF('Raw Data'!B133="","",'Raw Data'!B133)</f>
        <v>46</v>
      </c>
      <c r="C133">
        <f>IF('Raw Data'!C133="","",'Raw Data'!C133)</f>
        <v>7</v>
      </c>
      <c r="D133">
        <f>IF('Raw Data'!D133="","",'Raw Data'!D133)</f>
        <v>4</v>
      </c>
      <c r="E133">
        <f>IF('Raw Data'!E133="","",'Raw Data'!E133)</f>
        <v>2</v>
      </c>
      <c r="F133">
        <f>IF('Raw Data'!F133="","",'Raw Data'!F133)</f>
        <v>0.5</v>
      </c>
      <c r="G133" s="7" t="str">
        <f>IF('Raw Data'!G133="/","-",IF('Raw Data'!G133="","-",SUBSTITUTE('Raw Data'!G133," ",":",1)))</f>
        <v>117:00</v>
      </c>
      <c r="H133" s="7" t="str">
        <f>IF('Raw Data'!H133="/","-",IF('Raw Data'!H133="","-",SUBSTITUTE('Raw Data'!H133," ",":",1)))</f>
        <v>-</v>
      </c>
      <c r="I133" s="7" t="str">
        <f>IF('Raw Data'!I133="/","-",IF('Raw Data'!I133="","-",SUBSTITUTE('Raw Data'!I133," ",":",1)))</f>
        <v>117:00</v>
      </c>
      <c r="J133" s="12">
        <f>IF('Raw Data'!J133="",IF(LEN(K133)&gt;6,SQRT('Raw Data'!M133^2+N133^2),""),'Raw Data'!J133)</f>
        <v>16.2</v>
      </c>
      <c r="K133" s="7" t="str">
        <f>IF('Raw Data'!K133="","",IF(LEN('Raw Data'!K133)&lt;7,SUBSTITUTE('Raw Data'!K133," ",":",1),'Raw Data'!K133))</f>
        <v>-31:00</v>
      </c>
      <c r="L133" t="str">
        <f>IF('Raw Data'!L133="","",'Raw Data'!L133)</f>
        <v/>
      </c>
      <c r="M133">
        <f>IF('Raw Data'!M133="","",'Raw Data'!M133)</f>
        <v>13.8</v>
      </c>
      <c r="N133">
        <f>IF('Raw Data'!N133="","",IF('Raw Data'!N133="-",0,'Raw Data'!N133))</f>
        <v>-8.3000000000000007</v>
      </c>
      <c r="O133">
        <f>IF('Raw Data'!O133="",IF('Raw Data'!N133="","",0),'Raw Data'!O133)</f>
        <v>103.8</v>
      </c>
      <c r="P133" t="str">
        <f>IF('Raw Data'!P133="","",'Raw Data'!P133)</f>
        <v/>
      </c>
      <c r="R133" s="3">
        <f t="shared" si="69"/>
        <v>117</v>
      </c>
      <c r="S133" s="3" t="str">
        <f t="shared" si="70"/>
        <v>-</v>
      </c>
      <c r="T133" s="3">
        <f t="shared" si="71"/>
        <v>117</v>
      </c>
      <c r="U133" s="3">
        <f t="shared" si="65"/>
        <v>-31</v>
      </c>
      <c r="W133" s="4">
        <f t="shared" si="72"/>
        <v>13.886110271374219</v>
      </c>
      <c r="X133" s="4">
        <f t="shared" si="73"/>
        <v>-8.3436168135428765</v>
      </c>
      <c r="Y133" s="3">
        <f t="shared" si="74"/>
        <v>117</v>
      </c>
      <c r="Z133" s="4">
        <f>IF('Raw Data'!O133="","",O132+N132)</f>
        <v>103.8</v>
      </c>
    </row>
    <row r="134" spans="1:27" x14ac:dyDescent="0.25">
      <c r="A134">
        <f>IF('Raw Data'!A134="","",'Raw Data'!A134)</f>
        <v>46</v>
      </c>
      <c r="B134">
        <f>IF('Raw Data'!B134="","",'Raw Data'!B134)</f>
        <v>47</v>
      </c>
      <c r="C134">
        <f>IF('Raw Data'!C134="","",'Raw Data'!C134)</f>
        <v>15</v>
      </c>
      <c r="D134" t="str">
        <f>IF('Raw Data'!D134="","",'Raw Data'!D134)</f>
        <v>/</v>
      </c>
      <c r="E134" t="str">
        <f>IF('Raw Data'!E134="","",'Raw Data'!E134)</f>
        <v>/</v>
      </c>
      <c r="F134" t="str">
        <f>IF('Raw Data'!F134="","",'Raw Data'!F134)</f>
        <v>/</v>
      </c>
      <c r="G134" s="7" t="str">
        <f>IF('Raw Data'!G134="/","-",IF('Raw Data'!G134="","-",SUBSTITUTE('Raw Data'!G134," ",":",1)))</f>
        <v>-</v>
      </c>
      <c r="H134" s="7" t="str">
        <f>IF('Raw Data'!H134="/","-",IF('Raw Data'!H134="","-",SUBSTITUTE('Raw Data'!H134," ",":",1)))</f>
        <v>-</v>
      </c>
      <c r="I134" s="7" t="str">
        <f>IF('Raw Data'!I134="/","-",IF('Raw Data'!I134="","-",SUBSTITUTE('Raw Data'!I134," ",":",1)))</f>
        <v>-</v>
      </c>
      <c r="J134" s="12">
        <f>IF('Raw Data'!J134="",IF(LEN(K134)&gt;6,SQRT('Raw Data'!M134^2+N134^2),""),'Raw Data'!J134)</f>
        <v>35</v>
      </c>
      <c r="K134" s="7" t="str">
        <f>IF('Raw Data'!K134="","",IF(LEN('Raw Data'!K134)&lt;7,SUBSTITUTE('Raw Data'!K134," ",":",1),'Raw Data'!K134))</f>
        <v>-90:00</v>
      </c>
      <c r="L134" t="str">
        <f>IF('Raw Data'!L134="","",'Raw Data'!L134)</f>
        <v/>
      </c>
      <c r="M134" t="str">
        <f>IF('Raw Data'!M134="","",'Raw Data'!M134)</f>
        <v>-</v>
      </c>
      <c r="N134">
        <f>IF('Raw Data'!N134="","",IF('Raw Data'!N134="-",0,'Raw Data'!N134))</f>
        <v>-35</v>
      </c>
      <c r="O134">
        <f>IF('Raw Data'!O134="",IF('Raw Data'!N134="","",0),'Raw Data'!O134)</f>
        <v>95.6</v>
      </c>
      <c r="P134" t="str">
        <f>IF('Raw Data'!P134="","",'Raw Data'!P134)</f>
        <v>46 marked by candle 4' beyond lip of Black Hole</v>
      </c>
      <c r="R134" s="3" t="str">
        <f t="shared" si="69"/>
        <v>-</v>
      </c>
      <c r="S134" s="3" t="str">
        <f t="shared" si="70"/>
        <v>-</v>
      </c>
      <c r="T134" s="3" t="str">
        <f t="shared" si="71"/>
        <v>-</v>
      </c>
      <c r="U134" s="3">
        <f t="shared" si="65"/>
        <v>-90</v>
      </c>
      <c r="W134" s="4">
        <f t="shared" si="72"/>
        <v>2.144009796090085E-15</v>
      </c>
      <c r="X134" s="4">
        <f t="shared" si="73"/>
        <v>-35</v>
      </c>
      <c r="Y134" s="3" t="e">
        <f t="shared" si="74"/>
        <v>#VALUE!</v>
      </c>
      <c r="Z134" s="4">
        <f>IF('Raw Data'!O134="","",O133+N133)</f>
        <v>95.5</v>
      </c>
    </row>
    <row r="135" spans="1:27" x14ac:dyDescent="0.25">
      <c r="A135">
        <f>IF('Raw Data'!A135="","",'Raw Data'!A135)</f>
        <v>47</v>
      </c>
      <c r="B135">
        <f>IF('Raw Data'!B135="","",'Raw Data'!B135)</f>
        <v>48</v>
      </c>
      <c r="C135" t="str">
        <f>IF('Raw Data'!C135="","",'Raw Data'!C135)</f>
        <v>Black hole</v>
      </c>
      <c r="D135">
        <f>IF('Raw Data'!D135="","",'Raw Data'!D135)</f>
        <v>2</v>
      </c>
      <c r="E135">
        <f>IF('Raw Data'!E135="","",'Raw Data'!E135)</f>
        <v>7</v>
      </c>
      <c r="F135">
        <f>IF('Raw Data'!F135="","",'Raw Data'!F135)</f>
        <v>5</v>
      </c>
      <c r="G135" s="7" t="str">
        <f>IF('Raw Data'!G135="/","-",IF('Raw Data'!G135="","-",SUBSTITUTE('Raw Data'!G135," ",":",1)))</f>
        <v>-</v>
      </c>
      <c r="H135" s="7" t="str">
        <f>IF('Raw Data'!H135="/","-",IF('Raw Data'!H135="","-",SUBSTITUTE('Raw Data'!H135," ",":",1)))</f>
        <v>308:00</v>
      </c>
      <c r="I135" s="7" t="str">
        <f>IF('Raw Data'!I135="/","-",IF('Raw Data'!I135="","-",SUBSTITUTE('Raw Data'!I135," ",":",1)))</f>
        <v>128:00</v>
      </c>
      <c r="J135" s="12">
        <f>IF('Raw Data'!J135="",IF(LEN(K135)&gt;6,SQRT('Raw Data'!M135^2+N135^2),""),'Raw Data'!J135)</f>
        <v>23.6</v>
      </c>
      <c r="K135" s="7" t="str">
        <f>IF('Raw Data'!K135="","",IF(LEN('Raw Data'!K135)&lt;7,SUBSTITUTE('Raw Data'!K135," ",":",1),'Raw Data'!K135))</f>
        <v>8:00</v>
      </c>
      <c r="L135" t="str">
        <f>IF('Raw Data'!L135="","",'Raw Data'!L135)</f>
        <v/>
      </c>
      <c r="M135">
        <f>IF('Raw Data'!M135="","",'Raw Data'!M135)</f>
        <v>23.4</v>
      </c>
      <c r="N135">
        <f>IF('Raw Data'!N135="","",IF('Raw Data'!N135="-",0,'Raw Data'!N135))</f>
        <v>3.3</v>
      </c>
      <c r="O135">
        <f>IF('Raw Data'!O135="",IF('Raw Data'!N135="","",0),'Raw Data'!O135)</f>
        <v>60.6</v>
      </c>
      <c r="P135" t="str">
        <f>IF('Raw Data'!P135="","",'Raw Data'!P135)</f>
        <v/>
      </c>
      <c r="R135" s="3" t="str">
        <f t="shared" si="69"/>
        <v>-</v>
      </c>
      <c r="S135" s="3">
        <f t="shared" si="70"/>
        <v>308</v>
      </c>
      <c r="T135" s="3">
        <f t="shared" si="71"/>
        <v>128</v>
      </c>
      <c r="U135" s="3">
        <f t="shared" si="65"/>
        <v>8</v>
      </c>
      <c r="W135" s="4">
        <f t="shared" si="72"/>
        <v>23.370326422301062</v>
      </c>
      <c r="X135" s="4">
        <f t="shared" si="73"/>
        <v>3.2844851826575447</v>
      </c>
      <c r="Y135" s="3">
        <f t="shared" si="74"/>
        <v>128</v>
      </c>
      <c r="Z135" s="4">
        <f>IF('Raw Data'!O135="","",O134+N134)</f>
        <v>60.599999999999994</v>
      </c>
    </row>
    <row r="136" spans="1:27" x14ac:dyDescent="0.25">
      <c r="A136">
        <f>IF('Raw Data'!A136="","",'Raw Data'!A136)</f>
        <v>48</v>
      </c>
      <c r="B136">
        <f>IF('Raw Data'!B136="","",'Raw Data'!B136)</f>
        <v>49</v>
      </c>
      <c r="C136">
        <f>IF('Raw Data'!C136="","",'Raw Data'!C136)</f>
        <v>20</v>
      </c>
      <c r="D136">
        <f>IF('Raw Data'!D136="","",'Raw Data'!D136)</f>
        <v>3</v>
      </c>
      <c r="E136">
        <f>IF('Raw Data'!E136="","",'Raw Data'!E136)</f>
        <v>4</v>
      </c>
      <c r="F136">
        <f>IF('Raw Data'!F136="","",'Raw Data'!F136)</f>
        <v>3</v>
      </c>
      <c r="G136" s="7" t="str">
        <f>IF('Raw Data'!G136="/","-",IF('Raw Data'!G136="","-",SUBSTITUTE('Raw Data'!G136," ",":",1)))</f>
        <v>163:30</v>
      </c>
      <c r="H136" s="7" t="str">
        <f>IF('Raw Data'!H136="/","-",IF('Raw Data'!H136="","-",SUBSTITUTE('Raw Data'!H136," ",":",1)))</f>
        <v>-</v>
      </c>
      <c r="I136" s="7" t="str">
        <f>IF('Raw Data'!I136="/","-",IF('Raw Data'!I136="","-",SUBSTITUTE('Raw Data'!I136," ",":",1)))</f>
        <v>163:30</v>
      </c>
      <c r="J136" s="12">
        <f>IF('Raw Data'!J136="",IF(LEN(K136)&gt;6,SQRT('Raw Data'!M136^2+N136^2),""),'Raw Data'!J136)</f>
        <v>27.5</v>
      </c>
      <c r="K136" s="7" t="str">
        <f>IF('Raw Data'!K136="","",IF(LEN('Raw Data'!K136)&lt;7,SUBSTITUTE('Raw Data'!K136," ",":",1),'Raw Data'!K136))</f>
        <v>-34:30</v>
      </c>
      <c r="L136" t="str">
        <f>IF('Raw Data'!L136="","",'Raw Data'!L136)</f>
        <v/>
      </c>
      <c r="M136">
        <f>IF('Raw Data'!M136="","",'Raw Data'!M136)</f>
        <v>22.6</v>
      </c>
      <c r="N136">
        <f>IF('Raw Data'!N136="","",IF('Raw Data'!N136="-",0,'Raw Data'!N136))</f>
        <v>-15.6</v>
      </c>
      <c r="O136">
        <f>IF('Raw Data'!O136="",IF('Raw Data'!N136="","",0),'Raw Data'!O136)</f>
        <v>64</v>
      </c>
      <c r="P136" t="str">
        <f>IF('Raw Data'!P136="","",'Raw Data'!P136)</f>
        <v/>
      </c>
      <c r="R136" s="3">
        <f t="shared" si="69"/>
        <v>163.5</v>
      </c>
      <c r="S136" s="3" t="str">
        <f t="shared" si="70"/>
        <v>-</v>
      </c>
      <c r="T136" s="3">
        <f t="shared" si="71"/>
        <v>163.5</v>
      </c>
      <c r="U136" s="3">
        <f t="shared" si="65"/>
        <v>-34.5</v>
      </c>
      <c r="W136" s="4">
        <f t="shared" si="72"/>
        <v>22.663470187105432</v>
      </c>
      <c r="X136" s="4">
        <f t="shared" si="73"/>
        <v>-15.576171515432902</v>
      </c>
      <c r="Y136" s="3">
        <f t="shared" si="74"/>
        <v>163.5</v>
      </c>
      <c r="Z136" s="4">
        <f>IF('Raw Data'!O136="","",O135+N135)</f>
        <v>63.9</v>
      </c>
    </row>
    <row r="137" spans="1:27" x14ac:dyDescent="0.25">
      <c r="A137">
        <f>IF('Raw Data'!A137="","",'Raw Data'!A137)</f>
        <v>49</v>
      </c>
      <c r="B137">
        <f>IF('Raw Data'!B137="","",'Raw Data'!B137)</f>
        <v>50</v>
      </c>
      <c r="C137">
        <f>IF('Raw Data'!C137="","",'Raw Data'!C137)</f>
        <v>15</v>
      </c>
      <c r="D137">
        <f>IF('Raw Data'!D137="","",'Raw Data'!D137)</f>
        <v>0.5</v>
      </c>
      <c r="E137">
        <f>IF('Raw Data'!E137="","",'Raw Data'!E137)</f>
        <v>0.5</v>
      </c>
      <c r="F137">
        <f>IF('Raw Data'!F137="","",'Raw Data'!F137)</f>
        <v>3</v>
      </c>
      <c r="G137" s="7" t="str">
        <f>IF('Raw Data'!G137="/","-",IF('Raw Data'!G137="","-",SUBSTITUTE('Raw Data'!G137," ",":",1)))</f>
        <v>-</v>
      </c>
      <c r="H137" s="7" t="str">
        <f>IF('Raw Data'!H137="/","-",IF('Raw Data'!H137="","-",SUBSTITUTE('Raw Data'!H137," ",":",1)))</f>
        <v>020:00</v>
      </c>
      <c r="I137" s="7" t="str">
        <f>IF('Raw Data'!I137="/","-",IF('Raw Data'!I137="","-",SUBSTITUTE('Raw Data'!I137," ",":",1)))</f>
        <v>200:00</v>
      </c>
      <c r="J137" s="12">
        <f>IF('Raw Data'!J137="",IF(LEN(K137)&gt;6,SQRT('Raw Data'!M137^2+N137^2),""),'Raw Data'!J137)</f>
        <v>23.5</v>
      </c>
      <c r="K137" s="7" t="str">
        <f>IF('Raw Data'!K137="","",IF(LEN('Raw Data'!K137)&lt;7,SUBSTITUTE('Raw Data'!K137," ",":",1),'Raw Data'!K137))</f>
        <v>-5:00</v>
      </c>
      <c r="L137" t="str">
        <f>IF('Raw Data'!L137="","",'Raw Data'!L137)</f>
        <v/>
      </c>
      <c r="M137">
        <f>IF('Raw Data'!M137="","",'Raw Data'!M137)</f>
        <v>23.4</v>
      </c>
      <c r="N137">
        <f>IF('Raw Data'!N137="","",IF('Raw Data'!N137="-",0,'Raw Data'!N137))</f>
        <v>-2.7</v>
      </c>
      <c r="O137">
        <f>IF('Raw Data'!O137="",IF('Raw Data'!N137="","",0),'Raw Data'!O137)</f>
        <v>48.5</v>
      </c>
      <c r="P137" t="str">
        <f>IF('Raw Data'!P137="","",'Raw Data'!P137)</f>
        <v/>
      </c>
      <c r="R137" s="3" t="str">
        <f t="shared" si="69"/>
        <v>-</v>
      </c>
      <c r="S137" s="3">
        <f t="shared" si="70"/>
        <v>20</v>
      </c>
      <c r="T137" s="3">
        <f t="shared" si="71"/>
        <v>200</v>
      </c>
      <c r="U137" s="3">
        <f t="shared" si="65"/>
        <v>-5</v>
      </c>
      <c r="W137" s="4">
        <f t="shared" si="72"/>
        <v>23.41057540515602</v>
      </c>
      <c r="X137" s="4">
        <f t="shared" si="73"/>
        <v>-2.0481599545699667</v>
      </c>
      <c r="Y137" s="3">
        <f t="shared" si="74"/>
        <v>200</v>
      </c>
      <c r="Z137" s="4">
        <f>IF('Raw Data'!O137="","",O136+N136)</f>
        <v>48.4</v>
      </c>
      <c r="AA137" t="s">
        <v>900</v>
      </c>
    </row>
    <row r="138" spans="1:27" x14ac:dyDescent="0.25">
      <c r="A138">
        <f>IF('Raw Data'!A138="","",'Raw Data'!A138)</f>
        <v>50</v>
      </c>
      <c r="B138">
        <f>IF('Raw Data'!B138="","",'Raw Data'!B138)</f>
        <v>51</v>
      </c>
      <c r="C138">
        <f>IF('Raw Data'!C138="","",'Raw Data'!C138)</f>
        <v>10</v>
      </c>
      <c r="D138">
        <f>IF('Raw Data'!D138="","",'Raw Data'!D138)</f>
        <v>2</v>
      </c>
      <c r="E138">
        <f>IF('Raw Data'!E138="","",'Raw Data'!E138)</f>
        <v>2</v>
      </c>
      <c r="F138">
        <f>IF('Raw Data'!F138="","",'Raw Data'!F138)</f>
        <v>3</v>
      </c>
      <c r="G138" s="7" t="str">
        <f>IF('Raw Data'!G138="/","-",IF('Raw Data'!G138="","-",SUBSTITUTE('Raw Data'!G138," ",":",1)))</f>
        <v>186:00</v>
      </c>
      <c r="H138" s="7" t="str">
        <f>IF('Raw Data'!H138="/","-",IF('Raw Data'!H138="","-",SUBSTITUTE('Raw Data'!H138," ",":",1)))</f>
        <v>-</v>
      </c>
      <c r="I138" s="7" t="str">
        <f>IF('Raw Data'!I138="/","-",IF('Raw Data'!I138="","-",SUBSTITUTE('Raw Data'!I138," ",":",1)))</f>
        <v>186:00</v>
      </c>
      <c r="J138" s="12">
        <f>IF('Raw Data'!J138="",IF(LEN(K138)&gt;6,SQRT('Raw Data'!M138^2+N138^2),""),'Raw Data'!J138)</f>
        <v>16.899999999999999</v>
      </c>
      <c r="K138" s="7" t="str">
        <f>IF('Raw Data'!K138="","",IF(LEN('Raw Data'!K138)&lt;7,SUBSTITUTE('Raw Data'!K138," ",":",1),'Raw Data'!K138))</f>
        <v>-17:30</v>
      </c>
      <c r="L138" t="str">
        <f>IF('Raw Data'!L138="","",'Raw Data'!L138)</f>
        <v/>
      </c>
      <c r="M138">
        <f>IF('Raw Data'!M138="","",'Raw Data'!M138)</f>
        <v>16.100000000000001</v>
      </c>
      <c r="N138">
        <f>IF('Raw Data'!N138="","",IF('Raw Data'!N138="-",0,'Raw Data'!N138))</f>
        <v>-5.0999999999999996</v>
      </c>
      <c r="O138">
        <f>IF('Raw Data'!O138="",IF('Raw Data'!N138="","",0),'Raw Data'!O138)</f>
        <v>45.9</v>
      </c>
      <c r="P138" t="str">
        <f>IF('Raw Data'!P138="","",'Raw Data'!P138)</f>
        <v>"Dry" passage starts 3' back.</v>
      </c>
      <c r="R138" s="3">
        <f t="shared" si="69"/>
        <v>186</v>
      </c>
      <c r="S138" s="3" t="str">
        <f t="shared" si="70"/>
        <v>-</v>
      </c>
      <c r="T138" s="3">
        <f t="shared" si="71"/>
        <v>186</v>
      </c>
      <c r="U138" s="3">
        <f t="shared" si="65"/>
        <v>-17.5</v>
      </c>
      <c r="W138" s="4">
        <f t="shared" si="72"/>
        <v>16.117816467645035</v>
      </c>
      <c r="X138" s="4">
        <f t="shared" si="73"/>
        <v>-5.0819280116222156</v>
      </c>
      <c r="Y138" s="3">
        <f t="shared" si="74"/>
        <v>186</v>
      </c>
      <c r="Z138" s="4">
        <f>IF('Raw Data'!O138="","",O137+N137)</f>
        <v>45.8</v>
      </c>
    </row>
    <row r="139" spans="1:27" x14ac:dyDescent="0.25">
      <c r="A139">
        <f>IF('Raw Data'!A139="","",'Raw Data'!A139)</f>
        <v>51</v>
      </c>
      <c r="B139">
        <f>IF('Raw Data'!B139="","",'Raw Data'!B139)</f>
        <v>52</v>
      </c>
      <c r="C139">
        <f>IF('Raw Data'!C139="","",'Raw Data'!C139)</f>
        <v>3</v>
      </c>
      <c r="D139">
        <f>IF('Raw Data'!D139="","",'Raw Data'!D139)</f>
        <v>4</v>
      </c>
      <c r="E139">
        <f>IF('Raw Data'!E139="","",'Raw Data'!E139)</f>
        <v>0</v>
      </c>
      <c r="F139">
        <f>IF('Raw Data'!F139="","",'Raw Data'!F139)</f>
        <v>4</v>
      </c>
      <c r="G139" s="7" t="str">
        <f>IF('Raw Data'!G139="/","-",IF('Raw Data'!G139="","-",SUBSTITUTE('Raw Data'!G139," ",":",1)))</f>
        <v>-</v>
      </c>
      <c r="H139" s="7" t="str">
        <f>IF('Raw Data'!H139="/","-",IF('Raw Data'!H139="","-",SUBSTITUTE('Raw Data'!H139," ",":",1)))</f>
        <v>102:30</v>
      </c>
      <c r="I139" s="7" t="str">
        <f>IF('Raw Data'!I139="/","-",IF('Raw Data'!I139="","-",SUBSTITUTE('Raw Data'!I139," ",":",1)))</f>
        <v>282:30</v>
      </c>
      <c r="J139" s="12">
        <f>IF('Raw Data'!J139="",IF(LEN(K139)&gt;6,SQRT('Raw Data'!M139^2+N139^2),""),'Raw Data'!J139)</f>
        <v>49.5</v>
      </c>
      <c r="K139" s="7" t="str">
        <f>IF('Raw Data'!K139="","",IF(LEN('Raw Data'!K139)&lt;7,SUBSTITUTE('Raw Data'!K139," ",":",1),'Raw Data'!K139))</f>
        <v>-20:30</v>
      </c>
      <c r="L139" t="str">
        <f>IF('Raw Data'!L139="","",'Raw Data'!L139)</f>
        <v/>
      </c>
      <c r="M139">
        <f>IF('Raw Data'!M139="","",'Raw Data'!M139)</f>
        <v>46.4</v>
      </c>
      <c r="N139">
        <f>IF('Raw Data'!N139="","",IF('Raw Data'!N139="-",0,'Raw Data'!N139))</f>
        <v>-17.3</v>
      </c>
      <c r="O139">
        <f>IF('Raw Data'!O139="",IF('Raw Data'!N139="","",0),'Raw Data'!O139)</f>
        <v>40.9</v>
      </c>
      <c r="P139" t="str">
        <f>IF('Raw Data'!P139="","",'Raw Data'!P139)</f>
        <v/>
      </c>
      <c r="R139" s="3" t="str">
        <f t="shared" si="69"/>
        <v>-</v>
      </c>
      <c r="S139" s="3">
        <f t="shared" si="70"/>
        <v>102.5</v>
      </c>
      <c r="T139" s="3">
        <f t="shared" si="71"/>
        <v>282.5</v>
      </c>
      <c r="U139" s="3">
        <f t="shared" si="65"/>
        <v>-20.5</v>
      </c>
      <c r="W139" s="4">
        <f t="shared" si="72"/>
        <v>46.365273367795687</v>
      </c>
      <c r="X139" s="4">
        <f t="shared" si="73"/>
        <v>-17.335265372343635</v>
      </c>
      <c r="Y139" s="3">
        <f t="shared" si="74"/>
        <v>282.5</v>
      </c>
      <c r="Z139" s="4">
        <f>IF('Raw Data'!O139="","",O138+N138)</f>
        <v>40.799999999999997</v>
      </c>
    </row>
    <row r="140" spans="1:27" x14ac:dyDescent="0.25">
      <c r="A140">
        <f>IF('Raw Data'!A140="","",'Raw Data'!A140)</f>
        <v>52</v>
      </c>
      <c r="B140">
        <f>IF('Raw Data'!B140="","",'Raw Data'!B140)</f>
        <v>53</v>
      </c>
      <c r="C140">
        <f>IF('Raw Data'!C140="","",'Raw Data'!C140)</f>
        <v>3</v>
      </c>
      <c r="D140">
        <f>IF('Raw Data'!D140="","",'Raw Data'!D140)</f>
        <v>2</v>
      </c>
      <c r="E140">
        <f>IF('Raw Data'!E140="","",'Raw Data'!E140)</f>
        <v>5</v>
      </c>
      <c r="F140">
        <f>IF('Raw Data'!F140="","",'Raw Data'!F140)</f>
        <v>3</v>
      </c>
      <c r="G140" s="7" t="str">
        <f>IF('Raw Data'!G140="/","-",IF('Raw Data'!G140="","-",SUBSTITUTE('Raw Data'!G140," ",":",1)))</f>
        <v>264:00</v>
      </c>
      <c r="H140" s="7" t="str">
        <f>IF('Raw Data'!H140="/","-",IF('Raw Data'!H140="","-",SUBSTITUTE('Raw Data'!H140," ",":",1)))</f>
        <v>-</v>
      </c>
      <c r="I140" s="7" t="str">
        <f>IF('Raw Data'!I140="/","-",IF('Raw Data'!I140="","-",SUBSTITUTE('Raw Data'!I140," ",":",1)))</f>
        <v>264:00</v>
      </c>
      <c r="J140" s="12">
        <f>IF('Raw Data'!J140="",IF(LEN(K140)&gt;6,SQRT('Raw Data'!M140^2+N140^2),""),'Raw Data'!J140)</f>
        <v>51.2</v>
      </c>
      <c r="K140" s="7" t="str">
        <f>IF('Raw Data'!K140="","",IF(LEN('Raw Data'!K140)&lt;7,SUBSTITUTE('Raw Data'!K140," ",":",1),'Raw Data'!K140))</f>
        <v>-12:30</v>
      </c>
      <c r="L140" t="str">
        <f>IF('Raw Data'!L140="","",'Raw Data'!L140)</f>
        <v/>
      </c>
      <c r="M140">
        <f>IF('Raw Data'!M140="","",'Raw Data'!M140)</f>
        <v>50</v>
      </c>
      <c r="N140">
        <f>IF('Raw Data'!N140="","",IF('Raw Data'!N140="-",0,'Raw Data'!N140))</f>
        <v>-11.1</v>
      </c>
      <c r="O140">
        <f>IF('Raw Data'!O140="",IF('Raw Data'!N140="","",0),'Raw Data'!O140)</f>
        <v>23.9</v>
      </c>
      <c r="P140" t="str">
        <f>IF('Raw Data'!P140="","",'Raw Data'!P140)</f>
        <v/>
      </c>
      <c r="R140" s="3">
        <f t="shared" si="69"/>
        <v>264</v>
      </c>
      <c r="S140" s="3" t="str">
        <f t="shared" si="70"/>
        <v>-</v>
      </c>
      <c r="T140" s="3">
        <f t="shared" si="71"/>
        <v>264</v>
      </c>
      <c r="U140" s="3">
        <f t="shared" si="65"/>
        <v>-12.5</v>
      </c>
      <c r="W140" s="4">
        <f t="shared" si="72"/>
        <v>49.986355564540588</v>
      </c>
      <c r="X140" s="4">
        <f t="shared" si="73"/>
        <v>-11.081708233630868</v>
      </c>
      <c r="Y140" s="3">
        <f t="shared" si="74"/>
        <v>264</v>
      </c>
      <c r="Z140" s="4">
        <f>IF('Raw Data'!O140="","",O139+N139)</f>
        <v>23.599999999999998</v>
      </c>
      <c r="AA140" t="s">
        <v>900</v>
      </c>
    </row>
    <row r="141" spans="1:27" x14ac:dyDescent="0.25">
      <c r="A141">
        <f>IF('Raw Data'!A141="","",'Raw Data'!A141)</f>
        <v>53</v>
      </c>
      <c r="B141">
        <f>IF('Raw Data'!B141="","",'Raw Data'!B141)</f>
        <v>54</v>
      </c>
      <c r="C141">
        <f>IF('Raw Data'!C141="","",'Raw Data'!C141)</f>
        <v>1</v>
      </c>
      <c r="D141">
        <f>IF('Raw Data'!D141="","",'Raw Data'!D141)</f>
        <v>1</v>
      </c>
      <c r="E141" t="str">
        <f>IF('Raw Data'!E141="","",'Raw Data'!E141)</f>
        <v>/</v>
      </c>
      <c r="F141">
        <f>IF('Raw Data'!F141="","",'Raw Data'!F141)</f>
        <v>2</v>
      </c>
      <c r="G141" s="7" t="str">
        <f>IF('Raw Data'!G141="/","-",IF('Raw Data'!G141="","-",SUBSTITUTE('Raw Data'!G141," ",":",1)))</f>
        <v>175:00</v>
      </c>
      <c r="H141" s="7" t="str">
        <f>IF('Raw Data'!H141="/","-",IF('Raw Data'!H141="","-",SUBSTITUTE('Raw Data'!H141," ",":",1)))</f>
        <v>-</v>
      </c>
      <c r="I141" s="7" t="str">
        <f>IF('Raw Data'!I141="/","-",IF('Raw Data'!I141="","-",SUBSTITUTE('Raw Data'!I141," ",":",1)))</f>
        <v>175:00</v>
      </c>
      <c r="J141" s="16">
        <f>IF(LEN(K141)&gt;6,SQRT('Raw Data'!M141^2+N141^2),'Raw Data'!J141)</f>
        <v>13.752817893071951</v>
      </c>
      <c r="K141" s="7" t="str">
        <f>IF('Raw Data'!K141="","",IF(LEN('Raw Data'!K141)&lt;7,SUBSTITUTE('Raw Data'!K141," ",":",1),'Raw Data'!K141))</f>
        <v>fall 3.5 feet</v>
      </c>
      <c r="L141" t="str">
        <f>IF('Raw Data'!L141="","",'Raw Data'!L141)</f>
        <v/>
      </c>
      <c r="M141">
        <f>IF('Raw Data'!M141="","",'Raw Data'!M141)</f>
        <v>13.3</v>
      </c>
      <c r="N141">
        <f>IF('Raw Data'!N141="","",IF('Raw Data'!N141="-",0,'Raw Data'!N141))</f>
        <v>-3.5</v>
      </c>
      <c r="O141">
        <f>IF('Raw Data'!O141="",IF('Raw Data'!N141="","",0),'Raw Data'!O141)</f>
        <v>13.2</v>
      </c>
      <c r="P141" t="str">
        <f>IF('Raw Data'!P141="","",'Raw Data'!P141)</f>
        <v>Dry passage enters 2' on North. 53 is marked by a candle 1' below (.) on roof. 54 is H2O level in sump.</v>
      </c>
      <c r="R141" s="3">
        <f t="shared" si="69"/>
        <v>175</v>
      </c>
      <c r="S141" s="3" t="str">
        <f t="shared" si="70"/>
        <v>-</v>
      </c>
      <c r="T141" s="3">
        <f t="shared" si="71"/>
        <v>175</v>
      </c>
      <c r="U141" s="9">
        <f>ASIN(N141/J141)*180/PI()</f>
        <v>-14.743562836470735</v>
      </c>
      <c r="W141" s="4">
        <f t="shared" si="72"/>
        <v>13.3</v>
      </c>
      <c r="X141" s="4">
        <f t="shared" si="73"/>
        <v>-3.4999999999999996</v>
      </c>
      <c r="Y141" s="3">
        <f t="shared" si="74"/>
        <v>175</v>
      </c>
      <c r="Z141" s="4">
        <f>IF('Raw Data'!O141="","",O140+N140)</f>
        <v>12.799999999999999</v>
      </c>
      <c r="AA141" t="s">
        <v>900</v>
      </c>
    </row>
    <row r="142" spans="1:27" x14ac:dyDescent="0.25">
      <c r="A142">
        <f>IF('Raw Data'!A142="","",'Raw Data'!A142)</f>
        <v>54</v>
      </c>
      <c r="B142" t="str">
        <f>IF('Raw Data'!B142="","",'Raw Data'!B142)</f>
        <v/>
      </c>
      <c r="C142" t="str">
        <f>IF('Raw Data'!C142="","",'Raw Data'!C142)</f>
        <v/>
      </c>
      <c r="D142" t="str">
        <f>IF('Raw Data'!D142="","",'Raw Data'!D142)</f>
        <v/>
      </c>
      <c r="E142" t="str">
        <f>IF('Raw Data'!E142="","",'Raw Data'!E142)</f>
        <v/>
      </c>
      <c r="F142" t="str">
        <f>IF('Raw Data'!F142="","",'Raw Data'!F142)</f>
        <v/>
      </c>
      <c r="G142" s="7" t="str">
        <f>IF('Raw Data'!G142="/","-",IF('Raw Data'!G142="","-",SUBSTITUTE('Raw Data'!G142," ",":",1)))</f>
        <v>-</v>
      </c>
      <c r="H142" s="7" t="str">
        <f>IF('Raw Data'!H142="/","-",IF('Raw Data'!H142="","-",SUBSTITUTE('Raw Data'!H142," ",":",1)))</f>
        <v>-</v>
      </c>
      <c r="I142" s="7" t="str">
        <f>IF('Raw Data'!I142="/","-",IF('Raw Data'!I142="","-",SUBSTITUTE('Raw Data'!I142," ",":",1)))</f>
        <v>-</v>
      </c>
      <c r="J142" s="12" t="str">
        <f>IF('Raw Data'!J142="",IF(LEN(K142)&gt;6,SQRT('Raw Data'!M142^2+N142^2),""),'Raw Data'!J142)</f>
        <v/>
      </c>
      <c r="K142" s="7" t="str">
        <f>IF('Raw Data'!K142="","",IF(LEN('Raw Data'!K142)&lt;7,SUBSTITUTE('Raw Data'!K142," ",":",1),'Raw Data'!K142))</f>
        <v/>
      </c>
      <c r="L142" t="str">
        <f>IF('Raw Data'!L142="","",'Raw Data'!L142)</f>
        <v/>
      </c>
      <c r="M142" t="str">
        <f>IF('Raw Data'!M142="","",'Raw Data'!M142)</f>
        <v/>
      </c>
      <c r="N142" t="str">
        <f>IF('Raw Data'!N142="","",IF('Raw Data'!N142="-",0,'Raw Data'!N142))</f>
        <v/>
      </c>
      <c r="O142">
        <f>IF('Raw Data'!O142="",IF('Raw Data'!N142="","",0),'Raw Data'!O142)</f>
        <v>10</v>
      </c>
      <c r="P142" t="str">
        <f>IF('Raw Data'!P142="","",'Raw Data'!P142)</f>
        <v>Closed on levels to 1.9 feet.  Not bad! Total 2,208 (? faint)</v>
      </c>
      <c r="W142" s="4"/>
      <c r="X142" s="4"/>
      <c r="Y142" s="3"/>
      <c r="Z142" s="4">
        <f>IF('Raw Data'!O142="","",O141+N141)</f>
        <v>9.6999999999999993</v>
      </c>
      <c r="AA142" t="s">
        <v>900</v>
      </c>
    </row>
    <row r="143" spans="1:27" x14ac:dyDescent="0.25">
      <c r="A143" t="str">
        <f>IF('Raw Data'!A143="","",'Raw Data'!A143)</f>
        <v/>
      </c>
      <c r="B143" t="str">
        <f>IF('Raw Data'!B143="","",'Raw Data'!B143)</f>
        <v/>
      </c>
      <c r="C143" t="str">
        <f>IF('Raw Data'!C143="","",'Raw Data'!C143)</f>
        <v/>
      </c>
      <c r="D143" t="str">
        <f>IF('Raw Data'!D143="","",'Raw Data'!D143)</f>
        <v/>
      </c>
      <c r="E143" t="str">
        <f>IF('Raw Data'!E143="","",'Raw Data'!E143)</f>
        <v/>
      </c>
      <c r="F143" t="str">
        <f>IF('Raw Data'!F143="","",'Raw Data'!F143)</f>
        <v/>
      </c>
      <c r="G143" s="7" t="str">
        <f>IF('Raw Data'!G143="/","-",IF('Raw Data'!G143="","-",SUBSTITUTE('Raw Data'!G143," ",":",1)))</f>
        <v>-</v>
      </c>
      <c r="H143" s="7" t="str">
        <f>IF('Raw Data'!H143="/","-",IF('Raw Data'!H143="","-",SUBSTITUTE('Raw Data'!H143," ",":",1)))</f>
        <v>-</v>
      </c>
      <c r="I143" s="7" t="str">
        <f>IF('Raw Data'!I143="/","-",IF('Raw Data'!I143="","-",SUBSTITUTE('Raw Data'!I143," ",":",1)))</f>
        <v>-</v>
      </c>
      <c r="J143" s="12" t="str">
        <f>IF('Raw Data'!J143="",IF(LEN(K143)&gt;6,SQRT('Raw Data'!M143^2+N143^2),""),'Raw Data'!J143)</f>
        <v/>
      </c>
      <c r="K143" s="7" t="str">
        <f>IF('Raw Data'!K143="","",IF(LEN('Raw Data'!K143)&lt;7,SUBSTITUTE('Raw Data'!K143," ",":",1),'Raw Data'!K143))</f>
        <v/>
      </c>
      <c r="L143" t="str">
        <f>IF('Raw Data'!L143="","",'Raw Data'!L143)</f>
        <v/>
      </c>
      <c r="M143" t="str">
        <f>IF('Raw Data'!M143="","",'Raw Data'!M143)</f>
        <v/>
      </c>
      <c r="N143" t="str">
        <f>IF('Raw Data'!N143="","",IF('Raw Data'!N143="-",0,'Raw Data'!N143))</f>
        <v/>
      </c>
      <c r="O143" t="str">
        <f>IF('Raw Data'!O143="",IF('Raw Data'!N143="","",0),'Raw Data'!O143)</f>
        <v/>
      </c>
      <c r="P143" t="str">
        <f>IF('Raw Data'!P143="","",'Raw Data'!P143)</f>
        <v/>
      </c>
      <c r="W143" s="4"/>
      <c r="X143" s="4"/>
      <c r="Y143" s="3"/>
      <c r="Z143" s="4" t="str">
        <f>IF('Raw Data'!O143="","",O142+N142)</f>
        <v/>
      </c>
    </row>
    <row r="144" spans="1:27" x14ac:dyDescent="0.25">
      <c r="A144" t="str">
        <f>IF('Raw Data'!A144="","",'Raw Data'!A144)</f>
        <v>Nov. 23rd '52</v>
      </c>
      <c r="B144" t="str">
        <f>IF('Raw Data'!B144="","",'Raw Data'!B144)</f>
        <v>Jack Broadley</v>
      </c>
      <c r="C144" t="str">
        <f>IF('Raw Data'!C144="","",'Raw Data'!C144)</f>
        <v>Short Dry Way - Entrance</v>
      </c>
      <c r="D144" t="str">
        <f>IF('Raw Data'!D144="","",'Raw Data'!D144)</f>
        <v/>
      </c>
      <c r="E144" t="str">
        <f>IF('Raw Data'!E144="","",'Raw Data'!E144)</f>
        <v/>
      </c>
      <c r="F144" t="str">
        <f>IF('Raw Data'!F144="","",'Raw Data'!F144)</f>
        <v/>
      </c>
      <c r="G144" s="7" t="str">
        <f>IF('Raw Data'!G144="/","-",IF('Raw Data'!G144="","-",SUBSTITUTE('Raw Data'!G144," ",":",1)))</f>
        <v>-</v>
      </c>
      <c r="H144" s="7" t="str">
        <f>IF('Raw Data'!H144="/","-",IF('Raw Data'!H144="","-",SUBSTITUTE('Raw Data'!H144," ",":",1)))</f>
        <v>-</v>
      </c>
      <c r="I144" s="7" t="str">
        <f>IF('Raw Data'!I144="/","-",IF('Raw Data'!I144="","-",SUBSTITUTE('Raw Data'!I144," ",":",1)))</f>
        <v>-</v>
      </c>
      <c r="J144" s="12" t="str">
        <f>IF('Raw Data'!J144="",IF(LEN(K144)&gt;6,SQRT('Raw Data'!M144^2+N144^2),""),'Raw Data'!J144)</f>
        <v/>
      </c>
      <c r="K144" s="7" t="str">
        <f>IF('Raw Data'!K144="","",IF(LEN('Raw Data'!K144)&lt;7,SUBSTITUTE('Raw Data'!K144," ",":",1),'Raw Data'!K144))</f>
        <v/>
      </c>
      <c r="L144" t="str">
        <f>IF('Raw Data'!L144="","",'Raw Data'!L144)</f>
        <v/>
      </c>
      <c r="M144" t="str">
        <f>IF('Raw Data'!M144="","",'Raw Data'!M144)</f>
        <v/>
      </c>
      <c r="N144" t="str">
        <f>IF('Raw Data'!N144="","",IF('Raw Data'!N144="-",0,'Raw Data'!N144))</f>
        <v/>
      </c>
      <c r="O144" t="str">
        <f>IF('Raw Data'!O144="",IF('Raw Data'!N144="","",0),'Raw Data'!O144)</f>
        <v/>
      </c>
      <c r="P144" t="str">
        <f>IF('Raw Data'!P144="","",'Raw Data'!P144)</f>
        <v/>
      </c>
      <c r="W144" s="4"/>
      <c r="X144" s="4"/>
      <c r="Y144" s="3"/>
      <c r="Z144" s="4" t="str">
        <f>IF('Raw Data'!O144="","",O143+N143)</f>
        <v/>
      </c>
    </row>
    <row r="145" spans="1:26" x14ac:dyDescent="0.25">
      <c r="A145" t="str">
        <f>IF('Raw Data'!A145="","",'Raw Data'!A145)</f>
        <v>EC</v>
      </c>
      <c r="B145" t="str">
        <f>IF('Raw Data'!B145="","",'Raw Data'!B145)</f>
        <v>EB</v>
      </c>
      <c r="C145">
        <f>IF('Raw Data'!C145="","",'Raw Data'!C145)</f>
        <v>3</v>
      </c>
      <c r="D145">
        <f>IF('Raw Data'!D145="","",'Raw Data'!D145)</f>
        <v>2</v>
      </c>
      <c r="E145">
        <f>IF('Raw Data'!E145="","",'Raw Data'!E145)</f>
        <v>2</v>
      </c>
      <c r="F145">
        <f>IF('Raw Data'!F145="","",'Raw Data'!F145)</f>
        <v>1</v>
      </c>
      <c r="G145" s="7" t="str">
        <f>IF('Raw Data'!G145="/","-",IF('Raw Data'!G145="","-",SUBSTITUTE('Raw Data'!G145," ",":",1)))</f>
        <v>-</v>
      </c>
      <c r="H145" s="7" t="str">
        <f>IF('Raw Data'!H145="/","-",IF('Raw Data'!H145="","-",SUBSTITUTE('Raw Data'!H145," ",":",1)))</f>
        <v>103:00</v>
      </c>
      <c r="I145" s="7" t="str">
        <f>IF('Raw Data'!I145="/","-",IF('Raw Data'!I145="","-",SUBSTITUTE('Raw Data'!I145," ",":",1)))</f>
        <v>283:00</v>
      </c>
      <c r="J145" s="12">
        <f>IF('Raw Data'!J145="",IF(LEN(K145)&gt;6,SQRT('Raw Data'!M145^2+N145^2),""),'Raw Data'!J145)</f>
        <v>12</v>
      </c>
      <c r="K145" s="7" t="str">
        <f>IF('Raw Data'!K145="","",IF(LEN('Raw Data'!K145)&lt;7,SUBSTITUTE('Raw Data'!K145," ",":",1),'Raw Data'!K145))</f>
        <v>-6:00</v>
      </c>
      <c r="L145" t="str">
        <f>IF('Raw Data'!L145="","",'Raw Data'!L145)</f>
        <v/>
      </c>
      <c r="M145">
        <f>IF('Raw Data'!M145="","",'Raw Data'!M145)</f>
        <v>11.9</v>
      </c>
      <c r="N145">
        <f>IF('Raw Data'!N145="","",IF('Raw Data'!N145="-",0,'Raw Data'!N145))</f>
        <v>-1.3</v>
      </c>
      <c r="O145">
        <f>IF('Raw Data'!O145="",IF('Raw Data'!N145="","",0),'Raw Data'!O145)</f>
        <v>367.1</v>
      </c>
      <c r="P145" t="str">
        <f>IF('Raw Data'!P145="","",'Raw Data'!P145)</f>
        <v>EC is on dimple in projecting rock 10' below entrance on E.</v>
      </c>
      <c r="R145" s="3" t="str">
        <f t="shared" si="69"/>
        <v>-</v>
      </c>
      <c r="S145" s="3">
        <f t="shared" si="70"/>
        <v>103</v>
      </c>
      <c r="T145" s="3">
        <f t="shared" si="71"/>
        <v>283</v>
      </c>
      <c r="U145" s="3">
        <f t="shared" ref="U145:U161" si="75">IF(ISERROR(FIND(":",K145)),IF(K145="zero",0,1*K145),1*CONCATENATE(LEFT(K145,FIND(":",K145)-1),".",MID(RIGHT(K145,LEN(K145)-FIND(":",K145))/60,3,8)))</f>
        <v>-6</v>
      </c>
      <c r="W145" s="4">
        <f t="shared" si="72"/>
        <v>11.934262744419279</v>
      </c>
      <c r="X145" s="4">
        <f t="shared" si="73"/>
        <v>-1.2543415592118414</v>
      </c>
      <c r="Y145" s="3">
        <f t="shared" si="74"/>
        <v>283</v>
      </c>
      <c r="Z145" s="4">
        <f>IF('Raw Data'!O145="","",O146-N145)</f>
        <v>367.1</v>
      </c>
    </row>
    <row r="146" spans="1:26" x14ac:dyDescent="0.25">
      <c r="A146" t="str">
        <f>IF('Raw Data'!A146="","",'Raw Data'!A146)</f>
        <v>EB</v>
      </c>
      <c r="B146" t="str">
        <f>IF('Raw Data'!B146="","",'Raw Data'!B146)</f>
        <v>EA</v>
      </c>
      <c r="C146">
        <f>IF('Raw Data'!C146="","",'Raw Data'!C146)</f>
        <v>1</v>
      </c>
      <c r="D146">
        <f>IF('Raw Data'!D146="","",'Raw Data'!D146)</f>
        <v>1</v>
      </c>
      <c r="E146">
        <f>IF('Raw Data'!E146="","",'Raw Data'!E146)</f>
        <v>8</v>
      </c>
      <c r="F146">
        <f>IF('Raw Data'!F146="","",'Raw Data'!F146)</f>
        <v>6</v>
      </c>
      <c r="G146" s="7" t="str">
        <f>IF('Raw Data'!G146="/","-",IF('Raw Data'!G146="","-",SUBSTITUTE('Raw Data'!G146," ",":",1)))</f>
        <v>011:00</v>
      </c>
      <c r="H146" s="7" t="str">
        <f>IF('Raw Data'!H146="/","-",IF('Raw Data'!H146="","-",SUBSTITUTE('Raw Data'!H146," ",":",1)))</f>
        <v>-</v>
      </c>
      <c r="I146" s="7" t="str">
        <f>IF('Raw Data'!I146="/","-",IF('Raw Data'!I146="","-",SUBSTITUTE('Raw Data'!I146," ",":",1)))</f>
        <v>011:00</v>
      </c>
      <c r="J146" s="12">
        <f>IF('Raw Data'!J146="",IF(LEN(K146)&gt;6,SQRT('Raw Data'!M146^2+N146^2),""),'Raw Data'!J146)</f>
        <v>3</v>
      </c>
      <c r="K146" s="7" t="str">
        <f>IF('Raw Data'!K146="","",IF(LEN('Raw Data'!K146)&lt;7,SUBSTITUTE('Raw Data'!K146," ",":",1),'Raw Data'!K146))</f>
        <v>-6:00</v>
      </c>
      <c r="L146" t="str">
        <f>IF('Raw Data'!L146="","",'Raw Data'!L146)</f>
        <v/>
      </c>
      <c r="M146">
        <f>IF('Raw Data'!M146="","",'Raw Data'!M146)</f>
        <v>3</v>
      </c>
      <c r="N146">
        <f>IF('Raw Data'!N146="","",IF('Raw Data'!N146="-",0,'Raw Data'!N146))</f>
        <v>-0.3</v>
      </c>
      <c r="O146">
        <f>IF('Raw Data'!O146="",IF('Raw Data'!N146="","",0),'Raw Data'!O146)</f>
        <v>365.8</v>
      </c>
      <c r="P146" t="str">
        <f>IF('Raw Data'!P146="","",'Raw Data'!P146)</f>
        <v/>
      </c>
      <c r="R146" s="3">
        <f t="shared" si="69"/>
        <v>11</v>
      </c>
      <c r="S146" s="3" t="str">
        <f t="shared" si="70"/>
        <v>-</v>
      </c>
      <c r="T146" s="3">
        <f t="shared" si="71"/>
        <v>11</v>
      </c>
      <c r="U146" s="3">
        <f t="shared" si="75"/>
        <v>-6</v>
      </c>
      <c r="W146" s="4">
        <f t="shared" si="72"/>
        <v>2.9835656861048196</v>
      </c>
      <c r="X146" s="4">
        <f t="shared" si="73"/>
        <v>-0.31358538980296036</v>
      </c>
      <c r="Y146" s="3">
        <f t="shared" si="74"/>
        <v>11</v>
      </c>
      <c r="Z146" s="4">
        <f>IF('Raw Data'!O146="","",O145+N145)</f>
        <v>365.8</v>
      </c>
    </row>
    <row r="147" spans="1:26" x14ac:dyDescent="0.25">
      <c r="A147" t="str">
        <f>IF('Raw Data'!A147="","",'Raw Data'!A147)</f>
        <v>EA</v>
      </c>
      <c r="B147" t="str">
        <f>IF('Raw Data'!B147="","",'Raw Data'!B147)</f>
        <v>DZ</v>
      </c>
      <c r="C147" t="str">
        <f>IF('Raw Data'!C147="","",'Raw Data'!C147)</f>
        <v>/</v>
      </c>
      <c r="D147" t="str">
        <f>IF('Raw Data'!D147="","",'Raw Data'!D147)</f>
        <v>/</v>
      </c>
      <c r="E147" t="str">
        <f>IF('Raw Data'!E147="","",'Raw Data'!E147)</f>
        <v>/</v>
      </c>
      <c r="F147" t="str">
        <f>IF('Raw Data'!F147="","",'Raw Data'!F147)</f>
        <v>/</v>
      </c>
      <c r="G147" s="7" t="str">
        <f>IF('Raw Data'!G147="/","-",IF('Raw Data'!G147="","-",SUBSTITUTE('Raw Data'!G147," ",":",1)))</f>
        <v>-</v>
      </c>
      <c r="H147" s="7" t="str">
        <f>IF('Raw Data'!H147="/","-",IF('Raw Data'!H147="","-",SUBSTITUTE('Raw Data'!H147," ",":",1)))</f>
        <v>-</v>
      </c>
      <c r="I147" s="7" t="str">
        <f>IF('Raw Data'!I147="/","-",IF('Raw Data'!I147="","-",SUBSTITUTE('Raw Data'!I147," ",":",1)))</f>
        <v>-</v>
      </c>
      <c r="J147" s="12">
        <f>IF('Raw Data'!J147="",IF(LEN(K147)&gt;6,SQRT('Raw Data'!M147^2+N147^2),""),'Raw Data'!J147)</f>
        <v>6</v>
      </c>
      <c r="K147" s="7" t="str">
        <f>IF('Raw Data'!K147="","",IF(LEN('Raw Data'!K147)&lt;7,SUBSTITUTE('Raw Data'!K147," ",":",1),'Raw Data'!K147))</f>
        <v>-90:00</v>
      </c>
      <c r="L147" t="str">
        <f>IF('Raw Data'!L147="","",'Raw Data'!L147)</f>
        <v/>
      </c>
      <c r="M147" t="str">
        <f>IF('Raw Data'!M147="","",'Raw Data'!M147)</f>
        <v>-</v>
      </c>
      <c r="N147">
        <f>IF('Raw Data'!N147="","",IF('Raw Data'!N147="-",0,'Raw Data'!N147))</f>
        <v>-6</v>
      </c>
      <c r="O147">
        <f>IF('Raw Data'!O147="",IF('Raw Data'!N147="","",0),'Raw Data'!O147)</f>
        <v>365.5</v>
      </c>
      <c r="P147" t="str">
        <f>IF('Raw Data'!P147="","",'Raw Data'!P147)</f>
        <v>(sketch from Ent. EC-DO)</v>
      </c>
      <c r="R147" s="3" t="str">
        <f t="shared" si="69"/>
        <v>-</v>
      </c>
      <c r="S147" s="3" t="str">
        <f t="shared" si="70"/>
        <v>-</v>
      </c>
      <c r="T147" s="3" t="str">
        <f t="shared" si="71"/>
        <v>-</v>
      </c>
      <c r="U147" s="3">
        <f t="shared" si="75"/>
        <v>-90</v>
      </c>
      <c r="W147" s="4">
        <f t="shared" si="72"/>
        <v>3.67544536472586E-16</v>
      </c>
      <c r="X147" s="4">
        <f t="shared" si="73"/>
        <v>-6</v>
      </c>
      <c r="Y147" s="3" t="e">
        <f t="shared" si="74"/>
        <v>#VALUE!</v>
      </c>
      <c r="Z147" s="4">
        <f>IF('Raw Data'!O147="","",O146+N146)</f>
        <v>365.5</v>
      </c>
    </row>
    <row r="148" spans="1:26" x14ac:dyDescent="0.25">
      <c r="A148" t="str">
        <f>IF('Raw Data'!A148="","",'Raw Data'!A148)</f>
        <v>DZ</v>
      </c>
      <c r="B148" t="str">
        <f>IF('Raw Data'!B148="","",'Raw Data'!B148)</f>
        <v>DY</v>
      </c>
      <c r="C148">
        <f>IF('Raw Data'!C148="","",'Raw Data'!C148)</f>
        <v>5</v>
      </c>
      <c r="D148" t="str">
        <f>IF('Raw Data'!D148="","",'Raw Data'!D148)</f>
        <v>-</v>
      </c>
      <c r="E148">
        <f>IF('Raw Data'!E148="","",'Raw Data'!E148)</f>
        <v>3</v>
      </c>
      <c r="F148">
        <f>IF('Raw Data'!F148="","",'Raw Data'!F148)</f>
        <v>2</v>
      </c>
      <c r="G148" s="7" t="str">
        <f>IF('Raw Data'!G148="/","-",IF('Raw Data'!G148="","-",SUBSTITUTE('Raw Data'!G148," ",":",1)))</f>
        <v>-</v>
      </c>
      <c r="H148" s="7" t="str">
        <f>IF('Raw Data'!H148="/","-",IF('Raw Data'!H148="","-",SUBSTITUTE('Raw Data'!H148," ",":",1)))</f>
        <v>216:00</v>
      </c>
      <c r="I148" s="7" t="str">
        <f>IF('Raw Data'!I148="/","-",IF('Raw Data'!I148="","-",SUBSTITUTE('Raw Data'!I148," ",":",1)))</f>
        <v>036:00</v>
      </c>
      <c r="J148" s="12">
        <f>IF('Raw Data'!J148="",IF(LEN(K148)&gt;6,SQRT('Raw Data'!M148^2+N148^2),""),'Raw Data'!J148)</f>
        <v>17.5</v>
      </c>
      <c r="K148" s="7" t="str">
        <f>IF('Raw Data'!K148="","",IF(LEN('Raw Data'!K148)&lt;7,SUBSTITUTE('Raw Data'!K148," ",":",1),'Raw Data'!K148))</f>
        <v>8:00</v>
      </c>
      <c r="L148" t="str">
        <f>IF('Raw Data'!L148="","",'Raw Data'!L148)</f>
        <v/>
      </c>
      <c r="M148">
        <f>IF('Raw Data'!M148="","",'Raw Data'!M148)</f>
        <v>17.3</v>
      </c>
      <c r="N148">
        <f>IF('Raw Data'!N148="","",IF('Raw Data'!N148="-",0,'Raw Data'!N148))</f>
        <v>2.4</v>
      </c>
      <c r="O148">
        <f>IF('Raw Data'!O148="",IF('Raw Data'!N148="","",0),'Raw Data'!O148)</f>
        <v>359.5</v>
      </c>
      <c r="P148" t="str">
        <f>IF('Raw Data'!P148="","",'Raw Data'!P148)</f>
        <v/>
      </c>
      <c r="R148" s="3" t="str">
        <f t="shared" si="69"/>
        <v>-</v>
      </c>
      <c r="S148" s="3">
        <f t="shared" si="70"/>
        <v>216</v>
      </c>
      <c r="T148" s="3">
        <f t="shared" si="71"/>
        <v>36</v>
      </c>
      <c r="U148" s="3">
        <f t="shared" si="75"/>
        <v>8</v>
      </c>
      <c r="W148" s="4">
        <f t="shared" si="72"/>
        <v>17.329691202977482</v>
      </c>
      <c r="X148" s="4">
        <f t="shared" si="73"/>
        <v>2.435529266801145</v>
      </c>
      <c r="Y148" s="3">
        <f t="shared" si="74"/>
        <v>36</v>
      </c>
      <c r="Z148" s="4">
        <f>IF('Raw Data'!O148="","",O147+N147)</f>
        <v>359.5</v>
      </c>
    </row>
    <row r="149" spans="1:26" x14ac:dyDescent="0.25">
      <c r="A149" t="str">
        <f>IF('Raw Data'!A149="","",'Raw Data'!A149)</f>
        <v>DY</v>
      </c>
      <c r="B149" t="str">
        <f>IF('Raw Data'!B149="","",'Raw Data'!B149)</f>
        <v>DX</v>
      </c>
      <c r="C149">
        <f>IF('Raw Data'!C149="","",'Raw Data'!C149)</f>
        <v>3</v>
      </c>
      <c r="D149">
        <f>IF('Raw Data'!D149="","",'Raw Data'!D149)</f>
        <v>4</v>
      </c>
      <c r="E149">
        <f>IF('Raw Data'!E149="","",'Raw Data'!E149)</f>
        <v>2</v>
      </c>
      <c r="F149">
        <f>IF('Raw Data'!F149="","",'Raw Data'!F149)</f>
        <v>1</v>
      </c>
      <c r="G149" s="7" t="str">
        <f>IF('Raw Data'!G149="/","-",IF('Raw Data'!G149="","-",SUBSTITUTE('Raw Data'!G149," ",":",1)))</f>
        <v>344:30</v>
      </c>
      <c r="H149" s="7" t="str">
        <f>IF('Raw Data'!H149="/","-",IF('Raw Data'!H149="","-",SUBSTITUTE('Raw Data'!H149," ",":",1)))</f>
        <v>-</v>
      </c>
      <c r="I149" s="7" t="str">
        <f>IF('Raw Data'!I149="/","-",IF('Raw Data'!I149="","-",SUBSTITUTE('Raw Data'!I149," ",":",1)))</f>
        <v>344:30</v>
      </c>
      <c r="J149" s="12">
        <f>IF('Raw Data'!J149="",IF(LEN(K149)&gt;6,SQRT('Raw Data'!M149^2+N149^2),""),'Raw Data'!J149)</f>
        <v>4.9000000000000004</v>
      </c>
      <c r="K149" s="7" t="str">
        <f>IF('Raw Data'!K149="","",IF(LEN('Raw Data'!K149)&lt;7,SUBSTITUTE('Raw Data'!K149," ",":",1),'Raw Data'!K149))</f>
        <v>6:00</v>
      </c>
      <c r="L149" t="str">
        <f>IF('Raw Data'!L149="","",'Raw Data'!L149)</f>
        <v/>
      </c>
      <c r="M149">
        <f>IF('Raw Data'!M149="","",'Raw Data'!M149)</f>
        <v>4.9000000000000004</v>
      </c>
      <c r="N149">
        <f>IF('Raw Data'!N149="","",IF('Raw Data'!N149="-",0,'Raw Data'!N149))</f>
        <v>0.5</v>
      </c>
      <c r="O149">
        <f>IF('Raw Data'!O149="",IF('Raw Data'!N149="","",0),'Raw Data'!O149)</f>
        <v>361.9</v>
      </c>
      <c r="P149" t="str">
        <f>IF('Raw Data'!P149="","",'Raw Data'!P149)</f>
        <v/>
      </c>
      <c r="R149" s="3">
        <f t="shared" si="69"/>
        <v>344.5</v>
      </c>
      <c r="S149" s="3" t="str">
        <f t="shared" si="70"/>
        <v>-</v>
      </c>
      <c r="T149" s="3">
        <f t="shared" si="71"/>
        <v>344.5</v>
      </c>
      <c r="U149" s="3">
        <f t="shared" si="75"/>
        <v>6</v>
      </c>
      <c r="W149" s="4">
        <f t="shared" si="72"/>
        <v>4.8731572873045392</v>
      </c>
      <c r="X149" s="4">
        <f t="shared" si="73"/>
        <v>0.51218947001150195</v>
      </c>
      <c r="Y149" s="3">
        <f t="shared" si="74"/>
        <v>344.5</v>
      </c>
      <c r="Z149" s="4">
        <f>IF('Raw Data'!O149="","",O148+N148)</f>
        <v>361.9</v>
      </c>
    </row>
    <row r="150" spans="1:26" x14ac:dyDescent="0.25">
      <c r="A150" t="str">
        <f>IF('Raw Data'!A150="","",'Raw Data'!A150)</f>
        <v>DX</v>
      </c>
      <c r="B150" t="str">
        <f>IF('Raw Data'!B150="","",'Raw Data'!B150)</f>
        <v>DW</v>
      </c>
      <c r="C150">
        <f>IF('Raw Data'!C150="","",'Raw Data'!C150)</f>
        <v>15</v>
      </c>
      <c r="D150">
        <f>IF('Raw Data'!D150="","",'Raw Data'!D150)</f>
        <v>3</v>
      </c>
      <c r="E150">
        <f>IF('Raw Data'!E150="","",'Raw Data'!E150)</f>
        <v>2</v>
      </c>
      <c r="F150">
        <f>IF('Raw Data'!F150="","",'Raw Data'!F150)</f>
        <v>2</v>
      </c>
      <c r="G150" s="7" t="str">
        <f>IF('Raw Data'!G150="/","-",IF('Raw Data'!G150="","-",SUBSTITUTE('Raw Data'!G150," ",":",1)))</f>
        <v>-</v>
      </c>
      <c r="H150" s="7" t="str">
        <f>IF('Raw Data'!H150="/","-",IF('Raw Data'!H150="","-",SUBSTITUTE('Raw Data'!H150," ",":",1)))</f>
        <v>162:00</v>
      </c>
      <c r="I150" s="7" t="str">
        <f>IF('Raw Data'!I150="/","-",IF('Raw Data'!I150="","-",SUBSTITUTE('Raw Data'!I150," ",":",1)))</f>
        <v>342:00</v>
      </c>
      <c r="J150" s="12">
        <f>IF('Raw Data'!J150="",IF(LEN(K150)&gt;6,SQRT('Raw Data'!M150^2+N150^2),""),'Raw Data'!J150)</f>
        <v>23.5</v>
      </c>
      <c r="K150" s="7" t="str">
        <f>IF('Raw Data'!K150="","",IF(LEN('Raw Data'!K150)&lt;7,SUBSTITUTE('Raw Data'!K150," ",":",1),'Raw Data'!K150))</f>
        <v>-12:00</v>
      </c>
      <c r="L150" t="str">
        <f>IF('Raw Data'!L150="","",'Raw Data'!L150)</f>
        <v/>
      </c>
      <c r="M150">
        <f>IF('Raw Data'!M150="","",'Raw Data'!M150)</f>
        <v>23</v>
      </c>
      <c r="N150">
        <f>IF('Raw Data'!N150="","",IF('Raw Data'!N150="-",0,'Raw Data'!N150))</f>
        <v>-4.9000000000000004</v>
      </c>
      <c r="O150">
        <f>IF('Raw Data'!O150="",IF('Raw Data'!N150="","",0),'Raw Data'!O150)</f>
        <v>362.4</v>
      </c>
      <c r="P150" t="str">
        <f>IF('Raw Data'!P150="","",'Raw Data'!P150)</f>
        <v/>
      </c>
      <c r="R150" s="3" t="str">
        <f t="shared" si="69"/>
        <v>-</v>
      </c>
      <c r="S150" s="3">
        <f t="shared" si="70"/>
        <v>162</v>
      </c>
      <c r="T150" s="3">
        <f t="shared" si="71"/>
        <v>342</v>
      </c>
      <c r="U150" s="3">
        <f t="shared" si="75"/>
        <v>-12</v>
      </c>
      <c r="W150" s="4">
        <f t="shared" si="72"/>
        <v>22.986468617244434</v>
      </c>
      <c r="X150" s="4">
        <f t="shared" si="73"/>
        <v>-4.885924734217344</v>
      </c>
      <c r="Y150" s="3">
        <f t="shared" si="74"/>
        <v>342</v>
      </c>
      <c r="Z150" s="4">
        <f>IF('Raw Data'!O150="","",O149+N149)</f>
        <v>362.4</v>
      </c>
    </row>
    <row r="151" spans="1:26" x14ac:dyDescent="0.25">
      <c r="A151" t="str">
        <f>IF('Raw Data'!A151="","",'Raw Data'!A151)</f>
        <v>DW</v>
      </c>
      <c r="B151" t="str">
        <f>IF('Raw Data'!B151="","",'Raw Data'!B151)</f>
        <v>DV</v>
      </c>
      <c r="C151">
        <f>IF('Raw Data'!C151="","",'Raw Data'!C151)</f>
        <v>2</v>
      </c>
      <c r="D151">
        <f>IF('Raw Data'!D151="","",'Raw Data'!D151)</f>
        <v>3</v>
      </c>
      <c r="E151" t="str">
        <f>IF('Raw Data'!E151="","",'Raw Data'!E151)</f>
        <v>/</v>
      </c>
      <c r="F151">
        <f>IF('Raw Data'!F151="","",'Raw Data'!F151)</f>
        <v>3</v>
      </c>
      <c r="G151" s="7" t="str">
        <f>IF('Raw Data'!G151="/","-",IF('Raw Data'!G151="","-",SUBSTITUTE('Raw Data'!G151," ",":",1)))</f>
        <v>259:00</v>
      </c>
      <c r="H151" s="7" t="str">
        <f>IF('Raw Data'!H151="/","-",IF('Raw Data'!H151="","-",SUBSTITUTE('Raw Data'!H151," ",":",1)))</f>
        <v>-</v>
      </c>
      <c r="I151" s="7" t="str">
        <f>IF('Raw Data'!I151="/","-",IF('Raw Data'!I151="","-",SUBSTITUTE('Raw Data'!I151," ",":",1)))</f>
        <v>259:00</v>
      </c>
      <c r="J151" s="12">
        <f>IF('Raw Data'!J151="",IF(LEN(K151)&gt;6,SQRT('Raw Data'!M151^2+N151^2),""),'Raw Data'!J151)</f>
        <v>8.1999999999999993</v>
      </c>
      <c r="K151" s="7" t="str">
        <f>IF('Raw Data'!K151="","",IF(LEN('Raw Data'!K151)&lt;7,SUBSTITUTE('Raw Data'!K151," ",":",1),'Raw Data'!K151))</f>
        <v>-21:00</v>
      </c>
      <c r="L151" t="str">
        <f>IF('Raw Data'!L151="","",'Raw Data'!L151)</f>
        <v/>
      </c>
      <c r="M151">
        <f>IF('Raw Data'!M151="","",'Raw Data'!M151)</f>
        <v>7.6</v>
      </c>
      <c r="N151">
        <f>IF('Raw Data'!N151="","",IF('Raw Data'!N151="-",0,'Raw Data'!N151))</f>
        <v>-3</v>
      </c>
      <c r="O151">
        <f>IF('Raw Data'!O151="",IF('Raw Data'!N151="","",0),'Raw Data'!O151)</f>
        <v>357.5</v>
      </c>
      <c r="P151" t="str">
        <f>IF('Raw Data'!P151="","",'Raw Data'!P151)</f>
        <v/>
      </c>
      <c r="R151" s="3">
        <f t="shared" si="69"/>
        <v>259</v>
      </c>
      <c r="S151" s="3" t="str">
        <f t="shared" si="70"/>
        <v>-</v>
      </c>
      <c r="T151" s="3">
        <f t="shared" si="71"/>
        <v>259</v>
      </c>
      <c r="U151" s="3">
        <f t="shared" si="75"/>
        <v>-21</v>
      </c>
      <c r="W151" s="4">
        <f t="shared" si="72"/>
        <v>7.655359497277054</v>
      </c>
      <c r="X151" s="4">
        <f t="shared" si="73"/>
        <v>-2.9386171862714621</v>
      </c>
      <c r="Y151" s="3">
        <f t="shared" si="74"/>
        <v>259</v>
      </c>
      <c r="Z151" s="4">
        <f>IF('Raw Data'!O151="","",O150+N150)</f>
        <v>357.5</v>
      </c>
    </row>
    <row r="152" spans="1:26" x14ac:dyDescent="0.25">
      <c r="A152" t="str">
        <f>IF('Raw Data'!A152="","",'Raw Data'!A152)</f>
        <v>DV</v>
      </c>
      <c r="B152" t="str">
        <f>IF('Raw Data'!B152="","",'Raw Data'!B152)</f>
        <v>DQ</v>
      </c>
      <c r="C152">
        <f>IF('Raw Data'!C152="","",'Raw Data'!C152)</f>
        <v>1</v>
      </c>
      <c r="D152">
        <f>IF('Raw Data'!D152="","",'Raw Data'!D152)</f>
        <v>3</v>
      </c>
      <c r="E152" t="str">
        <f>IF('Raw Data'!E152="","",'Raw Data'!E152)</f>
        <v>-</v>
      </c>
      <c r="F152">
        <f>IF('Raw Data'!F152="","",'Raw Data'!F152)</f>
        <v>2</v>
      </c>
      <c r="G152" s="7" t="str">
        <f>IF('Raw Data'!G152="/","-",IF('Raw Data'!G152="","-",SUBSTITUTE('Raw Data'!G152," ",":",1)))</f>
        <v>-</v>
      </c>
      <c r="H152" s="7" t="str">
        <f>IF('Raw Data'!H152="/","-",IF('Raw Data'!H152="","-",SUBSTITUTE('Raw Data'!H152," ",":",1)))</f>
        <v>119:00</v>
      </c>
      <c r="I152" s="7" t="str">
        <f>IF('Raw Data'!I152="/","-",IF('Raw Data'!I152="","-",SUBSTITUTE('Raw Data'!I152," ",":",1)))</f>
        <v>299:00</v>
      </c>
      <c r="J152" s="12">
        <f>IF('Raw Data'!J152="",IF(LEN(K152)&gt;6,SQRT('Raw Data'!M152^2+N152^2),""),'Raw Data'!J152)</f>
        <v>9</v>
      </c>
      <c r="K152" s="7" t="str">
        <f>IF('Raw Data'!K152="","",IF(LEN('Raw Data'!K152)&lt;7,SUBSTITUTE('Raw Data'!K152," ",":",1),'Raw Data'!K152))</f>
        <v>-17:00</v>
      </c>
      <c r="L152" t="str">
        <f>IF('Raw Data'!L152="","",'Raw Data'!L152)</f>
        <v/>
      </c>
      <c r="M152">
        <f>IF('Raw Data'!M152="","",'Raw Data'!M152)</f>
        <v>8.6</v>
      </c>
      <c r="N152">
        <f>IF('Raw Data'!N152="","",IF('Raw Data'!N152="-",0,'Raw Data'!N152))</f>
        <v>-2.6</v>
      </c>
      <c r="O152">
        <f>IF('Raw Data'!O152="",IF('Raw Data'!N152="","",0),'Raw Data'!O152)</f>
        <v>354.5</v>
      </c>
      <c r="P152" t="str">
        <f>IF('Raw Data'!P152="","",'Raw Data'!P152)</f>
        <v>(sketch of Short Dry Way DN-DH)</v>
      </c>
      <c r="R152" s="3" t="str">
        <f t="shared" si="69"/>
        <v>-</v>
      </c>
      <c r="S152" s="3">
        <f t="shared" si="70"/>
        <v>119</v>
      </c>
      <c r="T152" s="3">
        <f t="shared" si="71"/>
        <v>299</v>
      </c>
      <c r="U152" s="3">
        <f t="shared" si="75"/>
        <v>-17</v>
      </c>
      <c r="W152" s="4">
        <f t="shared" si="72"/>
        <v>8.6067428036673181</v>
      </c>
      <c r="X152" s="4">
        <f t="shared" si="73"/>
        <v>-2.6313453425046309</v>
      </c>
      <c r="Y152" s="3">
        <f t="shared" si="74"/>
        <v>299</v>
      </c>
      <c r="Z152" s="4">
        <f>IF('Raw Data'!O152="","",O151+N151)</f>
        <v>354.5</v>
      </c>
    </row>
    <row r="153" spans="1:26" x14ac:dyDescent="0.25">
      <c r="A153" t="str">
        <f>IF('Raw Data'!A153="","",'Raw Data'!A153)</f>
        <v>DQ</v>
      </c>
      <c r="B153" t="str">
        <f>IF('Raw Data'!B153="","",'Raw Data'!B153)</f>
        <v>DP</v>
      </c>
      <c r="C153" t="str">
        <f>IF('Raw Data'!C153="","",'Raw Data'!C153)</f>
        <v>-</v>
      </c>
      <c r="D153">
        <f>IF('Raw Data'!D153="","",'Raw Data'!D153)</f>
        <v>3</v>
      </c>
      <c r="E153">
        <f>IF('Raw Data'!E153="","",'Raw Data'!E153)</f>
        <v>3</v>
      </c>
      <c r="F153">
        <f>IF('Raw Data'!F153="","",'Raw Data'!F153)</f>
        <v>3</v>
      </c>
      <c r="G153" s="7" t="str">
        <f>IF('Raw Data'!G153="/","-",IF('Raw Data'!G153="","-",SUBSTITUTE('Raw Data'!G153," ",":",1)))</f>
        <v>-</v>
      </c>
      <c r="H153" s="7" t="str">
        <f>IF('Raw Data'!H153="/","-",IF('Raw Data'!H153="","-",SUBSTITUTE('Raw Data'!H153," ",":",1)))</f>
        <v>-</v>
      </c>
      <c r="I153" s="7" t="str">
        <f>IF('Raw Data'!I153="/","-",IF('Raw Data'!I153="","-",SUBSTITUTE('Raw Data'!I153," ",":",1)))</f>
        <v>-</v>
      </c>
      <c r="J153" s="12">
        <f>IF('Raw Data'!J153="",IF(LEN(K153)&gt;6,SQRT('Raw Data'!M153^2+N153^2),""),'Raw Data'!J153)</f>
        <v>0.5</v>
      </c>
      <c r="K153" s="7" t="str">
        <f>IF('Raw Data'!K153="","",IF(LEN('Raw Data'!K153)&lt;7,SUBSTITUTE('Raw Data'!K153," ",":",1),'Raw Data'!K153))</f>
        <v>-90:00</v>
      </c>
      <c r="L153" t="str">
        <f>IF('Raw Data'!L153="","",'Raw Data'!L153)</f>
        <v/>
      </c>
      <c r="M153" t="str">
        <f>IF('Raw Data'!M153="","",'Raw Data'!M153)</f>
        <v>-</v>
      </c>
      <c r="N153">
        <f>IF('Raw Data'!N153="","",IF('Raw Data'!N153="-",0,'Raw Data'!N153))</f>
        <v>-0.5</v>
      </c>
      <c r="O153">
        <f>IF('Raw Data'!O153="",IF('Raw Data'!N153="","",0),'Raw Data'!O153)</f>
        <v>351.9</v>
      </c>
      <c r="P153" t="str">
        <f>IF('Raw Data'!P153="","",'Raw Data'!P153)</f>
        <v/>
      </c>
      <c r="R153" s="3" t="str">
        <f t="shared" si="69"/>
        <v>-</v>
      </c>
      <c r="S153" s="3" t="str">
        <f t="shared" si="70"/>
        <v>-</v>
      </c>
      <c r="T153" s="3" t="str">
        <f t="shared" si="71"/>
        <v>-</v>
      </c>
      <c r="U153" s="3">
        <f t="shared" si="75"/>
        <v>-90</v>
      </c>
      <c r="W153" s="4">
        <f t="shared" si="72"/>
        <v>3.06287113727155E-17</v>
      </c>
      <c r="X153" s="4">
        <f t="shared" si="73"/>
        <v>-0.5</v>
      </c>
      <c r="Y153" s="3" t="e">
        <f t="shared" si="74"/>
        <v>#VALUE!</v>
      </c>
      <c r="Z153" s="4">
        <f>IF('Raw Data'!O153="","",O152+N152)</f>
        <v>351.9</v>
      </c>
    </row>
    <row r="154" spans="1:26" x14ac:dyDescent="0.25">
      <c r="A154" t="str">
        <f>IF('Raw Data'!A154="","",'Raw Data'!A154)</f>
        <v>DP</v>
      </c>
      <c r="B154" t="str">
        <f>IF('Raw Data'!B154="","",'Raw Data'!B154)</f>
        <v>DO</v>
      </c>
      <c r="C154" t="str">
        <f>IF('Raw Data'!C154="","",'Raw Data'!C154)</f>
        <v>/</v>
      </c>
      <c r="D154" t="str">
        <f>IF('Raw Data'!D154="","",'Raw Data'!D154)</f>
        <v>/</v>
      </c>
      <c r="E154" t="str">
        <f>IF('Raw Data'!E154="","",'Raw Data'!E154)</f>
        <v>/</v>
      </c>
      <c r="F154" t="str">
        <f>IF('Raw Data'!F154="","",'Raw Data'!F154)</f>
        <v>/</v>
      </c>
      <c r="G154" s="7" t="str">
        <f>IF('Raw Data'!G154="/","-",IF('Raw Data'!G154="","-",SUBSTITUTE('Raw Data'!G154," ",":",1)))</f>
        <v>277:00</v>
      </c>
      <c r="H154" s="7" t="str">
        <f>IF('Raw Data'!H154="/","-",IF('Raw Data'!H154="","-",SUBSTITUTE('Raw Data'!H154," ",":",1)))</f>
        <v>-</v>
      </c>
      <c r="I154" s="7" t="str">
        <f>IF('Raw Data'!I154="/","-",IF('Raw Data'!I154="","-",SUBSTITUTE('Raw Data'!I154," ",":",1)))</f>
        <v>227:00</v>
      </c>
      <c r="J154" s="12">
        <f>IF('Raw Data'!J154="",IF(LEN(K154)&gt;6,SQRT('Raw Data'!M154^2+N154^2),""),'Raw Data'!J154)</f>
        <v>14.8</v>
      </c>
      <c r="K154" s="7" t="str">
        <f>IF('Raw Data'!K154="","",IF(LEN('Raw Data'!K154)&lt;7,SUBSTITUTE('Raw Data'!K154," ",":",1),'Raw Data'!K154))</f>
        <v>-53:00</v>
      </c>
      <c r="L154" t="str">
        <f>IF('Raw Data'!L154="","",'Raw Data'!L154)</f>
        <v/>
      </c>
      <c r="M154">
        <f>IF('Raw Data'!M154="","",'Raw Data'!M154)</f>
        <v>8.9</v>
      </c>
      <c r="N154">
        <f>IF('Raw Data'!N154="","",IF('Raw Data'!N154="-",0,'Raw Data'!N154))</f>
        <v>-11.8</v>
      </c>
      <c r="O154">
        <f>IF('Raw Data'!O154="",IF('Raw Data'!N154="","",0),'Raw Data'!O154)</f>
        <v>351.4</v>
      </c>
      <c r="P154" t="str">
        <f>IF('Raw Data'!P154="","",'Raw Data'!P154)</f>
        <v/>
      </c>
      <c r="R154" s="3">
        <f t="shared" si="69"/>
        <v>277</v>
      </c>
      <c r="S154" s="3" t="str">
        <f t="shared" si="70"/>
        <v>-</v>
      </c>
      <c r="T154" s="3">
        <f t="shared" si="71"/>
        <v>227</v>
      </c>
      <c r="U154" s="3">
        <f t="shared" si="75"/>
        <v>-53</v>
      </c>
      <c r="W154" s="4">
        <f t="shared" si="72"/>
        <v>8.9068623426503173</v>
      </c>
      <c r="X154" s="4">
        <f t="shared" si="73"/>
        <v>-11.819805548699934</v>
      </c>
      <c r="Y154" s="3">
        <f t="shared" si="74"/>
        <v>277</v>
      </c>
      <c r="Z154" s="4">
        <f>IF('Raw Data'!O154="","",O153+N153)</f>
        <v>351.4</v>
      </c>
    </row>
    <row r="155" spans="1:26" x14ac:dyDescent="0.25">
      <c r="A155" t="str">
        <f>IF('Raw Data'!A155="","",'Raw Data'!A155)</f>
        <v>DO</v>
      </c>
      <c r="B155" t="str">
        <f>IF('Raw Data'!B155="","",'Raw Data'!B155)</f>
        <v>DN</v>
      </c>
      <c r="C155">
        <f>IF('Raw Data'!C155="","",'Raw Data'!C155)</f>
        <v>12</v>
      </c>
      <c r="D155" t="str">
        <f>IF('Raw Data'!D155="","",'Raw Data'!D155)</f>
        <v>-</v>
      </c>
      <c r="E155" t="str">
        <f>IF('Raw Data'!E155="","",'Raw Data'!E155)</f>
        <v>/</v>
      </c>
      <c r="F155">
        <f>IF('Raw Data'!F155="","",'Raw Data'!F155)</f>
        <v>10</v>
      </c>
      <c r="G155" s="7" t="str">
        <f>IF('Raw Data'!G155="/","-",IF('Raw Data'!G155="","-",SUBSTITUTE('Raw Data'!G155," ",":",1)))</f>
        <v>-</v>
      </c>
      <c r="H155" s="7" t="str">
        <f>IF('Raw Data'!H155="/","-",IF('Raw Data'!H155="","-",SUBSTITUTE('Raw Data'!H155," ",":",1)))</f>
        <v>261:00</v>
      </c>
      <c r="I155" s="7" t="str">
        <f>IF('Raw Data'!I155="/","-",IF('Raw Data'!I155="","-",SUBSTITUTE('Raw Data'!I155," ",":",1)))</f>
        <v>081:00</v>
      </c>
      <c r="J155" s="12">
        <f>IF('Raw Data'!J155="",IF(LEN(K155)&gt;6,SQRT('Raw Data'!M155^2+N155^2),""),'Raw Data'!J155)</f>
        <v>13.3</v>
      </c>
      <c r="K155" s="7" t="str">
        <f>IF('Raw Data'!K155="","",IF(LEN('Raw Data'!K155)&lt;7,SUBSTITUTE('Raw Data'!K155," ",":",1),'Raw Data'!K155))</f>
        <v>-47:00</v>
      </c>
      <c r="L155" t="str">
        <f>IF('Raw Data'!L155="","",'Raw Data'!L155)</f>
        <v/>
      </c>
      <c r="M155">
        <f>IF('Raw Data'!M155="","",'Raw Data'!M155)</f>
        <v>9</v>
      </c>
      <c r="N155">
        <f>IF('Raw Data'!N155="","",IF('Raw Data'!N155="-",0,'Raw Data'!N155))</f>
        <v>-9.6999999999999993</v>
      </c>
      <c r="O155">
        <f>IF('Raw Data'!O155="",IF('Raw Data'!N155="","",0),'Raw Data'!O155)</f>
        <v>339.6</v>
      </c>
      <c r="P155" t="str">
        <f>IF('Raw Data'!P155="","",'Raw Data'!P155)</f>
        <v/>
      </c>
      <c r="R155" s="3" t="str">
        <f t="shared" si="69"/>
        <v>-</v>
      </c>
      <c r="S155" s="3">
        <f t="shared" si="70"/>
        <v>261</v>
      </c>
      <c r="T155" s="3">
        <f t="shared" si="71"/>
        <v>81</v>
      </c>
      <c r="U155" s="3">
        <f t="shared" si="75"/>
        <v>-47</v>
      </c>
      <c r="W155" s="4">
        <f t="shared" si="72"/>
        <v>9.0705781888312309</v>
      </c>
      <c r="X155" s="4">
        <f t="shared" si="73"/>
        <v>-9.7270042315349681</v>
      </c>
      <c r="Y155" s="3">
        <f t="shared" si="74"/>
        <v>81</v>
      </c>
      <c r="Z155" s="4">
        <f>IF('Raw Data'!O155="","",O154+N154)</f>
        <v>339.59999999999997</v>
      </c>
    </row>
    <row r="156" spans="1:26" x14ac:dyDescent="0.25">
      <c r="A156" t="str">
        <f>IF('Raw Data'!A156="","",'Raw Data'!A156)</f>
        <v>DN</v>
      </c>
      <c r="B156" t="str">
        <f>IF('Raw Data'!B156="","",'Raw Data'!B156)</f>
        <v>DM</v>
      </c>
      <c r="C156" t="str">
        <f>IF('Raw Data'!C156="","",'Raw Data'!C156)</f>
        <v>/</v>
      </c>
      <c r="D156" t="str">
        <f>IF('Raw Data'!D156="","",'Raw Data'!D156)</f>
        <v>/</v>
      </c>
      <c r="E156" t="str">
        <f>IF('Raw Data'!E156="","",'Raw Data'!E156)</f>
        <v>/</v>
      </c>
      <c r="F156" t="str">
        <f>IF('Raw Data'!F156="","",'Raw Data'!F156)</f>
        <v>/</v>
      </c>
      <c r="G156" s="7" t="str">
        <f>IF('Raw Data'!G156="/","-",IF('Raw Data'!G156="","-",SUBSTITUTE('Raw Data'!G156," ",":",1)))</f>
        <v>-</v>
      </c>
      <c r="H156" s="7" t="str">
        <f>IF('Raw Data'!H156="/","-",IF('Raw Data'!H156="","-",SUBSTITUTE('Raw Data'!H156," ",":",1)))</f>
        <v>-</v>
      </c>
      <c r="I156" s="7" t="str">
        <f>IF('Raw Data'!I156="/","-",IF('Raw Data'!I156="","-",SUBSTITUTE('Raw Data'!I156," ",":",1)))</f>
        <v>-</v>
      </c>
      <c r="J156" s="12">
        <f>IF('Raw Data'!J156="",IF(LEN(K156)&gt;6,SQRT('Raw Data'!M156^2+N156^2),""),'Raw Data'!J156)</f>
        <v>0.5</v>
      </c>
      <c r="K156" s="7" t="str">
        <f>IF('Raw Data'!K156="","",IF(LEN('Raw Data'!K156)&lt;7,SUBSTITUTE('Raw Data'!K156," ",":",1),'Raw Data'!K156))</f>
        <v>90:00</v>
      </c>
      <c r="L156" t="str">
        <f>IF('Raw Data'!L156="","",'Raw Data'!L156)</f>
        <v/>
      </c>
      <c r="M156" t="str">
        <f>IF('Raw Data'!M156="","",'Raw Data'!M156)</f>
        <v>-</v>
      </c>
      <c r="N156">
        <f>IF('Raw Data'!N156="","",IF('Raw Data'!N156="-",0,'Raw Data'!N156))</f>
        <v>0.5</v>
      </c>
      <c r="O156">
        <f>IF('Raw Data'!O156="",IF('Raw Data'!N156="","",0),'Raw Data'!O156)</f>
        <v>329.9</v>
      </c>
      <c r="P156" t="str">
        <f>IF('Raw Data'!P156="","",'Raw Data'!P156)</f>
        <v/>
      </c>
      <c r="R156" s="3" t="str">
        <f t="shared" si="69"/>
        <v>-</v>
      </c>
      <c r="S156" s="3" t="str">
        <f t="shared" si="70"/>
        <v>-</v>
      </c>
      <c r="T156" s="3" t="str">
        <f t="shared" si="71"/>
        <v>-</v>
      </c>
      <c r="U156" s="3">
        <f t="shared" si="75"/>
        <v>90</v>
      </c>
      <c r="W156" s="4">
        <f t="shared" si="72"/>
        <v>3.06287113727155E-17</v>
      </c>
      <c r="X156" s="4">
        <f t="shared" si="73"/>
        <v>0.5</v>
      </c>
      <c r="Y156" s="3" t="e">
        <f t="shared" si="74"/>
        <v>#VALUE!</v>
      </c>
      <c r="Z156" s="4">
        <f>IF('Raw Data'!O156="","",O155+N155)</f>
        <v>329.90000000000003</v>
      </c>
    </row>
    <row r="157" spans="1:26" x14ac:dyDescent="0.25">
      <c r="A157" t="str">
        <f>IF('Raw Data'!A157="","",'Raw Data'!A157)</f>
        <v>DM</v>
      </c>
      <c r="B157" t="str">
        <f>IF('Raw Data'!B157="","",'Raw Data'!B157)</f>
        <v>DL</v>
      </c>
      <c r="C157" t="str">
        <f>IF('Raw Data'!C157="","",'Raw Data'!C157)</f>
        <v>/</v>
      </c>
      <c r="D157">
        <f>IF('Raw Data'!D157="","",'Raw Data'!D157)</f>
        <v>6</v>
      </c>
      <c r="E157" t="str">
        <f>IF('Raw Data'!E157="","",'Raw Data'!E157)</f>
        <v>/</v>
      </c>
      <c r="F157">
        <f>IF('Raw Data'!F157="","",'Raw Data'!F157)</f>
        <v>4</v>
      </c>
      <c r="G157" s="7" t="str">
        <f>IF('Raw Data'!G157="/","-",IF('Raw Data'!G157="","-",SUBSTITUTE('Raw Data'!G157," ",":",1)))</f>
        <v>348:30</v>
      </c>
      <c r="H157" s="7" t="str">
        <f>IF('Raw Data'!H157="/","-",IF('Raw Data'!H157="","-",SUBSTITUTE('Raw Data'!H157," ",":",1)))</f>
        <v>-</v>
      </c>
      <c r="I157" s="7" t="str">
        <f>IF('Raw Data'!I157="/","-",IF('Raw Data'!I157="","-",SUBSTITUTE('Raw Data'!I157," ",":",1)))</f>
        <v>348:30</v>
      </c>
      <c r="J157" s="12">
        <f>IF('Raw Data'!J157="",IF(LEN(K157)&gt;6,SQRT('Raw Data'!M157^2+N157^2),""),'Raw Data'!J157)</f>
        <v>14.5</v>
      </c>
      <c r="K157" s="7" t="str">
        <f>IF('Raw Data'!K157="","",IF(LEN('Raw Data'!K157)&lt;7,SUBSTITUTE('Raw Data'!K157," ",":",1),'Raw Data'!K157))</f>
        <v>-6:00</v>
      </c>
      <c r="L157" t="str">
        <f>IF('Raw Data'!L157="","",'Raw Data'!L157)</f>
        <v/>
      </c>
      <c r="M157">
        <f>IF('Raw Data'!M157="","",'Raw Data'!M157)</f>
        <v>14.4</v>
      </c>
      <c r="N157">
        <f>IF('Raw Data'!N157="","",IF('Raw Data'!N157="-",0,'Raw Data'!N157))</f>
        <v>-1.5</v>
      </c>
      <c r="O157">
        <f>IF('Raw Data'!O157="",IF('Raw Data'!N157="","",0),'Raw Data'!O157)</f>
        <v>330.4</v>
      </c>
      <c r="P157" t="str">
        <f>IF('Raw Data'!P157="","",'Raw Data'!P157)</f>
        <v/>
      </c>
      <c r="R157" s="3">
        <f t="shared" si="69"/>
        <v>348.5</v>
      </c>
      <c r="S157" s="3" t="str">
        <f t="shared" si="70"/>
        <v>-</v>
      </c>
      <c r="T157" s="3">
        <f t="shared" si="71"/>
        <v>348.5</v>
      </c>
      <c r="U157" s="3">
        <f t="shared" si="75"/>
        <v>-6</v>
      </c>
      <c r="W157" s="4">
        <f t="shared" si="72"/>
        <v>14.420567482839962</v>
      </c>
      <c r="X157" s="4">
        <f t="shared" si="73"/>
        <v>-1.5156627173809751</v>
      </c>
      <c r="Y157" s="3">
        <f t="shared" si="74"/>
        <v>348.5</v>
      </c>
      <c r="Z157" s="4">
        <f>IF('Raw Data'!O157="","",O156+N156)</f>
        <v>330.4</v>
      </c>
    </row>
    <row r="158" spans="1:26" x14ac:dyDescent="0.25">
      <c r="A158" t="str">
        <f>IF('Raw Data'!A158="","",'Raw Data'!A158)</f>
        <v>DL</v>
      </c>
      <c r="B158" t="str">
        <f>IF('Raw Data'!B158="","",'Raw Data'!B158)</f>
        <v>DK</v>
      </c>
      <c r="C158">
        <f>IF('Raw Data'!C158="","",'Raw Data'!C158)</f>
        <v>10</v>
      </c>
      <c r="D158">
        <f>IF('Raw Data'!D158="","",'Raw Data'!D158)</f>
        <v>2</v>
      </c>
      <c r="E158">
        <f>IF('Raw Data'!E158="","",'Raw Data'!E158)</f>
        <v>4</v>
      </c>
      <c r="F158" t="str">
        <f>IF('Raw Data'!F158="","",'Raw Data'!F158)</f>
        <v>-</v>
      </c>
      <c r="G158" s="7" t="str">
        <f>IF('Raw Data'!G158="/","-",IF('Raw Data'!G158="","-",SUBSTITUTE('Raw Data'!G158," ",":",1)))</f>
        <v>-</v>
      </c>
      <c r="H158" s="7" t="str">
        <f>IF('Raw Data'!H158="/","-",IF('Raw Data'!H158="","-",SUBSTITUTE('Raw Data'!H158," ",":",1)))</f>
        <v>112:00</v>
      </c>
      <c r="I158" s="7" t="str">
        <f>IF('Raw Data'!I158="/","-",IF('Raw Data'!I158="","-",SUBSTITUTE('Raw Data'!I158," ",":",1)))</f>
        <v>292:00</v>
      </c>
      <c r="J158" s="12">
        <f>IF('Raw Data'!J158="",IF(LEN(K158)&gt;6,SQRT('Raw Data'!M158^2+N158^2),""),'Raw Data'!J158)</f>
        <v>17.3</v>
      </c>
      <c r="K158" s="7" t="str">
        <f>IF('Raw Data'!K158="","",IF(LEN('Raw Data'!K158)&lt;7,SUBSTITUTE('Raw Data'!K158," ",":",1),'Raw Data'!K158))</f>
        <v>-20:00</v>
      </c>
      <c r="L158" t="str">
        <f>IF('Raw Data'!L158="","",'Raw Data'!L158)</f>
        <v/>
      </c>
      <c r="M158">
        <f>IF('Raw Data'!M158="","",'Raw Data'!M158)</f>
        <v>16.2</v>
      </c>
      <c r="N158">
        <f>IF('Raw Data'!N158="","",IF('Raw Data'!N158="-",0,'Raw Data'!N158))</f>
        <v>-5.9</v>
      </c>
      <c r="O158">
        <f>IF('Raw Data'!O158="",IF('Raw Data'!N158="","",0),'Raw Data'!O158)</f>
        <v>328.9</v>
      </c>
      <c r="P158" t="str">
        <f>IF('Raw Data'!P158="","",'Raw Data'!P158)</f>
        <v/>
      </c>
      <c r="R158" s="3" t="str">
        <f t="shared" si="69"/>
        <v>-</v>
      </c>
      <c r="S158" s="3">
        <f t="shared" si="70"/>
        <v>112</v>
      </c>
      <c r="T158" s="3">
        <f t="shared" si="71"/>
        <v>292</v>
      </c>
      <c r="U158" s="3">
        <f t="shared" si="75"/>
        <v>-20</v>
      </c>
      <c r="W158" s="4">
        <f t="shared" si="72"/>
        <v>16.256682339596217</v>
      </c>
      <c r="X158" s="4">
        <f t="shared" si="73"/>
        <v>-5.916948479534069</v>
      </c>
      <c r="Y158" s="3">
        <f t="shared" si="74"/>
        <v>292</v>
      </c>
      <c r="Z158" s="4">
        <f>IF('Raw Data'!O158="","",O157+N157)</f>
        <v>328.9</v>
      </c>
    </row>
    <row r="159" spans="1:26" x14ac:dyDescent="0.25">
      <c r="A159" t="str">
        <f>IF('Raw Data'!A159="","",'Raw Data'!A159)</f>
        <v>DK</v>
      </c>
      <c r="B159" t="str">
        <f>IF('Raw Data'!B159="","",'Raw Data'!B159)</f>
        <v>DJ</v>
      </c>
      <c r="C159">
        <f>IF('Raw Data'!C159="","",'Raw Data'!C159)</f>
        <v>8</v>
      </c>
      <c r="D159">
        <f>IF('Raw Data'!D159="","",'Raw Data'!D159)</f>
        <v>5</v>
      </c>
      <c r="E159">
        <f>IF('Raw Data'!E159="","",'Raw Data'!E159)</f>
        <v>1</v>
      </c>
      <c r="F159">
        <f>IF('Raw Data'!F159="","",'Raw Data'!F159)</f>
        <v>2</v>
      </c>
      <c r="G159" s="7" t="str">
        <f>IF('Raw Data'!G159="/","-",IF('Raw Data'!G159="","-",SUBSTITUTE('Raw Data'!G159," ",":",1)))</f>
        <v>346:00</v>
      </c>
      <c r="H159" s="7" t="str">
        <f>IF('Raw Data'!H159="/","-",IF('Raw Data'!H159="","-",SUBSTITUTE('Raw Data'!H159," ",":",1)))</f>
        <v>-</v>
      </c>
      <c r="I159" s="7" t="str">
        <f>IF('Raw Data'!I159="/","-",IF('Raw Data'!I159="","-",SUBSTITUTE('Raw Data'!I159," ",":",1)))</f>
        <v>346:00</v>
      </c>
      <c r="J159" s="12">
        <f>IF('Raw Data'!J159="",IF(LEN(K159)&gt;6,SQRT('Raw Data'!M159^2+N159^2),""),'Raw Data'!J159)</f>
        <v>17.2</v>
      </c>
      <c r="K159" s="7" t="str">
        <f>IF('Raw Data'!K159="","",IF(LEN('Raw Data'!K159)&lt;7,SUBSTITUTE('Raw Data'!K159," ",":",1),'Raw Data'!K159))</f>
        <v>-22:00</v>
      </c>
      <c r="L159" t="str">
        <f>IF('Raw Data'!L159="","",'Raw Data'!L159)</f>
        <v/>
      </c>
      <c r="M159">
        <f>IF('Raw Data'!M159="","",'Raw Data'!M159)</f>
        <v>15.9</v>
      </c>
      <c r="N159">
        <f>IF('Raw Data'!N159="","",IF('Raw Data'!N159="-",0,'Raw Data'!N159))</f>
        <v>-6.4</v>
      </c>
      <c r="O159">
        <f>IF('Raw Data'!O159="",IF('Raw Data'!N159="","",0),'Raw Data'!O159)</f>
        <v>323</v>
      </c>
      <c r="P159" t="str">
        <f>IF('Raw Data'!P159="","",'Raw Data'!P159)</f>
        <v/>
      </c>
      <c r="R159" s="3">
        <f t="shared" si="69"/>
        <v>346</v>
      </c>
      <c r="S159" s="3" t="str">
        <f t="shared" si="70"/>
        <v>-</v>
      </c>
      <c r="T159" s="3">
        <f t="shared" si="71"/>
        <v>346</v>
      </c>
      <c r="U159" s="3">
        <f t="shared" si="75"/>
        <v>-22</v>
      </c>
      <c r="W159" s="4">
        <f t="shared" si="72"/>
        <v>15.947562298548743</v>
      </c>
      <c r="X159" s="4">
        <f t="shared" si="73"/>
        <v>-6.4432334067536861</v>
      </c>
      <c r="Y159" s="3">
        <f t="shared" si="74"/>
        <v>346</v>
      </c>
      <c r="Z159" s="4">
        <f>IF('Raw Data'!O159="","",O158+N158)</f>
        <v>323</v>
      </c>
    </row>
    <row r="160" spans="1:26" x14ac:dyDescent="0.25">
      <c r="A160" t="str">
        <f>IF('Raw Data'!A160="","",'Raw Data'!A160)</f>
        <v>DJ</v>
      </c>
      <c r="B160" t="str">
        <f>IF('Raw Data'!B160="","",'Raw Data'!B160)</f>
        <v>DI</v>
      </c>
      <c r="C160">
        <f>IF('Raw Data'!C160="","",'Raw Data'!C160)</f>
        <v>10</v>
      </c>
      <c r="D160">
        <f>IF('Raw Data'!D160="","",'Raw Data'!D160)</f>
        <v>7</v>
      </c>
      <c r="E160">
        <f>IF('Raw Data'!E160="","",'Raw Data'!E160)</f>
        <v>2</v>
      </c>
      <c r="F160">
        <f>IF('Raw Data'!F160="","",'Raw Data'!F160)</f>
        <v>1</v>
      </c>
      <c r="G160" s="7" t="str">
        <f>IF('Raw Data'!G160="/","-",IF('Raw Data'!G160="","-",SUBSTITUTE('Raw Data'!G160," ",":",1)))</f>
        <v>-</v>
      </c>
      <c r="H160" s="7" t="str">
        <f>IF('Raw Data'!H160="/","-",IF('Raw Data'!H160="","-",SUBSTITUTE('Raw Data'!H160," ",":",1)))</f>
        <v>138:00</v>
      </c>
      <c r="I160" s="7" t="str">
        <f>IF('Raw Data'!I160="/","-",IF('Raw Data'!I160="","-",SUBSTITUTE('Raw Data'!I160," ",":",1)))</f>
        <v>318:00</v>
      </c>
      <c r="J160" s="12">
        <f>IF('Raw Data'!J160="",IF(LEN(K160)&gt;6,SQRT('Raw Data'!M160^2+N160^2),""),'Raw Data'!J160)</f>
        <v>8.9</v>
      </c>
      <c r="K160" s="7" t="str">
        <f>IF('Raw Data'!K160="","",IF(LEN('Raw Data'!K160)&lt;7,SUBSTITUTE('Raw Data'!K160," ",":",1),'Raw Data'!K160))</f>
        <v>-13:30</v>
      </c>
      <c r="L160" t="str">
        <f>IF('Raw Data'!L160="","",'Raw Data'!L160)</f>
        <v/>
      </c>
      <c r="M160">
        <f>IF('Raw Data'!M160="","",'Raw Data'!M160)</f>
        <v>8.6</v>
      </c>
      <c r="N160">
        <f>IF('Raw Data'!N160="","",IF('Raw Data'!N160="-",0,'Raw Data'!N160))</f>
        <v>-2.1</v>
      </c>
      <c r="O160">
        <f>IF('Raw Data'!O160="",IF('Raw Data'!N160="","",0),'Raw Data'!O160)</f>
        <v>316.60000000000002</v>
      </c>
      <c r="P160" t="str">
        <f>IF('Raw Data'!P160="","",'Raw Data'!P160)</f>
        <v/>
      </c>
      <c r="R160" s="3" t="str">
        <f t="shared" si="69"/>
        <v>-</v>
      </c>
      <c r="S160" s="3">
        <f t="shared" si="70"/>
        <v>138</v>
      </c>
      <c r="T160" s="3">
        <f t="shared" si="71"/>
        <v>318</v>
      </c>
      <c r="U160" s="3">
        <f t="shared" si="75"/>
        <v>-13.5</v>
      </c>
      <c r="W160" s="4">
        <f t="shared" si="72"/>
        <v>8.654092291539321</v>
      </c>
      <c r="X160" s="4">
        <f t="shared" si="73"/>
        <v>-2.077663738317558</v>
      </c>
      <c r="Y160" s="3">
        <f t="shared" si="74"/>
        <v>318</v>
      </c>
      <c r="Z160" s="4">
        <f>IF('Raw Data'!O160="","",O159+N159)</f>
        <v>316.60000000000002</v>
      </c>
    </row>
    <row r="161" spans="1:27" x14ac:dyDescent="0.25">
      <c r="A161" t="str">
        <f>IF('Raw Data'!A161="","",'Raw Data'!A161)</f>
        <v>DI</v>
      </c>
      <c r="B161" t="str">
        <f>IF('Raw Data'!B161="","",'Raw Data'!B161)</f>
        <v>DH</v>
      </c>
      <c r="C161">
        <f>IF('Raw Data'!C161="","",'Raw Data'!C161)</f>
        <v>12</v>
      </c>
      <c r="D161">
        <f>IF('Raw Data'!D161="","",'Raw Data'!D161)</f>
        <v>7</v>
      </c>
      <c r="E161">
        <f>IF('Raw Data'!E161="","",'Raw Data'!E161)</f>
        <v>1</v>
      </c>
      <c r="F161">
        <f>IF('Raw Data'!F161="","",'Raw Data'!F161)</f>
        <v>2</v>
      </c>
      <c r="G161" s="7" t="str">
        <f>IF('Raw Data'!G161="/","-",IF('Raw Data'!G161="","-",SUBSTITUTE('Raw Data'!G161," ",":",1)))</f>
        <v>304:00</v>
      </c>
      <c r="H161" s="7" t="str">
        <f>IF('Raw Data'!H161="/","-",IF('Raw Data'!H161="","-",SUBSTITUTE('Raw Data'!H161," ",":",1)))</f>
        <v>-</v>
      </c>
      <c r="I161" s="7" t="str">
        <f>IF('Raw Data'!I161="/","-",IF('Raw Data'!I161="","-",SUBSTITUTE('Raw Data'!I161," ",":",1)))</f>
        <v>304:00</v>
      </c>
      <c r="J161" s="12">
        <f>IF('Raw Data'!J161="",IF(LEN(K161)&gt;6,SQRT('Raw Data'!M161^2+N161^2),""),'Raw Data'!J161)</f>
        <v>32</v>
      </c>
      <c r="K161" s="7" t="str">
        <f>IF('Raw Data'!K161="","",IF(LEN('Raw Data'!K161)&lt;7,SUBSTITUTE('Raw Data'!K161," ",":",1),'Raw Data'!K161))</f>
        <v>-17:00</v>
      </c>
      <c r="L161" t="str">
        <f>IF('Raw Data'!L161="","",'Raw Data'!L161)</f>
        <v/>
      </c>
      <c r="M161">
        <f>IF('Raw Data'!M161="","",'Raw Data'!M161)</f>
        <v>30.6</v>
      </c>
      <c r="N161">
        <f>IF('Raw Data'!N161="","",IF('Raw Data'!N161="-",0,'Raw Data'!N161))</f>
        <v>-9.4</v>
      </c>
      <c r="O161">
        <f>IF('Raw Data'!O161="",IF('Raw Data'!N161="","",0),'Raw Data'!O161)</f>
        <v>314.5</v>
      </c>
      <c r="P161" t="str">
        <f>IF('Raw Data'!P161="","",'Raw Data'!P161)</f>
        <v/>
      </c>
      <c r="R161" s="3">
        <f t="shared" si="69"/>
        <v>304</v>
      </c>
      <c r="S161" s="3" t="str">
        <f t="shared" si="70"/>
        <v>-</v>
      </c>
      <c r="T161" s="3">
        <f t="shared" si="71"/>
        <v>304</v>
      </c>
      <c r="U161" s="3">
        <f t="shared" si="75"/>
        <v>-17</v>
      </c>
      <c r="W161" s="4">
        <f t="shared" si="72"/>
        <v>30.601752190817134</v>
      </c>
      <c r="X161" s="4">
        <f t="shared" si="73"/>
        <v>-9.3558945511275766</v>
      </c>
      <c r="Y161" s="3">
        <f t="shared" si="74"/>
        <v>304</v>
      </c>
      <c r="Z161" s="4">
        <f>IF('Raw Data'!O161="","",O160+N160)</f>
        <v>314.5</v>
      </c>
    </row>
    <row r="162" spans="1:27" x14ac:dyDescent="0.25">
      <c r="A162" t="str">
        <f>IF('Raw Data'!A162="","",'Raw Data'!A162)</f>
        <v>DH</v>
      </c>
      <c r="B162" t="str">
        <f>IF('Raw Data'!B162="","",'Raw Data'!B162)</f>
        <v/>
      </c>
      <c r="C162" t="str">
        <f>IF('Raw Data'!C162="","",'Raw Data'!C162)</f>
        <v/>
      </c>
      <c r="D162" t="str">
        <f>IF('Raw Data'!D162="","",'Raw Data'!D162)</f>
        <v/>
      </c>
      <c r="E162" t="str">
        <f>IF('Raw Data'!E162="","",'Raw Data'!E162)</f>
        <v/>
      </c>
      <c r="F162" t="str">
        <f>IF('Raw Data'!F162="","",'Raw Data'!F162)</f>
        <v/>
      </c>
      <c r="G162" s="7" t="str">
        <f>IF('Raw Data'!G162="/","-",IF('Raw Data'!G162="","-",SUBSTITUTE('Raw Data'!G162," ",":",1)))</f>
        <v>-</v>
      </c>
      <c r="H162" s="7" t="str">
        <f>IF('Raw Data'!H162="/","-",IF('Raw Data'!H162="","-",SUBSTITUTE('Raw Data'!H162," ",":",1)))</f>
        <v>-</v>
      </c>
      <c r="I162" s="7" t="str">
        <f>IF('Raw Data'!I162="/","-",IF('Raw Data'!I162="","-",SUBSTITUTE('Raw Data'!I162," ",":",1)))</f>
        <v>-</v>
      </c>
      <c r="J162" s="12" t="str">
        <f>IF('Raw Data'!J162="",IF(LEN(K162)&gt;6,SQRT('Raw Data'!M162^2+N162^2),""),'Raw Data'!J162)</f>
        <v/>
      </c>
      <c r="K162" s="7" t="str">
        <f>IF('Raw Data'!K162="","",IF(LEN('Raw Data'!K162)&lt;7,SUBSTITUTE('Raw Data'!K162," ",":",1),'Raw Data'!K162))</f>
        <v/>
      </c>
      <c r="L162" t="str">
        <f>IF('Raw Data'!L162="","",'Raw Data'!L162)</f>
        <v/>
      </c>
      <c r="M162" t="str">
        <f>IF('Raw Data'!M162="","",'Raw Data'!M162)</f>
        <v/>
      </c>
      <c r="N162" t="str">
        <f>IF('Raw Data'!N162="","",IF('Raw Data'!N162="-",0,'Raw Data'!N162))</f>
        <v/>
      </c>
      <c r="O162">
        <f>IF('Raw Data'!O162="",IF('Raw Data'!N162="","",0),'Raw Data'!O162)</f>
        <v>305.10000000000002</v>
      </c>
      <c r="P162" t="str">
        <f>IF('Raw Data'!P162="","",'Raw Data'!P162)</f>
        <v>is 2" candle on smoke BM below smoke (.)</v>
      </c>
      <c r="W162" s="4"/>
      <c r="X162" s="4"/>
      <c r="Y162" s="3"/>
      <c r="Z162" s="4">
        <f>IF('Raw Data'!O162="","",O161+N161)</f>
        <v>305.10000000000002</v>
      </c>
    </row>
    <row r="163" spans="1:27" x14ac:dyDescent="0.25">
      <c r="A163" t="str">
        <f>IF('Raw Data'!A163="","",'Raw Data'!A163)</f>
        <v/>
      </c>
      <c r="B163" t="str">
        <f>IF('Raw Data'!B163="","",'Raw Data'!B163)</f>
        <v/>
      </c>
      <c r="C163" t="str">
        <f>IF('Raw Data'!C163="","",'Raw Data'!C163)</f>
        <v/>
      </c>
      <c r="D163" t="str">
        <f>IF('Raw Data'!D163="","",'Raw Data'!D163)</f>
        <v/>
      </c>
      <c r="E163" t="str">
        <f>IF('Raw Data'!E163="","",'Raw Data'!E163)</f>
        <v/>
      </c>
      <c r="F163" t="str">
        <f>IF('Raw Data'!F163="","",'Raw Data'!F163)</f>
        <v/>
      </c>
      <c r="G163" s="7" t="str">
        <f>IF('Raw Data'!G163="/","-",IF('Raw Data'!G163="","-",SUBSTITUTE('Raw Data'!G163," ",":",1)))</f>
        <v>-</v>
      </c>
      <c r="H163" s="7" t="str">
        <f>IF('Raw Data'!H163="/","-",IF('Raw Data'!H163="","-",SUBSTITUTE('Raw Data'!H163," ",":",1)))</f>
        <v>-</v>
      </c>
      <c r="I163" s="7" t="str">
        <f>IF('Raw Data'!I163="/","-",IF('Raw Data'!I163="","-",SUBSTITUTE('Raw Data'!I163," ",":",1)))</f>
        <v>-</v>
      </c>
      <c r="J163" s="12" t="str">
        <f>IF('Raw Data'!J163="",IF(LEN(K163)&gt;6,SQRT('Raw Data'!M163^2+N163^2),""),'Raw Data'!J163)</f>
        <v/>
      </c>
      <c r="K163" s="7" t="str">
        <f>IF('Raw Data'!K163="","",IF(LEN('Raw Data'!K163)&lt;7,SUBSTITUTE('Raw Data'!K163," ",":",1),'Raw Data'!K163))</f>
        <v/>
      </c>
      <c r="L163" t="str">
        <f>IF('Raw Data'!L163="","",'Raw Data'!L163)</f>
        <v/>
      </c>
      <c r="M163" t="str">
        <f>IF('Raw Data'!M163="","",'Raw Data'!M163)</f>
        <v/>
      </c>
      <c r="N163" t="str">
        <f>IF('Raw Data'!N163="","",IF('Raw Data'!N163="-",0,'Raw Data'!N163))</f>
        <v/>
      </c>
      <c r="O163" t="str">
        <f>IF('Raw Data'!O163="",IF('Raw Data'!N163="","",0),'Raw Data'!O163)</f>
        <v/>
      </c>
      <c r="P163" t="str">
        <f>IF('Raw Data'!P163="","",'Raw Data'!P163)</f>
        <v/>
      </c>
      <c r="W163" s="4"/>
      <c r="X163" s="4"/>
      <c r="Y163" s="3"/>
      <c r="Z163" s="4" t="str">
        <f>IF('Raw Data'!O163="","",O162+N162)</f>
        <v/>
      </c>
    </row>
    <row r="164" spans="1:27" x14ac:dyDescent="0.25">
      <c r="A164" t="str">
        <f>IF('Raw Data'!A164="","",'Raw Data'!A164)</f>
        <v>21st Dec '52</v>
      </c>
      <c r="B164" t="str">
        <f>IF('Raw Data'!B164="","",'Raw Data'!B164)</f>
        <v>Howard &amp; Jock.</v>
      </c>
      <c r="C164" t="str">
        <f>IF('Raw Data'!C164="","",'Raw Data'!C164)</f>
        <v>Short Dry Way to 40' Pot</v>
      </c>
      <c r="D164" t="str">
        <f>IF('Raw Data'!D164="","",'Raw Data'!D164)</f>
        <v/>
      </c>
      <c r="E164" t="str">
        <f>IF('Raw Data'!E164="","",'Raw Data'!E164)</f>
        <v/>
      </c>
      <c r="F164" t="str">
        <f>IF('Raw Data'!F164="","",'Raw Data'!F164)</f>
        <v/>
      </c>
      <c r="G164" s="7" t="str">
        <f>IF('Raw Data'!G164="/","-",IF('Raw Data'!G164="","-",SUBSTITUTE('Raw Data'!G164," ",":",1)))</f>
        <v>-</v>
      </c>
      <c r="H164" s="7" t="str">
        <f>IF('Raw Data'!H164="/","-",IF('Raw Data'!H164="","-",SUBSTITUTE('Raw Data'!H164," ",":",1)))</f>
        <v>-</v>
      </c>
      <c r="I164" s="7" t="str">
        <f>IF('Raw Data'!I164="/","-",IF('Raw Data'!I164="","-",SUBSTITUTE('Raw Data'!I164," ",":",1)))</f>
        <v>-</v>
      </c>
      <c r="J164" s="12" t="str">
        <f>IF('Raw Data'!J164="",IF(LEN(K164)&gt;6,SQRT('Raw Data'!M164^2+N164^2),""),'Raw Data'!J164)</f>
        <v/>
      </c>
      <c r="K164" s="7" t="str">
        <f>IF('Raw Data'!K164="","",IF(LEN('Raw Data'!K164)&lt;7,SUBSTITUTE('Raw Data'!K164," ",":",1),'Raw Data'!K164))</f>
        <v/>
      </c>
      <c r="L164" t="str">
        <f>IF('Raw Data'!L164="","",'Raw Data'!L164)</f>
        <v/>
      </c>
      <c r="M164" t="str">
        <f>IF('Raw Data'!M164="","",'Raw Data'!M164)</f>
        <v/>
      </c>
      <c r="N164" t="str">
        <f>IF('Raw Data'!N164="","",IF('Raw Data'!N164="-",0,'Raw Data'!N164))</f>
        <v/>
      </c>
      <c r="O164" t="str">
        <f>IF('Raw Data'!O164="",IF('Raw Data'!N164="","",0),'Raw Data'!O164)</f>
        <v/>
      </c>
      <c r="P164" t="str">
        <f>IF('Raw Data'!P164="","",'Raw Data'!P164)</f>
        <v/>
      </c>
      <c r="W164" s="4"/>
      <c r="X164" s="4"/>
      <c r="Y164" s="3"/>
      <c r="Z164" s="4" t="str">
        <f>IF('Raw Data'!O164="","",O163+N163)</f>
        <v/>
      </c>
    </row>
    <row r="165" spans="1:27" x14ac:dyDescent="0.25">
      <c r="A165" t="str">
        <f>IF('Raw Data'!A165="","",'Raw Data'!A165)</f>
        <v>DH</v>
      </c>
      <c r="B165" t="str">
        <f>IF('Raw Data'!B165="","",'Raw Data'!B165)</f>
        <v>DG</v>
      </c>
      <c r="C165">
        <f>IF('Raw Data'!C165="","",'Raw Data'!C165)</f>
        <v>20</v>
      </c>
      <c r="D165">
        <f>IF('Raw Data'!D165="","",'Raw Data'!D165)</f>
        <v>1</v>
      </c>
      <c r="E165">
        <f>IF('Raw Data'!E165="","",'Raw Data'!E165)</f>
        <v>1</v>
      </c>
      <c r="F165">
        <f>IF('Raw Data'!F165="","",'Raw Data'!F165)</f>
        <v>3</v>
      </c>
      <c r="G165" s="7" t="str">
        <f>IF('Raw Data'!G165="/","-",IF('Raw Data'!G165="","-",SUBSTITUTE('Raw Data'!G165," ",":",1)))</f>
        <v>-</v>
      </c>
      <c r="H165" s="7" t="str">
        <f>IF('Raw Data'!H165="/","-",IF('Raw Data'!H165="","-",SUBSTITUTE('Raw Data'!H165," ",":",1)))</f>
        <v>175:00</v>
      </c>
      <c r="I165" s="7" t="str">
        <f>IF('Raw Data'!I165="/","-",IF('Raw Data'!I165="","-",SUBSTITUTE('Raw Data'!I165," ",":",1)))</f>
        <v>355:00</v>
      </c>
      <c r="J165" s="12">
        <f>IF('Raw Data'!J165="",IF(LEN(K165)&gt;6,SQRT('Raw Data'!M165^2+N165^2),""),'Raw Data'!J165)</f>
        <v>5.6</v>
      </c>
      <c r="K165" s="7" t="str">
        <f>IF('Raw Data'!K165="","",IF(LEN('Raw Data'!K165)&lt;7,SUBSTITUTE('Raw Data'!K165," ",":",1),'Raw Data'!K165))</f>
        <v>30:00</v>
      </c>
      <c r="L165" t="str">
        <f>IF('Raw Data'!L165="","",'Raw Data'!L165)</f>
        <v/>
      </c>
      <c r="M165">
        <f>IF('Raw Data'!M165="","",'Raw Data'!M165)</f>
        <v>4.9000000000000004</v>
      </c>
      <c r="N165">
        <f>IF('Raw Data'!N165="","",IF('Raw Data'!N165="-",0,'Raw Data'!N165))</f>
        <v>2.8</v>
      </c>
      <c r="O165">
        <f>IF('Raw Data'!O165="",IF('Raw Data'!N165="","",0),'Raw Data'!O165)</f>
        <v>305.10000000000002</v>
      </c>
      <c r="P165" t="str">
        <f>IF('Raw Data'!P165="","",'Raw Data'!P165)</f>
        <v/>
      </c>
      <c r="R165" s="3" t="str">
        <f t="shared" si="69"/>
        <v>-</v>
      </c>
      <c r="S165" s="3">
        <f t="shared" si="70"/>
        <v>175</v>
      </c>
      <c r="T165" s="3">
        <f t="shared" si="71"/>
        <v>355</v>
      </c>
      <c r="U165" s="3">
        <f t="shared" ref="U165:U182" si="76">IF(ISERROR(FIND(":",K165)),IF(K165="zero",0,1*K165),1*CONCATENATE(LEFT(K165,FIND(":",K165)-1),".",MID(RIGHT(K165,LEN(K165)-FIND(":",K165))/60,3,8)))</f>
        <v>30</v>
      </c>
      <c r="W165" s="4">
        <f t="shared" si="72"/>
        <v>4.8497422611928567</v>
      </c>
      <c r="X165" s="4">
        <f t="shared" si="73"/>
        <v>2.7999999999999994</v>
      </c>
      <c r="Y165" s="3">
        <f t="shared" si="74"/>
        <v>355</v>
      </c>
      <c r="Z165" s="4">
        <f>IF('Raw Data'!O165="","",O161+N161)</f>
        <v>305.10000000000002</v>
      </c>
    </row>
    <row r="166" spans="1:27" x14ac:dyDescent="0.25">
      <c r="A166" t="str">
        <f>IF('Raw Data'!A166="","",'Raw Data'!A166)</f>
        <v>DG</v>
      </c>
      <c r="B166" t="str">
        <f>IF('Raw Data'!B166="","",'Raw Data'!B166)</f>
        <v>DF</v>
      </c>
      <c r="C166">
        <f>IF('Raw Data'!C166="","",'Raw Data'!C166)</f>
        <v>10</v>
      </c>
      <c r="D166">
        <f>IF('Raw Data'!D166="","",'Raw Data'!D166)</f>
        <v>5</v>
      </c>
      <c r="E166">
        <f>IF('Raw Data'!E166="","",'Raw Data'!E166)</f>
        <v>2</v>
      </c>
      <c r="F166">
        <f>IF('Raw Data'!F166="","",'Raw Data'!F166)</f>
        <v>1</v>
      </c>
      <c r="G166" s="7" t="str">
        <f>IF('Raw Data'!G166="/","-",IF('Raw Data'!G166="","-",SUBSTITUTE('Raw Data'!G166," ",":",1)))</f>
        <v>317:00</v>
      </c>
      <c r="H166" s="7" t="str">
        <f>IF('Raw Data'!H166="/","-",IF('Raw Data'!H166="","-",SUBSTITUTE('Raw Data'!H166," ",":",1)))</f>
        <v>-</v>
      </c>
      <c r="I166" s="7" t="str">
        <f>IF('Raw Data'!I166="/","-",IF('Raw Data'!I166="","-",SUBSTITUTE('Raw Data'!I166," ",":",1)))</f>
        <v>317:00</v>
      </c>
      <c r="J166" s="12">
        <f>IF('Raw Data'!J166="",IF(LEN(K166)&gt;6,SQRT('Raw Data'!M166^2+N166^2),""),'Raw Data'!J166)</f>
        <v>8.6999999999999993</v>
      </c>
      <c r="K166" s="7" t="str">
        <f>IF('Raw Data'!K166="","",IF(LEN('Raw Data'!K166)&lt;7,SUBSTITUTE('Raw Data'!K166," ",":",1),'Raw Data'!K166))</f>
        <v>2:00</v>
      </c>
      <c r="L166" t="str">
        <f>IF('Raw Data'!L166="","",'Raw Data'!L166)</f>
        <v/>
      </c>
      <c r="M166">
        <f>IF('Raw Data'!M166="","",'Raw Data'!M166)</f>
        <v>8.6999999999999993</v>
      </c>
      <c r="N166">
        <f>IF('Raw Data'!N166="","",IF('Raw Data'!N166="-",0,'Raw Data'!N166))</f>
        <v>0.3</v>
      </c>
      <c r="O166">
        <f>IF('Raw Data'!O166="",IF('Raw Data'!N166="","",0),'Raw Data'!O166)</f>
        <v>307.89999999999998</v>
      </c>
      <c r="P166" t="str">
        <f>IF('Raw Data'!P166="","",'Raw Data'!P166)</f>
        <v/>
      </c>
      <c r="R166" s="3">
        <f t="shared" si="69"/>
        <v>317</v>
      </c>
      <c r="S166" s="3" t="str">
        <f t="shared" si="70"/>
        <v>-</v>
      </c>
      <c r="T166" s="3">
        <f t="shared" si="71"/>
        <v>317</v>
      </c>
      <c r="U166" s="3">
        <f t="shared" si="76"/>
        <v>2</v>
      </c>
      <c r="W166" s="4">
        <f t="shared" si="72"/>
        <v>8.6947001950661331</v>
      </c>
      <c r="X166" s="4">
        <f t="shared" si="73"/>
        <v>0.30362562131175841</v>
      </c>
      <c r="Y166" s="3">
        <f t="shared" si="74"/>
        <v>317</v>
      </c>
      <c r="Z166" s="4">
        <f>IF('Raw Data'!O166="","",O165+N165)</f>
        <v>307.90000000000003</v>
      </c>
    </row>
    <row r="167" spans="1:27" x14ac:dyDescent="0.25">
      <c r="A167" t="str">
        <f>IF('Raw Data'!A167="","",'Raw Data'!A167)</f>
        <v>DF</v>
      </c>
      <c r="B167" t="str">
        <f>IF('Raw Data'!B167="","",'Raw Data'!B167)</f>
        <v>DE</v>
      </c>
      <c r="C167">
        <f>IF('Raw Data'!C167="","",'Raw Data'!C167)</f>
        <v>15</v>
      </c>
      <c r="D167">
        <f>IF('Raw Data'!D167="","",'Raw Data'!D167)</f>
        <v>4</v>
      </c>
      <c r="E167">
        <f>IF('Raw Data'!E167="","",'Raw Data'!E167)</f>
        <v>2</v>
      </c>
      <c r="F167">
        <f>IF('Raw Data'!F167="","",'Raw Data'!F167)</f>
        <v>1</v>
      </c>
      <c r="G167" s="7" t="str">
        <f>IF('Raw Data'!G167="/","-",IF('Raw Data'!G167="","-",SUBSTITUTE('Raw Data'!G167," ",":",1)))</f>
        <v>-</v>
      </c>
      <c r="H167" s="7" t="str">
        <f>IF('Raw Data'!H167="/","-",IF('Raw Data'!H167="","-",SUBSTITUTE('Raw Data'!H167," ",":",1)))</f>
        <v>087:00</v>
      </c>
      <c r="I167" s="7" t="str">
        <f>IF('Raw Data'!I167="/","-",IF('Raw Data'!I167="","-",SUBSTITUTE('Raw Data'!I167," ",":",1)))</f>
        <v>267:00</v>
      </c>
      <c r="J167" s="12">
        <f>IF('Raw Data'!J167="",IF(LEN(K167)&gt;6,SQRT('Raw Data'!M167^2+N167^2),""),'Raw Data'!J167)</f>
        <v>3.1</v>
      </c>
      <c r="K167" s="7" t="str">
        <f>IF('Raw Data'!K167="","",IF(LEN('Raw Data'!K167)&lt;7,SUBSTITUTE('Raw Data'!K167," ",":",1),'Raw Data'!K167))</f>
        <v>21:00</v>
      </c>
      <c r="L167" t="str">
        <f>IF('Raw Data'!L167="","",'Raw Data'!L167)</f>
        <v/>
      </c>
      <c r="M167">
        <f>IF('Raw Data'!M167="","",'Raw Data'!M167)</f>
        <v>2.9</v>
      </c>
      <c r="N167">
        <f>IF('Raw Data'!N167="","",IF('Raw Data'!N167="-",0,'Raw Data'!N167))</f>
        <v>0.7</v>
      </c>
      <c r="O167">
        <f>IF('Raw Data'!O167="",IF('Raw Data'!N167="","",0),'Raw Data'!O167)</f>
        <v>308.2</v>
      </c>
      <c r="P167" t="str">
        <f>IF('Raw Data'!P167="","",'Raw Data'!P167)</f>
        <v/>
      </c>
      <c r="R167" s="3" t="str">
        <f t="shared" si="69"/>
        <v>-</v>
      </c>
      <c r="S167" s="3">
        <f t="shared" si="70"/>
        <v>87</v>
      </c>
      <c r="T167" s="3">
        <f t="shared" si="71"/>
        <v>267</v>
      </c>
      <c r="U167" s="3">
        <f t="shared" si="76"/>
        <v>21</v>
      </c>
      <c r="W167" s="4">
        <f t="shared" si="72"/>
        <v>2.8940993221413254</v>
      </c>
      <c r="X167" s="4">
        <f t="shared" si="73"/>
        <v>1.1109406435904308</v>
      </c>
      <c r="Y167" s="3">
        <f t="shared" si="74"/>
        <v>267</v>
      </c>
      <c r="Z167" s="4">
        <f>IF('Raw Data'!O167="","",O166+N166)</f>
        <v>308.2</v>
      </c>
      <c r="AA167" t="s">
        <v>900</v>
      </c>
    </row>
    <row r="168" spans="1:27" x14ac:dyDescent="0.25">
      <c r="A168" t="str">
        <f>IF('Raw Data'!A168="","",'Raw Data'!A168)</f>
        <v>DE</v>
      </c>
      <c r="B168" t="str">
        <f>IF('Raw Data'!B168="","",'Raw Data'!B168)</f>
        <v>DD</v>
      </c>
      <c r="C168">
        <f>IF('Raw Data'!C168="","",'Raw Data'!C168)</f>
        <v>15</v>
      </c>
      <c r="D168">
        <f>IF('Raw Data'!D168="","",'Raw Data'!D168)</f>
        <v>6</v>
      </c>
      <c r="E168">
        <f>IF('Raw Data'!E168="","",'Raw Data'!E168)</f>
        <v>1</v>
      </c>
      <c r="F168">
        <f>IF('Raw Data'!F168="","",'Raw Data'!F168)</f>
        <v>2</v>
      </c>
      <c r="G168" s="7" t="str">
        <f>IF('Raw Data'!G168="/","-",IF('Raw Data'!G168="","-",SUBSTITUTE('Raw Data'!G168," ",":",1)))</f>
        <v>299:00</v>
      </c>
      <c r="H168" s="7" t="str">
        <f>IF('Raw Data'!H168="/","-",IF('Raw Data'!H168="","-",SUBSTITUTE('Raw Data'!H168," ",":",1)))</f>
        <v>-</v>
      </c>
      <c r="I168" s="7" t="str">
        <f>IF('Raw Data'!I168="/","-",IF('Raw Data'!I168="","-",SUBSTITUTE('Raw Data'!I168," ",":",1)))</f>
        <v>299:00</v>
      </c>
      <c r="J168" s="12">
        <f>IF('Raw Data'!J168="",IF(LEN(K168)&gt;6,SQRT('Raw Data'!M168^2+N168^2),""),'Raw Data'!J168)</f>
        <v>13.4</v>
      </c>
      <c r="K168" s="7" t="str">
        <f>IF('Raw Data'!K168="","",IF(LEN('Raw Data'!K168)&lt;7,SUBSTITUTE('Raw Data'!K168," ",":",1),'Raw Data'!K168))</f>
        <v>-15:00</v>
      </c>
      <c r="L168" t="str">
        <f>IF('Raw Data'!L168="","",'Raw Data'!L168)</f>
        <v/>
      </c>
      <c r="M168">
        <f>IF('Raw Data'!M168="","",'Raw Data'!M168)</f>
        <v>12.9</v>
      </c>
      <c r="N168">
        <f>IF('Raw Data'!N168="","",IF('Raw Data'!N168="-",0,'Raw Data'!N168))</f>
        <v>-3.5</v>
      </c>
      <c r="O168">
        <f>IF('Raw Data'!O168="",IF('Raw Data'!N168="","",0),'Raw Data'!O168)</f>
        <v>308.89999999999998</v>
      </c>
      <c r="P168" t="str">
        <f>IF('Raw Data'!P168="","",'Raw Data'!P168)</f>
        <v/>
      </c>
      <c r="R168" s="3">
        <f t="shared" si="69"/>
        <v>299</v>
      </c>
      <c r="S168" s="3" t="str">
        <f t="shared" si="70"/>
        <v>-</v>
      </c>
      <c r="T168" s="3">
        <f t="shared" si="71"/>
        <v>299</v>
      </c>
      <c r="U168" s="3">
        <f t="shared" si="76"/>
        <v>-15</v>
      </c>
      <c r="W168" s="4">
        <f t="shared" si="72"/>
        <v>12.943406072273516</v>
      </c>
      <c r="X168" s="4">
        <f t="shared" si="73"/>
        <v>-3.4681752043737779</v>
      </c>
      <c r="Y168" s="3">
        <f t="shared" si="74"/>
        <v>299</v>
      </c>
      <c r="Z168" s="4">
        <f>IF('Raw Data'!O168="","",O167+N167)</f>
        <v>308.89999999999998</v>
      </c>
    </row>
    <row r="169" spans="1:27" x14ac:dyDescent="0.25">
      <c r="A169" t="str">
        <f>IF('Raw Data'!A169="","",'Raw Data'!A169)</f>
        <v>DD</v>
      </c>
      <c r="B169" t="str">
        <f>IF('Raw Data'!B169="","",'Raw Data'!B169)</f>
        <v>DC</v>
      </c>
      <c r="C169">
        <f>IF('Raw Data'!C169="","",'Raw Data'!C169)</f>
        <v>16</v>
      </c>
      <c r="D169">
        <f>IF('Raw Data'!D169="","",'Raw Data'!D169)</f>
        <v>2</v>
      </c>
      <c r="E169" t="str">
        <f>IF('Raw Data'!E169="","",'Raw Data'!E169)</f>
        <v>-</v>
      </c>
      <c r="F169">
        <f>IF('Raw Data'!F169="","",'Raw Data'!F169)</f>
        <v>2</v>
      </c>
      <c r="G169" s="7" t="str">
        <f>IF('Raw Data'!G169="/","-",IF('Raw Data'!G169="","-",SUBSTITUTE('Raw Data'!G169," ",":",1)))</f>
        <v>-</v>
      </c>
      <c r="H169" s="7" t="str">
        <f>IF('Raw Data'!H169="/","-",IF('Raw Data'!H169="","-",SUBSTITUTE('Raw Data'!H169," ",":",1)))</f>
        <v>145:30</v>
      </c>
      <c r="I169" s="7" t="str">
        <f>IF('Raw Data'!I169="/","-",IF('Raw Data'!I169="","-",SUBSTITUTE('Raw Data'!I169," ",":",1)))</f>
        <v>325:30</v>
      </c>
      <c r="J169" s="12">
        <f>IF('Raw Data'!J169="",IF(LEN(K169)&gt;6,SQRT('Raw Data'!M169^2+N169^2),""),'Raw Data'!J169)</f>
        <v>19.2</v>
      </c>
      <c r="K169" s="7" t="str">
        <f>IF('Raw Data'!K169="","",IF(LEN('Raw Data'!K169)&lt;7,SUBSTITUTE('Raw Data'!K169," ",":",1),'Raw Data'!K169))</f>
        <v>-2:30</v>
      </c>
      <c r="L169" t="str">
        <f>IF('Raw Data'!L169="","",'Raw Data'!L169)</f>
        <v/>
      </c>
      <c r="M169">
        <f>IF('Raw Data'!M169="","",'Raw Data'!M169)</f>
        <v>19.100000000000001</v>
      </c>
      <c r="N169">
        <f>IF('Raw Data'!N169="","",IF('Raw Data'!N169="-",0,'Raw Data'!N169))</f>
        <v>-0.8</v>
      </c>
      <c r="O169">
        <f>IF('Raw Data'!O169="",IF('Raw Data'!N169="","",0),'Raw Data'!O169)</f>
        <v>305.39999999999998</v>
      </c>
      <c r="P169" t="str">
        <f>IF('Raw Data'!P169="","",'Raw Data'!P169)</f>
        <v/>
      </c>
      <c r="R169" s="3" t="str">
        <f t="shared" si="69"/>
        <v>-</v>
      </c>
      <c r="S169" s="3">
        <f t="shared" si="70"/>
        <v>145.5</v>
      </c>
      <c r="T169" s="3">
        <f t="shared" si="71"/>
        <v>325.5</v>
      </c>
      <c r="U169" s="3">
        <f t="shared" si="76"/>
        <v>-2.5</v>
      </c>
      <c r="W169" s="4">
        <f t="shared" si="72"/>
        <v>19.18172585437167</v>
      </c>
      <c r="X169" s="4">
        <f t="shared" si="73"/>
        <v>-0.83749223741445122</v>
      </c>
      <c r="Y169" s="3">
        <f t="shared" si="74"/>
        <v>325.5</v>
      </c>
      <c r="Z169" s="4">
        <f>IF('Raw Data'!O169="","",O168+N168)</f>
        <v>305.39999999999998</v>
      </c>
    </row>
    <row r="170" spans="1:27" x14ac:dyDescent="0.25">
      <c r="A170" t="str">
        <f>IF('Raw Data'!A170="","",'Raw Data'!A170)</f>
        <v>DC</v>
      </c>
      <c r="B170" t="str">
        <f>IF('Raw Data'!B170="","",'Raw Data'!B170)</f>
        <v>DB</v>
      </c>
      <c r="C170">
        <f>IF('Raw Data'!C170="","",'Raw Data'!C170)</f>
        <v>6</v>
      </c>
      <c r="D170">
        <f>IF('Raw Data'!D170="","",'Raw Data'!D170)</f>
        <v>5</v>
      </c>
      <c r="E170">
        <f>IF('Raw Data'!E170="","",'Raw Data'!E170)</f>
        <v>4</v>
      </c>
      <c r="F170">
        <f>IF('Raw Data'!F170="","",'Raw Data'!F170)</f>
        <v>1</v>
      </c>
      <c r="G170" s="7" t="str">
        <f>IF('Raw Data'!G170="/","-",IF('Raw Data'!G170="","-",SUBSTITUTE('Raw Data'!G170," ",":",1)))</f>
        <v>319:30</v>
      </c>
      <c r="H170" s="7" t="str">
        <f>IF('Raw Data'!H170="/","-",IF('Raw Data'!H170="","-",SUBSTITUTE('Raw Data'!H170," ",":",1)))</f>
        <v>-</v>
      </c>
      <c r="I170" s="7" t="str">
        <f>IF('Raw Data'!I170="/","-",IF('Raw Data'!I170="","-",SUBSTITUTE('Raw Data'!I170," ",":",1)))</f>
        <v>319:30</v>
      </c>
      <c r="J170" s="12">
        <f>IF('Raw Data'!J170="",IF(LEN(K170)&gt;6,SQRT('Raw Data'!M170^2+N170^2),""),'Raw Data'!J170)</f>
        <v>20.100000000000001</v>
      </c>
      <c r="K170" s="7" t="str">
        <f>IF('Raw Data'!K170="","",IF(LEN('Raw Data'!K170)&lt;7,SUBSTITUTE('Raw Data'!K170," ",":",1),'Raw Data'!K170))</f>
        <v>-13:00</v>
      </c>
      <c r="L170" t="str">
        <f>IF('Raw Data'!L170="","",'Raw Data'!L170)</f>
        <v/>
      </c>
      <c r="M170">
        <f>IF('Raw Data'!M170="","",'Raw Data'!M170)</f>
        <v>19.600000000000001</v>
      </c>
      <c r="N170">
        <f>IF('Raw Data'!N170="","",IF('Raw Data'!N170="-",0,'Raw Data'!N170))</f>
        <v>-4.5</v>
      </c>
      <c r="O170">
        <f>IF('Raw Data'!O170="",IF('Raw Data'!N170="","",0),'Raw Data'!O170)</f>
        <v>304.60000000000002</v>
      </c>
      <c r="P170" t="str">
        <f>IF('Raw Data'!P170="","",'Raw Data'!P170)</f>
        <v/>
      </c>
      <c r="R170" s="3">
        <f t="shared" si="69"/>
        <v>319.5</v>
      </c>
      <c r="S170" s="3" t="str">
        <f t="shared" si="70"/>
        <v>-</v>
      </c>
      <c r="T170" s="3">
        <f t="shared" si="71"/>
        <v>319.5</v>
      </c>
      <c r="U170" s="3">
        <f t="shared" si="76"/>
        <v>-13</v>
      </c>
      <c r="W170" s="4">
        <f t="shared" si="72"/>
        <v>19.584838302183229</v>
      </c>
      <c r="X170" s="4">
        <f t="shared" si="73"/>
        <v>-4.5215161923116867</v>
      </c>
      <c r="Y170" s="3">
        <f t="shared" si="74"/>
        <v>319.5</v>
      </c>
      <c r="Z170" s="4">
        <f>IF('Raw Data'!O170="","",O169+N169)</f>
        <v>304.59999999999997</v>
      </c>
    </row>
    <row r="171" spans="1:27" x14ac:dyDescent="0.25">
      <c r="A171" t="str">
        <f>IF('Raw Data'!A171="","",'Raw Data'!A171)</f>
        <v>DB</v>
      </c>
      <c r="B171" t="str">
        <f>IF('Raw Data'!B171="","",'Raw Data'!B171)</f>
        <v>DA</v>
      </c>
      <c r="C171">
        <f>IF('Raw Data'!C171="","",'Raw Data'!C171)</f>
        <v>12</v>
      </c>
      <c r="D171">
        <f>IF('Raw Data'!D171="","",'Raw Data'!D171)</f>
        <v>3</v>
      </c>
      <c r="E171">
        <f>IF('Raw Data'!E171="","",'Raw Data'!E171)</f>
        <v>2</v>
      </c>
      <c r="F171" t="str">
        <f>IF('Raw Data'!F171="","",'Raw Data'!F171)</f>
        <v>-</v>
      </c>
      <c r="G171" s="7" t="str">
        <f>IF('Raw Data'!G171="/","-",IF('Raw Data'!G171="","-",SUBSTITUTE('Raw Data'!G171," ",":",1)))</f>
        <v>-</v>
      </c>
      <c r="H171" s="7" t="str">
        <f>IF('Raw Data'!H171="/","-",IF('Raw Data'!H171="","-",SUBSTITUTE('Raw Data'!H171," ",":",1)))</f>
        <v>089:00</v>
      </c>
      <c r="I171" s="7" t="str">
        <f>IF('Raw Data'!I171="/","-",IF('Raw Data'!I171="","-",SUBSTITUTE('Raw Data'!I171," ",":",1)))</f>
        <v>269:00</v>
      </c>
      <c r="J171" s="12">
        <f>IF('Raw Data'!J171="",IF(LEN(K171)&gt;6,SQRT('Raw Data'!M171^2+N171^2),""),'Raw Data'!J171)</f>
        <v>23.2</v>
      </c>
      <c r="K171" s="7" t="str">
        <f>IF('Raw Data'!K171="","",IF(LEN('Raw Data'!K171)&lt;7,SUBSTITUTE('Raw Data'!K171," ",":",1),'Raw Data'!K171))</f>
        <v>-15:00</v>
      </c>
      <c r="L171" t="str">
        <f>IF('Raw Data'!L171="","",'Raw Data'!L171)</f>
        <v/>
      </c>
      <c r="M171">
        <f>IF('Raw Data'!M171="","",'Raw Data'!M171)</f>
        <v>22.4</v>
      </c>
      <c r="N171">
        <f>IF('Raw Data'!N171="","",IF('Raw Data'!N171="-",0,'Raw Data'!N171))</f>
        <v>-6</v>
      </c>
      <c r="O171">
        <f>IF('Raw Data'!O171="",IF('Raw Data'!N171="","",0),'Raw Data'!O171)</f>
        <v>300.10000000000002</v>
      </c>
      <c r="P171" t="str">
        <f>IF('Raw Data'!P171="","",'Raw Data'!P171)</f>
        <v>Entrance to Old Grotto.</v>
      </c>
      <c r="R171" s="3" t="str">
        <f t="shared" si="69"/>
        <v>-</v>
      </c>
      <c r="S171" s="3">
        <f t="shared" si="70"/>
        <v>89</v>
      </c>
      <c r="T171" s="3">
        <f t="shared" si="71"/>
        <v>269</v>
      </c>
      <c r="U171" s="3">
        <f t="shared" si="76"/>
        <v>-15</v>
      </c>
      <c r="W171" s="4">
        <f t="shared" si="72"/>
        <v>22.409479169906383</v>
      </c>
      <c r="X171" s="4">
        <f t="shared" si="73"/>
        <v>-6.0046018463784812</v>
      </c>
      <c r="Y171" s="3">
        <f t="shared" si="74"/>
        <v>269</v>
      </c>
      <c r="Z171" s="4">
        <f>IF('Raw Data'!O171="","",O170+N170)</f>
        <v>300.10000000000002</v>
      </c>
    </row>
    <row r="172" spans="1:27" x14ac:dyDescent="0.25">
      <c r="A172" t="str">
        <f>IF('Raw Data'!A172="","",'Raw Data'!A172)</f>
        <v>DA</v>
      </c>
      <c r="B172" t="str">
        <f>IF('Raw Data'!B172="","",'Raw Data'!B172)</f>
        <v>CZ</v>
      </c>
      <c r="C172">
        <f>IF('Raw Data'!C172="","",'Raw Data'!C172)</f>
        <v>10</v>
      </c>
      <c r="D172">
        <f>IF('Raw Data'!D172="","",'Raw Data'!D172)</f>
        <v>2</v>
      </c>
      <c r="E172" t="str">
        <f>IF('Raw Data'!E172="","",'Raw Data'!E172)</f>
        <v>/</v>
      </c>
      <c r="F172">
        <f>IF('Raw Data'!F172="","",'Raw Data'!F172)</f>
        <v>7</v>
      </c>
      <c r="G172" s="7" t="str">
        <f>IF('Raw Data'!G172="/","-",IF('Raw Data'!G172="","-",SUBSTITUTE('Raw Data'!G172," ",":",1)))</f>
        <v>202:20</v>
      </c>
      <c r="H172" s="7" t="str">
        <f>IF('Raw Data'!H172="/","-",IF('Raw Data'!H172="","-",SUBSTITUTE('Raw Data'!H172," ",":",1)))</f>
        <v>-</v>
      </c>
      <c r="I172" s="7" t="str">
        <f>IF('Raw Data'!I172="/","-",IF('Raw Data'!I172="","-",SUBSTITUTE('Raw Data'!I172," ",":",1)))</f>
        <v>202:20</v>
      </c>
      <c r="J172" s="12">
        <f>IF('Raw Data'!J172="",IF(LEN(K172)&gt;6,SQRT('Raw Data'!M172^2+N172^2),""),'Raw Data'!J172)</f>
        <v>27.9</v>
      </c>
      <c r="K172" s="7" t="str">
        <f>IF('Raw Data'!K172="","",IF(LEN('Raw Data'!K172)&lt;7,SUBSTITUTE('Raw Data'!K172," ",":",1),'Raw Data'!K172))</f>
        <v>-41:30</v>
      </c>
      <c r="L172" t="str">
        <f>IF('Raw Data'!L172="","",'Raw Data'!L172)</f>
        <v/>
      </c>
      <c r="M172">
        <f>IF('Raw Data'!M172="","",'Raw Data'!M172)</f>
        <v>20.9</v>
      </c>
      <c r="N172">
        <f>IF('Raw Data'!N172="","",IF('Raw Data'!N172="-",0,'Raw Data'!N172))</f>
        <v>-18.5</v>
      </c>
      <c r="O172">
        <f>IF('Raw Data'!O172="",IF('Raw Data'!N172="","",0),'Raw Data'!O172)</f>
        <v>294.10000000000002</v>
      </c>
      <c r="P172" t="str">
        <f>IF('Raw Data'!P172="","",'Raw Data'!P172)</f>
        <v/>
      </c>
      <c r="R172" s="3">
        <f t="shared" si="69"/>
        <v>202.33333333333334</v>
      </c>
      <c r="S172" s="3" t="str">
        <f t="shared" si="70"/>
        <v>-</v>
      </c>
      <c r="T172" s="3">
        <f t="shared" si="71"/>
        <v>202.33333333333334</v>
      </c>
      <c r="U172" s="3">
        <f t="shared" si="76"/>
        <v>-41.5</v>
      </c>
      <c r="W172" s="4">
        <f t="shared" si="72"/>
        <v>20.89586461001316</v>
      </c>
      <c r="X172" s="4">
        <f t="shared" si="73"/>
        <v>-18.487099345219075</v>
      </c>
      <c r="Y172" s="3">
        <f t="shared" si="74"/>
        <v>202.33333333333334</v>
      </c>
      <c r="Z172" s="4">
        <f>IF('Raw Data'!O172="","",O171+N171)</f>
        <v>294.10000000000002</v>
      </c>
    </row>
    <row r="173" spans="1:27" x14ac:dyDescent="0.25">
      <c r="A173" t="str">
        <f>IF('Raw Data'!A173="","",'Raw Data'!A173)</f>
        <v>CZ</v>
      </c>
      <c r="B173" t="str">
        <f>IF('Raw Data'!B173="","",'Raw Data'!B173)</f>
        <v>CY</v>
      </c>
      <c r="C173">
        <f>IF('Raw Data'!C173="","",'Raw Data'!C173)</f>
        <v>25</v>
      </c>
      <c r="D173">
        <f>IF('Raw Data'!D173="","",'Raw Data'!D173)</f>
        <v>4</v>
      </c>
      <c r="E173">
        <f>IF('Raw Data'!E173="","",'Raw Data'!E173)</f>
        <v>3</v>
      </c>
      <c r="F173">
        <f>IF('Raw Data'!F173="","",'Raw Data'!F173)</f>
        <v>2</v>
      </c>
      <c r="G173" s="7" t="str">
        <f>IF('Raw Data'!G173="/","-",IF('Raw Data'!G173="","-",SUBSTITUTE('Raw Data'!G173," ",":",1)))</f>
        <v>-</v>
      </c>
      <c r="H173" s="7" t="str">
        <f>IF('Raw Data'!H173="/","-",IF('Raw Data'!H173="","-",SUBSTITUTE('Raw Data'!H173," ",":",1)))</f>
        <v>069:00</v>
      </c>
      <c r="I173" s="7" t="str">
        <f>IF('Raw Data'!I173="/","-",IF('Raw Data'!I173="","-",SUBSTITUTE('Raw Data'!I173," ",":",1)))</f>
        <v>249:00</v>
      </c>
      <c r="J173" s="12">
        <f>IF('Raw Data'!J173="",IF(LEN(K173)&gt;6,SQRT('Raw Data'!M173^2+N173^2),""),'Raw Data'!J173)</f>
        <v>22.6</v>
      </c>
      <c r="K173" s="7" t="str">
        <f>IF('Raw Data'!K173="","",IF(LEN('Raw Data'!K173)&lt;7,SUBSTITUTE('Raw Data'!K173," ",":",1),'Raw Data'!K173))</f>
        <v>-17:00</v>
      </c>
      <c r="L173" t="str">
        <f>IF('Raw Data'!L173="","",'Raw Data'!L173)</f>
        <v/>
      </c>
      <c r="M173">
        <f>IF('Raw Data'!M173="","",'Raw Data'!M173)</f>
        <v>21.6</v>
      </c>
      <c r="N173">
        <f>IF('Raw Data'!N173="","",IF('Raw Data'!N173="-",0,'Raw Data'!N173))</f>
        <v>-6.6</v>
      </c>
      <c r="O173">
        <f>IF('Raw Data'!O173="",IF('Raw Data'!N173="","",0),'Raw Data'!O173)</f>
        <v>275.60000000000002</v>
      </c>
      <c r="P173" t="str">
        <f>IF('Raw Data'!P173="","",'Raw Data'!P173)</f>
        <v/>
      </c>
      <c r="R173" s="3" t="str">
        <f t="shared" si="69"/>
        <v>-</v>
      </c>
      <c r="S173" s="3">
        <f t="shared" si="70"/>
        <v>69</v>
      </c>
      <c r="T173" s="3">
        <f t="shared" si="71"/>
        <v>249</v>
      </c>
      <c r="U173" s="3">
        <f t="shared" si="76"/>
        <v>-17</v>
      </c>
      <c r="W173" s="4">
        <f t="shared" si="72"/>
        <v>21.612487484764603</v>
      </c>
      <c r="X173" s="4">
        <f t="shared" si="73"/>
        <v>-6.6076005267338518</v>
      </c>
      <c r="Y173" s="3">
        <f t="shared" si="74"/>
        <v>249</v>
      </c>
      <c r="Z173" s="4">
        <f>IF('Raw Data'!O173="","",O172+N172)</f>
        <v>275.60000000000002</v>
      </c>
    </row>
    <row r="174" spans="1:27" x14ac:dyDescent="0.25">
      <c r="A174" t="str">
        <f>IF('Raw Data'!A174="","",'Raw Data'!A174)</f>
        <v>CY</v>
      </c>
      <c r="B174" t="str">
        <f>IF('Raw Data'!B174="","",'Raw Data'!B174)</f>
        <v>CX</v>
      </c>
      <c r="C174">
        <f>IF('Raw Data'!C174="","",'Raw Data'!C174)</f>
        <v>25</v>
      </c>
      <c r="D174">
        <f>IF('Raw Data'!D174="","",'Raw Data'!D174)</f>
        <v>2</v>
      </c>
      <c r="E174">
        <f>IF('Raw Data'!E174="","",'Raw Data'!E174)</f>
        <v>1</v>
      </c>
      <c r="F174">
        <f>IF('Raw Data'!F174="","",'Raw Data'!F174)</f>
        <v>2</v>
      </c>
      <c r="G174" s="7" t="str">
        <f>IF('Raw Data'!G174="/","-",IF('Raw Data'!G174="","-",SUBSTITUTE('Raw Data'!G174," ",":",1)))</f>
        <v>292:00</v>
      </c>
      <c r="H174" s="7" t="str">
        <f>IF('Raw Data'!H174="/","-",IF('Raw Data'!H174="","-",SUBSTITUTE('Raw Data'!H174," ",":",1)))</f>
        <v>-</v>
      </c>
      <c r="I174" s="7" t="str">
        <f>IF('Raw Data'!I174="/","-",IF('Raw Data'!I174="","-",SUBSTITUTE('Raw Data'!I174," ",":",1)))</f>
        <v>292:00</v>
      </c>
      <c r="J174" s="12">
        <f>IF('Raw Data'!J174="",IF(LEN(K174)&gt;6,SQRT('Raw Data'!M174^2+N174^2),""),'Raw Data'!J174)</f>
        <v>27.4</v>
      </c>
      <c r="K174" s="7" t="str">
        <f>IF('Raw Data'!K174="","",IF(LEN('Raw Data'!K174)&lt;7,SUBSTITUTE('Raw Data'!K174," ",":",1),'Raw Data'!K174))</f>
        <v>-6:40</v>
      </c>
      <c r="L174" t="str">
        <f>IF('Raw Data'!L174="","",'Raw Data'!L174)</f>
        <v/>
      </c>
      <c r="M174">
        <f>IF('Raw Data'!M174="","",'Raw Data'!M174)</f>
        <v>27.2</v>
      </c>
      <c r="N174">
        <f>IF('Raw Data'!N174="","",IF('Raw Data'!N174="-",0,'Raw Data'!N174))</f>
        <v>-3.2</v>
      </c>
      <c r="O174">
        <f>IF('Raw Data'!O174="",IF('Raw Data'!N174="","",0),'Raw Data'!O174)</f>
        <v>269</v>
      </c>
      <c r="P174" t="str">
        <f>IF('Raw Data'!P174="","",'Raw Data'!P174)</f>
        <v/>
      </c>
      <c r="R174" s="3">
        <f t="shared" si="69"/>
        <v>292</v>
      </c>
      <c r="S174" s="3" t="str">
        <f t="shared" si="70"/>
        <v>-</v>
      </c>
      <c r="T174" s="3">
        <f t="shared" si="71"/>
        <v>292</v>
      </c>
      <c r="U174" s="3">
        <f t="shared" si="76"/>
        <v>-6.6666666599999997</v>
      </c>
      <c r="W174" s="4">
        <f t="shared" si="72"/>
        <v>27.214731002499356</v>
      </c>
      <c r="X174" s="4">
        <f t="shared" si="73"/>
        <v>-3.18094584386473</v>
      </c>
      <c r="Y174" s="3">
        <f t="shared" si="74"/>
        <v>292</v>
      </c>
      <c r="Z174" s="4">
        <f>IF('Raw Data'!O174="","",O173+N173)</f>
        <v>269</v>
      </c>
    </row>
    <row r="175" spans="1:27" x14ac:dyDescent="0.25">
      <c r="A175" t="str">
        <f>IF('Raw Data'!A175="","",'Raw Data'!A175)</f>
        <v>CX</v>
      </c>
      <c r="B175" t="str">
        <f>IF('Raw Data'!B175="","",'Raw Data'!B175)</f>
        <v>CW</v>
      </c>
      <c r="C175">
        <f>IF('Raw Data'!C175="","",'Raw Data'!C175)</f>
        <v>25</v>
      </c>
      <c r="D175" t="str">
        <f>IF('Raw Data'!D175="","",'Raw Data'!D175)</f>
        <v>-</v>
      </c>
      <c r="E175">
        <f>IF('Raw Data'!E175="","",'Raw Data'!E175)</f>
        <v>4</v>
      </c>
      <c r="F175">
        <f>IF('Raw Data'!F175="","",'Raw Data'!F175)</f>
        <v>2</v>
      </c>
      <c r="G175" s="7" t="str">
        <f>IF('Raw Data'!G175="/","-",IF('Raw Data'!G175="","-",SUBSTITUTE('Raw Data'!G175," ",":",1)))</f>
        <v>-</v>
      </c>
      <c r="H175" s="7" t="str">
        <f>IF('Raw Data'!H175="/","-",IF('Raw Data'!H175="","-",SUBSTITUTE('Raw Data'!H175," ",":",1)))</f>
        <v>030:00</v>
      </c>
      <c r="I175" s="7" t="str">
        <f>IF('Raw Data'!I175="/","-",IF('Raw Data'!I175="","-",SUBSTITUTE('Raw Data'!I175," ",":",1)))</f>
        <v>210:00</v>
      </c>
      <c r="J175" s="12">
        <f>IF('Raw Data'!J175="",IF(LEN(K175)&gt;6,SQRT('Raw Data'!M175^2+N175^2),""),'Raw Data'!J175)</f>
        <v>22.2</v>
      </c>
      <c r="K175" s="7" t="str">
        <f>IF('Raw Data'!K175="","",IF(LEN('Raw Data'!K175)&lt;7,SUBSTITUTE('Raw Data'!K175," ",":",1),'Raw Data'!K175))</f>
        <v>-1:40</v>
      </c>
      <c r="L175" t="str">
        <f>IF('Raw Data'!L175="","",'Raw Data'!L175)</f>
        <v/>
      </c>
      <c r="M175">
        <f>IF('Raw Data'!M175="","",'Raw Data'!M175)</f>
        <v>22.1</v>
      </c>
      <c r="N175">
        <f>IF('Raw Data'!N175="","",IF('Raw Data'!N175="-",0,'Raw Data'!N175))</f>
        <v>-0.6</v>
      </c>
      <c r="O175">
        <f>IF('Raw Data'!O175="",IF('Raw Data'!N175="","",0),'Raw Data'!O175)</f>
        <v>265.8</v>
      </c>
      <c r="P175" t="str">
        <f>IF('Raw Data'!P175="","",'Raw Data'!P175)</f>
        <v/>
      </c>
      <c r="R175" s="3" t="str">
        <f t="shared" si="69"/>
        <v>-</v>
      </c>
      <c r="S175" s="3">
        <f t="shared" si="70"/>
        <v>30</v>
      </c>
      <c r="T175" s="3">
        <f t="shared" si="71"/>
        <v>210</v>
      </c>
      <c r="U175" s="3">
        <f t="shared" si="76"/>
        <v>-1.66666666</v>
      </c>
      <c r="W175" s="4">
        <f t="shared" si="72"/>
        <v>22.190608291899981</v>
      </c>
      <c r="X175" s="4">
        <f t="shared" si="73"/>
        <v>-0.64568075351507859</v>
      </c>
      <c r="Y175" s="3">
        <f t="shared" si="74"/>
        <v>210</v>
      </c>
      <c r="Z175" s="4">
        <f>IF('Raw Data'!O175="","",O174+N174)</f>
        <v>265.8</v>
      </c>
    </row>
    <row r="176" spans="1:27" x14ac:dyDescent="0.25">
      <c r="A176" t="str">
        <f>IF('Raw Data'!A176="","",'Raw Data'!A176)</f>
        <v>CW</v>
      </c>
      <c r="B176" t="str">
        <f>IF('Raw Data'!B176="","",'Raw Data'!B176)</f>
        <v>CV</v>
      </c>
      <c r="C176">
        <f>IF('Raw Data'!C176="","",'Raw Data'!C176)</f>
        <v>30</v>
      </c>
      <c r="D176">
        <f>IF('Raw Data'!D176="","",'Raw Data'!D176)</f>
        <v>3</v>
      </c>
      <c r="E176">
        <f>IF('Raw Data'!E176="","",'Raw Data'!E176)</f>
        <v>3</v>
      </c>
      <c r="F176">
        <f>IF('Raw Data'!F176="","",'Raw Data'!F176)</f>
        <v>3</v>
      </c>
      <c r="G176" s="7" t="str">
        <f>IF('Raw Data'!G176="/","-",IF('Raw Data'!G176="","-",SUBSTITUTE('Raw Data'!G176," ",":",1)))</f>
        <v>192:00</v>
      </c>
      <c r="H176" s="7" t="str">
        <f>IF('Raw Data'!H176="/","-",IF('Raw Data'!H176="","-",SUBSTITUTE('Raw Data'!H176," ",":",1)))</f>
        <v>-</v>
      </c>
      <c r="I176" s="7" t="str">
        <f>IF('Raw Data'!I176="/","-",IF('Raw Data'!I176="","-",SUBSTITUTE('Raw Data'!I176," ",":",1)))</f>
        <v>192:00</v>
      </c>
      <c r="J176" s="12">
        <f>IF('Raw Data'!J176="",IF(LEN(K176)&gt;6,SQRT('Raw Data'!M176^2+N176^2),""),'Raw Data'!J176)</f>
        <v>16.3</v>
      </c>
      <c r="K176" s="7" t="str">
        <f>IF('Raw Data'!K176="","",IF(LEN('Raw Data'!K176)&lt;7,SUBSTITUTE('Raw Data'!K176," ",":",1),'Raw Data'!K176))</f>
        <v>6:30</v>
      </c>
      <c r="L176" t="str">
        <f>IF('Raw Data'!L176="","",'Raw Data'!L176)</f>
        <v/>
      </c>
      <c r="M176">
        <f>IF('Raw Data'!M176="","",'Raw Data'!M176)</f>
        <v>16.2</v>
      </c>
      <c r="N176">
        <f>IF('Raw Data'!N176="","",IF('Raw Data'!N176="-",0,'Raw Data'!N176))</f>
        <v>1.8</v>
      </c>
      <c r="O176">
        <f>IF('Raw Data'!O176="",IF('Raw Data'!N176="","",0),'Raw Data'!O176)</f>
        <v>265.2</v>
      </c>
      <c r="P176" t="str">
        <f>IF('Raw Data'!P176="","",'Raw Data'!P176)</f>
        <v/>
      </c>
      <c r="R176" s="3">
        <f t="shared" si="69"/>
        <v>192</v>
      </c>
      <c r="S176" s="3" t="str">
        <f t="shared" si="70"/>
        <v>-</v>
      </c>
      <c r="T176" s="3">
        <f t="shared" si="71"/>
        <v>192</v>
      </c>
      <c r="U176" s="3">
        <f t="shared" si="76"/>
        <v>6.5</v>
      </c>
      <c r="W176" s="4">
        <f t="shared" si="72"/>
        <v>16.195221247528377</v>
      </c>
      <c r="X176" s="4">
        <f t="shared" si="73"/>
        <v>1.8452123844168797</v>
      </c>
      <c r="Y176" s="3">
        <f t="shared" si="74"/>
        <v>192</v>
      </c>
      <c r="Z176" s="4">
        <f>IF('Raw Data'!O176="","",O175+N175)</f>
        <v>265.2</v>
      </c>
    </row>
    <row r="177" spans="1:26" x14ac:dyDescent="0.25">
      <c r="A177" t="str">
        <f>IF('Raw Data'!A177="","",'Raw Data'!A177)</f>
        <v>CV</v>
      </c>
      <c r="B177" t="str">
        <f>IF('Raw Data'!B177="","",'Raw Data'!B177)</f>
        <v>CU</v>
      </c>
      <c r="C177">
        <f>IF('Raw Data'!C177="","",'Raw Data'!C177)</f>
        <v>15</v>
      </c>
      <c r="D177">
        <f>IF('Raw Data'!D177="","",'Raw Data'!D177)</f>
        <v>5</v>
      </c>
      <c r="E177">
        <f>IF('Raw Data'!E177="","",'Raw Data'!E177)</f>
        <v>1</v>
      </c>
      <c r="F177">
        <f>IF('Raw Data'!F177="","",'Raw Data'!F177)</f>
        <v>5</v>
      </c>
      <c r="G177" s="7" t="str">
        <f>IF('Raw Data'!G177="/","-",IF('Raw Data'!G177="","-",SUBSTITUTE('Raw Data'!G177," ",":",1)))</f>
        <v>-</v>
      </c>
      <c r="H177" s="7" t="str">
        <f>IF('Raw Data'!H177="/","-",IF('Raw Data'!H177="","-",SUBSTITUTE('Raw Data'!H177," ",":",1)))</f>
        <v>073:00</v>
      </c>
      <c r="I177" s="7" t="str">
        <f>IF('Raw Data'!I177="/","-",IF('Raw Data'!I177="","-",SUBSTITUTE('Raw Data'!I177," ",":",1)))</f>
        <v>253:00</v>
      </c>
      <c r="J177" s="12">
        <f>IF('Raw Data'!J177="",IF(LEN(K177)&gt;6,SQRT('Raw Data'!M177^2+N177^2),""),'Raw Data'!J177)</f>
        <v>13.6</v>
      </c>
      <c r="K177" s="7" t="str">
        <f>IF('Raw Data'!K177="","",IF(LEN('Raw Data'!K177)&lt;7,SUBSTITUTE('Raw Data'!K177," ",":",1),'Raw Data'!K177))</f>
        <v>6:00</v>
      </c>
      <c r="L177" t="str">
        <f>IF('Raw Data'!L177="","",'Raw Data'!L177)</f>
        <v/>
      </c>
      <c r="M177">
        <f>IF('Raw Data'!M177="","",'Raw Data'!M177)</f>
        <v>13.5</v>
      </c>
      <c r="N177">
        <f>IF('Raw Data'!N177="","",IF('Raw Data'!N177="-",0,'Raw Data'!N177))</f>
        <v>1.4</v>
      </c>
      <c r="O177">
        <f>IF('Raw Data'!O177="",IF('Raw Data'!N177="","",0),'Raw Data'!O177)</f>
        <v>267</v>
      </c>
      <c r="P177" t="str">
        <f>IF('Raw Data'!P177="","",'Raw Data'!P177)</f>
        <v/>
      </c>
      <c r="R177" s="3" t="str">
        <f t="shared" si="69"/>
        <v>-</v>
      </c>
      <c r="S177" s="3">
        <f t="shared" si="70"/>
        <v>73</v>
      </c>
      <c r="T177" s="3">
        <f t="shared" si="71"/>
        <v>253</v>
      </c>
      <c r="U177" s="3">
        <f t="shared" si="76"/>
        <v>6</v>
      </c>
      <c r="W177" s="4">
        <f t="shared" si="72"/>
        <v>13.525497777008516</v>
      </c>
      <c r="X177" s="4">
        <f t="shared" si="73"/>
        <v>1.4215871004400871</v>
      </c>
      <c r="Y177" s="3">
        <f t="shared" si="74"/>
        <v>253</v>
      </c>
      <c r="Z177" s="4">
        <f>IF('Raw Data'!O177="","",O176+N176)</f>
        <v>267</v>
      </c>
    </row>
    <row r="178" spans="1:26" x14ac:dyDescent="0.25">
      <c r="A178" t="str">
        <f>IF('Raw Data'!A178="","",'Raw Data'!A178)</f>
        <v>CU</v>
      </c>
      <c r="B178" t="str">
        <f>IF('Raw Data'!B178="","",'Raw Data'!B178)</f>
        <v>CT</v>
      </c>
      <c r="C178">
        <f>IF('Raw Data'!C178="","",'Raw Data'!C178)</f>
        <v>8</v>
      </c>
      <c r="D178">
        <f>IF('Raw Data'!D178="","",'Raw Data'!D178)</f>
        <v>10</v>
      </c>
      <c r="E178" t="str">
        <f>IF('Raw Data'!E178="","",'Raw Data'!E178)</f>
        <v>-</v>
      </c>
      <c r="F178">
        <f>IF('Raw Data'!F178="","",'Raw Data'!F178)</f>
        <v>12</v>
      </c>
      <c r="G178" s="7" t="str">
        <f>IF('Raw Data'!G178="/","-",IF('Raw Data'!G178="","-",SUBSTITUTE('Raw Data'!G178," ",":",1)))</f>
        <v>259:30</v>
      </c>
      <c r="H178" s="7" t="str">
        <f>IF('Raw Data'!H178="/","-",IF('Raw Data'!H178="","-",SUBSTITUTE('Raw Data'!H178," ",":",1)))</f>
        <v>-</v>
      </c>
      <c r="I178" s="7" t="str">
        <f>IF('Raw Data'!I178="/","-",IF('Raw Data'!I178="","-",SUBSTITUTE('Raw Data'!I178," ",":",1)))</f>
        <v>259:30</v>
      </c>
      <c r="J178" s="12">
        <f>IF('Raw Data'!J178="",IF(LEN(K178)&gt;6,SQRT('Raw Data'!M178^2+N178^2),""),'Raw Data'!J178)</f>
        <v>20.100000000000001</v>
      </c>
      <c r="K178" s="7" t="str">
        <f>IF('Raw Data'!K178="","",IF(LEN('Raw Data'!K178)&lt;7,SUBSTITUTE('Raw Data'!K178," ",":",1),'Raw Data'!K178))</f>
        <v>-28:00</v>
      </c>
      <c r="L178" t="str">
        <f>IF('Raw Data'!L178="","",'Raw Data'!L178)</f>
        <v/>
      </c>
      <c r="M178">
        <f>IF('Raw Data'!M178="","",'Raw Data'!M178)</f>
        <v>17.7</v>
      </c>
      <c r="N178">
        <f>IF('Raw Data'!N178="","",IF('Raw Data'!N178="-",0,'Raw Data'!N178))</f>
        <v>-9.4</v>
      </c>
      <c r="O178">
        <f>IF('Raw Data'!O178="",IF('Raw Data'!N178="","",0),'Raw Data'!O178)</f>
        <v>268.39999999999998</v>
      </c>
      <c r="P178" t="str">
        <f>IF('Raw Data'!P178="","",'Raw Data'!P178)</f>
        <v/>
      </c>
      <c r="R178" s="3">
        <f t="shared" si="69"/>
        <v>259.5</v>
      </c>
      <c r="S178" s="3" t="str">
        <f t="shared" si="70"/>
        <v>-</v>
      </c>
      <c r="T178" s="3">
        <f t="shared" si="71"/>
        <v>259.5</v>
      </c>
      <c r="U178" s="3">
        <f t="shared" si="76"/>
        <v>-28</v>
      </c>
      <c r="W178" s="4">
        <f t="shared" si="72"/>
        <v>17.747246616464434</v>
      </c>
      <c r="X178" s="4">
        <f t="shared" si="73"/>
        <v>-9.4363784119964063</v>
      </c>
      <c r="Y178" s="3">
        <f t="shared" si="74"/>
        <v>259.5</v>
      </c>
      <c r="Z178" s="4">
        <f>IF('Raw Data'!O178="","",O177+N177)</f>
        <v>268.39999999999998</v>
      </c>
    </row>
    <row r="179" spans="1:26" x14ac:dyDescent="0.25">
      <c r="A179" t="str">
        <f>IF('Raw Data'!A179="","",'Raw Data'!A179)</f>
        <v>CT</v>
      </c>
      <c r="B179" t="str">
        <f>IF('Raw Data'!B179="","",'Raw Data'!B179)</f>
        <v>CS</v>
      </c>
      <c r="C179">
        <f>IF('Raw Data'!C179="","",'Raw Data'!C179)</f>
        <v>4</v>
      </c>
      <c r="D179">
        <f>IF('Raw Data'!D179="","",'Raw Data'!D179)</f>
        <v>3</v>
      </c>
      <c r="E179">
        <f>IF('Raw Data'!E179="","",'Raw Data'!E179)</f>
        <v>1</v>
      </c>
      <c r="F179">
        <f>IF('Raw Data'!F179="","",'Raw Data'!F179)</f>
        <v>5</v>
      </c>
      <c r="G179" s="7" t="str">
        <f>IF('Raw Data'!G179="/","-",IF('Raw Data'!G179="","-",SUBSTITUTE('Raw Data'!G179," ",":",1)))</f>
        <v>-</v>
      </c>
      <c r="H179" s="7" t="str">
        <f>IF('Raw Data'!H179="/","-",IF('Raw Data'!H179="","-",SUBSTITUTE('Raw Data'!H179," ",":",1)))</f>
        <v>-</v>
      </c>
      <c r="I179" s="7" t="str">
        <f>IF('Raw Data'!I179="/","-",IF('Raw Data'!I179="","-",SUBSTITUTE('Raw Data'!I179," ",":",1)))</f>
        <v>-</v>
      </c>
      <c r="J179" s="12">
        <f>IF('Raw Data'!J179="",IF(LEN(K179)&gt;6,SQRT('Raw Data'!M179^2+N179^2),""),'Raw Data'!J179)</f>
        <v>1.8</v>
      </c>
      <c r="K179" s="7" t="str">
        <f>IF('Raw Data'!K179="","",IF(LEN('Raw Data'!K179)&lt;7,SUBSTITUTE('Raw Data'!K179," ",":",1),'Raw Data'!K179))</f>
        <v>90:00</v>
      </c>
      <c r="L179" t="str">
        <f>IF('Raw Data'!L179="","",'Raw Data'!L179)</f>
        <v/>
      </c>
      <c r="M179" t="str">
        <f>IF('Raw Data'!M179="","",'Raw Data'!M179)</f>
        <v>-</v>
      </c>
      <c r="N179">
        <f>IF('Raw Data'!N179="","",IF('Raw Data'!N179="-",0,'Raw Data'!N179))</f>
        <v>1.8</v>
      </c>
      <c r="O179">
        <f>IF('Raw Data'!O179="",IF('Raw Data'!N179="","",0),'Raw Data'!O179)</f>
        <v>259</v>
      </c>
      <c r="P179" t="str">
        <f>IF('Raw Data'!P179="","",'Raw Data'!P179)</f>
        <v>(sketch of CR-CZ-DA-DH)</v>
      </c>
      <c r="R179" s="3" t="str">
        <f t="shared" si="69"/>
        <v>-</v>
      </c>
      <c r="S179" s="3" t="str">
        <f t="shared" si="70"/>
        <v>-</v>
      </c>
      <c r="T179" s="3" t="str">
        <f t="shared" si="71"/>
        <v>-</v>
      </c>
      <c r="U179" s="3">
        <f t="shared" si="76"/>
        <v>90</v>
      </c>
      <c r="W179" s="4">
        <f t="shared" si="72"/>
        <v>1.102633609417758E-16</v>
      </c>
      <c r="X179" s="4">
        <f t="shared" si="73"/>
        <v>1.8</v>
      </c>
      <c r="Y179" s="3" t="e">
        <f t="shared" si="74"/>
        <v>#VALUE!</v>
      </c>
      <c r="Z179" s="4">
        <f>IF('Raw Data'!O179="","",O178+N178)</f>
        <v>259</v>
      </c>
    </row>
    <row r="180" spans="1:26" x14ac:dyDescent="0.25">
      <c r="A180" t="str">
        <f>IF('Raw Data'!A180="","",'Raw Data'!A180)</f>
        <v>CS</v>
      </c>
      <c r="B180" t="str">
        <f>IF('Raw Data'!B180="","",'Raw Data'!B180)</f>
        <v>CR</v>
      </c>
      <c r="C180">
        <f>IF('Raw Data'!C180="","",'Raw Data'!C180)</f>
        <v>5</v>
      </c>
      <c r="D180">
        <f>IF('Raw Data'!D180="","",'Raw Data'!D180)</f>
        <v>5</v>
      </c>
      <c r="E180">
        <f>IF('Raw Data'!E180="","",'Raw Data'!E180)</f>
        <v>1</v>
      </c>
      <c r="F180">
        <f>IF('Raw Data'!F180="","",'Raw Data'!F180)</f>
        <v>5</v>
      </c>
      <c r="G180" s="7" t="str">
        <f>IF('Raw Data'!G180="/","-",IF('Raw Data'!G180="","-",SUBSTITUTE('Raw Data'!G180," ",":",1)))</f>
        <v>321:00</v>
      </c>
      <c r="H180" s="7" t="str">
        <f>IF('Raw Data'!H180="/","-",IF('Raw Data'!H180="","-",SUBSTITUTE('Raw Data'!H180," ",":",1)))</f>
        <v>-</v>
      </c>
      <c r="I180" s="7" t="str">
        <f>IF('Raw Data'!I180="/","-",IF('Raw Data'!I180="","-",SUBSTITUTE('Raw Data'!I180," ",":",1)))</f>
        <v>321:00</v>
      </c>
      <c r="J180" s="12">
        <f>IF('Raw Data'!J180="",IF(LEN(K180)&gt;6,SQRT('Raw Data'!M180^2+N180^2),""),'Raw Data'!J180)</f>
        <v>15.8</v>
      </c>
      <c r="K180" s="7" t="str">
        <f>IF('Raw Data'!K180="","",IF(LEN('Raw Data'!K180)&lt;7,SUBSTITUTE('Raw Data'!K180," ",":",1),'Raw Data'!K180))</f>
        <v>-1:00</v>
      </c>
      <c r="L180" t="str">
        <f>IF('Raw Data'!L180="","",'Raw Data'!L180)</f>
        <v/>
      </c>
      <c r="M180">
        <f>IF('Raw Data'!M180="","",'Raw Data'!M180)</f>
        <v>15.7</v>
      </c>
      <c r="N180">
        <f>IF('Raw Data'!N180="","",IF('Raw Data'!N180="-",0,'Raw Data'!N180))</f>
        <v>-0.3</v>
      </c>
      <c r="O180">
        <f>IF('Raw Data'!O180="",IF('Raw Data'!N180="","",0),'Raw Data'!O180)</f>
        <v>260.8</v>
      </c>
      <c r="P180" t="str">
        <f>IF('Raw Data'!P180="","",'Raw Data'!P180)</f>
        <v/>
      </c>
      <c r="R180" s="3">
        <f t="shared" ref="R180:R185" si="77">IF(ISERROR(FIND(":",G180)),IF(G180&lt;&gt;"-",1*G180,G180),1*LEFT(G180,FIND(":",G180)-1)+RIGHT(G180,LEN(G180)-FIND(":",G180))/60)</f>
        <v>321</v>
      </c>
      <c r="S180" s="3" t="str">
        <f t="shared" ref="S180:S185" si="78">IF(ISERROR(FIND(":",H180)),IF(H180&lt;&gt;"-",1*H180,H180),1*LEFT(H180,FIND(":",H180)-1)+RIGHT(H180,LEN(H180)-FIND(":",H180))/60)</f>
        <v>-</v>
      </c>
      <c r="T180" s="3">
        <f t="shared" ref="T180:T185" si="79">IF(ISERROR(FIND(":",I180)),IF(I180&lt;&gt;"-",1*I180,I180),1*LEFT(I180,FIND(":",I180)-1)+RIGHT(I180,LEN(I180)-FIND(":",I180))/60)</f>
        <v>321</v>
      </c>
      <c r="U180" s="3">
        <f t="shared" si="76"/>
        <v>-1</v>
      </c>
      <c r="W180" s="4">
        <f t="shared" ref="W180:W185" si="80">J180*COS(U180*PI()/180)</f>
        <v>15.797593583470983</v>
      </c>
      <c r="X180" s="4">
        <f t="shared" ref="X180:X185" si="81">J180*SIN(U180*PI()/180)</f>
        <v>-0.27574802170907947</v>
      </c>
      <c r="Y180" s="3">
        <f t="shared" ref="Y180:Y185" si="82">IF(R180="-",IF(S180&gt;180,S180-180,S180+180),R180)</f>
        <v>321</v>
      </c>
      <c r="Z180" s="4">
        <f>IF('Raw Data'!O180="","",O179+N179)</f>
        <v>260.8</v>
      </c>
    </row>
    <row r="181" spans="1:26" x14ac:dyDescent="0.25">
      <c r="A181" t="str">
        <f>IF('Raw Data'!A181="","",'Raw Data'!A181)</f>
        <v>CR</v>
      </c>
      <c r="B181" t="str">
        <f>IF('Raw Data'!B181="","",'Raw Data'!B181)</f>
        <v>CQ</v>
      </c>
      <c r="C181">
        <f>IF('Raw Data'!C181="","",'Raw Data'!C181)</f>
        <v>6</v>
      </c>
      <c r="D181">
        <f>IF('Raw Data'!D181="","",'Raw Data'!D181)</f>
        <v>5</v>
      </c>
      <c r="E181">
        <f>IF('Raw Data'!E181="","",'Raw Data'!E181)</f>
        <v>1</v>
      </c>
      <c r="F181">
        <f>IF('Raw Data'!F181="","",'Raw Data'!F181)</f>
        <v>2</v>
      </c>
      <c r="G181" s="7" t="str">
        <f>IF('Raw Data'!G181="/","-",IF('Raw Data'!G181="","-",SUBSTITUTE('Raw Data'!G181," ",":",1)))</f>
        <v>-</v>
      </c>
      <c r="H181" s="7" t="str">
        <f>IF('Raw Data'!H181="/","-",IF('Raw Data'!H181="","-",SUBSTITUTE('Raw Data'!H181," ",":",1)))</f>
        <v>144:00</v>
      </c>
      <c r="I181" s="7" t="str">
        <f>IF('Raw Data'!I181="/","-",IF('Raw Data'!I181="","-",SUBSTITUTE('Raw Data'!I181," ",":",1)))</f>
        <v>324:00</v>
      </c>
      <c r="J181" s="12">
        <f>IF('Raw Data'!J181="",IF(LEN(K181)&gt;6,SQRT('Raw Data'!M181^2+N181^2),""),'Raw Data'!J181)</f>
        <v>16.7</v>
      </c>
      <c r="K181" s="7" t="str">
        <f>IF('Raw Data'!K181="","",IF(LEN('Raw Data'!K181)&lt;7,SUBSTITUTE('Raw Data'!K181," ",":",1),'Raw Data'!K181))</f>
        <v>-5:00</v>
      </c>
      <c r="L181" t="str">
        <f>IF('Raw Data'!L181="","",'Raw Data'!L181)</f>
        <v/>
      </c>
      <c r="M181">
        <f>IF('Raw Data'!M181="","",'Raw Data'!M181)</f>
        <v>16.600000000000001</v>
      </c>
      <c r="N181">
        <f>IF('Raw Data'!N181="","",IF('Raw Data'!N181="-",0,'Raw Data'!N181))</f>
        <v>-1.5</v>
      </c>
      <c r="O181">
        <f>IF('Raw Data'!O181="",IF('Raw Data'!N181="","",0),'Raw Data'!O181)</f>
        <v>260.5</v>
      </c>
      <c r="P181" t="str">
        <f>IF('Raw Data'!P181="","",'Raw Data'!P181)</f>
        <v/>
      </c>
      <c r="R181" s="3" t="str">
        <f t="shared" si="77"/>
        <v>-</v>
      </c>
      <c r="S181" s="3">
        <f t="shared" si="78"/>
        <v>144</v>
      </c>
      <c r="T181" s="3">
        <f t="shared" si="79"/>
        <v>324</v>
      </c>
      <c r="U181" s="3">
        <f t="shared" si="76"/>
        <v>-5</v>
      </c>
      <c r="W181" s="4">
        <f t="shared" si="80"/>
        <v>16.63645145813215</v>
      </c>
      <c r="X181" s="4">
        <f t="shared" si="81"/>
        <v>-1.4555009038858913</v>
      </c>
      <c r="Y181" s="3">
        <f t="shared" si="82"/>
        <v>324</v>
      </c>
      <c r="Z181" s="4">
        <f>IF('Raw Data'!O181="","",O180+N180)</f>
        <v>260.5</v>
      </c>
    </row>
    <row r="182" spans="1:26" x14ac:dyDescent="0.25">
      <c r="A182" t="str">
        <f>IF('Raw Data'!A182="","",'Raw Data'!A182)</f>
        <v>CQ</v>
      </c>
      <c r="B182" t="str">
        <f>IF('Raw Data'!B182="","",'Raw Data'!B182)</f>
        <v>CP</v>
      </c>
      <c r="C182">
        <f>IF('Raw Data'!C182="","",'Raw Data'!C182)</f>
        <v>6</v>
      </c>
      <c r="D182">
        <f>IF('Raw Data'!D182="","",'Raw Data'!D182)</f>
        <v>5</v>
      </c>
      <c r="E182">
        <f>IF('Raw Data'!E182="","",'Raw Data'!E182)</f>
        <v>1</v>
      </c>
      <c r="F182">
        <f>IF('Raw Data'!F182="","",'Raw Data'!F182)</f>
        <v>2</v>
      </c>
      <c r="G182" s="7" t="str">
        <f>IF('Raw Data'!G182="/","-",IF('Raw Data'!G182="","-",SUBSTITUTE('Raw Data'!G182," ",":",1)))</f>
        <v>325:30</v>
      </c>
      <c r="H182" s="7" t="str">
        <f>IF('Raw Data'!H182="/","-",IF('Raw Data'!H182="","-",SUBSTITUTE('Raw Data'!H182," ",":",1)))</f>
        <v>-</v>
      </c>
      <c r="I182" s="7" t="str">
        <f>IF('Raw Data'!I182="/","-",IF('Raw Data'!I182="","-",SUBSTITUTE('Raw Data'!I182," ",":",1)))</f>
        <v>325:30</v>
      </c>
      <c r="J182" s="12">
        <f>IF('Raw Data'!J182="",IF(LEN(K182)&gt;6,SQRT('Raw Data'!M182^2+N182^2),""),'Raw Data'!J182)</f>
        <v>14.5</v>
      </c>
      <c r="K182" s="7" t="str">
        <f>IF('Raw Data'!K182="","",IF(LEN('Raw Data'!K182)&lt;7,SUBSTITUTE('Raw Data'!K182," ",":",1),'Raw Data'!K182))</f>
        <v>3:00</v>
      </c>
      <c r="L182" t="str">
        <f>IF('Raw Data'!L182="","",'Raw Data'!L182)</f>
        <v/>
      </c>
      <c r="M182">
        <f>IF('Raw Data'!M182="","",'Raw Data'!M182)</f>
        <v>14.4</v>
      </c>
      <c r="N182">
        <f>IF('Raw Data'!N182="","",IF('Raw Data'!N182="-",0,'Raw Data'!N182))</f>
        <v>0.8</v>
      </c>
      <c r="O182">
        <f>IF('Raw Data'!O182="",IF('Raw Data'!N182="","",0),'Raw Data'!O182)</f>
        <v>259</v>
      </c>
      <c r="P182" t="str">
        <f>IF('Raw Data'!P182="","",'Raw Data'!P182)</f>
        <v/>
      </c>
      <c r="R182" s="3">
        <f t="shared" si="77"/>
        <v>325.5</v>
      </c>
      <c r="S182" s="3" t="str">
        <f t="shared" si="78"/>
        <v>-</v>
      </c>
      <c r="T182" s="3">
        <f t="shared" si="79"/>
        <v>325.5</v>
      </c>
      <c r="U182" s="3">
        <f t="shared" si="76"/>
        <v>3</v>
      </c>
      <c r="W182" s="4">
        <f t="shared" si="80"/>
        <v>14.48012825394132</v>
      </c>
      <c r="X182" s="4">
        <f t="shared" si="81"/>
        <v>0.75887136552268553</v>
      </c>
      <c r="Y182" s="3">
        <f t="shared" si="82"/>
        <v>325.5</v>
      </c>
      <c r="Z182" s="4">
        <f>IF('Raw Data'!O182="","",O181+N181)</f>
        <v>259</v>
      </c>
    </row>
    <row r="183" spans="1:26" x14ac:dyDescent="0.25">
      <c r="A183" t="str">
        <f>IF('Raw Data'!A183="","",'Raw Data'!A183)</f>
        <v>CP</v>
      </c>
      <c r="B183" t="str">
        <f>IF('Raw Data'!B183="","",'Raw Data'!B183)</f>
        <v>CO</v>
      </c>
      <c r="C183">
        <f>IF('Raw Data'!C183="","",'Raw Data'!C183)</f>
        <v>4</v>
      </c>
      <c r="D183">
        <f>IF('Raw Data'!D183="","",'Raw Data'!D183)</f>
        <v>6</v>
      </c>
      <c r="E183" t="str">
        <f>IF('Raw Data'!E183="","",'Raw Data'!E183)</f>
        <v>-</v>
      </c>
      <c r="F183">
        <f>IF('Raw Data'!F183="","",'Raw Data'!F183)</f>
        <v>2</v>
      </c>
      <c r="G183" s="7" t="str">
        <f>IF('Raw Data'!G183="/","-",IF('Raw Data'!G183="","-",SUBSTITUTE('Raw Data'!G183," ",":",1)))</f>
        <v>-</v>
      </c>
      <c r="H183" s="7" t="str">
        <f>IF('Raw Data'!H183="/","-",IF('Raw Data'!H183="","-",SUBSTITUTE('Raw Data'!H183," ",":",1)))</f>
        <v>171:00</v>
      </c>
      <c r="I183" s="7" t="str">
        <f>IF('Raw Data'!I183="/","-",IF('Raw Data'!I183="","-",SUBSTITUTE('Raw Data'!I183," ",":",1)))</f>
        <v>351:00</v>
      </c>
      <c r="J183" s="12">
        <f>IF('Raw Data'!J183="",IF(LEN(K183)&gt;6,SQRT('Raw Data'!M183^2+N183^2),""),'Raw Data'!J183)</f>
        <v>4.0999999999999996</v>
      </c>
      <c r="K183" s="7" t="str">
        <f>IF('Raw Data'!K183="","",IF(LEN('Raw Data'!K183)&lt;7,SUBSTITUTE('Raw Data'!K183," ",":",1),'Raw Data'!K183))</f>
        <v>level</v>
      </c>
      <c r="L183" t="str">
        <f>IF('Raw Data'!L183="","",'Raw Data'!L183)</f>
        <v/>
      </c>
      <c r="M183">
        <f>IF('Raw Data'!M183="","",'Raw Data'!M183)</f>
        <v>4.0999999999999996</v>
      </c>
      <c r="N183">
        <f>IF('Raw Data'!N183="","",IF('Raw Data'!N183="-",0,'Raw Data'!N183))</f>
        <v>0</v>
      </c>
      <c r="O183">
        <f>IF('Raw Data'!O183="",IF('Raw Data'!N183="","",0),'Raw Data'!O183)</f>
        <v>259.8</v>
      </c>
      <c r="P183" t="str">
        <f>IF('Raw Data'!P183="","",'Raw Data'!P183)</f>
        <v/>
      </c>
      <c r="R183" s="3" t="str">
        <f t="shared" si="77"/>
        <v>-</v>
      </c>
      <c r="S183" s="3">
        <f t="shared" si="78"/>
        <v>171</v>
      </c>
      <c r="T183" s="3">
        <f t="shared" si="79"/>
        <v>351</v>
      </c>
      <c r="U183" s="9">
        <f>ASIN(N183/J183)*180/PI()</f>
        <v>0</v>
      </c>
      <c r="W183" s="4">
        <f t="shared" si="80"/>
        <v>4.0999999999999996</v>
      </c>
      <c r="X183" s="4">
        <f t="shared" si="81"/>
        <v>0</v>
      </c>
      <c r="Y183" s="3">
        <f t="shared" si="82"/>
        <v>351</v>
      </c>
      <c r="Z183" s="4">
        <f>IF('Raw Data'!O183="","",O182+N182)</f>
        <v>259.8</v>
      </c>
    </row>
    <row r="184" spans="1:26" x14ac:dyDescent="0.25">
      <c r="A184" t="str">
        <f>IF('Raw Data'!A184="","",'Raw Data'!A184)</f>
        <v>CO</v>
      </c>
      <c r="B184" t="str">
        <f>IF('Raw Data'!B184="","",'Raw Data'!B184)</f>
        <v>CN</v>
      </c>
      <c r="C184">
        <f>IF('Raw Data'!C184="","",'Raw Data'!C184)</f>
        <v>4</v>
      </c>
      <c r="D184">
        <f>IF('Raw Data'!D184="","",'Raw Data'!D184)</f>
        <v>8</v>
      </c>
      <c r="E184" t="str">
        <f>IF('Raw Data'!E184="","",'Raw Data'!E184)</f>
        <v>-</v>
      </c>
      <c r="F184">
        <f>IF('Raw Data'!F184="","",'Raw Data'!F184)</f>
        <v>2</v>
      </c>
      <c r="G184" s="7" t="str">
        <f>IF('Raw Data'!G184="/","-",IF('Raw Data'!G184="","-",SUBSTITUTE('Raw Data'!G184," ",":",1)))</f>
        <v>-</v>
      </c>
      <c r="H184" s="7" t="str">
        <f>IF('Raw Data'!H184="/","-",IF('Raw Data'!H184="","-",SUBSTITUTE('Raw Data'!H184," ",":",1)))</f>
        <v>168:00</v>
      </c>
      <c r="I184" s="7" t="str">
        <f>IF('Raw Data'!I184="/","-",IF('Raw Data'!I184="","-",SUBSTITUTE('Raw Data'!I184," ",":",1)))</f>
        <v>348:00</v>
      </c>
      <c r="J184" s="12">
        <f>IF('Raw Data'!J184="",IF(LEN(K184)&gt;6,SQRT('Raw Data'!M184^2+N184^2),""),'Raw Data'!J184)</f>
        <v>9.5</v>
      </c>
      <c r="K184" s="7" t="str">
        <f>IF('Raw Data'!K184="","",IF(LEN('Raw Data'!K184)&lt;7,SUBSTITUTE('Raw Data'!K184," ",":",1),'Raw Data'!K184))</f>
        <v>4:30</v>
      </c>
      <c r="L184" t="str">
        <f>IF('Raw Data'!L184="","",'Raw Data'!L184)</f>
        <v/>
      </c>
      <c r="M184">
        <f>IF('Raw Data'!M184="","",'Raw Data'!M184)</f>
        <v>9.4</v>
      </c>
      <c r="N184">
        <f>IF('Raw Data'!N184="","",IF('Raw Data'!N184="-",0,'Raw Data'!N184))</f>
        <v>0.7</v>
      </c>
      <c r="O184">
        <f>IF('Raw Data'!O184="",IF('Raw Data'!N184="","",0),'Raw Data'!O184)</f>
        <v>259.8</v>
      </c>
      <c r="P184" t="str">
        <f>IF('Raw Data'!P184="","",'Raw Data'!P184)</f>
        <v/>
      </c>
      <c r="R184" s="3" t="str">
        <f t="shared" si="77"/>
        <v>-</v>
      </c>
      <c r="S184" s="3">
        <f t="shared" si="78"/>
        <v>168</v>
      </c>
      <c r="T184" s="3">
        <f t="shared" si="79"/>
        <v>348</v>
      </c>
      <c r="U184" s="3">
        <f t="shared" ref="U184:U185" si="83">IF(ISERROR(FIND(":",K184)),IF(K184="zero",0,1*K184),1*CONCATENATE(LEFT(K184,FIND(":",K184)-1),".",MID(RIGHT(K184,LEN(K184)-FIND(":",K184))/60,3,8)))</f>
        <v>4.5</v>
      </c>
      <c r="W184" s="4">
        <f t="shared" si="80"/>
        <v>9.4707146704647158</v>
      </c>
      <c r="X184" s="4">
        <f t="shared" si="81"/>
        <v>0.745361409414527</v>
      </c>
      <c r="Y184" s="3">
        <f t="shared" si="82"/>
        <v>348</v>
      </c>
      <c r="Z184" s="4">
        <f>IF('Raw Data'!O184="","",O183+N183)</f>
        <v>259.8</v>
      </c>
    </row>
    <row r="185" spans="1:26" x14ac:dyDescent="0.25">
      <c r="A185" t="str">
        <f>IF('Raw Data'!A185="","",'Raw Data'!A185)</f>
        <v>CN</v>
      </c>
      <c r="B185" t="str">
        <f>IF('Raw Data'!B185="","",'Raw Data'!B185)</f>
        <v>CM</v>
      </c>
      <c r="C185">
        <f>IF('Raw Data'!C185="","",'Raw Data'!C185)</f>
        <v>3</v>
      </c>
      <c r="D185">
        <f>IF('Raw Data'!D185="","",'Raw Data'!D185)</f>
        <v>8</v>
      </c>
      <c r="E185">
        <f>IF('Raw Data'!E185="","",'Raw Data'!E185)</f>
        <v>1</v>
      </c>
      <c r="F185">
        <f>IF('Raw Data'!F185="","",'Raw Data'!F185)</f>
        <v>2</v>
      </c>
      <c r="G185" s="7" t="str">
        <f>IF('Raw Data'!G185="/","-",IF('Raw Data'!G185="","-",SUBSTITUTE('Raw Data'!G185," ",":",1)))</f>
        <v>335:00</v>
      </c>
      <c r="H185" s="7" t="str">
        <f>IF('Raw Data'!H185="/","-",IF('Raw Data'!H185="","-",SUBSTITUTE('Raw Data'!H185," ",":",1)))</f>
        <v>-</v>
      </c>
      <c r="I185" s="7" t="str">
        <f>IF('Raw Data'!I185="/","-",IF('Raw Data'!I185="","-",SUBSTITUTE('Raw Data'!I185," ",":",1)))</f>
        <v>335:00</v>
      </c>
      <c r="J185" s="12">
        <f>IF('Raw Data'!J185="",IF(LEN(K185)&gt;6,SQRT('Raw Data'!M185^2+N185^2),""),'Raw Data'!J185)</f>
        <v>25.5</v>
      </c>
      <c r="K185" s="7" t="str">
        <f>IF('Raw Data'!K185="","",IF(LEN('Raw Data'!K185)&lt;7,SUBSTITUTE('Raw Data'!K185," ",":",1),'Raw Data'!K185))</f>
        <v>-21:30</v>
      </c>
      <c r="L185" t="str">
        <f>IF('Raw Data'!L185="","",'Raw Data'!L185)</f>
        <v/>
      </c>
      <c r="M185">
        <f>IF('Raw Data'!M185="","",'Raw Data'!M185)</f>
        <v>23.8</v>
      </c>
      <c r="N185">
        <f>IF('Raw Data'!N185="","",IF('Raw Data'!N185="-",0,'Raw Data'!N185))</f>
        <v>-9.3000000000000007</v>
      </c>
      <c r="O185">
        <f>IF('Raw Data'!O185="",IF('Raw Data'!N185="","",0),'Raw Data'!O185)</f>
        <v>260.5</v>
      </c>
      <c r="P185" t="str">
        <f>IF('Raw Data'!P185="","",'Raw Data'!P185)</f>
        <v>CM = On stalagmite projection over 40 ft pt.</v>
      </c>
      <c r="R185" s="3">
        <f t="shared" si="77"/>
        <v>335</v>
      </c>
      <c r="S185" s="3" t="str">
        <f t="shared" si="78"/>
        <v>-</v>
      </c>
      <c r="T185" s="3">
        <f t="shared" si="79"/>
        <v>335</v>
      </c>
      <c r="U185" s="3">
        <f t="shared" si="83"/>
        <v>-21.5</v>
      </c>
      <c r="W185" s="4">
        <f t="shared" si="80"/>
        <v>23.725647983541627</v>
      </c>
      <c r="X185" s="4">
        <f t="shared" si="81"/>
        <v>-9.3457812814695806</v>
      </c>
      <c r="Y185" s="3">
        <f t="shared" si="82"/>
        <v>335</v>
      </c>
      <c r="Z185" s="4">
        <f>IF('Raw Data'!O185="","",O184+N184)</f>
        <v>260.5</v>
      </c>
    </row>
    <row r="186" spans="1:26" x14ac:dyDescent="0.25">
      <c r="A186" t="str">
        <f>IF('Raw Data'!A186="","",'Raw Data'!A186)</f>
        <v>CM</v>
      </c>
      <c r="B186" t="str">
        <f>IF('Raw Data'!B186="","",'Raw Data'!B186)</f>
        <v/>
      </c>
      <c r="C186" t="str">
        <f>IF('Raw Data'!C186="","",'Raw Data'!C186)</f>
        <v/>
      </c>
      <c r="D186" t="str">
        <f>IF('Raw Data'!D186="","",'Raw Data'!D186)</f>
        <v/>
      </c>
      <c r="E186" t="str">
        <f>IF('Raw Data'!E186="","",'Raw Data'!E186)</f>
        <v/>
      </c>
      <c r="F186" t="str">
        <f>IF('Raw Data'!F186="","",'Raw Data'!F186)</f>
        <v/>
      </c>
      <c r="G186" s="7" t="str">
        <f>IF('Raw Data'!G186="/","-",IF('Raw Data'!G186="","-",SUBSTITUTE('Raw Data'!G186," ",":",1)))</f>
        <v>-</v>
      </c>
      <c r="H186" s="7" t="str">
        <f>IF('Raw Data'!H186="/","-",IF('Raw Data'!H186="","-",SUBSTITUTE('Raw Data'!H186," ",":",1)))</f>
        <v>-</v>
      </c>
      <c r="I186" s="7" t="str">
        <f>IF('Raw Data'!I186="/","-",IF('Raw Data'!I186="","-",SUBSTITUTE('Raw Data'!I186," ",":",1)))</f>
        <v>-</v>
      </c>
      <c r="J186" s="12" t="str">
        <f>IF('Raw Data'!J186="",IF(LEN(K186)&gt;6,SQRT('Raw Data'!M186^2+N186^2),""),'Raw Data'!J186)</f>
        <v/>
      </c>
      <c r="K186" s="7" t="str">
        <f>IF('Raw Data'!K186="","",IF(LEN('Raw Data'!K186)&lt;7,SUBSTITUTE('Raw Data'!K186," ",":",1),'Raw Data'!K186))</f>
        <v>-</v>
      </c>
      <c r="L186" t="str">
        <f>IF('Raw Data'!L186="","",'Raw Data'!L186)</f>
        <v/>
      </c>
      <c r="M186" t="str">
        <f>IF('Raw Data'!M186="","",'Raw Data'!M186)</f>
        <v/>
      </c>
      <c r="N186" t="str">
        <f>IF('Raw Data'!N186="","",IF('Raw Data'!N186="-",0,'Raw Data'!N186))</f>
        <v/>
      </c>
      <c r="O186">
        <f>IF('Raw Data'!O186="",IF('Raw Data'!N186="","",0),'Raw Data'!O186)</f>
        <v>251.2</v>
      </c>
      <c r="P186" t="str">
        <f>IF('Raw Data'!P186="","",'Raw Data'!P186)</f>
        <v/>
      </c>
      <c r="W186" s="4"/>
      <c r="X186" s="4"/>
      <c r="Y186" s="3"/>
      <c r="Z186" s="4">
        <f>IF('Raw Data'!O186="","",O185+N185)</f>
        <v>251.2</v>
      </c>
    </row>
    <row r="187" spans="1:26" x14ac:dyDescent="0.25">
      <c r="A187" t="str">
        <f>IF('Raw Data'!A187="","",'Raw Data'!A187)</f>
        <v/>
      </c>
      <c r="B187" t="str">
        <f>IF('Raw Data'!B187="","",'Raw Data'!B187)</f>
        <v/>
      </c>
      <c r="C187" t="str">
        <f>IF('Raw Data'!C187="","",'Raw Data'!C187)</f>
        <v/>
      </c>
      <c r="D187" t="str">
        <f>IF('Raw Data'!D187="","",'Raw Data'!D187)</f>
        <v/>
      </c>
      <c r="E187" t="str">
        <f>IF('Raw Data'!E187="","",'Raw Data'!E187)</f>
        <v/>
      </c>
      <c r="F187" t="str">
        <f>IF('Raw Data'!F187="","",'Raw Data'!F187)</f>
        <v/>
      </c>
      <c r="G187" s="7" t="str">
        <f>IF('Raw Data'!G187="/","-",IF('Raw Data'!G187="","-",SUBSTITUTE('Raw Data'!G187," ",":",1)))</f>
        <v>-</v>
      </c>
      <c r="H187" s="7" t="str">
        <f>IF('Raw Data'!H187="/","-",IF('Raw Data'!H187="","-",SUBSTITUTE('Raw Data'!H187," ",":",1)))</f>
        <v>-</v>
      </c>
      <c r="I187" s="7" t="str">
        <f>IF('Raw Data'!I187="/","-",IF('Raw Data'!I187="","-",SUBSTITUTE('Raw Data'!I187," ",":",1)))</f>
        <v>-</v>
      </c>
      <c r="J187" s="12" t="str">
        <f>IF('Raw Data'!J187="",IF(LEN(K187)&gt;6,SQRT('Raw Data'!M187^2+N187^2),""),'Raw Data'!J187)</f>
        <v/>
      </c>
      <c r="K187" s="7" t="str">
        <f>IF('Raw Data'!K187="","",IF(LEN('Raw Data'!K187)&lt;7,SUBSTITUTE('Raw Data'!K187," ",":",1),'Raw Data'!K187))</f>
        <v/>
      </c>
      <c r="L187" t="str">
        <f>IF('Raw Data'!L187="","",'Raw Data'!L187)</f>
        <v/>
      </c>
      <c r="M187" t="str">
        <f>IF('Raw Data'!M187="","",'Raw Data'!M187)</f>
        <v/>
      </c>
      <c r="N187" t="str">
        <f>IF('Raw Data'!N187="","",IF('Raw Data'!N187="-",0,'Raw Data'!N187))</f>
        <v/>
      </c>
      <c r="O187" t="str">
        <f>IF('Raw Data'!O187="",IF('Raw Data'!N187="","",0),'Raw Data'!O187)</f>
        <v/>
      </c>
      <c r="P187" t="str">
        <f>IF('Raw Data'!P187="","",'Raw Data'!P187)</f>
        <v/>
      </c>
      <c r="W187" s="4"/>
      <c r="X187" s="4"/>
      <c r="Y187" s="3"/>
      <c r="Z187" s="4" t="str">
        <f>IF('Raw Data'!O187="","",O186+N186)</f>
        <v/>
      </c>
    </row>
    <row r="188" spans="1:26" x14ac:dyDescent="0.25">
      <c r="A188" t="str">
        <f>IF('Raw Data'!A188="","",'Raw Data'!A188)</f>
        <v>p. 61-64</v>
      </c>
      <c r="B188" t="str">
        <f>IF('Raw Data'!B188="","",'Raw Data'!B188)</f>
        <v>(=PDF p.65-68)</v>
      </c>
      <c r="C188" t="str">
        <f>IF('Raw Data'!C188="","",'Raw Data'!C188)</f>
        <v/>
      </c>
      <c r="D188" t="str">
        <f>IF('Raw Data'!D188="","",'Raw Data'!D188)</f>
        <v/>
      </c>
      <c r="E188" t="str">
        <f>IF('Raw Data'!E188="","",'Raw Data'!E188)</f>
        <v/>
      </c>
      <c r="F188" t="str">
        <f>IF('Raw Data'!F188="","",'Raw Data'!F188)</f>
        <v/>
      </c>
      <c r="G188" s="7" t="str">
        <f>IF('Raw Data'!G188="/","-",IF('Raw Data'!G188="","-",SUBSTITUTE('Raw Data'!G188," ",":",1)))</f>
        <v>-</v>
      </c>
      <c r="H188" s="7" t="str">
        <f>IF('Raw Data'!H188="/","-",IF('Raw Data'!H188="","-",SUBSTITUTE('Raw Data'!H188," ",":",1)))</f>
        <v>-</v>
      </c>
      <c r="I188" s="7" t="str">
        <f>IF('Raw Data'!I188="/","-",IF('Raw Data'!I188="","-",SUBSTITUTE('Raw Data'!I188," ",":",1)))</f>
        <v>-</v>
      </c>
      <c r="J188" s="12" t="str">
        <f>IF('Raw Data'!J188="",IF(LEN(K188)&gt;6,SQRT('Raw Data'!M188^2+N188^2),""),'Raw Data'!J188)</f>
        <v/>
      </c>
      <c r="K188" s="7" t="str">
        <f>IF('Raw Data'!K188="","",IF(LEN('Raw Data'!K188)&lt;7,SUBSTITUTE('Raw Data'!K188," ",":",1),'Raw Data'!K188))</f>
        <v/>
      </c>
      <c r="L188" t="str">
        <f>IF('Raw Data'!L188="","",'Raw Data'!L188)</f>
        <v/>
      </c>
      <c r="M188" t="str">
        <f>IF('Raw Data'!M188="","",'Raw Data'!M188)</f>
        <v/>
      </c>
      <c r="N188" t="str">
        <f>IF('Raw Data'!N188="","",IF('Raw Data'!N188="-",0,'Raw Data'!N188))</f>
        <v/>
      </c>
      <c r="O188" t="str">
        <f>IF('Raw Data'!O188="",IF('Raw Data'!N188="","",0),'Raw Data'!O188)</f>
        <v/>
      </c>
      <c r="P188" t="str">
        <f>IF('Raw Data'!P188="","",'Raw Data'!P188)</f>
        <v/>
      </c>
      <c r="W188" s="4"/>
      <c r="X188" s="4"/>
      <c r="Y188" s="3"/>
      <c r="Z188" s="4" t="str">
        <f>IF('Raw Data'!O188="","",O187+N187)</f>
        <v/>
      </c>
    </row>
    <row r="189" spans="1:26" x14ac:dyDescent="0.25">
      <c r="A189" t="str">
        <f>IF('Raw Data'!A189="","",'Raw Data'!A189)</f>
        <v>8th Feb '53</v>
      </c>
      <c r="B189" t="str">
        <f>IF('Raw Data'!B189="","",'Raw Data'!B189)</f>
        <v/>
      </c>
      <c r="C189" t="str">
        <f>IF('Raw Data'!C189="","",'Raw Data'!C189)</f>
        <v>Barnes' Loop to Forty</v>
      </c>
      <c r="D189" t="str">
        <f>IF('Raw Data'!D189="","",'Raw Data'!D189)</f>
        <v/>
      </c>
      <c r="E189" t="str">
        <f>IF('Raw Data'!E189="","",'Raw Data'!E189)</f>
        <v/>
      </c>
      <c r="F189" t="str">
        <f>IF('Raw Data'!F189="","",'Raw Data'!F189)</f>
        <v/>
      </c>
      <c r="G189" s="7" t="str">
        <f>IF('Raw Data'!G189="/","-",IF('Raw Data'!G189="","-",SUBSTITUTE('Raw Data'!G189," ",":",1)))</f>
        <v>-</v>
      </c>
      <c r="H189" s="7" t="str">
        <f>IF('Raw Data'!H189="/","-",IF('Raw Data'!H189="","-",SUBSTITUTE('Raw Data'!H189," ",":",1)))</f>
        <v>-</v>
      </c>
      <c r="I189" s="7" t="str">
        <f>IF('Raw Data'!I189="/","-",IF('Raw Data'!I189="","-",SUBSTITUTE('Raw Data'!I189," ",":",1)))</f>
        <v>-</v>
      </c>
      <c r="J189" s="12" t="str">
        <f>IF('Raw Data'!J189="",IF(LEN(K189)&gt;6,SQRT('Raw Data'!M189^2+N189^2),""),'Raw Data'!J189)</f>
        <v/>
      </c>
      <c r="K189" s="7" t="str">
        <f>IF('Raw Data'!K189="","",IF(LEN('Raw Data'!K189)&lt;7,SUBSTITUTE('Raw Data'!K189," ",":",1),'Raw Data'!K189))</f>
        <v/>
      </c>
      <c r="L189" t="str">
        <f>IF('Raw Data'!L189="","",'Raw Data'!L189)</f>
        <v/>
      </c>
      <c r="M189" t="str">
        <f>IF('Raw Data'!M189="","",'Raw Data'!M189)</f>
        <v/>
      </c>
      <c r="N189" t="str">
        <f>IF('Raw Data'!N189="","",IF('Raw Data'!N189="-",0,'Raw Data'!N189))</f>
        <v/>
      </c>
      <c r="O189" t="str">
        <f>IF('Raw Data'!O189="",IF('Raw Data'!N189="","",0),'Raw Data'!O189)</f>
        <v/>
      </c>
      <c r="P189" t="str">
        <f>IF('Raw Data'!P189="","",'Raw Data'!P189)</f>
        <v/>
      </c>
      <c r="W189" s="4"/>
      <c r="X189" s="4"/>
      <c r="Y189" s="3"/>
      <c r="Z189" s="4" t="str">
        <f>IF('Raw Data'!O189="","",O188+N188)</f>
        <v/>
      </c>
    </row>
    <row r="190" spans="1:26" x14ac:dyDescent="0.25">
      <c r="A190" t="str">
        <f>IF('Raw Data'!A190="","",'Raw Data'!A190)</f>
        <v>AY</v>
      </c>
      <c r="B190" t="str">
        <f>IF('Raw Data'!B190="","",'Raw Data'!B190)</f>
        <v>AZ</v>
      </c>
      <c r="C190">
        <f>IF('Raw Data'!C190="","",'Raw Data'!C190)</f>
        <v>20</v>
      </c>
      <c r="D190">
        <f>IF('Raw Data'!D190="","",'Raw Data'!D190)</f>
        <v>8</v>
      </c>
      <c r="E190" t="str">
        <f>IF('Raw Data'!E190="","",'Raw Data'!E190)</f>
        <v>30 (in alcove)</v>
      </c>
      <c r="F190" t="str">
        <f>IF('Raw Data'!F190="","",'Raw Data'!F190)</f>
        <v>10 (in alcove)</v>
      </c>
      <c r="G190" s="7" t="str">
        <f>IF('Raw Data'!G190="/","-",IF('Raw Data'!G190="","-",SUBSTITUTE('Raw Data'!G190," ",":",1)))</f>
        <v>-</v>
      </c>
      <c r="H190" s="7" t="str">
        <f>IF('Raw Data'!H190="/","-",IF('Raw Data'!H190="","-",SUBSTITUTE('Raw Data'!H190," ",":",1)))</f>
        <v>259:20</v>
      </c>
      <c r="I190" s="7" t="str">
        <f>IF('Raw Data'!I190="/","-",IF('Raw Data'!I190="","-",SUBSTITUTE('Raw Data'!I190," ",":",1)))</f>
        <v>079:20</v>
      </c>
      <c r="J190" s="12">
        <f>IF('Raw Data'!J190="",IF(LEN(K190)&gt;6,SQRT('Raw Data'!M190^2+N190^2),""),'Raw Data'!J190)</f>
        <v>17.600000000000001</v>
      </c>
      <c r="K190" s="7" t="str">
        <f>IF('Raw Data'!K190="","",IF(LEN('Raw Data'!K190)&lt;7,SUBSTITUTE('Raw Data'!K190," ",":",1),'Raw Data'!K190))</f>
        <v>30:30</v>
      </c>
      <c r="L190" t="str">
        <f>IF('Raw Data'!L190="","",'Raw Data'!L190)</f>
        <v/>
      </c>
      <c r="M190">
        <f>IF('Raw Data'!M190="","",'Raw Data'!M190)</f>
        <v>15.2</v>
      </c>
      <c r="N190">
        <f>IF('Raw Data'!N190="","",IF('Raw Data'!N190="-",0,'Raw Data'!N190))</f>
        <v>8.9</v>
      </c>
      <c r="O190">
        <f>IF('Raw Data'!O190="",IF('Raw Data'!N190="","",0),'Raw Data'!O190)</f>
        <v>113.8</v>
      </c>
      <c r="P190" t="str">
        <f>IF('Raw Data'!P190="","",'Raw Data'!P190)</f>
        <v/>
      </c>
      <c r="R190" s="3" t="str">
        <f t="shared" ref="R190:R203" si="84">IF(ISERROR(FIND(":",G190)),IF(G190&lt;&gt;"-",1*G190,G190),1*LEFT(G190,FIND(":",G190)-1)+RIGHT(G190,LEN(G190)-FIND(":",G190))/60)</f>
        <v>-</v>
      </c>
      <c r="S190" s="3">
        <f t="shared" ref="S190:S203" si="85">IF(ISERROR(FIND(":",H190)),IF(H190&lt;&gt;"-",1*H190,H190),1*LEFT(H190,FIND(":",H190)-1)+RIGHT(H190,LEN(H190)-FIND(":",H190))/60)</f>
        <v>259.33333333333331</v>
      </c>
      <c r="T190" s="3">
        <f t="shared" ref="T190:T203" si="86">IF(ISERROR(FIND(":",I190)),IF(I190&lt;&gt;"-",1*I190,I190),1*LEFT(I190,FIND(":",I190)-1)+RIGHT(I190,LEN(I190)-FIND(":",I190))/60)</f>
        <v>79.333333333333329</v>
      </c>
      <c r="U190" s="3">
        <f t="shared" ref="U190:U209" si="87">IF(ISERROR(FIND(":",K190)),IF(K190="zero",0,1*K190),1*CONCATENATE(LEFT(K190,FIND(":",K190)-1),".",MID(RIGHT(K190,LEN(K190)-FIND(":",K190))/60,3,8)))</f>
        <v>30.5</v>
      </c>
      <c r="W190" s="4">
        <f t="shared" ref="W190:W203" si="88">J190*COS(U190*PI()/180)</f>
        <v>15.164673223770855</v>
      </c>
      <c r="X190" s="4">
        <f t="shared" ref="X190:X203" si="89">J190*SIN(U190*PI()/180)</f>
        <v>8.9326751881083926</v>
      </c>
      <c r="Y190" s="3">
        <f t="shared" ref="Y190:Y203" si="90">IF(R190="-",IF(S190&gt;180,S190-180,S190+180),R190)</f>
        <v>79.333333333333314</v>
      </c>
      <c r="Z190" s="4">
        <f>IF('Raw Data'!O190="","",O97+N97)</f>
        <v>113.8</v>
      </c>
    </row>
    <row r="191" spans="1:26" x14ac:dyDescent="0.25">
      <c r="A191" t="str">
        <f>IF('Raw Data'!A191="","",'Raw Data'!A191)</f>
        <v>AZ</v>
      </c>
      <c r="B191" t="str">
        <f>IF('Raw Data'!B191="","",'Raw Data'!B191)</f>
        <v>BA</v>
      </c>
      <c r="C191">
        <f>IF('Raw Data'!C191="","",'Raw Data'!C191)</f>
        <v>12</v>
      </c>
      <c r="D191">
        <f>IF('Raw Data'!D191="","",'Raw Data'!D191)</f>
        <v>6</v>
      </c>
      <c r="E191">
        <f>IF('Raw Data'!E191="","",'Raw Data'!E191)</f>
        <v>2</v>
      </c>
      <c r="F191" t="str">
        <f>IF('Raw Data'!F191="","",'Raw Data'!F191)</f>
        <v>4 (in alcove)</v>
      </c>
      <c r="G191" s="7" t="str">
        <f>IF('Raw Data'!G191="/","-",IF('Raw Data'!G191="","-",SUBSTITUTE('Raw Data'!G191," ",":",1)))</f>
        <v>113:30</v>
      </c>
      <c r="H191" s="7" t="str">
        <f>IF('Raw Data'!H191="/","-",IF('Raw Data'!H191="","-",SUBSTITUTE('Raw Data'!H191," ",":",1)))</f>
        <v>-</v>
      </c>
      <c r="I191" s="7" t="str">
        <f>IF('Raw Data'!I191="/","-",IF('Raw Data'!I191="","-",SUBSTITUTE('Raw Data'!I191," ",":",1)))</f>
        <v>113:30</v>
      </c>
      <c r="J191" s="12">
        <f>IF('Raw Data'!J191="",IF(LEN(K191)&gt;6,SQRT('Raw Data'!M191^2+N191^2),""),'Raw Data'!J191)</f>
        <v>36.6</v>
      </c>
      <c r="K191" s="7" t="str">
        <f>IF('Raw Data'!K191="","",IF(LEN('Raw Data'!K191)&lt;7,SUBSTITUTE('Raw Data'!K191," ",":",1),'Raw Data'!K191))</f>
        <v>21:20</v>
      </c>
      <c r="L191" t="str">
        <f>IF('Raw Data'!L191="","",'Raw Data'!L191)</f>
        <v/>
      </c>
      <c r="M191">
        <f>IF('Raw Data'!M191="","",'Raw Data'!M191)</f>
        <v>34.1</v>
      </c>
      <c r="N191">
        <f>IF('Raw Data'!N191="","",IF('Raw Data'!N191="-",0,'Raw Data'!N191))</f>
        <v>13.3</v>
      </c>
      <c r="O191">
        <f>IF('Raw Data'!O191="",IF('Raw Data'!N191="","",0),'Raw Data'!O191)</f>
        <v>122.7</v>
      </c>
      <c r="P191" t="str">
        <f>IF('Raw Data'!P191="","",'Raw Data'!P191)</f>
        <v/>
      </c>
      <c r="R191" s="3">
        <f t="shared" si="84"/>
        <v>113.5</v>
      </c>
      <c r="S191" s="3" t="str">
        <f t="shared" si="85"/>
        <v>-</v>
      </c>
      <c r="T191" s="3">
        <f t="shared" si="86"/>
        <v>113.5</v>
      </c>
      <c r="U191" s="3">
        <f t="shared" si="87"/>
        <v>21.333333329999999</v>
      </c>
      <c r="W191" s="4">
        <f t="shared" si="88"/>
        <v>34.092158445471433</v>
      </c>
      <c r="X191" s="4">
        <f t="shared" si="89"/>
        <v>13.314831299301943</v>
      </c>
      <c r="Y191" s="3">
        <f t="shared" si="90"/>
        <v>113.5</v>
      </c>
      <c r="Z191" s="4">
        <f>IF('Raw Data'!O191="","",O190+N190)</f>
        <v>122.7</v>
      </c>
    </row>
    <row r="192" spans="1:26" x14ac:dyDescent="0.25">
      <c r="A192" t="str">
        <f>IF('Raw Data'!A192="","",'Raw Data'!A192)</f>
        <v>BA</v>
      </c>
      <c r="B192" t="str">
        <f>IF('Raw Data'!B192="","",'Raw Data'!B192)</f>
        <v>BB</v>
      </c>
      <c r="C192">
        <f>IF('Raw Data'!C192="","",'Raw Data'!C192)</f>
        <v>20</v>
      </c>
      <c r="D192">
        <f>IF('Raw Data'!D192="","",'Raw Data'!D192)</f>
        <v>8</v>
      </c>
      <c r="E192">
        <f>IF('Raw Data'!E192="","",'Raw Data'!E192)</f>
        <v>6</v>
      </c>
      <c r="F192">
        <f>IF('Raw Data'!F192="","",'Raw Data'!F192)</f>
        <v>2</v>
      </c>
      <c r="G192" s="7" t="str">
        <f>IF('Raw Data'!G192="/","-",IF('Raw Data'!G192="","-",SUBSTITUTE('Raw Data'!G192," ",":",1)))</f>
        <v>-</v>
      </c>
      <c r="H192" s="7" t="str">
        <f>IF('Raw Data'!H192="/","-",IF('Raw Data'!H192="","-",SUBSTITUTE('Raw Data'!H192," ",":",1)))</f>
        <v>179:30</v>
      </c>
      <c r="I192" s="7" t="str">
        <f>IF('Raw Data'!I192="/","-",IF('Raw Data'!I192="","-",SUBSTITUTE('Raw Data'!I192," ",":",1)))</f>
        <v>359:30</v>
      </c>
      <c r="J192" s="12">
        <f>IF('Raw Data'!J192="",IF(LEN(K192)&gt;6,SQRT('Raw Data'!M192^2+N192^2),""),'Raw Data'!J192)</f>
        <v>10.8</v>
      </c>
      <c r="K192" s="7" t="str">
        <f>IF('Raw Data'!K192="","",IF(LEN('Raw Data'!K192)&lt;7,SUBSTITUTE('Raw Data'!K192," ",":",1),'Raw Data'!K192))</f>
        <v>-38:20</v>
      </c>
      <c r="L192" t="str">
        <f>IF('Raw Data'!L192="","",'Raw Data'!L192)</f>
        <v/>
      </c>
      <c r="M192">
        <f>IF('Raw Data'!M192="","",'Raw Data'!M192)</f>
        <v>8.5</v>
      </c>
      <c r="N192">
        <f>IF('Raw Data'!N192="","",IF('Raw Data'!N192="-",0,'Raw Data'!N192))</f>
        <v>-6.7</v>
      </c>
      <c r="O192">
        <f>IF('Raw Data'!O192="",IF('Raw Data'!N192="","",0),'Raw Data'!O192)</f>
        <v>136</v>
      </c>
      <c r="P192" t="str">
        <f>IF('Raw Data'!P192="","",'Raw Data'!P192)</f>
        <v/>
      </c>
      <c r="R192" s="3" t="str">
        <f t="shared" si="84"/>
        <v>-</v>
      </c>
      <c r="S192" s="3">
        <f t="shared" si="85"/>
        <v>179.5</v>
      </c>
      <c r="T192" s="3">
        <f t="shared" si="86"/>
        <v>359.5</v>
      </c>
      <c r="U192" s="3">
        <f t="shared" si="87"/>
        <v>-38.333333330000002</v>
      </c>
      <c r="W192" s="4">
        <f t="shared" si="88"/>
        <v>8.471689181521123</v>
      </c>
      <c r="X192" s="4">
        <f t="shared" si="89"/>
        <v>-6.698543305204347</v>
      </c>
      <c r="Y192" s="3">
        <f t="shared" si="90"/>
        <v>359.5</v>
      </c>
      <c r="Z192" s="4">
        <f>IF('Raw Data'!O192="","",O191+N191)</f>
        <v>136</v>
      </c>
    </row>
    <row r="193" spans="1:26" x14ac:dyDescent="0.25">
      <c r="A193" t="str">
        <f>IF('Raw Data'!A193="","",'Raw Data'!A193)</f>
        <v>BB</v>
      </c>
      <c r="B193" t="str">
        <f>IF('Raw Data'!B193="","",'Raw Data'!B193)</f>
        <v>BC</v>
      </c>
      <c r="C193">
        <f>IF('Raw Data'!C193="","",'Raw Data'!C193)</f>
        <v>12</v>
      </c>
      <c r="D193">
        <f>IF('Raw Data'!D193="","",'Raw Data'!D193)</f>
        <v>1</v>
      </c>
      <c r="E193">
        <f>IF('Raw Data'!E193="","",'Raw Data'!E193)</f>
        <v>2</v>
      </c>
      <c r="F193">
        <f>IF('Raw Data'!F193="","",'Raw Data'!F193)</f>
        <v>6</v>
      </c>
      <c r="G193" s="7" t="str">
        <f>IF('Raw Data'!G193="/","-",IF('Raw Data'!G193="","-",SUBSTITUTE('Raw Data'!G193," ",":",1)))</f>
        <v>011:50</v>
      </c>
      <c r="H193" s="7" t="str">
        <f>IF('Raw Data'!H193="/","-",IF('Raw Data'!H193="","-",SUBSTITUTE('Raw Data'!H193," ",":",1)))</f>
        <v>-</v>
      </c>
      <c r="I193" s="7" t="str">
        <f>IF('Raw Data'!I193="/","-",IF('Raw Data'!I193="","-",SUBSTITUTE('Raw Data'!I193," ",":",1)))</f>
        <v>011:50</v>
      </c>
      <c r="J193" s="12">
        <f>IF('Raw Data'!J193="",IF(LEN(K193)&gt;6,SQRT('Raw Data'!M193^2+N193^2),""),'Raw Data'!J193)</f>
        <v>20.399999999999999</v>
      </c>
      <c r="K193" s="7" t="str">
        <f>IF('Raw Data'!K193="","",IF(LEN('Raw Data'!K193)&lt;7,SUBSTITUTE('Raw Data'!K193," ",":",1),'Raw Data'!K193))</f>
        <v>1:00</v>
      </c>
      <c r="L193" t="str">
        <f>IF('Raw Data'!L193="","",'Raw Data'!L193)</f>
        <v/>
      </c>
      <c r="M193">
        <f>IF('Raw Data'!M193="","",'Raw Data'!M193)</f>
        <v>20.399999999999999</v>
      </c>
      <c r="N193">
        <f>IF('Raw Data'!N193="","",IF('Raw Data'!N193="-",0,'Raw Data'!N193))</f>
        <v>0.35</v>
      </c>
      <c r="O193">
        <f>IF('Raw Data'!O193="",IF('Raw Data'!N193="","",0),'Raw Data'!O193)</f>
        <v>129.30000000000001</v>
      </c>
      <c r="P193" t="str">
        <f>IF('Raw Data'!P193="","",'Raw Data'!P193)</f>
        <v>3' before little portal</v>
      </c>
      <c r="R193" s="3">
        <f t="shared" si="84"/>
        <v>11.833333333333334</v>
      </c>
      <c r="S193" s="3" t="str">
        <f t="shared" si="85"/>
        <v>-</v>
      </c>
      <c r="T193" s="3">
        <f t="shared" si="86"/>
        <v>11.833333333333334</v>
      </c>
      <c r="U193" s="3">
        <f t="shared" si="87"/>
        <v>1</v>
      </c>
      <c r="W193" s="4">
        <f t="shared" si="88"/>
        <v>20.39689298119038</v>
      </c>
      <c r="X193" s="4">
        <f t="shared" si="89"/>
        <v>0.35602909132058363</v>
      </c>
      <c r="Y193" s="3">
        <f t="shared" si="90"/>
        <v>11.833333333333334</v>
      </c>
      <c r="Z193" s="4">
        <f>IF('Raw Data'!O193="","",O192+N192)</f>
        <v>129.30000000000001</v>
      </c>
    </row>
    <row r="194" spans="1:26" x14ac:dyDescent="0.25">
      <c r="A194" t="str">
        <f>IF('Raw Data'!A194="","",'Raw Data'!A194)</f>
        <v>BC</v>
      </c>
      <c r="B194" t="str">
        <f>IF('Raw Data'!B194="","",'Raw Data'!B194)</f>
        <v>BD</v>
      </c>
      <c r="C194">
        <f>IF('Raw Data'!C194="","",'Raw Data'!C194)</f>
        <v>18</v>
      </c>
      <c r="D194">
        <f>IF('Raw Data'!D194="","",'Raw Data'!D194)</f>
        <v>1</v>
      </c>
      <c r="E194">
        <f>IF('Raw Data'!E194="","",'Raw Data'!E194)</f>
        <v>4</v>
      </c>
      <c r="F194">
        <f>IF('Raw Data'!F194="","",'Raw Data'!F194)</f>
        <v>3</v>
      </c>
      <c r="G194" s="7" t="str">
        <f>IF('Raw Data'!G194="/","-",IF('Raw Data'!G194="","-",SUBSTITUTE('Raw Data'!G194," ",":",1)))</f>
        <v>-</v>
      </c>
      <c r="H194" s="7" t="str">
        <f>IF('Raw Data'!H194="/","-",IF('Raw Data'!H194="","-",SUBSTITUTE('Raw Data'!H194," ",":",1)))</f>
        <v>160:00</v>
      </c>
      <c r="I194" s="7" t="str">
        <f>IF('Raw Data'!I194="/","-",IF('Raw Data'!I194="","-",SUBSTITUTE('Raw Data'!I194," ",":",1)))</f>
        <v>340:00</v>
      </c>
      <c r="J194" s="12">
        <f>IF('Raw Data'!J194="",IF(LEN(K194)&gt;6,SQRT('Raw Data'!M194^2+N194^2),""),'Raw Data'!J194)</f>
        <v>49.6</v>
      </c>
      <c r="K194" s="7" t="str">
        <f>IF('Raw Data'!K194="","",IF(LEN('Raw Data'!K194)&lt;7,SUBSTITUTE('Raw Data'!K194," ",":",1),'Raw Data'!K194))</f>
        <v>17:40</v>
      </c>
      <c r="L194" t="str">
        <f>IF('Raw Data'!L194="","",'Raw Data'!L194)</f>
        <v/>
      </c>
      <c r="M194">
        <f>IF('Raw Data'!M194="","",'Raw Data'!M194)</f>
        <v>47.3</v>
      </c>
      <c r="N194">
        <f>IF('Raw Data'!N194="","",IF('Raw Data'!N194="-",0,'Raw Data'!N194))</f>
        <v>15</v>
      </c>
      <c r="O194">
        <f>IF('Raw Data'!O194="",IF('Raw Data'!N194="","",0),'Raw Data'!O194)</f>
        <v>129.69999999999999</v>
      </c>
      <c r="P194" t="str">
        <f>IF('Raw Data'!P194="","",'Raw Data'!P194)</f>
        <v/>
      </c>
      <c r="R194" s="3" t="str">
        <f t="shared" si="84"/>
        <v>-</v>
      </c>
      <c r="S194" s="3">
        <f t="shared" si="85"/>
        <v>160</v>
      </c>
      <c r="T194" s="3">
        <f t="shared" si="86"/>
        <v>340</v>
      </c>
      <c r="U194" s="3">
        <f t="shared" si="87"/>
        <v>17.666666660000001</v>
      </c>
      <c r="W194" s="4">
        <f t="shared" si="88"/>
        <v>47.260774686428114</v>
      </c>
      <c r="X194" s="4">
        <f t="shared" si="89"/>
        <v>15.052547161151024</v>
      </c>
      <c r="Y194" s="3">
        <f t="shared" si="90"/>
        <v>340</v>
      </c>
      <c r="Z194" s="4">
        <f>IF('Raw Data'!O194="","",O193+N193)</f>
        <v>129.65</v>
      </c>
    </row>
    <row r="195" spans="1:26" x14ac:dyDescent="0.25">
      <c r="A195" t="str">
        <f>IF('Raw Data'!A195="","",'Raw Data'!A195)</f>
        <v>BD</v>
      </c>
      <c r="B195" t="str">
        <f>IF('Raw Data'!B195="","",'Raw Data'!B195)</f>
        <v>BE</v>
      </c>
      <c r="C195">
        <f>IF('Raw Data'!C195="","",'Raw Data'!C195)</f>
        <v>25</v>
      </c>
      <c r="D195">
        <f>IF('Raw Data'!D195="","",'Raw Data'!D195)</f>
        <v>4</v>
      </c>
      <c r="E195">
        <f>IF('Raw Data'!E195="","",'Raw Data'!E195)</f>
        <v>3</v>
      </c>
      <c r="F195">
        <f>IF('Raw Data'!F195="","",'Raw Data'!F195)</f>
        <v>6</v>
      </c>
      <c r="G195" s="7" t="str">
        <f>IF('Raw Data'!G195="/","-",IF('Raw Data'!G195="","-",SUBSTITUTE('Raw Data'!G195," ",":",1)))</f>
        <v>333:00</v>
      </c>
      <c r="H195" s="7" t="str">
        <f>IF('Raw Data'!H195="/","-",IF('Raw Data'!H195="","-",SUBSTITUTE('Raw Data'!H195," ",":",1)))</f>
        <v>-</v>
      </c>
      <c r="I195" s="7" t="str">
        <f>IF('Raw Data'!I195="/","-",IF('Raw Data'!I195="","-",SUBSTITUTE('Raw Data'!I195," ",":",1)))</f>
        <v>333:00</v>
      </c>
      <c r="J195" s="12">
        <f>IF('Raw Data'!J195="",IF(LEN(K195)&gt;6,SQRT('Raw Data'!M195^2+N195^2),""),'Raw Data'!J195)</f>
        <v>24.7</v>
      </c>
      <c r="K195" s="7" t="str">
        <f>IF('Raw Data'!K195="","",IF(LEN('Raw Data'!K195)&lt;7,SUBSTITUTE('Raw Data'!K195," ",":",1),'Raw Data'!K195))</f>
        <v>-26:00</v>
      </c>
      <c r="L195" t="str">
        <f>IF('Raw Data'!L195="","",'Raw Data'!L195)</f>
        <v/>
      </c>
      <c r="M195">
        <f>IF('Raw Data'!M195="","",'Raw Data'!M195)</f>
        <v>22.2</v>
      </c>
      <c r="N195">
        <f>IF('Raw Data'!N195="","",IF('Raw Data'!N195="-",0,'Raw Data'!N195))</f>
        <v>-10.8</v>
      </c>
      <c r="O195">
        <f>IF('Raw Data'!O195="",IF('Raw Data'!N195="","",0),'Raw Data'!O195)</f>
        <v>144.69999999999999</v>
      </c>
      <c r="P195" t="str">
        <f>IF('Raw Data'!P195="","",'Raw Data'!P195)</f>
        <v>6' before junction with rift</v>
      </c>
      <c r="R195" s="3">
        <f t="shared" si="84"/>
        <v>333</v>
      </c>
      <c r="S195" s="3" t="str">
        <f t="shared" si="85"/>
        <v>-</v>
      </c>
      <c r="T195" s="3">
        <f t="shared" si="86"/>
        <v>333</v>
      </c>
      <c r="U195" s="3">
        <f t="shared" si="87"/>
        <v>-26</v>
      </c>
      <c r="W195" s="4">
        <f t="shared" si="88"/>
        <v>22.200212943589424</v>
      </c>
      <c r="X195" s="4">
        <f t="shared" si="89"/>
        <v>-10.827767325690212</v>
      </c>
      <c r="Y195" s="3">
        <f t="shared" si="90"/>
        <v>333</v>
      </c>
      <c r="Z195" s="4">
        <f>IF('Raw Data'!O195="","",O194+N194)</f>
        <v>144.69999999999999</v>
      </c>
    </row>
    <row r="196" spans="1:26" x14ac:dyDescent="0.25">
      <c r="A196" t="str">
        <f>IF('Raw Data'!A196="","",'Raw Data'!A196)</f>
        <v>BE</v>
      </c>
      <c r="B196" t="str">
        <f>IF('Raw Data'!B196="","",'Raw Data'!B196)</f>
        <v>BF</v>
      </c>
      <c r="C196">
        <f>IF('Raw Data'!C196="","",'Raw Data'!C196)</f>
        <v>30</v>
      </c>
      <c r="D196">
        <f>IF('Raw Data'!D196="","",'Raw Data'!D196)</f>
        <v>10</v>
      </c>
      <c r="E196" t="str">
        <f>IF('Raw Data'!E196="","",'Raw Data'!E196)</f>
        <v>-</v>
      </c>
      <c r="F196">
        <f>IF('Raw Data'!F196="","",'Raw Data'!F196)</f>
        <v>5</v>
      </c>
      <c r="G196" s="7" t="str">
        <f>IF('Raw Data'!G196="/","-",IF('Raw Data'!G196="","-",SUBSTITUTE('Raw Data'!G196," ",":",1)))</f>
        <v>-</v>
      </c>
      <c r="H196" s="7" t="str">
        <f>IF('Raw Data'!H196="/","-",IF('Raw Data'!H196="","-",SUBSTITUTE('Raw Data'!H196," ",":",1)))</f>
        <v>203:30</v>
      </c>
      <c r="I196" s="7" t="str">
        <f>IF('Raw Data'!I196="/","-",IF('Raw Data'!I196="","-",SUBSTITUTE('Raw Data'!I196," ",":",1)))</f>
        <v>023:30</v>
      </c>
      <c r="J196" s="12">
        <f>IF('Raw Data'!J196="",IF(LEN(K196)&gt;6,SQRT('Raw Data'!M196^2+N196^2),""),'Raw Data'!J196)</f>
        <v>13.3</v>
      </c>
      <c r="K196" s="7" t="str">
        <f>IF('Raw Data'!K196="","",IF(LEN('Raw Data'!K196)&lt;7,SUBSTITUTE('Raw Data'!K196," ",":",1),'Raw Data'!K196))</f>
        <v>14:00</v>
      </c>
      <c r="L196" t="str">
        <f>IF('Raw Data'!L196="","",'Raw Data'!L196)</f>
        <v/>
      </c>
      <c r="M196">
        <f>IF('Raw Data'!M196="","",'Raw Data'!M196)</f>
        <v>12.9</v>
      </c>
      <c r="N196">
        <f>IF('Raw Data'!N196="","",IF('Raw Data'!N196="-",0,'Raw Data'!N196))</f>
        <v>3.2</v>
      </c>
      <c r="O196">
        <f>IF('Raw Data'!O196="",IF('Raw Data'!N196="","",0),'Raw Data'!O196)</f>
        <v>133.9</v>
      </c>
      <c r="P196" t="str">
        <f>IF('Raw Data'!P196="","",'Raw Data'!P196)</f>
        <v>over dark rift</v>
      </c>
      <c r="R196" s="3" t="str">
        <f t="shared" si="84"/>
        <v>-</v>
      </c>
      <c r="S196" s="3">
        <f t="shared" si="85"/>
        <v>203.5</v>
      </c>
      <c r="T196" s="3">
        <f t="shared" si="86"/>
        <v>23.5</v>
      </c>
      <c r="U196" s="3">
        <f t="shared" si="87"/>
        <v>14</v>
      </c>
      <c r="W196" s="4">
        <f t="shared" si="88"/>
        <v>12.904933159470755</v>
      </c>
      <c r="X196" s="4">
        <f t="shared" si="89"/>
        <v>3.2175612114755809</v>
      </c>
      <c r="Y196" s="3">
        <f t="shared" si="90"/>
        <v>23.5</v>
      </c>
      <c r="Z196" s="4">
        <f>IF('Raw Data'!O196="","",O195+N195)</f>
        <v>133.89999999999998</v>
      </c>
    </row>
    <row r="197" spans="1:26" x14ac:dyDescent="0.25">
      <c r="A197" t="str">
        <f>IF('Raw Data'!A197="","",'Raw Data'!A197)</f>
        <v>BF</v>
      </c>
      <c r="B197" t="str">
        <f>IF('Raw Data'!B197="","",'Raw Data'!B197)</f>
        <v>BG</v>
      </c>
      <c r="C197">
        <f>IF('Raw Data'!C197="","",'Raw Data'!C197)</f>
        <v>25</v>
      </c>
      <c r="D197">
        <f>IF('Raw Data'!D197="","",'Raw Data'!D197)</f>
        <v>5</v>
      </c>
      <c r="E197">
        <f>IF('Raw Data'!E197="","",'Raw Data'!E197)</f>
        <v>5</v>
      </c>
      <c r="F197" t="str">
        <f>IF('Raw Data'!F197="","",'Raw Data'!F197)</f>
        <v>/</v>
      </c>
      <c r="G197" s="7" t="str">
        <f>IF('Raw Data'!G197="/","-",IF('Raw Data'!G197="","-",SUBSTITUTE('Raw Data'!G197," ",":",1)))</f>
        <v>091:50</v>
      </c>
      <c r="H197" s="7" t="str">
        <f>IF('Raw Data'!H197="/","-",IF('Raw Data'!H197="","-",SUBSTITUTE('Raw Data'!H197," ",":",1)))</f>
        <v>-</v>
      </c>
      <c r="I197" s="7" t="str">
        <f>IF('Raw Data'!I197="/","-",IF('Raw Data'!I197="","-",SUBSTITUTE('Raw Data'!I197," ",":",1)))</f>
        <v>091:50</v>
      </c>
      <c r="J197" s="12">
        <f>IF('Raw Data'!J197="",IF(LEN(K197)&gt;6,SQRT('Raw Data'!M197^2+N197^2),""),'Raw Data'!J197)</f>
        <v>15.7</v>
      </c>
      <c r="K197" s="7" t="str">
        <f>IF('Raw Data'!K197="","",IF(LEN('Raw Data'!K197)&lt;7,SUBSTITUTE('Raw Data'!K197," ",":",1),'Raw Data'!K197))</f>
        <v>15:00</v>
      </c>
      <c r="L197" t="str">
        <f>IF('Raw Data'!L197="","",'Raw Data'!L197)</f>
        <v/>
      </c>
      <c r="M197">
        <f>IF('Raw Data'!M197="","",'Raw Data'!M197)</f>
        <v>15.2</v>
      </c>
      <c r="N197">
        <f>IF('Raw Data'!N197="","",IF('Raw Data'!N197="-",0,'Raw Data'!N197))</f>
        <v>4.0999999999999996</v>
      </c>
      <c r="O197">
        <f>IF('Raw Data'!O197="",IF('Raw Data'!N197="","",0),'Raw Data'!O197)</f>
        <v>137.1</v>
      </c>
      <c r="P197" t="str">
        <f>IF('Raw Data'!P197="","",'Raw Data'!P197)</f>
        <v>corner</v>
      </c>
      <c r="R197" s="3">
        <f t="shared" si="84"/>
        <v>91.833333333333329</v>
      </c>
      <c r="S197" s="3" t="str">
        <f t="shared" si="85"/>
        <v>-</v>
      </c>
      <c r="T197" s="3">
        <f t="shared" si="86"/>
        <v>91.833333333333329</v>
      </c>
      <c r="U197" s="3">
        <f t="shared" si="87"/>
        <v>15</v>
      </c>
      <c r="W197" s="4">
        <f t="shared" si="88"/>
        <v>15.165035472738372</v>
      </c>
      <c r="X197" s="4">
        <f t="shared" si="89"/>
        <v>4.0634590081095752</v>
      </c>
      <c r="Y197" s="3">
        <f t="shared" si="90"/>
        <v>91.833333333333329</v>
      </c>
      <c r="Z197" s="4">
        <f>IF('Raw Data'!O197="","",O196+N196)</f>
        <v>137.1</v>
      </c>
    </row>
    <row r="198" spans="1:26" x14ac:dyDescent="0.25">
      <c r="A198" t="str">
        <f>IF('Raw Data'!A198="","",'Raw Data'!A198)</f>
        <v>BG</v>
      </c>
      <c r="B198" t="str">
        <f>IF('Raw Data'!B198="","",'Raw Data'!B198)</f>
        <v>BH</v>
      </c>
      <c r="C198">
        <f>IF('Raw Data'!C198="","",'Raw Data'!C198)</f>
        <v>25</v>
      </c>
      <c r="D198">
        <f>IF('Raw Data'!D198="","",'Raw Data'!D198)</f>
        <v>5</v>
      </c>
      <c r="E198">
        <f>IF('Raw Data'!E198="","",'Raw Data'!E198)</f>
        <v>2</v>
      </c>
      <c r="F198">
        <f>IF('Raw Data'!F198="","",'Raw Data'!F198)</f>
        <v>5</v>
      </c>
      <c r="G198" s="7" t="str">
        <f>IF('Raw Data'!G198="/","-",IF('Raw Data'!G198="","-",SUBSTITUTE('Raw Data'!G198," ",":",1)))</f>
        <v>-</v>
      </c>
      <c r="H198" s="7" t="str">
        <f>IF('Raw Data'!H198="/","-",IF('Raw Data'!H198="","-",SUBSTITUTE('Raw Data'!H198," ",":",1)))</f>
        <v>324:20</v>
      </c>
      <c r="I198" s="7" t="str">
        <f>IF('Raw Data'!I198="/","-",IF('Raw Data'!I198="","-",SUBSTITUTE('Raw Data'!I198," ",":",1)))</f>
        <v>144:20</v>
      </c>
      <c r="J198" s="12">
        <f>IF('Raw Data'!J198="",IF(LEN(K198)&gt;6,SQRT('Raw Data'!M198^2+N198^2),""),'Raw Data'!J198)</f>
        <v>36.9</v>
      </c>
      <c r="K198" s="7" t="str">
        <f>IF('Raw Data'!K198="","",IF(LEN('Raw Data'!K198)&lt;7,SUBSTITUTE('Raw Data'!K198," ",":",1),'Raw Data'!K198))</f>
        <v>11:30</v>
      </c>
      <c r="L198" t="str">
        <f>IF('Raw Data'!L198="","",'Raw Data'!L198)</f>
        <v/>
      </c>
      <c r="M198">
        <f>IF('Raw Data'!M198="","",'Raw Data'!M198)</f>
        <v>36.1</v>
      </c>
      <c r="N198">
        <f>IF('Raw Data'!N198="","",IF('Raw Data'!N198="-",0,'Raw Data'!N198))</f>
        <v>7.3</v>
      </c>
      <c r="O198">
        <f>IF('Raw Data'!O198="",IF('Raw Data'!N198="","",0),'Raw Data'!O198)</f>
        <v>141.19999999999999</v>
      </c>
      <c r="P198" t="str">
        <f>IF('Raw Data'!P198="","",'Raw Data'!P198)</f>
        <v/>
      </c>
      <c r="R198" s="3" t="str">
        <f t="shared" si="84"/>
        <v>-</v>
      </c>
      <c r="S198" s="3">
        <f t="shared" si="85"/>
        <v>324.33333333333331</v>
      </c>
      <c r="T198" s="3">
        <f t="shared" si="86"/>
        <v>144.33333333333334</v>
      </c>
      <c r="U198" s="3">
        <f t="shared" si="87"/>
        <v>11.5</v>
      </c>
      <c r="W198" s="4">
        <f t="shared" si="88"/>
        <v>36.159221600508609</v>
      </c>
      <c r="X198" s="4">
        <f t="shared" si="89"/>
        <v>7.3566767799945749</v>
      </c>
      <c r="Y198" s="3">
        <f t="shared" si="90"/>
        <v>144.33333333333331</v>
      </c>
      <c r="Z198" s="4">
        <f>IF('Raw Data'!O198="","",O197+N197)</f>
        <v>141.19999999999999</v>
      </c>
    </row>
    <row r="199" spans="1:26" x14ac:dyDescent="0.25">
      <c r="A199" t="str">
        <f>IF('Raw Data'!A199="","",'Raw Data'!A199)</f>
        <v>BH</v>
      </c>
      <c r="B199" t="str">
        <f>IF('Raw Data'!B199="","",'Raw Data'!B199)</f>
        <v>BI</v>
      </c>
      <c r="C199">
        <f>IF('Raw Data'!C199="","",'Raw Data'!C199)</f>
        <v>5</v>
      </c>
      <c r="D199">
        <f>IF('Raw Data'!D199="","",'Raw Data'!D199)</f>
        <v>5</v>
      </c>
      <c r="E199">
        <f>IF('Raw Data'!E199="","",'Raw Data'!E199)</f>
        <v>6</v>
      </c>
      <c r="F199">
        <f>IF('Raw Data'!F199="","",'Raw Data'!F199)</f>
        <v>2</v>
      </c>
      <c r="G199" s="7" t="str">
        <f>IF('Raw Data'!G199="/","-",IF('Raw Data'!G199="","-",SUBSTITUTE('Raw Data'!G199," ",":",1)))</f>
        <v>104:10</v>
      </c>
      <c r="H199" s="7" t="str">
        <f>IF('Raw Data'!H199="/","-",IF('Raw Data'!H199="","-",SUBSTITUTE('Raw Data'!H199," ",":",1)))</f>
        <v>-</v>
      </c>
      <c r="I199" s="7" t="str">
        <f>IF('Raw Data'!I199="/","-",IF('Raw Data'!I199="","-",SUBSTITUTE('Raw Data'!I199," ",":",1)))</f>
        <v>104:10</v>
      </c>
      <c r="J199" s="12">
        <f>IF('Raw Data'!J199="",IF(LEN(K199)&gt;6,SQRT('Raw Data'!M199^2+N199^2),""),'Raw Data'!J199)</f>
        <v>24.2</v>
      </c>
      <c r="K199" s="7" t="str">
        <f>IF('Raw Data'!K199="","",IF(LEN('Raw Data'!K199)&lt;7,SUBSTITUTE('Raw Data'!K199," ",":",1),'Raw Data'!K199))</f>
        <v>-0:30</v>
      </c>
      <c r="L199" t="str">
        <f>IF('Raw Data'!L199="","",'Raw Data'!L199)</f>
        <v/>
      </c>
      <c r="M199">
        <f>IF('Raw Data'!M199="","",'Raw Data'!M199)</f>
        <v>24.2</v>
      </c>
      <c r="N199">
        <f>IF('Raw Data'!N199="","",IF('Raw Data'!N199="-",0,'Raw Data'!N199))</f>
        <v>-0.2</v>
      </c>
      <c r="O199">
        <f>IF('Raw Data'!O199="",IF('Raw Data'!N199="","",0),'Raw Data'!O199)</f>
        <v>148.5</v>
      </c>
      <c r="P199" t="str">
        <f>IF('Raw Data'!P199="","",'Raw Data'!P199)</f>
        <v/>
      </c>
      <c r="R199" s="3">
        <f t="shared" si="84"/>
        <v>104.16666666666667</v>
      </c>
      <c r="S199" s="3" t="str">
        <f t="shared" si="85"/>
        <v>-</v>
      </c>
      <c r="T199" s="3">
        <f t="shared" si="86"/>
        <v>104.16666666666667</v>
      </c>
      <c r="U199" s="3">
        <f t="shared" si="87"/>
        <v>-0.5</v>
      </c>
      <c r="W199" s="4">
        <f t="shared" si="88"/>
        <v>24.199078538152946</v>
      </c>
      <c r="X199" s="4">
        <f t="shared" si="89"/>
        <v>-0.21118215906064922</v>
      </c>
      <c r="Y199" s="3">
        <f t="shared" si="90"/>
        <v>104.16666666666667</v>
      </c>
      <c r="Z199" s="4">
        <f>IF('Raw Data'!O199="","",O198+N198)</f>
        <v>148.5</v>
      </c>
    </row>
    <row r="200" spans="1:26" x14ac:dyDescent="0.25">
      <c r="A200" t="str">
        <f>IF('Raw Data'!A200="","",'Raw Data'!A200)</f>
        <v>BI</v>
      </c>
      <c r="B200" t="str">
        <f>IF('Raw Data'!B200="","",'Raw Data'!B200)</f>
        <v>BJ</v>
      </c>
      <c r="C200">
        <f>IF('Raw Data'!C200="","",'Raw Data'!C200)</f>
        <v>25</v>
      </c>
      <c r="D200">
        <f>IF('Raw Data'!D200="","",'Raw Data'!D200)</f>
        <v>3</v>
      </c>
      <c r="E200">
        <f>IF('Raw Data'!E200="","",'Raw Data'!E200)</f>
        <v>3</v>
      </c>
      <c r="F200" t="str">
        <f>IF('Raw Data'!F200="","",'Raw Data'!F200)</f>
        <v>10 (in alcove above)</v>
      </c>
      <c r="G200" s="7" t="str">
        <f>IF('Raw Data'!G200="/","-",IF('Raw Data'!G200="","-",SUBSTITUTE('Raw Data'!G200," ",":",1)))</f>
        <v>-</v>
      </c>
      <c r="H200" s="7" t="str">
        <f>IF('Raw Data'!H200="/","-",IF('Raw Data'!H200="","-",SUBSTITUTE('Raw Data'!H200," ",":",1)))</f>
        <v>212:20</v>
      </c>
      <c r="I200" s="7" t="str">
        <f>IF('Raw Data'!I200="/","-",IF('Raw Data'!I200="","-",SUBSTITUTE('Raw Data'!I200," ",":",1)))</f>
        <v>032:20</v>
      </c>
      <c r="J200" s="12">
        <f>IF('Raw Data'!J200="",IF(LEN(K200)&gt;6,SQRT('Raw Data'!M200^2+N200^2),""),'Raw Data'!J200)</f>
        <v>17.5</v>
      </c>
      <c r="K200" s="7" t="str">
        <f>IF('Raw Data'!K200="","",IF(LEN('Raw Data'!K200)&lt;7,SUBSTITUTE('Raw Data'!K200," ",":",1),'Raw Data'!K200))</f>
        <v>39:00</v>
      </c>
      <c r="L200" t="str">
        <f>IF('Raw Data'!L200="","",'Raw Data'!L200)</f>
        <v/>
      </c>
      <c r="M200">
        <f>IF('Raw Data'!M200="","",'Raw Data'!M200)</f>
        <v>13.6</v>
      </c>
      <c r="N200">
        <f>IF('Raw Data'!N200="","",IF('Raw Data'!N200="-",0,'Raw Data'!N200))</f>
        <v>11</v>
      </c>
      <c r="O200">
        <f>IF('Raw Data'!O200="",IF('Raw Data'!N200="","",0),'Raw Data'!O200)</f>
        <v>148.30000000000001</v>
      </c>
      <c r="P200" t="str">
        <f>IF('Raw Data'!P200="","",'Raw Data'!P200)</f>
        <v>W.R. At stream level nil(?)</v>
      </c>
      <c r="R200" s="3" t="str">
        <f t="shared" si="84"/>
        <v>-</v>
      </c>
      <c r="S200" s="3">
        <f t="shared" si="85"/>
        <v>212.33333333333334</v>
      </c>
      <c r="T200" s="3">
        <f t="shared" si="86"/>
        <v>32.333333333333336</v>
      </c>
      <c r="U200" s="3">
        <f t="shared" si="87"/>
        <v>39</v>
      </c>
      <c r="W200" s="4">
        <f t="shared" si="88"/>
        <v>13.600054325496991</v>
      </c>
      <c r="X200" s="4">
        <f t="shared" si="89"/>
        <v>11.013106843372155</v>
      </c>
      <c r="Y200" s="3">
        <f t="shared" si="90"/>
        <v>32.333333333333343</v>
      </c>
      <c r="Z200" s="4">
        <f>IF('Raw Data'!O200="","",O199+N199)</f>
        <v>148.30000000000001</v>
      </c>
    </row>
    <row r="201" spans="1:26" x14ac:dyDescent="0.25">
      <c r="A201" t="str">
        <f>IF('Raw Data'!A201="","",'Raw Data'!A201)</f>
        <v>BJ</v>
      </c>
      <c r="B201" t="str">
        <f>IF('Raw Data'!B201="","",'Raw Data'!B201)</f>
        <v>BK</v>
      </c>
      <c r="C201">
        <f>IF('Raw Data'!C201="","",'Raw Data'!C201)</f>
        <v>20</v>
      </c>
      <c r="D201">
        <f>IF('Raw Data'!D201="","",'Raw Data'!D201)</f>
        <v>15</v>
      </c>
      <c r="E201">
        <f>IF('Raw Data'!E201="","",'Raw Data'!E201)</f>
        <v>8</v>
      </c>
      <c r="F201">
        <f>IF('Raw Data'!F201="","",'Raw Data'!F201)</f>
        <v>10</v>
      </c>
      <c r="G201" s="7" t="str">
        <f>IF('Raw Data'!G201="/","-",IF('Raw Data'!G201="","-",SUBSTITUTE('Raw Data'!G201," ",":",1)))</f>
        <v>121:00</v>
      </c>
      <c r="H201" s="7" t="str">
        <f>IF('Raw Data'!H201="/","-",IF('Raw Data'!H201="","-",SUBSTITUTE('Raw Data'!H201," ",":",1)))</f>
        <v>-</v>
      </c>
      <c r="I201" s="7" t="str">
        <f>IF('Raw Data'!I201="/","-",IF('Raw Data'!I201="","-",SUBSTITUTE('Raw Data'!I201," ",":",1)))</f>
        <v>121:00</v>
      </c>
      <c r="J201" s="12">
        <f>IF('Raw Data'!J201="",IF(LEN(K201)&gt;6,SQRT('Raw Data'!M201^2+N201^2),""),'Raw Data'!J201)</f>
        <v>24.8</v>
      </c>
      <c r="K201" s="7" t="str">
        <f>IF('Raw Data'!K201="","",IF(LEN('Raw Data'!K201)&lt;7,SUBSTITUTE('Raw Data'!K201," ",":",1),'Raw Data'!K201))</f>
        <v>9:00</v>
      </c>
      <c r="L201" t="str">
        <f>IF('Raw Data'!L201="","",'Raw Data'!L201)</f>
        <v/>
      </c>
      <c r="M201">
        <f>IF('Raw Data'!M201="","",'Raw Data'!M201)</f>
        <v>24.5</v>
      </c>
      <c r="N201">
        <f>IF('Raw Data'!N201="","",IF('Raw Data'!N201="-",0,'Raw Data'!N201))</f>
        <v>3.9</v>
      </c>
      <c r="O201">
        <f>IF('Raw Data'!O201="",IF('Raw Data'!N201="","",0),'Raw Data'!O201)</f>
        <v>159.30000000000001</v>
      </c>
      <c r="P201" t="str">
        <f>IF('Raw Data'!P201="","",'Raw Data'!P201)</f>
        <v>above lower double pot</v>
      </c>
      <c r="R201" s="3">
        <f t="shared" si="84"/>
        <v>121</v>
      </c>
      <c r="S201" s="3" t="str">
        <f t="shared" si="85"/>
        <v>-</v>
      </c>
      <c r="T201" s="3">
        <f t="shared" si="86"/>
        <v>121</v>
      </c>
      <c r="U201" s="3">
        <f t="shared" si="87"/>
        <v>9</v>
      </c>
      <c r="W201" s="4">
        <f t="shared" si="88"/>
        <v>24.494670846759416</v>
      </c>
      <c r="X201" s="4">
        <f t="shared" si="89"/>
        <v>3.8795747329977255</v>
      </c>
      <c r="Y201" s="3">
        <f t="shared" si="90"/>
        <v>121</v>
      </c>
      <c r="Z201" s="4">
        <f>IF('Raw Data'!O201="","",O200+N200)</f>
        <v>159.30000000000001</v>
      </c>
    </row>
    <row r="202" spans="1:26" x14ac:dyDescent="0.25">
      <c r="A202" t="str">
        <f>IF('Raw Data'!A202="","",'Raw Data'!A202)</f>
        <v>BK</v>
      </c>
      <c r="B202" t="str">
        <f>IF('Raw Data'!B202="","",'Raw Data'!B202)</f>
        <v>BL</v>
      </c>
      <c r="C202">
        <f>IF('Raw Data'!C202="","",'Raw Data'!C202)</f>
        <v>7</v>
      </c>
      <c r="D202">
        <f>IF('Raw Data'!D202="","",'Raw Data'!D202)</f>
        <v>6</v>
      </c>
      <c r="E202">
        <f>IF('Raw Data'!E202="","",'Raw Data'!E202)</f>
        <v>5</v>
      </c>
      <c r="F202" t="str">
        <f>IF('Raw Data'!F202="","",'Raw Data'!F202)</f>
        <v>-</v>
      </c>
      <c r="G202" s="7" t="str">
        <f>IF('Raw Data'!G202="/","-",IF('Raw Data'!G202="","-",SUBSTITUTE('Raw Data'!G202," ",":",1)))</f>
        <v>-</v>
      </c>
      <c r="H202" s="7" t="str">
        <f>IF('Raw Data'!H202="/","-",IF('Raw Data'!H202="","-",SUBSTITUTE('Raw Data'!H202," ",":",1)))</f>
        <v>277:30</v>
      </c>
      <c r="I202" s="7" t="str">
        <f>IF('Raw Data'!I202="/","-",IF('Raw Data'!I202="","-",SUBSTITUTE('Raw Data'!I202," ",":",1)))</f>
        <v>097:30</v>
      </c>
      <c r="J202" s="12">
        <f>IF('Raw Data'!J202="",IF(LEN(K202)&gt;6,SQRT('Raw Data'!M202^2+N202^2),""),'Raw Data'!J202)</f>
        <v>22.1</v>
      </c>
      <c r="K202" s="7" t="str">
        <f>IF('Raw Data'!K202="","",IF(LEN('Raw Data'!K202)&lt;7,SUBSTITUTE('Raw Data'!K202," ",":",1),'Raw Data'!K202))</f>
        <v>-0:30</v>
      </c>
      <c r="L202" t="str">
        <f>IF('Raw Data'!L202="","",'Raw Data'!L202)</f>
        <v/>
      </c>
      <c r="M202">
        <f>IF('Raw Data'!M202="","",'Raw Data'!M202)</f>
        <v>22.1</v>
      </c>
      <c r="N202">
        <f>IF('Raw Data'!N202="","",IF('Raw Data'!N202="-",0,'Raw Data'!N202))</f>
        <v>-0.2</v>
      </c>
      <c r="O202">
        <f>IF('Raw Data'!O202="",IF('Raw Data'!N202="","",0),'Raw Data'!O202)</f>
        <v>163.19999999999999</v>
      </c>
      <c r="P202" t="str">
        <f>IF('Raw Data'!P202="","",'Raw Data'!P202)</f>
        <v>low height due to stalagmite choke in high aven</v>
      </c>
      <c r="R202" s="3" t="str">
        <f t="shared" si="84"/>
        <v>-</v>
      </c>
      <c r="S202" s="3">
        <f t="shared" si="85"/>
        <v>277.5</v>
      </c>
      <c r="T202" s="3">
        <f t="shared" si="86"/>
        <v>97.5</v>
      </c>
      <c r="U202" s="3">
        <f t="shared" si="87"/>
        <v>-0.5</v>
      </c>
      <c r="W202" s="4">
        <f t="shared" si="88"/>
        <v>22.099158499718186</v>
      </c>
      <c r="X202" s="4">
        <f t="shared" si="89"/>
        <v>-0.19285643451406398</v>
      </c>
      <c r="Y202" s="3">
        <f t="shared" si="90"/>
        <v>97.5</v>
      </c>
      <c r="Z202" s="4">
        <f>IF('Raw Data'!O202="","",O201+N201)</f>
        <v>163.20000000000002</v>
      </c>
    </row>
    <row r="203" spans="1:26" x14ac:dyDescent="0.25">
      <c r="A203" t="str">
        <f>IF('Raw Data'!A203="","",'Raw Data'!A203)</f>
        <v>BL</v>
      </c>
      <c r="B203" t="str">
        <f>IF('Raw Data'!B203="","",'Raw Data'!B203)</f>
        <v>BM</v>
      </c>
      <c r="C203">
        <f>IF('Raw Data'!C203="","",'Raw Data'!C203)</f>
        <v>30</v>
      </c>
      <c r="D203">
        <f>IF('Raw Data'!D203="","",'Raw Data'!D203)</f>
        <v>5</v>
      </c>
      <c r="E203">
        <f>IF('Raw Data'!E203="","",'Raw Data'!E203)</f>
        <v>1</v>
      </c>
      <c r="F203">
        <f>IF('Raw Data'!F203="","",'Raw Data'!F203)</f>
        <v>3</v>
      </c>
      <c r="G203" s="7" t="str">
        <f>IF('Raw Data'!G203="/","-",IF('Raw Data'!G203="","-",SUBSTITUTE('Raw Data'!G203," ",":",1)))</f>
        <v>133:00</v>
      </c>
      <c r="H203" s="7" t="str">
        <f>IF('Raw Data'!H203="/","-",IF('Raw Data'!H203="","-",SUBSTITUTE('Raw Data'!H203," ",":",1)))</f>
        <v>-</v>
      </c>
      <c r="I203" s="7" t="str">
        <f>IF('Raw Data'!I203="/","-",IF('Raw Data'!I203="","-",SUBSTITUTE('Raw Data'!I203," ",":",1)))</f>
        <v>133:00</v>
      </c>
      <c r="J203" s="12">
        <f>IF('Raw Data'!J203="",IF(LEN(K203)&gt;6,SQRT('Raw Data'!M203^2+N203^2),""),'Raw Data'!J203)</f>
        <v>35.700000000000003</v>
      </c>
      <c r="K203" s="7" t="str">
        <f>IF('Raw Data'!K203="","",IF(LEN('Raw Data'!K203)&lt;7,SUBSTITUTE('Raw Data'!K203," ",":",1),'Raw Data'!K203))</f>
        <v>7:00</v>
      </c>
      <c r="L203" t="str">
        <f>IF('Raw Data'!L203="","",'Raw Data'!L203)</f>
        <v/>
      </c>
      <c r="M203">
        <f>IF('Raw Data'!M203="","",'Raw Data'!M203)</f>
        <v>35.4</v>
      </c>
      <c r="N203">
        <f>IF('Raw Data'!N203="","",IF('Raw Data'!N203="-",0,'Raw Data'!N203))</f>
        <v>4.3</v>
      </c>
      <c r="O203">
        <f>IF('Raw Data'!O203="",IF('Raw Data'!N203="","",0),'Raw Data'!O203)</f>
        <v>163</v>
      </c>
      <c r="P203" t="str">
        <f>IF('Raw Data'!P203="","",'Raw Data'!P203)</f>
        <v/>
      </c>
      <c r="R203" s="3">
        <f t="shared" si="84"/>
        <v>133</v>
      </c>
      <c r="S203" s="3" t="str">
        <f t="shared" si="85"/>
        <v>-</v>
      </c>
      <c r="T203" s="3">
        <f t="shared" si="86"/>
        <v>133</v>
      </c>
      <c r="U203" s="3">
        <f t="shared" si="87"/>
        <v>7</v>
      </c>
      <c r="W203" s="4">
        <f t="shared" si="88"/>
        <v>35.4338976135952</v>
      </c>
      <c r="X203" s="4">
        <f t="shared" si="89"/>
        <v>4.3507355595637653</v>
      </c>
      <c r="Y203" s="3">
        <f t="shared" si="90"/>
        <v>133</v>
      </c>
      <c r="Z203" s="4">
        <f>IF('Raw Data'!O203="","",O202+N202)</f>
        <v>163</v>
      </c>
    </row>
    <row r="204" spans="1:26" x14ac:dyDescent="0.25">
      <c r="A204" t="str">
        <f>IF('Raw Data'!A204="","",'Raw Data'!A204)</f>
        <v>BM</v>
      </c>
      <c r="B204" t="str">
        <f>IF('Raw Data'!B204="","",'Raw Data'!B204)</f>
        <v>BN</v>
      </c>
      <c r="C204">
        <f>IF('Raw Data'!C204="","",'Raw Data'!C204)</f>
        <v>20</v>
      </c>
      <c r="D204">
        <f>IF('Raw Data'!D204="","",'Raw Data'!D204)</f>
        <v>8</v>
      </c>
      <c r="E204">
        <f>IF('Raw Data'!E204="","",'Raw Data'!E204)</f>
        <v>1</v>
      </c>
      <c r="F204">
        <f>IF('Raw Data'!F204="","",'Raw Data'!F204)</f>
        <v>3</v>
      </c>
      <c r="G204" s="7" t="str">
        <f>IF('Raw Data'!G204="/","-",IF('Raw Data'!G204="","-",SUBSTITUTE('Raw Data'!G204," ",":",1)))</f>
        <v>-</v>
      </c>
      <c r="H204" s="7" t="str">
        <f>IF('Raw Data'!H204="/","-",IF('Raw Data'!H204="","-",SUBSTITUTE('Raw Data'!H204," ",":",1)))</f>
        <v>351:20</v>
      </c>
      <c r="I204" s="7" t="str">
        <f>IF('Raw Data'!I204="/","-",IF('Raw Data'!I204="","-",SUBSTITUTE('Raw Data'!I204," ",":",1)))</f>
        <v>171:20</v>
      </c>
      <c r="J204" s="12">
        <f>IF('Raw Data'!J204="",IF(LEN(K204)&gt;6,SQRT('Raw Data'!M204^2+N204^2),""),'Raw Data'!J204)</f>
        <v>9.9</v>
      </c>
      <c r="K204" s="7" t="str">
        <f>IF('Raw Data'!K204="","",IF(LEN('Raw Data'!K204)&lt;7,SUBSTITUTE('Raw Data'!K204," ",":",1),'Raw Data'!K204))</f>
        <v>-23:30</v>
      </c>
      <c r="L204" t="str">
        <f>IF('Raw Data'!L204="","",'Raw Data'!L204)</f>
        <v/>
      </c>
      <c r="M204">
        <f>IF('Raw Data'!M204="","",'Raw Data'!M204)</f>
        <v>9.1</v>
      </c>
      <c r="N204">
        <f>IF('Raw Data'!N204="","",IF('Raw Data'!N204="-",0,'Raw Data'!N204))</f>
        <v>-4</v>
      </c>
      <c r="O204">
        <f>IF('Raw Data'!O204="",IF('Raw Data'!N204="","",0),'Raw Data'!O204)</f>
        <v>167.3</v>
      </c>
      <c r="P204" t="str">
        <f>IF('Raw Data'!P204="","",'Raw Data'!P204)</f>
        <v/>
      </c>
      <c r="R204" s="3" t="str">
        <f t="shared" ref="R204:R238" si="91">IF(ISERROR(FIND(":",G204)),IF(G204&lt;&gt;"-",1*G204,G204),1*LEFT(G204,FIND(":",G204)-1)+RIGHT(G204,LEN(G204)-FIND(":",G204))/60)</f>
        <v>-</v>
      </c>
      <c r="S204" s="3">
        <f t="shared" ref="S204:S238" si="92">IF(ISERROR(FIND(":",H204)),IF(H204&lt;&gt;"-",1*H204,H204),1*LEFT(H204,FIND(":",H204)-1)+RIGHT(H204,LEN(H204)-FIND(":",H204))/60)</f>
        <v>351.33333333333331</v>
      </c>
      <c r="T204" s="3">
        <f t="shared" ref="T204:T238" si="93">IF(ISERROR(FIND(":",I204)),IF(I204&lt;&gt;"-",1*I204,I204),1*LEFT(I204,FIND(":",I204)-1)+RIGHT(I204,LEN(I204)-FIND(":",I204))/60)</f>
        <v>171.33333333333334</v>
      </c>
      <c r="U204" s="3">
        <f t="shared" si="87"/>
        <v>-23.5</v>
      </c>
      <c r="W204" s="4">
        <f t="shared" ref="W204:W238" si="94">J204*COS(U204*PI()/180)</f>
        <v>9.0788947364127282</v>
      </c>
      <c r="X204" s="4">
        <f t="shared" ref="X204:X238" si="95">J204*SIN(U204*PI()/180)</f>
        <v>-3.9476157823599376</v>
      </c>
      <c r="Y204" s="3">
        <f t="shared" ref="Y204:Y238" si="96">IF(R204="-",IF(S204&gt;180,S204-180,S204+180),R204)</f>
        <v>171.33333333333331</v>
      </c>
      <c r="Z204" s="4">
        <f>IF('Raw Data'!O204="","",O203+N203)</f>
        <v>167.3</v>
      </c>
    </row>
    <row r="205" spans="1:26" x14ac:dyDescent="0.25">
      <c r="A205" t="str">
        <f>IF('Raw Data'!A205="","",'Raw Data'!A205)</f>
        <v>BN</v>
      </c>
      <c r="B205" t="str">
        <f>IF('Raw Data'!B205="","",'Raw Data'!B205)</f>
        <v>BO</v>
      </c>
      <c r="C205">
        <f>IF('Raw Data'!C205="","",'Raw Data'!C205)</f>
        <v>20</v>
      </c>
      <c r="D205">
        <f>IF('Raw Data'!D205="","",'Raw Data'!D205)</f>
        <v>3</v>
      </c>
      <c r="E205">
        <f>IF('Raw Data'!E205="","",'Raw Data'!E205)</f>
        <v>4</v>
      </c>
      <c r="F205">
        <f>IF('Raw Data'!F205="","",'Raw Data'!F205)</f>
        <v>4</v>
      </c>
      <c r="G205" s="7" t="str">
        <f>IF('Raw Data'!G205="/","-",IF('Raw Data'!G205="","-",SUBSTITUTE('Raw Data'!G205," ",":",1)))</f>
        <v>102:20</v>
      </c>
      <c r="H205" s="7" t="str">
        <f>IF('Raw Data'!H205="/","-",IF('Raw Data'!H205="","-",SUBSTITUTE('Raw Data'!H205," ",":",1)))</f>
        <v>-</v>
      </c>
      <c r="I205" s="7" t="str">
        <f>IF('Raw Data'!I205="/","-",IF('Raw Data'!I205="","-",SUBSTITUTE('Raw Data'!I205," ",":",1)))</f>
        <v>102:20</v>
      </c>
      <c r="J205" s="12">
        <f>IF('Raw Data'!J205="",IF(LEN(K205)&gt;6,SQRT('Raw Data'!M205^2+N205^2),""),'Raw Data'!J205)</f>
        <v>7.7</v>
      </c>
      <c r="K205" s="7" t="str">
        <f>IF('Raw Data'!K205="","",IF(LEN('Raw Data'!K205)&lt;7,SUBSTITUTE('Raw Data'!K205," ",":",1),'Raw Data'!K205))</f>
        <v>15:00</v>
      </c>
      <c r="L205" t="str">
        <f>IF('Raw Data'!L205="","",'Raw Data'!L205)</f>
        <v/>
      </c>
      <c r="M205">
        <f>IF('Raw Data'!M205="","",'Raw Data'!M205)</f>
        <v>7.4</v>
      </c>
      <c r="N205">
        <f>IF('Raw Data'!N205="","",IF('Raw Data'!N205="-",0,'Raw Data'!N205))</f>
        <v>2</v>
      </c>
      <c r="O205">
        <f>IF('Raw Data'!O205="",IF('Raw Data'!N205="","",0),'Raw Data'!O205)</f>
        <v>163.30000000000001</v>
      </c>
      <c r="P205" t="str">
        <f>IF('Raw Data'!P205="","",'Raw Data'!P205)</f>
        <v/>
      </c>
      <c r="R205" s="3">
        <f t="shared" si="91"/>
        <v>102.33333333333333</v>
      </c>
      <c r="S205" s="3" t="str">
        <f t="shared" si="92"/>
        <v>-</v>
      </c>
      <c r="T205" s="3">
        <f t="shared" si="93"/>
        <v>102.33333333333333</v>
      </c>
      <c r="U205" s="3">
        <f t="shared" si="87"/>
        <v>15</v>
      </c>
      <c r="W205" s="4">
        <f t="shared" si="94"/>
        <v>7.437628862425826</v>
      </c>
      <c r="X205" s="4">
        <f t="shared" si="95"/>
        <v>1.9929066472894097</v>
      </c>
      <c r="Y205" s="3">
        <f t="shared" si="96"/>
        <v>102.33333333333333</v>
      </c>
      <c r="Z205" s="4">
        <f>IF('Raw Data'!O205="","",O204+N204)</f>
        <v>163.30000000000001</v>
      </c>
    </row>
    <row r="206" spans="1:26" x14ac:dyDescent="0.25">
      <c r="A206" t="str">
        <f>IF('Raw Data'!A206="","",'Raw Data'!A206)</f>
        <v>BO</v>
      </c>
      <c r="B206" t="str">
        <f>IF('Raw Data'!B206="","",'Raw Data'!B206)</f>
        <v>BP</v>
      </c>
      <c r="C206">
        <f>IF('Raw Data'!C206="","",'Raw Data'!C206)</f>
        <v>15</v>
      </c>
      <c r="D206">
        <f>IF('Raw Data'!D206="","",'Raw Data'!D206)</f>
        <v>4</v>
      </c>
      <c r="E206">
        <f>IF('Raw Data'!E206="","",'Raw Data'!E206)</f>
        <v>3</v>
      </c>
      <c r="F206">
        <f>IF('Raw Data'!F206="","",'Raw Data'!F206)</f>
        <v>1</v>
      </c>
      <c r="G206" s="7" t="str">
        <f>IF('Raw Data'!G206="/","-",IF('Raw Data'!G206="","-",SUBSTITUTE('Raw Data'!G206," ",":",1)))</f>
        <v>-</v>
      </c>
      <c r="H206" s="7" t="str">
        <f>IF('Raw Data'!H206="/","-",IF('Raw Data'!H206="","-",SUBSTITUTE('Raw Data'!H206," ",":",1)))</f>
        <v>317:00</v>
      </c>
      <c r="I206" s="7" t="str">
        <f>IF('Raw Data'!I206="/","-",IF('Raw Data'!I206="","-",SUBSTITUTE('Raw Data'!I206," ",":",1)))</f>
        <v>137:00</v>
      </c>
      <c r="J206" s="12">
        <f>IF('Raw Data'!J206="",IF(LEN(K206)&gt;6,SQRT('Raw Data'!M206^2+N206^2),""),'Raw Data'!J206)</f>
        <v>21.2</v>
      </c>
      <c r="K206" s="7" t="str">
        <f>IF('Raw Data'!K206="","",IF(LEN('Raw Data'!K206)&lt;7,SUBSTITUTE('Raw Data'!K206," ",":",1),'Raw Data'!K206))</f>
        <v>6:50</v>
      </c>
      <c r="L206" t="str">
        <f>IF('Raw Data'!L206="","",'Raw Data'!L206)</f>
        <v/>
      </c>
      <c r="M206">
        <f>IF('Raw Data'!M206="","",'Raw Data'!M206)</f>
        <v>21</v>
      </c>
      <c r="N206">
        <f>IF('Raw Data'!N206="","",IF('Raw Data'!N206="-",0,'Raw Data'!N206))</f>
        <v>2.5</v>
      </c>
      <c r="O206">
        <f>IF('Raw Data'!O206="",IF('Raw Data'!N206="","",0),'Raw Data'!O206)</f>
        <v>165.3</v>
      </c>
      <c r="P206" t="str">
        <f>IF('Raw Data'!P206="","",'Raw Data'!P206)</f>
        <v/>
      </c>
      <c r="R206" s="3" t="str">
        <f t="shared" si="91"/>
        <v>-</v>
      </c>
      <c r="S206" s="3">
        <f t="shared" si="92"/>
        <v>317</v>
      </c>
      <c r="T206" s="3">
        <f t="shared" si="93"/>
        <v>137</v>
      </c>
      <c r="U206" s="3">
        <f t="shared" si="87"/>
        <v>6.8333333300000003</v>
      </c>
      <c r="W206" s="4">
        <f t="shared" si="94"/>
        <v>21.049404855315935</v>
      </c>
      <c r="X206" s="4">
        <f t="shared" si="95"/>
        <v>2.522410600398334</v>
      </c>
      <c r="Y206" s="3">
        <f t="shared" si="96"/>
        <v>137</v>
      </c>
      <c r="Z206" s="4">
        <f>IF('Raw Data'!O206="","",O205+N205)</f>
        <v>165.3</v>
      </c>
    </row>
    <row r="207" spans="1:26" x14ac:dyDescent="0.25">
      <c r="A207" t="str">
        <f>IF('Raw Data'!A207="","",'Raw Data'!A207)</f>
        <v>BP</v>
      </c>
      <c r="B207" t="str">
        <f>IF('Raw Data'!B207="","",'Raw Data'!B207)</f>
        <v>BQ</v>
      </c>
      <c r="C207">
        <f>IF('Raw Data'!C207="","",'Raw Data'!C207)</f>
        <v>25</v>
      </c>
      <c r="D207">
        <f>IF('Raw Data'!D207="","",'Raw Data'!D207)</f>
        <v>5</v>
      </c>
      <c r="E207">
        <f>IF('Raw Data'!E207="","",'Raw Data'!E207)</f>
        <v>1</v>
      </c>
      <c r="F207">
        <f>IF('Raw Data'!F207="","",'Raw Data'!F207)</f>
        <v>3</v>
      </c>
      <c r="G207" s="7" t="str">
        <f>IF('Raw Data'!G207="/","-",IF('Raw Data'!G207="","-",SUBSTITUTE('Raw Data'!G207," ",":",1)))</f>
        <v>152:30</v>
      </c>
      <c r="H207" s="7" t="str">
        <f>IF('Raw Data'!H207="/","-",IF('Raw Data'!H207="","-",SUBSTITUTE('Raw Data'!H207," ",":",1)))</f>
        <v>-</v>
      </c>
      <c r="I207" s="7" t="str">
        <f>IF('Raw Data'!I207="/","-",IF('Raw Data'!I207="","-",SUBSTITUTE('Raw Data'!I207," ",":",1)))</f>
        <v>152:30</v>
      </c>
      <c r="J207" s="12">
        <f>IF('Raw Data'!J207="",IF(LEN(K207)&gt;6,SQRT('Raw Data'!M207^2+N207^2),""),'Raw Data'!J207)</f>
        <v>28.5</v>
      </c>
      <c r="K207" s="7" t="str">
        <f>IF('Raw Data'!K207="","",IF(LEN('Raw Data'!K207)&lt;7,SUBSTITUTE('Raw Data'!K207," ",":",1),'Raw Data'!K207))</f>
        <v>9:40</v>
      </c>
      <c r="L207" t="str">
        <f>IF('Raw Data'!L207="","",'Raw Data'!L207)</f>
        <v/>
      </c>
      <c r="M207">
        <f>IF('Raw Data'!M207="","",'Raw Data'!M207)</f>
        <v>28.1</v>
      </c>
      <c r="N207">
        <f>IF('Raw Data'!N207="","",IF('Raw Data'!N207="-",0,'Raw Data'!N207))</f>
        <v>4.8</v>
      </c>
      <c r="O207">
        <f>IF('Raw Data'!O207="",IF('Raw Data'!N207="","",0),'Raw Data'!O207)</f>
        <v>167.8</v>
      </c>
      <c r="P207" t="str">
        <f>IF('Raw Data'!P207="","",'Raw Data'!P207)</f>
        <v/>
      </c>
      <c r="R207" s="3">
        <f t="shared" si="91"/>
        <v>152.5</v>
      </c>
      <c r="S207" s="3" t="str">
        <f t="shared" si="92"/>
        <v>-</v>
      </c>
      <c r="T207" s="3">
        <f t="shared" si="93"/>
        <v>152.5</v>
      </c>
      <c r="U207" s="3">
        <f t="shared" si="87"/>
        <v>9.6666666600000006</v>
      </c>
      <c r="W207" s="4">
        <f t="shared" si="94"/>
        <v>28.09533777498293</v>
      </c>
      <c r="X207" s="4">
        <f t="shared" si="95"/>
        <v>4.7856029201781061</v>
      </c>
      <c r="Y207" s="3">
        <f t="shared" si="96"/>
        <v>152.5</v>
      </c>
      <c r="Z207" s="4">
        <f>IF('Raw Data'!O207="","",O206+N206)</f>
        <v>167.8</v>
      </c>
    </row>
    <row r="208" spans="1:26" x14ac:dyDescent="0.25">
      <c r="A208" t="str">
        <f>IF('Raw Data'!A208="","",'Raw Data'!A208)</f>
        <v>BQ</v>
      </c>
      <c r="B208" t="str">
        <f>IF('Raw Data'!B208="","",'Raw Data'!B208)</f>
        <v>BR</v>
      </c>
      <c r="C208">
        <f>IF('Raw Data'!C208="","",'Raw Data'!C208)</f>
        <v>25</v>
      </c>
      <c r="D208">
        <f>IF('Raw Data'!D208="","",'Raw Data'!D208)</f>
        <v>7</v>
      </c>
      <c r="E208">
        <f>IF('Raw Data'!E208="","",'Raw Data'!E208)</f>
        <v>3</v>
      </c>
      <c r="F208">
        <f>IF('Raw Data'!F208="","",'Raw Data'!F208)</f>
        <v>1</v>
      </c>
      <c r="G208" s="7" t="str">
        <f>IF('Raw Data'!G208="/","-",IF('Raw Data'!G208="","-",SUBSTITUTE('Raw Data'!G208," ",":",1)))</f>
        <v>-</v>
      </c>
      <c r="H208" s="7" t="str">
        <f>IF('Raw Data'!H208="/","-",IF('Raw Data'!H208="","-",SUBSTITUTE('Raw Data'!H208," ",":",1)))</f>
        <v>313:10</v>
      </c>
      <c r="I208" s="7" t="str">
        <f>IF('Raw Data'!I208="/","-",IF('Raw Data'!I208="","-",SUBSTITUTE('Raw Data'!I208," ",":",1)))</f>
        <v>133:10</v>
      </c>
      <c r="J208" s="12">
        <f>IF('Raw Data'!J208="",IF(LEN(K208)&gt;6,SQRT('Raw Data'!M208^2+N208^2),""),'Raw Data'!J208)</f>
        <v>29.6</v>
      </c>
      <c r="K208" s="7" t="str">
        <f>IF('Raw Data'!K208="","",IF(LEN('Raw Data'!K208)&lt;7,SUBSTITUTE('Raw Data'!K208," ",":",1),'Raw Data'!K208))</f>
        <v>1:30</v>
      </c>
      <c r="L208" t="str">
        <f>IF('Raw Data'!L208="","",'Raw Data'!L208)</f>
        <v/>
      </c>
      <c r="M208">
        <f>IF('Raw Data'!M208="","",'Raw Data'!M208)</f>
        <v>29.6</v>
      </c>
      <c r="N208">
        <f>IF('Raw Data'!N208="","",IF('Raw Data'!N208="-",0,'Raw Data'!N208))</f>
        <v>0.8</v>
      </c>
      <c r="O208">
        <f>IF('Raw Data'!O208="",IF('Raw Data'!N208="","",0),'Raw Data'!O208)</f>
        <v>172.6</v>
      </c>
      <c r="P208" t="str">
        <f>IF('Raw Data'!P208="","",'Raw Data'!P208)</f>
        <v/>
      </c>
      <c r="R208" s="3" t="str">
        <f t="shared" si="91"/>
        <v>-</v>
      </c>
      <c r="S208" s="3">
        <f t="shared" si="92"/>
        <v>313.16666666666669</v>
      </c>
      <c r="T208" s="3">
        <f t="shared" si="93"/>
        <v>133.16666666666666</v>
      </c>
      <c r="U208" s="3">
        <f t="shared" si="87"/>
        <v>1.5</v>
      </c>
      <c r="W208" s="4">
        <f t="shared" si="94"/>
        <v>29.589856819276495</v>
      </c>
      <c r="X208" s="4">
        <f t="shared" si="95"/>
        <v>0.77483766991304526</v>
      </c>
      <c r="Y208" s="3">
        <f t="shared" si="96"/>
        <v>133.16666666666669</v>
      </c>
      <c r="Z208" s="4">
        <f>IF('Raw Data'!O208="","",O207+N207)</f>
        <v>172.60000000000002</v>
      </c>
    </row>
    <row r="209" spans="1:26" x14ac:dyDescent="0.25">
      <c r="A209" t="str">
        <f>IF('Raw Data'!A209="","",'Raw Data'!A209)</f>
        <v>BR</v>
      </c>
      <c r="B209" t="str">
        <f>IF('Raw Data'!B209="","",'Raw Data'!B209)</f>
        <v>BS</v>
      </c>
      <c r="C209">
        <f>IF('Raw Data'!C209="","",'Raw Data'!C209)</f>
        <v>10</v>
      </c>
      <c r="D209">
        <f>IF('Raw Data'!D209="","",'Raw Data'!D209)</f>
        <v>3</v>
      </c>
      <c r="E209">
        <f>IF('Raw Data'!E209="","",'Raw Data'!E209)</f>
        <v>3</v>
      </c>
      <c r="F209" t="str">
        <f>IF('Raw Data'!F209="","",'Raw Data'!F209)</f>
        <v>1 (in alcove)</v>
      </c>
      <c r="G209" s="7" t="str">
        <f>IF('Raw Data'!G209="/","-",IF('Raw Data'!G209="","-",SUBSTITUTE('Raw Data'!G209," ",":",1)))</f>
        <v>137:30</v>
      </c>
      <c r="H209" s="7" t="str">
        <f>IF('Raw Data'!H209="/","-",IF('Raw Data'!H209="","-",SUBSTITUTE('Raw Data'!H209," ",":",1)))</f>
        <v>-</v>
      </c>
      <c r="I209" s="7" t="str">
        <f>IF('Raw Data'!I209="/","-",IF('Raw Data'!I209="","-",SUBSTITUTE('Raw Data'!I209," ",":",1)))</f>
        <v>137:30</v>
      </c>
      <c r="J209" s="12">
        <f>IF('Raw Data'!J209="",IF(LEN(K209)&gt;6,SQRT('Raw Data'!M209^2+N209^2),""),'Raw Data'!J209)</f>
        <v>20.399999999999999</v>
      </c>
      <c r="K209" s="7" t="str">
        <f>IF('Raw Data'!K209="","",IF(LEN('Raw Data'!K209)&lt;7,SUBSTITUTE('Raw Data'!K209," ",":",1),'Raw Data'!K209))</f>
        <v>-4:30</v>
      </c>
      <c r="L209" t="str">
        <f>IF('Raw Data'!L209="","",'Raw Data'!L209)</f>
        <v/>
      </c>
      <c r="M209">
        <f>IF('Raw Data'!M209="","",'Raw Data'!M209)</f>
        <v>20.3</v>
      </c>
      <c r="N209">
        <f>IF('Raw Data'!N209="","",IF('Raw Data'!N209="-",0,'Raw Data'!N209))</f>
        <v>-1.6</v>
      </c>
      <c r="O209">
        <f>IF('Raw Data'!O209="",IF('Raw Data'!N209="","",0),'Raw Data'!O209)</f>
        <v>173.4</v>
      </c>
      <c r="P209" t="str">
        <f>IF('Raw Data'!P209="","",'Raw Data'!P209)</f>
        <v>below boss in Shrine</v>
      </c>
      <c r="R209" s="3">
        <f t="shared" si="91"/>
        <v>137.5</v>
      </c>
      <c r="S209" s="3" t="str">
        <f t="shared" si="92"/>
        <v>-</v>
      </c>
      <c r="T209" s="3">
        <f t="shared" si="93"/>
        <v>137.5</v>
      </c>
      <c r="U209" s="3">
        <f t="shared" si="87"/>
        <v>-4.5</v>
      </c>
      <c r="W209" s="4">
        <f t="shared" si="94"/>
        <v>20.337113608155811</v>
      </c>
      <c r="X209" s="4">
        <f t="shared" si="95"/>
        <v>-1.6005655528480367</v>
      </c>
      <c r="Y209" s="3">
        <f t="shared" si="96"/>
        <v>137.5</v>
      </c>
      <c r="Z209" s="4">
        <f>IF('Raw Data'!O209="","",O208+N208)</f>
        <v>173.4</v>
      </c>
    </row>
    <row r="210" spans="1:26" x14ac:dyDescent="0.25">
      <c r="A210" t="str">
        <f>IF('Raw Data'!A210="","",'Raw Data'!A210)</f>
        <v>BS</v>
      </c>
      <c r="B210" t="str">
        <f>IF('Raw Data'!B210="","",'Raw Data'!B210)</f>
        <v>BT</v>
      </c>
      <c r="C210">
        <f>IF('Raw Data'!C210="","",'Raw Data'!C210)</f>
        <v>6</v>
      </c>
      <c r="D210">
        <f>IF('Raw Data'!D210="","",'Raw Data'!D210)</f>
        <v>1</v>
      </c>
      <c r="E210">
        <f>IF('Raw Data'!E210="","",'Raw Data'!E210)</f>
        <v>2</v>
      </c>
      <c r="F210">
        <f>IF('Raw Data'!F210="","",'Raw Data'!F210)</f>
        <v>3</v>
      </c>
      <c r="G210" s="7" t="str">
        <f>IF('Raw Data'!G210="/","-",IF('Raw Data'!G210="","-",SUBSTITUTE('Raw Data'!G210," ",":",1)))</f>
        <v>149:00</v>
      </c>
      <c r="H210" s="7" t="str">
        <f>IF('Raw Data'!H210="/","-",IF('Raw Data'!H210="","-",SUBSTITUTE('Raw Data'!H210," ",":",1)))</f>
        <v>-</v>
      </c>
      <c r="I210" s="7" t="str">
        <f>IF('Raw Data'!I210="/","-",IF('Raw Data'!I210="","-",SUBSTITUTE('Raw Data'!I210," ",":",1)))</f>
        <v>149:00</v>
      </c>
      <c r="J210" s="12">
        <f>IF('Raw Data'!J210="",IF(LEN(K210)&gt;6,SQRT('Raw Data'!M210^2+N210^2),""),'Raw Data'!J210)</f>
        <v>1.5</v>
      </c>
      <c r="K210" s="7" t="str">
        <f>IF('Raw Data'!K210="","",IF(LEN('Raw Data'!K210)&lt;7,SUBSTITUTE('Raw Data'!K210," ",":",1),'Raw Data'!K210))</f>
        <v>-one inch</v>
      </c>
      <c r="L210" t="str">
        <f>IF('Raw Data'!L210="","",'Raw Data'!L210)</f>
        <v/>
      </c>
      <c r="M210">
        <f>IF('Raw Data'!M210="","",'Raw Data'!M210)</f>
        <v>1.5</v>
      </c>
      <c r="N210">
        <f>IF('Raw Data'!N210="","",IF('Raw Data'!N210="-",0,'Raw Data'!N210))</f>
        <v>-0.1</v>
      </c>
      <c r="O210">
        <f>IF('Raw Data'!O210="",IF('Raw Data'!N210="","",0),'Raw Data'!O210)</f>
        <v>171.8</v>
      </c>
      <c r="P210" t="str">
        <f>IF('Raw Data'!P210="","",'Raw Data'!P210)</f>
        <v>bloody horrible</v>
      </c>
      <c r="R210" s="3">
        <f t="shared" si="91"/>
        <v>149</v>
      </c>
      <c r="S210" s="3" t="str">
        <f t="shared" si="92"/>
        <v>-</v>
      </c>
      <c r="T210" s="3">
        <f t="shared" si="93"/>
        <v>149</v>
      </c>
      <c r="U210" s="9">
        <f>ASIN(N210/J210)*180/PI()</f>
        <v>-3.8225537292743446</v>
      </c>
      <c r="W210" s="4">
        <f t="shared" si="94"/>
        <v>1.4966629547095767</v>
      </c>
      <c r="X210" s="4">
        <f t="shared" si="95"/>
        <v>-0.1</v>
      </c>
      <c r="Y210" s="3">
        <f t="shared" si="96"/>
        <v>149</v>
      </c>
      <c r="Z210" s="4">
        <f>IF('Raw Data'!O210="","",O209+N209)</f>
        <v>171.8</v>
      </c>
    </row>
    <row r="211" spans="1:26" x14ac:dyDescent="0.25">
      <c r="A211" t="str">
        <f>IF('Raw Data'!A211="","",'Raw Data'!A211)</f>
        <v>BT</v>
      </c>
      <c r="B211" t="str">
        <f>IF('Raw Data'!B211="","",'Raw Data'!B211)</f>
        <v>BU</v>
      </c>
      <c r="C211">
        <f>IF('Raw Data'!C211="","",'Raw Data'!C211)</f>
        <v>6</v>
      </c>
      <c r="D211">
        <f>IF('Raw Data'!D211="","",'Raw Data'!D211)</f>
        <v>1</v>
      </c>
      <c r="E211">
        <f>IF('Raw Data'!E211="","",'Raw Data'!E211)</f>
        <v>3</v>
      </c>
      <c r="F211" t="str">
        <f>IF('Raw Data'!F211="","",'Raw Data'!F211)</f>
        <v>-</v>
      </c>
      <c r="G211" s="7" t="str">
        <f>IF('Raw Data'!G211="/","-",IF('Raw Data'!G211="","-",SUBSTITUTE('Raw Data'!G211," ",":",1)))</f>
        <v>-</v>
      </c>
      <c r="H211" s="7" t="str">
        <f>IF('Raw Data'!H211="/","-",IF('Raw Data'!H211="","-",SUBSTITUTE('Raw Data'!H211," ",":",1)))</f>
        <v>265:50</v>
      </c>
      <c r="I211" s="7" t="str">
        <f>IF('Raw Data'!I211="/","-",IF('Raw Data'!I211="","-",SUBSTITUTE('Raw Data'!I211," ",":",1)))</f>
        <v>085:50</v>
      </c>
      <c r="J211" s="12">
        <f>IF('Raw Data'!J211="",IF(LEN(K211)&gt;6,SQRT('Raw Data'!M211^2+N211^2),""),'Raw Data'!J211)</f>
        <v>21.6</v>
      </c>
      <c r="K211" s="7" t="str">
        <f>IF('Raw Data'!K211="","",IF(LEN('Raw Data'!K211)&lt;7,SUBSTITUTE('Raw Data'!K211," ",":",1),'Raw Data'!K211))</f>
        <v>14:20</v>
      </c>
      <c r="L211" t="str">
        <f>IF('Raw Data'!L211="","",'Raw Data'!L211)</f>
        <v/>
      </c>
      <c r="M211">
        <f>IF('Raw Data'!M211="","",'Raw Data'!M211)</f>
        <v>20.9</v>
      </c>
      <c r="N211">
        <f>IF('Raw Data'!N211="","",IF('Raw Data'!N211="-",0,'Raw Data'!N211))</f>
        <v>5.4</v>
      </c>
      <c r="O211">
        <f>IF('Raw Data'!O211="",IF('Raw Data'!N211="","",0),'Raw Data'!O211)</f>
        <v>171.7</v>
      </c>
      <c r="P211" t="str">
        <f>IF('Raw Data'!P211="","",'Raw Data'!P211)</f>
        <v/>
      </c>
      <c r="R211" s="3" t="str">
        <f t="shared" si="91"/>
        <v>-</v>
      </c>
      <c r="S211" s="3">
        <f t="shared" si="92"/>
        <v>265.83333333333331</v>
      </c>
      <c r="T211" s="3">
        <f t="shared" si="93"/>
        <v>85.833333333333329</v>
      </c>
      <c r="U211" s="3">
        <f t="shared" ref="U211:U226" si="97">IF(ISERROR(FIND(":",K211)),IF(K211="zero",0,1*K211),1*CONCATENATE(LEFT(K211,FIND(":",K211)-1),".",MID(RIGHT(K211,LEN(K211)-FIND(":",K211))/60,3,8)))</f>
        <v>14.33333333</v>
      </c>
      <c r="W211" s="4">
        <f t="shared" si="94"/>
        <v>20.927632375590552</v>
      </c>
      <c r="X211" s="4">
        <f t="shared" si="95"/>
        <v>5.3473547808364188</v>
      </c>
      <c r="Y211" s="3">
        <f t="shared" si="96"/>
        <v>85.833333333333314</v>
      </c>
      <c r="Z211" s="4">
        <f>IF('Raw Data'!O211="","",O210+N210)</f>
        <v>171.70000000000002</v>
      </c>
    </row>
    <row r="212" spans="1:26" x14ac:dyDescent="0.25">
      <c r="A212" t="str">
        <f>IF('Raw Data'!A212="","",'Raw Data'!A212)</f>
        <v>BU</v>
      </c>
      <c r="B212" t="str">
        <f>IF('Raw Data'!B212="","",'Raw Data'!B212)</f>
        <v>BV</v>
      </c>
      <c r="C212">
        <f>IF('Raw Data'!C212="","",'Raw Data'!C212)</f>
        <v>6</v>
      </c>
      <c r="D212">
        <f>IF('Raw Data'!D212="","",'Raw Data'!D212)</f>
        <v>3</v>
      </c>
      <c r="E212">
        <f>IF('Raw Data'!E212="","",'Raw Data'!E212)</f>
        <v>2</v>
      </c>
      <c r="F212">
        <f>IF('Raw Data'!F212="","",'Raw Data'!F212)</f>
        <v>3</v>
      </c>
      <c r="G212" s="7" t="str">
        <f>IF('Raw Data'!G212="/","-",IF('Raw Data'!G212="","-",SUBSTITUTE('Raw Data'!G212," ",":",1)))</f>
        <v>116:00</v>
      </c>
      <c r="H212" s="7" t="str">
        <f>IF('Raw Data'!H212="/","-",IF('Raw Data'!H212="","-",SUBSTITUTE('Raw Data'!H212," ",":",1)))</f>
        <v>-</v>
      </c>
      <c r="I212" s="7" t="str">
        <f>IF('Raw Data'!I212="/","-",IF('Raw Data'!I212="","-",SUBSTITUTE('Raw Data'!I212," ",":",1)))</f>
        <v>116:00</v>
      </c>
      <c r="J212" s="12">
        <f>IF('Raw Data'!J212="",IF(LEN(K212)&gt;6,SQRT('Raw Data'!M212^2+N212^2),""),'Raw Data'!J212)</f>
        <v>8.5</v>
      </c>
      <c r="K212" s="7" t="str">
        <f>IF('Raw Data'!K212="","",IF(LEN('Raw Data'!K212)&lt;7,SUBSTITUTE('Raw Data'!K212," ",":",1),'Raw Data'!K212))</f>
        <v>-6:30</v>
      </c>
      <c r="L212" t="str">
        <f>IF('Raw Data'!L212="","",'Raw Data'!L212)</f>
        <v/>
      </c>
      <c r="M212">
        <f>IF('Raw Data'!M212="","",'Raw Data'!M212)</f>
        <v>8.4</v>
      </c>
      <c r="N212">
        <f>IF('Raw Data'!N212="","",IF('Raw Data'!N212="-",0,'Raw Data'!N212))</f>
        <v>-1</v>
      </c>
      <c r="O212">
        <f>IF('Raw Data'!O212="",IF('Raw Data'!N212="","",0),'Raw Data'!O212)</f>
        <v>177.1</v>
      </c>
      <c r="P212" t="str">
        <f>IF('Raw Data'!P212="","",'Raw Data'!P212)</f>
        <v/>
      </c>
      <c r="R212" s="3">
        <f t="shared" si="91"/>
        <v>116</v>
      </c>
      <c r="S212" s="3" t="str">
        <f t="shared" si="92"/>
        <v>-</v>
      </c>
      <c r="T212" s="3">
        <f t="shared" si="93"/>
        <v>116</v>
      </c>
      <c r="U212" s="3">
        <f t="shared" si="97"/>
        <v>-6.5</v>
      </c>
      <c r="W212" s="4">
        <f t="shared" si="94"/>
        <v>8.445360773250993</v>
      </c>
      <c r="X212" s="4">
        <f t="shared" si="95"/>
        <v>-0.9622273170272071</v>
      </c>
      <c r="Y212" s="3">
        <f t="shared" si="96"/>
        <v>116</v>
      </c>
      <c r="Z212" s="4">
        <f>IF('Raw Data'!O212="","",O211+N211)</f>
        <v>177.1</v>
      </c>
    </row>
    <row r="213" spans="1:26" x14ac:dyDescent="0.25">
      <c r="A213" t="str">
        <f>IF('Raw Data'!A213="","",'Raw Data'!A213)</f>
        <v>BV</v>
      </c>
      <c r="B213" t="str">
        <f>IF('Raw Data'!B213="","",'Raw Data'!B213)</f>
        <v>BW</v>
      </c>
      <c r="C213">
        <f>IF('Raw Data'!C213="","",'Raw Data'!C213)</f>
        <v>9</v>
      </c>
      <c r="D213">
        <f>IF('Raw Data'!D213="","",'Raw Data'!D213)</f>
        <v>1</v>
      </c>
      <c r="E213">
        <f>IF('Raw Data'!E213="","",'Raw Data'!E213)</f>
        <v>3</v>
      </c>
      <c r="F213">
        <f>IF('Raw Data'!F213="","",'Raw Data'!F213)</f>
        <v>1</v>
      </c>
      <c r="G213" s="7" t="str">
        <f>IF('Raw Data'!G213="/","-",IF('Raw Data'!G213="","-",SUBSTITUTE('Raw Data'!G213," ",":",1)))</f>
        <v>-</v>
      </c>
      <c r="H213" s="7" t="str">
        <f>IF('Raw Data'!H213="/","-",IF('Raw Data'!H213="","-",SUBSTITUTE('Raw Data'!H213," ",":",1)))</f>
        <v>266:20</v>
      </c>
      <c r="I213" s="7" t="str">
        <f>IF('Raw Data'!I213="/","-",IF('Raw Data'!I213="","-",SUBSTITUTE('Raw Data'!I213," ",":",1)))</f>
        <v>086:20</v>
      </c>
      <c r="J213" s="12">
        <f>IF('Raw Data'!J213="",IF(LEN(K213)&gt;6,SQRT('Raw Data'!M213^2+N213^2),""),'Raw Data'!J213)</f>
        <v>15.7</v>
      </c>
      <c r="K213" s="7" t="str">
        <f>IF('Raw Data'!K213="","",IF(LEN('Raw Data'!K213)&lt;7,SUBSTITUTE('Raw Data'!K213," ",":",1),'Raw Data'!K213))</f>
        <v>11:30</v>
      </c>
      <c r="L213" t="str">
        <f>IF('Raw Data'!L213="","",'Raw Data'!L213)</f>
        <v/>
      </c>
      <c r="M213">
        <f>IF('Raw Data'!M213="","",'Raw Data'!M213)</f>
        <v>15.4</v>
      </c>
      <c r="N213">
        <f>IF('Raw Data'!N213="","",IF('Raw Data'!N213="-",0,'Raw Data'!N213))</f>
        <v>3.1</v>
      </c>
      <c r="O213">
        <f>IF('Raw Data'!O213="",IF('Raw Data'!N213="","",0),'Raw Data'!O213)</f>
        <v>176.1</v>
      </c>
      <c r="P213" t="str">
        <f>IF('Raw Data'!P213="","",'Raw Data'!P213)</f>
        <v/>
      </c>
      <c r="R213" s="3" t="str">
        <f t="shared" si="91"/>
        <v>-</v>
      </c>
      <c r="S213" s="3">
        <f t="shared" si="92"/>
        <v>266.33333333333331</v>
      </c>
      <c r="T213" s="3">
        <f t="shared" si="93"/>
        <v>86.333333333333329</v>
      </c>
      <c r="U213" s="3">
        <f t="shared" si="97"/>
        <v>11.5</v>
      </c>
      <c r="W213" s="4">
        <f t="shared" si="94"/>
        <v>15.384817862547024</v>
      </c>
      <c r="X213" s="4">
        <f t="shared" si="95"/>
        <v>3.1300765703499951</v>
      </c>
      <c r="Y213" s="3">
        <f t="shared" si="96"/>
        <v>86.333333333333314</v>
      </c>
      <c r="Z213" s="4">
        <f>IF('Raw Data'!O213="","",O212+N212)</f>
        <v>176.1</v>
      </c>
    </row>
    <row r="214" spans="1:26" x14ac:dyDescent="0.25">
      <c r="A214" t="str">
        <f>IF('Raw Data'!A214="","",'Raw Data'!A214)</f>
        <v>BW</v>
      </c>
      <c r="B214" t="str">
        <f>IF('Raw Data'!B214="","",'Raw Data'!B214)</f>
        <v>BX</v>
      </c>
      <c r="C214">
        <f>IF('Raw Data'!C214="","",'Raw Data'!C214)</f>
        <v>12</v>
      </c>
      <c r="D214">
        <f>IF('Raw Data'!D214="","",'Raw Data'!D214)</f>
        <v>3</v>
      </c>
      <c r="E214" t="str">
        <f>IF('Raw Data'!E214="","",'Raw Data'!E214)</f>
        <v>4 (in alcove)</v>
      </c>
      <c r="F214">
        <f>IF('Raw Data'!F214="","",'Raw Data'!F214)</f>
        <v>3</v>
      </c>
      <c r="G214" s="7" t="str">
        <f>IF('Raw Data'!G214="/","-",IF('Raw Data'!G214="","-",SUBSTITUTE('Raw Data'!G214," ",":",1)))</f>
        <v>117:00</v>
      </c>
      <c r="H214" s="7" t="str">
        <f>IF('Raw Data'!H214="/","-",IF('Raw Data'!H214="","-",SUBSTITUTE('Raw Data'!H214," ",":",1)))</f>
        <v>-</v>
      </c>
      <c r="I214" s="7" t="str">
        <f>IF('Raw Data'!I214="/","-",IF('Raw Data'!I214="","-",SUBSTITUTE('Raw Data'!I214," ",":",1)))</f>
        <v>117:00</v>
      </c>
      <c r="J214" s="12">
        <f>IF('Raw Data'!J214="",IF(LEN(K214)&gt;6,SQRT('Raw Data'!M214^2+N214^2),""),'Raw Data'!J214)</f>
        <v>28.5</v>
      </c>
      <c r="K214" s="7" t="str">
        <f>IF('Raw Data'!K214="","",IF(LEN('Raw Data'!K214)&lt;7,SUBSTITUTE('Raw Data'!K214," ",":",1),'Raw Data'!K214))</f>
        <v>32:30</v>
      </c>
      <c r="L214" t="str">
        <f>IF('Raw Data'!L214="","",'Raw Data'!L214)</f>
        <v/>
      </c>
      <c r="M214">
        <f>IF('Raw Data'!M214="","",'Raw Data'!M214)</f>
        <v>24</v>
      </c>
      <c r="N214">
        <f>IF('Raw Data'!N214="","",IF('Raw Data'!N214="-",0,'Raw Data'!N214))</f>
        <v>15.3</v>
      </c>
      <c r="O214">
        <f>IF('Raw Data'!O214="",IF('Raw Data'!N214="","",0),'Raw Data'!O214)</f>
        <v>179.2</v>
      </c>
      <c r="P214" t="str">
        <f>IF('Raw Data'!P214="","",'Raw Data'!P214)</f>
        <v/>
      </c>
      <c r="R214" s="3">
        <f t="shared" si="91"/>
        <v>117</v>
      </c>
      <c r="S214" s="3" t="str">
        <f t="shared" si="92"/>
        <v>-</v>
      </c>
      <c r="T214" s="3">
        <f t="shared" si="93"/>
        <v>117</v>
      </c>
      <c r="U214" s="3">
        <f t="shared" si="97"/>
        <v>32.5</v>
      </c>
      <c r="W214" s="4">
        <f t="shared" si="94"/>
        <v>24.036656205667242</v>
      </c>
      <c r="X214" s="4">
        <f t="shared" si="95"/>
        <v>15.313038837884481</v>
      </c>
      <c r="Y214" s="3">
        <f t="shared" si="96"/>
        <v>117</v>
      </c>
      <c r="Z214" s="4">
        <f>IF('Raw Data'!O214="","",O213+N213)</f>
        <v>179.2</v>
      </c>
    </row>
    <row r="215" spans="1:26" x14ac:dyDescent="0.25">
      <c r="A215" t="str">
        <f>IF('Raw Data'!A215="","",'Raw Data'!A215)</f>
        <v>BX</v>
      </c>
      <c r="B215" t="str">
        <f>IF('Raw Data'!B215="","",'Raw Data'!B215)</f>
        <v>BY</v>
      </c>
      <c r="C215">
        <f>IF('Raw Data'!C215="","",'Raw Data'!C215)</f>
        <v>20</v>
      </c>
      <c r="D215">
        <f>IF('Raw Data'!D215="","",'Raw Data'!D215)</f>
        <v>2.5</v>
      </c>
      <c r="E215">
        <f>IF('Raw Data'!E215="","",'Raw Data'!E215)</f>
        <v>8</v>
      </c>
      <c r="F215">
        <f>IF('Raw Data'!F215="","",'Raw Data'!F215)</f>
        <v>3</v>
      </c>
      <c r="G215" s="7" t="str">
        <f>IF('Raw Data'!G215="/","-",IF('Raw Data'!G215="","-",SUBSTITUTE('Raw Data'!G215," ",":",1)))</f>
        <v>-</v>
      </c>
      <c r="H215" s="7" t="str">
        <f>IF('Raw Data'!H215="/","-",IF('Raw Data'!H215="","-",SUBSTITUTE('Raw Data'!H215," ",":",1)))</f>
        <v>326:00</v>
      </c>
      <c r="I215" s="7" t="str">
        <f>IF('Raw Data'!I215="/","-",IF('Raw Data'!I215="","-",SUBSTITUTE('Raw Data'!I215," ",":",1)))</f>
        <v>146:00</v>
      </c>
      <c r="J215" s="12">
        <f>IF('Raw Data'!J215="",IF(LEN(K215)&gt;6,SQRT('Raw Data'!M215^2+N215^2),""),'Raw Data'!J215)</f>
        <v>6.9</v>
      </c>
      <c r="K215" s="7" t="str">
        <f>IF('Raw Data'!K215="","",IF(LEN('Raw Data'!K215)&lt;7,SUBSTITUTE('Raw Data'!K215," ",":",1),'Raw Data'!K215))</f>
        <v>24:30</v>
      </c>
      <c r="L215" t="str">
        <f>IF('Raw Data'!L215="","",'Raw Data'!L215)</f>
        <v/>
      </c>
      <c r="M215">
        <f>IF('Raw Data'!M215="","",'Raw Data'!M215)</f>
        <v>6.3</v>
      </c>
      <c r="N215">
        <f>IF('Raw Data'!N215="","",IF('Raw Data'!N215="-",0,'Raw Data'!N215))</f>
        <v>2.9</v>
      </c>
      <c r="O215">
        <f>IF('Raw Data'!O215="",IF('Raw Data'!N215="","",0),'Raw Data'!O215)</f>
        <v>194.5</v>
      </c>
      <c r="P215" t="str">
        <f>IF('Raw Data'!P215="","",'Raw Data'!P215)</f>
        <v>beside hook at top of 20' Drop. W.L. as sta 1'</v>
      </c>
      <c r="R215" s="3" t="str">
        <f t="shared" si="91"/>
        <v>-</v>
      </c>
      <c r="S215" s="3">
        <f t="shared" si="92"/>
        <v>326</v>
      </c>
      <c r="T215" s="3">
        <f t="shared" si="93"/>
        <v>146</v>
      </c>
      <c r="U215" s="3">
        <f t="shared" si="97"/>
        <v>24.5</v>
      </c>
      <c r="W215" s="4">
        <f t="shared" si="94"/>
        <v>6.2787327690481485</v>
      </c>
      <c r="X215" s="4">
        <f t="shared" si="95"/>
        <v>2.8613833743280495</v>
      </c>
      <c r="Y215" s="3">
        <f t="shared" si="96"/>
        <v>146</v>
      </c>
      <c r="Z215" s="4">
        <f>IF('Raw Data'!O215="","",O214+N214)</f>
        <v>194.5</v>
      </c>
    </row>
    <row r="216" spans="1:26" x14ac:dyDescent="0.25">
      <c r="A216" t="str">
        <f>IF('Raw Data'!A216="","",'Raw Data'!A216)</f>
        <v>BY</v>
      </c>
      <c r="B216" t="str">
        <f>IF('Raw Data'!B216="","",'Raw Data'!B216)</f>
        <v>BZ</v>
      </c>
      <c r="C216">
        <f>IF('Raw Data'!C216="","",'Raw Data'!C216)</f>
        <v>18</v>
      </c>
      <c r="D216">
        <f>IF('Raw Data'!D216="","",'Raw Data'!D216)</f>
        <v>4.5</v>
      </c>
      <c r="E216">
        <f>IF('Raw Data'!E216="","",'Raw Data'!E216)</f>
        <v>3</v>
      </c>
      <c r="F216">
        <f>IF('Raw Data'!F216="","",'Raw Data'!F216)</f>
        <v>2</v>
      </c>
      <c r="G216" s="7" t="str">
        <f>IF('Raw Data'!G216="/","-",IF('Raw Data'!G216="","-",SUBSTITUTE('Raw Data'!G216," ",":",1)))</f>
        <v>125:20</v>
      </c>
      <c r="H216" s="7" t="str">
        <f>IF('Raw Data'!H216="/","-",IF('Raw Data'!H216="","-",SUBSTITUTE('Raw Data'!H216," ",":",1)))</f>
        <v>-</v>
      </c>
      <c r="I216" s="7" t="str">
        <f>IF('Raw Data'!I216="/","-",IF('Raw Data'!I216="","-",SUBSTITUTE('Raw Data'!I216," ",":",1)))</f>
        <v>125:20</v>
      </c>
      <c r="J216" s="12">
        <f>IF('Raw Data'!J216="",IF(LEN(K216)&gt;6,SQRT('Raw Data'!M216^2+N216^2),""),'Raw Data'!J216)</f>
        <v>13.8</v>
      </c>
      <c r="K216" s="7" t="str">
        <f>IF('Raw Data'!K216="","",IF(LEN('Raw Data'!K216)&lt;7,SUBSTITUTE('Raw Data'!K216," ",":",1),'Raw Data'!K216))</f>
        <v>-4:30</v>
      </c>
      <c r="L216" t="str">
        <f>IF('Raw Data'!L216="","",'Raw Data'!L216)</f>
        <v/>
      </c>
      <c r="M216">
        <f>IF('Raw Data'!M216="","",'Raw Data'!M216)</f>
        <v>13.7</v>
      </c>
      <c r="N216">
        <f>IF('Raw Data'!N216="","",IF('Raw Data'!N216="-",0,'Raw Data'!N216))</f>
        <v>-1.1000000000000001</v>
      </c>
      <c r="O216">
        <f>IF('Raw Data'!O216="",IF('Raw Data'!N216="","",0),'Raw Data'!O216)</f>
        <v>197.4</v>
      </c>
      <c r="P216" t="str">
        <f>IF('Raw Data'!P216="","",'Raw Data'!P216)</f>
        <v/>
      </c>
      <c r="R216" s="3">
        <f t="shared" si="91"/>
        <v>125.33333333333333</v>
      </c>
      <c r="S216" s="3" t="str">
        <f t="shared" si="92"/>
        <v>-</v>
      </c>
      <c r="T216" s="3">
        <f t="shared" si="93"/>
        <v>125.33333333333333</v>
      </c>
      <c r="U216" s="3">
        <f t="shared" si="97"/>
        <v>-4.5</v>
      </c>
      <c r="W216" s="4">
        <f t="shared" si="94"/>
        <v>13.757459205517167</v>
      </c>
      <c r="X216" s="4">
        <f t="shared" si="95"/>
        <v>-1.0827355210442602</v>
      </c>
      <c r="Y216" s="3">
        <f t="shared" si="96"/>
        <v>125.33333333333333</v>
      </c>
      <c r="Z216" s="4">
        <f>IF('Raw Data'!O216="","",O215+N215)</f>
        <v>197.4</v>
      </c>
    </row>
    <row r="217" spans="1:26" x14ac:dyDescent="0.25">
      <c r="A217" t="str">
        <f>IF('Raw Data'!A217="","",'Raw Data'!A217)</f>
        <v>BZ</v>
      </c>
      <c r="B217" t="str">
        <f>IF('Raw Data'!B217="","",'Raw Data'!B217)</f>
        <v>CA</v>
      </c>
      <c r="C217">
        <f>IF('Raw Data'!C217="","",'Raw Data'!C217)</f>
        <v>20</v>
      </c>
      <c r="D217">
        <f>IF('Raw Data'!D217="","",'Raw Data'!D217)</f>
        <v>4</v>
      </c>
      <c r="E217" t="str">
        <f>IF('Raw Data'!E217="","",'Raw Data'!E217)</f>
        <v>-</v>
      </c>
      <c r="F217">
        <f>IF('Raw Data'!F217="","",'Raw Data'!F217)</f>
        <v>4</v>
      </c>
      <c r="G217" s="7" t="str">
        <f>IF('Raw Data'!G217="/","-",IF('Raw Data'!G217="","-",SUBSTITUTE('Raw Data'!G217," ",":",1)))</f>
        <v>-</v>
      </c>
      <c r="H217" s="7" t="str">
        <f>IF('Raw Data'!H217="/","-",IF('Raw Data'!H217="","-",SUBSTITUTE('Raw Data'!H217," ",":",1)))</f>
        <v>352:00</v>
      </c>
      <c r="I217" s="7" t="str">
        <f>IF('Raw Data'!I217="/","-",IF('Raw Data'!I217="","-",SUBSTITUTE('Raw Data'!I217," ",":",1)))</f>
        <v>172:00</v>
      </c>
      <c r="J217" s="12">
        <f>IF('Raw Data'!J217="",IF(LEN(K217)&gt;6,SQRT('Raw Data'!M217^2+N217^2),""),'Raw Data'!J217)</f>
        <v>18.5</v>
      </c>
      <c r="K217" s="7" t="str">
        <f>IF('Raw Data'!K217="","",IF(LEN('Raw Data'!K217)&lt;7,SUBSTITUTE('Raw Data'!K217," ",":",1),'Raw Data'!K217))</f>
        <v>2:15</v>
      </c>
      <c r="L217" t="str">
        <f>IF('Raw Data'!L217="","",'Raw Data'!L217)</f>
        <v/>
      </c>
      <c r="M217">
        <f>IF('Raw Data'!M217="","",'Raw Data'!M217)</f>
        <v>18.399999999999999</v>
      </c>
      <c r="N217">
        <f>IF('Raw Data'!N217="","",IF('Raw Data'!N217="-",0,'Raw Data'!N217))</f>
        <v>0.7</v>
      </c>
      <c r="O217">
        <f>IF('Raw Data'!O217="",IF('Raw Data'!N217="","",0),'Raw Data'!O217)</f>
        <v>196.3</v>
      </c>
      <c r="P217" t="str">
        <f>IF('Raw Data'!P217="","",'Raw Data'!P217)</f>
        <v/>
      </c>
      <c r="R217" s="3" t="str">
        <f t="shared" si="91"/>
        <v>-</v>
      </c>
      <c r="S217" s="3">
        <f t="shared" si="92"/>
        <v>352</v>
      </c>
      <c r="T217" s="3">
        <f t="shared" si="93"/>
        <v>172</v>
      </c>
      <c r="U217" s="3">
        <f t="shared" si="97"/>
        <v>2.25</v>
      </c>
      <c r="W217" s="4">
        <f t="shared" si="94"/>
        <v>18.485737170453373</v>
      </c>
      <c r="X217" s="4">
        <f t="shared" si="95"/>
        <v>0.72630659154276933</v>
      </c>
      <c r="Y217" s="3">
        <f t="shared" si="96"/>
        <v>172</v>
      </c>
      <c r="Z217" s="4">
        <f>IF('Raw Data'!O217="","",O216+N216)</f>
        <v>196.3</v>
      </c>
    </row>
    <row r="218" spans="1:26" x14ac:dyDescent="0.25">
      <c r="A218" t="str">
        <f>IF('Raw Data'!A218="","",'Raw Data'!A218)</f>
        <v>CA</v>
      </c>
      <c r="B218" t="str">
        <f>IF('Raw Data'!B218="","",'Raw Data'!B218)</f>
        <v>CB</v>
      </c>
      <c r="C218">
        <f>IF('Raw Data'!C218="","",'Raw Data'!C218)</f>
        <v>25</v>
      </c>
      <c r="D218">
        <f>IF('Raw Data'!D218="","",'Raw Data'!D218)</f>
        <v>4</v>
      </c>
      <c r="E218">
        <f>IF('Raw Data'!E218="","",'Raw Data'!E218)</f>
        <v>6</v>
      </c>
      <c r="F218">
        <f>IF('Raw Data'!F218="","",'Raw Data'!F218)</f>
        <v>1</v>
      </c>
      <c r="G218" s="7" t="str">
        <f>IF('Raw Data'!G218="/","-",IF('Raw Data'!G218="","-",SUBSTITUTE('Raw Data'!G218," ",":",1)))</f>
        <v>125:00</v>
      </c>
      <c r="H218" s="7" t="str">
        <f>IF('Raw Data'!H218="/","-",IF('Raw Data'!H218="","-",SUBSTITUTE('Raw Data'!H218," ",":",1)))</f>
        <v>-</v>
      </c>
      <c r="I218" s="7" t="str">
        <f>IF('Raw Data'!I218="/","-",IF('Raw Data'!I218="","-",SUBSTITUTE('Raw Data'!I218," ",":",1)))</f>
        <v>125:00</v>
      </c>
      <c r="J218" s="12">
        <f>IF('Raw Data'!J218="",IF(LEN(K218)&gt;6,SQRT('Raw Data'!M218^2+N218^2),""),'Raw Data'!J218)</f>
        <v>8</v>
      </c>
      <c r="K218" s="7" t="str">
        <f>IF('Raw Data'!K218="","",IF(LEN('Raw Data'!K218)&lt;7,SUBSTITUTE('Raw Data'!K218," ",":",1),'Raw Data'!K218))</f>
        <v>4:00</v>
      </c>
      <c r="L218" t="str">
        <f>IF('Raw Data'!L218="","",'Raw Data'!L218)</f>
        <v/>
      </c>
      <c r="M218">
        <f>IF('Raw Data'!M218="","",'Raw Data'!M218)</f>
        <v>7.9</v>
      </c>
      <c r="N218">
        <f>IF('Raw Data'!N218="","",IF('Raw Data'!N218="-",0,'Raw Data'!N218))</f>
        <v>0.6</v>
      </c>
      <c r="O218">
        <f>IF('Raw Data'!O218="",IF('Raw Data'!N218="","",0),'Raw Data'!O218)</f>
        <v>197</v>
      </c>
      <c r="P218" t="str">
        <f>IF('Raw Data'!P218="","",'Raw Data'!P218)</f>
        <v>W.L. at sta 1'</v>
      </c>
      <c r="R218" s="3">
        <f t="shared" si="91"/>
        <v>125</v>
      </c>
      <c r="S218" s="3" t="str">
        <f t="shared" si="92"/>
        <v>-</v>
      </c>
      <c r="T218" s="3">
        <f t="shared" si="93"/>
        <v>125</v>
      </c>
      <c r="U218" s="3">
        <f t="shared" si="97"/>
        <v>4</v>
      </c>
      <c r="W218" s="4">
        <f t="shared" si="94"/>
        <v>7.9805124020785936</v>
      </c>
      <c r="X218" s="4">
        <f t="shared" si="95"/>
        <v>0.55805178995300242</v>
      </c>
      <c r="Y218" s="3">
        <f t="shared" si="96"/>
        <v>125</v>
      </c>
      <c r="Z218" s="4">
        <f>IF('Raw Data'!O218="","",O217+N217)</f>
        <v>197</v>
      </c>
    </row>
    <row r="219" spans="1:26" x14ac:dyDescent="0.25">
      <c r="A219" t="str">
        <f>IF('Raw Data'!A219="","",'Raw Data'!A219)</f>
        <v>CB</v>
      </c>
      <c r="B219" t="str">
        <f>IF('Raw Data'!B219="","",'Raw Data'!B219)</f>
        <v>CC</v>
      </c>
      <c r="C219">
        <f>IF('Raw Data'!C219="","",'Raw Data'!C219)</f>
        <v>25</v>
      </c>
      <c r="D219">
        <f>IF('Raw Data'!D219="","",'Raw Data'!D219)</f>
        <v>4</v>
      </c>
      <c r="E219">
        <f>IF('Raw Data'!E219="","",'Raw Data'!E219)</f>
        <v>10</v>
      </c>
      <c r="F219">
        <f>IF('Raw Data'!F219="","",'Raw Data'!F219)</f>
        <v>3</v>
      </c>
      <c r="G219" s="7" t="str">
        <f>IF('Raw Data'!G219="/","-",IF('Raw Data'!G219="","-",SUBSTITUTE('Raw Data'!G219," ",":",1)))</f>
        <v>-</v>
      </c>
      <c r="H219" s="7" t="str">
        <f>IF('Raw Data'!H219="/","-",IF('Raw Data'!H219="","-",SUBSTITUTE('Raw Data'!H219," ",":",1)))</f>
        <v>284:10</v>
      </c>
      <c r="I219" s="7" t="str">
        <f>IF('Raw Data'!I219="/","-",IF('Raw Data'!I219="","-",SUBSTITUTE('Raw Data'!I219," ",":",1)))</f>
        <v>104:10</v>
      </c>
      <c r="J219" s="12">
        <f>IF('Raw Data'!J219="",IF(LEN(K219)&gt;6,SQRT('Raw Data'!M219^2+N219^2),""),'Raw Data'!J219)</f>
        <v>17.399999999999999</v>
      </c>
      <c r="K219" s="7" t="str">
        <f>IF('Raw Data'!K219="","",IF(LEN('Raw Data'!K219)&lt;7,SUBSTITUTE('Raw Data'!K219," ",":",1),'Raw Data'!K219))</f>
        <v>16:00</v>
      </c>
      <c r="L219" t="str">
        <f>IF('Raw Data'!L219="","",'Raw Data'!L219)</f>
        <v/>
      </c>
      <c r="M219">
        <f>IF('Raw Data'!M219="","",'Raw Data'!M219)</f>
        <v>16.8</v>
      </c>
      <c r="N219">
        <f>IF('Raw Data'!N219="","",IF('Raw Data'!N219="-",0,'Raw Data'!N219))</f>
        <v>4.8</v>
      </c>
      <c r="O219">
        <f>IF('Raw Data'!O219="",IF('Raw Data'!N219="","",0),'Raw Data'!O219)</f>
        <v>197.6</v>
      </c>
      <c r="P219" t="str">
        <f>IF('Raw Data'!P219="","",'Raw Data'!P219)</f>
        <v/>
      </c>
      <c r="R219" s="3" t="str">
        <f t="shared" si="91"/>
        <v>-</v>
      </c>
      <c r="S219" s="3">
        <f t="shared" si="92"/>
        <v>284.16666666666669</v>
      </c>
      <c r="T219" s="3">
        <f t="shared" si="93"/>
        <v>104.16666666666667</v>
      </c>
      <c r="U219" s="3">
        <f t="shared" si="97"/>
        <v>16</v>
      </c>
      <c r="W219" s="4">
        <f t="shared" si="94"/>
        <v>16.725953509326747</v>
      </c>
      <c r="X219" s="4">
        <f t="shared" si="95"/>
        <v>4.7960899912157853</v>
      </c>
      <c r="Y219" s="3">
        <f t="shared" si="96"/>
        <v>104.16666666666669</v>
      </c>
      <c r="Z219" s="4">
        <f>IF('Raw Data'!O219="","",O218+N218)</f>
        <v>197.6</v>
      </c>
    </row>
    <row r="220" spans="1:26" x14ac:dyDescent="0.25">
      <c r="A220" t="str">
        <f>IF('Raw Data'!A220="","",'Raw Data'!A220)</f>
        <v>CC</v>
      </c>
      <c r="B220" t="str">
        <f>IF('Raw Data'!B220="","",'Raw Data'!B220)</f>
        <v>CD</v>
      </c>
      <c r="C220">
        <f>IF('Raw Data'!C220="","",'Raw Data'!C220)</f>
        <v>20</v>
      </c>
      <c r="D220">
        <f>IF('Raw Data'!D220="","",'Raw Data'!D220)</f>
        <v>7</v>
      </c>
      <c r="E220">
        <f>IF('Raw Data'!E220="","",'Raw Data'!E220)</f>
        <v>3</v>
      </c>
      <c r="F220">
        <f>IF('Raw Data'!F220="","",'Raw Data'!F220)</f>
        <v>3</v>
      </c>
      <c r="G220" s="7" t="str">
        <f>IF('Raw Data'!G220="/","-",IF('Raw Data'!G220="","-",SUBSTITUTE('Raw Data'!G220," ",":",1)))</f>
        <v>137:10</v>
      </c>
      <c r="H220" s="7" t="str">
        <f>IF('Raw Data'!H220="/","-",IF('Raw Data'!H220="","-",SUBSTITUTE('Raw Data'!H220," ",":",1)))</f>
        <v>-</v>
      </c>
      <c r="I220" s="7" t="str">
        <f>IF('Raw Data'!I220="/","-",IF('Raw Data'!I220="","-",SUBSTITUTE('Raw Data'!I220," ",":",1)))</f>
        <v>137:10</v>
      </c>
      <c r="J220" s="12">
        <f>IF('Raw Data'!J220="",IF(LEN(K220)&gt;6,SQRT('Raw Data'!M220^2+N220^2),""),'Raw Data'!J220)</f>
        <v>74.599999999999994</v>
      </c>
      <c r="K220" s="7" t="str">
        <f>IF('Raw Data'!K220="","",IF(LEN('Raw Data'!K220)&lt;7,SUBSTITUTE('Raw Data'!K220," ",":",1),'Raw Data'!K220))</f>
        <v>7:10</v>
      </c>
      <c r="L220" t="str">
        <f>IF('Raw Data'!L220="","",'Raw Data'!L220)</f>
        <v/>
      </c>
      <c r="M220">
        <f>IF('Raw Data'!M220="","",'Raw Data'!M220)</f>
        <v>73.900000000000006</v>
      </c>
      <c r="N220">
        <f>IF('Raw Data'!N220="","",IF('Raw Data'!N220="-",0,'Raw Data'!N220))</f>
        <v>9.3000000000000007</v>
      </c>
      <c r="O220">
        <f>IF('Raw Data'!O220="",IF('Raw Data'!N220="","",0),'Raw Data'!O220)</f>
        <v>202.4</v>
      </c>
      <c r="P220" t="str">
        <f>IF('Raw Data'!P220="","",'Raw Data'!P220)</f>
        <v/>
      </c>
      <c r="R220" s="3">
        <f t="shared" si="91"/>
        <v>137.16666666666666</v>
      </c>
      <c r="S220" s="3" t="str">
        <f t="shared" si="92"/>
        <v>-</v>
      </c>
      <c r="T220" s="3">
        <f t="shared" si="93"/>
        <v>137.16666666666666</v>
      </c>
      <c r="U220" s="3">
        <f t="shared" si="97"/>
        <v>7.1666666599999997</v>
      </c>
      <c r="W220" s="4">
        <f t="shared" si="94"/>
        <v>74.017183721288077</v>
      </c>
      <c r="X220" s="4">
        <f t="shared" si="95"/>
        <v>9.3067993407555161</v>
      </c>
      <c r="Y220" s="3">
        <f t="shared" si="96"/>
        <v>137.16666666666666</v>
      </c>
      <c r="Z220" s="4">
        <f>IF('Raw Data'!O220="","",O219+N219)</f>
        <v>202.4</v>
      </c>
    </row>
    <row r="221" spans="1:26" x14ac:dyDescent="0.25">
      <c r="A221" t="str">
        <f>IF('Raw Data'!A221="","",'Raw Data'!A221)</f>
        <v>CD</v>
      </c>
      <c r="B221" t="str">
        <f>IF('Raw Data'!B221="","",'Raw Data'!B221)</f>
        <v>CE</v>
      </c>
      <c r="C221">
        <f>IF('Raw Data'!C221="","",'Raw Data'!C221)</f>
        <v>25</v>
      </c>
      <c r="D221">
        <f>IF('Raw Data'!D221="","",'Raw Data'!D221)</f>
        <v>5</v>
      </c>
      <c r="E221">
        <f>IF('Raw Data'!E221="","",'Raw Data'!E221)</f>
        <v>4</v>
      </c>
      <c r="F221">
        <f>IF('Raw Data'!F221="","",'Raw Data'!F221)</f>
        <v>3</v>
      </c>
      <c r="G221" s="7" t="str">
        <f>IF('Raw Data'!G221="/","-",IF('Raw Data'!G221="","-",SUBSTITUTE('Raw Data'!G221," ",":",1)))</f>
        <v>-</v>
      </c>
      <c r="H221" s="7" t="str">
        <f>IF('Raw Data'!H221="/","-",IF('Raw Data'!H221="","-",SUBSTITUTE('Raw Data'!H221," ",":",1)))</f>
        <v>304:00</v>
      </c>
      <c r="I221" s="7" t="str">
        <f>IF('Raw Data'!I221="/","-",IF('Raw Data'!I221="","-",SUBSTITUTE('Raw Data'!I221," ",":",1)))</f>
        <v>124:00</v>
      </c>
      <c r="J221" s="12">
        <f>IF('Raw Data'!J221="",IF(LEN(K221)&gt;6,SQRT('Raw Data'!M221^2+N221^2),""),'Raw Data'!J221)</f>
        <v>35</v>
      </c>
      <c r="K221" s="7" t="str">
        <f>IF('Raw Data'!K221="","",IF(LEN('Raw Data'!K221)&lt;7,SUBSTITUTE('Raw Data'!K221," ",":",1),'Raw Data'!K221))</f>
        <v>19:00</v>
      </c>
      <c r="L221" t="str">
        <f>IF('Raw Data'!L221="","",'Raw Data'!L221)</f>
        <v/>
      </c>
      <c r="M221">
        <f>IF('Raw Data'!M221="","",'Raw Data'!M221)</f>
        <v>33.1</v>
      </c>
      <c r="N221">
        <f>IF('Raw Data'!N221="","",IF('Raw Data'!N221="-",0,'Raw Data'!N221))</f>
        <v>11.4</v>
      </c>
      <c r="O221">
        <f>IF('Raw Data'!O221="",IF('Raw Data'!N221="","",0),'Raw Data'!O221)</f>
        <v>211.7</v>
      </c>
      <c r="P221" t="str">
        <f>IF('Raw Data'!P221="","",'Raw Data'!P221)</f>
        <v/>
      </c>
      <c r="R221" s="3" t="str">
        <f t="shared" si="91"/>
        <v>-</v>
      </c>
      <c r="S221" s="3">
        <f t="shared" si="92"/>
        <v>304</v>
      </c>
      <c r="T221" s="3">
        <f t="shared" si="93"/>
        <v>124</v>
      </c>
      <c r="U221" s="3">
        <f t="shared" si="97"/>
        <v>19</v>
      </c>
      <c r="W221" s="4">
        <f t="shared" si="94"/>
        <v>33.09315014597609</v>
      </c>
      <c r="X221" s="4">
        <f t="shared" si="95"/>
        <v>11.394885406000483</v>
      </c>
      <c r="Y221" s="3">
        <f t="shared" si="96"/>
        <v>124</v>
      </c>
      <c r="Z221" s="4">
        <f>IF('Raw Data'!O221="","",O220+N220)</f>
        <v>211.70000000000002</v>
      </c>
    </row>
    <row r="222" spans="1:26" x14ac:dyDescent="0.25">
      <c r="A222" t="str">
        <f>IF('Raw Data'!A222="","",'Raw Data'!A222)</f>
        <v>CE</v>
      </c>
      <c r="B222" t="str">
        <f>IF('Raw Data'!B222="","",'Raw Data'!B222)</f>
        <v>CF</v>
      </c>
      <c r="C222">
        <f>IF('Raw Data'!C222="","",'Raw Data'!C222)</f>
        <v>15</v>
      </c>
      <c r="D222">
        <f>IF('Raw Data'!D222="","",'Raw Data'!D222)</f>
        <v>12</v>
      </c>
      <c r="E222">
        <f>IF('Raw Data'!E222="","",'Raw Data'!E222)</f>
        <v>6</v>
      </c>
      <c r="F222">
        <f>IF('Raw Data'!F222="","",'Raw Data'!F222)</f>
        <v>10</v>
      </c>
      <c r="G222" s="7" t="str">
        <f>IF('Raw Data'!G222="/","-",IF('Raw Data'!G222="","-",SUBSTITUTE('Raw Data'!G222," ",":",1)))</f>
        <v>091:40</v>
      </c>
      <c r="H222" s="7" t="str">
        <f>IF('Raw Data'!H222="/","-",IF('Raw Data'!H222="","-",SUBSTITUTE('Raw Data'!H222," ",":",1)))</f>
        <v>-</v>
      </c>
      <c r="I222" s="7" t="str">
        <f>IF('Raw Data'!I222="/","-",IF('Raw Data'!I222="","-",SUBSTITUTE('Raw Data'!I222," ",":",1)))</f>
        <v>091:40</v>
      </c>
      <c r="J222" s="12">
        <f>IF('Raw Data'!J222="",IF(LEN(K222)&gt;6,SQRT('Raw Data'!M222^2+N222^2),""),'Raw Data'!J222)</f>
        <v>28.3</v>
      </c>
      <c r="K222" s="7" t="str">
        <f>IF('Raw Data'!K222="","",IF(LEN('Raw Data'!K222)&lt;7,SUBSTITUTE('Raw Data'!K222," ",":",1),'Raw Data'!K222))</f>
        <v>-13:30</v>
      </c>
      <c r="L222" t="str">
        <f>IF('Raw Data'!L222="","",'Raw Data'!L222)</f>
        <v/>
      </c>
      <c r="M222">
        <f>IF('Raw Data'!M222="","",'Raw Data'!M222)</f>
        <v>27.5</v>
      </c>
      <c r="N222">
        <f>IF('Raw Data'!N222="","",IF('Raw Data'!N222="-",0,'Raw Data'!N222))</f>
        <v>-6.6</v>
      </c>
      <c r="O222">
        <f>IF('Raw Data'!O222="",IF('Raw Data'!N222="","",0),'Raw Data'!O222)</f>
        <v>223.1</v>
      </c>
      <c r="P222" t="str">
        <f>IF('Raw Data'!P222="","",'Raw Data'!P222)</f>
        <v/>
      </c>
      <c r="R222" s="3">
        <f t="shared" si="91"/>
        <v>91.666666666666671</v>
      </c>
      <c r="S222" s="3" t="str">
        <f t="shared" si="92"/>
        <v>-</v>
      </c>
      <c r="T222" s="3">
        <f t="shared" si="93"/>
        <v>91.666666666666671</v>
      </c>
      <c r="U222" s="3">
        <f t="shared" si="97"/>
        <v>-13.5</v>
      </c>
      <c r="W222" s="4">
        <f t="shared" si="94"/>
        <v>27.518068747254247</v>
      </c>
      <c r="X222" s="4">
        <f t="shared" si="95"/>
        <v>-6.606503797122123</v>
      </c>
      <c r="Y222" s="3">
        <f t="shared" si="96"/>
        <v>91.666666666666671</v>
      </c>
      <c r="Z222" s="4">
        <f>IF('Raw Data'!O222="","",O221+N221)</f>
        <v>223.1</v>
      </c>
    </row>
    <row r="223" spans="1:26" x14ac:dyDescent="0.25">
      <c r="A223" t="str">
        <f>IF('Raw Data'!A223="","",'Raw Data'!A223)</f>
        <v>CF</v>
      </c>
      <c r="B223" t="str">
        <f>IF('Raw Data'!B223="","",'Raw Data'!B223)</f>
        <v>CG</v>
      </c>
      <c r="C223">
        <f>IF('Raw Data'!C223="","",'Raw Data'!C223)</f>
        <v>4</v>
      </c>
      <c r="D223">
        <f>IF('Raw Data'!D223="","",'Raw Data'!D223)</f>
        <v>4</v>
      </c>
      <c r="E223">
        <f>IF('Raw Data'!E223="","",'Raw Data'!E223)</f>
        <v>2</v>
      </c>
      <c r="F223">
        <f>IF('Raw Data'!F223="","",'Raw Data'!F223)</f>
        <v>6</v>
      </c>
      <c r="G223" s="7" t="str">
        <f>IF('Raw Data'!G223="/","-",IF('Raw Data'!G223="","-",SUBSTITUTE('Raw Data'!G223," ",":",1)))</f>
        <v>-</v>
      </c>
      <c r="H223" s="7" t="str">
        <f>IF('Raw Data'!H223="/","-",IF('Raw Data'!H223="","-",SUBSTITUTE('Raw Data'!H223," ",":",1)))</f>
        <v>294:30</v>
      </c>
      <c r="I223" s="7" t="str">
        <f>IF('Raw Data'!I223="/","-",IF('Raw Data'!I223="","-",SUBSTITUTE('Raw Data'!I223," ",":",1)))</f>
        <v>114:30</v>
      </c>
      <c r="J223" s="12">
        <f>IF('Raw Data'!J223="",IF(LEN(K223)&gt;6,SQRT('Raw Data'!M223^2+N223^2),""),'Raw Data'!J223)</f>
        <v>10.6</v>
      </c>
      <c r="K223" s="7" t="str">
        <f>IF('Raw Data'!K223="","",IF(LEN('Raw Data'!K223)&lt;7,SUBSTITUTE('Raw Data'!K223," ",":",1),'Raw Data'!K223))</f>
        <v>16:30</v>
      </c>
      <c r="L223" t="str">
        <f>IF('Raw Data'!L223="","",'Raw Data'!L223)</f>
        <v/>
      </c>
      <c r="M223">
        <f>IF('Raw Data'!M223="","",'Raw Data'!M223)</f>
        <v>10.1</v>
      </c>
      <c r="N223">
        <f>IF('Raw Data'!N223="","",IF('Raw Data'!N223="-",0,'Raw Data'!N223))</f>
        <v>3</v>
      </c>
      <c r="O223">
        <f>IF('Raw Data'!O223="",IF('Raw Data'!N223="","",0),'Raw Data'!O223)</f>
        <v>216.5</v>
      </c>
      <c r="P223" t="str">
        <f>IF('Raw Data'!P223="","",'Raw Data'!P223)</f>
        <v/>
      </c>
      <c r="R223" s="3" t="str">
        <f t="shared" si="91"/>
        <v>-</v>
      </c>
      <c r="S223" s="3">
        <f t="shared" si="92"/>
        <v>294.5</v>
      </c>
      <c r="T223" s="3">
        <f t="shared" si="93"/>
        <v>114.5</v>
      </c>
      <c r="U223" s="3">
        <f t="shared" si="97"/>
        <v>16.5</v>
      </c>
      <c r="W223" s="4">
        <f t="shared" si="94"/>
        <v>10.163489189602846</v>
      </c>
      <c r="X223" s="4">
        <f t="shared" si="95"/>
        <v>3.0105626538615797</v>
      </c>
      <c r="Y223" s="3">
        <f t="shared" si="96"/>
        <v>114.5</v>
      </c>
      <c r="Z223" s="4">
        <f>IF('Raw Data'!O223="","",O222+N222)</f>
        <v>216.5</v>
      </c>
    </row>
    <row r="224" spans="1:26" x14ac:dyDescent="0.25">
      <c r="A224" t="str">
        <f>IF('Raw Data'!A224="","",'Raw Data'!A224)</f>
        <v>CG</v>
      </c>
      <c r="B224" t="str">
        <f>IF('Raw Data'!B224="","",'Raw Data'!B224)</f>
        <v>CH</v>
      </c>
      <c r="C224">
        <f>IF('Raw Data'!C224="","",'Raw Data'!C224)</f>
        <v>8</v>
      </c>
      <c r="D224">
        <f>IF('Raw Data'!D224="","",'Raw Data'!D224)</f>
        <v>6</v>
      </c>
      <c r="E224" t="str">
        <f>IF('Raw Data'!E224="","",'Raw Data'!E224)</f>
        <v>-</v>
      </c>
      <c r="F224">
        <f>IF('Raw Data'!F224="","",'Raw Data'!F224)</f>
        <v>4</v>
      </c>
      <c r="G224" s="7" t="str">
        <f>IF('Raw Data'!G224="/","-",IF('Raw Data'!G224="","-",SUBSTITUTE('Raw Data'!G224," ",":",1)))</f>
        <v>014:20</v>
      </c>
      <c r="H224" s="7" t="str">
        <f>IF('Raw Data'!H224="/","-",IF('Raw Data'!H224="","-",SUBSTITUTE('Raw Data'!H224," ",":",1)))</f>
        <v>-</v>
      </c>
      <c r="I224" s="7" t="str">
        <f>IF('Raw Data'!I224="/","-",IF('Raw Data'!I224="","-",SUBSTITUTE('Raw Data'!I224," ",":",1)))</f>
        <v>014:20</v>
      </c>
      <c r="J224" s="12">
        <f>IF('Raw Data'!J224="",IF(LEN(K224)&gt;6,SQRT('Raw Data'!M224^2+N224^2),""),'Raw Data'!J224)</f>
        <v>31.4</v>
      </c>
      <c r="K224" s="7" t="str">
        <f>IF('Raw Data'!K224="","",IF(LEN('Raw Data'!K224)&lt;7,SUBSTITUTE('Raw Data'!K224," ",":",1),'Raw Data'!K224))</f>
        <v>-3:30</v>
      </c>
      <c r="L224" t="str">
        <f>IF('Raw Data'!L224="","",'Raw Data'!L224)</f>
        <v/>
      </c>
      <c r="M224">
        <f>IF('Raw Data'!M224="","",'Raw Data'!M224)</f>
        <v>31.3</v>
      </c>
      <c r="N224">
        <f>IF('Raw Data'!N224="","",IF('Raw Data'!N224="-",0,'Raw Data'!N224))</f>
        <v>-1.9</v>
      </c>
      <c r="O224">
        <f>IF('Raw Data'!O224="",IF('Raw Data'!N224="","",0),'Raw Data'!O224)</f>
        <v>219.5</v>
      </c>
      <c r="P224" t="str">
        <f>IF('Raw Data'!P224="","",'Raw Data'!P224)</f>
        <v/>
      </c>
      <c r="R224" s="3">
        <f t="shared" si="91"/>
        <v>14.333333333333334</v>
      </c>
      <c r="S224" s="3" t="str">
        <f t="shared" si="92"/>
        <v>-</v>
      </c>
      <c r="T224" s="3">
        <f t="shared" si="93"/>
        <v>14.333333333333334</v>
      </c>
      <c r="U224" s="3">
        <f t="shared" si="97"/>
        <v>-3.5</v>
      </c>
      <c r="W224" s="4">
        <f t="shared" si="94"/>
        <v>31.341432670446618</v>
      </c>
      <c r="X224" s="4">
        <f t="shared" si="95"/>
        <v>-1.9169241413945057</v>
      </c>
      <c r="Y224" s="3">
        <f t="shared" si="96"/>
        <v>14.333333333333334</v>
      </c>
      <c r="Z224" s="4">
        <f>IF('Raw Data'!O224="","",O223+N223)</f>
        <v>219.5</v>
      </c>
    </row>
    <row r="225" spans="1:26" x14ac:dyDescent="0.25">
      <c r="A225" t="str">
        <f>IF('Raw Data'!A225="","",'Raw Data'!A225)</f>
        <v>CH</v>
      </c>
      <c r="B225" t="str">
        <f>IF('Raw Data'!B225="","",'Raw Data'!B225)</f>
        <v>CI</v>
      </c>
      <c r="C225">
        <f>IF('Raw Data'!C225="","",'Raw Data'!C225)</f>
        <v>12</v>
      </c>
      <c r="D225">
        <f>IF('Raw Data'!D225="","",'Raw Data'!D225)</f>
        <v>3</v>
      </c>
      <c r="E225">
        <f>IF('Raw Data'!E225="","",'Raw Data'!E225)</f>
        <v>4</v>
      </c>
      <c r="F225" t="str">
        <f>IF('Raw Data'!F225="","",'Raw Data'!F225)</f>
        <v>-</v>
      </c>
      <c r="G225" s="7" t="str">
        <f>IF('Raw Data'!G225="/","-",IF('Raw Data'!G225="","-",SUBSTITUTE('Raw Data'!G225," ",":",1)))</f>
        <v>-</v>
      </c>
      <c r="H225" s="7" t="str">
        <f>IF('Raw Data'!H225="/","-",IF('Raw Data'!H225="","-",SUBSTITUTE('Raw Data'!H225," ",":",1)))</f>
        <v>169:00</v>
      </c>
      <c r="I225" s="7" t="str">
        <f>IF('Raw Data'!I225="/","-",IF('Raw Data'!I225="","-",SUBSTITUTE('Raw Data'!I225," ",":",1)))</f>
        <v>349:00</v>
      </c>
      <c r="J225" s="12">
        <f>IF('Raw Data'!J225="",IF(LEN(K225)&gt;6,SQRT('Raw Data'!M225^2+N225^2),""),'Raw Data'!J225)</f>
        <v>15.9</v>
      </c>
      <c r="K225" s="7" t="str">
        <f>IF('Raw Data'!K225="","",IF(LEN('Raw Data'!K225)&lt;7,SUBSTITUTE('Raw Data'!K225," ",":",1),'Raw Data'!K225))</f>
        <v>4:30</v>
      </c>
      <c r="L225" t="str">
        <f>IF('Raw Data'!L225="","",'Raw Data'!L225)</f>
        <v/>
      </c>
      <c r="M225">
        <f>IF('Raw Data'!M225="","",'Raw Data'!M225)</f>
        <v>15.8</v>
      </c>
      <c r="N225">
        <f>IF('Raw Data'!N225="","",IF('Raw Data'!N225="-",0,'Raw Data'!N225))</f>
        <v>1.2</v>
      </c>
      <c r="O225">
        <f>IF('Raw Data'!O225="",IF('Raw Data'!N225="","",0),'Raw Data'!O225)</f>
        <v>217.6</v>
      </c>
      <c r="P225" t="str">
        <f>IF('Raw Data'!P225="","",'Raw Data'!P225)</f>
        <v/>
      </c>
      <c r="R225" s="3" t="str">
        <f t="shared" si="91"/>
        <v>-</v>
      </c>
      <c r="S225" s="3">
        <f t="shared" si="92"/>
        <v>169</v>
      </c>
      <c r="T225" s="3">
        <f t="shared" si="93"/>
        <v>349</v>
      </c>
      <c r="U225" s="3">
        <f t="shared" si="97"/>
        <v>4.5</v>
      </c>
      <c r="W225" s="4">
        <f t="shared" si="94"/>
        <v>15.850985606356735</v>
      </c>
      <c r="X225" s="4">
        <f t="shared" si="95"/>
        <v>1.2474996220727346</v>
      </c>
      <c r="Y225" s="3">
        <f t="shared" si="96"/>
        <v>349</v>
      </c>
      <c r="Z225" s="4">
        <f>IF('Raw Data'!O225="","",O224+N224)</f>
        <v>217.6</v>
      </c>
    </row>
    <row r="226" spans="1:26" x14ac:dyDescent="0.25">
      <c r="A226" t="str">
        <f>IF('Raw Data'!A226="","",'Raw Data'!A226)</f>
        <v>CI</v>
      </c>
      <c r="B226" t="str">
        <f>IF('Raw Data'!B226="","",'Raw Data'!B226)</f>
        <v>CJ</v>
      </c>
      <c r="C226">
        <f>IF('Raw Data'!C226="","",'Raw Data'!C226)</f>
        <v>10</v>
      </c>
      <c r="D226">
        <f>IF('Raw Data'!D226="","",'Raw Data'!D226)</f>
        <v>4</v>
      </c>
      <c r="E226">
        <f>IF('Raw Data'!E226="","",'Raw Data'!E226)</f>
        <v>4</v>
      </c>
      <c r="F226">
        <f>IF('Raw Data'!F226="","",'Raw Data'!F226)</f>
        <v>6</v>
      </c>
      <c r="G226" s="7" t="str">
        <f>IF('Raw Data'!G226="/","-",IF('Raw Data'!G226="","-",SUBSTITUTE('Raw Data'!G226," ",":",1)))</f>
        <v>023:00</v>
      </c>
      <c r="H226" s="7" t="str">
        <f>IF('Raw Data'!H226="/","-",IF('Raw Data'!H226="","-",SUBSTITUTE('Raw Data'!H226," ",":",1)))</f>
        <v>-</v>
      </c>
      <c r="I226" s="7" t="str">
        <f>IF('Raw Data'!I226="/","-",IF('Raw Data'!I226="","-",SUBSTITUTE('Raw Data'!I226," ",":",1)))</f>
        <v>023:00</v>
      </c>
      <c r="J226" s="12">
        <f>IF('Raw Data'!J226="",IF(LEN(K226)&gt;6,SQRT('Raw Data'!M226^2+N226^2),""),'Raw Data'!J226)</f>
        <v>35.200000000000003</v>
      </c>
      <c r="K226" s="7" t="str">
        <f>IF('Raw Data'!K226="","",IF(LEN('Raw Data'!K226)&lt;7,SUBSTITUTE('Raw Data'!K226," ",":",1),'Raw Data'!K226))</f>
        <v>-3:50</v>
      </c>
      <c r="L226" t="str">
        <f>IF('Raw Data'!L226="","",'Raw Data'!L226)</f>
        <v/>
      </c>
      <c r="M226">
        <f>IF('Raw Data'!M226="","",'Raw Data'!M226)</f>
        <v>35.1</v>
      </c>
      <c r="N226">
        <f>IF('Raw Data'!N226="","",IF('Raw Data'!N226="-",0,'Raw Data'!N226))</f>
        <v>-2.4</v>
      </c>
      <c r="O226">
        <f>IF('Raw Data'!O226="",IF('Raw Data'!N226="","",0),'Raw Data'!O226)</f>
        <v>218.8</v>
      </c>
      <c r="P226" t="str">
        <f>IF('Raw Data'!P226="","",'Raw Data'!P226)</f>
        <v/>
      </c>
      <c r="R226" s="3">
        <f t="shared" si="91"/>
        <v>23</v>
      </c>
      <c r="S226" s="3" t="str">
        <f t="shared" si="92"/>
        <v>-</v>
      </c>
      <c r="T226" s="3">
        <f t="shared" si="93"/>
        <v>23</v>
      </c>
      <c r="U226" s="3">
        <f t="shared" si="97"/>
        <v>-3.8333333299999999</v>
      </c>
      <c r="W226" s="4">
        <f t="shared" si="94"/>
        <v>35.121248548177221</v>
      </c>
      <c r="X226" s="4">
        <f t="shared" si="95"/>
        <v>-2.3532744032856843</v>
      </c>
      <c r="Y226" s="3">
        <f t="shared" si="96"/>
        <v>23</v>
      </c>
      <c r="Z226" s="4">
        <f>IF('Raw Data'!O226="","",O225+N225)</f>
        <v>218.79999999999998</v>
      </c>
    </row>
    <row r="227" spans="1:26" x14ac:dyDescent="0.25">
      <c r="A227" t="str">
        <f>IF('Raw Data'!A227="","",'Raw Data'!A227)</f>
        <v>CJ</v>
      </c>
      <c r="B227" t="str">
        <f>IF('Raw Data'!B227="","",'Raw Data'!B227)</f>
        <v>CK</v>
      </c>
      <c r="C227">
        <f>IF('Raw Data'!C227="","",'Raw Data'!C227)</f>
        <v>10</v>
      </c>
      <c r="D227">
        <f>IF('Raw Data'!D227="","",'Raw Data'!D227)</f>
        <v>2</v>
      </c>
      <c r="E227">
        <f>IF('Raw Data'!E227="","",'Raw Data'!E227)</f>
        <v>3</v>
      </c>
      <c r="F227" t="str">
        <f>IF('Raw Data'!F227="","",'Raw Data'!F227)</f>
        <v>-</v>
      </c>
      <c r="G227" s="7" t="str">
        <f>IF('Raw Data'!G227="/","-",IF('Raw Data'!G227="","-",SUBSTITUTE('Raw Data'!G227," ",":",1)))</f>
        <v>328:00</v>
      </c>
      <c r="H227" s="7" t="str">
        <f>IF('Raw Data'!H227="/","-",IF('Raw Data'!H227="","-",SUBSTITUTE('Raw Data'!H227," ",":",1)))</f>
        <v>-</v>
      </c>
      <c r="I227" s="7" t="str">
        <f>IF('Raw Data'!I227="/","-",IF('Raw Data'!I227="","-",SUBSTITUTE('Raw Data'!I227," ",":",1)))</f>
        <v>328:00</v>
      </c>
      <c r="J227" s="12">
        <f>IF('Raw Data'!J227="",IF(LEN(K227)&gt;6,SQRT('Raw Data'!M227^2+N227^2),""),'Raw Data'!J227)</f>
        <v>12.3</v>
      </c>
      <c r="K227" s="7" t="str">
        <f>IF('Raw Data'!K227="","",IF(LEN('Raw Data'!K227)&lt;7,SUBSTITUTE('Raw Data'!K227," ",":",1),'Raw Data'!K227))</f>
        <v>-one foot</v>
      </c>
      <c r="L227" t="str">
        <f>IF('Raw Data'!L227="","",'Raw Data'!L227)</f>
        <v/>
      </c>
      <c r="M227">
        <f>IF('Raw Data'!M227="","",'Raw Data'!M227)</f>
        <v>12.2</v>
      </c>
      <c r="N227">
        <f>IF('Raw Data'!N227="","",IF('Raw Data'!N227="-",0,'Raw Data'!N227))</f>
        <v>-1</v>
      </c>
      <c r="O227">
        <f>IF('Raw Data'!O227="",IF('Raw Data'!N227="","",0),'Raw Data'!O227)</f>
        <v>216.4</v>
      </c>
      <c r="P227" t="str">
        <f>IF('Raw Data'!P227="","",'Raw Data'!P227)</f>
        <v>side of pot at entrance of passage</v>
      </c>
      <c r="R227" s="3">
        <f t="shared" si="91"/>
        <v>328</v>
      </c>
      <c r="S227" s="3" t="str">
        <f t="shared" si="92"/>
        <v>-</v>
      </c>
      <c r="T227" s="3">
        <f t="shared" si="93"/>
        <v>328</v>
      </c>
      <c r="U227" s="9">
        <f>ASIN(N227/J227)*180/PI()</f>
        <v>-4.6633404187377394</v>
      </c>
      <c r="W227" s="4">
        <f t="shared" si="94"/>
        <v>12.259282197584001</v>
      </c>
      <c r="X227" s="4">
        <f t="shared" si="95"/>
        <v>-1</v>
      </c>
      <c r="Y227" s="3">
        <f t="shared" si="96"/>
        <v>328</v>
      </c>
      <c r="Z227" s="4">
        <f>IF('Raw Data'!O227="","",O226+N226)</f>
        <v>216.4</v>
      </c>
    </row>
    <row r="228" spans="1:26" x14ac:dyDescent="0.25">
      <c r="A228" t="str">
        <f>IF('Raw Data'!A228="","",'Raw Data'!A228)</f>
        <v>CK</v>
      </c>
      <c r="B228" t="str">
        <f>IF('Raw Data'!B228="","",'Raw Data'!B228)</f>
        <v>CL</v>
      </c>
      <c r="C228" t="str">
        <f>IF('Raw Data'!C228="","",'Raw Data'!C228)</f>
        <v>/</v>
      </c>
      <c r="D228">
        <f>IF('Raw Data'!D228="","",'Raw Data'!D228)</f>
        <v>1</v>
      </c>
      <c r="E228" t="str">
        <f>IF('Raw Data'!E228="","",'Raw Data'!E228)</f>
        <v>/</v>
      </c>
      <c r="F228" t="str">
        <f>IF('Raw Data'!F228="","",'Raw Data'!F228)</f>
        <v>/</v>
      </c>
      <c r="G228" s="7" t="str">
        <f>IF('Raw Data'!G228="/","-",IF('Raw Data'!G228="","-",SUBSTITUTE('Raw Data'!G228," ",":",1)))</f>
        <v>-</v>
      </c>
      <c r="H228" s="7" t="str">
        <f>IF('Raw Data'!H228="/","-",IF('Raw Data'!H228="","-",SUBSTITUTE('Raw Data'!H228," ",":",1)))</f>
        <v>272:00</v>
      </c>
      <c r="I228" s="7" t="str">
        <f>IF('Raw Data'!I228="/","-",IF('Raw Data'!I228="","-",SUBSTITUTE('Raw Data'!I228," ",":",1)))</f>
        <v>092:00</v>
      </c>
      <c r="J228" s="12">
        <f>IF('Raw Data'!J228="",IF(LEN(K228)&gt;6,SQRT('Raw Data'!M228^2+N228^2),""),'Raw Data'!J228)</f>
        <v>35.700000000000003</v>
      </c>
      <c r="K228" s="7" t="str">
        <f>IF('Raw Data'!K228="","",IF(LEN('Raw Data'!K228)&lt;7,SUBSTITUTE('Raw Data'!K228," ",":",1),'Raw Data'!K228))</f>
        <v>71:00</v>
      </c>
      <c r="L228" t="str">
        <f>IF('Raw Data'!L228="","",'Raw Data'!L228)</f>
        <v/>
      </c>
      <c r="M228">
        <f>IF('Raw Data'!M228="","",'Raw Data'!M228)</f>
        <v>11.6</v>
      </c>
      <c r="N228">
        <f>IF('Raw Data'!N228="","",IF('Raw Data'!N228="-",0,'Raw Data'!N228))</f>
        <v>33.799999999999997</v>
      </c>
      <c r="O228">
        <f>IF('Raw Data'!O228="",IF('Raw Data'!N228="","",0),'Raw Data'!O228)</f>
        <v>215.4</v>
      </c>
      <c r="P228" t="str">
        <f>IF('Raw Data'!P228="","",'Raw Data'!P228)</f>
        <v>side of pot</v>
      </c>
      <c r="R228" s="3" t="str">
        <f t="shared" si="91"/>
        <v>-</v>
      </c>
      <c r="S228" s="3">
        <f t="shared" si="92"/>
        <v>272</v>
      </c>
      <c r="T228" s="3">
        <f t="shared" si="93"/>
        <v>92</v>
      </c>
      <c r="U228" s="3">
        <f t="shared" ref="U228" si="98">IF(ISERROR(FIND(":",K228)),IF(K228="zero",0,1*K228),1*CONCATENATE(LEFT(K228,FIND(":",K228)-1),".",MID(RIGHT(K228,LEN(K228)-FIND(":",K228))/60,3,8)))</f>
        <v>71</v>
      </c>
      <c r="W228" s="4">
        <f t="shared" si="94"/>
        <v>11.622783114120496</v>
      </c>
      <c r="X228" s="4">
        <f t="shared" si="95"/>
        <v>33.755013148895607</v>
      </c>
      <c r="Y228" s="3">
        <f t="shared" si="96"/>
        <v>92</v>
      </c>
      <c r="Z228" s="4">
        <f>IF('Raw Data'!O228="","",O227+N227)</f>
        <v>215.4</v>
      </c>
    </row>
    <row r="229" spans="1:26" x14ac:dyDescent="0.25">
      <c r="A229" t="str">
        <f>IF('Raw Data'!A229="","",'Raw Data'!A229)</f>
        <v>CL</v>
      </c>
      <c r="B229" t="str">
        <f>IF('Raw Data'!B229="","",'Raw Data'!B229)</f>
        <v>CN</v>
      </c>
      <c r="C229" t="str">
        <f>IF('Raw Data'!C229="","",'Raw Data'!C229)</f>
        <v>/</v>
      </c>
      <c r="D229" t="str">
        <f>IF('Raw Data'!D229="","",'Raw Data'!D229)</f>
        <v>/</v>
      </c>
      <c r="E229" t="str">
        <f>IF('Raw Data'!E229="","",'Raw Data'!E229)</f>
        <v>/</v>
      </c>
      <c r="F229" t="str">
        <f>IF('Raw Data'!F229="","",'Raw Data'!F229)</f>
        <v>/</v>
      </c>
      <c r="G229" s="7" t="str">
        <f>IF('Raw Data'!G229="/","-",IF('Raw Data'!G229="","-",SUBSTITUTE('Raw Data'!G229," ",":",1)))</f>
        <v>100:00</v>
      </c>
      <c r="H229" s="7" t="str">
        <f>IF('Raw Data'!H229="/","-",IF('Raw Data'!H229="","-",SUBSTITUTE('Raw Data'!H229," ",":",1)))</f>
        <v>-</v>
      </c>
      <c r="I229" s="7" t="str">
        <f>IF('Raw Data'!I229="/","-",IF('Raw Data'!I229="","-",SUBSTITUTE('Raw Data'!I229," ",":",1)))</f>
        <v>100:00</v>
      </c>
      <c r="J229" s="16">
        <f>IF(LEN(K229)&gt;6,SQRT('Raw Data'!M229^2+N229^2),'Raw Data'!J229)</f>
        <v>3.2015621187164243</v>
      </c>
      <c r="K229" s="7" t="str">
        <f>IF('Raw Data'!K229="","",IF(LEN('Raw Data'!K229)&lt;7,SUBSTITUTE('Raw Data'!K229," ",":",1),'Raw Data'!K229))</f>
        <v>+two feet</v>
      </c>
      <c r="L229" t="str">
        <f>IF('Raw Data'!L229="","",'Raw Data'!L229)</f>
        <v/>
      </c>
      <c r="M229">
        <f>IF('Raw Data'!M229="","",'Raw Data'!M229)</f>
        <v>2.5</v>
      </c>
      <c r="N229">
        <f>IF('Raw Data'!N229="","",IF('Raw Data'!N229="-",0,'Raw Data'!N229))</f>
        <v>2</v>
      </c>
      <c r="O229">
        <f>IF('Raw Data'!O229="",IF('Raw Data'!N229="","",0),'Raw Data'!O229)</f>
        <v>249.2</v>
      </c>
      <c r="P229" t="str">
        <f>IF('Raw Data'!P229="","",'Raw Data'!P229)</f>
        <v>lip of pot</v>
      </c>
      <c r="R229" s="3">
        <f t="shared" si="91"/>
        <v>100</v>
      </c>
      <c r="S229" s="3" t="str">
        <f t="shared" si="92"/>
        <v>-</v>
      </c>
      <c r="T229" s="3">
        <f t="shared" si="93"/>
        <v>100</v>
      </c>
      <c r="U229" s="9">
        <f>ASIN(N229/J229)*180/PI()</f>
        <v>38.659808254090095</v>
      </c>
      <c r="W229" s="4">
        <f t="shared" si="94"/>
        <v>2.5</v>
      </c>
      <c r="X229" s="4">
        <f t="shared" si="95"/>
        <v>2</v>
      </c>
      <c r="Y229" s="3">
        <f t="shared" si="96"/>
        <v>100</v>
      </c>
      <c r="Z229" s="4">
        <f>IF('Raw Data'!O229="","",O228+N228)</f>
        <v>249.2</v>
      </c>
    </row>
    <row r="230" spans="1:26" x14ac:dyDescent="0.25">
      <c r="A230" t="str">
        <f>IF('Raw Data'!A230="","",'Raw Data'!A230)</f>
        <v>CN</v>
      </c>
      <c r="B230" t="str">
        <f>IF('Raw Data'!B230="","",'Raw Data'!B230)</f>
        <v/>
      </c>
      <c r="C230" t="str">
        <f>IF('Raw Data'!C230="","",'Raw Data'!C230)</f>
        <v/>
      </c>
      <c r="D230" t="str">
        <f>IF('Raw Data'!D230="","",'Raw Data'!D230)</f>
        <v/>
      </c>
      <c r="E230" t="str">
        <f>IF('Raw Data'!E230="","",'Raw Data'!E230)</f>
        <v/>
      </c>
      <c r="F230" t="str">
        <f>IF('Raw Data'!F230="","",'Raw Data'!F230)</f>
        <v/>
      </c>
      <c r="G230" s="7" t="str">
        <f>IF('Raw Data'!G230="/","-",IF('Raw Data'!G230="","-",SUBSTITUTE('Raw Data'!G230," ",":",1)))</f>
        <v>-</v>
      </c>
      <c r="H230" s="7" t="str">
        <f>IF('Raw Data'!H230="/","-",IF('Raw Data'!H230="","-",SUBSTITUTE('Raw Data'!H230," ",":",1)))</f>
        <v>-</v>
      </c>
      <c r="I230" s="7" t="str">
        <f>IF('Raw Data'!I230="/","-",IF('Raw Data'!I230="","-",SUBSTITUTE('Raw Data'!I230," ",":",1)))</f>
        <v>-</v>
      </c>
      <c r="J230" s="12" t="str">
        <f>IF('Raw Data'!J230="",IF(LEN(K230)&gt;6,SQRT('Raw Data'!M230^2+N230^2),""),'Raw Data'!J230)</f>
        <v/>
      </c>
      <c r="K230" s="7" t="str">
        <f>IF('Raw Data'!K230="","",IF(LEN('Raw Data'!K230)&lt;7,SUBSTITUTE('Raw Data'!K230," ",":",1),'Raw Data'!K230))</f>
        <v/>
      </c>
      <c r="L230" t="str">
        <f>IF('Raw Data'!L230="","",'Raw Data'!L230)</f>
        <v/>
      </c>
      <c r="M230" t="str">
        <f>IF('Raw Data'!M230="","",'Raw Data'!M230)</f>
        <v/>
      </c>
      <c r="N230" t="str">
        <f>IF('Raw Data'!N230="","",IF('Raw Data'!N230="-",0,'Raw Data'!N230))</f>
        <v/>
      </c>
      <c r="O230">
        <f>IF('Raw Data'!O230="",IF('Raw Data'!N230="","",0),'Raw Data'!O230)</f>
        <v>251.2</v>
      </c>
      <c r="P230" t="str">
        <f>IF('Raw Data'!P230="","",'Raw Data'!P230)</f>
        <v>see p.55</v>
      </c>
      <c r="W230" s="4"/>
      <c r="X230" s="4"/>
      <c r="Y230" s="3"/>
      <c r="Z230" s="4">
        <f>IF('Raw Data'!O230="","",O229+N229)</f>
        <v>251.2</v>
      </c>
    </row>
    <row r="231" spans="1:26" x14ac:dyDescent="0.25">
      <c r="A231" t="str">
        <f>IF('Raw Data'!A231="","",'Raw Data'!A231)</f>
        <v>1st March 1953</v>
      </c>
      <c r="B231" t="str">
        <f>IF('Raw Data'!B231="","",'Raw Data'!B231)</f>
        <v>Phil, Don, Oliver, Colin</v>
      </c>
      <c r="C231" t="str">
        <f>IF('Raw Data'!C231="","",'Raw Data'!C231)</f>
        <v>Trats Grotto into St Pauls System</v>
      </c>
      <c r="D231" t="str">
        <f>IF('Raw Data'!D231="","",'Raw Data'!D231)</f>
        <v/>
      </c>
      <c r="E231" t="str">
        <f>IF('Raw Data'!E231="","",'Raw Data'!E231)</f>
        <v/>
      </c>
      <c r="F231" t="str">
        <f>IF('Raw Data'!F231="","",'Raw Data'!F231)</f>
        <v/>
      </c>
      <c r="G231" s="7" t="str">
        <f>IF('Raw Data'!G231="/","-",IF('Raw Data'!G231="","-",SUBSTITUTE('Raw Data'!G231," ",":",1)))</f>
        <v>-</v>
      </c>
      <c r="H231" s="7" t="str">
        <f>IF('Raw Data'!H231="/","-",IF('Raw Data'!H231="","-",SUBSTITUTE('Raw Data'!H231," ",":",1)))</f>
        <v>-</v>
      </c>
      <c r="I231" s="7" t="str">
        <f>IF('Raw Data'!I231="/","-",IF('Raw Data'!I231="","-",SUBSTITUTE('Raw Data'!I231," ",":",1)))</f>
        <v>-</v>
      </c>
      <c r="J231" s="12" t="str">
        <f>IF('Raw Data'!J231="",IF(LEN(K231)&gt;6,SQRT('Raw Data'!M231^2+N231^2),""),'Raw Data'!J231)</f>
        <v/>
      </c>
      <c r="K231" s="7" t="str">
        <f>IF('Raw Data'!K231="","",IF(LEN('Raw Data'!K231)&lt;7,SUBSTITUTE('Raw Data'!K231," ",":",1),'Raw Data'!K231))</f>
        <v/>
      </c>
      <c r="L231" t="str">
        <f>IF('Raw Data'!L231="","",'Raw Data'!L231)</f>
        <v/>
      </c>
      <c r="M231" t="str">
        <f>IF('Raw Data'!M231="","",'Raw Data'!M231)</f>
        <v/>
      </c>
      <c r="N231" t="str">
        <f>IF('Raw Data'!N231="","",IF('Raw Data'!N231="-",0,'Raw Data'!N231))</f>
        <v/>
      </c>
      <c r="O231" t="str">
        <f>IF('Raw Data'!O231="",IF('Raw Data'!N231="","",0),'Raw Data'!O231)</f>
        <v/>
      </c>
      <c r="P231" t="str">
        <f>IF('Raw Data'!P231="","",'Raw Data'!P231)</f>
        <v/>
      </c>
      <c r="W231" s="4"/>
      <c r="X231" s="4"/>
      <c r="Y231" s="3"/>
      <c r="Z231" s="4" t="str">
        <f>IF('Raw Data'!O231="","",O230+N230)</f>
        <v/>
      </c>
    </row>
    <row r="232" spans="1:26" x14ac:dyDescent="0.25">
      <c r="A232" t="str">
        <f>IF('Raw Data'!A232="","",'Raw Data'!A232)</f>
        <v>AL</v>
      </c>
      <c r="B232" t="str">
        <f>IF('Raw Data'!B232="","",'Raw Data'!B232)</f>
        <v>a</v>
      </c>
      <c r="C232" t="str">
        <f>IF('Raw Data'!C232="","",'Raw Data'!C232)</f>
        <v>/</v>
      </c>
      <c r="D232" t="str">
        <f>IF('Raw Data'!D232="","",'Raw Data'!D232)</f>
        <v>/</v>
      </c>
      <c r="E232" t="str">
        <f>IF('Raw Data'!E232="","",'Raw Data'!E232)</f>
        <v>/</v>
      </c>
      <c r="F232" t="str">
        <f>IF('Raw Data'!F232="","",'Raw Data'!F232)</f>
        <v>/</v>
      </c>
      <c r="G232" s="7" t="str">
        <f>IF('Raw Data'!G232="/","-",IF('Raw Data'!G232="","-",SUBSTITUTE('Raw Data'!G232," ",":",1)))</f>
        <v>-</v>
      </c>
      <c r="H232" s="7" t="str">
        <f>IF('Raw Data'!H232="/","-",IF('Raw Data'!H232="","-",SUBSTITUTE('Raw Data'!H232," ",":",1)))</f>
        <v>048:00</v>
      </c>
      <c r="I232" s="7" t="str">
        <f>IF('Raw Data'!I232="/","-",IF('Raw Data'!I232="","-",SUBSTITUTE('Raw Data'!I232," ",":",1)))</f>
        <v>228:00</v>
      </c>
      <c r="J232" s="12">
        <f>IF('Raw Data'!J232="",IF(LEN(K232)&gt;6,SQRT('Raw Data'!M232^2+N232^2),""),'Raw Data'!J232)</f>
        <v>3.4</v>
      </c>
      <c r="K232" s="7" t="str">
        <f>IF('Raw Data'!K232="","",IF(LEN('Raw Data'!K232)&lt;7,SUBSTITUTE('Raw Data'!K232," ",":",1),'Raw Data'!K232))</f>
        <v>-one foot</v>
      </c>
      <c r="L232" t="str">
        <f>IF('Raw Data'!L232="","",'Raw Data'!L232)</f>
        <v/>
      </c>
      <c r="M232">
        <f>IF('Raw Data'!M232="","",'Raw Data'!M232)</f>
        <v>3.2</v>
      </c>
      <c r="N232">
        <f>IF('Raw Data'!N232="","",IF('Raw Data'!N232="-",0,'Raw Data'!N232))</f>
        <v>-1</v>
      </c>
      <c r="O232">
        <f>IF('Raw Data'!O232="",IF('Raw Data'!N232="","",0),'Raw Data'!O232)</f>
        <v>56.5</v>
      </c>
      <c r="P232" t="str">
        <f>IF('Raw Data'!P232="","",'Raw Data'!P232)</f>
        <v>See p.51 Below Trats Grotto</v>
      </c>
      <c r="R232" s="3" t="str">
        <f t="shared" si="91"/>
        <v>-</v>
      </c>
      <c r="S232" s="3">
        <f t="shared" si="92"/>
        <v>48</v>
      </c>
      <c r="T232" s="3">
        <f t="shared" si="93"/>
        <v>228</v>
      </c>
      <c r="U232" s="9">
        <f>ASIN(N232/J232)*180/PI()</f>
        <v>-17.104635176643804</v>
      </c>
      <c r="W232" s="4">
        <f t="shared" si="94"/>
        <v>3.2496153618543842</v>
      </c>
      <c r="X232" s="4">
        <f t="shared" si="95"/>
        <v>-1.0000000000000002</v>
      </c>
      <c r="Y232" s="3">
        <f t="shared" si="96"/>
        <v>228</v>
      </c>
      <c r="Z232" s="4">
        <f>IF('Raw Data'!O232="","",O82+N82)</f>
        <v>56.5</v>
      </c>
    </row>
    <row r="233" spans="1:26" x14ac:dyDescent="0.25">
      <c r="A233" t="str">
        <f>IF('Raw Data'!A233="","",'Raw Data'!A233)</f>
        <v>a</v>
      </c>
      <c r="B233" t="str">
        <f>IF('Raw Data'!B233="","",'Raw Data'!B233)</f>
        <v>b</v>
      </c>
      <c r="C233" t="str">
        <f>IF('Raw Data'!C233="","",'Raw Data'!C233)</f>
        <v>/</v>
      </c>
      <c r="D233" t="str">
        <f>IF('Raw Data'!D233="","",'Raw Data'!D233)</f>
        <v>/</v>
      </c>
      <c r="E233" t="str">
        <f>IF('Raw Data'!E233="","",'Raw Data'!E233)</f>
        <v>/</v>
      </c>
      <c r="F233" t="str">
        <f>IF('Raw Data'!F233="","",'Raw Data'!F233)</f>
        <v>/</v>
      </c>
      <c r="G233" s="7" t="str">
        <f>IF('Raw Data'!G233="/","-",IF('Raw Data'!G233="","-",SUBSTITUTE('Raw Data'!G233," ",":",1)))</f>
        <v>184:00</v>
      </c>
      <c r="H233" s="7" t="str">
        <f>IF('Raw Data'!H233="/","-",IF('Raw Data'!H233="","-",SUBSTITUTE('Raw Data'!H233," ",":",1)))</f>
        <v>-</v>
      </c>
      <c r="I233" s="7" t="str">
        <f>IF('Raw Data'!I233="/","-",IF('Raw Data'!I233="","-",SUBSTITUTE('Raw Data'!I233," ",":",1)))</f>
        <v>184:00</v>
      </c>
      <c r="J233" s="12">
        <f>IF('Raw Data'!J233="",IF(LEN(K233)&gt;6,SQRT('Raw Data'!M233^2+N233^2),""),'Raw Data'!J233)</f>
        <v>19.399999999999999</v>
      </c>
      <c r="K233" s="7" t="str">
        <f>IF('Raw Data'!K233="","",IF(LEN('Raw Data'!K233)&lt;7,SUBSTITUTE('Raw Data'!K233," ",":",1),'Raw Data'!K233))</f>
        <v>56:30</v>
      </c>
      <c r="L233" t="str">
        <f>IF('Raw Data'!L233="","",'Raw Data'!L233)</f>
        <v/>
      </c>
      <c r="M233">
        <f>IF('Raw Data'!M233="","",'Raw Data'!M233)</f>
        <v>10.7</v>
      </c>
      <c r="N233">
        <f>IF('Raw Data'!N233="","",IF('Raw Data'!N233="-",0,'Raw Data'!N233))</f>
        <v>16.2</v>
      </c>
      <c r="O233">
        <f>IF('Raw Data'!O233="",IF('Raw Data'!N233="","",0),'Raw Data'!O233)</f>
        <v>55.5</v>
      </c>
      <c r="P233" t="str">
        <f>IF('Raw Data'!P233="","",'Raw Data'!P233)</f>
        <v/>
      </c>
      <c r="R233" s="3">
        <f t="shared" si="91"/>
        <v>184</v>
      </c>
      <c r="S233" s="3" t="str">
        <f t="shared" si="92"/>
        <v>-</v>
      </c>
      <c r="T233" s="3">
        <f t="shared" si="93"/>
        <v>184</v>
      </c>
      <c r="U233" s="3">
        <f t="shared" ref="U233:U238" si="99">IF(ISERROR(FIND(":",K233)),IF(K233="zero",0,1*K233),1*CONCATENATE(LEFT(K233,FIND(":",K233)-1),".",MID(RIGHT(K233,LEN(K233)-FIND(":",K233))/60,3,8)))</f>
        <v>56.5</v>
      </c>
      <c r="W233" s="4">
        <f t="shared" si="94"/>
        <v>10.707577515053929</v>
      </c>
      <c r="X233" s="4">
        <f t="shared" si="95"/>
        <v>16.177384948103061</v>
      </c>
      <c r="Y233" s="3">
        <f t="shared" si="96"/>
        <v>184</v>
      </c>
      <c r="Z233" s="4">
        <f>IF('Raw Data'!O233="","",O232+N232)</f>
        <v>55.5</v>
      </c>
    </row>
    <row r="234" spans="1:26" x14ac:dyDescent="0.25">
      <c r="A234" t="str">
        <f>IF('Raw Data'!A234="","",'Raw Data'!A234)</f>
        <v>b</v>
      </c>
      <c r="B234" t="str">
        <f>IF('Raw Data'!B234="","",'Raw Data'!B234)</f>
        <v>c</v>
      </c>
      <c r="C234">
        <f>IF('Raw Data'!C234="","",'Raw Data'!C234)</f>
        <v>20</v>
      </c>
      <c r="D234" t="str">
        <f>IF('Raw Data'!D234="","",'Raw Data'!D234)</f>
        <v>/</v>
      </c>
      <c r="E234">
        <f>IF('Raw Data'!E234="","",'Raw Data'!E234)</f>
        <v>35</v>
      </c>
      <c r="F234">
        <f>IF('Raw Data'!F234="","",'Raw Data'!F234)</f>
        <v>10</v>
      </c>
      <c r="G234" s="7" t="str">
        <f>IF('Raw Data'!G234="/","-",IF('Raw Data'!G234="","-",SUBSTITUTE('Raw Data'!G234," ",":",1)))</f>
        <v>-</v>
      </c>
      <c r="H234" s="7" t="str">
        <f>IF('Raw Data'!H234="/","-",IF('Raw Data'!H234="","-",SUBSTITUTE('Raw Data'!H234," ",":",1)))</f>
        <v>229:40</v>
      </c>
      <c r="I234" s="7" t="str">
        <f>IF('Raw Data'!I234="/","-",IF('Raw Data'!I234="","-",SUBSTITUTE('Raw Data'!I234," ",":",1)))</f>
        <v>049:40</v>
      </c>
      <c r="J234" s="12">
        <f>IF('Raw Data'!J234="",IF(LEN(K234)&gt;6,SQRT('Raw Data'!M234^2+N234^2),""),'Raw Data'!J234)</f>
        <v>10.8</v>
      </c>
      <c r="K234" s="7" t="str">
        <f>IF('Raw Data'!K234="","",IF(LEN('Raw Data'!K234)&lt;7,SUBSTITUTE('Raw Data'!K234," ",":",1),'Raw Data'!K234))</f>
        <v>30:15</v>
      </c>
      <c r="L234" t="str">
        <f>IF('Raw Data'!L234="","",'Raw Data'!L234)</f>
        <v/>
      </c>
      <c r="M234">
        <f>IF('Raw Data'!M234="","",'Raw Data'!M234)</f>
        <v>9.3000000000000007</v>
      </c>
      <c r="N234">
        <f>IF('Raw Data'!N234="","",IF('Raw Data'!N234="-",0,'Raw Data'!N234))</f>
        <v>5.4</v>
      </c>
      <c r="O234">
        <f>IF('Raw Data'!O234="",IF('Raw Data'!N234="","",0),'Raw Data'!O234)</f>
        <v>71.7</v>
      </c>
      <c r="P234" t="str">
        <f>IF('Raw Data'!P234="","",'Raw Data'!P234)</f>
        <v>Top of pit</v>
      </c>
      <c r="R234" s="3" t="str">
        <f t="shared" si="91"/>
        <v>-</v>
      </c>
      <c r="S234" s="3">
        <f t="shared" si="92"/>
        <v>229.66666666666666</v>
      </c>
      <c r="T234" s="3">
        <f t="shared" si="93"/>
        <v>49.666666666666664</v>
      </c>
      <c r="U234" s="3">
        <f t="shared" si="99"/>
        <v>30.25</v>
      </c>
      <c r="W234" s="4">
        <f t="shared" si="94"/>
        <v>9.3294234562074738</v>
      </c>
      <c r="X234" s="4">
        <f t="shared" si="95"/>
        <v>5.4407589520916844</v>
      </c>
      <c r="Y234" s="3">
        <f t="shared" si="96"/>
        <v>49.666666666666657</v>
      </c>
      <c r="Z234" s="4">
        <f>IF('Raw Data'!O234="","",O233+N233)</f>
        <v>71.7</v>
      </c>
    </row>
    <row r="235" spans="1:26" x14ac:dyDescent="0.25">
      <c r="A235" t="str">
        <f>IF('Raw Data'!A235="","",'Raw Data'!A235)</f>
        <v>c</v>
      </c>
      <c r="B235" t="str">
        <f>IF('Raw Data'!B235="","",'Raw Data'!B235)</f>
        <v>d</v>
      </c>
      <c r="C235">
        <f>IF('Raw Data'!C235="","",'Raw Data'!C235)</f>
        <v>12</v>
      </c>
      <c r="D235">
        <f>IF('Raw Data'!D235="","",'Raw Data'!D235)</f>
        <v>2</v>
      </c>
      <c r="E235">
        <f>IF('Raw Data'!E235="","",'Raw Data'!E235)</f>
        <v>20</v>
      </c>
      <c r="F235">
        <f>IF('Raw Data'!F235="","",'Raw Data'!F235)</f>
        <v>8</v>
      </c>
      <c r="G235" s="7" t="str">
        <f>IF('Raw Data'!G235="/","-",IF('Raw Data'!G235="","-",SUBSTITUTE('Raw Data'!G235," ",":",1)))</f>
        <v>203:40</v>
      </c>
      <c r="H235" s="7" t="str">
        <f>IF('Raw Data'!H235="/","-",IF('Raw Data'!H235="","-",SUBSTITUTE('Raw Data'!H235," ",":",1)))</f>
        <v>-</v>
      </c>
      <c r="I235" s="7" t="str">
        <f>IF('Raw Data'!I235="/","-",IF('Raw Data'!I235="","-",SUBSTITUTE('Raw Data'!I235," ",":",1)))</f>
        <v>203:40</v>
      </c>
      <c r="J235" s="12">
        <f>IF('Raw Data'!J235="",IF(LEN(K235)&gt;6,SQRT('Raw Data'!M235^2+N235^2),""),'Raw Data'!J235)</f>
        <v>23.8</v>
      </c>
      <c r="K235" s="7" t="str">
        <f>IF('Raw Data'!K235="","",IF(LEN('Raw Data'!K235)&lt;7,SUBSTITUTE('Raw Data'!K235," ",":",1),'Raw Data'!K235))</f>
        <v>19:40</v>
      </c>
      <c r="L235" t="str">
        <f>IF('Raw Data'!L235="","",'Raw Data'!L235)</f>
        <v/>
      </c>
      <c r="M235">
        <f>IF('Raw Data'!M235="","",'Raw Data'!M235)</f>
        <v>22.4</v>
      </c>
      <c r="N235">
        <f>IF('Raw Data'!N235="","",IF('Raw Data'!N235="-",0,'Raw Data'!N235))</f>
        <v>8</v>
      </c>
      <c r="O235">
        <f>IF('Raw Data'!O235="",IF('Raw Data'!N235="","",0),'Raw Data'!O235)</f>
        <v>77.099999999999994</v>
      </c>
      <c r="P235" t="str">
        <f>IF('Raw Data'!P235="","",'Raw Data'!P235)</f>
        <v>Foot of cascade</v>
      </c>
      <c r="R235" s="3">
        <f t="shared" si="91"/>
        <v>203.66666666666666</v>
      </c>
      <c r="S235" s="3" t="str">
        <f t="shared" si="92"/>
        <v>-</v>
      </c>
      <c r="T235" s="3">
        <f t="shared" si="93"/>
        <v>203.66666666666666</v>
      </c>
      <c r="U235" s="3">
        <f t="shared" si="99"/>
        <v>19.666666660000001</v>
      </c>
      <c r="W235" s="4">
        <f t="shared" si="94"/>
        <v>22.411662690123819</v>
      </c>
      <c r="X235" s="4">
        <f t="shared" si="95"/>
        <v>8.0098299272900935</v>
      </c>
      <c r="Y235" s="3">
        <f t="shared" si="96"/>
        <v>203.66666666666666</v>
      </c>
      <c r="Z235" s="4">
        <f>IF('Raw Data'!O235="","",O234+N234)</f>
        <v>77.100000000000009</v>
      </c>
    </row>
    <row r="236" spans="1:26" x14ac:dyDescent="0.25">
      <c r="A236" t="str">
        <f>IF('Raw Data'!A236="","",'Raw Data'!A236)</f>
        <v>d</v>
      </c>
      <c r="B236" t="str">
        <f>IF('Raw Data'!B236="","",'Raw Data'!B236)</f>
        <v>e</v>
      </c>
      <c r="C236">
        <f>IF('Raw Data'!C236="","",'Raw Data'!C236)</f>
        <v>4</v>
      </c>
      <c r="D236">
        <f>IF('Raw Data'!D236="","",'Raw Data'!D236)</f>
        <v>2</v>
      </c>
      <c r="E236" t="str">
        <f>IF('Raw Data'!E236="","",'Raw Data'!E236)</f>
        <v>/</v>
      </c>
      <c r="F236">
        <f>IF('Raw Data'!F236="","",'Raw Data'!F236)</f>
        <v>3</v>
      </c>
      <c r="G236" s="7" t="str">
        <f>IF('Raw Data'!G236="/","-",IF('Raw Data'!G236="","-",SUBSTITUTE('Raw Data'!G236," ",":",1)))</f>
        <v>-</v>
      </c>
      <c r="H236" s="7" t="str">
        <f>IF('Raw Data'!H236="/","-",IF('Raw Data'!H236="","-",SUBSTITUTE('Raw Data'!H236," ",":",1)))</f>
        <v>305:10</v>
      </c>
      <c r="I236" s="7" t="str">
        <f>IF('Raw Data'!I236="/","-",IF('Raw Data'!I236="","-",SUBSTITUTE('Raw Data'!I236," ",":",1)))</f>
        <v>125:10</v>
      </c>
      <c r="J236" s="12">
        <f>IF('Raw Data'!J236="",IF(LEN(K236)&gt;6,SQRT('Raw Data'!M236^2+N236^2),""),'Raw Data'!J236)</f>
        <v>52</v>
      </c>
      <c r="K236" s="7" t="str">
        <f>IF('Raw Data'!K236="","",IF(LEN('Raw Data'!K236)&lt;7,SUBSTITUTE('Raw Data'!K236," ",":",1),'Raw Data'!K236))</f>
        <v>2:30</v>
      </c>
      <c r="L236" t="str">
        <f>IF('Raw Data'!L236="","",'Raw Data'!L236)</f>
        <v/>
      </c>
      <c r="M236">
        <f>IF('Raw Data'!M236="","",'Raw Data'!M236)</f>
        <v>51.9</v>
      </c>
      <c r="N236">
        <f>IF('Raw Data'!N236="","",IF('Raw Data'!N236="-",0,'Raw Data'!N236))</f>
        <v>2.2999999999999998</v>
      </c>
      <c r="O236">
        <f>IF('Raw Data'!O236="",IF('Raw Data'!N236="","",0),'Raw Data'!O236)</f>
        <v>85.1</v>
      </c>
      <c r="P236" t="str">
        <f>IF('Raw Data'!P236="","",'Raw Data'!P236)</f>
        <v>(small sketch a-e)</v>
      </c>
      <c r="R236" s="3" t="str">
        <f t="shared" si="91"/>
        <v>-</v>
      </c>
      <c r="S236" s="3">
        <f t="shared" si="92"/>
        <v>305.16666666666669</v>
      </c>
      <c r="T236" s="3">
        <f t="shared" si="93"/>
        <v>125.16666666666667</v>
      </c>
      <c r="U236" s="3">
        <f t="shared" si="99"/>
        <v>2.5</v>
      </c>
      <c r="W236" s="4">
        <f t="shared" si="94"/>
        <v>51.950507522256608</v>
      </c>
      <c r="X236" s="4">
        <f t="shared" si="95"/>
        <v>2.2682081429974721</v>
      </c>
      <c r="Y236" s="3">
        <f t="shared" si="96"/>
        <v>125.16666666666669</v>
      </c>
      <c r="Z236" s="4">
        <f>IF('Raw Data'!O236="","",O235+N235)</f>
        <v>85.1</v>
      </c>
    </row>
    <row r="237" spans="1:26" x14ac:dyDescent="0.25">
      <c r="A237" t="str">
        <f>IF('Raw Data'!A237="","",'Raw Data'!A237)</f>
        <v>e</v>
      </c>
      <c r="B237" t="str">
        <f>IF('Raw Data'!B237="","",'Raw Data'!B237)</f>
        <v>f</v>
      </c>
      <c r="C237">
        <f>IF('Raw Data'!C237="","",'Raw Data'!C237)</f>
        <v>2</v>
      </c>
      <c r="D237">
        <f>IF('Raw Data'!D237="","",'Raw Data'!D237)</f>
        <v>2</v>
      </c>
      <c r="E237">
        <f>IF('Raw Data'!E237="","",'Raw Data'!E237)</f>
        <v>3</v>
      </c>
      <c r="F237">
        <f>IF('Raw Data'!F237="","",'Raw Data'!F237)</f>
        <v>1.5</v>
      </c>
      <c r="G237" s="7" t="str">
        <f>IF('Raw Data'!G237="/","-",IF('Raw Data'!G237="","-",SUBSTITUTE('Raw Data'!G237," ",":",1)))</f>
        <v>125:00</v>
      </c>
      <c r="H237" s="7" t="str">
        <f>IF('Raw Data'!H237="/","-",IF('Raw Data'!H237="","-",SUBSTITUTE('Raw Data'!H237," ",":",1)))</f>
        <v>-</v>
      </c>
      <c r="I237" s="7" t="str">
        <f>IF('Raw Data'!I237="/","-",IF('Raw Data'!I237="","-",SUBSTITUTE('Raw Data'!I237," ",":",1)))</f>
        <v>-</v>
      </c>
      <c r="J237" s="12">
        <f>IF('Raw Data'!J237="",IF(LEN(K237)&gt;6,SQRT('Raw Data'!M237^2+N237^2),""),'Raw Data'!J237)</f>
        <v>23.5</v>
      </c>
      <c r="K237" s="7" t="str">
        <f>IF('Raw Data'!K237="","",IF(LEN('Raw Data'!K237)&lt;7,SUBSTITUTE('Raw Data'!K237," ",":",1),'Raw Data'!K237))</f>
        <v>8:45</v>
      </c>
      <c r="L237" t="str">
        <f>IF('Raw Data'!L237="","",'Raw Data'!L237)</f>
        <v/>
      </c>
      <c r="M237">
        <f>IF('Raw Data'!M237="","",'Raw Data'!M237)</f>
        <v>23.3</v>
      </c>
      <c r="N237">
        <f>IF('Raw Data'!N237="","",IF('Raw Data'!N237="-",0,'Raw Data'!N237))</f>
        <v>3.6</v>
      </c>
      <c r="O237">
        <f>IF('Raw Data'!O237="",IF('Raw Data'!N237="","",0),'Raw Data'!O237)</f>
        <v>87.4</v>
      </c>
      <c r="P237" t="str">
        <f>IF('Raw Data'!P237="","",'Raw Data'!P237)</f>
        <v>(sketch e-i)</v>
      </c>
      <c r="R237" s="3">
        <f t="shared" si="91"/>
        <v>125</v>
      </c>
      <c r="S237" s="3" t="str">
        <f t="shared" si="92"/>
        <v>-</v>
      </c>
      <c r="T237" s="3" t="str">
        <f t="shared" si="93"/>
        <v>-</v>
      </c>
      <c r="U237" s="3">
        <f t="shared" si="99"/>
        <v>8.75</v>
      </c>
      <c r="W237" s="4">
        <f t="shared" si="94"/>
        <v>23.226495495992374</v>
      </c>
      <c r="X237" s="4">
        <f t="shared" si="95"/>
        <v>3.5748995754630424</v>
      </c>
      <c r="Y237" s="3">
        <f t="shared" si="96"/>
        <v>125</v>
      </c>
      <c r="Z237" s="4">
        <f>IF('Raw Data'!O237="","",O236+N236)</f>
        <v>87.399999999999991</v>
      </c>
    </row>
    <row r="238" spans="1:26" x14ac:dyDescent="0.25">
      <c r="A238" t="str">
        <f>IF('Raw Data'!A238="","",'Raw Data'!A238)</f>
        <v>f</v>
      </c>
      <c r="B238" t="str">
        <f>IF('Raw Data'!B238="","",'Raw Data'!B238)</f>
        <v>g</v>
      </c>
      <c r="C238">
        <f>IF('Raw Data'!C238="","",'Raw Data'!C238)</f>
        <v>1.5</v>
      </c>
      <c r="D238">
        <f>IF('Raw Data'!D238="","",'Raw Data'!D238)</f>
        <v>0.5</v>
      </c>
      <c r="E238" t="str">
        <f>IF('Raw Data'!E238="","",'Raw Data'!E238)</f>
        <v>-</v>
      </c>
      <c r="F238">
        <f>IF('Raw Data'!F238="","",'Raw Data'!F238)</f>
        <v>1.5</v>
      </c>
      <c r="G238" s="7" t="str">
        <f>IF('Raw Data'!G238="/","-",IF('Raw Data'!G238="","-",SUBSTITUTE('Raw Data'!G238," ",":",1)))</f>
        <v>-</v>
      </c>
      <c r="H238" s="7" t="str">
        <f>IF('Raw Data'!H238="/","-",IF('Raw Data'!H238="","-",SUBSTITUTE('Raw Data'!H238," ",":",1)))</f>
        <v>342:00</v>
      </c>
      <c r="I238" s="7" t="str">
        <f>IF('Raw Data'!I238="/","-",IF('Raw Data'!I238="","-",SUBSTITUTE('Raw Data'!I238," ",":",1)))</f>
        <v>-</v>
      </c>
      <c r="J238" s="12">
        <f>IF('Raw Data'!J238="",IF(LEN(K238)&gt;6,SQRT('Raw Data'!M238^2+N238^2),""),'Raw Data'!J238)</f>
        <v>16.899999999999999</v>
      </c>
      <c r="K238" s="7" t="str">
        <f>IF('Raw Data'!K238="","",IF(LEN('Raw Data'!K238)&lt;7,SUBSTITUTE('Raw Data'!K238," ",":",1),'Raw Data'!K238))</f>
        <v>-5:00</v>
      </c>
      <c r="L238" t="str">
        <f>IF('Raw Data'!L238="","",'Raw Data'!L238)</f>
        <v/>
      </c>
      <c r="M238">
        <f>IF('Raw Data'!M238="","",'Raw Data'!M238)</f>
        <v>16.8</v>
      </c>
      <c r="N238">
        <f>IF('Raw Data'!N238="","",IF('Raw Data'!N238="-",0,'Raw Data'!N238))</f>
        <v>-1.5</v>
      </c>
      <c r="O238">
        <f>IF('Raw Data'!O238="",IF('Raw Data'!N238="","",0),'Raw Data'!O238)</f>
        <v>91</v>
      </c>
      <c r="P238" t="str">
        <f>IF('Raw Data'!P238="","",'Raw Data'!P238)</f>
        <v/>
      </c>
      <c r="R238" s="3" t="str">
        <f t="shared" si="91"/>
        <v>-</v>
      </c>
      <c r="S238" s="3">
        <f t="shared" si="92"/>
        <v>342</v>
      </c>
      <c r="T238" s="3" t="str">
        <f t="shared" si="93"/>
        <v>-</v>
      </c>
      <c r="U238" s="3">
        <f t="shared" si="99"/>
        <v>-5</v>
      </c>
      <c r="W238" s="4">
        <f t="shared" si="94"/>
        <v>16.835690397750497</v>
      </c>
      <c r="X238" s="4">
        <f t="shared" si="95"/>
        <v>-1.4729320524354228</v>
      </c>
      <c r="Y238" s="3">
        <f t="shared" si="96"/>
        <v>162</v>
      </c>
      <c r="Z238" s="4">
        <f>IF('Raw Data'!O238="","",O237+N237)</f>
        <v>91</v>
      </c>
    </row>
    <row r="239" spans="1:26" x14ac:dyDescent="0.25">
      <c r="A239" t="str">
        <f>IF('Raw Data'!A239="","",'Raw Data'!A239)</f>
        <v>g</v>
      </c>
      <c r="B239" t="str">
        <f>IF('Raw Data'!B239="","",'Raw Data'!B239)</f>
        <v>h</v>
      </c>
      <c r="C239">
        <f>IF('Raw Data'!C239="","",'Raw Data'!C239)</f>
        <v>1</v>
      </c>
      <c r="D239">
        <f>IF('Raw Data'!D239="","",'Raw Data'!D239)</f>
        <v>1</v>
      </c>
      <c r="E239">
        <f>IF('Raw Data'!E239="","",'Raw Data'!E239)</f>
        <v>2</v>
      </c>
      <c r="F239">
        <f>IF('Raw Data'!F239="","",'Raw Data'!F239)</f>
        <v>1</v>
      </c>
      <c r="G239" s="7" t="str">
        <f>IF('Raw Data'!G239="/","-",IF('Raw Data'!G239="","-",SUBSTITUTE('Raw Data'!G239," ",":",1)))</f>
        <v>-</v>
      </c>
      <c r="H239" s="7" t="str">
        <f>IF('Raw Data'!H239="/","-",IF('Raw Data'!H239="","-",SUBSTITUTE('Raw Data'!H239," ",":",1)))</f>
        <v>013:00</v>
      </c>
      <c r="I239" s="7" t="str">
        <f>IF('Raw Data'!I239="/","-",IF('Raw Data'!I239="","-",SUBSTITUTE('Raw Data'!I239," ",":",1)))</f>
        <v>-</v>
      </c>
      <c r="J239" s="12">
        <f>IF('Raw Data'!J239="",IF(LEN(K239)&gt;6,SQRT('Raw Data'!M239^2+N239^2),""),'Raw Data'!J239)</f>
        <v>7.6</v>
      </c>
      <c r="K239" s="7" t="str">
        <f>IF('Raw Data'!K239="","",IF(LEN('Raw Data'!K239)&lt;7,SUBSTITUTE('Raw Data'!K239," ",":",1),'Raw Data'!K239))</f>
        <v>+0.5 feet</v>
      </c>
      <c r="L239" t="str">
        <f>IF('Raw Data'!L239="","",'Raw Data'!L239)</f>
        <v/>
      </c>
      <c r="M239">
        <f>IF('Raw Data'!M239="","",'Raw Data'!M239)</f>
        <v>7.5</v>
      </c>
      <c r="N239">
        <f>IF('Raw Data'!N239="","",IF('Raw Data'!N239="-",0,'Raw Data'!N239))</f>
        <v>0.5</v>
      </c>
      <c r="O239">
        <f>IF('Raw Data'!O239="",IF('Raw Data'!N239="","",0),'Raw Data'!O239)</f>
        <v>89.5</v>
      </c>
      <c r="P239" t="str">
        <f>IF('Raw Data'!P239="","",'Raw Data'!P239)</f>
        <v/>
      </c>
      <c r="R239" s="3" t="str">
        <f t="shared" ref="R239:R280" si="100">IF(ISERROR(FIND(":",G239)),IF(G239&lt;&gt;"-",1*G239,G239),1*LEFT(G239,FIND(":",G239)-1)+RIGHT(G239,LEN(G239)-FIND(":",G239))/60)</f>
        <v>-</v>
      </c>
      <c r="S239" s="3">
        <f t="shared" ref="S239:S280" si="101">IF(ISERROR(FIND(":",H239)),IF(H239&lt;&gt;"-",1*H239,H239),1*LEFT(H239,FIND(":",H239)-1)+RIGHT(H239,LEN(H239)-FIND(":",H239))/60)</f>
        <v>13</v>
      </c>
      <c r="T239" s="3" t="str">
        <f t="shared" ref="T239:T280" si="102">IF(ISERROR(FIND(":",I239)),IF(I239&lt;&gt;"-",1*I239,I239),1*LEFT(I239,FIND(":",I239)-1)+RIGHT(I239,LEN(I239)-FIND(":",I239))/60)</f>
        <v>-</v>
      </c>
      <c r="U239" s="9">
        <f>ASIN(N239/J239)*180/PI()</f>
        <v>3.7721836850570951</v>
      </c>
      <c r="W239" s="4">
        <f t="shared" ref="W239:W280" si="103">J239*COS(U239*PI()/180)</f>
        <v>7.5835347958587223</v>
      </c>
      <c r="X239" s="4">
        <f t="shared" ref="X239:X280" si="104">J239*SIN(U239*PI()/180)</f>
        <v>0.49999999999999994</v>
      </c>
      <c r="Y239" s="3">
        <f t="shared" ref="Y239:Y280" si="105">IF(R239="-",IF(S239&gt;180,S239-180,S239+180),R239)</f>
        <v>193</v>
      </c>
      <c r="Z239" s="4">
        <f>IF('Raw Data'!O239="","",O238+N238)</f>
        <v>89.5</v>
      </c>
    </row>
    <row r="240" spans="1:26" x14ac:dyDescent="0.25">
      <c r="A240" t="str">
        <f>IF('Raw Data'!A240="","",'Raw Data'!A240)</f>
        <v>h</v>
      </c>
      <c r="B240" t="str">
        <f>IF('Raw Data'!B240="","",'Raw Data'!B240)</f>
        <v>i</v>
      </c>
      <c r="C240">
        <f>IF('Raw Data'!C240="","",'Raw Data'!C240)</f>
        <v>0.5</v>
      </c>
      <c r="D240">
        <f>IF('Raw Data'!D240="","",'Raw Data'!D240)</f>
        <v>0.5</v>
      </c>
      <c r="E240">
        <f>IF('Raw Data'!E240="","",'Raw Data'!E240)</f>
        <v>3</v>
      </c>
      <c r="F240">
        <f>IF('Raw Data'!F240="","",'Raw Data'!F240)</f>
        <v>1</v>
      </c>
      <c r="G240" s="7" t="str">
        <f>IF('Raw Data'!G240="/","-",IF('Raw Data'!G240="","-",SUBSTITUTE('Raw Data'!G240," ",":",1)))</f>
        <v>-</v>
      </c>
      <c r="H240" s="7" t="str">
        <f>IF('Raw Data'!H240="/","-",IF('Raw Data'!H240="","-",SUBSTITUTE('Raw Data'!H240," ",":",1)))</f>
        <v>002:00</v>
      </c>
      <c r="I240" s="7" t="str">
        <f>IF('Raw Data'!I240="/","-",IF('Raw Data'!I240="","-",SUBSTITUTE('Raw Data'!I240," ",":",1)))</f>
        <v>-</v>
      </c>
      <c r="J240" s="12">
        <f>IF('Raw Data'!J240="",IF(LEN(K240)&gt;6,SQRT('Raw Data'!M240^2+N240^2),""),'Raw Data'!J240)</f>
        <v>18.2</v>
      </c>
      <c r="K240" s="7" t="str">
        <f>IF('Raw Data'!K240="","",IF(LEN('Raw Data'!K240)&lt;7,SUBSTITUTE('Raw Data'!K240," ",":",1),'Raw Data'!K240))</f>
        <v>5:30</v>
      </c>
      <c r="L240" t="str">
        <f>IF('Raw Data'!L240="","",'Raw Data'!L240)</f>
        <v/>
      </c>
      <c r="M240">
        <f>IF('Raw Data'!M240="","",'Raw Data'!M240)</f>
        <v>18</v>
      </c>
      <c r="N240">
        <f>IF('Raw Data'!N240="","",IF('Raw Data'!N240="-",0,'Raw Data'!N240))</f>
        <v>1.7</v>
      </c>
      <c r="O240">
        <f>IF('Raw Data'!O240="",IF('Raw Data'!N240="","",0),'Raw Data'!O240)</f>
        <v>90</v>
      </c>
      <c r="P240" t="str">
        <f>IF('Raw Data'!P240="","",'Raw Data'!P240)</f>
        <v/>
      </c>
      <c r="R240" s="3" t="str">
        <f t="shared" si="100"/>
        <v>-</v>
      </c>
      <c r="S240" s="3">
        <f t="shared" si="101"/>
        <v>2</v>
      </c>
      <c r="T240" s="3" t="str">
        <f t="shared" si="102"/>
        <v>-</v>
      </c>
      <c r="U240" s="3">
        <f t="shared" ref="U240:U246" si="106">IF(ISERROR(FIND(":",K240)),IF(K240="zero",0,1*K240),1*CONCATENATE(LEFT(K240,FIND(":",K240)-1),".",MID(RIGHT(K240,LEN(K240)-FIND(":",K240))/60,3,8)))</f>
        <v>5.5</v>
      </c>
      <c r="W240" s="4">
        <f t="shared" si="103"/>
        <v>18.116210810282656</v>
      </c>
      <c r="X240" s="4">
        <f t="shared" si="104"/>
        <v>1.7443926958680764</v>
      </c>
      <c r="Y240" s="3">
        <f t="shared" si="105"/>
        <v>182</v>
      </c>
      <c r="Z240" s="4">
        <f>IF('Raw Data'!O240="","",O239+N239)</f>
        <v>90</v>
      </c>
    </row>
    <row r="241" spans="1:26" x14ac:dyDescent="0.25">
      <c r="A241" t="str">
        <f>IF('Raw Data'!A241="","",'Raw Data'!A241)</f>
        <v>i</v>
      </c>
      <c r="B241" t="str">
        <f>IF('Raw Data'!B241="","",'Raw Data'!B241)</f>
        <v>j</v>
      </c>
      <c r="C241">
        <f>IF('Raw Data'!C241="","",'Raw Data'!C241)</f>
        <v>2</v>
      </c>
      <c r="D241">
        <f>IF('Raw Data'!D241="","",'Raw Data'!D241)</f>
        <v>0.5</v>
      </c>
      <c r="E241">
        <f>IF('Raw Data'!E241="","",'Raw Data'!E241)</f>
        <v>1</v>
      </c>
      <c r="F241">
        <f>IF('Raw Data'!F241="","",'Raw Data'!F241)</f>
        <v>1.5</v>
      </c>
      <c r="G241" s="7" t="str">
        <f>IF('Raw Data'!G241="/","-",IF('Raw Data'!G241="","-",SUBSTITUTE('Raw Data'!G241," ",":",1)))</f>
        <v>-</v>
      </c>
      <c r="H241" s="7" t="str">
        <f>IF('Raw Data'!H241="/","-",IF('Raw Data'!H241="","-",SUBSTITUTE('Raw Data'!H241," ",":",1)))</f>
        <v>007:00</v>
      </c>
      <c r="I241" s="7" t="str">
        <f>IF('Raw Data'!I241="/","-",IF('Raw Data'!I241="","-",SUBSTITUTE('Raw Data'!I241," ",":",1)))</f>
        <v>-</v>
      </c>
      <c r="J241" s="12">
        <f>IF('Raw Data'!J241="",IF(LEN(K241)&gt;6,SQRT('Raw Data'!M241^2+N241^2),""),'Raw Data'!J241)</f>
        <v>7.8</v>
      </c>
      <c r="K241" s="7" t="str">
        <f>IF('Raw Data'!K241="","",IF(LEN('Raw Data'!K241)&lt;7,SUBSTITUTE('Raw Data'!K241," ",":",1),'Raw Data'!K241))</f>
        <v>-7:00</v>
      </c>
      <c r="L241" t="str">
        <f>IF('Raw Data'!L241="","",'Raw Data'!L241)</f>
        <v/>
      </c>
      <c r="M241">
        <f>IF('Raw Data'!M241="","",'Raw Data'!M241)</f>
        <v>7.7</v>
      </c>
      <c r="N241">
        <f>IF('Raw Data'!N241="","",IF('Raw Data'!N241="-",0,'Raw Data'!N241))</f>
        <v>-0.9</v>
      </c>
      <c r="O241">
        <f>IF('Raw Data'!O241="",IF('Raw Data'!N241="","",0),'Raw Data'!O241)</f>
        <v>91.7</v>
      </c>
      <c r="P241" t="str">
        <f>IF('Raw Data'!P241="","",'Raw Data'!P241)</f>
        <v>(sketch j-o)</v>
      </c>
      <c r="R241" s="3" t="str">
        <f t="shared" si="100"/>
        <v>-</v>
      </c>
      <c r="S241" s="3">
        <f t="shared" si="101"/>
        <v>7</v>
      </c>
      <c r="T241" s="3" t="str">
        <f t="shared" si="102"/>
        <v>-</v>
      </c>
      <c r="U241" s="3">
        <f t="shared" si="106"/>
        <v>-7</v>
      </c>
      <c r="W241" s="4">
        <f t="shared" si="103"/>
        <v>7.7418599828023114</v>
      </c>
      <c r="X241" s="4">
        <f t="shared" si="104"/>
        <v>-0.95058087856015028</v>
      </c>
      <c r="Y241" s="3">
        <f t="shared" si="105"/>
        <v>187</v>
      </c>
      <c r="Z241" s="4">
        <f>IF('Raw Data'!O241="","",O240+N240)</f>
        <v>91.7</v>
      </c>
    </row>
    <row r="242" spans="1:26" x14ac:dyDescent="0.25">
      <c r="A242" t="str">
        <f>IF('Raw Data'!A242="","",'Raw Data'!A242)</f>
        <v>j</v>
      </c>
      <c r="B242" t="str">
        <f>IF('Raw Data'!B242="","",'Raw Data'!B242)</f>
        <v>k</v>
      </c>
      <c r="C242">
        <f>IF('Raw Data'!C242="","",'Raw Data'!C242)</f>
        <v>2</v>
      </c>
      <c r="D242">
        <f>IF('Raw Data'!D242="","",'Raw Data'!D242)</f>
        <v>2</v>
      </c>
      <c r="E242">
        <f>IF('Raw Data'!E242="","",'Raw Data'!E242)</f>
        <v>3</v>
      </c>
      <c r="F242">
        <f>IF('Raw Data'!F242="","",'Raw Data'!F242)</f>
        <v>2</v>
      </c>
      <c r="G242" s="7" t="str">
        <f>IF('Raw Data'!G242="/","-",IF('Raw Data'!G242="","-",SUBSTITUTE('Raw Data'!G242," ",":",1)))</f>
        <v>194:00</v>
      </c>
      <c r="H242" s="7" t="str">
        <f>IF('Raw Data'!H242="/","-",IF('Raw Data'!H242="","-",SUBSTITUTE('Raw Data'!H242," ",":",1)))</f>
        <v>-</v>
      </c>
      <c r="I242" s="7" t="str">
        <f>IF('Raw Data'!I242="/","-",IF('Raw Data'!I242="","-",SUBSTITUTE('Raw Data'!I242," ",":",1)))</f>
        <v>-</v>
      </c>
      <c r="J242" s="12">
        <f>IF('Raw Data'!J242="",IF(LEN(K242)&gt;6,SQRT('Raw Data'!M242^2+N242^2),""),'Raw Data'!J242)</f>
        <v>28.9</v>
      </c>
      <c r="K242" s="7" t="str">
        <f>IF('Raw Data'!K242="","",IF(LEN('Raw Data'!K242)&lt;7,SUBSTITUTE('Raw Data'!K242," ",":",1),'Raw Data'!K242))</f>
        <v>-17:30</v>
      </c>
      <c r="L242" t="str">
        <f>IF('Raw Data'!L242="","",'Raw Data'!L242)</f>
        <v/>
      </c>
      <c r="M242">
        <f>IF('Raw Data'!M242="","",'Raw Data'!M242)</f>
        <v>27.5</v>
      </c>
      <c r="N242">
        <f>IF('Raw Data'!N242="","",IF('Raw Data'!N242="-",0,'Raw Data'!N242))</f>
        <v>-8.6999999999999993</v>
      </c>
      <c r="O242">
        <f>IF('Raw Data'!O242="",IF('Raw Data'!N242="","",0),'Raw Data'!O242)</f>
        <v>90.8</v>
      </c>
      <c r="P242" t="str">
        <f>IF('Raw Data'!P242="","",'Raw Data'!P242)</f>
        <v/>
      </c>
      <c r="R242" s="3">
        <f t="shared" si="100"/>
        <v>194</v>
      </c>
      <c r="S242" s="3" t="str">
        <f t="shared" si="101"/>
        <v>-</v>
      </c>
      <c r="T242" s="3" t="str">
        <f t="shared" si="102"/>
        <v>-</v>
      </c>
      <c r="U242" s="3">
        <f t="shared" si="106"/>
        <v>-17.5</v>
      </c>
      <c r="W242" s="4">
        <f t="shared" si="103"/>
        <v>27.562419876623757</v>
      </c>
      <c r="X242" s="4">
        <f t="shared" si="104"/>
        <v>-8.6903976056734926</v>
      </c>
      <c r="Y242" s="3">
        <f t="shared" si="105"/>
        <v>194</v>
      </c>
      <c r="Z242" s="4">
        <f>IF('Raw Data'!O242="","",O241+N241)</f>
        <v>90.8</v>
      </c>
    </row>
    <row r="243" spans="1:26" x14ac:dyDescent="0.25">
      <c r="A243" t="str">
        <f>IF('Raw Data'!A243="","",'Raw Data'!A243)</f>
        <v>k</v>
      </c>
      <c r="B243" t="str">
        <f>IF('Raw Data'!B243="","",'Raw Data'!B243)</f>
        <v>l</v>
      </c>
      <c r="C243">
        <f>IF('Raw Data'!C243="","",'Raw Data'!C243)</f>
        <v>3</v>
      </c>
      <c r="D243">
        <f>IF('Raw Data'!D243="","",'Raw Data'!D243)</f>
        <v>0.5</v>
      </c>
      <c r="E243">
        <f>IF('Raw Data'!E243="","",'Raw Data'!E243)</f>
        <v>3</v>
      </c>
      <c r="F243">
        <f>IF('Raw Data'!F243="","",'Raw Data'!F243)</f>
        <v>4</v>
      </c>
      <c r="G243" s="7" t="str">
        <f>IF('Raw Data'!G243="/","-",IF('Raw Data'!G243="","-",SUBSTITUTE('Raw Data'!G243," ",":",1)))</f>
        <v>-</v>
      </c>
      <c r="H243" s="7" t="str">
        <f>IF('Raw Data'!H243="/","-",IF('Raw Data'!H243="","-",SUBSTITUTE('Raw Data'!H243," ",":",1)))</f>
        <v>027:30</v>
      </c>
      <c r="I243" s="7" t="str">
        <f>IF('Raw Data'!I243="/","-",IF('Raw Data'!I243="","-",SUBSTITUTE('Raw Data'!I243," ",":",1)))</f>
        <v>-</v>
      </c>
      <c r="J243" s="12">
        <f>IF('Raw Data'!J243="",IF(LEN(K243)&gt;6,SQRT('Raw Data'!M243^2+N243^2),""),'Raw Data'!J243)</f>
        <v>22.3</v>
      </c>
      <c r="K243" s="7" t="str">
        <f>IF('Raw Data'!K243="","",IF(LEN('Raw Data'!K243)&lt;7,SUBSTITUTE('Raw Data'!K243," ",":",1),'Raw Data'!K243))</f>
        <v>4:00</v>
      </c>
      <c r="L243" t="str">
        <f>IF('Raw Data'!L243="","",'Raw Data'!L243)</f>
        <v/>
      </c>
      <c r="M243">
        <f>IF('Raw Data'!M243="","",'Raw Data'!M243)</f>
        <v>22.1</v>
      </c>
      <c r="N243">
        <f>IF('Raw Data'!N243="","",IF('Raw Data'!N243="-",0,'Raw Data'!N243))</f>
        <v>1.6</v>
      </c>
      <c r="O243">
        <f>IF('Raw Data'!O243="",IF('Raw Data'!N243="","",0),'Raw Data'!O243)</f>
        <v>82.1</v>
      </c>
      <c r="P243" t="str">
        <f>IF('Raw Data'!P243="","",'Raw Data'!P243)</f>
        <v/>
      </c>
      <c r="R243" s="3" t="str">
        <f t="shared" si="100"/>
        <v>-</v>
      </c>
      <c r="S243" s="3">
        <f t="shared" si="101"/>
        <v>27.5</v>
      </c>
      <c r="T243" s="3" t="str">
        <f t="shared" si="102"/>
        <v>-</v>
      </c>
      <c r="U243" s="3">
        <f t="shared" si="106"/>
        <v>4</v>
      </c>
      <c r="W243" s="4">
        <f t="shared" si="103"/>
        <v>22.245678320794081</v>
      </c>
      <c r="X243" s="4">
        <f t="shared" si="104"/>
        <v>1.5555693644939943</v>
      </c>
      <c r="Y243" s="3">
        <f t="shared" si="105"/>
        <v>207.5</v>
      </c>
      <c r="Z243" s="4">
        <f>IF('Raw Data'!O243="","",O242+N242)</f>
        <v>82.1</v>
      </c>
    </row>
    <row r="244" spans="1:26" x14ac:dyDescent="0.25">
      <c r="A244" t="str">
        <f>IF('Raw Data'!A244="","",'Raw Data'!A244)</f>
        <v>l</v>
      </c>
      <c r="B244" t="str">
        <f>IF('Raw Data'!B244="","",'Raw Data'!B244)</f>
        <v>m</v>
      </c>
      <c r="C244">
        <f>IF('Raw Data'!C244="","",'Raw Data'!C244)</f>
        <v>4</v>
      </c>
      <c r="D244">
        <f>IF('Raw Data'!D244="","",'Raw Data'!D244)</f>
        <v>3</v>
      </c>
      <c r="E244">
        <f>IF('Raw Data'!E244="","",'Raw Data'!E244)</f>
        <v>5</v>
      </c>
      <c r="F244">
        <f>IF('Raw Data'!F244="","",'Raw Data'!F244)</f>
        <v>3</v>
      </c>
      <c r="G244" s="7" t="str">
        <f>IF('Raw Data'!G244="/","-",IF('Raw Data'!G244="","-",SUBSTITUTE('Raw Data'!G244," ",":",1)))</f>
        <v>187:00</v>
      </c>
      <c r="H244" s="7" t="str">
        <f>IF('Raw Data'!H244="/","-",IF('Raw Data'!H244="","-",SUBSTITUTE('Raw Data'!H244," ",":",1)))</f>
        <v>-</v>
      </c>
      <c r="I244" s="7" t="str">
        <f>IF('Raw Data'!I244="/","-",IF('Raw Data'!I244="","-",SUBSTITUTE('Raw Data'!I244," ",":",1)))</f>
        <v>-</v>
      </c>
      <c r="J244" s="12">
        <f>IF('Raw Data'!J244="",IF(LEN(K244)&gt;6,SQRT('Raw Data'!M244^2+N244^2),""),'Raw Data'!J244)</f>
        <v>22.9</v>
      </c>
      <c r="K244" s="7" t="str">
        <f>IF('Raw Data'!K244="","",IF(LEN('Raw Data'!K244)&lt;7,SUBSTITUTE('Raw Data'!K244," ",":",1),'Raw Data'!K244))</f>
        <v>0:40</v>
      </c>
      <c r="L244" t="str">
        <f>IF('Raw Data'!L244="","",'Raw Data'!L244)</f>
        <v/>
      </c>
      <c r="M244">
        <f>IF('Raw Data'!M244="","",'Raw Data'!M244)</f>
        <v>22.9</v>
      </c>
      <c r="N244">
        <f>IF('Raw Data'!N244="","",IF('Raw Data'!N244="-",0,'Raw Data'!N244))</f>
        <v>0.3</v>
      </c>
      <c r="O244">
        <f>IF('Raw Data'!O244="",IF('Raw Data'!N244="","",0),'Raw Data'!O244)</f>
        <v>83.7</v>
      </c>
      <c r="P244" t="str">
        <f>IF('Raw Data'!P244="","",'Raw Data'!P244)</f>
        <v/>
      </c>
      <c r="R244" s="3">
        <f t="shared" si="100"/>
        <v>187</v>
      </c>
      <c r="S244" s="3" t="str">
        <f t="shared" si="101"/>
        <v>-</v>
      </c>
      <c r="T244" s="3" t="str">
        <f t="shared" si="102"/>
        <v>-</v>
      </c>
      <c r="U244" s="3">
        <f t="shared" si="106"/>
        <v>0.66666665999999997</v>
      </c>
      <c r="W244" s="4">
        <f t="shared" si="103"/>
        <v>22.898449853317157</v>
      </c>
      <c r="X244" s="4">
        <f t="shared" si="104"/>
        <v>0.26644758418763598</v>
      </c>
      <c r="Y244" s="3">
        <f t="shared" si="105"/>
        <v>187</v>
      </c>
      <c r="Z244" s="4">
        <f>IF('Raw Data'!O244="","",O243+N243)</f>
        <v>83.699999999999989</v>
      </c>
    </row>
    <row r="245" spans="1:26" x14ac:dyDescent="0.25">
      <c r="A245" t="str">
        <f>IF('Raw Data'!A245="","",'Raw Data'!A245)</f>
        <v>m</v>
      </c>
      <c r="B245" t="str">
        <f>IF('Raw Data'!B245="","",'Raw Data'!B245)</f>
        <v>n</v>
      </c>
      <c r="C245">
        <f>IF('Raw Data'!C245="","",'Raw Data'!C245)</f>
        <v>2</v>
      </c>
      <c r="D245">
        <f>IF('Raw Data'!D245="","",'Raw Data'!D245)</f>
        <v>1.5</v>
      </c>
      <c r="E245" t="str">
        <f>IF('Raw Data'!E245="","",'Raw Data'!E245)</f>
        <v>-</v>
      </c>
      <c r="F245">
        <f>IF('Raw Data'!F245="","",'Raw Data'!F245)</f>
        <v>2</v>
      </c>
      <c r="G245" s="7" t="str">
        <f>IF('Raw Data'!G245="/","-",IF('Raw Data'!G245="","-",SUBSTITUTE('Raw Data'!G245," ",":",1)))</f>
        <v>-</v>
      </c>
      <c r="H245" s="7" t="str">
        <f>IF('Raw Data'!H245="/","-",IF('Raw Data'!H245="","-",SUBSTITUTE('Raw Data'!H245," ",":",1)))</f>
        <v>044:00</v>
      </c>
      <c r="I245" s="7" t="str">
        <f>IF('Raw Data'!I245="/","-",IF('Raw Data'!I245="","-",SUBSTITUTE('Raw Data'!I245," ",":",1)))</f>
        <v>-</v>
      </c>
      <c r="J245" s="12">
        <f>IF('Raw Data'!J245="",IF(LEN(K245)&gt;6,SQRT('Raw Data'!M245^2+N245^2),""),'Raw Data'!J245)</f>
        <v>18.8</v>
      </c>
      <c r="K245" s="7" t="str">
        <f>IF('Raw Data'!K245="","",IF(LEN('Raw Data'!K245)&lt;7,SUBSTITUTE('Raw Data'!K245," ",":",1),'Raw Data'!K245))</f>
        <v>-5:30</v>
      </c>
      <c r="L245" t="str">
        <f>IF('Raw Data'!L245="","",'Raw Data'!L245)</f>
        <v/>
      </c>
      <c r="M245">
        <f>IF('Raw Data'!M245="","",'Raw Data'!M245)</f>
        <v>18.600000000000001</v>
      </c>
      <c r="N245">
        <f>IF('Raw Data'!N245="","",IF('Raw Data'!N245="-",0,'Raw Data'!N245))</f>
        <v>-1.8</v>
      </c>
      <c r="O245">
        <f>IF('Raw Data'!O245="",IF('Raw Data'!N245="","",0),'Raw Data'!O245)</f>
        <v>84</v>
      </c>
      <c r="P245" t="str">
        <f>IF('Raw Data'!P245="","",'Raw Data'!P245)</f>
        <v/>
      </c>
      <c r="R245" s="3" t="str">
        <f t="shared" si="100"/>
        <v>-</v>
      </c>
      <c r="S245" s="3">
        <f t="shared" si="101"/>
        <v>44</v>
      </c>
      <c r="T245" s="3" t="str">
        <f t="shared" si="102"/>
        <v>-</v>
      </c>
      <c r="U245" s="3">
        <f t="shared" si="106"/>
        <v>-5.5</v>
      </c>
      <c r="W245" s="4">
        <f t="shared" si="103"/>
        <v>18.713448529302962</v>
      </c>
      <c r="X245" s="4">
        <f t="shared" si="104"/>
        <v>-1.801900147380211</v>
      </c>
      <c r="Y245" s="3">
        <f t="shared" si="105"/>
        <v>224</v>
      </c>
      <c r="Z245" s="4">
        <f>IF('Raw Data'!O245="","",O244+N244)</f>
        <v>84</v>
      </c>
    </row>
    <row r="246" spans="1:26" x14ac:dyDescent="0.25">
      <c r="A246" t="str">
        <f>IF('Raw Data'!A246="","",'Raw Data'!A246)</f>
        <v>n</v>
      </c>
      <c r="B246" t="str">
        <f>IF('Raw Data'!B246="","",'Raw Data'!B246)</f>
        <v>o</v>
      </c>
      <c r="C246">
        <f>IF('Raw Data'!C246="","",'Raw Data'!C246)</f>
        <v>4</v>
      </c>
      <c r="D246">
        <f>IF('Raw Data'!D246="","",'Raw Data'!D246)</f>
        <v>6</v>
      </c>
      <c r="E246">
        <f>IF('Raw Data'!E246="","",'Raw Data'!E246)</f>
        <v>3</v>
      </c>
      <c r="F246">
        <f>IF('Raw Data'!F246="","",'Raw Data'!F246)</f>
        <v>3</v>
      </c>
      <c r="G246" s="7" t="str">
        <f>IF('Raw Data'!G246="/","-",IF('Raw Data'!G246="","-",SUBSTITUTE('Raw Data'!G246," ",":",1)))</f>
        <v>251:00</v>
      </c>
      <c r="H246" s="7" t="str">
        <f>IF('Raw Data'!H246="/","-",IF('Raw Data'!H246="","-",SUBSTITUTE('Raw Data'!H246," ",":",1)))</f>
        <v>-</v>
      </c>
      <c r="I246" s="7" t="str">
        <f>IF('Raw Data'!I246="/","-",IF('Raw Data'!I246="","-",SUBSTITUTE('Raw Data'!I246," ",":",1)))</f>
        <v>-</v>
      </c>
      <c r="J246" s="12">
        <f>IF('Raw Data'!J246="",IF(LEN(K246)&gt;6,SQRT('Raw Data'!M246^2+N246^2),""),'Raw Data'!J246)</f>
        <v>47.1</v>
      </c>
      <c r="K246" s="7" t="str">
        <f>IF('Raw Data'!K246="","",IF(LEN('Raw Data'!K246)&lt;7,SUBSTITUTE('Raw Data'!K246," ",":",1),'Raw Data'!K246))</f>
        <v>-11:30</v>
      </c>
      <c r="L246" t="str">
        <f>IF('Raw Data'!L246="","",'Raw Data'!L246)</f>
        <v/>
      </c>
      <c r="M246">
        <f>IF('Raw Data'!M246="","",'Raw Data'!M246)</f>
        <v>46.2</v>
      </c>
      <c r="N246">
        <f>IF('Raw Data'!N246="","",IF('Raw Data'!N246="-",0,'Raw Data'!N246))</f>
        <v>-9.4</v>
      </c>
      <c r="O246">
        <f>IF('Raw Data'!O246="",IF('Raw Data'!N246="","",0),'Raw Data'!O246)</f>
        <v>82.2</v>
      </c>
      <c r="P246" t="str">
        <f>IF('Raw Data'!P246="","",'Raw Data'!P246)</f>
        <v>On Olivers boulder</v>
      </c>
      <c r="R246" s="3">
        <f t="shared" si="100"/>
        <v>251</v>
      </c>
      <c r="S246" s="3" t="str">
        <f t="shared" si="101"/>
        <v>-</v>
      </c>
      <c r="T246" s="3" t="str">
        <f t="shared" si="102"/>
        <v>-</v>
      </c>
      <c r="U246" s="3">
        <f t="shared" si="106"/>
        <v>-11.5</v>
      </c>
      <c r="W246" s="4">
        <f t="shared" si="103"/>
        <v>46.154453587641072</v>
      </c>
      <c r="X246" s="4">
        <f t="shared" si="104"/>
        <v>-9.3902297110499866</v>
      </c>
      <c r="Y246" s="3">
        <f t="shared" si="105"/>
        <v>251</v>
      </c>
      <c r="Z246" s="4">
        <f>IF('Raw Data'!O246="","",O245+N245)</f>
        <v>82.2</v>
      </c>
    </row>
    <row r="247" spans="1:26" x14ac:dyDescent="0.25">
      <c r="A247" t="str">
        <f>IF('Raw Data'!A247="","",'Raw Data'!A247)</f>
        <v>o</v>
      </c>
      <c r="B247" t="str">
        <f>IF('Raw Data'!B247="","",'Raw Data'!B247)</f>
        <v/>
      </c>
      <c r="C247" t="str">
        <f>IF('Raw Data'!C247="","",'Raw Data'!C247)</f>
        <v/>
      </c>
      <c r="D247" t="str">
        <f>IF('Raw Data'!D247="","",'Raw Data'!D247)</f>
        <v/>
      </c>
      <c r="E247" t="str">
        <f>IF('Raw Data'!E247="","",'Raw Data'!E247)</f>
        <v/>
      </c>
      <c r="F247" t="str">
        <f>IF('Raw Data'!F247="","",'Raw Data'!F247)</f>
        <v/>
      </c>
      <c r="G247" s="7" t="str">
        <f>IF('Raw Data'!G247="/","-",IF('Raw Data'!G247="","-",SUBSTITUTE('Raw Data'!G247," ",":",1)))</f>
        <v>-</v>
      </c>
      <c r="H247" s="7" t="str">
        <f>IF('Raw Data'!H247="/","-",IF('Raw Data'!H247="","-",SUBSTITUTE('Raw Data'!H247," ",":",1)))</f>
        <v>-</v>
      </c>
      <c r="I247" s="7" t="str">
        <f>IF('Raw Data'!I247="/","-",IF('Raw Data'!I247="","-",SUBSTITUTE('Raw Data'!I247," ",":",1)))</f>
        <v>-</v>
      </c>
      <c r="J247" s="12" t="str">
        <f>IF('Raw Data'!J247="",IF(LEN(K247)&gt;6,SQRT('Raw Data'!M247^2+N247^2),""),'Raw Data'!J247)</f>
        <v/>
      </c>
      <c r="K247" s="7" t="str">
        <f>IF('Raw Data'!K247="","",IF(LEN('Raw Data'!K247)&lt;7,SUBSTITUTE('Raw Data'!K247," ",":",1),'Raw Data'!K247))</f>
        <v/>
      </c>
      <c r="L247" t="str">
        <f>IF('Raw Data'!L247="","",'Raw Data'!L247)</f>
        <v/>
      </c>
      <c r="M247" t="str">
        <f>IF('Raw Data'!M247="","",'Raw Data'!M247)</f>
        <v/>
      </c>
      <c r="N247" t="str">
        <f>IF('Raw Data'!N247="","",IF('Raw Data'!N247="-",0,'Raw Data'!N247))</f>
        <v/>
      </c>
      <c r="O247">
        <f>IF('Raw Data'!O247="",IF('Raw Data'!N247="","",0),'Raw Data'!O247)</f>
        <v>72.8</v>
      </c>
      <c r="P247" t="str">
        <f>IF('Raw Data'!P247="","",'Raw Data'!P247)</f>
        <v/>
      </c>
      <c r="W247" s="4"/>
      <c r="X247" s="4"/>
      <c r="Y247" s="3"/>
      <c r="Z247" s="4">
        <f>IF('Raw Data'!O247="","",O246+N246)</f>
        <v>72.8</v>
      </c>
    </row>
    <row r="248" spans="1:26" x14ac:dyDescent="0.25">
      <c r="A248" t="str">
        <f>IF('Raw Data'!A248="","",'Raw Data'!A248)</f>
        <v>14th March 1953</v>
      </c>
      <c r="B248" t="str">
        <f>IF('Raw Data'!B248="","",'Raw Data'!B248)</f>
        <v>Howard</v>
      </c>
      <c r="C248" t="str">
        <f>IF('Raw Data'!C248="","",'Raw Data'!C248)</f>
        <v>Damascus</v>
      </c>
      <c r="D248" t="str">
        <f>IF('Raw Data'!D248="","",'Raw Data'!D248)</f>
        <v/>
      </c>
      <c r="E248" t="str">
        <f>IF('Raw Data'!E248="","",'Raw Data'!E248)</f>
        <v/>
      </c>
      <c r="F248" t="str">
        <f>IF('Raw Data'!F248="","",'Raw Data'!F248)</f>
        <v/>
      </c>
      <c r="G248" s="7" t="str">
        <f>IF('Raw Data'!G248="/","-",IF('Raw Data'!G248="","-",SUBSTITUTE('Raw Data'!G248," ",":",1)))</f>
        <v>-</v>
      </c>
      <c r="H248" s="7" t="str">
        <f>IF('Raw Data'!H248="/","-",IF('Raw Data'!H248="","-",SUBSTITUTE('Raw Data'!H248," ",":",1)))</f>
        <v>-</v>
      </c>
      <c r="I248" s="7" t="str">
        <f>IF('Raw Data'!I248="/","-",IF('Raw Data'!I248="","-",SUBSTITUTE('Raw Data'!I248," ",":",1)))</f>
        <v>-</v>
      </c>
      <c r="J248" s="12" t="str">
        <f>IF('Raw Data'!J248="",IF(LEN(K248)&gt;6,SQRT('Raw Data'!M248^2+N248^2),""),'Raw Data'!J248)</f>
        <v/>
      </c>
      <c r="K248" s="7" t="str">
        <f>IF('Raw Data'!K248="","",IF(LEN('Raw Data'!K248)&lt;7,SUBSTITUTE('Raw Data'!K248," ",":",1),'Raw Data'!K248))</f>
        <v/>
      </c>
      <c r="L248" t="str">
        <f>IF('Raw Data'!L248="","",'Raw Data'!L248)</f>
        <v/>
      </c>
      <c r="M248" t="str">
        <f>IF('Raw Data'!M248="","",'Raw Data'!M248)</f>
        <v/>
      </c>
      <c r="N248" t="str">
        <f>IF('Raw Data'!N248="","",IF('Raw Data'!N248="-",0,'Raw Data'!N248))</f>
        <v/>
      </c>
      <c r="O248" t="str">
        <f>IF('Raw Data'!O248="",IF('Raw Data'!N248="","",0),'Raw Data'!O248)</f>
        <v/>
      </c>
      <c r="P248" t="str">
        <f>IF('Raw Data'!P248="","",'Raw Data'!P248)</f>
        <v/>
      </c>
      <c r="W248" s="4"/>
      <c r="X248" s="4"/>
      <c r="Y248" s="3"/>
      <c r="Z248" s="4" t="str">
        <f>IF('Raw Data'!O248="","",O247+N247)</f>
        <v/>
      </c>
    </row>
    <row r="249" spans="1:26" x14ac:dyDescent="0.25">
      <c r="A249" t="str">
        <f>IF('Raw Data'!A249="","",'Raw Data'!A249)</f>
        <v>o</v>
      </c>
      <c r="B249" t="str">
        <f>IF('Raw Data'!B249="","",'Raw Data'!B249)</f>
        <v>p</v>
      </c>
      <c r="C249">
        <f>IF('Raw Data'!C249="","",'Raw Data'!C249)</f>
        <v>3</v>
      </c>
      <c r="D249">
        <f>IF('Raw Data'!D249="","",'Raw Data'!D249)</f>
        <v>5</v>
      </c>
      <c r="E249">
        <f>IF('Raw Data'!E249="","",'Raw Data'!E249)</f>
        <v>4</v>
      </c>
      <c r="F249">
        <f>IF('Raw Data'!F249="","",'Raw Data'!F249)</f>
        <v>11</v>
      </c>
      <c r="G249" s="7" t="str">
        <f>IF('Raw Data'!G249="/","-",IF('Raw Data'!G249="","-",SUBSTITUTE('Raw Data'!G249," ",":",1)))</f>
        <v>-</v>
      </c>
      <c r="H249" s="7" t="str">
        <f>IF('Raw Data'!H249="/","-",IF('Raw Data'!H249="","-",SUBSTITUTE('Raw Data'!H249," ",":",1)))</f>
        <v>102:00</v>
      </c>
      <c r="I249" s="7" t="str">
        <f>IF('Raw Data'!I249="/","-",IF('Raw Data'!I249="","-",SUBSTITUTE('Raw Data'!I249," ",":",1)))</f>
        <v>-</v>
      </c>
      <c r="J249" s="12">
        <f>IF('Raw Data'!J249="",IF(LEN(K249)&gt;6,SQRT('Raw Data'!M249^2+N249^2),""),'Raw Data'!J249)</f>
        <v>24</v>
      </c>
      <c r="K249" s="7" t="str">
        <f>IF('Raw Data'!K249="","",IF(LEN('Raw Data'!K249)&lt;7,SUBSTITUTE('Raw Data'!K249," ",":",1),'Raw Data'!K249))</f>
        <v>-9:15</v>
      </c>
      <c r="L249" t="str">
        <f>IF('Raw Data'!L249="","",'Raw Data'!L249)</f>
        <v/>
      </c>
      <c r="M249">
        <f>IF('Raw Data'!M249="","",'Raw Data'!M249)</f>
        <v>23.8</v>
      </c>
      <c r="N249">
        <f>IF('Raw Data'!N249="","",IF('Raw Data'!N249="-",0,'Raw Data'!N249))</f>
        <v>-3.9</v>
      </c>
      <c r="O249">
        <f>IF('Raw Data'!O249="",IF('Raw Data'!N249="","",0),'Raw Data'!O249)</f>
        <v>72.8</v>
      </c>
      <c r="P249" t="str">
        <f>IF('Raw Data'!P249="","",'Raw Data'!P249)</f>
        <v>(sketch o-t)</v>
      </c>
      <c r="R249" s="3" t="str">
        <f t="shared" si="100"/>
        <v>-</v>
      </c>
      <c r="S249" s="3">
        <f t="shared" si="101"/>
        <v>102</v>
      </c>
      <c r="T249" s="3" t="str">
        <f t="shared" si="102"/>
        <v>-</v>
      </c>
      <c r="U249" s="3">
        <f t="shared" ref="U249:U250" si="107">IF(ISERROR(FIND(":",K249)),IF(K249="zero",0,1*K249),1*CONCATENATE(LEFT(K249,FIND(":",K249)-1),".",MID(RIGHT(K249,LEN(K249)-FIND(":",K249))/60,3,8)))</f>
        <v>-9.25</v>
      </c>
      <c r="W249" s="4">
        <f t="shared" si="103"/>
        <v>23.687912797445566</v>
      </c>
      <c r="X249" s="4">
        <f t="shared" si="104"/>
        <v>-3.8578215744918265</v>
      </c>
      <c r="Y249" s="3">
        <f t="shared" si="105"/>
        <v>282</v>
      </c>
      <c r="Z249" s="4">
        <f>IF('Raw Data'!O249="","",O246+N246)</f>
        <v>72.8</v>
      </c>
    </row>
    <row r="250" spans="1:26" x14ac:dyDescent="0.25">
      <c r="A250" t="str">
        <f>IF('Raw Data'!A250="","",'Raw Data'!A250)</f>
        <v>p</v>
      </c>
      <c r="B250" t="str">
        <f>IF('Raw Data'!B250="","",'Raw Data'!B250)</f>
        <v>q</v>
      </c>
      <c r="C250">
        <f>IF('Raw Data'!C250="","",'Raw Data'!C250)</f>
        <v>15</v>
      </c>
      <c r="D250">
        <f>IF('Raw Data'!D250="","",'Raw Data'!D250)</f>
        <v>2</v>
      </c>
      <c r="E250" t="str">
        <f>IF('Raw Data'!E250="","",'Raw Data'!E250)</f>
        <v>15 (25 in passage)</v>
      </c>
      <c r="F250">
        <f>IF('Raw Data'!F250="","",'Raw Data'!F250)</f>
        <v>7</v>
      </c>
      <c r="G250" s="7" t="str">
        <f>IF('Raw Data'!G250="/","-",IF('Raw Data'!G250="","-",SUBSTITUTE('Raw Data'!G250," ",":",1)))</f>
        <v>250:00</v>
      </c>
      <c r="H250" s="7" t="str">
        <f>IF('Raw Data'!H250="/","-",IF('Raw Data'!H250="","-",SUBSTITUTE('Raw Data'!H250," ",":",1)))</f>
        <v>-</v>
      </c>
      <c r="I250" s="7" t="str">
        <f>IF('Raw Data'!I250="/","-",IF('Raw Data'!I250="","-",SUBSTITUTE('Raw Data'!I250," ",":",1)))</f>
        <v>-</v>
      </c>
      <c r="J250" s="12">
        <f>IF('Raw Data'!J250="",IF(LEN(K250)&gt;6,SQRT('Raw Data'!M250^2+N250^2),""),'Raw Data'!J250)</f>
        <v>34.4</v>
      </c>
      <c r="K250" s="7" t="str">
        <f>IF('Raw Data'!K250="","",IF(LEN('Raw Data'!K250)&lt;7,SUBSTITUTE('Raw Data'!K250," ",":",1),'Raw Data'!K250))</f>
        <v>-14:30</v>
      </c>
      <c r="L250" t="str">
        <f>IF('Raw Data'!L250="","",'Raw Data'!L250)</f>
        <v/>
      </c>
      <c r="M250">
        <f>IF('Raw Data'!M250="","",'Raw Data'!M250)</f>
        <v>33.200000000000003</v>
      </c>
      <c r="N250">
        <f>IF('Raw Data'!N250="","",IF('Raw Data'!N250="-",0,'Raw Data'!N250))</f>
        <v>-8.6</v>
      </c>
      <c r="O250">
        <f>IF('Raw Data'!O250="",IF('Raw Data'!N250="","",0),'Raw Data'!O250)</f>
        <v>68.900000000000006</v>
      </c>
      <c r="P250" t="str">
        <f>IF('Raw Data'!P250="","",'Raw Data'!P250)</f>
        <v/>
      </c>
      <c r="R250" s="3">
        <f t="shared" si="100"/>
        <v>250</v>
      </c>
      <c r="S250" s="3" t="str">
        <f t="shared" si="101"/>
        <v>-</v>
      </c>
      <c r="T250" s="3" t="str">
        <f t="shared" si="102"/>
        <v>-</v>
      </c>
      <c r="U250" s="3">
        <f t="shared" si="107"/>
        <v>-14.5</v>
      </c>
      <c r="W250" s="4">
        <f t="shared" si="103"/>
        <v>33.304278829006904</v>
      </c>
      <c r="X250" s="4">
        <f t="shared" si="104"/>
        <v>-8.613072139472786</v>
      </c>
      <c r="Y250" s="3">
        <f t="shared" si="105"/>
        <v>250</v>
      </c>
      <c r="Z250" s="4">
        <f>IF('Raw Data'!O250="","",O249+N249)</f>
        <v>68.899999999999991</v>
      </c>
    </row>
    <row r="251" spans="1:26" x14ac:dyDescent="0.25">
      <c r="A251" t="str">
        <f>IF('Raw Data'!A251="","",'Raw Data'!A251)</f>
        <v>q</v>
      </c>
      <c r="B251" t="str">
        <f>IF('Raw Data'!B251="","",'Raw Data'!B251)</f>
        <v>r</v>
      </c>
      <c r="C251">
        <f>IF('Raw Data'!C251="","",'Raw Data'!C251)</f>
        <v>4</v>
      </c>
      <c r="D251">
        <f>IF('Raw Data'!D251="","",'Raw Data'!D251)</f>
        <v>1</v>
      </c>
      <c r="E251">
        <f>IF('Raw Data'!E251="","",'Raw Data'!E251)</f>
        <v>3</v>
      </c>
      <c r="F251" t="str">
        <f>IF('Raw Data'!F251="","",'Raw Data'!F251)</f>
        <v>/</v>
      </c>
      <c r="G251" s="7" t="str">
        <f>IF('Raw Data'!G251="/","-",IF('Raw Data'!G251="","-",SUBSTITUTE('Raw Data'!G251," ",":",1)))</f>
        <v>320:00</v>
      </c>
      <c r="H251" s="7" t="str">
        <f>IF('Raw Data'!H251="/","-",IF('Raw Data'!H251="","-",SUBSTITUTE('Raw Data'!H251," ",":",1)))</f>
        <v>-</v>
      </c>
      <c r="I251" s="7" t="str">
        <f>IF('Raw Data'!I251="/","-",IF('Raw Data'!I251="","-",SUBSTITUTE('Raw Data'!I251," ",":",1)))</f>
        <v>-</v>
      </c>
      <c r="J251" s="16">
        <f>IF(LEN(K251)&gt;6,SQRT('Raw Data'!M251^2+N251^2),'Raw Data'!J251)</f>
        <v>22.770595073471402</v>
      </c>
      <c r="K251" s="7" t="str">
        <f>IF('Raw Data'!K251="","",IF(LEN('Raw Data'!K251)&lt;7,SUBSTITUTE('Raw Data'!K251," ",":",1),'Raw Data'!K251))</f>
        <v>-3.5 feet</v>
      </c>
      <c r="L251" t="str">
        <f>IF('Raw Data'!L251="","",'Raw Data'!L251)</f>
        <v/>
      </c>
      <c r="M251">
        <f>IF('Raw Data'!M251="","",'Raw Data'!M251)</f>
        <v>22.5</v>
      </c>
      <c r="N251">
        <f>IF('Raw Data'!N251="","",IF('Raw Data'!N251="-",0,'Raw Data'!N251))</f>
        <v>-3.5</v>
      </c>
      <c r="O251">
        <f>IF('Raw Data'!O251="",IF('Raw Data'!N251="","",0),'Raw Data'!O251)</f>
        <v>60.3</v>
      </c>
      <c r="P251" t="str">
        <f>IF('Raw Data'!P251="","",'Raw Data'!P251)</f>
        <v>Sump 15' on at 280deg true WL 5 WR 4</v>
      </c>
      <c r="R251" s="3">
        <f t="shared" si="100"/>
        <v>320</v>
      </c>
      <c r="S251" s="3" t="str">
        <f t="shared" si="101"/>
        <v>-</v>
      </c>
      <c r="T251" s="3" t="str">
        <f t="shared" si="102"/>
        <v>-</v>
      </c>
      <c r="U251" s="9">
        <f>ASIN(N251/J251)*180/PI()</f>
        <v>-8.841814560191672</v>
      </c>
      <c r="W251" s="4">
        <f t="shared" si="103"/>
        <v>22.5</v>
      </c>
      <c r="X251" s="4">
        <f t="shared" si="104"/>
        <v>-3.5</v>
      </c>
      <c r="Y251" s="3">
        <f t="shared" si="105"/>
        <v>320</v>
      </c>
      <c r="Z251" s="4">
        <f>IF('Raw Data'!O251="","",O250+N250)</f>
        <v>60.300000000000004</v>
      </c>
    </row>
    <row r="252" spans="1:26" x14ac:dyDescent="0.25">
      <c r="A252" t="str">
        <f>IF('Raw Data'!A252="","",'Raw Data'!A252)</f>
        <v>q</v>
      </c>
      <c r="B252" t="str">
        <f>IF('Raw Data'!B252="","",'Raw Data'!B252)</f>
        <v>s</v>
      </c>
      <c r="C252" t="str">
        <f>IF('Raw Data'!C252="","",'Raw Data'!C252)</f>
        <v>/</v>
      </c>
      <c r="D252" t="str">
        <f>IF('Raw Data'!D252="","",'Raw Data'!D252)</f>
        <v>/</v>
      </c>
      <c r="E252" t="str">
        <f>IF('Raw Data'!E252="","",'Raw Data'!E252)</f>
        <v>/</v>
      </c>
      <c r="F252" t="str">
        <f>IF('Raw Data'!F252="","",'Raw Data'!F252)</f>
        <v>/</v>
      </c>
      <c r="G252" s="7" t="str">
        <f>IF('Raw Data'!G252="/","-",IF('Raw Data'!G252="","-",SUBSTITUTE('Raw Data'!G252," ",":",1)))</f>
        <v>-</v>
      </c>
      <c r="H252" s="7" t="str">
        <f>IF('Raw Data'!H252="/","-",IF('Raw Data'!H252="","-",SUBSTITUTE('Raw Data'!H252," ",":",1)))</f>
        <v>330:00</v>
      </c>
      <c r="I252" s="7" t="str">
        <f>IF('Raw Data'!I252="/","-",IF('Raw Data'!I252="","-",SUBSTITUTE('Raw Data'!I252," ",":",1)))</f>
        <v>-</v>
      </c>
      <c r="J252" s="12">
        <f>IF('Raw Data'!J252="",IF(LEN(K252)&gt;6,SQRT('Raw Data'!M252^2+N252^2),""),'Raw Data'!J252)</f>
        <v>21.6</v>
      </c>
      <c r="K252" s="7" t="str">
        <f>IF('Raw Data'!K252="","",IF(LEN('Raw Data'!K252)&lt;7,SUBSTITUTE('Raw Data'!K252," ",":",1),'Raw Data'!K252))</f>
        <v>20:30</v>
      </c>
      <c r="L252" t="str">
        <f>IF('Raw Data'!L252="","",'Raw Data'!L252)</f>
        <v/>
      </c>
      <c r="M252">
        <f>IF('Raw Data'!M252="","",'Raw Data'!M252)</f>
        <v>20.2</v>
      </c>
      <c r="N252">
        <f>IF('Raw Data'!N252="","",IF('Raw Data'!N252="-",0,'Raw Data'!N252))</f>
        <v>7.6</v>
      </c>
      <c r="O252">
        <v>56.8</v>
      </c>
      <c r="P252" t="str">
        <f>IF('Raw Data'!P252="","",'Raw Data'!P252)</f>
        <v/>
      </c>
      <c r="R252" s="3" t="str">
        <f t="shared" si="100"/>
        <v>-</v>
      </c>
      <c r="S252" s="3">
        <f t="shared" si="101"/>
        <v>330</v>
      </c>
      <c r="T252" s="3" t="str">
        <f t="shared" si="102"/>
        <v>-</v>
      </c>
      <c r="U252" s="3">
        <f t="shared" ref="U252:U253" si="108">IF(ISERROR(FIND(":",K252)),IF(K252="zero",0,1*K252),1*CONCATENATE(LEFT(K252,FIND(":",K252)-1),".",MID(RIGHT(K252,LEN(K252)-FIND(":",K252))/60,3,8)))</f>
        <v>20.5</v>
      </c>
      <c r="W252" s="4">
        <f t="shared" si="103"/>
        <v>20.232119287765393</v>
      </c>
      <c r="X252" s="4">
        <f t="shared" si="104"/>
        <v>7.5644794352044959</v>
      </c>
      <c r="Y252" s="3">
        <f t="shared" si="105"/>
        <v>150</v>
      </c>
      <c r="Z252" s="4">
        <f>IF('Raw Data'!O252="","",O251+N251)</f>
        <v>56.8</v>
      </c>
    </row>
    <row r="253" spans="1:26" x14ac:dyDescent="0.25">
      <c r="A253" t="str">
        <f>IF('Raw Data'!A253="","",'Raw Data'!A253)</f>
        <v>s</v>
      </c>
      <c r="B253" t="str">
        <f>IF('Raw Data'!B253="","",'Raw Data'!B253)</f>
        <v>t</v>
      </c>
      <c r="C253">
        <f>IF('Raw Data'!C253="","",'Raw Data'!C253)</f>
        <v>2</v>
      </c>
      <c r="D253">
        <f>IF('Raw Data'!D253="","",'Raw Data'!D253)</f>
        <v>3</v>
      </c>
      <c r="E253">
        <f>IF('Raw Data'!E253="","",'Raw Data'!E253)</f>
        <v>25</v>
      </c>
      <c r="F253">
        <f>IF('Raw Data'!F253="","",'Raw Data'!F253)</f>
        <v>5</v>
      </c>
      <c r="G253" s="7" t="str">
        <f>IF('Raw Data'!G253="/","-",IF('Raw Data'!G253="","-",SUBSTITUTE('Raw Data'!G253," ",":",1)))</f>
        <v>246:00</v>
      </c>
      <c r="H253" s="7" t="str">
        <f>IF('Raw Data'!H253="/","-",IF('Raw Data'!H253="","-",SUBSTITUTE('Raw Data'!H253," ",":",1)))</f>
        <v>-</v>
      </c>
      <c r="I253" s="7" t="str">
        <f>IF('Raw Data'!I253="/","-",IF('Raw Data'!I253="","-",SUBSTITUTE('Raw Data'!I253," ",":",1)))</f>
        <v>-</v>
      </c>
      <c r="J253" s="12">
        <f>IF('Raw Data'!J253="",IF(LEN(K253)&gt;6,SQRT('Raw Data'!M253^2+N253^2),""),'Raw Data'!J253)</f>
        <v>17.399999999999999</v>
      </c>
      <c r="K253" s="7" t="str">
        <f>IF('Raw Data'!K253="","",IF(LEN('Raw Data'!K253)&lt;7,SUBSTITUTE('Raw Data'!K253," ",":",1),'Raw Data'!K253))</f>
        <v>-7:30</v>
      </c>
      <c r="L253" t="str">
        <f>IF('Raw Data'!L253="","",'Raw Data'!L253)</f>
        <v/>
      </c>
      <c r="M253">
        <f>IF('Raw Data'!M253="","",'Raw Data'!M253)</f>
        <v>17.2</v>
      </c>
      <c r="N253">
        <f>IF('Raw Data'!N253="","",IF('Raw Data'!N253="-",0,'Raw Data'!N253))</f>
        <v>-2.2999999999999998</v>
      </c>
      <c r="O253">
        <f>IF('Raw Data'!O253="",IF('Raw Data'!N253="","",0),'Raw Data'!O253)</f>
        <v>67.900000000000006</v>
      </c>
      <c r="P253" t="str">
        <f>IF('Raw Data'!P253="","",'Raw Data'!P253)</f>
        <v/>
      </c>
      <c r="R253" s="3">
        <f t="shared" si="100"/>
        <v>246</v>
      </c>
      <c r="S253" s="3" t="str">
        <f t="shared" si="101"/>
        <v>-</v>
      </c>
      <c r="T253" s="3" t="str">
        <f t="shared" si="102"/>
        <v>-</v>
      </c>
      <c r="U253" s="3">
        <f t="shared" si="108"/>
        <v>-7.5</v>
      </c>
      <c r="W253" s="4">
        <f t="shared" si="103"/>
        <v>17.251140587904299</v>
      </c>
      <c r="X253" s="4">
        <f t="shared" si="104"/>
        <v>-2.271155744628897</v>
      </c>
      <c r="Y253" s="3">
        <f t="shared" si="105"/>
        <v>246</v>
      </c>
      <c r="Z253" s="4">
        <f>IF('Raw Data'!O253="","",O251+N252)</f>
        <v>67.899999999999991</v>
      </c>
    </row>
    <row r="254" spans="1:26" x14ac:dyDescent="0.25">
      <c r="A254" t="str">
        <f>IF('Raw Data'!A254="","",'Raw Data'!A254)</f>
        <v>t</v>
      </c>
      <c r="B254" t="str">
        <f>IF('Raw Data'!B254="","",'Raw Data'!B254)</f>
        <v>u</v>
      </c>
      <c r="C254">
        <f>IF('Raw Data'!C254="","",'Raw Data'!C254)</f>
        <v>2</v>
      </c>
      <c r="D254">
        <f>IF('Raw Data'!D254="","",'Raw Data'!D254)</f>
        <v>1</v>
      </c>
      <c r="E254" t="str">
        <f>IF('Raw Data'!E254="","",'Raw Data'!E254)</f>
        <v>/</v>
      </c>
      <c r="F254">
        <f>IF('Raw Data'!F254="","",'Raw Data'!F254)</f>
        <v>10</v>
      </c>
      <c r="G254" s="7" t="str">
        <f>IF('Raw Data'!G254="/","-",IF('Raw Data'!G254="","-",SUBSTITUTE('Raw Data'!G254," ",":",1)))</f>
        <v>255:00</v>
      </c>
      <c r="H254" s="7" t="str">
        <f>IF('Raw Data'!H254="/","-",IF('Raw Data'!H254="","-",SUBSTITUTE('Raw Data'!H254," ",":",1)))</f>
        <v>-</v>
      </c>
      <c r="I254" s="7" t="str">
        <f>IF('Raw Data'!I254="/","-",IF('Raw Data'!I254="","-",SUBSTITUTE('Raw Data'!I254," ",":",1)))</f>
        <v>-</v>
      </c>
      <c r="J254" s="12">
        <f>IF('Raw Data'!J254="",IF(LEN(K254)&gt;6,SQRT('Raw Data'!M254^2+N254^2),""),'Raw Data'!J254)</f>
        <v>18.2</v>
      </c>
      <c r="K254" s="7" t="str">
        <f>IF('Raw Data'!K254="","",IF(LEN('Raw Data'!K254)&lt;7,SUBSTITUTE('Raw Data'!K254," ",":",1),'Raw Data'!K254))</f>
        <v>-4 feet</v>
      </c>
      <c r="L254" t="str">
        <f>IF('Raw Data'!L254="","",'Raw Data'!L254)</f>
        <v/>
      </c>
      <c r="M254">
        <f>IF('Raw Data'!M254="","",'Raw Data'!M254)</f>
        <v>17.8</v>
      </c>
      <c r="N254">
        <f>IF('Raw Data'!N254="","",IF('Raw Data'!N254="-",0,'Raw Data'!N254))</f>
        <v>-4</v>
      </c>
      <c r="O254">
        <f>IF('Raw Data'!O254="",IF('Raw Data'!N254="","",0),'Raw Data'!O254)</f>
        <v>65.599999999999994</v>
      </c>
      <c r="P254" t="str">
        <f>IF('Raw Data'!P254="","",'Raw Data'!P254)</f>
        <v>(sketch t-u) u-&gt; Howards Loop</v>
      </c>
      <c r="R254" s="3">
        <f t="shared" si="100"/>
        <v>255</v>
      </c>
      <c r="S254" s="3" t="str">
        <f t="shared" si="101"/>
        <v>-</v>
      </c>
      <c r="T254" s="3" t="str">
        <f t="shared" si="102"/>
        <v>-</v>
      </c>
      <c r="U254" s="9">
        <f>ASIN(N254/J254)*180/PI()</f>
        <v>-12.696124577303539</v>
      </c>
      <c r="W254" s="4">
        <f t="shared" si="103"/>
        <v>17.754999295972951</v>
      </c>
      <c r="X254" s="4">
        <f t="shared" si="104"/>
        <v>-4</v>
      </c>
      <c r="Y254" s="3">
        <f t="shared" si="105"/>
        <v>255</v>
      </c>
      <c r="Z254" s="4">
        <f>IF('Raw Data'!O254="","",O253+N253)</f>
        <v>65.600000000000009</v>
      </c>
    </row>
    <row r="255" spans="1:26" x14ac:dyDescent="0.25">
      <c r="A255" t="str">
        <f>IF('Raw Data'!A255="","",'Raw Data'!A255)</f>
        <v>t</v>
      </c>
      <c r="B255" t="str">
        <f>IF('Raw Data'!B255="","",'Raw Data'!B255)</f>
        <v>v</v>
      </c>
      <c r="C255" t="str">
        <f>IF('Raw Data'!C255="","",'Raw Data'!C255)</f>
        <v>/</v>
      </c>
      <c r="D255" t="str">
        <f>IF('Raw Data'!D255="","",'Raw Data'!D255)</f>
        <v>/</v>
      </c>
      <c r="E255" t="str">
        <f>IF('Raw Data'!E255="","",'Raw Data'!E255)</f>
        <v>/</v>
      </c>
      <c r="F255" t="str">
        <f>IF('Raw Data'!F255="","",'Raw Data'!F255)</f>
        <v>/</v>
      </c>
      <c r="G255" s="7" t="str">
        <f>IF('Raw Data'!G255="/","-",IF('Raw Data'!G255="","-",SUBSTITUTE('Raw Data'!G255," ",":",1)))</f>
        <v>-</v>
      </c>
      <c r="H255" s="7" t="str">
        <f>IF('Raw Data'!H255="/","-",IF('Raw Data'!H255="","-",SUBSTITUTE('Raw Data'!H255," ",":",1)))</f>
        <v>346:00</v>
      </c>
      <c r="I255" s="7" t="str">
        <f>IF('Raw Data'!I255="/","-",IF('Raw Data'!I255="","-",SUBSTITUTE('Raw Data'!I255," ",":",1)))</f>
        <v>-</v>
      </c>
      <c r="J255" s="12">
        <f>IF('Raw Data'!J255="",IF(LEN(K255)&gt;6,SQRT('Raw Data'!M255^2+N255^2),""),'Raw Data'!J255)</f>
        <v>17.3</v>
      </c>
      <c r="K255" s="7" t="str">
        <f>IF('Raw Data'!K255="","",IF(LEN('Raw Data'!K255)&lt;7,SUBSTITUTE('Raw Data'!K255," ",":",1),'Raw Data'!K255))</f>
        <v>20:30</v>
      </c>
      <c r="L255" t="str">
        <f>IF('Raw Data'!L255="","",'Raw Data'!L255)</f>
        <v/>
      </c>
      <c r="M255">
        <f>IF('Raw Data'!M255="","",'Raw Data'!M255)</f>
        <v>16.2</v>
      </c>
      <c r="N255">
        <f>IF('Raw Data'!N255="","",IF('Raw Data'!N255="-",0,'Raw Data'!N255))</f>
        <v>6</v>
      </c>
      <c r="O255">
        <v>61.6</v>
      </c>
      <c r="P255" t="str">
        <f>IF('Raw Data'!P255="","",'Raw Data'!P255)</f>
        <v>v in a cross rift 4' from Pearly Gate</v>
      </c>
      <c r="R255" s="3" t="str">
        <f t="shared" si="100"/>
        <v>-</v>
      </c>
      <c r="S255" s="3">
        <f t="shared" si="101"/>
        <v>346</v>
      </c>
      <c r="T255" s="3" t="str">
        <f t="shared" si="102"/>
        <v>-</v>
      </c>
      <c r="U255" s="3">
        <f t="shared" ref="U255:U271" si="109">IF(ISERROR(FIND(":",K255)),IF(K255="zero",0,1*K255),1*CONCATENATE(LEFT(K255,FIND(":",K255)-1),".",MID(RIGHT(K255,LEN(K255)-FIND(":",K255))/60,3,8)))</f>
        <v>20.5</v>
      </c>
      <c r="W255" s="4">
        <f t="shared" si="103"/>
        <v>16.20442887399728</v>
      </c>
      <c r="X255" s="4">
        <f t="shared" si="104"/>
        <v>6.0585876957887859</v>
      </c>
      <c r="Y255" s="3">
        <f t="shared" si="105"/>
        <v>166</v>
      </c>
      <c r="Z255" s="4">
        <f>IF('Raw Data'!O255="","",O254+N254)</f>
        <v>61.599999999999994</v>
      </c>
    </row>
    <row r="256" spans="1:26" x14ac:dyDescent="0.25">
      <c r="A256" t="str">
        <f>IF('Raw Data'!A256="","",'Raw Data'!A256)</f>
        <v>v</v>
      </c>
      <c r="B256" t="str">
        <f>IF('Raw Data'!B256="","",'Raw Data'!B256)</f>
        <v>w</v>
      </c>
      <c r="C256">
        <f>IF('Raw Data'!C256="","",'Raw Data'!C256)</f>
        <v>1</v>
      </c>
      <c r="D256">
        <f>IF('Raw Data'!D256="","",'Raw Data'!D256)</f>
        <v>1.5</v>
      </c>
      <c r="E256">
        <f>IF('Raw Data'!E256="","",'Raw Data'!E256)</f>
        <v>3</v>
      </c>
      <c r="F256">
        <f>IF('Raw Data'!F256="","",'Raw Data'!F256)</f>
        <v>3</v>
      </c>
      <c r="G256" s="7" t="str">
        <f>IF('Raw Data'!G256="/","-",IF('Raw Data'!G256="","-",SUBSTITUTE('Raw Data'!G256," ",":",1)))</f>
        <v>165:40</v>
      </c>
      <c r="H256" s="7" t="str">
        <f>IF('Raw Data'!H256="/","-",IF('Raw Data'!H256="","-",SUBSTITUTE('Raw Data'!H256," ",":",1)))</f>
        <v>-</v>
      </c>
      <c r="I256" s="7" t="str">
        <f>IF('Raw Data'!I256="/","-",IF('Raw Data'!I256="","-",SUBSTITUTE('Raw Data'!I256," ",":",1)))</f>
        <v>-</v>
      </c>
      <c r="J256" s="12">
        <f>IF('Raw Data'!J256="",IF(LEN(K256)&gt;6,SQRT('Raw Data'!M256^2+N256^2),""),'Raw Data'!J256)</f>
        <v>16.2</v>
      </c>
      <c r="K256" s="7" t="str">
        <f>IF('Raw Data'!K256="","",IF(LEN('Raw Data'!K256)&lt;7,SUBSTITUTE('Raw Data'!K256," ",":",1),'Raw Data'!K256))</f>
        <v>-2:45</v>
      </c>
      <c r="L256" t="str">
        <f>IF('Raw Data'!L256="","",'Raw Data'!L256)</f>
        <v/>
      </c>
      <c r="M256">
        <f>IF('Raw Data'!M256="","",'Raw Data'!M256)</f>
        <v>16.100000000000001</v>
      </c>
      <c r="N256">
        <f>IF('Raw Data'!N256="","",IF('Raw Data'!N256="-",0,'Raw Data'!N256))</f>
        <v>-0.8</v>
      </c>
      <c r="O256">
        <f>IF('Raw Data'!O256="",IF('Raw Data'!N256="","",0),'Raw Data'!O256)</f>
        <v>71.599999999999994</v>
      </c>
      <c r="P256" t="str">
        <f>IF('Raw Data'!P256="","",'Raw Data'!P256)</f>
        <v/>
      </c>
      <c r="R256" s="3">
        <f t="shared" si="100"/>
        <v>165.66666666666666</v>
      </c>
      <c r="S256" s="3" t="str">
        <f t="shared" si="101"/>
        <v>-</v>
      </c>
      <c r="T256" s="3" t="str">
        <f t="shared" si="102"/>
        <v>-</v>
      </c>
      <c r="U256" s="3">
        <f t="shared" si="109"/>
        <v>-2.75</v>
      </c>
      <c r="W256" s="4">
        <f t="shared" si="103"/>
        <v>16.181343861056199</v>
      </c>
      <c r="X256" s="4">
        <f t="shared" si="104"/>
        <v>-0.77724568204577182</v>
      </c>
      <c r="Y256" s="3">
        <f t="shared" si="105"/>
        <v>165.66666666666666</v>
      </c>
      <c r="Z256" s="4">
        <f>IF('Raw Data'!O256="","",O254+N255)</f>
        <v>71.599999999999994</v>
      </c>
    </row>
    <row r="257" spans="1:26" x14ac:dyDescent="0.25">
      <c r="A257" t="str">
        <f>IF('Raw Data'!A257="","",'Raw Data'!A257)</f>
        <v>w</v>
      </c>
      <c r="B257" t="str">
        <f>IF('Raw Data'!B257="","",'Raw Data'!B257)</f>
        <v>x</v>
      </c>
      <c r="C257">
        <f>IF('Raw Data'!C257="","",'Raw Data'!C257)</f>
        <v>3</v>
      </c>
      <c r="D257" t="str">
        <f>IF('Raw Data'!D257="","",'Raw Data'!D257)</f>
        <v>-</v>
      </c>
      <c r="E257">
        <f>IF('Raw Data'!E257="","",'Raw Data'!E257)</f>
        <v>4</v>
      </c>
      <c r="F257">
        <f>IF('Raw Data'!F257="","",'Raw Data'!F257)</f>
        <v>2</v>
      </c>
      <c r="G257" s="7" t="str">
        <f>IF('Raw Data'!G257="/","-",IF('Raw Data'!G257="","-",SUBSTITUTE('Raw Data'!G257," ",":",1)))</f>
        <v>-</v>
      </c>
      <c r="H257" s="7" t="str">
        <f>IF('Raw Data'!H257="/","-",IF('Raw Data'!H257="","-",SUBSTITUTE('Raw Data'!H257," ",":",1)))</f>
        <v>272:30</v>
      </c>
      <c r="I257" s="7" t="str">
        <f>IF('Raw Data'!I257="/","-",IF('Raw Data'!I257="","-",SUBSTITUTE('Raw Data'!I257," ",":",1)))</f>
        <v>-</v>
      </c>
      <c r="J257" s="12">
        <f>IF('Raw Data'!J257="",IF(LEN(K257)&gt;6,SQRT('Raw Data'!M257^2+N257^2),""),'Raw Data'!J257)</f>
        <v>17.8</v>
      </c>
      <c r="K257" s="7" t="str">
        <f>IF('Raw Data'!K257="","",IF(LEN('Raw Data'!K257)&lt;7,SUBSTITUTE('Raw Data'!K257," ",":",1),'Raw Data'!K257))</f>
        <v>19:40</v>
      </c>
      <c r="L257" t="str">
        <f>IF('Raw Data'!L257="","",'Raw Data'!L257)</f>
        <v/>
      </c>
      <c r="M257">
        <f>IF('Raw Data'!M257="","",'Raw Data'!M257)</f>
        <v>16.8</v>
      </c>
      <c r="N257">
        <f>IF('Raw Data'!N257="","",IF('Raw Data'!N257="-",0,'Raw Data'!N257))</f>
        <v>6</v>
      </c>
      <c r="O257">
        <f>IF('Raw Data'!O257="",IF('Raw Data'!N257="","",0),'Raw Data'!O257)</f>
        <v>70.8</v>
      </c>
      <c r="P257" t="str">
        <f>IF('Raw Data'!P257="","",'Raw Data'!P257)</f>
        <v>(sketch w-x)</v>
      </c>
      <c r="R257" s="3" t="str">
        <f t="shared" si="100"/>
        <v>-</v>
      </c>
      <c r="S257" s="3">
        <f t="shared" si="101"/>
        <v>272.5</v>
      </c>
      <c r="T257" s="3" t="str">
        <f t="shared" si="102"/>
        <v>-</v>
      </c>
      <c r="U257" s="3">
        <f t="shared" si="109"/>
        <v>19.666666660000001</v>
      </c>
      <c r="W257" s="4">
        <f t="shared" si="103"/>
        <v>16.761663692613613</v>
      </c>
      <c r="X257" s="4">
        <f t="shared" si="104"/>
        <v>5.9905450716707422</v>
      </c>
      <c r="Y257" s="3">
        <f t="shared" si="105"/>
        <v>92.5</v>
      </c>
      <c r="Z257" s="4">
        <f>IF('Raw Data'!O257="","",O256+N256)</f>
        <v>70.8</v>
      </c>
    </row>
    <row r="258" spans="1:26" x14ac:dyDescent="0.25">
      <c r="A258" t="str">
        <f>IF('Raw Data'!A258="","",'Raw Data'!A258)</f>
        <v>x</v>
      </c>
      <c r="B258" t="str">
        <f>IF('Raw Data'!B258="","",'Raw Data'!B258)</f>
        <v>y</v>
      </c>
      <c r="C258">
        <f>IF('Raw Data'!C258="","",'Raw Data'!C258)</f>
        <v>1</v>
      </c>
      <c r="D258">
        <f>IF('Raw Data'!D258="","",'Raw Data'!D258)</f>
        <v>2</v>
      </c>
      <c r="E258">
        <f>IF('Raw Data'!E258="","",'Raw Data'!E258)</f>
        <v>2</v>
      </c>
      <c r="F258">
        <f>IF('Raw Data'!F258="","",'Raw Data'!F258)</f>
        <v>3</v>
      </c>
      <c r="G258" s="7" t="str">
        <f>IF('Raw Data'!G258="/","-",IF('Raw Data'!G258="","-",SUBSTITUTE('Raw Data'!G258," ",":",1)))</f>
        <v>147:00</v>
      </c>
      <c r="H258" s="7" t="str">
        <f>IF('Raw Data'!H258="/","-",IF('Raw Data'!H258="","-",SUBSTITUTE('Raw Data'!H258," ",":",1)))</f>
        <v>-</v>
      </c>
      <c r="I258" s="7" t="str">
        <f>IF('Raw Data'!I258="/","-",IF('Raw Data'!I258="","-",SUBSTITUTE('Raw Data'!I258," ",":",1)))</f>
        <v>-</v>
      </c>
      <c r="J258" s="12">
        <f>IF('Raw Data'!J258="",IF(LEN(K258)&gt;6,SQRT('Raw Data'!M258^2+N258^2),""),'Raw Data'!J258)</f>
        <v>24.3</v>
      </c>
      <c r="K258" s="7" t="str">
        <f>IF('Raw Data'!K258="","",IF(LEN('Raw Data'!K258)&lt;7,SUBSTITUTE('Raw Data'!K258," ",":",1),'Raw Data'!K258))</f>
        <v>10:00</v>
      </c>
      <c r="L258" t="str">
        <f>IF('Raw Data'!L258="","",'Raw Data'!L258)</f>
        <v/>
      </c>
      <c r="M258">
        <f>IF('Raw Data'!M258="","",'Raw Data'!M258)</f>
        <v>23.8</v>
      </c>
      <c r="N258">
        <f>IF('Raw Data'!N258="","",IF('Raw Data'!N258="-",0,'Raw Data'!N258))</f>
        <v>4.2</v>
      </c>
      <c r="O258">
        <f>IF('Raw Data'!O258="",IF('Raw Data'!N258="","",0),'Raw Data'!O258)</f>
        <v>76.8</v>
      </c>
      <c r="P258" t="str">
        <f>IF('Raw Data'!P258="","",'Raw Data'!P258)</f>
        <v/>
      </c>
      <c r="R258" s="3">
        <f t="shared" si="100"/>
        <v>147</v>
      </c>
      <c r="S258" s="3" t="str">
        <f t="shared" si="101"/>
        <v>-</v>
      </c>
      <c r="T258" s="3" t="str">
        <f t="shared" si="102"/>
        <v>-</v>
      </c>
      <c r="U258" s="3">
        <f t="shared" si="109"/>
        <v>10</v>
      </c>
      <c r="W258" s="4">
        <f t="shared" si="103"/>
        <v>23.930828398196656</v>
      </c>
      <c r="X258" s="4">
        <f t="shared" si="104"/>
        <v>4.2196507173064068</v>
      </c>
      <c r="Y258" s="3">
        <f t="shared" si="105"/>
        <v>147</v>
      </c>
      <c r="Z258" s="4">
        <f>IF('Raw Data'!O258="","",O257+N257)</f>
        <v>76.8</v>
      </c>
    </row>
    <row r="259" spans="1:26" x14ac:dyDescent="0.25">
      <c r="A259" t="str">
        <f>IF('Raw Data'!A259="","",'Raw Data'!A259)</f>
        <v>y</v>
      </c>
      <c r="B259" t="str">
        <f>IF('Raw Data'!B259="","",'Raw Data'!B259)</f>
        <v>z</v>
      </c>
      <c r="C259">
        <f>IF('Raw Data'!C259="","",'Raw Data'!C259)</f>
        <v>1</v>
      </c>
      <c r="D259" t="str">
        <f>IF('Raw Data'!D259="","",'Raw Data'!D259)</f>
        <v>/</v>
      </c>
      <c r="E259">
        <f>IF('Raw Data'!E259="","",'Raw Data'!E259)</f>
        <v>4</v>
      </c>
      <c r="F259" t="str">
        <f>IF('Raw Data'!F259="","",'Raw Data'!F259)</f>
        <v>-</v>
      </c>
      <c r="G259" s="7" t="str">
        <f>IF('Raw Data'!G259="/","-",IF('Raw Data'!G259="","-",SUBSTITUTE('Raw Data'!G259," ",":",1)))</f>
        <v>-</v>
      </c>
      <c r="H259" s="7" t="str">
        <f>IF('Raw Data'!H259="/","-",IF('Raw Data'!H259="","-",SUBSTITUTE('Raw Data'!H259," ",":",1)))</f>
        <v>-</v>
      </c>
      <c r="I259" s="7" t="str">
        <f>IF('Raw Data'!I259="/","-",IF('Raw Data'!I259="","-",SUBSTITUTE('Raw Data'!I259," ",":",1)))</f>
        <v>-</v>
      </c>
      <c r="J259" s="12">
        <f>IF('Raw Data'!J259="",IF(LEN(K259)&gt;6,SQRT('Raw Data'!M259^2+N259^2),""),'Raw Data'!J259)</f>
        <v>6</v>
      </c>
      <c r="K259" s="7" t="str">
        <f>IF('Raw Data'!K259="","",IF(LEN('Raw Data'!K259)&lt;7,SUBSTITUTE('Raw Data'!K259," ",":",1),'Raw Data'!K259))</f>
        <v>-90:00</v>
      </c>
      <c r="L259" t="str">
        <f>IF('Raw Data'!L259="","",'Raw Data'!L259)</f>
        <v/>
      </c>
      <c r="M259" t="str">
        <f>IF('Raw Data'!M259="","",'Raw Data'!M259)</f>
        <v>-</v>
      </c>
      <c r="N259">
        <f>IF('Raw Data'!N259="","",IF('Raw Data'!N259="-",0,'Raw Data'!N259))</f>
        <v>-6</v>
      </c>
      <c r="O259">
        <f>IF('Raw Data'!O259="",IF('Raw Data'!N259="","",0),'Raw Data'!O259)</f>
        <v>81</v>
      </c>
      <c r="P259" t="str">
        <f>IF('Raw Data'!P259="","",'Raw Data'!P259)</f>
        <v/>
      </c>
      <c r="R259" s="3" t="str">
        <f t="shared" si="100"/>
        <v>-</v>
      </c>
      <c r="S259" s="3" t="str">
        <f t="shared" si="101"/>
        <v>-</v>
      </c>
      <c r="T259" s="3" t="str">
        <f t="shared" si="102"/>
        <v>-</v>
      </c>
      <c r="U259" s="3">
        <f t="shared" si="109"/>
        <v>-90</v>
      </c>
      <c r="W259" s="4">
        <f t="shared" si="103"/>
        <v>3.67544536472586E-16</v>
      </c>
      <c r="X259" s="4">
        <f t="shared" si="104"/>
        <v>-6</v>
      </c>
      <c r="Y259" s="3" t="e">
        <f t="shared" si="105"/>
        <v>#VALUE!</v>
      </c>
      <c r="Z259" s="4">
        <f>IF('Raw Data'!O259="","",O258+N258)</f>
        <v>81</v>
      </c>
    </row>
    <row r="260" spans="1:26" x14ac:dyDescent="0.25">
      <c r="A260" t="str">
        <f>IF('Raw Data'!A260="","",'Raw Data'!A260)</f>
        <v>z</v>
      </c>
      <c r="B260" t="str">
        <f>IF('Raw Data'!B260="","",'Raw Data'!B260)</f>
        <v>aa</v>
      </c>
      <c r="C260" t="str">
        <f>IF('Raw Data'!C260="","",'Raw Data'!C260)</f>
        <v>/</v>
      </c>
      <c r="D260" t="str">
        <f>IF('Raw Data'!D260="","",'Raw Data'!D260)</f>
        <v>-</v>
      </c>
      <c r="E260">
        <f>IF('Raw Data'!E260="","",'Raw Data'!E260)</f>
        <v>1</v>
      </c>
      <c r="F260">
        <f>IF('Raw Data'!F260="","",'Raw Data'!F260)</f>
        <v>2</v>
      </c>
      <c r="G260" s="7" t="str">
        <f>IF('Raw Data'!G260="/","-",IF('Raw Data'!G260="","-",SUBSTITUTE('Raw Data'!G260," ",":",1)))</f>
        <v>-</v>
      </c>
      <c r="H260" s="7" t="str">
        <f>IF('Raw Data'!H260="/","-",IF('Raw Data'!H260="","-",SUBSTITUTE('Raw Data'!H260," ",":",1)))</f>
        <v>327:00</v>
      </c>
      <c r="I260" s="7" t="str">
        <f>IF('Raw Data'!I260="/","-",IF('Raw Data'!I260="","-",SUBSTITUTE('Raw Data'!I260," ",":",1)))</f>
        <v>-</v>
      </c>
      <c r="J260" s="12">
        <f>IF('Raw Data'!J260="",IF(LEN(K260)&gt;6,SQRT('Raw Data'!M260^2+N260^2),""),'Raw Data'!J260)</f>
        <v>12.5</v>
      </c>
      <c r="K260" s="7" t="str">
        <f>IF('Raw Data'!K260="","",IF(LEN('Raw Data'!K260)&lt;7,SUBSTITUTE('Raw Data'!K260," ",":",1),'Raw Data'!K260))</f>
        <v>-2:40</v>
      </c>
      <c r="L260" t="str">
        <f>IF('Raw Data'!L260="","",'Raw Data'!L260)</f>
        <v/>
      </c>
      <c r="M260">
        <f>IF('Raw Data'!M260="","",'Raw Data'!M260)</f>
        <v>12.4</v>
      </c>
      <c r="N260">
        <f>IF('Raw Data'!N260="","",IF('Raw Data'!N260="-",0,'Raw Data'!N260))</f>
        <v>-0.6</v>
      </c>
      <c r="O260">
        <f>IF('Raw Data'!O260="",IF('Raw Data'!N260="","",0),'Raw Data'!O260)</f>
        <v>75</v>
      </c>
      <c r="P260" t="str">
        <f>IF('Raw Data'!P260="","",'Raw Data'!P260)</f>
        <v>Bottom of drop. View into Damascus</v>
      </c>
      <c r="R260" s="3" t="str">
        <f t="shared" si="100"/>
        <v>-</v>
      </c>
      <c r="S260" s="3">
        <f t="shared" si="101"/>
        <v>327</v>
      </c>
      <c r="T260" s="3" t="str">
        <f t="shared" si="102"/>
        <v>-</v>
      </c>
      <c r="U260" s="3">
        <f t="shared" si="109"/>
        <v>-2.6666666600000002</v>
      </c>
      <c r="W260" s="4">
        <f t="shared" si="103"/>
        <v>12.486463891799225</v>
      </c>
      <c r="X260" s="4">
        <f t="shared" si="104"/>
        <v>-0.58156640101896706</v>
      </c>
      <c r="Y260" s="3">
        <f t="shared" si="105"/>
        <v>147</v>
      </c>
      <c r="Z260" s="4">
        <f>IF('Raw Data'!O260="","",O259+N259)</f>
        <v>75</v>
      </c>
    </row>
    <row r="261" spans="1:26" x14ac:dyDescent="0.25">
      <c r="A261" t="str">
        <f>IF('Raw Data'!A261="","",'Raw Data'!A261)</f>
        <v>aa</v>
      </c>
      <c r="B261" t="str">
        <f>IF('Raw Data'!B261="","",'Raw Data'!B261)</f>
        <v>ab</v>
      </c>
      <c r="C261">
        <f>IF('Raw Data'!C261="","",'Raw Data'!C261)</f>
        <v>4</v>
      </c>
      <c r="D261">
        <f>IF('Raw Data'!D261="","",'Raw Data'!D261)</f>
        <v>4</v>
      </c>
      <c r="E261">
        <f>IF('Raw Data'!E261="","",'Raw Data'!E261)</f>
        <v>4</v>
      </c>
      <c r="F261">
        <f>IF('Raw Data'!F261="","",'Raw Data'!F261)</f>
        <v>2</v>
      </c>
      <c r="G261" s="7" t="str">
        <f>IF('Raw Data'!G261="/","-",IF('Raw Data'!G261="","-",SUBSTITUTE('Raw Data'!G261," ",":",1)))</f>
        <v>212:30</v>
      </c>
      <c r="H261" s="7" t="str">
        <f>IF('Raw Data'!H261="/","-",IF('Raw Data'!H261="","-",SUBSTITUTE('Raw Data'!H261," ",":",1)))</f>
        <v>-</v>
      </c>
      <c r="I261" s="7" t="str">
        <f>IF('Raw Data'!I261="/","-",IF('Raw Data'!I261="","-",SUBSTITUTE('Raw Data'!I261," ",":",1)))</f>
        <v>-</v>
      </c>
      <c r="J261" s="12">
        <f>IF('Raw Data'!J261="",IF(LEN(K261)&gt;6,SQRT('Raw Data'!M261^2+N261^2),""),'Raw Data'!J261)</f>
        <v>11.2</v>
      </c>
      <c r="K261" s="7" t="str">
        <f>IF('Raw Data'!K261="","",IF(LEN('Raw Data'!K261)&lt;7,SUBSTITUTE('Raw Data'!K261," ",":",1),'Raw Data'!K261))</f>
        <v>-22:30</v>
      </c>
      <c r="L261" t="str">
        <f>IF('Raw Data'!L261="","",'Raw Data'!L261)</f>
        <v/>
      </c>
      <c r="M261">
        <f>IF('Raw Data'!M261="","",'Raw Data'!M261)</f>
        <v>10.3</v>
      </c>
      <c r="N261">
        <f>IF('Raw Data'!N261="","",IF('Raw Data'!N261="-",0,'Raw Data'!N261))</f>
        <v>-4.3</v>
      </c>
      <c r="O261">
        <f>IF('Raw Data'!O261="",IF('Raw Data'!N261="","",0),'Raw Data'!O261)</f>
        <v>74.400000000000006</v>
      </c>
      <c r="P261" t="str">
        <f>IF('Raw Data'!P261="","",'Raw Data'!P261)</f>
        <v>Above pool</v>
      </c>
      <c r="R261" s="3">
        <f t="shared" si="100"/>
        <v>212.5</v>
      </c>
      <c r="S261" s="3" t="str">
        <f t="shared" si="101"/>
        <v>-</v>
      </c>
      <c r="T261" s="3" t="str">
        <f t="shared" si="102"/>
        <v>-</v>
      </c>
      <c r="U261" s="3">
        <f t="shared" si="109"/>
        <v>-22.5</v>
      </c>
      <c r="W261" s="4">
        <f t="shared" si="103"/>
        <v>10.34745076412641</v>
      </c>
      <c r="X261" s="4">
        <f t="shared" si="104"/>
        <v>-4.2860544424890055</v>
      </c>
      <c r="Y261" s="3">
        <f t="shared" si="105"/>
        <v>212.5</v>
      </c>
      <c r="Z261" s="4">
        <f>IF('Raw Data'!O261="","",O260+N260)</f>
        <v>74.400000000000006</v>
      </c>
    </row>
    <row r="262" spans="1:26" x14ac:dyDescent="0.25">
      <c r="A262" t="str">
        <f>IF('Raw Data'!A262="","",'Raw Data'!A262)</f>
        <v>ab</v>
      </c>
      <c r="B262" t="str">
        <f>IF('Raw Data'!B262="","",'Raw Data'!B262)</f>
        <v>ac</v>
      </c>
      <c r="C262" t="str">
        <f>IF('Raw Data'!C262="","",'Raw Data'!C262)</f>
        <v>5 (10 in aven)</v>
      </c>
      <c r="D262" t="str">
        <f>IF('Raw Data'!D262="","",'Raw Data'!D262)</f>
        <v>-</v>
      </c>
      <c r="E262">
        <f>IF('Raw Data'!E262="","",'Raw Data'!E262)</f>
        <v>2.5</v>
      </c>
      <c r="F262">
        <f>IF('Raw Data'!F262="","",'Raw Data'!F262)</f>
        <v>2.5</v>
      </c>
      <c r="G262" s="7" t="str">
        <f>IF('Raw Data'!G262="/","-",IF('Raw Data'!G262="","-",SUBSTITUTE('Raw Data'!G262," ",":",1)))</f>
        <v>-</v>
      </c>
      <c r="H262" s="7" t="str">
        <f>IF('Raw Data'!H262="/","-",IF('Raw Data'!H262="","-",SUBSTITUTE('Raw Data'!H262," ",":",1)))</f>
        <v>353:00</v>
      </c>
      <c r="I262" s="7" t="str">
        <f>IF('Raw Data'!I262="/","-",IF('Raw Data'!I262="","-",SUBSTITUTE('Raw Data'!I262," ",":",1)))</f>
        <v>-</v>
      </c>
      <c r="J262" s="12">
        <f>IF('Raw Data'!J262="",IF(LEN(K262)&gt;6,SQRT('Raw Data'!M262^2+N262^2),""),'Raw Data'!J262)</f>
        <v>8</v>
      </c>
      <c r="K262" s="7" t="str">
        <f>IF('Raw Data'!K262="","",IF(LEN('Raw Data'!K262)&lt;7,SUBSTITUTE('Raw Data'!K262," ",":",1),'Raw Data'!K262))</f>
        <v>11:30</v>
      </c>
      <c r="L262" t="str">
        <f>IF('Raw Data'!L262="","",'Raw Data'!L262)</f>
        <v/>
      </c>
      <c r="M262">
        <f>IF('Raw Data'!M262="","",'Raw Data'!M262)</f>
        <v>7.8</v>
      </c>
      <c r="N262">
        <f>IF('Raw Data'!N262="","",IF('Raw Data'!N262="-",0,'Raw Data'!N262))</f>
        <v>1.6</v>
      </c>
      <c r="O262">
        <f>IF('Raw Data'!O262="",IF('Raw Data'!N262="","",0),'Raw Data'!O262)</f>
        <v>70.099999999999994</v>
      </c>
      <c r="P262" t="str">
        <f>IF('Raw Data'!P262="","",'Raw Data'!P262)</f>
        <v>Bearing 238 true into Howards Loop</v>
      </c>
      <c r="R262" s="3" t="str">
        <f t="shared" si="100"/>
        <v>-</v>
      </c>
      <c r="S262" s="3">
        <f t="shared" si="101"/>
        <v>353</v>
      </c>
      <c r="T262" s="3" t="str">
        <f t="shared" si="102"/>
        <v>-</v>
      </c>
      <c r="U262" s="3">
        <f t="shared" si="109"/>
        <v>11.5</v>
      </c>
      <c r="W262" s="4">
        <f t="shared" si="103"/>
        <v>7.8393976369666367</v>
      </c>
      <c r="X262" s="4">
        <f t="shared" si="104"/>
        <v>1.5949434753375773</v>
      </c>
      <c r="Y262" s="3">
        <f t="shared" si="105"/>
        <v>173</v>
      </c>
      <c r="Z262" s="4">
        <f>IF('Raw Data'!O262="","",O261+N261)</f>
        <v>70.100000000000009</v>
      </c>
    </row>
    <row r="263" spans="1:26" x14ac:dyDescent="0.25">
      <c r="A263" t="str">
        <f>IF('Raw Data'!A263="","",'Raw Data'!A263)</f>
        <v>ac</v>
      </c>
      <c r="B263" t="str">
        <f>IF('Raw Data'!B263="","",'Raw Data'!B263)</f>
        <v>ad</v>
      </c>
      <c r="C263">
        <f>IF('Raw Data'!C263="","",'Raw Data'!C263)</f>
        <v>3</v>
      </c>
      <c r="D263">
        <f>IF('Raw Data'!D263="","",'Raw Data'!D263)</f>
        <v>3</v>
      </c>
      <c r="E263">
        <f>IF('Raw Data'!E263="","",'Raw Data'!E263)</f>
        <v>4</v>
      </c>
      <c r="F263">
        <f>IF('Raw Data'!F263="","",'Raw Data'!F263)</f>
        <v>2</v>
      </c>
      <c r="G263" s="7" t="str">
        <f>IF('Raw Data'!G263="/","-",IF('Raw Data'!G263="","-",SUBSTITUTE('Raw Data'!G263," ",":",1)))</f>
        <v>202:00</v>
      </c>
      <c r="H263" s="7" t="str">
        <f>IF('Raw Data'!H263="/","-",IF('Raw Data'!H263="","-",SUBSTITUTE('Raw Data'!H263," ",":",1)))</f>
        <v>-</v>
      </c>
      <c r="I263" s="7" t="str">
        <f>IF('Raw Data'!I263="/","-",IF('Raw Data'!I263="","-",SUBSTITUTE('Raw Data'!I263," ",":",1)))</f>
        <v>-</v>
      </c>
      <c r="J263" s="12">
        <f>IF('Raw Data'!J263="",IF(LEN(K263)&gt;6,SQRT('Raw Data'!M263^2+N263^2),""),'Raw Data'!J263)</f>
        <v>14.3</v>
      </c>
      <c r="K263" s="7" t="str">
        <f>IF('Raw Data'!K263="","",IF(LEN('Raw Data'!K263)&lt;7,SUBSTITUTE('Raw Data'!K263," ",":",1),'Raw Data'!K263))</f>
        <v>-12:00</v>
      </c>
      <c r="L263" t="str">
        <f>IF('Raw Data'!L263="","",'Raw Data'!L263)</f>
        <v/>
      </c>
      <c r="M263">
        <f>IF('Raw Data'!M263="","",'Raw Data'!M263)</f>
        <v>14</v>
      </c>
      <c r="N263">
        <f>IF('Raw Data'!N263="","",IF('Raw Data'!N263="-",0,'Raw Data'!N263))</f>
        <v>-3</v>
      </c>
      <c r="O263">
        <f>IF('Raw Data'!O263="",IF('Raw Data'!N263="","",0),'Raw Data'!O263)</f>
        <v>71.7</v>
      </c>
      <c r="P263" t="str">
        <f>IF('Raw Data'!P263="","",'Raw Data'!P263)</f>
        <v>(sketch ab-ac)</v>
      </c>
      <c r="R263" s="3">
        <f t="shared" si="100"/>
        <v>202</v>
      </c>
      <c r="S263" s="3" t="str">
        <f t="shared" si="101"/>
        <v>-</v>
      </c>
      <c r="T263" s="3" t="str">
        <f t="shared" si="102"/>
        <v>-</v>
      </c>
      <c r="U263" s="3">
        <f t="shared" si="109"/>
        <v>-12</v>
      </c>
      <c r="W263" s="4">
        <f t="shared" si="103"/>
        <v>13.987510690493423</v>
      </c>
      <c r="X263" s="4">
        <f t="shared" si="104"/>
        <v>-2.9731371786939582</v>
      </c>
      <c r="Y263" s="3">
        <f t="shared" si="105"/>
        <v>202</v>
      </c>
      <c r="Z263" s="4">
        <f>IF('Raw Data'!O263="","",O262+N262)</f>
        <v>71.699999999999989</v>
      </c>
    </row>
    <row r="264" spans="1:26" x14ac:dyDescent="0.25">
      <c r="A264" t="str">
        <f>IF('Raw Data'!A264="","",'Raw Data'!A264)</f>
        <v>ad</v>
      </c>
      <c r="B264" t="str">
        <f>IF('Raw Data'!B264="","",'Raw Data'!B264)</f>
        <v>ae</v>
      </c>
      <c r="C264">
        <f>IF('Raw Data'!C264="","",'Raw Data'!C264)</f>
        <v>4</v>
      </c>
      <c r="D264" t="str">
        <f>IF('Raw Data'!D264="","",'Raw Data'!D264)</f>
        <v>-</v>
      </c>
      <c r="E264">
        <f>IF('Raw Data'!E264="","",'Raw Data'!E264)</f>
        <v>2</v>
      </c>
      <c r="F264">
        <f>IF('Raw Data'!F264="","",'Raw Data'!F264)</f>
        <v>3</v>
      </c>
      <c r="G264" s="7" t="str">
        <f>IF('Raw Data'!G264="/","-",IF('Raw Data'!G264="","-",SUBSTITUTE('Raw Data'!G264," ",":",1)))</f>
        <v>-</v>
      </c>
      <c r="H264" s="7" t="str">
        <f>IF('Raw Data'!H264="/","-",IF('Raw Data'!H264="","-",SUBSTITUTE('Raw Data'!H264," ",":",1)))</f>
        <v>026:00</v>
      </c>
      <c r="I264" s="7" t="str">
        <f>IF('Raw Data'!I264="/","-",IF('Raw Data'!I264="","-",SUBSTITUTE('Raw Data'!I264," ",":",1)))</f>
        <v>-</v>
      </c>
      <c r="J264" s="12">
        <f>IF('Raw Data'!J264="",IF(LEN(K264)&gt;6,SQRT('Raw Data'!M264^2+N264^2),""),'Raw Data'!J264)</f>
        <v>12.7</v>
      </c>
      <c r="K264" s="7" t="str">
        <f>IF('Raw Data'!K264="","",IF(LEN('Raw Data'!K264)&lt;7,SUBSTITUTE('Raw Data'!K264," ",":",1),'Raw Data'!K264))</f>
        <v>6:00</v>
      </c>
      <c r="L264" t="str">
        <f>IF('Raw Data'!L264="","",'Raw Data'!L264)</f>
        <v/>
      </c>
      <c r="M264">
        <f>IF('Raw Data'!M264="","",'Raw Data'!M264)</f>
        <v>12.6</v>
      </c>
      <c r="N264">
        <f>IF('Raw Data'!N264="","",IF('Raw Data'!N264="-",0,'Raw Data'!N264))</f>
        <v>1.3</v>
      </c>
      <c r="O264">
        <f>IF('Raw Data'!O264="",IF('Raw Data'!N264="","",0),'Raw Data'!O264)</f>
        <v>68.7</v>
      </c>
      <c r="P264" t="str">
        <f>IF('Raw Data'!P264="","",'Raw Data'!P264)</f>
        <v/>
      </c>
      <c r="R264" s="3" t="str">
        <f t="shared" si="100"/>
        <v>-</v>
      </c>
      <c r="S264" s="3">
        <f t="shared" si="101"/>
        <v>26</v>
      </c>
      <c r="T264" s="3" t="str">
        <f t="shared" si="102"/>
        <v>-</v>
      </c>
      <c r="U264" s="3">
        <f t="shared" si="109"/>
        <v>6</v>
      </c>
      <c r="W264" s="4">
        <f t="shared" si="103"/>
        <v>12.63042807117707</v>
      </c>
      <c r="X264" s="4">
        <f t="shared" si="104"/>
        <v>1.3275114834991988</v>
      </c>
      <c r="Y264" s="3">
        <f t="shared" si="105"/>
        <v>206</v>
      </c>
      <c r="Z264" s="4">
        <f>IF('Raw Data'!O264="","",O263+N263)</f>
        <v>68.7</v>
      </c>
    </row>
    <row r="265" spans="1:26" x14ac:dyDescent="0.25">
      <c r="A265" t="str">
        <f>IF('Raw Data'!A265="","",'Raw Data'!A265)</f>
        <v>ae</v>
      </c>
      <c r="B265" t="str">
        <f>IF('Raw Data'!B265="","",'Raw Data'!B265)</f>
        <v>af</v>
      </c>
      <c r="C265">
        <f>IF('Raw Data'!C265="","",'Raw Data'!C265)</f>
        <v>7</v>
      </c>
      <c r="D265">
        <f>IF('Raw Data'!D265="","",'Raw Data'!D265)</f>
        <v>2</v>
      </c>
      <c r="E265">
        <f>IF('Raw Data'!E265="","",'Raw Data'!E265)</f>
        <v>5</v>
      </c>
      <c r="F265">
        <f>IF('Raw Data'!F265="","",'Raw Data'!F265)</f>
        <v>2</v>
      </c>
      <c r="G265" s="7" t="str">
        <f>IF('Raw Data'!G265="/","-",IF('Raw Data'!G265="","-",SUBSTITUTE('Raw Data'!G265," ",":",1)))</f>
        <v>263:00</v>
      </c>
      <c r="H265" s="7" t="str">
        <f>IF('Raw Data'!H265="/","-",IF('Raw Data'!H265="","-",SUBSTITUTE('Raw Data'!H265," ",":",1)))</f>
        <v>-</v>
      </c>
      <c r="I265" s="7" t="str">
        <f>IF('Raw Data'!I265="/","-",IF('Raw Data'!I265="","-",SUBSTITUTE('Raw Data'!I265," ",":",1)))</f>
        <v>-</v>
      </c>
      <c r="J265" s="12">
        <f>IF('Raw Data'!J265="",IF(LEN(K265)&gt;6,SQRT('Raw Data'!M265^2+N265^2),""),'Raw Data'!J265)</f>
        <v>30.5</v>
      </c>
      <c r="K265" s="7" t="str">
        <f>IF('Raw Data'!K265="","",IF(LEN('Raw Data'!K265)&lt;7,SUBSTITUTE('Raw Data'!K265," ",":",1),'Raw Data'!K265))</f>
        <v>-8:40</v>
      </c>
      <c r="L265" t="str">
        <f>IF('Raw Data'!L265="","",'Raw Data'!L265)</f>
        <v/>
      </c>
      <c r="M265">
        <f>IF('Raw Data'!M265="","",'Raw Data'!M265)</f>
        <v>30.1</v>
      </c>
      <c r="N265">
        <f>IF('Raw Data'!N265="","",IF('Raw Data'!N265="-",0,'Raw Data'!N265))</f>
        <v>-4.5999999999999996</v>
      </c>
      <c r="O265">
        <f>IF('Raw Data'!O265="",IF('Raw Data'!N265="","",0),'Raw Data'!O265)</f>
        <v>70</v>
      </c>
      <c r="P265" t="str">
        <f>IF('Raw Data'!P265="","",'Raw Data'!P265)</f>
        <v>15' aven explored by Oliver just before station</v>
      </c>
      <c r="R265" s="3">
        <f t="shared" si="100"/>
        <v>263</v>
      </c>
      <c r="S265" s="3" t="str">
        <f t="shared" si="101"/>
        <v>-</v>
      </c>
      <c r="T265" s="3" t="str">
        <f t="shared" si="102"/>
        <v>-</v>
      </c>
      <c r="U265" s="3">
        <f t="shared" si="109"/>
        <v>-8.6666666600000006</v>
      </c>
      <c r="W265" s="4">
        <f t="shared" si="103"/>
        <v>30.151742445196668</v>
      </c>
      <c r="X265" s="4">
        <f t="shared" si="104"/>
        <v>-4.5959142201009211</v>
      </c>
      <c r="Y265" s="3">
        <f t="shared" si="105"/>
        <v>263</v>
      </c>
      <c r="Z265" s="4">
        <f>IF('Raw Data'!O265="","",O264+N264)</f>
        <v>70</v>
      </c>
    </row>
    <row r="266" spans="1:26" x14ac:dyDescent="0.25">
      <c r="A266" t="str">
        <f>IF('Raw Data'!A266="","",'Raw Data'!A266)</f>
        <v>af</v>
      </c>
      <c r="B266" t="str">
        <f>IF('Raw Data'!B266="","",'Raw Data'!B266)</f>
        <v>ag</v>
      </c>
      <c r="C266">
        <f>IF('Raw Data'!C266="","",'Raw Data'!C266)</f>
        <v>5</v>
      </c>
      <c r="D266">
        <f>IF('Raw Data'!D266="","",'Raw Data'!D266)</f>
        <v>1</v>
      </c>
      <c r="E266">
        <f>IF('Raw Data'!E266="","",'Raw Data'!E266)</f>
        <v>1.5</v>
      </c>
      <c r="F266">
        <f>IF('Raw Data'!F266="","",'Raw Data'!F266)</f>
        <v>4</v>
      </c>
      <c r="G266" s="7" t="str">
        <f>IF('Raw Data'!G266="/","-",IF('Raw Data'!G266="","-",SUBSTITUTE('Raw Data'!G266," ",":",1)))</f>
        <v>-</v>
      </c>
      <c r="H266" s="7" t="str">
        <f>IF('Raw Data'!H266="/","-",IF('Raw Data'!H266="","-",SUBSTITUTE('Raw Data'!H266," ",":",1)))</f>
        <v>112:15</v>
      </c>
      <c r="I266" s="7" t="str">
        <f>IF('Raw Data'!I266="/","-",IF('Raw Data'!I266="","-",SUBSTITUTE('Raw Data'!I266," ",":",1)))</f>
        <v>-</v>
      </c>
      <c r="J266" s="12">
        <f>IF('Raw Data'!J266="",IF(LEN(K266)&gt;6,SQRT('Raw Data'!M266^2+N266^2),""),'Raw Data'!J266)</f>
        <v>27.4</v>
      </c>
      <c r="K266" s="7" t="str">
        <f>IF('Raw Data'!K266="","",IF(LEN('Raw Data'!K266)&lt;7,SUBSTITUTE('Raw Data'!K266," ",":",1),'Raw Data'!K266))</f>
        <v>0:15</v>
      </c>
      <c r="L266" t="str">
        <f>IF('Raw Data'!L266="","",'Raw Data'!L266)</f>
        <v/>
      </c>
      <c r="M266">
        <f>IF('Raw Data'!M266="","",'Raw Data'!M266)</f>
        <v>27.4</v>
      </c>
      <c r="N266">
        <f>IF('Raw Data'!N266="","",IF('Raw Data'!N266="-",0,'Raw Data'!N266))</f>
        <v>0</v>
      </c>
      <c r="O266">
        <f>IF('Raw Data'!O266="",IF('Raw Data'!N266="","",0),'Raw Data'!O266)</f>
        <v>65.400000000000006</v>
      </c>
      <c r="P266" t="str">
        <f>IF('Raw Data'!P266="","",'Raw Data'!P266)</f>
        <v/>
      </c>
      <c r="R266" s="3" t="str">
        <f t="shared" si="100"/>
        <v>-</v>
      </c>
      <c r="S266" s="3">
        <f t="shared" si="101"/>
        <v>112.25</v>
      </c>
      <c r="T266" s="3" t="str">
        <f t="shared" si="102"/>
        <v>-</v>
      </c>
      <c r="U266" s="3">
        <f t="shared" si="109"/>
        <v>0.25</v>
      </c>
      <c r="W266" s="4">
        <f t="shared" si="103"/>
        <v>27.399739171748124</v>
      </c>
      <c r="X266" s="4">
        <f t="shared" si="104"/>
        <v>0.11955467440205604</v>
      </c>
      <c r="Y266" s="3">
        <f t="shared" si="105"/>
        <v>292.25</v>
      </c>
      <c r="Z266" s="4">
        <f>IF('Raw Data'!O266="","",O265+N265)</f>
        <v>65.400000000000006</v>
      </c>
    </row>
    <row r="267" spans="1:26" x14ac:dyDescent="0.25">
      <c r="A267" t="str">
        <f>IF('Raw Data'!A267="","",'Raw Data'!A267)</f>
        <v>ag</v>
      </c>
      <c r="B267" t="str">
        <f>IF('Raw Data'!B267="","",'Raw Data'!B267)</f>
        <v>ah</v>
      </c>
      <c r="C267">
        <f>IF('Raw Data'!C267="","",'Raw Data'!C267)</f>
        <v>2</v>
      </c>
      <c r="D267">
        <f>IF('Raw Data'!D267="","",'Raw Data'!D267)</f>
        <v>1.5</v>
      </c>
      <c r="E267">
        <f>IF('Raw Data'!E267="","",'Raw Data'!E267)</f>
        <v>8</v>
      </c>
      <c r="F267">
        <f>IF('Raw Data'!F267="","",'Raw Data'!F267)</f>
        <v>2.5</v>
      </c>
      <c r="G267" s="7" t="str">
        <f>IF('Raw Data'!G267="/","-",IF('Raw Data'!G267="","-",SUBSTITUTE('Raw Data'!G267," ",":",1)))</f>
        <v>253:30</v>
      </c>
      <c r="H267" s="7" t="str">
        <f>IF('Raw Data'!H267="/","-",IF('Raw Data'!H267="","-",SUBSTITUTE('Raw Data'!H267," ",":",1)))</f>
        <v>-</v>
      </c>
      <c r="I267" s="7" t="str">
        <f>IF('Raw Data'!I267="/","-",IF('Raw Data'!I267="","-",SUBSTITUTE('Raw Data'!I267," ",":",1)))</f>
        <v>-</v>
      </c>
      <c r="J267" s="12">
        <f>IF('Raw Data'!J267="",IF(LEN(K267)&gt;6,SQRT('Raw Data'!M267^2+N267^2),""),'Raw Data'!J267)</f>
        <v>13.7</v>
      </c>
      <c r="K267" s="7" t="str">
        <f>IF('Raw Data'!K267="","",IF(LEN('Raw Data'!K267)&lt;7,SUBSTITUTE('Raw Data'!K267," ",":",1),'Raw Data'!K267))</f>
        <v>-20:20</v>
      </c>
      <c r="L267" t="str">
        <f>IF('Raw Data'!L267="","",'Raw Data'!L267)</f>
        <v/>
      </c>
      <c r="M267">
        <f>IF('Raw Data'!M267="","",'Raw Data'!M267)</f>
        <v>12.8</v>
      </c>
      <c r="N267">
        <f>IF('Raw Data'!N267="","",IF('Raw Data'!N267="-",0,'Raw Data'!N267))</f>
        <v>-4.8</v>
      </c>
      <c r="O267">
        <f>IF('Raw Data'!O267="",IF('Raw Data'!N267="","",0),'Raw Data'!O267)</f>
        <v>65.400000000000006</v>
      </c>
      <c r="P267" t="str">
        <f>IF('Raw Data'!P267="","",'Raw Data'!P267)</f>
        <v>(sketch ag) 6" above water. Sump level 60.1</v>
      </c>
      <c r="R267" s="3">
        <f t="shared" si="100"/>
        <v>253.5</v>
      </c>
      <c r="S267" s="3" t="str">
        <f t="shared" si="101"/>
        <v>-</v>
      </c>
      <c r="T267" s="3" t="str">
        <f t="shared" si="102"/>
        <v>-</v>
      </c>
      <c r="U267" s="3">
        <f t="shared" si="109"/>
        <v>-20.333333329999999</v>
      </c>
      <c r="W267" s="4">
        <f t="shared" si="103"/>
        <v>12.846311036110338</v>
      </c>
      <c r="X267" s="4">
        <f t="shared" si="104"/>
        <v>-4.7604929118222312</v>
      </c>
      <c r="Y267" s="3">
        <f t="shared" si="105"/>
        <v>253.5</v>
      </c>
      <c r="Z267" s="4">
        <f>IF('Raw Data'!O267="","",O266+N266)</f>
        <v>65.400000000000006</v>
      </c>
    </row>
    <row r="268" spans="1:26" x14ac:dyDescent="0.25">
      <c r="A268" t="str">
        <f>IF('Raw Data'!A268="","",'Raw Data'!A268)</f>
        <v>z</v>
      </c>
      <c r="B268" t="str">
        <f>IF('Raw Data'!B268="","",'Raw Data'!B268)</f>
        <v>ai</v>
      </c>
      <c r="C268" t="str">
        <f>IF('Raw Data'!C268="","",'Raw Data'!C268)</f>
        <v>/</v>
      </c>
      <c r="D268" t="str">
        <f>IF('Raw Data'!D268="","",'Raw Data'!D268)</f>
        <v>/</v>
      </c>
      <c r="E268" t="str">
        <f>IF('Raw Data'!E268="","",'Raw Data'!E268)</f>
        <v>/</v>
      </c>
      <c r="F268" t="str">
        <f>IF('Raw Data'!F268="","",'Raw Data'!F268)</f>
        <v>/</v>
      </c>
      <c r="G268" s="7" t="str">
        <f>IF('Raw Data'!G268="/","-",IF('Raw Data'!G268="","-",SUBSTITUTE('Raw Data'!G268," ",":",1)))</f>
        <v>-</v>
      </c>
      <c r="H268" s="7" t="str">
        <f>IF('Raw Data'!H268="/","-",IF('Raw Data'!H268="","-",SUBSTITUTE('Raw Data'!H268," ",":",1)))</f>
        <v>322:00</v>
      </c>
      <c r="I268" s="7" t="str">
        <f>IF('Raw Data'!I268="/","-",IF('Raw Data'!I268="","-",SUBSTITUTE('Raw Data'!I268," ",":",1)))</f>
        <v>-</v>
      </c>
      <c r="J268" s="12">
        <f>IF('Raw Data'!J268="",IF(LEN(K268)&gt;6,SQRT('Raw Data'!M268^2+N268^2),""),'Raw Data'!J268)</f>
        <v>19.2</v>
      </c>
      <c r="K268" s="7" t="str">
        <f>IF('Raw Data'!K268="","",IF(LEN('Raw Data'!K268)&lt;7,SUBSTITUTE('Raw Data'!K268," ",":",1),'Raw Data'!K268))</f>
        <v>22:00</v>
      </c>
      <c r="L268" t="str">
        <f>IF('Raw Data'!L268="","",'Raw Data'!L268)</f>
        <v/>
      </c>
      <c r="M268">
        <f>IF('Raw Data'!M268="","",'Raw Data'!M268)</f>
        <v>17.8</v>
      </c>
      <c r="N268">
        <f>IF('Raw Data'!N268="","",IF('Raw Data'!N268="-",0,'Raw Data'!N268))</f>
        <v>7.2</v>
      </c>
      <c r="O268">
        <v>60.6</v>
      </c>
      <c r="P268" t="str">
        <f>IF('Raw Data'!P268="","",'Raw Data'!P268)</f>
        <v/>
      </c>
      <c r="R268" s="3" t="str">
        <f t="shared" si="100"/>
        <v>-</v>
      </c>
      <c r="S268" s="3">
        <f t="shared" si="101"/>
        <v>322</v>
      </c>
      <c r="T268" s="3" t="str">
        <f t="shared" si="102"/>
        <v>-</v>
      </c>
      <c r="U268" s="3">
        <f t="shared" si="109"/>
        <v>22</v>
      </c>
      <c r="W268" s="4">
        <f t="shared" si="103"/>
        <v>17.801930007682319</v>
      </c>
      <c r="X268" s="4">
        <f t="shared" si="104"/>
        <v>7.1924465935855109</v>
      </c>
      <c r="Y268" s="3">
        <f t="shared" si="105"/>
        <v>142</v>
      </c>
      <c r="Z268" s="4">
        <f>IF('Raw Data'!O268="","",O267+N267)</f>
        <v>60.600000000000009</v>
      </c>
    </row>
    <row r="269" spans="1:26" x14ac:dyDescent="0.25">
      <c r="A269" t="str">
        <f>IF('Raw Data'!A269="","",'Raw Data'!A269)</f>
        <v>ai</v>
      </c>
      <c r="B269" t="str">
        <f>IF('Raw Data'!B269="","",'Raw Data'!B269)</f>
        <v>aj</v>
      </c>
      <c r="C269" t="str">
        <f>IF('Raw Data'!C269="","",'Raw Data'!C269)</f>
        <v>/</v>
      </c>
      <c r="D269" t="str">
        <f>IF('Raw Data'!D269="","",'Raw Data'!D269)</f>
        <v>/</v>
      </c>
      <c r="E269" t="str">
        <f>IF('Raw Data'!E269="","",'Raw Data'!E269)</f>
        <v>/</v>
      </c>
      <c r="F269" t="str">
        <f>IF('Raw Data'!F269="","",'Raw Data'!F269)</f>
        <v>/</v>
      </c>
      <c r="G269" s="7" t="str">
        <f>IF('Raw Data'!G269="/","-",IF('Raw Data'!G269="","-",SUBSTITUTE('Raw Data'!G269," ",":",1)))</f>
        <v>097:00</v>
      </c>
      <c r="H269" s="7" t="str">
        <f>IF('Raw Data'!H269="/","-",IF('Raw Data'!H269="","-",SUBSTITUTE('Raw Data'!H269," ",":",1)))</f>
        <v>-</v>
      </c>
      <c r="I269" s="7" t="str">
        <f>IF('Raw Data'!I269="/","-",IF('Raw Data'!I269="","-",SUBSTITUTE('Raw Data'!I269," ",":",1)))</f>
        <v>-</v>
      </c>
      <c r="J269" s="12">
        <f>IF('Raw Data'!J269="",IF(LEN(K269)&gt;6,SQRT('Raw Data'!M269^2+N269^2),""),'Raw Data'!J269)</f>
        <v>7.2</v>
      </c>
      <c r="K269" s="7" t="str">
        <f>IF('Raw Data'!K269="","",IF(LEN('Raw Data'!K269)&lt;7,SUBSTITUTE('Raw Data'!K269," ",":",1),'Raw Data'!K269))</f>
        <v>55:00</v>
      </c>
      <c r="L269" t="str">
        <f>IF('Raw Data'!L269="","",'Raw Data'!L269)</f>
        <v/>
      </c>
      <c r="M269">
        <f>IF('Raw Data'!M269="","",'Raw Data'!M269)</f>
        <v>4.0999999999999996</v>
      </c>
      <c r="N269">
        <f>IF('Raw Data'!N269="","",IF('Raw Data'!N269="-",0,'Raw Data'!N269))</f>
        <v>5.9</v>
      </c>
      <c r="O269">
        <f>IF('Raw Data'!O269="",IF('Raw Data'!N269="","",0),'Raw Data'!O269)</f>
        <v>82.2</v>
      </c>
      <c r="P269" t="str">
        <f>IF('Raw Data'!P269="","",'Raw Data'!P269)</f>
        <v/>
      </c>
      <c r="R269" s="3">
        <f t="shared" si="100"/>
        <v>97</v>
      </c>
      <c r="S269" s="3" t="str">
        <f t="shared" si="101"/>
        <v>-</v>
      </c>
      <c r="T269" s="3" t="str">
        <f t="shared" si="102"/>
        <v>-</v>
      </c>
      <c r="U269" s="3">
        <f t="shared" si="109"/>
        <v>55</v>
      </c>
      <c r="W269" s="4">
        <f t="shared" si="103"/>
        <v>4.1297503417275321</v>
      </c>
      <c r="X269" s="4">
        <f t="shared" si="104"/>
        <v>5.8978947188807407</v>
      </c>
      <c r="Y269" s="3">
        <f t="shared" si="105"/>
        <v>97</v>
      </c>
      <c r="Z269" s="4">
        <f>IF('Raw Data'!O269="","",O260+N268)</f>
        <v>82.2</v>
      </c>
    </row>
    <row r="270" spans="1:26" x14ac:dyDescent="0.25">
      <c r="A270" t="str">
        <f>IF('Raw Data'!A270="","",'Raw Data'!A270)</f>
        <v>aj</v>
      </c>
      <c r="B270" t="str">
        <f>IF('Raw Data'!B270="","",'Raw Data'!B270)</f>
        <v>ak</v>
      </c>
      <c r="C270" t="str">
        <f>IF('Raw Data'!C270="","",'Raw Data'!C270)</f>
        <v>/</v>
      </c>
      <c r="D270" t="str">
        <f>IF('Raw Data'!D270="","",'Raw Data'!D270)</f>
        <v>/</v>
      </c>
      <c r="E270" t="str">
        <f>IF('Raw Data'!E270="","",'Raw Data'!E270)</f>
        <v>/</v>
      </c>
      <c r="F270" t="str">
        <f>IF('Raw Data'!F270="","",'Raw Data'!F270)</f>
        <v>/</v>
      </c>
      <c r="G270" s="7" t="str">
        <f>IF('Raw Data'!G270="/","-",IF('Raw Data'!G270="","-",SUBSTITUTE('Raw Data'!G270," ",":",1)))</f>
        <v>099:00</v>
      </c>
      <c r="H270" s="7" t="str">
        <f>IF('Raw Data'!H270="/","-",IF('Raw Data'!H270="","-",SUBSTITUTE('Raw Data'!H270," ",":",1)))</f>
        <v>-</v>
      </c>
      <c r="I270" s="7" t="str">
        <f>IF('Raw Data'!I270="/","-",IF('Raw Data'!I270="","-",SUBSTITUTE('Raw Data'!I270," ",":",1)))</f>
        <v>-</v>
      </c>
      <c r="J270" s="12">
        <f>IF('Raw Data'!J270="",IF(LEN(K270)&gt;6,SQRT('Raw Data'!M270^2+N270^2),""),'Raw Data'!J270)</f>
        <v>19.7</v>
      </c>
      <c r="K270" s="7" t="str">
        <f>IF('Raw Data'!K270="","",IF(LEN('Raw Data'!K270)&lt;7,SUBSTITUTE('Raw Data'!K270," ",":",1),'Raw Data'!K270))</f>
        <v>18:00</v>
      </c>
      <c r="L270" t="str">
        <f>IF('Raw Data'!L270="","",'Raw Data'!L270)</f>
        <v/>
      </c>
      <c r="M270">
        <f>IF('Raw Data'!M270="","",'Raw Data'!M270)</f>
        <v>18.8</v>
      </c>
      <c r="N270">
        <f>IF('Raw Data'!N270="","",IF('Raw Data'!N270="-",0,'Raw Data'!N270))</f>
        <v>6.1</v>
      </c>
      <c r="O270">
        <f>IF('Raw Data'!O270="",IF('Raw Data'!N270="","",0),'Raw Data'!O270)</f>
        <v>88.1</v>
      </c>
      <c r="P270" t="str">
        <f>IF('Raw Data'!P270="","",'Raw Data'!P270)</f>
        <v/>
      </c>
      <c r="R270" s="3">
        <f t="shared" si="100"/>
        <v>99</v>
      </c>
      <c r="S270" s="3" t="str">
        <f t="shared" si="101"/>
        <v>-</v>
      </c>
      <c r="T270" s="3" t="str">
        <f t="shared" si="102"/>
        <v>-</v>
      </c>
      <c r="U270" s="3">
        <f t="shared" si="109"/>
        <v>18</v>
      </c>
      <c r="W270" s="4">
        <f t="shared" si="103"/>
        <v>18.735813371014522</v>
      </c>
      <c r="X270" s="4">
        <f t="shared" si="104"/>
        <v>6.0876347891864633</v>
      </c>
      <c r="Y270" s="3">
        <f t="shared" si="105"/>
        <v>99</v>
      </c>
      <c r="Z270" s="4">
        <f>IF('Raw Data'!O270="","",O269+N269)</f>
        <v>88.100000000000009</v>
      </c>
    </row>
    <row r="271" spans="1:26" x14ac:dyDescent="0.25">
      <c r="A271" t="str">
        <f>IF('Raw Data'!A271="","",'Raw Data'!A271)</f>
        <v>ak</v>
      </c>
      <c r="B271" t="str">
        <f>IF('Raw Data'!B271="","",'Raw Data'!B271)</f>
        <v>al</v>
      </c>
      <c r="C271" t="str">
        <f>IF('Raw Data'!C271="","",'Raw Data'!C271)</f>
        <v>/</v>
      </c>
      <c r="D271" t="str">
        <f>IF('Raw Data'!D271="","",'Raw Data'!D271)</f>
        <v>/</v>
      </c>
      <c r="E271" t="str">
        <f>IF('Raw Data'!E271="","",'Raw Data'!E271)</f>
        <v>/</v>
      </c>
      <c r="F271" t="str">
        <f>IF('Raw Data'!F271="","",'Raw Data'!F271)</f>
        <v>/</v>
      </c>
      <c r="G271" s="7" t="str">
        <f>IF('Raw Data'!G271="/","-",IF('Raw Data'!G271="","-",SUBSTITUTE('Raw Data'!G271," ",":",1)))</f>
        <v>106:00</v>
      </c>
      <c r="H271" s="7" t="str">
        <f>IF('Raw Data'!H271="/","-",IF('Raw Data'!H271="","-",SUBSTITUTE('Raw Data'!H271," ",":",1)))</f>
        <v>-</v>
      </c>
      <c r="I271" s="7" t="str">
        <f>IF('Raw Data'!I271="/","-",IF('Raw Data'!I271="","-",SUBSTITUTE('Raw Data'!I271," ",":",1)))</f>
        <v>-</v>
      </c>
      <c r="J271" s="12">
        <f>IF('Raw Data'!J271="",IF(LEN(K271)&gt;6,SQRT('Raw Data'!M271^2+N271^2),""),'Raw Data'!J271)</f>
        <v>9.1999999999999993</v>
      </c>
      <c r="K271" s="7" t="str">
        <f>IF('Raw Data'!K271="","",IF(LEN('Raw Data'!K271)&lt;7,SUBSTITUTE('Raw Data'!K271," ",":",1),'Raw Data'!K271))</f>
        <v>-22:00</v>
      </c>
      <c r="L271" t="str">
        <f>IF('Raw Data'!L271="","",'Raw Data'!L271)</f>
        <v/>
      </c>
      <c r="M271">
        <f>IF('Raw Data'!M271="","",'Raw Data'!M271)</f>
        <v>8.5</v>
      </c>
      <c r="N271">
        <f>IF('Raw Data'!N271="","",IF('Raw Data'!N271="-",0,'Raw Data'!N271))</f>
        <v>-3.4</v>
      </c>
      <c r="O271">
        <f>IF('Raw Data'!O271="",IF('Raw Data'!N271="","",0),'Raw Data'!O271)</f>
        <v>94.2</v>
      </c>
      <c r="P271" t="str">
        <f>IF('Raw Data'!P271="","",'Raw Data'!P271)</f>
        <v/>
      </c>
      <c r="R271" s="3">
        <f t="shared" si="100"/>
        <v>106</v>
      </c>
      <c r="S271" s="3" t="str">
        <f t="shared" si="101"/>
        <v>-</v>
      </c>
      <c r="T271" s="3" t="str">
        <f t="shared" si="102"/>
        <v>-</v>
      </c>
      <c r="U271" s="3">
        <f t="shared" si="109"/>
        <v>-22</v>
      </c>
      <c r="W271" s="4">
        <f t="shared" si="103"/>
        <v>8.5300914620144432</v>
      </c>
      <c r="X271" s="4">
        <f t="shared" si="104"/>
        <v>-3.4463806594263904</v>
      </c>
      <c r="Y271" s="3">
        <f t="shared" si="105"/>
        <v>106</v>
      </c>
      <c r="Z271" s="4">
        <f>IF('Raw Data'!O271="","",O270+N270)</f>
        <v>94.199999999999989</v>
      </c>
    </row>
    <row r="272" spans="1:26" x14ac:dyDescent="0.25">
      <c r="A272" t="str">
        <f>IF('Raw Data'!A272="","",'Raw Data'!A272)</f>
        <v>al</v>
      </c>
      <c r="B272" t="str">
        <f>IF('Raw Data'!B272="","",'Raw Data'!B272)</f>
        <v>am</v>
      </c>
      <c r="C272" t="str">
        <f>IF('Raw Data'!C272="","",'Raw Data'!C272)</f>
        <v>/</v>
      </c>
      <c r="D272" t="str">
        <f>IF('Raw Data'!D272="","",'Raw Data'!D272)</f>
        <v>/</v>
      </c>
      <c r="E272" t="str">
        <f>IF('Raw Data'!E272="","",'Raw Data'!E272)</f>
        <v>/</v>
      </c>
      <c r="F272" t="str">
        <f>IF('Raw Data'!F272="","",'Raw Data'!F272)</f>
        <v>/</v>
      </c>
      <c r="G272" s="7" t="str">
        <f>IF('Raw Data'!G272="/","-",IF('Raw Data'!G272="","-",SUBSTITUTE('Raw Data'!G272," ",":",1)))</f>
        <v>101:00</v>
      </c>
      <c r="H272" s="7" t="str">
        <f>IF('Raw Data'!H272="/","-",IF('Raw Data'!H272="","-",SUBSTITUTE('Raw Data'!H272," ",":",1)))</f>
        <v>-</v>
      </c>
      <c r="I272" s="7" t="str">
        <f>IF('Raw Data'!I272="/","-",IF('Raw Data'!I272="","-",SUBSTITUTE('Raw Data'!I272," ",":",1)))</f>
        <v>-</v>
      </c>
      <c r="J272" s="16">
        <f>IF(LEN(K272)&gt;6,SQRT('Raw Data'!M272^2+N272^2),'Raw Data'!J272)</f>
        <v>15.628499608087784</v>
      </c>
      <c r="K272" s="7" t="str">
        <f>IF('Raw Data'!K272="","",IF(LEN('Raw Data'!K272)&lt;7,SUBSTITUTE('Raw Data'!K272," ",":",1),'Raw Data'!K272))</f>
        <v>+ 2 feet</v>
      </c>
      <c r="L272" t="str">
        <f>IF('Raw Data'!L272="","",'Raw Data'!L272)</f>
        <v/>
      </c>
      <c r="M272">
        <f>IF('Raw Data'!M272="","",'Raw Data'!M272)</f>
        <v>15.5</v>
      </c>
      <c r="N272">
        <f>IF('Raw Data'!N272="","",IF('Raw Data'!N272="-",0,'Raw Data'!N272))</f>
        <v>2</v>
      </c>
      <c r="O272">
        <f>IF('Raw Data'!O272="",IF('Raw Data'!N272="","",0),'Raw Data'!O272)</f>
        <v>90.8</v>
      </c>
      <c r="P272" t="str">
        <f>IF('Raw Data'!P272="","",'Raw Data'!P272)</f>
        <v>Near side of duck (in dry weather)</v>
      </c>
      <c r="R272" s="3">
        <f t="shared" si="100"/>
        <v>101</v>
      </c>
      <c r="S272" s="3" t="str">
        <f t="shared" si="101"/>
        <v>-</v>
      </c>
      <c r="T272" s="3" t="str">
        <f t="shared" si="102"/>
        <v>-</v>
      </c>
      <c r="U272" s="9">
        <f>ASIN(N272/J272)*180/PI()</f>
        <v>7.3523793598923577</v>
      </c>
      <c r="W272" s="4">
        <f t="shared" si="103"/>
        <v>15.5</v>
      </c>
      <c r="X272" s="4">
        <f t="shared" si="104"/>
        <v>1.9999999999999998</v>
      </c>
      <c r="Y272" s="3">
        <f t="shared" si="105"/>
        <v>101</v>
      </c>
      <c r="Z272" s="4">
        <f>IF('Raw Data'!O272="","",O271+N271)</f>
        <v>90.8</v>
      </c>
    </row>
    <row r="273" spans="1:27" x14ac:dyDescent="0.25">
      <c r="A273" t="str">
        <f>IF('Raw Data'!A273="","",'Raw Data'!A273)</f>
        <v>am</v>
      </c>
      <c r="B273" t="str">
        <f>IF('Raw Data'!B273="","",'Raw Data'!B273)</f>
        <v>an</v>
      </c>
      <c r="C273" t="str">
        <f>IF('Raw Data'!C273="","",'Raw Data'!C273)</f>
        <v>/</v>
      </c>
      <c r="D273" t="str">
        <f>IF('Raw Data'!D273="","",'Raw Data'!D273)</f>
        <v>/</v>
      </c>
      <c r="E273" t="str">
        <f>IF('Raw Data'!E273="","",'Raw Data'!E273)</f>
        <v>/</v>
      </c>
      <c r="F273" t="str">
        <f>IF('Raw Data'!F273="","",'Raw Data'!F273)</f>
        <v>/</v>
      </c>
      <c r="G273" s="7" t="str">
        <f>IF('Raw Data'!G273="/","-",IF('Raw Data'!G273="","-",SUBSTITUTE('Raw Data'!G273," ",":",1)))</f>
        <v>080:00</v>
      </c>
      <c r="H273" s="7" t="str">
        <f>IF('Raw Data'!H273="/","-",IF('Raw Data'!H273="","-",SUBSTITUTE('Raw Data'!H273," ",":",1)))</f>
        <v>-</v>
      </c>
      <c r="I273" s="7" t="str">
        <f>IF('Raw Data'!I273="/","-",IF('Raw Data'!I273="","-",SUBSTITUTE('Raw Data'!I273," ",":",1)))</f>
        <v>-</v>
      </c>
      <c r="J273" s="12">
        <f>IF('Raw Data'!J273="",IF(LEN(K273)&gt;6,SQRT('Raw Data'!M273^2+N273^2),""),'Raw Data'!J273)</f>
        <v>12.3</v>
      </c>
      <c r="K273" s="7" t="str">
        <f>IF('Raw Data'!K273="","",IF(LEN('Raw Data'!K273)&lt;7,SUBSTITUTE('Raw Data'!K273," ",":",1),'Raw Data'!K273))</f>
        <v>22:00</v>
      </c>
      <c r="L273" t="str">
        <f>IF('Raw Data'!L273="","",'Raw Data'!L273)</f>
        <v/>
      </c>
      <c r="M273">
        <f>IF('Raw Data'!M273="","",'Raw Data'!M273)</f>
        <v>11.4</v>
      </c>
      <c r="N273">
        <f>IF('Raw Data'!N273="","",IF('Raw Data'!N273="-",0,'Raw Data'!N273))</f>
        <v>4.5999999999999996</v>
      </c>
      <c r="O273">
        <f>IF('Raw Data'!O273="",IF('Raw Data'!N273="","",0),'Raw Data'!O273)</f>
        <v>92.8</v>
      </c>
      <c r="P273" t="str">
        <f>IF('Raw Data'!P273="","",'Raw Data'!P273)</f>
        <v>Far side of duck (in dry weather)</v>
      </c>
      <c r="R273" s="3">
        <f t="shared" si="100"/>
        <v>80</v>
      </c>
      <c r="S273" s="3" t="str">
        <f t="shared" si="101"/>
        <v>-</v>
      </c>
      <c r="T273" s="3" t="str">
        <f t="shared" si="102"/>
        <v>-</v>
      </c>
      <c r="U273" s="3">
        <f t="shared" ref="U273:U276" si="110">IF(ISERROR(FIND(":",K273)),IF(K273="zero",0,1*K273),1*CONCATENATE(LEFT(K273,FIND(":",K273)-1),".",MID(RIGHT(K273,LEN(K273)-FIND(":",K273))/60,3,8)))</f>
        <v>22</v>
      </c>
      <c r="W273" s="4">
        <f t="shared" si="103"/>
        <v>11.404361411171486</v>
      </c>
      <c r="X273" s="4">
        <f t="shared" si="104"/>
        <v>4.6076610990157176</v>
      </c>
      <c r="Y273" s="3">
        <f t="shared" si="105"/>
        <v>80</v>
      </c>
      <c r="Z273" s="4">
        <f>IF('Raw Data'!O273="","",O272+N272)</f>
        <v>92.8</v>
      </c>
    </row>
    <row r="274" spans="1:27" x14ac:dyDescent="0.25">
      <c r="A274" t="str">
        <f>IF('Raw Data'!A274="","",'Raw Data'!A274)</f>
        <v>an</v>
      </c>
      <c r="B274" t="str">
        <f>IF('Raw Data'!B274="","",'Raw Data'!B274)</f>
        <v>ao</v>
      </c>
      <c r="C274" t="str">
        <f>IF('Raw Data'!C274="","",'Raw Data'!C274)</f>
        <v>/</v>
      </c>
      <c r="D274" t="str">
        <f>IF('Raw Data'!D274="","",'Raw Data'!D274)</f>
        <v>/</v>
      </c>
      <c r="E274" t="str">
        <f>IF('Raw Data'!E274="","",'Raw Data'!E274)</f>
        <v>/</v>
      </c>
      <c r="F274" t="str">
        <f>IF('Raw Data'!F274="","",'Raw Data'!F274)</f>
        <v>/</v>
      </c>
      <c r="G274" s="7" t="str">
        <f>IF('Raw Data'!G274="/","-",IF('Raw Data'!G274="","-",SUBSTITUTE('Raw Data'!G274," ",":",1)))</f>
        <v>114:00</v>
      </c>
      <c r="H274" s="7" t="str">
        <f>IF('Raw Data'!H274="/","-",IF('Raw Data'!H274="","-",SUBSTITUTE('Raw Data'!H274," ",":",1)))</f>
        <v>-</v>
      </c>
      <c r="I274" s="7" t="str">
        <f>IF('Raw Data'!I274="/","-",IF('Raw Data'!I274="","-",SUBSTITUTE('Raw Data'!I274," ",":",1)))</f>
        <v>-</v>
      </c>
      <c r="J274" s="12">
        <f>IF('Raw Data'!J274="",IF(LEN(K274)&gt;6,SQRT('Raw Data'!M274^2+N274^2),""),'Raw Data'!J274)</f>
        <v>14.5</v>
      </c>
      <c r="K274" s="7" t="str">
        <f>IF('Raw Data'!K274="","",IF(LEN('Raw Data'!K274)&lt;7,SUBSTITUTE('Raw Data'!K274," ",":",1),'Raw Data'!K274))</f>
        <v>50:00</v>
      </c>
      <c r="L274" t="str">
        <f>IF('Raw Data'!L274="","",'Raw Data'!L274)</f>
        <v/>
      </c>
      <c r="M274">
        <f>IF('Raw Data'!M274="","",'Raw Data'!M274)</f>
        <v>9.3000000000000007</v>
      </c>
      <c r="N274">
        <f>IF('Raw Data'!N274="","",IF('Raw Data'!N274="-",0,'Raw Data'!N274))</f>
        <v>11.1</v>
      </c>
      <c r="O274">
        <f>IF('Raw Data'!O274="",IF('Raw Data'!N274="","",0),'Raw Data'!O274)</f>
        <v>97.4</v>
      </c>
      <c r="P274" t="str">
        <f>IF('Raw Data'!P274="","",'Raw Data'!P274)</f>
        <v/>
      </c>
      <c r="R274" s="3">
        <f t="shared" si="100"/>
        <v>114</v>
      </c>
      <c r="S274" s="3" t="str">
        <f t="shared" si="101"/>
        <v>-</v>
      </c>
      <c r="T274" s="3" t="str">
        <f t="shared" si="102"/>
        <v>-</v>
      </c>
      <c r="U274" s="3">
        <f t="shared" si="110"/>
        <v>50</v>
      </c>
      <c r="W274" s="4">
        <f t="shared" si="103"/>
        <v>9.3204203404548203</v>
      </c>
      <c r="X274" s="4">
        <f t="shared" si="104"/>
        <v>11.107644425225182</v>
      </c>
      <c r="Y274" s="3">
        <f t="shared" si="105"/>
        <v>114</v>
      </c>
      <c r="Z274" s="4">
        <f>IF('Raw Data'!O274="","",O273+N273)</f>
        <v>97.399999999999991</v>
      </c>
    </row>
    <row r="275" spans="1:27" x14ac:dyDescent="0.25">
      <c r="A275" t="str">
        <f>IF('Raw Data'!A275="","",'Raw Data'!A275)</f>
        <v>ao</v>
      </c>
      <c r="B275" t="str">
        <f>IF('Raw Data'!B275="","",'Raw Data'!B275)</f>
        <v>ap</v>
      </c>
      <c r="C275" t="str">
        <f>IF('Raw Data'!C275="","",'Raw Data'!C275)</f>
        <v>/</v>
      </c>
      <c r="D275" t="str">
        <f>IF('Raw Data'!D275="","",'Raw Data'!D275)</f>
        <v>/</v>
      </c>
      <c r="E275" t="str">
        <f>IF('Raw Data'!E275="","",'Raw Data'!E275)</f>
        <v>/</v>
      </c>
      <c r="F275" t="str">
        <f>IF('Raw Data'!F275="","",'Raw Data'!F275)</f>
        <v>/</v>
      </c>
      <c r="G275" s="7" t="str">
        <f>IF('Raw Data'!G275="/","-",IF('Raw Data'!G275="","-",SUBSTITUTE('Raw Data'!G275," ",":",1)))</f>
        <v>103:00</v>
      </c>
      <c r="H275" s="7" t="str">
        <f>IF('Raw Data'!H275="/","-",IF('Raw Data'!H275="","-",SUBSTITUTE('Raw Data'!H275," ",":",1)))</f>
        <v>-</v>
      </c>
      <c r="I275" s="7" t="str">
        <f>IF('Raw Data'!I275="/","-",IF('Raw Data'!I275="","-",SUBSTITUTE('Raw Data'!I275," ",":",1)))</f>
        <v>-</v>
      </c>
      <c r="J275" s="12">
        <f>IF('Raw Data'!J275="",IF(LEN(K275)&gt;6,SQRT('Raw Data'!M275^2+N275^2),""),'Raw Data'!J275)</f>
        <v>17.8</v>
      </c>
      <c r="K275" s="7" t="str">
        <f>IF('Raw Data'!K275="","",IF(LEN('Raw Data'!K275)&lt;7,SUBSTITUTE('Raw Data'!K275," ",":",1),'Raw Data'!K275))</f>
        <v>-6:30</v>
      </c>
      <c r="L275" t="str">
        <f>IF('Raw Data'!L275="","",'Raw Data'!L275)</f>
        <v/>
      </c>
      <c r="M275">
        <f>IF('Raw Data'!M275="","",'Raw Data'!M275)</f>
        <v>17.600000000000001</v>
      </c>
      <c r="N275">
        <f>IF('Raw Data'!N275="","",IF('Raw Data'!N275="-",0,'Raw Data'!N275))</f>
        <v>-2</v>
      </c>
      <c r="O275">
        <f>IF('Raw Data'!O275="",IF('Raw Data'!N275="","",0),'Raw Data'!O275)</f>
        <v>108.5</v>
      </c>
      <c r="P275" t="str">
        <f>IF('Raw Data'!P275="","",'Raw Data'!P275)</f>
        <v/>
      </c>
      <c r="R275" s="3">
        <f t="shared" si="100"/>
        <v>103</v>
      </c>
      <c r="S275" s="3" t="str">
        <f t="shared" si="101"/>
        <v>-</v>
      </c>
      <c r="T275" s="3" t="str">
        <f t="shared" si="102"/>
        <v>-</v>
      </c>
      <c r="U275" s="3">
        <f t="shared" si="110"/>
        <v>-6.5</v>
      </c>
      <c r="W275" s="4">
        <f t="shared" si="103"/>
        <v>17.685579031043257</v>
      </c>
      <c r="X275" s="4">
        <f t="shared" si="104"/>
        <v>-2.0150172050687396</v>
      </c>
      <c r="Y275" s="3">
        <f t="shared" si="105"/>
        <v>103</v>
      </c>
      <c r="Z275" s="4">
        <f>IF('Raw Data'!O275="","",O274+N274)</f>
        <v>108.5</v>
      </c>
    </row>
    <row r="276" spans="1:27" x14ac:dyDescent="0.25">
      <c r="A276" t="str">
        <f>IF('Raw Data'!A276="","",'Raw Data'!A276)</f>
        <v>ap</v>
      </c>
      <c r="B276" t="str">
        <f>IF('Raw Data'!B276="","",'Raw Data'!B276)</f>
        <v>aq</v>
      </c>
      <c r="C276" t="str">
        <f>IF('Raw Data'!C276="","",'Raw Data'!C276)</f>
        <v>/</v>
      </c>
      <c r="D276" t="str">
        <f>IF('Raw Data'!D276="","",'Raw Data'!D276)</f>
        <v>/</v>
      </c>
      <c r="E276" t="str">
        <f>IF('Raw Data'!E276="","",'Raw Data'!E276)</f>
        <v>/</v>
      </c>
      <c r="F276" t="str">
        <f>IF('Raw Data'!F276="","",'Raw Data'!F276)</f>
        <v>/</v>
      </c>
      <c r="G276" s="7" t="str">
        <f>IF('Raw Data'!G276="/","-",IF('Raw Data'!G276="","-",SUBSTITUTE('Raw Data'!G276," ",":",1)))</f>
        <v>026:00</v>
      </c>
      <c r="H276" s="7" t="str">
        <f>IF('Raw Data'!H276="/","-",IF('Raw Data'!H276="","-",SUBSTITUTE('Raw Data'!H276," ",":",1)))</f>
        <v>-</v>
      </c>
      <c r="I276" s="7" t="str">
        <f>IF('Raw Data'!I276="/","-",IF('Raw Data'!I276="","-",SUBSTITUTE('Raw Data'!I276," ",":",1)))</f>
        <v>-</v>
      </c>
      <c r="J276" s="12">
        <f>IF('Raw Data'!J276="",IF(LEN(K276)&gt;6,SQRT('Raw Data'!M276^2+N276^2),""),'Raw Data'!J276)</f>
        <v>7.7</v>
      </c>
      <c r="K276" s="7" t="str">
        <f>IF('Raw Data'!K276="","",IF(LEN('Raw Data'!K276)&lt;7,SUBSTITUTE('Raw Data'!K276," ",":",1),'Raw Data'!K276))</f>
        <v>-53:00</v>
      </c>
      <c r="L276" t="str">
        <f>IF('Raw Data'!L276="","",'Raw Data'!L276)</f>
        <v/>
      </c>
      <c r="M276">
        <f>IF('Raw Data'!M276="","",'Raw Data'!M276)</f>
        <v>4.5999999999999996</v>
      </c>
      <c r="N276">
        <f>IF('Raw Data'!N276="","",IF('Raw Data'!N276="-",0,'Raw Data'!N276))</f>
        <v>-6.1</v>
      </c>
      <c r="O276">
        <f>IF('Raw Data'!O276="",IF('Raw Data'!N276="","",0),'Raw Data'!O276)</f>
        <v>106.5</v>
      </c>
      <c r="P276" t="str">
        <f>IF('Raw Data'!P276="","",'Raw Data'!P276)</f>
        <v/>
      </c>
      <c r="R276" s="3">
        <f t="shared" si="100"/>
        <v>26</v>
      </c>
      <c r="S276" s="3" t="str">
        <f t="shared" si="101"/>
        <v>-</v>
      </c>
      <c r="T276" s="3" t="str">
        <f t="shared" si="102"/>
        <v>-</v>
      </c>
      <c r="U276" s="3">
        <f t="shared" si="110"/>
        <v>-53</v>
      </c>
      <c r="W276" s="4">
        <f t="shared" si="103"/>
        <v>4.6339756782707724</v>
      </c>
      <c r="X276" s="4">
        <f t="shared" si="104"/>
        <v>-6.1494934273641553</v>
      </c>
      <c r="Y276" s="3">
        <f t="shared" si="105"/>
        <v>26</v>
      </c>
      <c r="Z276" s="4">
        <f>IF('Raw Data'!O276="","",O275+N275)</f>
        <v>106.5</v>
      </c>
    </row>
    <row r="277" spans="1:27" x14ac:dyDescent="0.25">
      <c r="A277" t="str">
        <f>IF('Raw Data'!A277="","",'Raw Data'!A277)</f>
        <v>aq</v>
      </c>
      <c r="B277" t="str">
        <f>IF('Raw Data'!B277="","",'Raw Data'!B277)</f>
        <v>ar</v>
      </c>
      <c r="C277" t="str">
        <f>IF('Raw Data'!C277="","",'Raw Data'!C277)</f>
        <v>/</v>
      </c>
      <c r="D277" t="str">
        <f>IF('Raw Data'!D277="","",'Raw Data'!D277)</f>
        <v>/</v>
      </c>
      <c r="E277" t="str">
        <f>IF('Raw Data'!E277="","",'Raw Data'!E277)</f>
        <v>/</v>
      </c>
      <c r="F277" t="str">
        <f>IF('Raw Data'!F277="","",'Raw Data'!F277)</f>
        <v>/</v>
      </c>
      <c r="G277" s="7" t="str">
        <f>IF('Raw Data'!G277="/","-",IF('Raw Data'!G277="","-",SUBSTITUTE('Raw Data'!G277," ",":",1)))</f>
        <v>003:00</v>
      </c>
      <c r="H277" s="7" t="str">
        <f>IF('Raw Data'!H277="/","-",IF('Raw Data'!H277="","-",SUBSTITUTE('Raw Data'!H277," ",":",1)))</f>
        <v>-</v>
      </c>
      <c r="I277" s="7" t="str">
        <f>IF('Raw Data'!I277="/","-",IF('Raw Data'!I277="","-",SUBSTITUTE('Raw Data'!I277," ",":",1)))</f>
        <v>-</v>
      </c>
      <c r="J277" s="12">
        <f>IF('Raw Data'!J277="",IF(LEN(K277)&gt;6,SQRT('Raw Data'!M277^2+N277^2),""),'Raw Data'!J277)</f>
        <v>8.5</v>
      </c>
      <c r="K277" s="7" t="str">
        <f>IF('Raw Data'!K277="","",IF(LEN('Raw Data'!K277)&lt;7,SUBSTITUTE('Raw Data'!K277," ",":",1),'Raw Data'!K277))</f>
        <v>level</v>
      </c>
      <c r="L277" t="str">
        <f>IF('Raw Data'!L277="","",'Raw Data'!L277)</f>
        <v/>
      </c>
      <c r="M277">
        <f>IF('Raw Data'!M277="","",'Raw Data'!M277)</f>
        <v>8.5</v>
      </c>
      <c r="N277">
        <f>IF('Raw Data'!N277="","",IF('Raw Data'!N277="-",0,'Raw Data'!N277))</f>
        <v>0</v>
      </c>
      <c r="O277">
        <f>IF('Raw Data'!O277="",IF('Raw Data'!N277="","",0),'Raw Data'!O277)</f>
        <v>100.4</v>
      </c>
      <c r="P277" t="str">
        <f>IF('Raw Data'!P277="","",'Raw Data'!P277)</f>
        <v/>
      </c>
      <c r="R277" s="3">
        <f t="shared" si="100"/>
        <v>3</v>
      </c>
      <c r="S277" s="3" t="str">
        <f t="shared" si="101"/>
        <v>-</v>
      </c>
      <c r="T277" s="3" t="str">
        <f t="shared" si="102"/>
        <v>-</v>
      </c>
      <c r="U277" s="9">
        <f>ASIN(N277/J277)*180/PI()</f>
        <v>0</v>
      </c>
      <c r="W277" s="4">
        <f t="shared" si="103"/>
        <v>8.5</v>
      </c>
      <c r="X277" s="4">
        <f t="shared" si="104"/>
        <v>0</v>
      </c>
      <c r="Y277" s="3">
        <f t="shared" si="105"/>
        <v>3</v>
      </c>
      <c r="Z277" s="4">
        <f>IF('Raw Data'!O277="","",O276+N276)</f>
        <v>100.4</v>
      </c>
    </row>
    <row r="278" spans="1:27" x14ac:dyDescent="0.25">
      <c r="A278" t="str">
        <f>IF('Raw Data'!A278="","",'Raw Data'!A278)</f>
        <v>ar</v>
      </c>
      <c r="B278" t="str">
        <f>IF('Raw Data'!B278="","",'Raw Data'!B278)</f>
        <v>as</v>
      </c>
      <c r="C278" t="str">
        <f>IF('Raw Data'!C278="","",'Raw Data'!C278)</f>
        <v>/</v>
      </c>
      <c r="D278" t="str">
        <f>IF('Raw Data'!D278="","",'Raw Data'!D278)</f>
        <v>/</v>
      </c>
      <c r="E278" t="str">
        <f>IF('Raw Data'!E278="","",'Raw Data'!E278)</f>
        <v>/</v>
      </c>
      <c r="F278" t="str">
        <f>IF('Raw Data'!F278="","",'Raw Data'!F278)</f>
        <v>/</v>
      </c>
      <c r="G278" s="7" t="str">
        <f>IF('Raw Data'!G278="/","-",IF('Raw Data'!G278="","-",SUBSTITUTE('Raw Data'!G278," ",":",1)))</f>
        <v>022:00</v>
      </c>
      <c r="H278" s="7" t="str">
        <f>IF('Raw Data'!H278="/","-",IF('Raw Data'!H278="","-",SUBSTITUTE('Raw Data'!H278," ",":",1)))</f>
        <v>-</v>
      </c>
      <c r="I278" s="7" t="str">
        <f>IF('Raw Data'!I278="/","-",IF('Raw Data'!I278="","-",SUBSTITUTE('Raw Data'!I278," ",":",1)))</f>
        <v>-</v>
      </c>
      <c r="J278" s="12">
        <f>IF('Raw Data'!J278="",IF(LEN(K278)&gt;6,SQRT('Raw Data'!M278^2+N278^2),""),'Raw Data'!J278)</f>
        <v>10.8</v>
      </c>
      <c r="K278" s="7" t="str">
        <f>IF('Raw Data'!K278="","",IF(LEN('Raw Data'!K278)&lt;7,SUBSTITUTE('Raw Data'!K278," ",":",1),'Raw Data'!K278))</f>
        <v>level</v>
      </c>
      <c r="L278" t="str">
        <f>IF('Raw Data'!L278="","",'Raw Data'!L278)</f>
        <v/>
      </c>
      <c r="M278">
        <f>IF('Raw Data'!M278="","",'Raw Data'!M278)</f>
        <v>10.8</v>
      </c>
      <c r="N278">
        <f>IF('Raw Data'!N278="","",IF('Raw Data'!N278="-",0,'Raw Data'!N278))</f>
        <v>0</v>
      </c>
      <c r="O278">
        <f>IF('Raw Data'!O278="",IF('Raw Data'!N278="","",0),'Raw Data'!O278)</f>
        <v>100.4</v>
      </c>
      <c r="P278" t="str">
        <f>IF('Raw Data'!P278="","",'Raw Data'!P278)</f>
        <v>(sketch at-au) descends at 15 or 20 degrees. i.e. -9 feet vertical. Sump?</v>
      </c>
      <c r="R278" s="3">
        <f t="shared" si="100"/>
        <v>22</v>
      </c>
      <c r="S278" s="3" t="str">
        <f t="shared" si="101"/>
        <v>-</v>
      </c>
      <c r="T278" s="3" t="str">
        <f t="shared" si="102"/>
        <v>-</v>
      </c>
      <c r="U278" s="9">
        <f>ASIN(N278/J278)*180/PI()</f>
        <v>0</v>
      </c>
      <c r="W278" s="4">
        <f t="shared" si="103"/>
        <v>10.8</v>
      </c>
      <c r="X278" s="4">
        <f t="shared" si="104"/>
        <v>0</v>
      </c>
      <c r="Y278" s="3">
        <f t="shared" si="105"/>
        <v>22</v>
      </c>
      <c r="Z278" s="4">
        <f>IF('Raw Data'!O278="","",O277+N277)</f>
        <v>100.4</v>
      </c>
    </row>
    <row r="279" spans="1:27" x14ac:dyDescent="0.25">
      <c r="A279" t="str">
        <f>IF('Raw Data'!A279="","",'Raw Data'!A279)</f>
        <v>as</v>
      </c>
      <c r="B279" t="str">
        <f>IF('Raw Data'!B279="","",'Raw Data'!B279)</f>
        <v>at</v>
      </c>
      <c r="C279" t="str">
        <f>IF('Raw Data'!C279="","",'Raw Data'!C279)</f>
        <v>/</v>
      </c>
      <c r="D279" t="str">
        <f>IF('Raw Data'!D279="","",'Raw Data'!D279)</f>
        <v>/</v>
      </c>
      <c r="E279" t="str">
        <f>IF('Raw Data'!E279="","",'Raw Data'!E279)</f>
        <v>/</v>
      </c>
      <c r="F279" t="str">
        <f>IF('Raw Data'!F279="","",'Raw Data'!F279)</f>
        <v>/</v>
      </c>
      <c r="G279" s="7" t="str">
        <f>IF('Raw Data'!G279="/","-",IF('Raw Data'!G279="","-",SUBSTITUTE('Raw Data'!G279," ",":",1)))</f>
        <v>003:00</v>
      </c>
      <c r="H279" s="7" t="str">
        <f>IF('Raw Data'!H279="/","-",IF('Raw Data'!H279="","-",SUBSTITUTE('Raw Data'!H279," ",":",1)))</f>
        <v>-</v>
      </c>
      <c r="I279" s="7" t="str">
        <f>IF('Raw Data'!I279="/","-",IF('Raw Data'!I279="","-",SUBSTITUTE('Raw Data'!I279," ",":",1)))</f>
        <v>-</v>
      </c>
      <c r="J279" s="12">
        <f>IF('Raw Data'!J279="",IF(LEN(K279)&gt;6,SQRT('Raw Data'!M279^2+N279^2),""),'Raw Data'!J279)</f>
        <v>18.399999999999999</v>
      </c>
      <c r="K279" s="7" t="str">
        <f>IF('Raw Data'!K279="","",IF(LEN('Raw Data'!K279)&lt;7,SUBSTITUTE('Raw Data'!K279," ",":",1),'Raw Data'!K279))</f>
        <v>-2.5 feet</v>
      </c>
      <c r="L279" t="str">
        <f>IF('Raw Data'!L279="","",'Raw Data'!L279)</f>
        <v/>
      </c>
      <c r="M279">
        <f>IF('Raw Data'!M279="","",'Raw Data'!M279)</f>
        <v>18.100000000000001</v>
      </c>
      <c r="N279">
        <f>IF('Raw Data'!N279="","",IF('Raw Data'!N279="-",0,'Raw Data'!N279))</f>
        <v>-2.5</v>
      </c>
      <c r="O279">
        <f>IF('Raw Data'!O279="",IF('Raw Data'!N279="","",0),'Raw Data'!O279)</f>
        <v>100.4</v>
      </c>
      <c r="P279" t="str">
        <f>IF('Raw Data'!P279="","",'Raw Data'!P279)</f>
        <v/>
      </c>
      <c r="R279" s="3">
        <f t="shared" si="100"/>
        <v>3</v>
      </c>
      <c r="S279" s="3" t="str">
        <f t="shared" si="101"/>
        <v>-</v>
      </c>
      <c r="T279" s="3" t="str">
        <f t="shared" si="102"/>
        <v>-</v>
      </c>
      <c r="U279" s="9">
        <f>ASIN(N279/J279)*180/PI()</f>
        <v>-7.8089056267920371</v>
      </c>
      <c r="W279" s="4">
        <f t="shared" si="103"/>
        <v>18.229371903606552</v>
      </c>
      <c r="X279" s="4">
        <f t="shared" si="104"/>
        <v>-2.5000000000000009</v>
      </c>
      <c r="Y279" s="3">
        <f t="shared" si="105"/>
        <v>3</v>
      </c>
      <c r="Z279" s="4">
        <f>IF('Raw Data'!O279="","",O278+N278)</f>
        <v>100.4</v>
      </c>
    </row>
    <row r="280" spans="1:27" x14ac:dyDescent="0.25">
      <c r="A280" t="str">
        <f>IF('Raw Data'!A280="","",'Raw Data'!A280)</f>
        <v>at</v>
      </c>
      <c r="B280" t="str">
        <f>IF('Raw Data'!B280="","",'Raw Data'!B280)</f>
        <v>au</v>
      </c>
      <c r="C280" t="str">
        <f>IF('Raw Data'!C280="","",'Raw Data'!C280)</f>
        <v>/</v>
      </c>
      <c r="D280" t="str">
        <f>IF('Raw Data'!D280="","",'Raw Data'!D280)</f>
        <v>/</v>
      </c>
      <c r="E280" t="str">
        <f>IF('Raw Data'!E280="","",'Raw Data'!E280)</f>
        <v>/</v>
      </c>
      <c r="F280" t="str">
        <f>IF('Raw Data'!F280="","",'Raw Data'!F280)</f>
        <v>/</v>
      </c>
      <c r="G280" s="7" t="str">
        <f>IF('Raw Data'!G280="/","-",IF('Raw Data'!G280="","-",SUBSTITUTE('Raw Data'!G280," ",":",1)))</f>
        <v>355:00</v>
      </c>
      <c r="H280" s="7" t="str">
        <f>IF('Raw Data'!H280="/","-",IF('Raw Data'!H280="","-",SUBSTITUTE('Raw Data'!H280," ",":",1)))</f>
        <v>-</v>
      </c>
      <c r="I280" s="7" t="str">
        <f>IF('Raw Data'!I280="/","-",IF('Raw Data'!I280="","-",SUBSTITUTE('Raw Data'!I280," ",":",1)))</f>
        <v>-</v>
      </c>
      <c r="J280" s="16">
        <f>IF(LEN(K280)&gt;6,SQRT('Raw Data'!M280^2+N280^2),'Raw Data'!J280)</f>
        <v>10.6</v>
      </c>
      <c r="K280" s="7" t="str">
        <f>IF('Raw Data'!K280="","",IF(LEN('Raw Data'!K280)&lt;7,SUBSTITUTE('Raw Data'!K280," ",":",1),'Raw Data'!K280))</f>
        <v>up &amp; down 2'</v>
      </c>
      <c r="L280" t="str">
        <f>IF('Raw Data'!L280="","",'Raw Data'!L280)</f>
        <v/>
      </c>
      <c r="M280">
        <f>IF('Raw Data'!M280="","",'Raw Data'!M280)</f>
        <v>10.6</v>
      </c>
      <c r="N280">
        <f>IF('Raw Data'!N280="","",IF('Raw Data'!N280="-",0,'Raw Data'!N280))</f>
        <v>0</v>
      </c>
      <c r="O280">
        <f>IF('Raw Data'!O280="",IF('Raw Data'!N280="","",0),'Raw Data'!O280)</f>
        <v>97.9</v>
      </c>
      <c r="P280" t="str">
        <f>IF('Raw Data'!P280="","",'Raw Data'!P280)</f>
        <v/>
      </c>
      <c r="R280" s="3">
        <f t="shared" si="100"/>
        <v>355</v>
      </c>
      <c r="S280" s="3" t="str">
        <f t="shared" si="101"/>
        <v>-</v>
      </c>
      <c r="T280" s="3" t="str">
        <f t="shared" si="102"/>
        <v>-</v>
      </c>
      <c r="U280" s="9">
        <f>ASIN(N280/J280)*180/PI()</f>
        <v>0</v>
      </c>
      <c r="W280" s="4">
        <f t="shared" si="103"/>
        <v>10.6</v>
      </c>
      <c r="X280" s="4">
        <f t="shared" si="104"/>
        <v>0</v>
      </c>
      <c r="Y280" s="3">
        <f t="shared" si="105"/>
        <v>355</v>
      </c>
      <c r="Z280" s="4">
        <f>IF('Raw Data'!O280="","",O279+N279)</f>
        <v>97.9</v>
      </c>
    </row>
    <row r="281" spans="1:27" x14ac:dyDescent="0.25">
      <c r="A281" t="str">
        <f>IF('Raw Data'!A281="","",'Raw Data'!A281)</f>
        <v/>
      </c>
      <c r="B281" t="str">
        <f>IF('Raw Data'!B281="","",'Raw Data'!B281)</f>
        <v/>
      </c>
      <c r="C281" t="str">
        <f>IF('Raw Data'!C281="","",'Raw Data'!C281)</f>
        <v/>
      </c>
      <c r="D281" t="str">
        <f>IF('Raw Data'!D281="","",'Raw Data'!D281)</f>
        <v/>
      </c>
      <c r="E281" t="str">
        <f>IF('Raw Data'!E281="","",'Raw Data'!E281)</f>
        <v/>
      </c>
      <c r="F281" t="str">
        <f>IF('Raw Data'!F281="","",'Raw Data'!F281)</f>
        <v/>
      </c>
      <c r="G281" s="7" t="str">
        <f>IF('Raw Data'!G281="/","-",IF('Raw Data'!G281="","-",SUBSTITUTE('Raw Data'!G281," ",":",1)))</f>
        <v>-</v>
      </c>
      <c r="H281" s="7" t="str">
        <f>IF('Raw Data'!H281="/","-",IF('Raw Data'!H281="","-",SUBSTITUTE('Raw Data'!H281," ",":",1)))</f>
        <v>-</v>
      </c>
      <c r="I281" s="7" t="str">
        <f>IF('Raw Data'!I281="/","-",IF('Raw Data'!I281="","-",SUBSTITUTE('Raw Data'!I281," ",":",1)))</f>
        <v>-</v>
      </c>
      <c r="J281" s="12" t="str">
        <f>IF('Raw Data'!J281="",IF(LEN(K281)&gt;6,SQRT('Raw Data'!M281^2+N281^2),""),'Raw Data'!J281)</f>
        <v/>
      </c>
      <c r="K281" s="7" t="str">
        <f>IF('Raw Data'!K281="","",IF(LEN('Raw Data'!K281)&lt;7,SUBSTITUTE('Raw Data'!K281," ",":",1),'Raw Data'!K281))</f>
        <v/>
      </c>
      <c r="L281" t="str">
        <f>IF('Raw Data'!L281="","",'Raw Data'!L281)</f>
        <v/>
      </c>
      <c r="M281" t="str">
        <f>IF('Raw Data'!M281="","",'Raw Data'!M281)</f>
        <v/>
      </c>
      <c r="N281" t="str">
        <f>IF('Raw Data'!N281="","",IF('Raw Data'!N281="-",0,'Raw Data'!N281))</f>
        <v/>
      </c>
      <c r="O281">
        <f>IF('Raw Data'!O281="",IF('Raw Data'!N281="","",0),'Raw Data'!O281)</f>
        <v>97.9</v>
      </c>
      <c r="P281" t="str">
        <f>IF('Raw Data'!P281="","",'Raw Data'!P281)</f>
        <v/>
      </c>
      <c r="W281" s="4"/>
      <c r="X281" s="4"/>
      <c r="Y281" s="3"/>
      <c r="Z281" s="4">
        <f>IF('Raw Data'!O281="","",O280+N280)</f>
        <v>97.9</v>
      </c>
    </row>
    <row r="282" spans="1:27" x14ac:dyDescent="0.25">
      <c r="A282" t="str">
        <f>IF('Raw Data'!A282="","",'Raw Data'!A282)</f>
        <v/>
      </c>
      <c r="B282" t="str">
        <f>IF('Raw Data'!B282="","",'Raw Data'!B282)</f>
        <v/>
      </c>
      <c r="C282" t="str">
        <f>IF('Raw Data'!C282="","",'Raw Data'!C282)</f>
        <v/>
      </c>
      <c r="D282" t="str">
        <f>IF('Raw Data'!D282="","",'Raw Data'!D282)</f>
        <v/>
      </c>
      <c r="E282" t="str">
        <f>IF('Raw Data'!E282="","",'Raw Data'!E282)</f>
        <v/>
      </c>
      <c r="F282" t="str">
        <f>IF('Raw Data'!F282="","",'Raw Data'!F282)</f>
        <v/>
      </c>
      <c r="G282" s="7" t="str">
        <f>IF('Raw Data'!G282="/","-",IF('Raw Data'!G282="","-",SUBSTITUTE('Raw Data'!G282," ",":",1)))</f>
        <v>-</v>
      </c>
      <c r="H282" s="7" t="str">
        <f>IF('Raw Data'!H282="/","-",IF('Raw Data'!H282="","-",SUBSTITUTE('Raw Data'!H282," ",":",1)))</f>
        <v>-</v>
      </c>
      <c r="I282" s="7" t="str">
        <f>IF('Raw Data'!I282="/","-",IF('Raw Data'!I282="","-",SUBSTITUTE('Raw Data'!I282," ",":",1)))</f>
        <v>-</v>
      </c>
      <c r="J282" s="12" t="str">
        <f>IF('Raw Data'!J282="",IF(LEN(K282)&gt;6,SQRT('Raw Data'!M282^2+N282^2),""),'Raw Data'!J282)</f>
        <v/>
      </c>
      <c r="K282" s="7" t="str">
        <f>IF('Raw Data'!K282="","",IF(LEN('Raw Data'!K282)&lt;7,SUBSTITUTE('Raw Data'!K282," ",":",1),'Raw Data'!K282))</f>
        <v/>
      </c>
      <c r="L282" t="str">
        <f>IF('Raw Data'!L282="","",'Raw Data'!L282)</f>
        <v/>
      </c>
      <c r="M282" t="str">
        <f>IF('Raw Data'!M282="","",'Raw Data'!M282)</f>
        <v/>
      </c>
      <c r="N282" t="str">
        <f>IF('Raw Data'!N282="","",IF('Raw Data'!N282="-",0,'Raw Data'!N282))</f>
        <v>sump=</v>
      </c>
      <c r="O282">
        <f>IF('Raw Data'!O282="",IF('Raw Data'!N282="","",0),'Raw Data'!O282)</f>
        <v>88.9</v>
      </c>
      <c r="P282" t="str">
        <f>IF('Raw Data'!P282="","",'Raw Data'!P282)</f>
        <v/>
      </c>
      <c r="W282" s="4"/>
      <c r="X282" s="4"/>
      <c r="Y282" s="3"/>
      <c r="Z282" s="4"/>
    </row>
    <row r="283" spans="1:27" x14ac:dyDescent="0.25">
      <c r="A283" t="str">
        <f>IF('Raw Data'!A283="","",'Raw Data'!A283)</f>
        <v>p. 65-69</v>
      </c>
      <c r="B283" t="str">
        <f>IF('Raw Data'!B283="","",'Raw Data'!B283)</f>
        <v>(=PDF p.69-72)</v>
      </c>
      <c r="C283" t="str">
        <f>IF('Raw Data'!C283="","",'Raw Data'!C283)</f>
        <v/>
      </c>
      <c r="D283" t="str">
        <f>IF('Raw Data'!D283="","",'Raw Data'!D283)</f>
        <v/>
      </c>
      <c r="E283" t="str">
        <f>IF('Raw Data'!E283="","",'Raw Data'!E283)</f>
        <v/>
      </c>
      <c r="F283" t="str">
        <f>IF('Raw Data'!F283="","",'Raw Data'!F283)</f>
        <v/>
      </c>
      <c r="G283" s="7" t="str">
        <f>IF('Raw Data'!G283="/","-",IF('Raw Data'!G283="","-",SUBSTITUTE('Raw Data'!G283," ",":",1)))</f>
        <v>-</v>
      </c>
      <c r="H283" s="7" t="str">
        <f>IF('Raw Data'!H283="/","-",IF('Raw Data'!H283="","-",SUBSTITUTE('Raw Data'!H283," ",":",1)))</f>
        <v>-</v>
      </c>
      <c r="I283" s="7" t="str">
        <f>IF('Raw Data'!I283="/","-",IF('Raw Data'!I283="","-",SUBSTITUTE('Raw Data'!I283," ",":",1)))</f>
        <v>-</v>
      </c>
      <c r="J283" s="12" t="str">
        <f>IF('Raw Data'!J283="",IF(LEN(K283)&gt;6,SQRT('Raw Data'!M283^2+N283^2),""),'Raw Data'!J283)</f>
        <v/>
      </c>
      <c r="K283" s="7" t="str">
        <f>IF('Raw Data'!K283="","",IF(LEN('Raw Data'!K283)&lt;7,SUBSTITUTE('Raw Data'!K283," ",":",1),'Raw Data'!K283))</f>
        <v/>
      </c>
      <c r="L283" t="str">
        <f>IF('Raw Data'!L283="","",'Raw Data'!L283)</f>
        <v/>
      </c>
      <c r="M283" t="str">
        <f>IF('Raw Data'!M283="","",'Raw Data'!M283)</f>
        <v/>
      </c>
      <c r="N283" t="str">
        <f>IF('Raw Data'!N283="","",IF('Raw Data'!N283="-",0,'Raw Data'!N283))</f>
        <v/>
      </c>
      <c r="O283" t="str">
        <f>IF('Raw Data'!O283="",IF('Raw Data'!N283="","",0),'Raw Data'!O283)</f>
        <v/>
      </c>
      <c r="P283" t="str">
        <f>IF('Raw Data'!P283="","",'Raw Data'!P283)</f>
        <v/>
      </c>
      <c r="W283" s="4"/>
      <c r="X283" s="4"/>
      <c r="Y283" s="3"/>
      <c r="Z283" s="4" t="str">
        <f>IF('Raw Data'!O283="","",O282+N282)</f>
        <v/>
      </c>
    </row>
    <row r="284" spans="1:27" x14ac:dyDescent="0.25">
      <c r="A284" t="str">
        <f>IF('Raw Data'!A284="","",'Raw Data'!A284)</f>
        <v>2nd May 1953</v>
      </c>
      <c r="B284" t="str">
        <f>IF('Raw Data'!B284="","",'Raw Data'!B284)</f>
        <v>Oliver</v>
      </c>
      <c r="C284" t="str">
        <f>IF('Raw Data'!C284="","",'Raw Data'!C284)</f>
        <v>Pretty Way</v>
      </c>
      <c r="D284" t="str">
        <f>IF('Raw Data'!D284="","",'Raw Data'!D284)</f>
        <v/>
      </c>
      <c r="E284" t="str">
        <f>IF('Raw Data'!E284="","",'Raw Data'!E284)</f>
        <v/>
      </c>
      <c r="F284" t="str">
        <f>IF('Raw Data'!F284="","",'Raw Data'!F284)</f>
        <v/>
      </c>
      <c r="G284" s="7" t="str">
        <f>IF('Raw Data'!G284="/","-",IF('Raw Data'!G284="","-",SUBSTITUTE('Raw Data'!G284," ",":",1)))</f>
        <v>-</v>
      </c>
      <c r="H284" s="7" t="str">
        <f>IF('Raw Data'!H284="/","-",IF('Raw Data'!H284="","-",SUBSTITUTE('Raw Data'!H284," ",":",1)))</f>
        <v>-</v>
      </c>
      <c r="I284" s="7" t="str">
        <f>IF('Raw Data'!I284="/","-",IF('Raw Data'!I284="","-",SUBSTITUTE('Raw Data'!I284," ",":",1)))</f>
        <v>-</v>
      </c>
      <c r="J284" s="12" t="str">
        <f>IF('Raw Data'!J284="",IF(LEN(K284)&gt;6,SQRT('Raw Data'!M284^2+N284^2),""),'Raw Data'!J284)</f>
        <v/>
      </c>
      <c r="K284" s="7" t="str">
        <f>IF('Raw Data'!K284="","",IF(LEN('Raw Data'!K284)&lt;7,SUBSTITUTE('Raw Data'!K284," ",":",1),'Raw Data'!K284))</f>
        <v/>
      </c>
      <c r="L284" t="str">
        <f>IF('Raw Data'!L284="","",'Raw Data'!L284)</f>
        <v/>
      </c>
      <c r="M284" t="str">
        <f>IF('Raw Data'!M284="","",'Raw Data'!M284)</f>
        <v/>
      </c>
      <c r="N284" t="str">
        <f>IF('Raw Data'!N284="","",IF('Raw Data'!N284="-",0,'Raw Data'!N284))</f>
        <v/>
      </c>
      <c r="O284" t="str">
        <f>IF('Raw Data'!O284="",IF('Raw Data'!N284="","",0),'Raw Data'!O284)</f>
        <v/>
      </c>
      <c r="P284" t="str">
        <f>IF('Raw Data'!P284="","",'Raw Data'!P284)</f>
        <v/>
      </c>
      <c r="W284" s="4"/>
      <c r="X284" s="4"/>
      <c r="Y284" s="3"/>
      <c r="Z284" s="4" t="str">
        <f>IF('Raw Data'!O284="","",O283+N283)</f>
        <v/>
      </c>
    </row>
    <row r="285" spans="1:27" x14ac:dyDescent="0.25">
      <c r="A285" t="str">
        <f>IF('Raw Data'!A285="","",'Raw Data'!A285)</f>
        <v>DO</v>
      </c>
      <c r="B285" t="str">
        <f>IF('Raw Data'!B285="","",'Raw Data'!B285)</f>
        <v>FA</v>
      </c>
      <c r="C285">
        <f>IF('Raw Data'!C285="","",'Raw Data'!C285)</f>
        <v>9</v>
      </c>
      <c r="D285">
        <f>IF('Raw Data'!D285="","",'Raw Data'!D285)</f>
        <v>1</v>
      </c>
      <c r="E285">
        <f>IF('Raw Data'!E285="","",'Raw Data'!E285)</f>
        <v>4</v>
      </c>
      <c r="F285" t="str">
        <f>IF('Raw Data'!F285="","",'Raw Data'!F285)</f>
        <v>/</v>
      </c>
      <c r="G285" s="7" t="str">
        <f>IF('Raw Data'!G285="/","-",IF('Raw Data'!G285="","-",SUBSTITUTE('Raw Data'!G285," ",":",1)))</f>
        <v>-</v>
      </c>
      <c r="H285" s="7" t="str">
        <f>IF('Raw Data'!H285="/","-",IF('Raw Data'!H285="","-",SUBSTITUTE('Raw Data'!H285," ",":",1)))</f>
        <v>171:30</v>
      </c>
      <c r="I285" s="7" t="str">
        <f>IF('Raw Data'!I285="/","-",IF('Raw Data'!I285="","-",SUBSTITUTE('Raw Data'!I285," ",":",1)))</f>
        <v>351:30</v>
      </c>
      <c r="J285" s="12">
        <f>IF('Raw Data'!J285="",IF(LEN(K285)&gt;6,SQRT('Raw Data'!M285^2+N285^2),""),'Raw Data'!J285)</f>
        <v>17.5</v>
      </c>
      <c r="K285" s="7" t="str">
        <f>IF('Raw Data'!K285="","",IF(LEN('Raw Data'!K285)&lt;7,SUBSTITUTE('Raw Data'!K285," ",":",1),'Raw Data'!K285))</f>
        <v>-0:30</v>
      </c>
      <c r="L285" t="str">
        <f>IF('Raw Data'!L285="","",'Raw Data'!L285)</f>
        <v/>
      </c>
      <c r="M285">
        <f>IF('Raw Data'!M285="","",'Raw Data'!M285)</f>
        <v>17.5</v>
      </c>
      <c r="N285">
        <f>IF('Raw Data'!N285="","",IF('Raw Data'!N285="-",0,'Raw Data'!N285))</f>
        <v>-0.2</v>
      </c>
      <c r="O285">
        <f>IF('Raw Data'!O285="",IF('Raw Data'!N285="","",0),'Raw Data'!O285)</f>
        <v>340</v>
      </c>
      <c r="P285" t="str">
        <f>IF('Raw Data'!P285="","",'Raw Data'!P285)</f>
        <v>DO within one foot of DO on p.53</v>
      </c>
      <c r="R285" s="3" t="str">
        <f t="shared" ref="R285:R288" si="111">IF(ISERROR(FIND(":",G285)),IF(G285&lt;&gt;"-",1*G285,G285),1*LEFT(G285,FIND(":",G285)-1)+RIGHT(G285,LEN(G285)-FIND(":",G285))/60)</f>
        <v>-</v>
      </c>
      <c r="S285" s="3">
        <f t="shared" ref="S285:S288" si="112">IF(ISERROR(FIND(":",H285)),IF(H285&lt;&gt;"-",1*H285,H285),1*LEFT(H285,FIND(":",H285)-1)+RIGHT(H285,LEN(H285)-FIND(":",H285))/60)</f>
        <v>171.5</v>
      </c>
      <c r="T285" s="3">
        <f t="shared" ref="T285:T288" si="113">IF(ISERROR(FIND(":",I285)),IF(I285&lt;&gt;"-",1*I285,I285),1*LEFT(I285,FIND(":",I285)-1)+RIGHT(I285,LEN(I285)-FIND(":",I285))/60)</f>
        <v>351.5</v>
      </c>
      <c r="U285" s="3">
        <f t="shared" ref="U285:U303" si="114">IF(ISERROR(FIND(":",K285)),IF(K285="zero",0,1*K285),1*CONCATENATE(LEFT(K285,FIND(":",K285)-1),".",MID(RIGHT(K285,LEN(K285)-FIND(":",K285))/60,3,8)))</f>
        <v>-0.5</v>
      </c>
      <c r="W285" s="4">
        <f t="shared" ref="W285:W288" si="115">J285*COS(U285*PI()/180)</f>
        <v>17.499333653622998</v>
      </c>
      <c r="X285" s="4">
        <f t="shared" ref="X285:X288" si="116">J285*SIN(U285*PI()/180)</f>
        <v>-0.15271437122154385</v>
      </c>
      <c r="Y285" s="3">
        <f t="shared" ref="Y285:Y288" si="117">IF(R285="-",IF(S285&gt;180,S285-180,S285+180),R285)</f>
        <v>351.5</v>
      </c>
      <c r="Z285" s="4">
        <f>IF('Raw Data'!O285="","",O154+N154)</f>
        <v>339.59999999999997</v>
      </c>
      <c r="AA285" t="s">
        <v>901</v>
      </c>
    </row>
    <row r="286" spans="1:27" x14ac:dyDescent="0.25">
      <c r="A286" t="str">
        <f>IF('Raw Data'!A286="","",'Raw Data'!A286)</f>
        <v>FA</v>
      </c>
      <c r="B286" t="str">
        <f>IF('Raw Data'!B286="","",'Raw Data'!B286)</f>
        <v>FB</v>
      </c>
      <c r="C286">
        <f>IF('Raw Data'!C286="","",'Raw Data'!C286)</f>
        <v>8</v>
      </c>
      <c r="D286">
        <f>IF('Raw Data'!D286="","",'Raw Data'!D286)</f>
        <v>2.5</v>
      </c>
      <c r="E286">
        <f>IF('Raw Data'!E286="","",'Raw Data'!E286)</f>
        <v>5</v>
      </c>
      <c r="F286">
        <f>IF('Raw Data'!F286="","",'Raw Data'!F286)</f>
        <v>2</v>
      </c>
      <c r="G286" s="7" t="str">
        <f>IF('Raw Data'!G286="/","-",IF('Raw Data'!G286="","-",SUBSTITUTE('Raw Data'!G286," ",":",1)))</f>
        <v>358:10</v>
      </c>
      <c r="H286" s="7" t="str">
        <f>IF('Raw Data'!H286="/","-",IF('Raw Data'!H286="","-",SUBSTITUTE('Raw Data'!H286," ",":",1)))</f>
        <v>-</v>
      </c>
      <c r="I286" s="7" t="str">
        <f>IF('Raw Data'!I286="/","-",IF('Raw Data'!I286="","-",SUBSTITUTE('Raw Data'!I286," ",":",1)))</f>
        <v>358:10</v>
      </c>
      <c r="J286" s="12">
        <f>IF('Raw Data'!J286="",IF(LEN(K286)&gt;6,SQRT('Raw Data'!M286^2+N286^2),""),'Raw Data'!J286)</f>
        <v>4.8</v>
      </c>
      <c r="K286" s="7" t="str">
        <f>IF('Raw Data'!K286="","",IF(LEN('Raw Data'!K286)&lt;7,SUBSTITUTE('Raw Data'!K286," ",":",1),'Raw Data'!K286))</f>
        <v>-18:30</v>
      </c>
      <c r="L286" t="str">
        <f>IF('Raw Data'!L286="","",'Raw Data'!L286)</f>
        <v/>
      </c>
      <c r="M286">
        <f>IF('Raw Data'!M286="","",'Raw Data'!M286)</f>
        <v>4.5</v>
      </c>
      <c r="N286">
        <f>IF('Raw Data'!N286="","",IF('Raw Data'!N286="-",0,'Raw Data'!N286))</f>
        <v>-1.5</v>
      </c>
      <c r="O286">
        <f>IF('Raw Data'!O286="",IF('Raw Data'!N286="","",0),'Raw Data'!O286)</f>
        <v>339.8</v>
      </c>
      <c r="P286" t="str">
        <f>IF('Raw Data'!P286="","",'Raw Data'!P286)</f>
        <v>Corner of Kenneys dig passage 0 - 0.7</v>
      </c>
      <c r="R286" s="3">
        <f t="shared" si="111"/>
        <v>358.16666666666669</v>
      </c>
      <c r="S286" s="3" t="str">
        <f t="shared" si="112"/>
        <v>-</v>
      </c>
      <c r="T286" s="3">
        <f t="shared" si="113"/>
        <v>358.16666666666669</v>
      </c>
      <c r="U286" s="3">
        <f t="shared" si="114"/>
        <v>-18.5</v>
      </c>
      <c r="W286" s="4">
        <f t="shared" si="115"/>
        <v>4.5519535449897566</v>
      </c>
      <c r="X286" s="4">
        <f t="shared" si="116"/>
        <v>-1.5230623507444423</v>
      </c>
      <c r="Y286" s="3">
        <f t="shared" si="117"/>
        <v>358.16666666666669</v>
      </c>
      <c r="Z286" s="4">
        <f>IF('Raw Data'!O286="","",O285+N285)</f>
        <v>339.8</v>
      </c>
    </row>
    <row r="287" spans="1:27" x14ac:dyDescent="0.25">
      <c r="A287" t="str">
        <f>IF('Raw Data'!A287="","",'Raw Data'!A287)</f>
        <v>FB</v>
      </c>
      <c r="B287" t="str">
        <f>IF('Raw Data'!B287="","",'Raw Data'!B287)</f>
        <v>FC</v>
      </c>
      <c r="C287">
        <f>IF('Raw Data'!C287="","",'Raw Data'!C287)</f>
        <v>6</v>
      </c>
      <c r="D287">
        <f>IF('Raw Data'!D287="","",'Raw Data'!D287)</f>
        <v>0.3</v>
      </c>
      <c r="E287">
        <f>IF('Raw Data'!E287="","",'Raw Data'!E287)</f>
        <v>4</v>
      </c>
      <c r="F287">
        <f>IF('Raw Data'!F287="","",'Raw Data'!F287)</f>
        <v>0.3</v>
      </c>
      <c r="G287" s="7" t="str">
        <f>IF('Raw Data'!G287="/","-",IF('Raw Data'!G287="","-",SUBSTITUTE('Raw Data'!G287," ",":",1)))</f>
        <v>-</v>
      </c>
      <c r="H287" s="7" t="str">
        <f>IF('Raw Data'!H287="/","-",IF('Raw Data'!H287="","-",SUBSTITUTE('Raw Data'!H287," ",":",1)))</f>
        <v>144:10</v>
      </c>
      <c r="I287" s="7" t="str">
        <f>IF('Raw Data'!I287="/","-",IF('Raw Data'!I287="","-",SUBSTITUTE('Raw Data'!I287," ",":",1)))</f>
        <v>324:10</v>
      </c>
      <c r="J287" s="12">
        <f>IF('Raw Data'!J287="",IF(LEN(K287)&gt;6,SQRT('Raw Data'!M287^2+N287^2),""),'Raw Data'!J287)</f>
        <v>9.8000000000000007</v>
      </c>
      <c r="K287" s="7" t="str">
        <f>IF('Raw Data'!K287="","",IF(LEN('Raw Data'!K287)&lt;7,SUBSTITUTE('Raw Data'!K287," ",":",1),'Raw Data'!K287))</f>
        <v>29:30</v>
      </c>
      <c r="L287" t="str">
        <f>IF('Raw Data'!L287="","",'Raw Data'!L287)</f>
        <v/>
      </c>
      <c r="M287">
        <f>IF('Raw Data'!M287="","",'Raw Data'!M287)</f>
        <v>8.5</v>
      </c>
      <c r="N287">
        <f>IF('Raw Data'!N287="","",IF('Raw Data'!N287="-",0,'Raw Data'!N287))</f>
        <v>4.8</v>
      </c>
      <c r="O287">
        <f>IF('Raw Data'!O287="",IF('Raw Data'!N287="","",0),'Raw Data'!O287)</f>
        <v>338.3</v>
      </c>
      <c r="P287" t="str">
        <f>IF('Raw Data'!P287="","",'Raw Data'!P287)</f>
        <v>3" candle on wee stalagmite</v>
      </c>
      <c r="R287" s="3" t="str">
        <f t="shared" si="111"/>
        <v>-</v>
      </c>
      <c r="S287" s="3">
        <f t="shared" si="112"/>
        <v>144.16666666666666</v>
      </c>
      <c r="T287" s="3">
        <f t="shared" si="113"/>
        <v>324.16666666666669</v>
      </c>
      <c r="U287" s="3">
        <f t="shared" si="114"/>
        <v>29.5</v>
      </c>
      <c r="W287" s="4">
        <f t="shared" si="115"/>
        <v>8.5294858202110184</v>
      </c>
      <c r="X287" s="4">
        <f t="shared" si="116"/>
        <v>4.8257508890139773</v>
      </c>
      <c r="Y287" s="3">
        <f t="shared" si="117"/>
        <v>324.16666666666663</v>
      </c>
      <c r="Z287" s="4">
        <f>IF('Raw Data'!O287="","",O286+N286)</f>
        <v>338.3</v>
      </c>
    </row>
    <row r="288" spans="1:27" x14ac:dyDescent="0.25">
      <c r="A288" t="str">
        <f>IF('Raw Data'!A288="","",'Raw Data'!A288)</f>
        <v>FC</v>
      </c>
      <c r="B288" t="str">
        <f>IF('Raw Data'!B288="","",'Raw Data'!B288)</f>
        <v>FD</v>
      </c>
      <c r="C288">
        <f>IF('Raw Data'!C288="","",'Raw Data'!C288)</f>
        <v>3</v>
      </c>
      <c r="D288">
        <f>IF('Raw Data'!D288="","",'Raw Data'!D288)</f>
        <v>2</v>
      </c>
      <c r="E288">
        <f>IF('Raw Data'!E288="","",'Raw Data'!E288)</f>
        <v>1</v>
      </c>
      <c r="F288">
        <f>IF('Raw Data'!F288="","",'Raw Data'!F288)</f>
        <v>1</v>
      </c>
      <c r="G288" s="7" t="str">
        <f>IF('Raw Data'!G288="/","-",IF('Raw Data'!G288="","-",SUBSTITUTE('Raw Data'!G288," ",":",1)))</f>
        <v>358:00</v>
      </c>
      <c r="H288" s="7" t="str">
        <f>IF('Raw Data'!H288="/","-",IF('Raw Data'!H288="","-",SUBSTITUTE('Raw Data'!H288," ",":",1)))</f>
        <v>-</v>
      </c>
      <c r="I288" s="7" t="str">
        <f>IF('Raw Data'!I288="/","-",IF('Raw Data'!I288="","-",SUBSTITUTE('Raw Data'!I288," ",":",1)))</f>
        <v>358:00</v>
      </c>
      <c r="J288" s="12">
        <f>IF('Raw Data'!J288="",IF(LEN(K288)&gt;6,SQRT('Raw Data'!M288^2+N288^2),""),'Raw Data'!J288)</f>
        <v>13.3</v>
      </c>
      <c r="K288" s="7" t="str">
        <f>IF('Raw Data'!K288="","",IF(LEN('Raw Data'!K288)&lt;7,SUBSTITUTE('Raw Data'!K288," ",":",1),'Raw Data'!K288))</f>
        <v>1:30</v>
      </c>
      <c r="L288" t="str">
        <f>IF('Raw Data'!L288="","",'Raw Data'!L288)</f>
        <v/>
      </c>
      <c r="M288">
        <f>IF('Raw Data'!M288="","",'Raw Data'!M288)</f>
        <v>13.3</v>
      </c>
      <c r="N288">
        <f>IF('Raw Data'!N288="","",IF('Raw Data'!N288="-",0,'Raw Data'!N288))</f>
        <v>0.3</v>
      </c>
      <c r="O288">
        <f>IF('Raw Data'!O288="",IF('Raw Data'!N288="","",0),'Raw Data'!O288)</f>
        <v>343.1</v>
      </c>
      <c r="P288" t="str">
        <f>IF('Raw Data'!P288="","",'Raw Data'!P288)</f>
        <v/>
      </c>
      <c r="R288" s="3">
        <f t="shared" si="111"/>
        <v>358</v>
      </c>
      <c r="S288" s="3" t="str">
        <f t="shared" si="112"/>
        <v>-</v>
      </c>
      <c r="T288" s="3">
        <f t="shared" si="113"/>
        <v>358</v>
      </c>
      <c r="U288" s="3">
        <f t="shared" si="114"/>
        <v>1.5</v>
      </c>
      <c r="W288" s="4">
        <f t="shared" si="115"/>
        <v>13.295442422174911</v>
      </c>
      <c r="X288" s="4">
        <f t="shared" si="116"/>
        <v>0.34815341249471288</v>
      </c>
      <c r="Y288" s="3">
        <f t="shared" si="117"/>
        <v>358</v>
      </c>
      <c r="Z288" s="4">
        <f>IF('Raw Data'!O288="","",O287+N287)</f>
        <v>343.1</v>
      </c>
    </row>
    <row r="289" spans="1:26" x14ac:dyDescent="0.25">
      <c r="A289" t="str">
        <f>IF('Raw Data'!A289="","",'Raw Data'!A289)</f>
        <v>FD</v>
      </c>
      <c r="B289" t="str">
        <f>IF('Raw Data'!B289="","",'Raw Data'!B289)</f>
        <v>FE</v>
      </c>
      <c r="C289">
        <f>IF('Raw Data'!C289="","",'Raw Data'!C289)</f>
        <v>4.5</v>
      </c>
      <c r="D289">
        <f>IF('Raw Data'!D289="","",'Raw Data'!D289)</f>
        <v>1</v>
      </c>
      <c r="E289">
        <f>IF('Raw Data'!E289="","",'Raw Data'!E289)</f>
        <v>2.5</v>
      </c>
      <c r="F289">
        <f>IF('Raw Data'!F289="","",'Raw Data'!F289)</f>
        <v>0.3</v>
      </c>
      <c r="G289" s="7" t="str">
        <f>IF('Raw Data'!G289="/","-",IF('Raw Data'!G289="","-",SUBSTITUTE('Raw Data'!G289," ",":",1)))</f>
        <v>-</v>
      </c>
      <c r="H289" s="7" t="str">
        <f>IF('Raw Data'!H289="/","-",IF('Raw Data'!H289="","-",SUBSTITUTE('Raw Data'!H289," ",":",1)))</f>
        <v>188:00</v>
      </c>
      <c r="I289" s="7" t="str">
        <f>IF('Raw Data'!I289="/","-",IF('Raw Data'!I289="","-",SUBSTITUTE('Raw Data'!I289," ",":",1)))</f>
        <v>008:00</v>
      </c>
      <c r="J289" s="12">
        <f>IF('Raw Data'!J289="",IF(LEN(K289)&gt;6,SQRT('Raw Data'!M289^2+N289^2),""),'Raw Data'!J289)</f>
        <v>8.9</v>
      </c>
      <c r="K289" s="7" t="str">
        <f>IF('Raw Data'!K289="","",IF(LEN('Raw Data'!K289)&lt;7,SUBSTITUTE('Raw Data'!K289," ",":",1),'Raw Data'!K289))</f>
        <v>13:30</v>
      </c>
      <c r="L289" t="str">
        <f>IF('Raw Data'!L289="","",'Raw Data'!L289)</f>
        <v/>
      </c>
      <c r="M289">
        <f>IF('Raw Data'!M289="","",'Raw Data'!M289)</f>
        <v>8.6999999999999993</v>
      </c>
      <c r="N289">
        <f>IF('Raw Data'!N289="","",IF('Raw Data'!N289="-",0,'Raw Data'!N289))</f>
        <v>2.1</v>
      </c>
      <c r="O289">
        <f>IF('Raw Data'!O289="",IF('Raw Data'!N289="","",0),'Raw Data'!O289)</f>
        <v>343.4</v>
      </c>
      <c r="P289" t="str">
        <f>IF('Raw Data'!P289="","",'Raw Data'!P289)</f>
        <v>Under chock stones on angular rock</v>
      </c>
      <c r="R289" s="3" t="str">
        <f t="shared" ref="R289:R352" si="118">IF(ISERROR(FIND(":",G289)),IF(G289&lt;&gt;"-",1*G289,G289),1*LEFT(G289,FIND(":",G289)-1)+RIGHT(G289,LEN(G289)-FIND(":",G289))/60)</f>
        <v>-</v>
      </c>
      <c r="S289" s="3">
        <f t="shared" ref="S289:S352" si="119">IF(ISERROR(FIND(":",H289)),IF(H289&lt;&gt;"-",1*H289,H289),1*LEFT(H289,FIND(":",H289)-1)+RIGHT(H289,LEN(H289)-FIND(":",H289))/60)</f>
        <v>188</v>
      </c>
      <c r="T289" s="3">
        <f t="shared" ref="T289:T352" si="120">IF(ISERROR(FIND(":",I289)),IF(I289&lt;&gt;"-",1*I289,I289),1*LEFT(I289,FIND(":",I289)-1)+RIGHT(I289,LEN(I289)-FIND(":",I289))/60)</f>
        <v>8</v>
      </c>
      <c r="U289" s="3">
        <f t="shared" si="114"/>
        <v>13.5</v>
      </c>
      <c r="W289" s="4">
        <f t="shared" ref="W289:W352" si="121">J289*COS(U289*PI()/180)</f>
        <v>8.654092291539321</v>
      </c>
      <c r="X289" s="4">
        <f t="shared" ref="X289:X352" si="122">J289*SIN(U289*PI()/180)</f>
        <v>2.077663738317558</v>
      </c>
      <c r="Y289" s="3">
        <f t="shared" ref="Y289:Y352" si="123">IF(R289="-",IF(S289&gt;180,S289-180,S289+180),R289)</f>
        <v>8</v>
      </c>
      <c r="Z289" s="4">
        <f>IF('Raw Data'!O289="","",O288+N288)</f>
        <v>343.40000000000003</v>
      </c>
    </row>
    <row r="290" spans="1:26" x14ac:dyDescent="0.25">
      <c r="A290" t="str">
        <f>IF('Raw Data'!A290="","",'Raw Data'!A290)</f>
        <v>FE</v>
      </c>
      <c r="B290" t="str">
        <f>IF('Raw Data'!B290="","",'Raw Data'!B290)</f>
        <v>FF</v>
      </c>
      <c r="C290">
        <f>IF('Raw Data'!C290="","",'Raw Data'!C290)</f>
        <v>2</v>
      </c>
      <c r="D290">
        <f>IF('Raw Data'!D290="","",'Raw Data'!D290)</f>
        <v>1</v>
      </c>
      <c r="E290">
        <f>IF('Raw Data'!E290="","",'Raw Data'!E290)</f>
        <v>7</v>
      </c>
      <c r="F290" t="str">
        <f>IF('Raw Data'!F290="","",'Raw Data'!F290)</f>
        <v>/</v>
      </c>
      <c r="G290" s="7" t="str">
        <f>IF('Raw Data'!G290="/","-",IF('Raw Data'!G290="","-",SUBSTITUTE('Raw Data'!G290," ",":",1)))</f>
        <v>-</v>
      </c>
      <c r="H290" s="7" t="str">
        <f>IF('Raw Data'!H290="/","-",IF('Raw Data'!H290="","-",SUBSTITUTE('Raw Data'!H290," ",":",1)))</f>
        <v>232:10</v>
      </c>
      <c r="I290" s="7" t="str">
        <f>IF('Raw Data'!I290="/","-",IF('Raw Data'!I290="","-",SUBSTITUTE('Raw Data'!I290," ",":",1)))</f>
        <v>052:10</v>
      </c>
      <c r="J290" s="12">
        <f>IF('Raw Data'!J290="",IF(LEN(K290)&gt;6,SQRT('Raw Data'!M290^2+N290^2),""),'Raw Data'!J290)</f>
        <v>13.4</v>
      </c>
      <c r="K290" s="7" t="str">
        <f>IF('Raw Data'!K290="","",IF(LEN('Raw Data'!K290)&lt;7,SUBSTITUTE('Raw Data'!K290," ",":",1),'Raw Data'!K290))</f>
        <v>13:30</v>
      </c>
      <c r="L290" t="str">
        <f>IF('Raw Data'!L290="","",'Raw Data'!L290)</f>
        <v/>
      </c>
      <c r="M290">
        <f>IF('Raw Data'!M290="","",'Raw Data'!M290)</f>
        <v>13</v>
      </c>
      <c r="N290">
        <f>IF('Raw Data'!N290="","",IF('Raw Data'!N290="-",0,'Raw Data'!N290))</f>
        <v>3.1</v>
      </c>
      <c r="O290">
        <f>IF('Raw Data'!O290="",IF('Raw Data'!N290="","",0),'Raw Data'!O290)</f>
        <v>345.5</v>
      </c>
      <c r="P290" t="str">
        <f>IF('Raw Data'!P290="","",'Raw Data'!P290)</f>
        <v>On 8" stalagmite at corner</v>
      </c>
      <c r="R290" s="3" t="str">
        <f t="shared" si="118"/>
        <v>-</v>
      </c>
      <c r="S290" s="3">
        <f t="shared" si="119"/>
        <v>232.16666666666666</v>
      </c>
      <c r="T290" s="3">
        <f t="shared" si="120"/>
        <v>52.166666666666664</v>
      </c>
      <c r="U290" s="3">
        <f t="shared" si="114"/>
        <v>13.5</v>
      </c>
      <c r="W290" s="4">
        <f t="shared" si="121"/>
        <v>13.029756933328866</v>
      </c>
      <c r="X290" s="4">
        <f t="shared" si="122"/>
        <v>3.1281678756691322</v>
      </c>
      <c r="Y290" s="3">
        <f t="shared" si="123"/>
        <v>52.166666666666657</v>
      </c>
      <c r="Z290" s="4">
        <f>IF('Raw Data'!O290="","",O289+N289)</f>
        <v>345.5</v>
      </c>
    </row>
    <row r="291" spans="1:26" x14ac:dyDescent="0.25">
      <c r="A291" t="str">
        <f>IF('Raw Data'!A291="","",'Raw Data'!A291)</f>
        <v>FF</v>
      </c>
      <c r="B291" t="str">
        <f>IF('Raw Data'!B291="","",'Raw Data'!B291)</f>
        <v>FG</v>
      </c>
      <c r="C291">
        <f>IF('Raw Data'!C291="","",'Raw Data'!C291)</f>
        <v>2</v>
      </c>
      <c r="D291">
        <f>IF('Raw Data'!D291="","",'Raw Data'!D291)</f>
        <v>5</v>
      </c>
      <c r="E291">
        <f>IF('Raw Data'!E291="","",'Raw Data'!E291)</f>
        <v>3</v>
      </c>
      <c r="F291">
        <f>IF('Raw Data'!F291="","",'Raw Data'!F291)</f>
        <v>6</v>
      </c>
      <c r="G291" s="7" t="str">
        <f>IF('Raw Data'!G291="/","-",IF('Raw Data'!G291="","-",SUBSTITUTE('Raw Data'!G291," ",":",1)))</f>
        <v>026:00</v>
      </c>
      <c r="H291" s="7" t="str">
        <f>IF('Raw Data'!H291="/","-",IF('Raw Data'!H291="","-",SUBSTITUTE('Raw Data'!H291," ",":",1)))</f>
        <v>-</v>
      </c>
      <c r="I291" s="7" t="str">
        <f>IF('Raw Data'!I291="/","-",IF('Raw Data'!I291="","-",SUBSTITUTE('Raw Data'!I291," ",":",1)))</f>
        <v>026:00</v>
      </c>
      <c r="J291" s="12">
        <f>IF('Raw Data'!J291="",IF(LEN(K291)&gt;6,SQRT('Raw Data'!M291^2+N291^2),""),'Raw Data'!J291)</f>
        <v>8.6999999999999993</v>
      </c>
      <c r="K291" s="7" t="str">
        <f>IF('Raw Data'!K291="","",IF(LEN('Raw Data'!K291)&lt;7,SUBSTITUTE('Raw Data'!K291," ",":",1),'Raw Data'!K291))</f>
        <v>-22:30</v>
      </c>
      <c r="L291" t="str">
        <f>IF('Raw Data'!L291="","",'Raw Data'!L291)</f>
        <v/>
      </c>
      <c r="M291">
        <f>IF('Raw Data'!M291="","",'Raw Data'!M291)</f>
        <v>8</v>
      </c>
      <c r="N291">
        <f>IF('Raw Data'!N291="","",IF('Raw Data'!N291="-",0,'Raw Data'!N291))</f>
        <v>-3.3</v>
      </c>
      <c r="O291">
        <f>IF('Raw Data'!O291="",IF('Raw Data'!N291="","",0),'Raw Data'!O291)</f>
        <v>348.6</v>
      </c>
      <c r="P291" t="str">
        <f>IF('Raw Data'!P291="","",'Raw Data'!P291)</f>
        <v>On top of bloody great rock</v>
      </c>
      <c r="R291" s="3">
        <f t="shared" si="118"/>
        <v>26</v>
      </c>
      <c r="S291" s="3" t="str">
        <f t="shared" si="119"/>
        <v>-</v>
      </c>
      <c r="T291" s="3">
        <f t="shared" si="120"/>
        <v>26</v>
      </c>
      <c r="U291" s="3">
        <f t="shared" si="114"/>
        <v>-22.5</v>
      </c>
      <c r="W291" s="4">
        <f t="shared" si="121"/>
        <v>8.0377519328481934</v>
      </c>
      <c r="X291" s="4">
        <f t="shared" si="122"/>
        <v>-3.329345861576281</v>
      </c>
      <c r="Y291" s="3">
        <f t="shared" si="123"/>
        <v>26</v>
      </c>
      <c r="Z291" s="4">
        <f>IF('Raw Data'!O291="","",O290+N290)</f>
        <v>348.6</v>
      </c>
    </row>
    <row r="292" spans="1:26" x14ac:dyDescent="0.25">
      <c r="A292" t="str">
        <f>IF('Raw Data'!A292="","",'Raw Data'!A292)</f>
        <v>FG</v>
      </c>
      <c r="B292" t="str">
        <f>IF('Raw Data'!B292="","",'Raw Data'!B292)</f>
        <v>FH</v>
      </c>
      <c r="C292">
        <f>IF('Raw Data'!C292="","",'Raw Data'!C292)</f>
        <v>3</v>
      </c>
      <c r="D292">
        <f>IF('Raw Data'!D292="","",'Raw Data'!D292)</f>
        <v>2</v>
      </c>
      <c r="E292">
        <f>IF('Raw Data'!E292="","",'Raw Data'!E292)</f>
        <v>1.5</v>
      </c>
      <c r="F292" t="str">
        <f>IF('Raw Data'!F292="","",'Raw Data'!F292)</f>
        <v>/</v>
      </c>
      <c r="G292" s="7" t="str">
        <f>IF('Raw Data'!G292="/","-",IF('Raw Data'!G292="","-",SUBSTITUTE('Raw Data'!G292," ",":",1)))</f>
        <v>-</v>
      </c>
      <c r="H292" s="7" t="str">
        <f>IF('Raw Data'!H292="/","-",IF('Raw Data'!H292="","-",SUBSTITUTE('Raw Data'!H292," ",":",1)))</f>
        <v>310:00</v>
      </c>
      <c r="I292" s="7" t="str">
        <f>IF('Raw Data'!I292="/","-",IF('Raw Data'!I292="","-",SUBSTITUTE('Raw Data'!I292," ",":",1)))</f>
        <v>130:00</v>
      </c>
      <c r="J292" s="12">
        <f>IF('Raw Data'!J292="",IF(LEN(K292)&gt;6,SQRT('Raw Data'!M292^2+N292^2),""),'Raw Data'!J292)</f>
        <v>21.3</v>
      </c>
      <c r="K292" s="7" t="str">
        <f>IF('Raw Data'!K292="","",IF(LEN('Raw Data'!K292)&lt;7,SUBSTITUTE('Raw Data'!K292," ",":",1),'Raw Data'!K292))</f>
        <v>13:00</v>
      </c>
      <c r="L292" t="str">
        <f>IF('Raw Data'!L292="","",'Raw Data'!L292)</f>
        <v/>
      </c>
      <c r="M292">
        <f>IF('Raw Data'!M292="","",'Raw Data'!M292)</f>
        <v>20.7</v>
      </c>
      <c r="N292">
        <f>IF('Raw Data'!N292="","",IF('Raw Data'!N292="-",0,'Raw Data'!N292))</f>
        <v>4.8</v>
      </c>
      <c r="O292">
        <f>IF('Raw Data'!O292="",IF('Raw Data'!N292="","",0),'Raw Data'!O292)</f>
        <v>345.3</v>
      </c>
      <c r="P292" t="str">
        <f>IF('Raw Data'!P292="","",'Raw Data'!P292)</f>
        <v/>
      </c>
      <c r="R292" s="3" t="str">
        <f t="shared" si="118"/>
        <v>-</v>
      </c>
      <c r="S292" s="3">
        <f t="shared" si="119"/>
        <v>310</v>
      </c>
      <c r="T292" s="3">
        <f t="shared" si="120"/>
        <v>130</v>
      </c>
      <c r="U292" s="3">
        <f t="shared" si="114"/>
        <v>13</v>
      </c>
      <c r="W292" s="4">
        <f t="shared" si="121"/>
        <v>20.75408237992551</v>
      </c>
      <c r="X292" s="4">
        <f t="shared" si="122"/>
        <v>4.7914574575243245</v>
      </c>
      <c r="Y292" s="3">
        <f t="shared" si="123"/>
        <v>130</v>
      </c>
      <c r="Z292" s="4">
        <f>IF('Raw Data'!O292="","",O291+N291)</f>
        <v>345.3</v>
      </c>
    </row>
    <row r="293" spans="1:26" x14ac:dyDescent="0.25">
      <c r="A293" t="str">
        <f>IF('Raw Data'!A293="","",'Raw Data'!A293)</f>
        <v>FH</v>
      </c>
      <c r="B293" t="str">
        <f>IF('Raw Data'!B293="","",'Raw Data'!B293)</f>
        <v>FI</v>
      </c>
      <c r="C293">
        <f>IF('Raw Data'!C293="","",'Raw Data'!C293)</f>
        <v>5</v>
      </c>
      <c r="D293">
        <f>IF('Raw Data'!D293="","",'Raw Data'!D293)</f>
        <v>1</v>
      </c>
      <c r="E293">
        <f>IF('Raw Data'!E293="","",'Raw Data'!E293)</f>
        <v>6</v>
      </c>
      <c r="F293">
        <f>IF('Raw Data'!F293="","",'Raw Data'!F293)</f>
        <v>6</v>
      </c>
      <c r="G293" s="7" t="str">
        <f>IF('Raw Data'!G293="/","-",IF('Raw Data'!G293="","-",SUBSTITUTE('Raw Data'!G293," ",":",1)))</f>
        <v>155:30</v>
      </c>
      <c r="H293" s="7" t="str">
        <f>IF('Raw Data'!H293="/","-",IF('Raw Data'!H293="","-",SUBSTITUTE('Raw Data'!H293," ",":",1)))</f>
        <v>-</v>
      </c>
      <c r="I293" s="7" t="str">
        <f>IF('Raw Data'!I293="/","-",IF('Raw Data'!I293="","-",SUBSTITUTE('Raw Data'!I293," ",":",1)))</f>
        <v>155:30</v>
      </c>
      <c r="J293" s="12">
        <f>IF('Raw Data'!J293="",IF(LEN(K293)&gt;6,SQRT('Raw Data'!M293^2+N293^2),""),'Raw Data'!J293)</f>
        <v>12.8</v>
      </c>
      <c r="K293" s="7" t="str">
        <f>IF('Raw Data'!K293="","",IF(LEN('Raw Data'!K293)&lt;7,SUBSTITUTE('Raw Data'!K293," ",":",1),'Raw Data'!K293))</f>
        <v>10:30</v>
      </c>
      <c r="L293" t="str">
        <f>IF('Raw Data'!L293="","",'Raw Data'!L293)</f>
        <v/>
      </c>
      <c r="M293">
        <f>IF('Raw Data'!M293="","",'Raw Data'!M293)</f>
        <v>12.6</v>
      </c>
      <c r="N293">
        <f>IF('Raw Data'!N293="","",IF('Raw Data'!N293="-",0,'Raw Data'!N293))</f>
        <v>2.2999999999999998</v>
      </c>
      <c r="O293">
        <f>IF('Raw Data'!O293="",IF('Raw Data'!N293="","",0),'Raw Data'!O293)</f>
        <v>350.1</v>
      </c>
      <c r="P293" t="str">
        <f>IF('Raw Data'!P293="","",'Raw Data'!P293)</f>
        <v/>
      </c>
      <c r="R293" s="3">
        <f t="shared" si="118"/>
        <v>155.5</v>
      </c>
      <c r="S293" s="3" t="str">
        <f t="shared" si="119"/>
        <v>-</v>
      </c>
      <c r="T293" s="3">
        <f t="shared" si="120"/>
        <v>155.5</v>
      </c>
      <c r="U293" s="3">
        <f t="shared" si="114"/>
        <v>10.5</v>
      </c>
      <c r="W293" s="4">
        <f t="shared" si="121"/>
        <v>12.585662816818619</v>
      </c>
      <c r="X293" s="4">
        <f t="shared" si="122"/>
        <v>2.3326147262994876</v>
      </c>
      <c r="Y293" s="3">
        <f t="shared" si="123"/>
        <v>155.5</v>
      </c>
      <c r="Z293" s="4">
        <f>IF('Raw Data'!O293="","",O292+N292)</f>
        <v>350.1</v>
      </c>
    </row>
    <row r="294" spans="1:26" x14ac:dyDescent="0.25">
      <c r="A294" t="str">
        <f>IF('Raw Data'!A294="","",'Raw Data'!A294)</f>
        <v>FI</v>
      </c>
      <c r="B294" t="str">
        <f>IF('Raw Data'!B294="","",'Raw Data'!B294)</f>
        <v>FJ</v>
      </c>
      <c r="C294">
        <f>IF('Raw Data'!C294="","",'Raw Data'!C294)</f>
        <v>1</v>
      </c>
      <c r="D294">
        <f>IF('Raw Data'!D294="","",'Raw Data'!D294)</f>
        <v>1.5</v>
      </c>
      <c r="E294">
        <f>IF('Raw Data'!E294="","",'Raw Data'!E294)</f>
        <v>3</v>
      </c>
      <c r="F294" t="str">
        <f>IF('Raw Data'!F294="","",'Raw Data'!F294)</f>
        <v>-</v>
      </c>
      <c r="G294" s="7" t="str">
        <f>IF('Raw Data'!G294="/","-",IF('Raw Data'!G294="","-",SUBSTITUTE('Raw Data'!G294," ",":",1)))</f>
        <v>-</v>
      </c>
      <c r="H294" s="7" t="str">
        <f>IF('Raw Data'!H294="/","-",IF('Raw Data'!H294="","-",SUBSTITUTE('Raw Data'!H294," ",":",1)))</f>
        <v>240:00</v>
      </c>
      <c r="I294" s="7" t="str">
        <f>IF('Raw Data'!I294="/","-",IF('Raw Data'!I294="","-",SUBSTITUTE('Raw Data'!I294," ",":",1)))</f>
        <v>060:00</v>
      </c>
      <c r="J294" s="12">
        <f>IF('Raw Data'!J294="",IF(LEN(K294)&gt;6,SQRT('Raw Data'!M294^2+N294^2),""),'Raw Data'!J294)</f>
        <v>14.1</v>
      </c>
      <c r="K294" s="7" t="str">
        <f>IF('Raw Data'!K294="","",IF(LEN('Raw Data'!K294)&lt;7,SUBSTITUTE('Raw Data'!K294," ",":",1),'Raw Data'!K294))</f>
        <v>-44:00</v>
      </c>
      <c r="L294" t="str">
        <f>IF('Raw Data'!L294="","",'Raw Data'!L294)</f>
        <v/>
      </c>
      <c r="M294">
        <f>IF('Raw Data'!M294="","",'Raw Data'!M294)</f>
        <v>10.1</v>
      </c>
      <c r="N294">
        <f>IF('Raw Data'!N294="","",IF('Raw Data'!N294="-",0,'Raw Data'!N294))</f>
        <v>-9.8000000000000007</v>
      </c>
      <c r="O294">
        <f>IF('Raw Data'!O294="",IF('Raw Data'!N294="","",0),'Raw Data'!O294)</f>
        <v>352.4</v>
      </c>
      <c r="P294" t="str">
        <f>IF('Raw Data'!P294="","",'Raw Data'!P294)</f>
        <v>Entrance to 2nd Boulder Ch. (sketch of FI-FK)</v>
      </c>
      <c r="R294" s="3" t="str">
        <f t="shared" si="118"/>
        <v>-</v>
      </c>
      <c r="S294" s="3">
        <f t="shared" si="119"/>
        <v>240</v>
      </c>
      <c r="T294" s="3">
        <f t="shared" si="120"/>
        <v>60</v>
      </c>
      <c r="U294" s="3">
        <f t="shared" si="114"/>
        <v>-44</v>
      </c>
      <c r="W294" s="4">
        <f t="shared" si="121"/>
        <v>10.142691184774982</v>
      </c>
      <c r="X294" s="4">
        <f t="shared" si="122"/>
        <v>-9.7946830234718618</v>
      </c>
      <c r="Y294" s="3">
        <f t="shared" si="123"/>
        <v>60</v>
      </c>
      <c r="Z294" s="4">
        <f>IF('Raw Data'!O294="","",O293+N293)</f>
        <v>352.40000000000003</v>
      </c>
    </row>
    <row r="295" spans="1:26" x14ac:dyDescent="0.25">
      <c r="A295" t="str">
        <f>IF('Raw Data'!A295="","",'Raw Data'!A295)</f>
        <v>FJ</v>
      </c>
      <c r="B295" t="str">
        <f>IF('Raw Data'!B295="","",'Raw Data'!B295)</f>
        <v>FK</v>
      </c>
      <c r="C295">
        <f>IF('Raw Data'!C295="","",'Raw Data'!C295)</f>
        <v>2</v>
      </c>
      <c r="D295">
        <f>IF('Raw Data'!D295="","",'Raw Data'!D295)</f>
        <v>2</v>
      </c>
      <c r="E295" t="str">
        <f>IF('Raw Data'!E295="","",'Raw Data'!E295)</f>
        <v>/</v>
      </c>
      <c r="F295">
        <f>IF('Raw Data'!F295="","",'Raw Data'!F295)</f>
        <v>3</v>
      </c>
      <c r="G295" s="7" t="str">
        <f>IF('Raw Data'!G295="/","-",IF('Raw Data'!G295="","-",SUBSTITUTE('Raw Data'!G295," ",":",1)))</f>
        <v>324:00</v>
      </c>
      <c r="H295" s="7" t="str">
        <f>IF('Raw Data'!H295="/","-",IF('Raw Data'!H295="","-",SUBSTITUTE('Raw Data'!H295," ",":",1)))</f>
        <v>-</v>
      </c>
      <c r="I295" s="7" t="str">
        <f>IF('Raw Data'!I295="/","-",IF('Raw Data'!I295="","-",SUBSTITUTE('Raw Data'!I295," ",":",1)))</f>
        <v>324:00</v>
      </c>
      <c r="J295" s="12">
        <f>IF('Raw Data'!J295="",IF(LEN(K295)&gt;6,SQRT('Raw Data'!M295^2+N295^2),""),'Raw Data'!J295)</f>
        <v>35.799999999999997</v>
      </c>
      <c r="K295" s="7" t="str">
        <f>IF('Raw Data'!K295="","",IF(LEN('Raw Data'!K295)&lt;7,SUBSTITUTE('Raw Data'!K295," ",":",1),'Raw Data'!K295))</f>
        <v>-18:30</v>
      </c>
      <c r="L295" t="str">
        <f>IF('Raw Data'!L295="","",'Raw Data'!L295)</f>
        <v/>
      </c>
      <c r="M295">
        <f>IF('Raw Data'!M295="","",'Raw Data'!M295)</f>
        <v>33.9</v>
      </c>
      <c r="N295">
        <f>IF('Raw Data'!N295="","",IF('Raw Data'!N295="-",0,'Raw Data'!N295))</f>
        <v>-11.4</v>
      </c>
      <c r="O295">
        <f>IF('Raw Data'!O295="",IF('Raw Data'!N295="","",0),'Raw Data'!O295)</f>
        <v>342.6</v>
      </c>
      <c r="P295" t="str">
        <f>IF('Raw Data'!P295="","",'Raw Data'!P295)</f>
        <v>Side pass at 20', enters BC 12' from FK</v>
      </c>
      <c r="R295" s="3">
        <f t="shared" si="118"/>
        <v>324</v>
      </c>
      <c r="S295" s="3" t="str">
        <f t="shared" si="119"/>
        <v>-</v>
      </c>
      <c r="T295" s="3">
        <f t="shared" si="120"/>
        <v>324</v>
      </c>
      <c r="U295" s="3">
        <f t="shared" si="114"/>
        <v>-18.5</v>
      </c>
      <c r="W295" s="4">
        <f t="shared" si="121"/>
        <v>33.949986856381933</v>
      </c>
      <c r="X295" s="4">
        <f t="shared" si="122"/>
        <v>-11.359506699302298</v>
      </c>
      <c r="Y295" s="3">
        <f t="shared" si="123"/>
        <v>324</v>
      </c>
      <c r="Z295" s="4">
        <f>IF('Raw Data'!O295="","",O294+N294)</f>
        <v>342.59999999999997</v>
      </c>
    </row>
    <row r="296" spans="1:26" x14ac:dyDescent="0.25">
      <c r="A296" t="str">
        <f>IF('Raw Data'!A296="","",'Raw Data'!A296)</f>
        <v>FK</v>
      </c>
      <c r="B296" t="str">
        <f>IF('Raw Data'!B296="","",'Raw Data'!B296)</f>
        <v>FL</v>
      </c>
      <c r="C296">
        <f>IF('Raw Data'!C296="","",'Raw Data'!C296)</f>
        <v>3</v>
      </c>
      <c r="D296">
        <f>IF('Raw Data'!D296="","",'Raw Data'!D296)</f>
        <v>4.5</v>
      </c>
      <c r="E296" t="str">
        <f>IF('Raw Data'!E296="","",'Raw Data'!E296)</f>
        <v>/</v>
      </c>
      <c r="F296">
        <f>IF('Raw Data'!F296="","",'Raw Data'!F296)</f>
        <v>13</v>
      </c>
      <c r="G296" s="7" t="str">
        <f>IF('Raw Data'!G296="/","-",IF('Raw Data'!G296="","-",SUBSTITUTE('Raw Data'!G296," ",":",1)))</f>
        <v>-</v>
      </c>
      <c r="H296" s="7" t="str">
        <f>IF('Raw Data'!H296="/","-",IF('Raw Data'!H296="","-",SUBSTITUTE('Raw Data'!H296," ",":",1)))</f>
        <v>238:00</v>
      </c>
      <c r="I296" s="7" t="str">
        <f>IF('Raw Data'!I296="/","-",IF('Raw Data'!I296="","-",SUBSTITUTE('Raw Data'!I296," ",":",1)))</f>
        <v>058:00</v>
      </c>
      <c r="J296" s="12">
        <f>IF('Raw Data'!J296="",IF(LEN(K296)&gt;6,SQRT('Raw Data'!M296^2+N296^2),""),'Raw Data'!J296)</f>
        <v>11.2</v>
      </c>
      <c r="K296" s="7" t="str">
        <f>IF('Raw Data'!K296="","",IF(LEN('Raw Data'!K296)&lt;7,SUBSTITUTE('Raw Data'!K296," ",":",1),'Raw Data'!K296))</f>
        <v>-15:00</v>
      </c>
      <c r="L296" t="str">
        <f>IF('Raw Data'!L296="","",'Raw Data'!L296)</f>
        <v/>
      </c>
      <c r="M296">
        <f>IF('Raw Data'!M296="","",'Raw Data'!M296)</f>
        <v>10.8</v>
      </c>
      <c r="N296">
        <f>IF('Raw Data'!N296="","",IF('Raw Data'!N296="-",0,'Raw Data'!N296))</f>
        <v>-2.9</v>
      </c>
      <c r="O296">
        <f>IF('Raw Data'!O296="",IF('Raw Data'!N296="","",0),'Raw Data'!O296)</f>
        <v>331.2</v>
      </c>
      <c r="P296" t="str">
        <f>IF('Raw Data'!P296="","",'Raw Data'!P296)</f>
        <v>On wee stalagmite in S. corner 1st BC</v>
      </c>
      <c r="R296" s="3" t="str">
        <f t="shared" si="118"/>
        <v>-</v>
      </c>
      <c r="S296" s="3">
        <f t="shared" si="119"/>
        <v>238</v>
      </c>
      <c r="T296" s="3">
        <f t="shared" si="120"/>
        <v>58</v>
      </c>
      <c r="U296" s="3">
        <f t="shared" si="114"/>
        <v>-15</v>
      </c>
      <c r="W296" s="4">
        <f t="shared" si="121"/>
        <v>10.818369254437565</v>
      </c>
      <c r="X296" s="4">
        <f t="shared" si="122"/>
        <v>-2.8987733051482323</v>
      </c>
      <c r="Y296" s="3">
        <f t="shared" si="123"/>
        <v>58</v>
      </c>
      <c r="Z296" s="4">
        <f>IF('Raw Data'!O296="","",O295+N295)</f>
        <v>331.20000000000005</v>
      </c>
    </row>
    <row r="297" spans="1:26" x14ac:dyDescent="0.25">
      <c r="A297" t="str">
        <f>IF('Raw Data'!A297="","",'Raw Data'!A297)</f>
        <v>FL</v>
      </c>
      <c r="B297" t="str">
        <f>IF('Raw Data'!B297="","",'Raw Data'!B297)</f>
        <v>FM</v>
      </c>
      <c r="C297">
        <f>IF('Raw Data'!C297="","",'Raw Data'!C297)</f>
        <v>12</v>
      </c>
      <c r="D297">
        <f>IF('Raw Data'!D297="","",'Raw Data'!D297)</f>
        <v>2</v>
      </c>
      <c r="E297">
        <f>IF('Raw Data'!E297="","",'Raw Data'!E297)</f>
        <v>10</v>
      </c>
      <c r="F297">
        <f>IF('Raw Data'!F297="","",'Raw Data'!F297)</f>
        <v>3</v>
      </c>
      <c r="G297" s="7" t="str">
        <f>IF('Raw Data'!G297="/","-",IF('Raw Data'!G297="","-",SUBSTITUTE('Raw Data'!G297," ",":",1)))</f>
        <v>287:10</v>
      </c>
      <c r="H297" s="7" t="str">
        <f>IF('Raw Data'!H297="/","-",IF('Raw Data'!H297="","-",SUBSTITUTE('Raw Data'!H297," ",":",1)))</f>
        <v>-</v>
      </c>
      <c r="I297" s="7" t="str">
        <f>IF('Raw Data'!I297="/","-",IF('Raw Data'!I297="","-",SUBSTITUTE('Raw Data'!I297," ",":",1)))</f>
        <v>287:10</v>
      </c>
      <c r="J297" s="12">
        <f>IF('Raw Data'!J297="",IF(LEN(K297)&gt;6,SQRT('Raw Data'!M297^2+N297^2),""),'Raw Data'!J297)</f>
        <v>44.5</v>
      </c>
      <c r="K297" s="7" t="str">
        <f>IF('Raw Data'!K297="","",IF(LEN('Raw Data'!K297)&lt;7,SUBSTITUTE('Raw Data'!K297," ",":",1),'Raw Data'!K297))</f>
        <v>-11:00</v>
      </c>
      <c r="L297" t="str">
        <f>IF('Raw Data'!L297="","",'Raw Data'!L297)</f>
        <v/>
      </c>
      <c r="M297">
        <f>IF('Raw Data'!M297="","",'Raw Data'!M297)</f>
        <v>43.6</v>
      </c>
      <c r="N297">
        <f>IF('Raw Data'!N297="","",IF('Raw Data'!N297="-",0,'Raw Data'!N297))</f>
        <v>-8.5</v>
      </c>
      <c r="O297">
        <f>IF('Raw Data'!O297="",IF('Raw Data'!N297="","",0),'Raw Data'!O297)</f>
        <v>328.3</v>
      </c>
      <c r="P297" t="str">
        <f>IF('Raw Data'!P297="","",'Raw Data'!P297)</f>
        <v>In BC. Side passage (wet) at 39'. 20' long at 155deg. Passage splits at 24'</v>
      </c>
      <c r="R297" s="3">
        <f t="shared" si="118"/>
        <v>287.16666666666669</v>
      </c>
      <c r="S297" s="3" t="str">
        <f t="shared" si="119"/>
        <v>-</v>
      </c>
      <c r="T297" s="3">
        <f t="shared" si="120"/>
        <v>287.16666666666669</v>
      </c>
      <c r="U297" s="3">
        <f t="shared" si="114"/>
        <v>-11</v>
      </c>
      <c r="W297" s="4">
        <f t="shared" si="121"/>
        <v>43.682409663421048</v>
      </c>
      <c r="X297" s="4">
        <f t="shared" si="122"/>
        <v>-8.4910002942562439</v>
      </c>
      <c r="Y297" s="3">
        <f t="shared" si="123"/>
        <v>287.16666666666669</v>
      </c>
      <c r="Z297" s="4">
        <f>IF('Raw Data'!O297="","",O296+N296)</f>
        <v>328.3</v>
      </c>
    </row>
    <row r="298" spans="1:26" x14ac:dyDescent="0.25">
      <c r="A298" t="str">
        <f>IF('Raw Data'!A298="","",'Raw Data'!A298)</f>
        <v>FM</v>
      </c>
      <c r="B298" t="str">
        <f>IF('Raw Data'!B298="","",'Raw Data'!B298)</f>
        <v>FN</v>
      </c>
      <c r="C298">
        <f>IF('Raw Data'!C298="","",'Raw Data'!C298)</f>
        <v>8</v>
      </c>
      <c r="D298">
        <f>IF('Raw Data'!D298="","",'Raw Data'!D298)</f>
        <v>10</v>
      </c>
      <c r="E298">
        <f>IF('Raw Data'!E298="","",'Raw Data'!E298)</f>
        <v>3</v>
      </c>
      <c r="F298">
        <f>IF('Raw Data'!F298="","",'Raw Data'!F298)</f>
        <v>1</v>
      </c>
      <c r="G298" s="7" t="str">
        <f>IF('Raw Data'!G298="/","-",IF('Raw Data'!G298="","-",SUBSTITUTE('Raw Data'!G298," ",":",1)))</f>
        <v>-</v>
      </c>
      <c r="H298" s="7" t="str">
        <f>IF('Raw Data'!H298="/","-",IF('Raw Data'!H298="","-",SUBSTITUTE('Raw Data'!H298," ",":",1)))</f>
        <v>112:15</v>
      </c>
      <c r="I298" s="7" t="str">
        <f>IF('Raw Data'!I298="/","-",IF('Raw Data'!I298="","-",SUBSTITUTE('Raw Data'!I298," ",":",1)))</f>
        <v>292:15</v>
      </c>
      <c r="J298" s="12">
        <f>IF('Raw Data'!J298="",IF(LEN(K298)&gt;6,SQRT('Raw Data'!M298^2+N298^2),""),'Raw Data'!J298)</f>
        <v>14.3</v>
      </c>
      <c r="K298" s="7" t="str">
        <f>IF('Raw Data'!K298="","",IF(LEN('Raw Data'!K298)&lt;7,SUBSTITUTE('Raw Data'!K298," ",":",1),'Raw Data'!K298))</f>
        <v>18:30</v>
      </c>
      <c r="L298" t="str">
        <f>IF('Raw Data'!L298="","",'Raw Data'!L298)</f>
        <v/>
      </c>
      <c r="M298">
        <f>IF('Raw Data'!M298="","",'Raw Data'!M298)</f>
        <v>13.5</v>
      </c>
      <c r="N298">
        <f>IF('Raw Data'!N298="","",IF('Raw Data'!N298="-",0,'Raw Data'!N298))</f>
        <v>4.5</v>
      </c>
      <c r="O298">
        <f>IF('Raw Data'!O298="",IF('Raw Data'!N298="","",0),'Raw Data'!O298)</f>
        <v>319.8</v>
      </c>
      <c r="P298" t="str">
        <f>IF('Raw Data'!P298="","",'Raw Data'!P298)</f>
        <v>On stal boss in roof passage</v>
      </c>
      <c r="R298" s="3" t="str">
        <f t="shared" si="118"/>
        <v>-</v>
      </c>
      <c r="S298" s="3">
        <f t="shared" si="119"/>
        <v>112.25</v>
      </c>
      <c r="T298" s="3">
        <f t="shared" si="120"/>
        <v>292.25</v>
      </c>
      <c r="U298" s="3">
        <f t="shared" si="114"/>
        <v>18.5</v>
      </c>
      <c r="W298" s="4">
        <f t="shared" si="121"/>
        <v>13.56102826944865</v>
      </c>
      <c r="X298" s="4">
        <f t="shared" si="122"/>
        <v>4.5374565865928176</v>
      </c>
      <c r="Y298" s="3">
        <f t="shared" si="123"/>
        <v>292.25</v>
      </c>
      <c r="Z298" s="4">
        <f>IF('Raw Data'!O298="","",O297+N297)</f>
        <v>319.8</v>
      </c>
    </row>
    <row r="299" spans="1:26" x14ac:dyDescent="0.25">
      <c r="A299" t="str">
        <f>IF('Raw Data'!A299="","",'Raw Data'!A299)</f>
        <v>FN</v>
      </c>
      <c r="B299" t="str">
        <f>IF('Raw Data'!B299="","",'Raw Data'!B299)</f>
        <v>FO</v>
      </c>
      <c r="C299">
        <f>IF('Raw Data'!C299="","",'Raw Data'!C299)</f>
        <v>3</v>
      </c>
      <c r="D299">
        <f>IF('Raw Data'!D299="","",'Raw Data'!D299)</f>
        <v>15</v>
      </c>
      <c r="E299">
        <f>IF('Raw Data'!E299="","",'Raw Data'!E299)</f>
        <v>3</v>
      </c>
      <c r="F299">
        <f>IF('Raw Data'!F299="","",'Raw Data'!F299)</f>
        <v>1</v>
      </c>
      <c r="G299" s="7" t="str">
        <f>IF('Raw Data'!G299="/","-",IF('Raw Data'!G299="","-",SUBSTITUTE('Raw Data'!G299," ",":",1)))</f>
        <v>340:30</v>
      </c>
      <c r="H299" s="7" t="str">
        <f>IF('Raw Data'!H299="/","-",IF('Raw Data'!H299="","-",SUBSTITUTE('Raw Data'!H299," ",":",1)))</f>
        <v>-</v>
      </c>
      <c r="I299" s="7" t="str">
        <f>IF('Raw Data'!I299="/","-",IF('Raw Data'!I299="","-",SUBSTITUTE('Raw Data'!I299," ",":",1)))</f>
        <v>340:30</v>
      </c>
      <c r="J299" s="12">
        <f>IF('Raw Data'!J299="",IF(LEN(K299)&gt;6,SQRT('Raw Data'!M299^2+N299^2),""),'Raw Data'!J299)</f>
        <v>16</v>
      </c>
      <c r="K299" s="7" t="str">
        <f>IF('Raw Data'!K299="","",IF(LEN('Raw Data'!K299)&lt;7,SUBSTITUTE('Raw Data'!K299," ",":",1),'Raw Data'!K299))</f>
        <v>4:00</v>
      </c>
      <c r="L299" t="str">
        <f>IF('Raw Data'!L299="","",'Raw Data'!L299)</f>
        <v/>
      </c>
      <c r="M299">
        <f>IF('Raw Data'!M299="","",'Raw Data'!M299)</f>
        <v>15.9</v>
      </c>
      <c r="N299">
        <f>IF('Raw Data'!N299="","",IF('Raw Data'!N299="-",0,'Raw Data'!N299))</f>
        <v>1.1000000000000001</v>
      </c>
      <c r="O299">
        <f>IF('Raw Data'!O299="",IF('Raw Data'!N299="","",0),'Raw Data'!O299)</f>
        <v>324.3</v>
      </c>
      <c r="P299" t="str">
        <f>IF('Raw Data'!P299="","",'Raw Data'!P299)</f>
        <v/>
      </c>
      <c r="R299" s="3">
        <f t="shared" si="118"/>
        <v>340.5</v>
      </c>
      <c r="S299" s="3" t="str">
        <f t="shared" si="119"/>
        <v>-</v>
      </c>
      <c r="T299" s="3">
        <f t="shared" si="120"/>
        <v>340.5</v>
      </c>
      <c r="U299" s="3">
        <f t="shared" si="114"/>
        <v>4</v>
      </c>
      <c r="W299" s="4">
        <f t="shared" si="121"/>
        <v>15.961024804157187</v>
      </c>
      <c r="X299" s="4">
        <f t="shared" si="122"/>
        <v>1.1161035799060048</v>
      </c>
      <c r="Y299" s="3">
        <f t="shared" si="123"/>
        <v>340.5</v>
      </c>
      <c r="Z299" s="4">
        <f>IF('Raw Data'!O299="","",O298+N298)</f>
        <v>324.3</v>
      </c>
    </row>
    <row r="300" spans="1:26" x14ac:dyDescent="0.25">
      <c r="A300" t="str">
        <f>IF('Raw Data'!A300="","",'Raw Data'!A300)</f>
        <v>FO</v>
      </c>
      <c r="B300" t="str">
        <f>IF('Raw Data'!B300="","",'Raw Data'!B300)</f>
        <v>FP</v>
      </c>
      <c r="C300">
        <f>IF('Raw Data'!C300="","",'Raw Data'!C300)</f>
        <v>2</v>
      </c>
      <c r="D300">
        <f>IF('Raw Data'!D300="","",'Raw Data'!D300)</f>
        <v>12</v>
      </c>
      <c r="E300">
        <f>IF('Raw Data'!E300="","",'Raw Data'!E300)</f>
        <v>6</v>
      </c>
      <c r="F300">
        <f>IF('Raw Data'!F300="","",'Raw Data'!F300)</f>
        <v>2</v>
      </c>
      <c r="G300" s="7" t="str">
        <f>IF('Raw Data'!G300="/","-",IF('Raw Data'!G300="","-",SUBSTITUTE('Raw Data'!G300," ",":",1)))</f>
        <v>-</v>
      </c>
      <c r="H300" s="7" t="str">
        <f>IF('Raw Data'!H300="/","-",IF('Raw Data'!H300="","-",SUBSTITUTE('Raw Data'!H300," ",":",1)))</f>
        <v>068:00</v>
      </c>
      <c r="I300" s="7" t="str">
        <f>IF('Raw Data'!I300="/","-",IF('Raw Data'!I300="","-",SUBSTITUTE('Raw Data'!I300," ",":",1)))</f>
        <v>248:00</v>
      </c>
      <c r="J300" s="12">
        <f>IF('Raw Data'!J300="",IF(LEN(K300)&gt;6,SQRT('Raw Data'!M300^2+N300^2),""),'Raw Data'!J300)</f>
        <v>15.4</v>
      </c>
      <c r="K300" s="7" t="str">
        <f>IF('Raw Data'!K300="","",IF(LEN('Raw Data'!K300)&lt;7,SUBSTITUTE('Raw Data'!K300," ",":",1),'Raw Data'!K300))</f>
        <v>-58:00</v>
      </c>
      <c r="L300" t="str">
        <f>IF('Raw Data'!L300="","",'Raw Data'!L300)</f>
        <v/>
      </c>
      <c r="M300">
        <f>IF('Raw Data'!M300="","",'Raw Data'!M300)</f>
        <v>8.1999999999999993</v>
      </c>
      <c r="N300">
        <f>IF('Raw Data'!N300="","",IF('Raw Data'!N300="-",0,'Raw Data'!N300))</f>
        <v>-13</v>
      </c>
      <c r="O300">
        <f>IF('Raw Data'!O300="",IF('Raw Data'!N300="","",0),'Raw Data'!O300)</f>
        <v>325.39999999999998</v>
      </c>
      <c r="P300" t="str">
        <f>IF('Raw Data'!P300="","",'Raw Data'!P300)</f>
        <v>Mousehole passage 33' at 087deg from FO</v>
      </c>
      <c r="R300" s="3" t="str">
        <f t="shared" si="118"/>
        <v>-</v>
      </c>
      <c r="S300" s="3">
        <f t="shared" si="119"/>
        <v>68</v>
      </c>
      <c r="T300" s="3">
        <f t="shared" si="120"/>
        <v>248</v>
      </c>
      <c r="U300" s="3">
        <f t="shared" si="114"/>
        <v>-58</v>
      </c>
      <c r="W300" s="4">
        <f t="shared" si="121"/>
        <v>8.1607566691913558</v>
      </c>
      <c r="X300" s="4">
        <f t="shared" si="122"/>
        <v>-13.05994068080896</v>
      </c>
      <c r="Y300" s="3">
        <f t="shared" si="123"/>
        <v>248</v>
      </c>
      <c r="Z300" s="4">
        <f>IF('Raw Data'!O300="","",O299+N299)</f>
        <v>325.40000000000003</v>
      </c>
    </row>
    <row r="301" spans="1:26" x14ac:dyDescent="0.25">
      <c r="A301" t="str">
        <f>IF('Raw Data'!A301="","",'Raw Data'!A301)</f>
        <v>FP</v>
      </c>
      <c r="B301" t="str">
        <f>IF('Raw Data'!B301="","",'Raw Data'!B301)</f>
        <v>FQ</v>
      </c>
      <c r="C301">
        <f>IF('Raw Data'!C301="","",'Raw Data'!C301)</f>
        <v>15</v>
      </c>
      <c r="D301">
        <f>IF('Raw Data'!D301="","",'Raw Data'!D301)</f>
        <v>6</v>
      </c>
      <c r="E301">
        <f>IF('Raw Data'!E301="","",'Raw Data'!E301)</f>
        <v>3</v>
      </c>
      <c r="F301">
        <f>IF('Raw Data'!F301="","",'Raw Data'!F301)</f>
        <v>2</v>
      </c>
      <c r="G301" s="7" t="str">
        <f>IF('Raw Data'!G301="/","-",IF('Raw Data'!G301="","-",SUBSTITUTE('Raw Data'!G301," ",":",1)))</f>
        <v>319:00</v>
      </c>
      <c r="H301" s="7" t="str">
        <f>IF('Raw Data'!H301="/","-",IF('Raw Data'!H301="","-",SUBSTITUTE('Raw Data'!H301," ",":",1)))</f>
        <v>-</v>
      </c>
      <c r="I301" s="7" t="str">
        <f>IF('Raw Data'!I301="/","-",IF('Raw Data'!I301="","-",SUBSTITUTE('Raw Data'!I301," ",":",1)))</f>
        <v>319:00</v>
      </c>
      <c r="J301" s="12">
        <f>IF('Raw Data'!J301="",IF(LEN(K301)&gt;6,SQRT('Raw Data'!M301^2+N301^2),""),'Raw Data'!J301)</f>
        <v>12</v>
      </c>
      <c r="K301" s="7" t="str">
        <f>IF('Raw Data'!K301="","",IF(LEN('Raw Data'!K301)&lt;7,SUBSTITUTE('Raw Data'!K301," ",":",1),'Raw Data'!K301))</f>
        <v>-11:00</v>
      </c>
      <c r="L301" t="str">
        <f>IF('Raw Data'!L301="","",'Raw Data'!L301)</f>
        <v/>
      </c>
      <c r="M301">
        <f>IF('Raw Data'!M301="","",'Raw Data'!M301)</f>
        <v>11.8</v>
      </c>
      <c r="N301">
        <f>IF('Raw Data'!N301="","",IF('Raw Data'!N301="-",0,'Raw Data'!N301))</f>
        <v>-2.2999999999999998</v>
      </c>
      <c r="O301">
        <f>IF('Raw Data'!O301="",IF('Raw Data'!N301="","",0),'Raw Data'!O301)</f>
        <v>312.39999999999998</v>
      </c>
      <c r="P301" t="str">
        <f>IF('Raw Data'!P301="","",'Raw Data'!P301)</f>
        <v/>
      </c>
      <c r="R301" s="3">
        <f t="shared" si="118"/>
        <v>319</v>
      </c>
      <c r="S301" s="3" t="str">
        <f t="shared" si="119"/>
        <v>-</v>
      </c>
      <c r="T301" s="3">
        <f t="shared" si="120"/>
        <v>319</v>
      </c>
      <c r="U301" s="3">
        <f t="shared" si="114"/>
        <v>-11</v>
      </c>
      <c r="W301" s="4">
        <f t="shared" si="121"/>
        <v>11.779526201371969</v>
      </c>
      <c r="X301" s="4">
        <f t="shared" si="122"/>
        <v>-2.2897079445185375</v>
      </c>
      <c r="Y301" s="3">
        <f t="shared" si="123"/>
        <v>319</v>
      </c>
      <c r="Z301" s="4">
        <f>IF('Raw Data'!O301="","",O300+N300)</f>
        <v>312.39999999999998</v>
      </c>
    </row>
    <row r="302" spans="1:26" x14ac:dyDescent="0.25">
      <c r="A302" t="str">
        <f>IF('Raw Data'!A302="","",'Raw Data'!A302)</f>
        <v>FQ</v>
      </c>
      <c r="B302" t="str">
        <f>IF('Raw Data'!B302="","",'Raw Data'!B302)</f>
        <v>FR</v>
      </c>
      <c r="C302">
        <f>IF('Raw Data'!C302="","",'Raw Data'!C302)</f>
        <v>18</v>
      </c>
      <c r="D302">
        <f>IF('Raw Data'!D302="","",'Raw Data'!D302)</f>
        <v>5</v>
      </c>
      <c r="E302" t="str">
        <f>IF('Raw Data'!E302="","",'Raw Data'!E302)</f>
        <v>-</v>
      </c>
      <c r="F302">
        <f>IF('Raw Data'!F302="","",'Raw Data'!F302)</f>
        <v>5</v>
      </c>
      <c r="G302" s="7" t="str">
        <f>IF('Raw Data'!G302="/","-",IF('Raw Data'!G302="","-",SUBSTITUTE('Raw Data'!G302," ",":",1)))</f>
        <v>-</v>
      </c>
      <c r="H302" s="7" t="str">
        <f>IF('Raw Data'!H302="/","-",IF('Raw Data'!H302="","-",SUBSTITUTE('Raw Data'!H302," ",":",1)))</f>
        <v>088:00</v>
      </c>
      <c r="I302" s="7" t="str">
        <f>IF('Raw Data'!I302="/","-",IF('Raw Data'!I302="","-",SUBSTITUTE('Raw Data'!I302," ",":",1)))</f>
        <v>268:00</v>
      </c>
      <c r="J302" s="12">
        <f>IF('Raw Data'!J302="",IF(LEN(K302)&gt;6,SQRT('Raw Data'!M302^2+N302^2),""),'Raw Data'!J302)</f>
        <v>39</v>
      </c>
      <c r="K302" s="7" t="str">
        <f>IF('Raw Data'!K302="","",IF(LEN('Raw Data'!K302)&lt;7,SUBSTITUTE('Raw Data'!K302," ",":",1),'Raw Data'!K302))</f>
        <v>-6:30</v>
      </c>
      <c r="L302" t="str">
        <f>IF('Raw Data'!L302="","",'Raw Data'!L302)</f>
        <v/>
      </c>
      <c r="M302">
        <f>IF('Raw Data'!M302="","",'Raw Data'!M302)</f>
        <v>38.6</v>
      </c>
      <c r="N302">
        <f>IF('Raw Data'!N302="","",IF('Raw Data'!N302="-",0,'Raw Data'!N302))</f>
        <v>-4.4000000000000004</v>
      </c>
      <c r="O302">
        <f>IF('Raw Data'!O302="",IF('Raw Data'!N302="","",0),'Raw Data'!O302)</f>
        <v>310.10000000000002</v>
      </c>
      <c r="P302" t="str">
        <f>IF('Raw Data'!P302="","",'Raw Data'!P302)</f>
        <v/>
      </c>
      <c r="R302" s="3" t="str">
        <f t="shared" si="118"/>
        <v>-</v>
      </c>
      <c r="S302" s="3">
        <f t="shared" si="119"/>
        <v>88</v>
      </c>
      <c r="T302" s="3">
        <f t="shared" si="120"/>
        <v>268</v>
      </c>
      <c r="U302" s="3">
        <f t="shared" si="114"/>
        <v>-6.5</v>
      </c>
      <c r="W302" s="4">
        <f t="shared" si="121"/>
        <v>38.749302371386911</v>
      </c>
      <c r="X302" s="4">
        <f t="shared" si="122"/>
        <v>-4.4149253369483619</v>
      </c>
      <c r="Y302" s="3">
        <f t="shared" si="123"/>
        <v>268</v>
      </c>
      <c r="Z302" s="4">
        <f>IF('Raw Data'!O302="","",O301+N301)</f>
        <v>310.09999999999997</v>
      </c>
    </row>
    <row r="303" spans="1:26" x14ac:dyDescent="0.25">
      <c r="A303" t="str">
        <f>IF('Raw Data'!A303="","",'Raw Data'!A303)</f>
        <v>FR</v>
      </c>
      <c r="B303" t="str">
        <f>IF('Raw Data'!B303="","",'Raw Data'!B303)</f>
        <v>DA</v>
      </c>
      <c r="C303">
        <f>IF('Raw Data'!C303="","",'Raw Data'!C303)</f>
        <v>6</v>
      </c>
      <c r="D303" t="str">
        <f>IF('Raw Data'!D303="","",'Raw Data'!D303)</f>
        <v>10 (under bridge)</v>
      </c>
      <c r="E303">
        <f>IF('Raw Data'!E303="","",'Raw Data'!E303)</f>
        <v>4</v>
      </c>
      <c r="F303">
        <f>IF('Raw Data'!F303="","",'Raw Data'!F303)</f>
        <v>10</v>
      </c>
      <c r="G303" s="7" t="str">
        <f>IF('Raw Data'!G303="/","-",IF('Raw Data'!G303="","-",SUBSTITUTE('Raw Data'!G303," ",":",1)))</f>
        <v>252:30</v>
      </c>
      <c r="H303" s="7" t="str">
        <f>IF('Raw Data'!H303="/","-",IF('Raw Data'!H303="","-",SUBSTITUTE('Raw Data'!H303," ",":",1)))</f>
        <v>-</v>
      </c>
      <c r="I303" s="7" t="str">
        <f>IF('Raw Data'!I303="/","-",IF('Raw Data'!I303="","-",SUBSTITUTE('Raw Data'!I303," ",":",1)))</f>
        <v>252:00</v>
      </c>
      <c r="J303" s="12">
        <f>IF('Raw Data'!J303="",IF(LEN(K303)&gt;6,SQRT('Raw Data'!M303^2+N303^2),""),'Raw Data'!J303)</f>
        <v>29.2</v>
      </c>
      <c r="K303" s="7" t="str">
        <f>IF('Raw Data'!K303="","",IF(LEN('Raw Data'!K303)&lt;7,SUBSTITUTE('Raw Data'!K303," ",":",1),'Raw Data'!K303))</f>
        <v>-24:30</v>
      </c>
      <c r="L303" t="str">
        <f>IF('Raw Data'!L303="","",'Raw Data'!L303)</f>
        <v/>
      </c>
      <c r="M303">
        <f>IF('Raw Data'!M303="","",'Raw Data'!M303)</f>
        <v>26.5</v>
      </c>
      <c r="N303">
        <f>IF('Raw Data'!N303="","",IF('Raw Data'!N303="-",0,'Raw Data'!N303))</f>
        <v>-12.1</v>
      </c>
      <c r="O303">
        <f>IF('Raw Data'!O303="",IF('Raw Data'!N303="","",0),'Raw Data'!O303)</f>
        <v>305.7</v>
      </c>
      <c r="P303" t="str">
        <f>IF('Raw Data'!P303="","",'Raw Data'!P303)</f>
        <v>Ent to Old Grot on bridge</v>
      </c>
      <c r="R303" s="3">
        <f t="shared" si="118"/>
        <v>252.5</v>
      </c>
      <c r="S303" s="3" t="str">
        <f t="shared" si="119"/>
        <v>-</v>
      </c>
      <c r="T303" s="3">
        <f t="shared" si="120"/>
        <v>252</v>
      </c>
      <c r="U303" s="3">
        <f t="shared" si="114"/>
        <v>-24.5</v>
      </c>
      <c r="W303" s="4">
        <f t="shared" si="121"/>
        <v>26.570869109595062</v>
      </c>
      <c r="X303" s="4">
        <f t="shared" si="122"/>
        <v>-12.10904268556218</v>
      </c>
      <c r="Y303" s="3">
        <f t="shared" si="123"/>
        <v>252.5</v>
      </c>
      <c r="Z303" s="4">
        <f>IF('Raw Data'!O303="","",O302+N302)</f>
        <v>305.70000000000005</v>
      </c>
    </row>
    <row r="304" spans="1:26" x14ac:dyDescent="0.25">
      <c r="A304" t="str">
        <f>IF('Raw Data'!A304="","",'Raw Data'!A304)</f>
        <v>DA</v>
      </c>
      <c r="B304" t="str">
        <f>IF('Raw Data'!B304="","",'Raw Data'!B304)</f>
        <v/>
      </c>
      <c r="C304" t="str">
        <f>IF('Raw Data'!C304="","",'Raw Data'!C304)</f>
        <v/>
      </c>
      <c r="D304" t="str">
        <f>IF('Raw Data'!D304="","",'Raw Data'!D304)</f>
        <v/>
      </c>
      <c r="E304" t="str">
        <f>IF('Raw Data'!E304="","",'Raw Data'!E304)</f>
        <v/>
      </c>
      <c r="F304" t="str">
        <f>IF('Raw Data'!F304="","",'Raw Data'!F304)</f>
        <v/>
      </c>
      <c r="G304" s="7" t="str">
        <f>IF('Raw Data'!G304="/","-",IF('Raw Data'!G304="","-",SUBSTITUTE('Raw Data'!G304," ",":",1)))</f>
        <v>-</v>
      </c>
      <c r="H304" s="7" t="str">
        <f>IF('Raw Data'!H304="/","-",IF('Raw Data'!H304="","-",SUBSTITUTE('Raw Data'!H304," ",":",1)))</f>
        <v>-</v>
      </c>
      <c r="I304" s="7" t="str">
        <f>IF('Raw Data'!I304="/","-",IF('Raw Data'!I304="","-",SUBSTITUTE('Raw Data'!I304," ",":",1)))</f>
        <v>-</v>
      </c>
      <c r="J304" s="12" t="str">
        <f>IF('Raw Data'!J304="",IF(LEN(K304)&gt;6,SQRT('Raw Data'!M304^2+N304^2),""),'Raw Data'!J304)</f>
        <v/>
      </c>
      <c r="K304" s="7" t="str">
        <f>IF('Raw Data'!K304="","",IF(LEN('Raw Data'!K304)&lt;7,SUBSTITUTE('Raw Data'!K304," ",":",1),'Raw Data'!K304))</f>
        <v/>
      </c>
      <c r="L304" t="str">
        <f>IF('Raw Data'!L304="","",'Raw Data'!L304)</f>
        <v/>
      </c>
      <c r="M304" t="str">
        <f>IF('Raw Data'!M304="","",'Raw Data'!M304)</f>
        <v/>
      </c>
      <c r="N304" t="str">
        <f>IF('Raw Data'!N304="","",IF('Raw Data'!N304="-",0,'Raw Data'!N304))</f>
        <v/>
      </c>
      <c r="O304">
        <f>IF('Raw Data'!O304="",IF('Raw Data'!N304="","",0),'Raw Data'!O304)</f>
        <v>293.60000000000002</v>
      </c>
      <c r="P304" t="str">
        <f>IF('Raw Data'!P304="","",'Raw Data'!P304)</f>
        <v>1' further on at 45deg to right of last sta. (sketch of this DA relative to "DA boss")</v>
      </c>
      <c r="W304" s="4"/>
      <c r="X304" s="4"/>
      <c r="Y304" s="3"/>
      <c r="Z304" s="4">
        <f>IF('Raw Data'!O304="","",O303+N303)</f>
        <v>293.59999999999997</v>
      </c>
    </row>
    <row r="305" spans="1:27" x14ac:dyDescent="0.25">
      <c r="A305" t="str">
        <f>IF('Raw Data'!A305="","",'Raw Data'!A305)</f>
        <v>FK</v>
      </c>
      <c r="B305" t="str">
        <f>IF('Raw Data'!B305="","",'Raw Data'!B305)</f>
        <v>FS</v>
      </c>
      <c r="C305" t="str">
        <f>IF('Raw Data'!C305="","",'Raw Data'!C305)</f>
        <v>/</v>
      </c>
      <c r="D305" t="str">
        <f>IF('Raw Data'!D305="","",'Raw Data'!D305)</f>
        <v>/</v>
      </c>
      <c r="E305" t="str">
        <f>IF('Raw Data'!E305="","",'Raw Data'!E305)</f>
        <v>/</v>
      </c>
      <c r="F305" t="str">
        <f>IF('Raw Data'!F305="","",'Raw Data'!F305)</f>
        <v>/</v>
      </c>
      <c r="G305" s="7" t="str">
        <f>IF('Raw Data'!G305="/","-",IF('Raw Data'!G305="","-",SUBSTITUTE('Raw Data'!G305," ",":",1)))</f>
        <v>-</v>
      </c>
      <c r="H305" s="7" t="str">
        <f>IF('Raw Data'!H305="/","-",IF('Raw Data'!H305="","-",SUBSTITUTE('Raw Data'!H305," ",":",1)))</f>
        <v>271:40</v>
      </c>
      <c r="I305" s="7" t="str">
        <f>IF('Raw Data'!I305="/","-",IF('Raw Data'!I305="","-",SUBSTITUTE('Raw Data'!I305," ",":",1)))</f>
        <v>091:40</v>
      </c>
      <c r="J305" s="12">
        <f>IF('Raw Data'!J305="",IF(LEN(K305)&gt;6,SQRT('Raw Data'!M305^2+N305^2),""),'Raw Data'!J305)</f>
        <v>31.3</v>
      </c>
      <c r="K305" s="7" t="str">
        <f>IF('Raw Data'!K305="","",IF(LEN('Raw Data'!K305)&lt;7,SUBSTITUTE('Raw Data'!K305," ",":",1),'Raw Data'!K305))</f>
        <v>11:00</v>
      </c>
      <c r="L305" t="str">
        <f>IF('Raw Data'!L305="","",'Raw Data'!L305)</f>
        <v/>
      </c>
      <c r="M305">
        <f>IF('Raw Data'!M305="","",'Raw Data'!M305)</f>
        <v>30.7</v>
      </c>
      <c r="N305">
        <f>IF('Raw Data'!N305="","",IF('Raw Data'!N305="-",0,'Raw Data'!N305))</f>
        <v>6</v>
      </c>
      <c r="O305">
        <f>IF('Raw Data'!O305="",IF('Raw Data'!N305="","",0),'Raw Data'!O305)</f>
        <v>331.2</v>
      </c>
      <c r="P305" t="str">
        <f>IF('Raw Data'!P305="","",'Raw Data'!P305)</f>
        <v/>
      </c>
      <c r="R305" s="3" t="str">
        <f t="shared" si="118"/>
        <v>-</v>
      </c>
      <c r="S305" s="3">
        <f t="shared" si="119"/>
        <v>271.66666666666669</v>
      </c>
      <c r="T305" s="3">
        <f t="shared" si="120"/>
        <v>91.666666666666671</v>
      </c>
      <c r="U305" s="3">
        <f t="shared" ref="U305:U306" si="124">IF(ISERROR(FIND(":",K305)),IF(K305="zero",0,1*K305),1*CONCATENATE(LEFT(K305,FIND(":",K305)-1),".",MID(RIGHT(K305,LEN(K305)-FIND(":",K305))/60,3,8)))</f>
        <v>11</v>
      </c>
      <c r="W305" s="4">
        <f t="shared" si="121"/>
        <v>30.724930841911885</v>
      </c>
      <c r="X305" s="4">
        <f t="shared" si="122"/>
        <v>5.9723215552858528</v>
      </c>
      <c r="Y305" s="3">
        <f t="shared" si="123"/>
        <v>91.666666666666686</v>
      </c>
      <c r="Z305" s="4">
        <f>IF('Raw Data'!O305="","",O295+N295)</f>
        <v>331.20000000000005</v>
      </c>
    </row>
    <row r="306" spans="1:27" x14ac:dyDescent="0.25">
      <c r="A306" t="str">
        <f>IF('Raw Data'!A306="","",'Raw Data'!A306)</f>
        <v>FS</v>
      </c>
      <c r="B306" t="str">
        <f>IF('Raw Data'!B306="","",'Raw Data'!B306)</f>
        <v>FT</v>
      </c>
      <c r="C306">
        <f>IF('Raw Data'!C306="","",'Raw Data'!C306)</f>
        <v>10</v>
      </c>
      <c r="D306">
        <f>IF('Raw Data'!D306="","",'Raw Data'!D306)</f>
        <v>4</v>
      </c>
      <c r="E306">
        <f>IF('Raw Data'!E306="","",'Raw Data'!E306)</f>
        <v>6</v>
      </c>
      <c r="F306">
        <f>IF('Raw Data'!F306="","",'Raw Data'!F306)</f>
        <v>7</v>
      </c>
      <c r="G306" s="7" t="str">
        <f>IF('Raw Data'!G306="/","-",IF('Raw Data'!G306="","-",SUBSTITUTE('Raw Data'!G306," ",":",1)))</f>
        <v>162:00</v>
      </c>
      <c r="H306" s="7" t="str">
        <f>IF('Raw Data'!H306="/","-",IF('Raw Data'!H306="","-",SUBSTITUTE('Raw Data'!H306," ",":",1)))</f>
        <v>-</v>
      </c>
      <c r="I306" s="7" t="str">
        <f>IF('Raw Data'!I306="/","-",IF('Raw Data'!I306="","-",SUBSTITUTE('Raw Data'!I306," ",":",1)))</f>
        <v>162:00</v>
      </c>
      <c r="J306" s="12">
        <f>IF('Raw Data'!J306="",IF(LEN(K306)&gt;6,SQRT('Raw Data'!M306^2+N306^2),""),'Raw Data'!J306)</f>
        <v>38.1</v>
      </c>
      <c r="K306" s="7" t="str">
        <f>IF('Raw Data'!K306="","",IF(LEN('Raw Data'!K306)&lt;7,SUBSTITUTE('Raw Data'!K306," ",":",1),'Raw Data'!K306))</f>
        <v>17:00</v>
      </c>
      <c r="L306" t="str">
        <f>IF('Raw Data'!L306="","",'Raw Data'!L306)</f>
        <v/>
      </c>
      <c r="M306">
        <f>IF('Raw Data'!M306="","",'Raw Data'!M306)</f>
        <v>36.5</v>
      </c>
      <c r="N306">
        <f>IF('Raw Data'!N306="","",IF('Raw Data'!N306="-",0,'Raw Data'!N306))</f>
        <v>11.2</v>
      </c>
      <c r="O306">
        <f>IF('Raw Data'!O306="",IF('Raw Data'!N306="","",0),'Raw Data'!O306)</f>
        <v>337.2</v>
      </c>
      <c r="P306" t="str">
        <f>IF('Raw Data'!P306="","",'Raw Data'!P306)</f>
        <v/>
      </c>
      <c r="R306" s="3">
        <f t="shared" si="118"/>
        <v>162</v>
      </c>
      <c r="S306" s="3" t="str">
        <f t="shared" si="119"/>
        <v>-</v>
      </c>
      <c r="T306" s="3">
        <f t="shared" si="120"/>
        <v>162</v>
      </c>
      <c r="U306" s="3">
        <f t="shared" si="124"/>
        <v>17</v>
      </c>
      <c r="W306" s="4">
        <f t="shared" si="121"/>
        <v>36.435211202191653</v>
      </c>
      <c r="X306" s="4">
        <f t="shared" si="122"/>
        <v>11.139361949936271</v>
      </c>
      <c r="Y306" s="3">
        <f t="shared" si="123"/>
        <v>162</v>
      </c>
      <c r="Z306" s="4">
        <f>IF('Raw Data'!O306="","",O305+N305)</f>
        <v>337.2</v>
      </c>
    </row>
    <row r="307" spans="1:27" x14ac:dyDescent="0.25">
      <c r="A307" t="str">
        <f>IF('Raw Data'!A307="","",'Raw Data'!A307)</f>
        <v>FT</v>
      </c>
      <c r="B307" t="str">
        <f>IF('Raw Data'!B307="","",'Raw Data'!B307)</f>
        <v>FU</v>
      </c>
      <c r="C307">
        <f>IF('Raw Data'!C307="","",'Raw Data'!C307)</f>
        <v>3</v>
      </c>
      <c r="D307">
        <f>IF('Raw Data'!D307="","",'Raw Data'!D307)</f>
        <v>0.5</v>
      </c>
      <c r="E307">
        <f>IF('Raw Data'!E307="","",'Raw Data'!E307)</f>
        <v>3.5</v>
      </c>
      <c r="F307">
        <f>IF('Raw Data'!F307="","",'Raw Data'!F307)</f>
        <v>3.5</v>
      </c>
      <c r="G307" s="7" t="str">
        <f>IF('Raw Data'!G307="/","-",IF('Raw Data'!G307="","-",SUBSTITUTE('Raw Data'!G307," ",":",1)))</f>
        <v>008:00</v>
      </c>
      <c r="H307" s="7" t="str">
        <f>IF('Raw Data'!H307="/","-",IF('Raw Data'!H307="","-",SUBSTITUTE('Raw Data'!H307," ",":",1)))</f>
        <v>-</v>
      </c>
      <c r="I307" s="7" t="str">
        <f>IF('Raw Data'!I307="/","-",IF('Raw Data'!I307="","-",SUBSTITUTE('Raw Data'!I307," ",":",1)))</f>
        <v>8</v>
      </c>
      <c r="J307" s="16">
        <f>IF(LEN(K307)&gt;6,SQRT('Raw Data'!M307^2+N307^2),'Raw Data'!J307)</f>
        <v>19.033917095542893</v>
      </c>
      <c r="K307" s="7" t="str">
        <f>IF('Raw Data'!K307="","",IF(LEN('Raw Data'!K307)&lt;7,SUBSTITUTE('Raw Data'!K307," ",":",1),'Raw Data'!K307))</f>
        <v>+7 feet</v>
      </c>
      <c r="L307" t="str">
        <f>IF('Raw Data'!L307="","",'Raw Data'!L307)</f>
        <v/>
      </c>
      <c r="M307">
        <f>IF('Raw Data'!M307="","",'Raw Data'!M307)</f>
        <v>17.7</v>
      </c>
      <c r="N307">
        <f>IF('Raw Data'!N307="","",IF('Raw Data'!N307="-",0,'Raw Data'!N307))</f>
        <v>7</v>
      </c>
      <c r="O307">
        <f>IF('Raw Data'!O307="",IF('Raw Data'!N307="","",0),'Raw Data'!O307)</f>
        <v>348.4</v>
      </c>
      <c r="P307" t="str">
        <f>IF('Raw Data'!P307="","",'Raw Data'!P307)</f>
        <v>Boss opposite squeeze. Passage to choke 15' at 160deg</v>
      </c>
      <c r="R307" s="3">
        <f t="shared" si="118"/>
        <v>8</v>
      </c>
      <c r="S307" s="3" t="str">
        <f t="shared" si="119"/>
        <v>-</v>
      </c>
      <c r="T307" s="3">
        <f t="shared" si="120"/>
        <v>8</v>
      </c>
      <c r="U307" s="9">
        <f t="shared" ref="U307:U309" si="125">ASIN(N307/J307)*180/PI()</f>
        <v>21.577817335473043</v>
      </c>
      <c r="W307" s="4">
        <f t="shared" si="121"/>
        <v>17.700000000000003</v>
      </c>
      <c r="X307" s="4">
        <f t="shared" si="122"/>
        <v>7.0000000000000009</v>
      </c>
      <c r="Y307" s="3">
        <f t="shared" si="123"/>
        <v>8</v>
      </c>
      <c r="Z307" s="4">
        <f>IF('Raw Data'!O307="","",O306+N306)</f>
        <v>348.4</v>
      </c>
    </row>
    <row r="308" spans="1:27" x14ac:dyDescent="0.25">
      <c r="A308" t="str">
        <f>IF('Raw Data'!A308="","",'Raw Data'!A308)</f>
        <v>FU</v>
      </c>
      <c r="B308" t="str">
        <f>IF('Raw Data'!B308="","",'Raw Data'!B308)</f>
        <v>FV</v>
      </c>
      <c r="C308">
        <f>IF('Raw Data'!C308="","",'Raw Data'!C308)</f>
        <v>1</v>
      </c>
      <c r="D308">
        <f>IF('Raw Data'!D308="","",'Raw Data'!D308)</f>
        <v>3</v>
      </c>
      <c r="E308">
        <f>IF('Raw Data'!E308="","",'Raw Data'!E308)</f>
        <v>2</v>
      </c>
      <c r="F308">
        <f>IF('Raw Data'!F308="","",'Raw Data'!F308)</f>
        <v>2</v>
      </c>
      <c r="G308" s="7" t="str">
        <f>IF('Raw Data'!G308="/","-",IF('Raw Data'!G308="","-",SUBSTITUTE('Raw Data'!G308," ",":",1)))</f>
        <v>46</v>
      </c>
      <c r="H308" s="7" t="str">
        <f>IF('Raw Data'!H308="/","-",IF('Raw Data'!H308="","-",SUBSTITUTE('Raw Data'!H308," ",":",1)))</f>
        <v>-</v>
      </c>
      <c r="I308" s="7" t="str">
        <f>IF('Raw Data'!I308="/","-",IF('Raw Data'!I308="","-",SUBSTITUTE('Raw Data'!I308," ",":",1)))</f>
        <v>46</v>
      </c>
      <c r="J308" s="16">
        <f>IF(LEN(K308)&gt;6,SQRT('Raw Data'!M308^2+N308^2),'Raw Data'!J308)</f>
        <v>13.8351002887583</v>
      </c>
      <c r="K308" s="7" t="str">
        <f>IF('Raw Data'!K308="","",IF(LEN('Raw Data'!K308)&lt;7,SUBSTITUTE('Raw Data'!K308," ",":",1),'Raw Data'!K308))</f>
        <v>+5 feet</v>
      </c>
      <c r="L308" t="str">
        <f>IF('Raw Data'!L308="","",'Raw Data'!L308)</f>
        <v/>
      </c>
      <c r="M308">
        <f>IF('Raw Data'!M308="","",'Raw Data'!M308)</f>
        <v>12.9</v>
      </c>
      <c r="N308">
        <f>IF('Raw Data'!N308="","",IF('Raw Data'!N308="-",0,'Raw Data'!N308))</f>
        <v>5</v>
      </c>
      <c r="O308">
        <f>IF('Raw Data'!O308="",IF('Raw Data'!N308="","",0),'Raw Data'!O308)</f>
        <v>355.4</v>
      </c>
      <c r="P308" t="str">
        <f>IF('Raw Data'!P308="","",'Raw Data'!P308)</f>
        <v>(sketch T-U-V-W)  New Grottoes</v>
      </c>
      <c r="R308" s="3">
        <f t="shared" si="118"/>
        <v>46</v>
      </c>
      <c r="S308" s="3" t="str">
        <f t="shared" si="119"/>
        <v>-</v>
      </c>
      <c r="T308" s="3">
        <f t="shared" si="120"/>
        <v>46</v>
      </c>
      <c r="U308" s="9">
        <f t="shared" si="125"/>
        <v>21.186176440399141</v>
      </c>
      <c r="W308" s="4">
        <f t="shared" si="121"/>
        <v>12.899999999999999</v>
      </c>
      <c r="X308" s="4">
        <f t="shared" si="122"/>
        <v>5</v>
      </c>
      <c r="Y308" s="3">
        <f t="shared" si="123"/>
        <v>46</v>
      </c>
      <c r="Z308" s="4">
        <f>IF('Raw Data'!O308="","",O307+N307)</f>
        <v>355.4</v>
      </c>
    </row>
    <row r="309" spans="1:27" x14ac:dyDescent="0.25">
      <c r="A309" t="str">
        <f>IF('Raw Data'!A309="","",'Raw Data'!A309)</f>
        <v>FV</v>
      </c>
      <c r="B309" t="str">
        <f>IF('Raw Data'!B309="","",'Raw Data'!B309)</f>
        <v>FW</v>
      </c>
      <c r="C309">
        <f>IF('Raw Data'!C309="","",'Raw Data'!C309)</f>
        <v>2</v>
      </c>
      <c r="D309">
        <f>IF('Raw Data'!D309="","",'Raw Data'!D309)</f>
        <v>2</v>
      </c>
      <c r="E309">
        <f>IF('Raw Data'!E309="","",'Raw Data'!E309)</f>
        <v>10</v>
      </c>
      <c r="F309">
        <f>IF('Raw Data'!F309="","",'Raw Data'!F309)</f>
        <v>10</v>
      </c>
      <c r="G309" s="7" t="str">
        <f>IF('Raw Data'!G309="/","-",IF('Raw Data'!G309="","-",SUBSTITUTE('Raw Data'!G309," ",":",1)))</f>
        <v>75</v>
      </c>
      <c r="H309" s="7" t="str">
        <f>IF('Raw Data'!H309="/","-",IF('Raw Data'!H309="","-",SUBSTITUTE('Raw Data'!H309," ",":",1)))</f>
        <v>-</v>
      </c>
      <c r="I309" s="7" t="str">
        <f>IF('Raw Data'!I309="/","-",IF('Raw Data'!I309="","-",SUBSTITUTE('Raw Data'!I309," ",":",1)))</f>
        <v>75</v>
      </c>
      <c r="J309" s="12">
        <f>IF('Raw Data'!J309="",IF(LEN(K309)&gt;6,SQRT('Raw Data'!M309^2+N309^2),""),'Raw Data'!J309)</f>
        <v>20.2</v>
      </c>
      <c r="K309" s="7" t="str">
        <f>IF('Raw Data'!K309="","",IF(LEN('Raw Data'!K309)&lt;7,SUBSTITUTE('Raw Data'!K309," ",":",1),'Raw Data'!K309))</f>
        <v>+3 feet</v>
      </c>
      <c r="L309" t="str">
        <f>IF('Raw Data'!L309="","",'Raw Data'!L309)</f>
        <v/>
      </c>
      <c r="M309">
        <f>IF('Raw Data'!M309="","",'Raw Data'!M309)</f>
        <v>19.899999999999999</v>
      </c>
      <c r="N309">
        <f>IF('Raw Data'!N309="","",IF('Raw Data'!N309="-",0,'Raw Data'!N309))</f>
        <v>3</v>
      </c>
      <c r="O309">
        <f>IF('Raw Data'!O309="",IF('Raw Data'!N309="","",0),'Raw Data'!O309)</f>
        <v>360.4</v>
      </c>
      <c r="P309" t="str">
        <f>IF('Raw Data'!P309="","",'Raw Data'!P309)</f>
        <v/>
      </c>
      <c r="R309" s="3">
        <f t="shared" si="118"/>
        <v>75</v>
      </c>
      <c r="S309" s="3" t="str">
        <f t="shared" si="119"/>
        <v>-</v>
      </c>
      <c r="T309" s="3">
        <f t="shared" si="120"/>
        <v>75</v>
      </c>
      <c r="U309" s="9">
        <f t="shared" si="125"/>
        <v>8.5408698328699355</v>
      </c>
      <c r="W309" s="4">
        <f t="shared" si="121"/>
        <v>19.975985582694037</v>
      </c>
      <c r="X309" s="4">
        <f t="shared" si="122"/>
        <v>2.9999999999999991</v>
      </c>
      <c r="Y309" s="3">
        <f t="shared" si="123"/>
        <v>75</v>
      </c>
      <c r="Z309" s="4">
        <f>IF('Raw Data'!O309="","",O308+N308)</f>
        <v>360.4</v>
      </c>
    </row>
    <row r="310" spans="1:27" x14ac:dyDescent="0.25">
      <c r="A310" t="str">
        <f>IF('Raw Data'!A310="","",'Raw Data'!A310)</f>
        <v>FW</v>
      </c>
      <c r="B310" t="str">
        <f>IF('Raw Data'!B310="","",'Raw Data'!B310)</f>
        <v/>
      </c>
      <c r="C310">
        <f>IF('Raw Data'!C310="","",'Raw Data'!C310)</f>
        <v>4</v>
      </c>
      <c r="D310">
        <f>IF('Raw Data'!D310="","",'Raw Data'!D310)</f>
        <v>1</v>
      </c>
      <c r="E310">
        <f>IF('Raw Data'!E310="","",'Raw Data'!E310)</f>
        <v>12</v>
      </c>
      <c r="F310">
        <f>IF('Raw Data'!F310="","",'Raw Data'!F310)</f>
        <v>12</v>
      </c>
      <c r="G310" s="7" t="str">
        <f>IF('Raw Data'!G310="/","-",IF('Raw Data'!G310="","-",SUBSTITUTE('Raw Data'!G310," ",":",1)))</f>
        <v>-</v>
      </c>
      <c r="H310" s="7" t="str">
        <f>IF('Raw Data'!H310="/","-",IF('Raw Data'!H310="","-",SUBSTITUTE('Raw Data'!H310," ",":",1)))</f>
        <v>-</v>
      </c>
      <c r="I310" s="7" t="str">
        <f>IF('Raw Data'!I310="/","-",IF('Raw Data'!I310="","-",SUBSTITUTE('Raw Data'!I310," ",":",1)))</f>
        <v>-</v>
      </c>
      <c r="J310" s="12" t="str">
        <f>IF('Raw Data'!J310="",IF(LEN(K310)&gt;6,SQRT('Raw Data'!M310^2+N310^2),""),'Raw Data'!J310)</f>
        <v/>
      </c>
      <c r="K310" s="7" t="str">
        <f>IF('Raw Data'!K310="","",IF(LEN('Raw Data'!K310)&lt;7,SUBSTITUTE('Raw Data'!K310," ",":",1),'Raw Data'!K310))</f>
        <v/>
      </c>
      <c r="L310" t="str">
        <f>IF('Raw Data'!L310="","",'Raw Data'!L310)</f>
        <v/>
      </c>
      <c r="M310" t="str">
        <f>IF('Raw Data'!M310="","",'Raw Data'!M310)</f>
        <v/>
      </c>
      <c r="N310" t="str">
        <f>IF('Raw Data'!N310="","",IF('Raw Data'!N310="-",0,'Raw Data'!N310))</f>
        <v/>
      </c>
      <c r="O310">
        <f>IF('Raw Data'!O310="",IF('Raw Data'!N310="","",0),'Raw Data'!O310)</f>
        <v>363.4</v>
      </c>
      <c r="P310" t="str">
        <f>IF('Raw Data'!P310="","",'Raw Data'!P310)</f>
        <v>Total = 6,448'</v>
      </c>
      <c r="W310" s="4"/>
      <c r="X310" s="4"/>
      <c r="Y310" s="3"/>
      <c r="Z310" s="4">
        <f>IF('Raw Data'!O310="","",O309+N309)</f>
        <v>363.4</v>
      </c>
    </row>
    <row r="311" spans="1:27" x14ac:dyDescent="0.25">
      <c r="A311" t="str">
        <f>IF('Raw Data'!A311="","",'Raw Data'!A311)</f>
        <v/>
      </c>
      <c r="B311" t="str">
        <f>IF('Raw Data'!B311="","",'Raw Data'!B311)</f>
        <v/>
      </c>
      <c r="C311" t="str">
        <f>IF('Raw Data'!C311="","",'Raw Data'!C311)</f>
        <v/>
      </c>
      <c r="D311" t="str">
        <f>IF('Raw Data'!D311="","",'Raw Data'!D311)</f>
        <v/>
      </c>
      <c r="E311" t="str">
        <f>IF('Raw Data'!E311="","",'Raw Data'!E311)</f>
        <v/>
      </c>
      <c r="F311" t="str">
        <f>IF('Raw Data'!F311="","",'Raw Data'!F311)</f>
        <v/>
      </c>
      <c r="G311" s="7" t="str">
        <f>IF('Raw Data'!G311="/","-",IF('Raw Data'!G311="","-",SUBSTITUTE('Raw Data'!G311," ",":",1)))</f>
        <v>-</v>
      </c>
      <c r="H311" s="7" t="str">
        <f>IF('Raw Data'!H311="/","-",IF('Raw Data'!H311="","-",SUBSTITUTE('Raw Data'!H311," ",":",1)))</f>
        <v>-</v>
      </c>
      <c r="I311" s="7" t="str">
        <f>IF('Raw Data'!I311="/","-",IF('Raw Data'!I311="","-",SUBSTITUTE('Raw Data'!I311," ",":",1)))</f>
        <v>-</v>
      </c>
      <c r="J311" s="12" t="str">
        <f>IF('Raw Data'!J311="",IF(LEN(K311)&gt;6,SQRT('Raw Data'!M311^2+N311^2),""),'Raw Data'!J311)</f>
        <v/>
      </c>
      <c r="K311" s="7" t="str">
        <f>IF('Raw Data'!K311="","",IF(LEN('Raw Data'!K311)&lt;7,SUBSTITUTE('Raw Data'!K311," ",":",1),'Raw Data'!K311))</f>
        <v/>
      </c>
      <c r="L311" t="str">
        <f>IF('Raw Data'!L311="","",'Raw Data'!L311)</f>
        <v/>
      </c>
      <c r="M311" t="str">
        <f>IF('Raw Data'!M311="","",'Raw Data'!M311)</f>
        <v/>
      </c>
      <c r="N311" t="str">
        <f>IF('Raw Data'!N311="","",IF('Raw Data'!N311="-",0,'Raw Data'!N311))</f>
        <v/>
      </c>
      <c r="O311" t="str">
        <f>IF('Raw Data'!O311="",IF('Raw Data'!N311="","",0),'Raw Data'!O311)</f>
        <v/>
      </c>
      <c r="P311" t="str">
        <f>IF('Raw Data'!P311="","",'Raw Data'!P311)</f>
        <v/>
      </c>
      <c r="W311" s="4"/>
      <c r="X311" s="4"/>
      <c r="Y311" s="3"/>
      <c r="Z311" s="4" t="str">
        <f>IF('Raw Data'!O311="","",O310+N310)</f>
        <v/>
      </c>
    </row>
    <row r="312" spans="1:27" x14ac:dyDescent="0.25">
      <c r="A312" t="str">
        <f>IF('Raw Data'!A312="","",'Raw Data'!A312)</f>
        <v>16th May '53</v>
      </c>
      <c r="B312" t="str">
        <f>IF('Raw Data'!B312="","",'Raw Data'!B312)</f>
        <v xml:space="preserve">Luke </v>
      </c>
      <c r="C312" t="str">
        <f>IF('Raw Data'!C312="","",'Raw Data'!C312)</f>
        <v>(a little surface tie up)</v>
      </c>
      <c r="D312" t="str">
        <f>IF('Raw Data'!D312="","",'Raw Data'!D312)</f>
        <v/>
      </c>
      <c r="E312" t="str">
        <f>IF('Raw Data'!E312="","",'Raw Data'!E312)</f>
        <v/>
      </c>
      <c r="F312" t="str">
        <f>IF('Raw Data'!F312="","",'Raw Data'!F312)</f>
        <v/>
      </c>
      <c r="G312" s="7" t="str">
        <f>IF('Raw Data'!G312="/","-",IF('Raw Data'!G312="","-",SUBSTITUTE('Raw Data'!G312," ",":",1)))</f>
        <v>-</v>
      </c>
      <c r="H312" s="7" t="str">
        <f>IF('Raw Data'!H312="/","-",IF('Raw Data'!H312="","-",SUBSTITUTE('Raw Data'!H312," ",":",1)))</f>
        <v>-</v>
      </c>
      <c r="I312" s="7" t="str">
        <f>IF('Raw Data'!I312="/","-",IF('Raw Data'!I312="","-",SUBSTITUTE('Raw Data'!I312," ",":",1)))</f>
        <v>-</v>
      </c>
      <c r="J312" s="12" t="str">
        <f>IF('Raw Data'!J312="",IF(LEN(K312)&gt;6,SQRT('Raw Data'!M312^2+N312^2),""),'Raw Data'!J312)</f>
        <v/>
      </c>
      <c r="K312" s="7" t="str">
        <f>IF('Raw Data'!K312="","",IF(LEN('Raw Data'!K312)&lt;7,SUBSTITUTE('Raw Data'!K312," ",":",1),'Raw Data'!K312))</f>
        <v/>
      </c>
      <c r="L312" t="str">
        <f>IF('Raw Data'!L312="","",'Raw Data'!L312)</f>
        <v/>
      </c>
      <c r="M312" t="str">
        <f>IF('Raw Data'!M312="","",'Raw Data'!M312)</f>
        <v/>
      </c>
      <c r="N312" t="str">
        <f>IF('Raw Data'!N312="","",IF('Raw Data'!N312="-",0,'Raw Data'!N312))</f>
        <v/>
      </c>
      <c r="O312" t="str">
        <f>IF('Raw Data'!O312="",IF('Raw Data'!N312="","",0),'Raw Data'!O312)</f>
        <v/>
      </c>
      <c r="P312" t="str">
        <f>IF('Raw Data'!P312="","",'Raw Data'!P312)</f>
        <v/>
      </c>
      <c r="W312" s="4"/>
      <c r="X312" s="4"/>
      <c r="Y312" s="3"/>
      <c r="Z312" s="4" t="str">
        <f>IF('Raw Data'!O312="","",O311+N311)</f>
        <v/>
      </c>
    </row>
    <row r="313" spans="1:27" x14ac:dyDescent="0.25">
      <c r="A313" t="str">
        <f>IF('Raw Data'!A313="","",'Raw Data'!A313)</f>
        <v>EC</v>
      </c>
      <c r="B313" t="str">
        <f>IF('Raw Data'!B313="","",'Raw Data'!B313)</f>
        <v>ED</v>
      </c>
      <c r="C313" t="str">
        <f>IF('Raw Data'!C313="","",'Raw Data'!C313)</f>
        <v/>
      </c>
      <c r="D313" t="str">
        <f>IF('Raw Data'!D313="","",'Raw Data'!D313)</f>
        <v/>
      </c>
      <c r="E313" t="str">
        <f>IF('Raw Data'!E313="","",'Raw Data'!E313)</f>
        <v/>
      </c>
      <c r="F313" t="str">
        <f>IF('Raw Data'!F313="","",'Raw Data'!F313)</f>
        <v/>
      </c>
      <c r="G313" s="7" t="str">
        <f>IF('Raw Data'!G313="/","-",IF('Raw Data'!G313="","-",SUBSTITUTE('Raw Data'!G313," ",":",1)))</f>
        <v>-</v>
      </c>
      <c r="H313" s="7" t="str">
        <f>IF('Raw Data'!H313="/","-",IF('Raw Data'!H313="","-",SUBSTITUTE('Raw Data'!H313," ",":",1)))</f>
        <v>346:00</v>
      </c>
      <c r="I313" s="7" t="str">
        <f>IF('Raw Data'!I313="/","-",IF('Raw Data'!I313="","-",SUBSTITUTE('Raw Data'!I313," ",":",1)))</f>
        <v>166:00</v>
      </c>
      <c r="J313" s="12">
        <f>IF('Raw Data'!J313="",IF(LEN(K313)&gt;6,SQRT('Raw Data'!M313^2+N313^2),""),'Raw Data'!J313)</f>
        <v>9.8000000000000007</v>
      </c>
      <c r="K313" s="7" t="str">
        <f>IF('Raw Data'!K313="","",IF(LEN('Raw Data'!K313)&lt;7,SUBSTITUTE('Raw Data'!K313," ",":",1),'Raw Data'!K313))</f>
        <v>45:15</v>
      </c>
      <c r="L313" t="str">
        <f>IF('Raw Data'!L313="","",'Raw Data'!L313)</f>
        <v/>
      </c>
      <c r="M313">
        <f>IF('Raw Data'!M313="","",'Raw Data'!M313)</f>
        <v>6.9</v>
      </c>
      <c r="N313">
        <f>IF('Raw Data'!N313="","",IF('Raw Data'!N313="-",0,'Raw Data'!N313))</f>
        <v>7</v>
      </c>
      <c r="O313">
        <f>IF('Raw Data'!O313="",IF('Raw Data'!N313="","",0),'Raw Data'!O313)</f>
        <v>367.1</v>
      </c>
      <c r="P313" t="str">
        <f>IF('Raw Data'!P313="","",'Raw Data'!P313)</f>
        <v>ED is the obtuse angle in the grating (sketch of grating marking ED)</v>
      </c>
      <c r="R313" s="3" t="str">
        <f t="shared" si="118"/>
        <v>-</v>
      </c>
      <c r="S313" s="3">
        <f t="shared" si="119"/>
        <v>346</v>
      </c>
      <c r="T313" s="3">
        <f t="shared" si="120"/>
        <v>166</v>
      </c>
      <c r="U313" s="3">
        <f t="shared" ref="U313:U317" si="126">IF(ISERROR(FIND(":",K313)),IF(K313="zero",0,1*K313),1*CONCATENATE(LEFT(K313,FIND(":",K313)-1),".",MID(RIGHT(K313,LEN(K313)-FIND(":",K313))/60,3,8)))</f>
        <v>45.25</v>
      </c>
      <c r="W313" s="4">
        <f t="shared" si="121"/>
        <v>6.8993442996684902</v>
      </c>
      <c r="X313" s="4">
        <f t="shared" si="122"/>
        <v>6.9598166811081965</v>
      </c>
      <c r="Y313" s="3">
        <f t="shared" si="123"/>
        <v>166</v>
      </c>
      <c r="Z313" s="4">
        <f>IF('Raw Data'!O313="","",O145)</f>
        <v>367.1</v>
      </c>
    </row>
    <row r="314" spans="1:27" x14ac:dyDescent="0.25">
      <c r="A314" t="str">
        <f>IF('Raw Data'!A314="","",'Raw Data'!A314)</f>
        <v>ED</v>
      </c>
      <c r="B314" t="str">
        <f>IF('Raw Data'!B314="","",'Raw Data'!B314)</f>
        <v>EE</v>
      </c>
      <c r="C314" t="str">
        <f>IF('Raw Data'!C314="","",'Raw Data'!C314)</f>
        <v/>
      </c>
      <c r="D314" t="str">
        <f>IF('Raw Data'!D314="","",'Raw Data'!D314)</f>
        <v/>
      </c>
      <c r="E314" t="str">
        <f>IF('Raw Data'!E314="","",'Raw Data'!E314)</f>
        <v/>
      </c>
      <c r="F314" t="str">
        <f>IF('Raw Data'!F314="","",'Raw Data'!F314)</f>
        <v/>
      </c>
      <c r="G314" s="7" t="str">
        <f>IF('Raw Data'!G314="/","-",IF('Raw Data'!G314="","-",SUBSTITUTE('Raw Data'!G314," ",":",1)))</f>
        <v>-</v>
      </c>
      <c r="H314" s="7" t="str">
        <f>IF('Raw Data'!H314="/","-",IF('Raw Data'!H314="","-",SUBSTITUTE('Raw Data'!H314," ",":",1)))</f>
        <v>042:00</v>
      </c>
      <c r="I314" s="7" t="str">
        <f>IF('Raw Data'!I314="/","-",IF('Raw Data'!I314="","-",SUBSTITUTE('Raw Data'!I314," ",":",1)))</f>
        <v>222:00</v>
      </c>
      <c r="J314" s="12">
        <f>IF('Raw Data'!J314="",IF(LEN(K314)&gt;6,SQRT('Raw Data'!M314^2+N314^2),""),'Raw Data'!J314)</f>
        <v>38.1</v>
      </c>
      <c r="K314" s="7" t="str">
        <f>IF('Raw Data'!K314="","",IF(LEN('Raw Data'!K314)&lt;7,SUBSTITUTE('Raw Data'!K314," ",":",1),'Raw Data'!K314))</f>
        <v>19:00</v>
      </c>
      <c r="L314" t="str">
        <f>IF('Raw Data'!L314="","",'Raw Data'!L314)</f>
        <v/>
      </c>
      <c r="M314">
        <f>IF('Raw Data'!M314="","",'Raw Data'!M314)</f>
        <v>36</v>
      </c>
      <c r="N314">
        <f>IF('Raw Data'!N314="","",IF('Raw Data'!N314="-",0,'Raw Data'!N314))</f>
        <v>12.4</v>
      </c>
      <c r="O314">
        <f>IF('Raw Data'!O314="",IF('Raw Data'!N314="","",0),'Raw Data'!O314)</f>
        <v>374.1</v>
      </c>
      <c r="P314" t="str">
        <f>IF('Raw Data'!P314="","",'Raw Data'!P314)</f>
        <v>Depth Sump II = 400.9' = 378' O.D.</v>
      </c>
      <c r="R314" s="3" t="str">
        <f t="shared" si="118"/>
        <v>-</v>
      </c>
      <c r="S314" s="3">
        <f t="shared" si="119"/>
        <v>42</v>
      </c>
      <c r="T314" s="3">
        <f t="shared" si="120"/>
        <v>222</v>
      </c>
      <c r="U314" s="3">
        <f t="shared" si="126"/>
        <v>19</v>
      </c>
      <c r="W314" s="4">
        <f t="shared" si="121"/>
        <v>36.024257730333971</v>
      </c>
      <c r="X314" s="4">
        <f t="shared" si="122"/>
        <v>12.404146684817668</v>
      </c>
      <c r="Y314" s="3">
        <f t="shared" si="123"/>
        <v>222</v>
      </c>
      <c r="Z314" s="4">
        <f>IF('Raw Data'!O314="","",O313+N313)</f>
        <v>374.1</v>
      </c>
    </row>
    <row r="315" spans="1:27" x14ac:dyDescent="0.25">
      <c r="A315" t="str">
        <f>IF('Raw Data'!A315="","",'Raw Data'!A315)</f>
        <v>EE</v>
      </c>
      <c r="B315" t="str">
        <f>IF('Raw Data'!B315="","",'Raw Data'!B315)</f>
        <v>EF</v>
      </c>
      <c r="C315" t="str">
        <f>IF('Raw Data'!C315="","",'Raw Data'!C315)</f>
        <v/>
      </c>
      <c r="D315" t="str">
        <f>IF('Raw Data'!D315="","",'Raw Data'!D315)</f>
        <v/>
      </c>
      <c r="E315" t="str">
        <f>IF('Raw Data'!E315="","",'Raw Data'!E315)</f>
        <v/>
      </c>
      <c r="F315" t="str">
        <f>IF('Raw Data'!F315="","",'Raw Data'!F315)</f>
        <v/>
      </c>
      <c r="G315" s="7" t="str">
        <f>IF('Raw Data'!G315="/","-",IF('Raw Data'!G315="","-",SUBSTITUTE('Raw Data'!G315," ",":",1)))</f>
        <v>190:30</v>
      </c>
      <c r="H315" s="7" t="str">
        <f>IF('Raw Data'!H315="/","-",IF('Raw Data'!H315="","-",SUBSTITUTE('Raw Data'!H315," ",":",1)))</f>
        <v>-</v>
      </c>
      <c r="I315" s="7" t="str">
        <f>IF('Raw Data'!I315="/","-",IF('Raw Data'!I315="","-",SUBSTITUTE('Raw Data'!I315," ",":",1)))</f>
        <v>190:30</v>
      </c>
      <c r="J315" s="12">
        <f>IF('Raw Data'!J315="",IF(LEN(K315)&gt;6,SQRT('Raw Data'!M315^2+N315^2),""),'Raw Data'!J315)</f>
        <v>63.3</v>
      </c>
      <c r="K315" s="7" t="str">
        <f>IF('Raw Data'!K315="","",IF(LEN('Raw Data'!K315)&lt;7,SUBSTITUTE('Raw Data'!K315," ",":",1),'Raw Data'!K315))</f>
        <v>12:40</v>
      </c>
      <c r="L315" t="str">
        <f>IF('Raw Data'!L315="","",'Raw Data'!L315)</f>
        <v/>
      </c>
      <c r="M315">
        <f>IF('Raw Data'!M315="","",'Raw Data'!M315)</f>
        <v>61.8</v>
      </c>
      <c r="N315">
        <f>IF('Raw Data'!N315="","",IF('Raw Data'!N315="-",0,'Raw Data'!N315))</f>
        <v>13.8</v>
      </c>
      <c r="O315">
        <f>IF('Raw Data'!O315="",IF('Raw Data'!N315="","",0),'Raw Data'!O315)</f>
        <v>386.5</v>
      </c>
      <c r="P315" t="str">
        <f>IF('Raw Data'!P315="","",'Raw Data'!P315)</f>
        <v>Alt entrance = 778.8 O.D. = 289' to fall to Cheddar (sketch of EE-EH with some surface features lines?)</v>
      </c>
      <c r="R315" s="3">
        <f t="shared" si="118"/>
        <v>190.5</v>
      </c>
      <c r="S315" s="3" t="str">
        <f t="shared" si="119"/>
        <v>-</v>
      </c>
      <c r="T315" s="3">
        <f t="shared" si="120"/>
        <v>190.5</v>
      </c>
      <c r="U315" s="3">
        <f t="shared" si="126"/>
        <v>12.666666660000001</v>
      </c>
      <c r="W315" s="4">
        <f t="shared" si="121"/>
        <v>61.759422337275815</v>
      </c>
      <c r="X315" s="4">
        <f t="shared" si="122"/>
        <v>13.880336903908246</v>
      </c>
      <c r="Y315" s="3">
        <f t="shared" si="123"/>
        <v>190.5</v>
      </c>
      <c r="Z315" s="4">
        <f>IF('Raw Data'!O315="","",O314+N314)</f>
        <v>386.5</v>
      </c>
    </row>
    <row r="316" spans="1:27" x14ac:dyDescent="0.25">
      <c r="A316" t="str">
        <f>IF('Raw Data'!A316="","",'Raw Data'!A316)</f>
        <v>EE</v>
      </c>
      <c r="B316" t="str">
        <f>IF('Raw Data'!B316="","",'Raw Data'!B316)</f>
        <v>EG</v>
      </c>
      <c r="C316" t="str">
        <f>IF('Raw Data'!C316="","",'Raw Data'!C316)</f>
        <v/>
      </c>
      <c r="D316" t="str">
        <f>IF('Raw Data'!D316="","",'Raw Data'!D316)</f>
        <v/>
      </c>
      <c r="E316" t="str">
        <f>IF('Raw Data'!E316="","",'Raw Data'!E316)</f>
        <v/>
      </c>
      <c r="F316" t="str">
        <f>IF('Raw Data'!F316="","",'Raw Data'!F316)</f>
        <v/>
      </c>
      <c r="G316" s="7" t="str">
        <f>IF('Raw Data'!G316="/","-",IF('Raw Data'!G316="","-",SUBSTITUTE('Raw Data'!G316," ",":",1)))</f>
        <v>229:40</v>
      </c>
      <c r="H316" s="7" t="str">
        <f>IF('Raw Data'!H316="/","-",IF('Raw Data'!H316="","-",SUBSTITUTE('Raw Data'!H316," ",":",1)))</f>
        <v>-</v>
      </c>
      <c r="I316" s="7" t="str">
        <f>IF('Raw Data'!I316="/","-",IF('Raw Data'!I316="","-",SUBSTITUTE('Raw Data'!I316," ",":",1)))</f>
        <v>229:40</v>
      </c>
      <c r="J316" s="12">
        <f>IF('Raw Data'!J316="",IF(LEN(K316)&gt;6,SQRT('Raw Data'!M316^2+N316^2),""),'Raw Data'!J316)</f>
        <v>57.3</v>
      </c>
      <c r="K316" s="7" t="str">
        <f>IF('Raw Data'!K316="","",IF(LEN('Raw Data'!K316)&lt;7,SUBSTITUTE('Raw Data'!K316," ",":",1),'Raw Data'!K316))</f>
        <v>10:00</v>
      </c>
      <c r="L316" t="str">
        <f>IF('Raw Data'!L316="","",'Raw Data'!L316)</f>
        <v/>
      </c>
      <c r="M316">
        <f>IF('Raw Data'!M316="","",'Raw Data'!M316)</f>
        <v>56.5</v>
      </c>
      <c r="N316">
        <f>IF('Raw Data'!N316="","",IF('Raw Data'!N316="-",0,'Raw Data'!N316))</f>
        <v>9.9</v>
      </c>
      <c r="O316">
        <f>IF('Raw Data'!O316="",IF('Raw Data'!N316="","",0),'Raw Data'!O316)</f>
        <v>400.3</v>
      </c>
      <c r="P316" t="str">
        <f>IF('Raw Data'!P316="","",'Raw Data'!P316)</f>
        <v>EF is 5' above ground level</v>
      </c>
      <c r="R316" s="3">
        <f t="shared" si="118"/>
        <v>229.66666666666666</v>
      </c>
      <c r="S316" s="3" t="str">
        <f t="shared" si="119"/>
        <v>-</v>
      </c>
      <c r="T316" s="3">
        <f t="shared" si="120"/>
        <v>229.66666666666666</v>
      </c>
      <c r="U316" s="3">
        <f t="shared" si="126"/>
        <v>10</v>
      </c>
      <c r="W316" s="4">
        <f t="shared" si="121"/>
        <v>56.429484247599518</v>
      </c>
      <c r="X316" s="4">
        <f t="shared" si="122"/>
        <v>9.9500405803151075</v>
      </c>
      <c r="Y316" s="3">
        <f t="shared" si="123"/>
        <v>229.66666666666666</v>
      </c>
      <c r="Z316" s="4">
        <f>IF('Raw Data'!O316="","",O315+N315)</f>
        <v>400.3</v>
      </c>
    </row>
    <row r="317" spans="1:27" x14ac:dyDescent="0.25">
      <c r="A317" t="str">
        <f>IF('Raw Data'!A317="","",'Raw Data'!A317)</f>
        <v>EE</v>
      </c>
      <c r="B317" t="str">
        <f>IF('Raw Data'!B317="","",'Raw Data'!B317)</f>
        <v>EH</v>
      </c>
      <c r="C317" t="str">
        <f>IF('Raw Data'!C317="","",'Raw Data'!C317)</f>
        <v/>
      </c>
      <c r="D317" t="str">
        <f>IF('Raw Data'!D317="","",'Raw Data'!D317)</f>
        <v/>
      </c>
      <c r="E317" t="str">
        <f>IF('Raw Data'!E317="","",'Raw Data'!E317)</f>
        <v/>
      </c>
      <c r="F317" t="str">
        <f>IF('Raw Data'!F317="","",'Raw Data'!F317)</f>
        <v/>
      </c>
      <c r="G317" s="7" t="str">
        <f>IF('Raw Data'!G317="/","-",IF('Raw Data'!G317="","-",SUBSTITUTE('Raw Data'!G317," ",":",1)))</f>
        <v>328:00</v>
      </c>
      <c r="H317" s="7" t="str">
        <f>IF('Raw Data'!H317="/","-",IF('Raw Data'!H317="","-",SUBSTITUTE('Raw Data'!H317," ",":",1)))</f>
        <v>-</v>
      </c>
      <c r="I317" s="7" t="str">
        <f>IF('Raw Data'!I317="/","-",IF('Raw Data'!I317="","-",SUBSTITUTE('Raw Data'!I317," ",":",1)))</f>
        <v>328:00</v>
      </c>
      <c r="J317" s="12">
        <f>IF('Raw Data'!J317="",IF(LEN(K317)&gt;6,SQRT('Raw Data'!M317^2+N317^2),""),'Raw Data'!J317)</f>
        <v>190.3</v>
      </c>
      <c r="K317" s="7" t="str">
        <f>IF('Raw Data'!K317="","",IF(LEN('Raw Data'!K317)&lt;7,SUBSTITUTE('Raw Data'!K317," ",":",1),'Raw Data'!K317))</f>
        <v>8:00</v>
      </c>
      <c r="L317" t="str">
        <f>IF('Raw Data'!L317="","",'Raw Data'!L317)</f>
        <v/>
      </c>
      <c r="M317">
        <f>IF('Raw Data'!M317="","",'Raw Data'!M317)</f>
        <v>188.4</v>
      </c>
      <c r="N317">
        <f>IF('Raw Data'!N317="","",IF('Raw Data'!N317="-",0,'Raw Data'!N317))</f>
        <v>26.5</v>
      </c>
      <c r="O317">
        <f>IF('Raw Data'!O317="",IF('Raw Data'!N317="","",0),'Raw Data'!O317)</f>
        <v>396.4</v>
      </c>
      <c r="P317" t="str">
        <f>IF('Raw Data'!P317="","",'Raw Data'!P317)</f>
        <v>EG is 4.5' up; EH is 4' up.</v>
      </c>
      <c r="R317" s="3">
        <f t="shared" si="118"/>
        <v>328</v>
      </c>
      <c r="S317" s="3" t="str">
        <f t="shared" si="119"/>
        <v>-</v>
      </c>
      <c r="T317" s="3">
        <f t="shared" si="120"/>
        <v>328</v>
      </c>
      <c r="U317" s="3">
        <f t="shared" si="126"/>
        <v>8</v>
      </c>
      <c r="W317" s="4">
        <f t="shared" si="121"/>
        <v>188.44801348152086</v>
      </c>
      <c r="X317" s="4">
        <f t="shared" si="122"/>
        <v>26.484641112700455</v>
      </c>
      <c r="Y317" s="3">
        <f t="shared" si="123"/>
        <v>328</v>
      </c>
      <c r="Z317" s="4">
        <f>IF('Raw Data'!O317="","",O314+N314+4.5)</f>
        <v>391</v>
      </c>
      <c r="AA317" t="s">
        <v>902</v>
      </c>
    </row>
    <row r="318" spans="1:27" x14ac:dyDescent="0.25">
      <c r="A318" t="str">
        <f>IF('Raw Data'!A318="","",'Raw Data'!A318)</f>
        <v>EH</v>
      </c>
      <c r="B318" t="str">
        <f>IF('Raw Data'!B318="","",'Raw Data'!B318)</f>
        <v/>
      </c>
      <c r="C318" t="str">
        <f>IF('Raw Data'!C318="","",'Raw Data'!C318)</f>
        <v/>
      </c>
      <c r="D318" t="str">
        <f>IF('Raw Data'!D318="","",'Raw Data'!D318)</f>
        <v/>
      </c>
      <c r="E318" t="str">
        <f>IF('Raw Data'!E318="","",'Raw Data'!E318)</f>
        <v/>
      </c>
      <c r="F318" t="str">
        <f>IF('Raw Data'!F318="","",'Raw Data'!F318)</f>
        <v/>
      </c>
      <c r="G318" s="7" t="str">
        <f>IF('Raw Data'!G318="/","-",IF('Raw Data'!G318="","-",SUBSTITUTE('Raw Data'!G318," ",":",1)))</f>
        <v>-</v>
      </c>
      <c r="H318" s="7" t="str">
        <f>IF('Raw Data'!H318="/","-",IF('Raw Data'!H318="","-",SUBSTITUTE('Raw Data'!H318," ",":",1)))</f>
        <v>-</v>
      </c>
      <c r="I318" s="7" t="str">
        <f>IF('Raw Data'!I318="/","-",IF('Raw Data'!I318="","-",SUBSTITUTE('Raw Data'!I318," ",":",1)))</f>
        <v>-</v>
      </c>
      <c r="J318" s="12" t="str">
        <f>IF('Raw Data'!J318="",IF(LEN(K318)&gt;6,SQRT('Raw Data'!M318^2+N318^2),""),'Raw Data'!J318)</f>
        <v/>
      </c>
      <c r="K318" s="7" t="str">
        <f>IF('Raw Data'!K318="","",IF(LEN('Raw Data'!K318)&lt;7,SUBSTITUTE('Raw Data'!K318," ",":",1),'Raw Data'!K318))</f>
        <v/>
      </c>
      <c r="L318" t="str">
        <f>IF('Raw Data'!L318="","",'Raw Data'!L318)</f>
        <v/>
      </c>
      <c r="M318" t="str">
        <f>IF('Raw Data'!M318="","",'Raw Data'!M318)</f>
        <v/>
      </c>
      <c r="N318" t="str">
        <f>IF('Raw Data'!N318="","",IF('Raw Data'!N318="-",0,'Raw Data'!N318))</f>
        <v/>
      </c>
      <c r="O318">
        <f>IF('Raw Data'!O318="",IF('Raw Data'!N318="","",0),'Raw Data'!O318)</f>
        <v>413</v>
      </c>
      <c r="P318" t="str">
        <f>IF('Raw Data'!P318="","",'Raw Data'!P318)</f>
        <v/>
      </c>
      <c r="W318" s="4"/>
      <c r="X318" s="4"/>
      <c r="Y318" s="3"/>
      <c r="Z318" s="4">
        <f>IF('Raw Data'!O318="","",O317+N317)</f>
        <v>422.9</v>
      </c>
      <c r="AA318" t="s">
        <v>902</v>
      </c>
    </row>
    <row r="319" spans="1:27" x14ac:dyDescent="0.25">
      <c r="A319" t="str">
        <f>IF('Raw Data'!A319="","",'Raw Data'!A319)</f>
        <v/>
      </c>
      <c r="B319" t="str">
        <f>IF('Raw Data'!B319="","",'Raw Data'!B319)</f>
        <v/>
      </c>
      <c r="C319" t="str">
        <f>IF('Raw Data'!C319="","",'Raw Data'!C319)</f>
        <v/>
      </c>
      <c r="D319" t="str">
        <f>IF('Raw Data'!D319="","",'Raw Data'!D319)</f>
        <v/>
      </c>
      <c r="E319" t="str">
        <f>IF('Raw Data'!E319="","",'Raw Data'!E319)</f>
        <v/>
      </c>
      <c r="F319" t="str">
        <f>IF('Raw Data'!F319="","",'Raw Data'!F319)</f>
        <v/>
      </c>
      <c r="G319" s="7" t="str">
        <f>IF('Raw Data'!G319="/","-",IF('Raw Data'!G319="","-",SUBSTITUTE('Raw Data'!G319," ",":",1)))</f>
        <v>-</v>
      </c>
      <c r="H319" s="7" t="str">
        <f>IF('Raw Data'!H319="/","-",IF('Raw Data'!H319="","-",SUBSTITUTE('Raw Data'!H319," ",":",1)))</f>
        <v>-</v>
      </c>
      <c r="I319" s="7" t="str">
        <f>IF('Raw Data'!I319="/","-",IF('Raw Data'!I319="","-",SUBSTITUTE('Raw Data'!I319," ",":",1)))</f>
        <v>-</v>
      </c>
      <c r="J319" s="12" t="str">
        <f>IF('Raw Data'!J319="",IF(LEN(K319)&gt;6,SQRT('Raw Data'!M319^2+N319^2),""),'Raw Data'!J319)</f>
        <v/>
      </c>
      <c r="K319" s="7" t="str">
        <f>IF('Raw Data'!K319="","",IF(LEN('Raw Data'!K319)&lt;7,SUBSTITUTE('Raw Data'!K319," ",":",1),'Raw Data'!K319))</f>
        <v/>
      </c>
      <c r="L319" t="str">
        <f>IF('Raw Data'!L319="","",'Raw Data'!L319)</f>
        <v/>
      </c>
      <c r="M319" t="str">
        <f>IF('Raw Data'!M319="","",'Raw Data'!M319)</f>
        <v/>
      </c>
      <c r="N319" t="str">
        <f>IF('Raw Data'!N319="","",IF('Raw Data'!N319="-",0,'Raw Data'!N319))</f>
        <v/>
      </c>
      <c r="O319" t="str">
        <f>IF('Raw Data'!O319="",IF('Raw Data'!N319="","",0),'Raw Data'!O319)</f>
        <v/>
      </c>
      <c r="P319" t="str">
        <f>IF('Raw Data'!P319="","",'Raw Data'!P319)</f>
        <v/>
      </c>
      <c r="W319" s="4"/>
      <c r="X319" s="4"/>
      <c r="Y319" s="3"/>
      <c r="Z319" s="4" t="str">
        <f>IF('Raw Data'!O319="","",O318+N318)</f>
        <v/>
      </c>
    </row>
    <row r="320" spans="1:27" x14ac:dyDescent="0.25">
      <c r="A320" t="str">
        <f>IF('Raw Data'!A320="","",'Raw Data'!A320)</f>
        <v>24th May '53</v>
      </c>
      <c r="B320" t="str">
        <f>IF('Raw Data'!B320="","",'Raw Data'!B320)</f>
        <v>Oliver (+ Richard)</v>
      </c>
      <c r="C320" t="str">
        <f>IF('Raw Data'!C320="","",'Raw Data'!C320)</f>
        <v>Wet Way</v>
      </c>
      <c r="D320" t="str">
        <f>IF('Raw Data'!D320="","",'Raw Data'!D320)</f>
        <v/>
      </c>
      <c r="E320" t="str">
        <f>IF('Raw Data'!E320="","",'Raw Data'!E320)</f>
        <v/>
      </c>
      <c r="F320" t="str">
        <f>IF('Raw Data'!F320="","",'Raw Data'!F320)</f>
        <v/>
      </c>
      <c r="G320" s="7" t="str">
        <f>IF('Raw Data'!G320="/","-",IF('Raw Data'!G320="","-",SUBSTITUTE('Raw Data'!G320," ",":",1)))</f>
        <v>-</v>
      </c>
      <c r="H320" s="7" t="str">
        <f>IF('Raw Data'!H320="/","-",IF('Raw Data'!H320="","-",SUBSTITUTE('Raw Data'!H320," ",":",1)))</f>
        <v>-</v>
      </c>
      <c r="I320" s="7" t="str">
        <f>IF('Raw Data'!I320="/","-",IF('Raw Data'!I320="","-",SUBSTITUTE('Raw Data'!I320," ",":",1)))</f>
        <v>-</v>
      </c>
      <c r="J320" s="12" t="str">
        <f>IF('Raw Data'!J320="",IF(LEN(K320)&gt;6,SQRT('Raw Data'!M320^2+N320^2),""),'Raw Data'!J320)</f>
        <v/>
      </c>
      <c r="K320" s="7" t="str">
        <f>IF('Raw Data'!K320="","",IF(LEN('Raw Data'!K320)&lt;7,SUBSTITUTE('Raw Data'!K320," ",":",1),'Raw Data'!K320))</f>
        <v/>
      </c>
      <c r="L320" t="str">
        <f>IF('Raw Data'!L320="","",'Raw Data'!L320)</f>
        <v/>
      </c>
      <c r="M320" t="str">
        <f>IF('Raw Data'!M320="","",'Raw Data'!M320)</f>
        <v/>
      </c>
      <c r="N320" t="str">
        <f>IF('Raw Data'!N320="","",IF('Raw Data'!N320="-",0,'Raw Data'!N320))</f>
        <v/>
      </c>
      <c r="O320" t="str">
        <f>IF('Raw Data'!O320="",IF('Raw Data'!N320="","",0),'Raw Data'!O320)</f>
        <v/>
      </c>
      <c r="P320" t="str">
        <f>IF('Raw Data'!P320="","",'Raw Data'!P320)</f>
        <v/>
      </c>
      <c r="W320" s="4"/>
      <c r="X320" s="4"/>
      <c r="Y320" s="3"/>
      <c r="Z320" s="4" t="str">
        <f>IF('Raw Data'!O320="","",O319+N319)</f>
        <v/>
      </c>
    </row>
    <row r="321" spans="1:27" x14ac:dyDescent="0.25">
      <c r="A321" t="str">
        <f>IF('Raw Data'!A321="","",'Raw Data'!A321)</f>
        <v>FB</v>
      </c>
      <c r="B321" t="str">
        <f>IF('Raw Data'!B321="","",'Raw Data'!B321)</f>
        <v>FX</v>
      </c>
      <c r="C321" t="str">
        <f>IF('Raw Data'!C321="","",'Raw Data'!C321)</f>
        <v>/</v>
      </c>
      <c r="D321" t="str">
        <f>IF('Raw Data'!D321="","",'Raw Data'!D321)</f>
        <v>/</v>
      </c>
      <c r="E321" t="str">
        <f>IF('Raw Data'!E321="","",'Raw Data'!E321)</f>
        <v>/</v>
      </c>
      <c r="F321" t="str">
        <f>IF('Raw Data'!F321="","",'Raw Data'!F321)</f>
        <v>/</v>
      </c>
      <c r="G321" s="7" t="str">
        <f>IF('Raw Data'!G321="/","-",IF('Raw Data'!G321="","-",SUBSTITUTE('Raw Data'!G321," ",":",1)))</f>
        <v>-</v>
      </c>
      <c r="H321" s="7" t="str">
        <f>IF('Raw Data'!H321="/","-",IF('Raw Data'!H321="","-",SUBSTITUTE('Raw Data'!H321," ",":",1)))</f>
        <v>035:00</v>
      </c>
      <c r="I321" s="7" t="str">
        <f>IF('Raw Data'!I321="/","-",IF('Raw Data'!I321="","-",SUBSTITUTE('Raw Data'!I321," ",":",1)))</f>
        <v>215:00</v>
      </c>
      <c r="J321" s="12">
        <f>IF('Raw Data'!J321="",IF(LEN(K321)&gt;6,SQRT('Raw Data'!M321^2+N321^2),""),'Raw Data'!J321)</f>
        <v>15.6</v>
      </c>
      <c r="K321" s="7" t="str">
        <f>IF('Raw Data'!K321="","",IF(LEN('Raw Data'!K321)&lt;7,SUBSTITUTE('Raw Data'!K321," ",":",1),'Raw Data'!K321))</f>
        <v>22:00</v>
      </c>
      <c r="L321" t="str">
        <f>IF('Raw Data'!L321="","",'Raw Data'!L321)</f>
        <v/>
      </c>
      <c r="M321">
        <f>IF('Raw Data'!M321="","",'Raw Data'!M321)</f>
        <v>14.4</v>
      </c>
      <c r="N321">
        <f>IF('Raw Data'!N321="","",IF('Raw Data'!N321="-",0,'Raw Data'!N321))</f>
        <v>5.9</v>
      </c>
      <c r="O321">
        <f>IF('Raw Data'!O321="",IF('Raw Data'!N321="","",0),'Raw Data'!O321)</f>
        <v>338.3</v>
      </c>
      <c r="P321" t="str">
        <f>IF('Raw Data'!P321="","",'Raw Data'!P321)</f>
        <v>See p.67 above</v>
      </c>
      <c r="R321" s="3" t="str">
        <f t="shared" si="118"/>
        <v>-</v>
      </c>
      <c r="S321" s="3">
        <f t="shared" si="119"/>
        <v>35</v>
      </c>
      <c r="T321" s="3">
        <f t="shared" si="120"/>
        <v>215</v>
      </c>
      <c r="U321" s="3">
        <f t="shared" ref="U321:U325" si="127">IF(ISERROR(FIND(":",K321)),IF(K321="zero",0,1*K321),1*CONCATENATE(LEFT(K321,FIND(":",K321)-1),".",MID(RIGHT(K321,LEN(K321)-FIND(":",K321))/60,3,8)))</f>
        <v>22</v>
      </c>
      <c r="W321" s="4">
        <f t="shared" si="121"/>
        <v>14.464068131241884</v>
      </c>
      <c r="X321" s="4">
        <f t="shared" si="122"/>
        <v>5.8438628572882276</v>
      </c>
      <c r="Y321" s="3">
        <f t="shared" si="123"/>
        <v>215</v>
      </c>
      <c r="Z321" s="4">
        <f>IF('Raw Data'!O321="","",O286+N286)</f>
        <v>338.3</v>
      </c>
    </row>
    <row r="322" spans="1:27" x14ac:dyDescent="0.25">
      <c r="A322" t="str">
        <f>IF('Raw Data'!A322="","",'Raw Data'!A322)</f>
        <v>FX</v>
      </c>
      <c r="B322" t="str">
        <f>IF('Raw Data'!B322="","",'Raw Data'!B322)</f>
        <v>FY</v>
      </c>
      <c r="C322">
        <f>IF('Raw Data'!C322="","",'Raw Data'!C322)</f>
        <v>2</v>
      </c>
      <c r="D322">
        <f>IF('Raw Data'!D322="","",'Raw Data'!D322)</f>
        <v>3</v>
      </c>
      <c r="E322">
        <f>IF('Raw Data'!E322="","",'Raw Data'!E322)</f>
        <v>1</v>
      </c>
      <c r="F322">
        <f>IF('Raw Data'!F322="","",'Raw Data'!F322)</f>
        <v>3</v>
      </c>
      <c r="G322" s="7" t="str">
        <f>IF('Raw Data'!G322="/","-",IF('Raw Data'!G322="","-",SUBSTITUTE('Raw Data'!G322," ",":",1)))</f>
        <v>173:00</v>
      </c>
      <c r="H322" s="7" t="str">
        <f>IF('Raw Data'!H322="/","-",IF('Raw Data'!H322="","-",SUBSTITUTE('Raw Data'!H322," ",":",1)))</f>
        <v>-</v>
      </c>
      <c r="I322" s="7" t="str">
        <f>IF('Raw Data'!I322="/","-",IF('Raw Data'!I322="","-",SUBSTITUTE('Raw Data'!I322," ",":",1)))</f>
        <v>173:00</v>
      </c>
      <c r="J322" s="12">
        <f>IF('Raw Data'!J322="",IF(LEN(K322)&gt;6,SQRT('Raw Data'!M322^2+N322^2),""),'Raw Data'!J322)</f>
        <v>15.1</v>
      </c>
      <c r="K322" s="7" t="str">
        <f>IF('Raw Data'!K322="","",IF(LEN('Raw Data'!K322)&lt;7,SUBSTITUTE('Raw Data'!K322," ",":",1),'Raw Data'!K322))</f>
        <v>-33:30</v>
      </c>
      <c r="L322" t="str">
        <f>IF('Raw Data'!L322="","",'Raw Data'!L322)</f>
        <v/>
      </c>
      <c r="M322">
        <f>IF('Raw Data'!M322="","",'Raw Data'!M322)</f>
        <v>12.6</v>
      </c>
      <c r="N322">
        <f>IF('Raw Data'!N322="","",IF('Raw Data'!N322="-",0,'Raw Data'!N322))</f>
        <v>-8.3000000000000007</v>
      </c>
      <c r="O322">
        <f>IF('Raw Data'!O322="",IF('Raw Data'!N322="","",0),'Raw Data'!O322)</f>
        <v>344.2</v>
      </c>
      <c r="P322" t="str">
        <f>IF('Raw Data'!P322="","",'Raw Data'!P322)</f>
        <v>(sketch FB,FX,FY,FZ,GA,GR,GB,GC,GD)</v>
      </c>
      <c r="R322" s="3">
        <f t="shared" si="118"/>
        <v>173</v>
      </c>
      <c r="S322" s="3" t="str">
        <f t="shared" si="119"/>
        <v>-</v>
      </c>
      <c r="T322" s="3">
        <f t="shared" si="120"/>
        <v>173</v>
      </c>
      <c r="U322" s="3">
        <f t="shared" si="127"/>
        <v>-33.5</v>
      </c>
      <c r="W322" s="4">
        <f t="shared" si="121"/>
        <v>12.591675913214241</v>
      </c>
      <c r="X322" s="4">
        <f t="shared" si="122"/>
        <v>-8.3342484782120785</v>
      </c>
      <c r="Y322" s="3">
        <f t="shared" si="123"/>
        <v>173</v>
      </c>
      <c r="Z322" s="4">
        <f>IF('Raw Data'!O322="","",O321+N321)</f>
        <v>344.2</v>
      </c>
    </row>
    <row r="323" spans="1:27" x14ac:dyDescent="0.25">
      <c r="A323" t="str">
        <f>IF('Raw Data'!A323="","",'Raw Data'!A323)</f>
        <v>FY</v>
      </c>
      <c r="B323" t="str">
        <f>IF('Raw Data'!B323="","",'Raw Data'!B323)</f>
        <v>FZ</v>
      </c>
      <c r="C323">
        <f>IF('Raw Data'!C323="","",'Raw Data'!C323)</f>
        <v>10</v>
      </c>
      <c r="D323">
        <f>IF('Raw Data'!D323="","",'Raw Data'!D323)</f>
        <v>0.2</v>
      </c>
      <c r="E323" t="str">
        <f>IF('Raw Data'!E323="","",'Raw Data'!E323)</f>
        <v>/</v>
      </c>
      <c r="F323" t="str">
        <f>IF('Raw Data'!F323="","",'Raw Data'!F323)</f>
        <v>/</v>
      </c>
      <c r="G323" s="7" t="str">
        <f>IF('Raw Data'!G323="/","-",IF('Raw Data'!G323="","-",SUBSTITUTE('Raw Data'!G323," ",":",1)))</f>
        <v>-</v>
      </c>
      <c r="H323" s="7" t="str">
        <f>IF('Raw Data'!H323="/","-",IF('Raw Data'!H323="","-",SUBSTITUTE('Raw Data'!H323," ",":",1)))</f>
        <v>079:00</v>
      </c>
      <c r="I323" s="7" t="str">
        <f>IF('Raw Data'!I323="/","-",IF('Raw Data'!I323="","-",SUBSTITUTE('Raw Data'!I323," ",":",1)))</f>
        <v>259:00</v>
      </c>
      <c r="J323" s="12">
        <f>IF('Raw Data'!J323="",IF(LEN(K323)&gt;6,SQRT('Raw Data'!M323^2+N323^2),""),'Raw Data'!J323)</f>
        <v>16.399999999999999</v>
      </c>
      <c r="K323" s="7" t="str">
        <f>IF('Raw Data'!K323="","",IF(LEN('Raw Data'!K323)&lt;7,SUBSTITUTE('Raw Data'!K323," ",":",1),'Raw Data'!K323))</f>
        <v>-25:00</v>
      </c>
      <c r="L323" t="str">
        <f>IF('Raw Data'!L323="","",'Raw Data'!L323)</f>
        <v/>
      </c>
      <c r="M323">
        <f>IF('Raw Data'!M323="","",'Raw Data'!M323)</f>
        <v>14.8</v>
      </c>
      <c r="N323">
        <f>IF('Raw Data'!N323="","",IF('Raw Data'!N323="-",0,'Raw Data'!N323))</f>
        <v>-6.9</v>
      </c>
      <c r="O323">
        <f>IF('Raw Data'!O323="",IF('Raw Data'!N323="","",0),'Raw Data'!O323)</f>
        <v>335.8</v>
      </c>
      <c r="P323" t="str">
        <f>IF('Raw Data'!P323="","",'Raw Data'!P323)</f>
        <v/>
      </c>
      <c r="R323" s="3" t="str">
        <f t="shared" si="118"/>
        <v>-</v>
      </c>
      <c r="S323" s="3">
        <f t="shared" si="119"/>
        <v>79</v>
      </c>
      <c r="T323" s="3">
        <f t="shared" si="120"/>
        <v>259</v>
      </c>
      <c r="U323" s="3">
        <f t="shared" si="127"/>
        <v>-25</v>
      </c>
      <c r="W323" s="4">
        <f t="shared" si="121"/>
        <v>14.863447707401058</v>
      </c>
      <c r="X323" s="4">
        <f t="shared" si="122"/>
        <v>-6.9309394925474699</v>
      </c>
      <c r="Y323" s="3">
        <f t="shared" si="123"/>
        <v>259</v>
      </c>
      <c r="Z323" s="4">
        <f>IF('Raw Data'!O323="","",O322+N322)</f>
        <v>335.9</v>
      </c>
    </row>
    <row r="324" spans="1:27" x14ac:dyDescent="0.25">
      <c r="A324" t="str">
        <f>IF('Raw Data'!A324="","",'Raw Data'!A324)</f>
        <v>FZ</v>
      </c>
      <c r="B324" t="str">
        <f>IF('Raw Data'!B324="","",'Raw Data'!B324)</f>
        <v>GA</v>
      </c>
      <c r="C324">
        <f>IF('Raw Data'!C324="","",'Raw Data'!C324)</f>
        <v>1.7</v>
      </c>
      <c r="D324">
        <f>IF('Raw Data'!D324="","",'Raw Data'!D324)</f>
        <v>0.3</v>
      </c>
      <c r="E324">
        <f>IF('Raw Data'!E324="","",'Raw Data'!E324)</f>
        <v>0.3</v>
      </c>
      <c r="F324">
        <f>IF('Raw Data'!F324="","",'Raw Data'!F324)</f>
        <v>2.5</v>
      </c>
      <c r="G324" s="7" t="str">
        <f>IF('Raw Data'!G324="/","-",IF('Raw Data'!G324="","-",SUBSTITUTE('Raw Data'!G324," ",":",1)))</f>
        <v>-</v>
      </c>
      <c r="H324" s="7" t="str">
        <f>IF('Raw Data'!H324="/","-",IF('Raw Data'!H324="","-",SUBSTITUTE('Raw Data'!H324," ",":",1)))</f>
        <v>024:30</v>
      </c>
      <c r="I324" s="7" t="str">
        <f>IF('Raw Data'!I324="/","-",IF('Raw Data'!I324="","-",SUBSTITUTE('Raw Data'!I324," ",":",1)))</f>
        <v>204:30</v>
      </c>
      <c r="J324" s="12">
        <f>IF('Raw Data'!J324="",IF(LEN(K324)&gt;6,SQRT('Raw Data'!M324^2+N324^2),""),'Raw Data'!J324)</f>
        <v>10</v>
      </c>
      <c r="K324" s="7" t="str">
        <f>IF('Raw Data'!K324="","",IF(LEN('Raw Data'!K324)&lt;7,SUBSTITUTE('Raw Data'!K324," ",":",1),'Raw Data'!K324))</f>
        <v>-3:00</v>
      </c>
      <c r="L324" t="str">
        <f>IF('Raw Data'!L324="","",'Raw Data'!L324)</f>
        <v/>
      </c>
      <c r="M324">
        <f>IF('Raw Data'!M324="","",'Raw Data'!M324)</f>
        <v>10</v>
      </c>
      <c r="N324">
        <f>IF('Raw Data'!N324="","",IF('Raw Data'!N324="-",0,'Raw Data'!N324))</f>
        <v>-0.5</v>
      </c>
      <c r="O324">
        <f>IF('Raw Data'!O324="",IF('Raw Data'!N324="","",0),'Raw Data'!O324)</f>
        <v>328.9</v>
      </c>
      <c r="P324" t="str">
        <f>IF('Raw Data'!P324="","",'Raw Data'!P324)</f>
        <v/>
      </c>
      <c r="R324" s="3" t="str">
        <f t="shared" si="118"/>
        <v>-</v>
      </c>
      <c r="S324" s="3">
        <f t="shared" si="119"/>
        <v>24.5</v>
      </c>
      <c r="T324" s="3">
        <f t="shared" si="120"/>
        <v>204.5</v>
      </c>
      <c r="U324" s="3">
        <f t="shared" si="127"/>
        <v>-3</v>
      </c>
      <c r="W324" s="4">
        <f t="shared" si="121"/>
        <v>9.9862953475457381</v>
      </c>
      <c r="X324" s="4">
        <f t="shared" si="122"/>
        <v>-0.52335956242943826</v>
      </c>
      <c r="Y324" s="3">
        <f t="shared" si="123"/>
        <v>204.5</v>
      </c>
      <c r="Z324" s="4">
        <f>IF('Raw Data'!O324="","",O323+N323)</f>
        <v>328.90000000000003</v>
      </c>
    </row>
    <row r="325" spans="1:27" x14ac:dyDescent="0.25">
      <c r="A325" t="str">
        <f>IF('Raw Data'!A325="","",'Raw Data'!A325)</f>
        <v>GA</v>
      </c>
      <c r="B325" t="str">
        <f>IF('Raw Data'!B325="","",'Raw Data'!B325)</f>
        <v>GR</v>
      </c>
      <c r="C325">
        <f>IF('Raw Data'!C325="","",'Raw Data'!C325)</f>
        <v>1</v>
      </c>
      <c r="D325">
        <f>IF('Raw Data'!D325="","",'Raw Data'!D325)</f>
        <v>3</v>
      </c>
      <c r="E325">
        <f>IF('Raw Data'!E325="","",'Raw Data'!E325)</f>
        <v>4</v>
      </c>
      <c r="F325">
        <f>IF('Raw Data'!F325="","",'Raw Data'!F325)</f>
        <v>2</v>
      </c>
      <c r="G325" s="7" t="str">
        <f>IF('Raw Data'!G325="/","-",IF('Raw Data'!G325="","-",SUBSTITUTE('Raw Data'!G325," ",":",1)))</f>
        <v>229:10</v>
      </c>
      <c r="H325" s="7" t="str">
        <f>IF('Raw Data'!H325="/","-",IF('Raw Data'!H325="","-",SUBSTITUTE('Raw Data'!H325," ",":",1)))</f>
        <v>-</v>
      </c>
      <c r="I325" s="7" t="str">
        <f>IF('Raw Data'!I325="/","-",IF('Raw Data'!I325="","-",SUBSTITUTE('Raw Data'!I325," ",":",1)))</f>
        <v>229:10</v>
      </c>
      <c r="J325" s="12">
        <f>IF('Raw Data'!J325="",IF(LEN(K325)&gt;6,SQRT('Raw Data'!M325^2+N325^2),""),'Raw Data'!J325)</f>
        <v>11.5</v>
      </c>
      <c r="K325" s="7" t="str">
        <f>IF('Raw Data'!K325="","",IF(LEN('Raw Data'!K325)&lt;7,SUBSTITUTE('Raw Data'!K325," ",":",1),'Raw Data'!K325))</f>
        <v>-12:15</v>
      </c>
      <c r="L325" t="str">
        <f>IF('Raw Data'!L325="","",'Raw Data'!L325)</f>
        <v/>
      </c>
      <c r="M325">
        <f>IF('Raw Data'!M325="","",'Raw Data'!M325)</f>
        <v>11.2</v>
      </c>
      <c r="N325">
        <f>IF('Raw Data'!N325="","",IF('Raw Data'!N325="-",0,'Raw Data'!N325))</f>
        <v>-2.4</v>
      </c>
      <c r="O325">
        <f>IF('Raw Data'!O325="",IF('Raw Data'!N325="","",0),'Raw Data'!O325)</f>
        <v>328.2</v>
      </c>
      <c r="P325" t="str">
        <f>IF('Raw Data'!P325="","",'Raw Data'!P325)</f>
        <v/>
      </c>
      <c r="R325" s="3">
        <f t="shared" si="118"/>
        <v>229.16666666666666</v>
      </c>
      <c r="S325" s="3" t="str">
        <f t="shared" si="119"/>
        <v>-</v>
      </c>
      <c r="T325" s="3">
        <f t="shared" si="120"/>
        <v>229.16666666666666</v>
      </c>
      <c r="U325" s="3">
        <f t="shared" si="127"/>
        <v>-12.25</v>
      </c>
      <c r="W325" s="4">
        <f t="shared" si="121"/>
        <v>11.238157724320807</v>
      </c>
      <c r="X325" s="4">
        <f t="shared" si="122"/>
        <v>-2.4400432297991319</v>
      </c>
      <c r="Y325" s="3">
        <f t="shared" si="123"/>
        <v>229.16666666666666</v>
      </c>
      <c r="Z325" s="4">
        <f>IF('Raw Data'!O325="","",O324+N324)</f>
        <v>328.4</v>
      </c>
      <c r="AA325" t="s">
        <v>900</v>
      </c>
    </row>
    <row r="326" spans="1:27" x14ac:dyDescent="0.25">
      <c r="A326" t="str">
        <f>IF('Raw Data'!A326="","",'Raw Data'!A326)</f>
        <v>GR</v>
      </c>
      <c r="B326" t="str">
        <f>IF('Raw Data'!B326="","",'Raw Data'!B326)</f>
        <v/>
      </c>
      <c r="C326" t="str">
        <f>IF('Raw Data'!C326="","",'Raw Data'!C326)</f>
        <v>/</v>
      </c>
      <c r="D326" t="str">
        <f>IF('Raw Data'!D326="","",'Raw Data'!D326)</f>
        <v>/</v>
      </c>
      <c r="E326" t="str">
        <f>IF('Raw Data'!E326="","",'Raw Data'!E326)</f>
        <v>/</v>
      </c>
      <c r="F326" t="str">
        <f>IF('Raw Data'!F326="","",'Raw Data'!F326)</f>
        <v>/</v>
      </c>
      <c r="G326" s="7" t="str">
        <f>IF('Raw Data'!G326="/","-",IF('Raw Data'!G326="","-",SUBSTITUTE('Raw Data'!G326," ",":",1)))</f>
        <v>-</v>
      </c>
      <c r="H326" s="7" t="str">
        <f>IF('Raw Data'!H326="/","-",IF('Raw Data'!H326="","-",SUBSTITUTE('Raw Data'!H326," ",":",1)))</f>
        <v>-</v>
      </c>
      <c r="I326" s="7" t="str">
        <f>IF('Raw Data'!I326="/","-",IF('Raw Data'!I326="","-",SUBSTITUTE('Raw Data'!I326," ",":",1)))</f>
        <v>-</v>
      </c>
      <c r="J326" s="12" t="str">
        <f>IF('Raw Data'!J326="",IF(LEN(K326)&gt;6,SQRT('Raw Data'!M326^2+N326^2),""),'Raw Data'!J326)</f>
        <v>-</v>
      </c>
      <c r="K326" s="7" t="str">
        <f>IF('Raw Data'!K326="","",IF(LEN('Raw Data'!K326)&lt;7,SUBSTITUTE('Raw Data'!K326," ",":",1),'Raw Data'!K326))</f>
        <v>-</v>
      </c>
      <c r="L326" t="str">
        <f>IF('Raw Data'!L326="","",'Raw Data'!L326)</f>
        <v/>
      </c>
      <c r="M326" t="str">
        <f>IF('Raw Data'!M326="","",'Raw Data'!M326)</f>
        <v>-</v>
      </c>
      <c r="N326">
        <f>IF('Raw Data'!N326="","",IF('Raw Data'!N326="-",0,'Raw Data'!N326))</f>
        <v>0</v>
      </c>
      <c r="O326">
        <f>IF('Raw Data'!O326="",IF('Raw Data'!N326="","",0),'Raw Data'!O326)</f>
        <v>325.89999999999998</v>
      </c>
      <c r="P326" t="str">
        <f>IF('Raw Data'!P326="","",'Raw Data'!P326)</f>
        <v/>
      </c>
      <c r="W326" s="4"/>
      <c r="X326" s="4"/>
      <c r="Y326" s="3"/>
      <c r="Z326" s="4">
        <f>IF('Raw Data'!O326="","",O325+N325)</f>
        <v>325.8</v>
      </c>
    </row>
    <row r="327" spans="1:27" x14ac:dyDescent="0.25">
      <c r="A327" t="str">
        <f>IF('Raw Data'!A327="","",'Raw Data'!A327)</f>
        <v>GA</v>
      </c>
      <c r="B327" t="str">
        <f>IF('Raw Data'!B327="","",'Raw Data'!B327)</f>
        <v>GB</v>
      </c>
      <c r="C327" t="str">
        <f>IF('Raw Data'!C327="","",'Raw Data'!C327)</f>
        <v>/</v>
      </c>
      <c r="D327" t="str">
        <f>IF('Raw Data'!D327="","",'Raw Data'!D327)</f>
        <v>/</v>
      </c>
      <c r="E327" t="str">
        <f>IF('Raw Data'!E327="","",'Raw Data'!E327)</f>
        <v>/</v>
      </c>
      <c r="F327" t="str">
        <f>IF('Raw Data'!F327="","",'Raw Data'!F327)</f>
        <v>/</v>
      </c>
      <c r="G327" s="7" t="str">
        <f>IF('Raw Data'!G327="/","-",IF('Raw Data'!G327="","-",SUBSTITUTE('Raw Data'!G327," ",":",1)))</f>
        <v>162:00</v>
      </c>
      <c r="H327" s="7" t="str">
        <f>IF('Raw Data'!H327="/","-",IF('Raw Data'!H327="","-",SUBSTITUTE('Raw Data'!H327," ",":",1)))</f>
        <v>-</v>
      </c>
      <c r="I327" s="7" t="str">
        <f>IF('Raw Data'!I327="/","-",IF('Raw Data'!I327="","-",SUBSTITUTE('Raw Data'!I327," ",":",1)))</f>
        <v>162:00</v>
      </c>
      <c r="J327" s="12">
        <f>IF('Raw Data'!J327="",IF(LEN(K327)&gt;6,SQRT('Raw Data'!M327^2+N327^2),""),'Raw Data'!J327)</f>
        <v>21.6</v>
      </c>
      <c r="K327" s="7" t="str">
        <f>IF('Raw Data'!K327="","",IF(LEN('Raw Data'!K327)&lt;7,SUBSTITUTE('Raw Data'!K327," ",":",1),'Raw Data'!K327))</f>
        <v>7:40</v>
      </c>
      <c r="L327" t="str">
        <f>IF('Raw Data'!L327="","",'Raw Data'!L327)</f>
        <v/>
      </c>
      <c r="M327">
        <f>IF('Raw Data'!M327="","",'Raw Data'!M327)</f>
        <v>21.4</v>
      </c>
      <c r="N327">
        <f>IF('Raw Data'!N327="","",IF('Raw Data'!N327="-",0,'Raw Data'!N327))</f>
        <v>2.9</v>
      </c>
      <c r="O327">
        <f>IF('Raw Data'!O327="",IF('Raw Data'!N327="","",0),'Raw Data'!O327)</f>
        <v>328.2</v>
      </c>
      <c r="P327" t="str">
        <f>IF('Raw Data'!P327="","",'Raw Data'!P327)</f>
        <v/>
      </c>
      <c r="R327" s="3">
        <f t="shared" si="118"/>
        <v>162</v>
      </c>
      <c r="S327" s="3" t="str">
        <f t="shared" si="119"/>
        <v>-</v>
      </c>
      <c r="T327" s="3">
        <f t="shared" si="120"/>
        <v>162</v>
      </c>
      <c r="U327" s="3">
        <f t="shared" ref="U327:U332" si="128">IF(ISERROR(FIND(":",K327)),IF(K327="zero",0,1*K327),1*CONCATENATE(LEFT(K327,FIND(":",K327)-1),".",MID(RIGHT(K327,LEN(K327)-FIND(":",K327))/60,3,8)))</f>
        <v>7.6666666599999997</v>
      </c>
      <c r="W327" s="4">
        <f t="shared" si="121"/>
        <v>21.406917211695109</v>
      </c>
      <c r="X327" s="4">
        <f t="shared" si="122"/>
        <v>2.8816480513122658</v>
      </c>
      <c r="Y327" s="3">
        <f t="shared" si="123"/>
        <v>162</v>
      </c>
      <c r="Z327" s="4">
        <f>IF('Raw Data'!O327="","",O324+N324)</f>
        <v>328.4</v>
      </c>
      <c r="AA327" t="s">
        <v>900</v>
      </c>
    </row>
    <row r="328" spans="1:27" x14ac:dyDescent="0.25">
      <c r="A328" t="str">
        <f>IF('Raw Data'!A328="","",'Raw Data'!A328)</f>
        <v>GB</v>
      </c>
      <c r="B328" t="str">
        <f>IF('Raw Data'!B328="","",'Raw Data'!B328)</f>
        <v>GC</v>
      </c>
      <c r="C328">
        <f>IF('Raw Data'!C328="","",'Raw Data'!C328)</f>
        <v>0.5</v>
      </c>
      <c r="D328">
        <f>IF('Raw Data'!D328="","",'Raw Data'!D328)</f>
        <v>3</v>
      </c>
      <c r="E328">
        <f>IF('Raw Data'!E328="","",'Raw Data'!E328)</f>
        <v>5</v>
      </c>
      <c r="F328" t="str">
        <f>IF('Raw Data'!F328="","",'Raw Data'!F328)</f>
        <v>oxbow</v>
      </c>
      <c r="G328" s="7" t="str">
        <f>IF('Raw Data'!G328="/","-",IF('Raw Data'!G328="","-",SUBSTITUTE('Raw Data'!G328," ",":",1)))</f>
        <v>-</v>
      </c>
      <c r="H328" s="7" t="str">
        <f>IF('Raw Data'!H328="/","-",IF('Raw Data'!H328="","-",SUBSTITUTE('Raw Data'!H328," ",":",1)))</f>
        <v>267:00</v>
      </c>
      <c r="I328" s="7" t="str">
        <f>IF('Raw Data'!I328="/","-",IF('Raw Data'!I328="","-",SUBSTITUTE('Raw Data'!I328," ",":",1)))</f>
        <v>087:00</v>
      </c>
      <c r="J328" s="12">
        <f>IF('Raw Data'!J328="",IF(LEN(K328)&gt;6,SQRT('Raw Data'!M328^2+N328^2),""),'Raw Data'!J328)</f>
        <v>17.8</v>
      </c>
      <c r="K328" s="7" t="str">
        <f>IF('Raw Data'!K328="","",IF(LEN('Raw Data'!K328)&lt;7,SUBSTITUTE('Raw Data'!K328," ",":",1),'Raw Data'!K328))</f>
        <v>19:00</v>
      </c>
      <c r="L328" t="str">
        <f>IF('Raw Data'!L328="","",'Raw Data'!L328)</f>
        <v/>
      </c>
      <c r="M328">
        <f>IF('Raw Data'!M328="","",'Raw Data'!M328)</f>
        <v>16.8</v>
      </c>
      <c r="N328">
        <f>IF('Raw Data'!N328="","",IF('Raw Data'!N328="-",0,'Raw Data'!N328))</f>
        <v>5.8</v>
      </c>
      <c r="O328">
        <f>IF('Raw Data'!O328="",IF('Raw Data'!N328="","",0),'Raw Data'!O328)</f>
        <v>331.1</v>
      </c>
      <c r="P328" t="str">
        <f>IF('Raw Data'!P328="","",'Raw Data'!P328)</f>
        <v/>
      </c>
      <c r="R328" s="3" t="str">
        <f t="shared" si="118"/>
        <v>-</v>
      </c>
      <c r="S328" s="3">
        <f t="shared" si="119"/>
        <v>267</v>
      </c>
      <c r="T328" s="3">
        <f t="shared" si="120"/>
        <v>87</v>
      </c>
      <c r="U328" s="3">
        <f t="shared" si="128"/>
        <v>19</v>
      </c>
      <c r="W328" s="4">
        <f t="shared" si="121"/>
        <v>16.830230645667839</v>
      </c>
      <c r="X328" s="4">
        <f t="shared" si="122"/>
        <v>5.7951131493373884</v>
      </c>
      <c r="Y328" s="3">
        <f t="shared" si="123"/>
        <v>87</v>
      </c>
      <c r="Z328" s="4">
        <f>IF('Raw Data'!O328="","",O327+N327)</f>
        <v>331.09999999999997</v>
      </c>
    </row>
    <row r="329" spans="1:27" x14ac:dyDescent="0.25">
      <c r="A329" t="str">
        <f>IF('Raw Data'!A329="","",'Raw Data'!A329)</f>
        <v>GC</v>
      </c>
      <c r="B329" t="str">
        <f>IF('Raw Data'!B329="","",'Raw Data'!B329)</f>
        <v>GD</v>
      </c>
      <c r="C329">
        <f>IF('Raw Data'!C329="","",'Raw Data'!C329)</f>
        <v>1</v>
      </c>
      <c r="D329">
        <f>IF('Raw Data'!D329="","",'Raw Data'!D329)</f>
        <v>4</v>
      </c>
      <c r="E329">
        <f>IF('Raw Data'!E329="","",'Raw Data'!E329)</f>
        <v>3</v>
      </c>
      <c r="F329">
        <f>IF('Raw Data'!F329="","",'Raw Data'!F329)</f>
        <v>3</v>
      </c>
      <c r="G329" s="7" t="str">
        <f>IF('Raw Data'!G329="/","-",IF('Raw Data'!G329="","-",SUBSTITUTE('Raw Data'!G329," ",":",1)))</f>
        <v>113:00</v>
      </c>
      <c r="H329" s="7" t="str">
        <f>IF('Raw Data'!H329="/","-",IF('Raw Data'!H329="","-",SUBSTITUTE('Raw Data'!H329," ",":",1)))</f>
        <v>-</v>
      </c>
      <c r="I329" s="7" t="str">
        <f>IF('Raw Data'!I329="/","-",IF('Raw Data'!I329="","-",SUBSTITUTE('Raw Data'!I329," ",":",1)))</f>
        <v>113:00</v>
      </c>
      <c r="J329" s="12">
        <f>IF('Raw Data'!J329="",IF(LEN(K329)&gt;6,SQRT('Raw Data'!M329^2+N329^2),""),'Raw Data'!J329)</f>
        <v>16.100000000000001</v>
      </c>
      <c r="K329" s="7" t="str">
        <f>IF('Raw Data'!K329="","",IF(LEN('Raw Data'!K329)&lt;7,SUBSTITUTE('Raw Data'!K329," ",":",1),'Raw Data'!K329))</f>
        <v>18:30</v>
      </c>
      <c r="L329" t="str">
        <f>IF('Raw Data'!L329="","",'Raw Data'!L329)</f>
        <v/>
      </c>
      <c r="M329">
        <f>IF('Raw Data'!M329="","",'Raw Data'!M329)</f>
        <v>15.2</v>
      </c>
      <c r="N329">
        <f>IF('Raw Data'!N329="","",IF('Raw Data'!N329="-",0,'Raw Data'!N329))</f>
        <v>5.0999999999999996</v>
      </c>
      <c r="O329">
        <f>IF('Raw Data'!O329="",IF('Raw Data'!N329="","",0),'Raw Data'!O329)</f>
        <v>336.8</v>
      </c>
      <c r="P329" t="str">
        <f>IF('Raw Data'!P329="","",'Raw Data'!P329)</f>
        <v/>
      </c>
      <c r="R329" s="3">
        <f t="shared" si="118"/>
        <v>113</v>
      </c>
      <c r="S329" s="3" t="str">
        <f t="shared" si="119"/>
        <v>-</v>
      </c>
      <c r="T329" s="3">
        <f t="shared" si="120"/>
        <v>113</v>
      </c>
      <c r="U329" s="3">
        <f t="shared" si="128"/>
        <v>18.5</v>
      </c>
      <c r="W329" s="4">
        <f t="shared" si="121"/>
        <v>15.268010848819811</v>
      </c>
      <c r="X329" s="4">
        <f t="shared" si="122"/>
        <v>5.1086049681219841</v>
      </c>
      <c r="Y329" s="3">
        <f t="shared" si="123"/>
        <v>113</v>
      </c>
      <c r="Z329" s="4">
        <f>IF('Raw Data'!O329="","",O328+N328)</f>
        <v>336.90000000000003</v>
      </c>
    </row>
    <row r="330" spans="1:27" x14ac:dyDescent="0.25">
      <c r="A330" t="str">
        <f>IF('Raw Data'!A330="","",'Raw Data'!A330)</f>
        <v>GD</v>
      </c>
      <c r="B330" t="str">
        <f>IF('Raw Data'!B330="","",'Raw Data'!B330)</f>
        <v>GE</v>
      </c>
      <c r="C330">
        <f>IF('Raw Data'!C330="","",'Raw Data'!C330)</f>
        <v>1.1000000000000001</v>
      </c>
      <c r="D330">
        <f>IF('Raw Data'!D330="","",'Raw Data'!D330)</f>
        <v>3</v>
      </c>
      <c r="E330">
        <f>IF('Raw Data'!E330="","",'Raw Data'!E330)</f>
        <v>2</v>
      </c>
      <c r="F330">
        <f>IF('Raw Data'!F330="","",'Raw Data'!F330)</f>
        <v>4</v>
      </c>
      <c r="G330" s="7" t="str">
        <f>IF('Raw Data'!G330="/","-",IF('Raw Data'!G330="","-",SUBSTITUTE('Raw Data'!G330," ",":",1)))</f>
        <v>-</v>
      </c>
      <c r="H330" s="7" t="str">
        <f>IF('Raw Data'!H330="/","-",IF('Raw Data'!H330="","-",SUBSTITUTE('Raw Data'!H330," ",":",1)))</f>
        <v>324:30</v>
      </c>
      <c r="I330" s="7" t="str">
        <f>IF('Raw Data'!I330="/","-",IF('Raw Data'!I330="","-",SUBSTITUTE('Raw Data'!I330," ",":",1)))</f>
        <v>144:30</v>
      </c>
      <c r="J330" s="12">
        <f>IF('Raw Data'!J330="",IF(LEN(K330)&gt;6,SQRT('Raw Data'!M330^2+N330^2),""),'Raw Data'!J330)</f>
        <v>15.5</v>
      </c>
      <c r="K330" s="7" t="str">
        <f>IF('Raw Data'!K330="","",IF(LEN('Raw Data'!K330)&lt;7,SUBSTITUTE('Raw Data'!K330," ",":",1),'Raw Data'!K330))</f>
        <v>15:30</v>
      </c>
      <c r="L330" t="str">
        <f>IF('Raw Data'!L330="","",'Raw Data'!L330)</f>
        <v/>
      </c>
      <c r="M330">
        <f>IF('Raw Data'!M330="","",'Raw Data'!M330)</f>
        <v>15</v>
      </c>
      <c r="N330">
        <f>IF('Raw Data'!N330="","",IF('Raw Data'!N330="-",0,'Raw Data'!N330))</f>
        <v>4.0999999999999996</v>
      </c>
      <c r="O330">
        <f>IF('Raw Data'!O330="",IF('Raw Data'!N330="","",0),'Raw Data'!O330)</f>
        <v>341.9</v>
      </c>
      <c r="P330" t="str">
        <f>IF('Raw Data'!P330="","",'Raw Data'!P330)</f>
        <v>(sketches of  GD-GG and GG-GF-EA))</v>
      </c>
      <c r="R330" s="3" t="str">
        <f t="shared" si="118"/>
        <v>-</v>
      </c>
      <c r="S330" s="3">
        <f t="shared" si="119"/>
        <v>324.5</v>
      </c>
      <c r="T330" s="3">
        <f t="shared" si="120"/>
        <v>144.5</v>
      </c>
      <c r="U330" s="3">
        <f t="shared" si="128"/>
        <v>15.5</v>
      </c>
      <c r="W330" s="4">
        <f t="shared" si="121"/>
        <v>14.936272024733656</v>
      </c>
      <c r="X330" s="4">
        <f t="shared" si="122"/>
        <v>4.1421948292129809</v>
      </c>
      <c r="Y330" s="3">
        <f t="shared" si="123"/>
        <v>144.5</v>
      </c>
      <c r="Z330" s="4">
        <f>IF('Raw Data'!O330="","",O329+N329)</f>
        <v>341.90000000000003</v>
      </c>
    </row>
    <row r="331" spans="1:27" x14ac:dyDescent="0.25">
      <c r="A331" t="str">
        <f>IF('Raw Data'!A331="","",'Raw Data'!A331)</f>
        <v>GE</v>
      </c>
      <c r="B331" t="str">
        <f>IF('Raw Data'!B331="","",'Raw Data'!B331)</f>
        <v>GF</v>
      </c>
      <c r="C331">
        <f>IF('Raw Data'!C331="","",'Raw Data'!C331)</f>
        <v>1</v>
      </c>
      <c r="D331">
        <f>IF('Raw Data'!D331="","",'Raw Data'!D331)</f>
        <v>2</v>
      </c>
      <c r="E331">
        <f>IF('Raw Data'!E331="","",'Raw Data'!E331)</f>
        <v>20</v>
      </c>
      <c r="F331" t="str">
        <f>IF('Raw Data'!F331="","",'Raw Data'!F331)</f>
        <v>/</v>
      </c>
      <c r="G331" s="7" t="str">
        <f>IF('Raw Data'!G331="/","-",IF('Raw Data'!G331="","-",SUBSTITUTE('Raw Data'!G331," ",":",1)))</f>
        <v>193:00</v>
      </c>
      <c r="H331" s="7" t="str">
        <f>IF('Raw Data'!H331="/","-",IF('Raw Data'!H331="","-",SUBSTITUTE('Raw Data'!H331," ",":",1)))</f>
        <v>-</v>
      </c>
      <c r="I331" s="7" t="str">
        <f>IF('Raw Data'!I331="/","-",IF('Raw Data'!I331="","-",SUBSTITUTE('Raw Data'!I331," ",":",1)))</f>
        <v>193:00</v>
      </c>
      <c r="J331" s="12">
        <f>IF('Raw Data'!J331="",IF(LEN(K331)&gt;6,SQRT('Raw Data'!M331^2+N331^2),""),'Raw Data'!J331)</f>
        <v>9.3000000000000007</v>
      </c>
      <c r="K331" s="7" t="str">
        <f>IF('Raw Data'!K331="","",IF(LEN('Raw Data'!K331)&lt;7,SUBSTITUTE('Raw Data'!K331," ",":",1),'Raw Data'!K331))</f>
        <v>29:30</v>
      </c>
      <c r="L331" t="str">
        <f>IF('Raw Data'!L331="","",'Raw Data'!L331)</f>
        <v/>
      </c>
      <c r="M331">
        <f>IF('Raw Data'!M331="","",'Raw Data'!M331)</f>
        <v>8.1</v>
      </c>
      <c r="N331">
        <f>IF('Raw Data'!N331="","",IF('Raw Data'!N331="-",0,'Raw Data'!N331))</f>
        <v>4.5999999999999996</v>
      </c>
      <c r="O331">
        <f>IF('Raw Data'!O331="",IF('Raw Data'!N331="","",0),'Raw Data'!O331)</f>
        <v>345.9</v>
      </c>
      <c r="P331" t="str">
        <f>IF('Raw Data'!P331="","",'Raw Data'!P331)</f>
        <v/>
      </c>
      <c r="R331" s="3">
        <f t="shared" si="118"/>
        <v>193</v>
      </c>
      <c r="S331" s="3" t="str">
        <f t="shared" si="119"/>
        <v>-</v>
      </c>
      <c r="T331" s="3">
        <f t="shared" si="120"/>
        <v>193</v>
      </c>
      <c r="U331" s="3">
        <f t="shared" si="128"/>
        <v>29.5</v>
      </c>
      <c r="W331" s="4">
        <f t="shared" si="121"/>
        <v>8.0943079722410687</v>
      </c>
      <c r="X331" s="4">
        <f t="shared" si="122"/>
        <v>4.5795391089622441</v>
      </c>
      <c r="Y331" s="3">
        <f t="shared" si="123"/>
        <v>193</v>
      </c>
      <c r="Z331" s="4">
        <f>IF('Raw Data'!O331="","",O330+N330)</f>
        <v>346</v>
      </c>
    </row>
    <row r="332" spans="1:27" x14ac:dyDescent="0.25">
      <c r="A332" t="str">
        <f>IF('Raw Data'!A332="","",'Raw Data'!A332)</f>
        <v>GF</v>
      </c>
      <c r="B332" t="str">
        <f>IF('Raw Data'!B332="","",'Raw Data'!B332)</f>
        <v>GG</v>
      </c>
      <c r="C332">
        <f>IF('Raw Data'!C332="","",'Raw Data'!C332)</f>
        <v>3</v>
      </c>
      <c r="D332">
        <f>IF('Raw Data'!D332="","",'Raw Data'!D332)</f>
        <v>4.5</v>
      </c>
      <c r="E332">
        <f>IF('Raw Data'!E332="","",'Raw Data'!E332)</f>
        <v>0.2</v>
      </c>
      <c r="F332">
        <f>IF('Raw Data'!F332="","",'Raw Data'!F332)</f>
        <v>20</v>
      </c>
      <c r="G332" s="7" t="str">
        <f>IF('Raw Data'!G332="/","-",IF('Raw Data'!G332="","-",SUBSTITUTE('Raw Data'!G332," ",":",1)))</f>
        <v>-</v>
      </c>
      <c r="H332" s="7" t="str">
        <f>IF('Raw Data'!H332="/","-",IF('Raw Data'!H332="","-",SUBSTITUTE('Raw Data'!H332," ",":",1)))</f>
        <v>156:30</v>
      </c>
      <c r="I332" s="7" t="str">
        <f>IF('Raw Data'!I332="/","-",IF('Raw Data'!I332="","-",SUBSTITUTE('Raw Data'!I332," ",":",1)))</f>
        <v>336:30</v>
      </c>
      <c r="J332" s="12">
        <f>IF('Raw Data'!J332="",IF(LEN(K332)&gt;6,SQRT('Raw Data'!M332^2+N332^2),""),'Raw Data'!J332)</f>
        <v>26.5</v>
      </c>
      <c r="K332" s="7" t="str">
        <f>IF('Raw Data'!K332="","",IF(LEN('Raw Data'!K332)&lt;7,SUBSTITUTE('Raw Data'!K332," ",":",1),'Raw Data'!K332))</f>
        <v>18:00</v>
      </c>
      <c r="L332" t="str">
        <f>IF('Raw Data'!L332="","",'Raw Data'!L332)</f>
        <v/>
      </c>
      <c r="M332">
        <f>IF('Raw Data'!M332="","",'Raw Data'!M332)</f>
        <v>25.2</v>
      </c>
      <c r="N332">
        <f>IF('Raw Data'!N332="","",IF('Raw Data'!N332="-",0,'Raw Data'!N332))</f>
        <v>8.1999999999999993</v>
      </c>
      <c r="O332">
        <f>IF('Raw Data'!O332="",IF('Raw Data'!N332="","",0),'Raw Data'!O332)</f>
        <v>350.5</v>
      </c>
      <c r="P332" t="str">
        <f>IF('Raw Data'!P332="","",'Raw Data'!P332)</f>
        <v/>
      </c>
      <c r="R332" s="3" t="str">
        <f t="shared" si="118"/>
        <v>-</v>
      </c>
      <c r="S332" s="3">
        <f t="shared" si="119"/>
        <v>156.5</v>
      </c>
      <c r="T332" s="3">
        <f t="shared" si="120"/>
        <v>336.5</v>
      </c>
      <c r="U332" s="3">
        <f t="shared" si="128"/>
        <v>18</v>
      </c>
      <c r="W332" s="4">
        <f t="shared" si="121"/>
        <v>25.202997681821568</v>
      </c>
      <c r="X332" s="4">
        <f t="shared" si="122"/>
        <v>8.1889503509361052</v>
      </c>
      <c r="Y332" s="3">
        <f t="shared" si="123"/>
        <v>336.5</v>
      </c>
      <c r="Z332" s="4">
        <f>IF('Raw Data'!O332="","",O331+N331)</f>
        <v>350.5</v>
      </c>
    </row>
    <row r="333" spans="1:27" x14ac:dyDescent="0.25">
      <c r="A333" t="str">
        <f>IF('Raw Data'!A333="","",'Raw Data'!A333)</f>
        <v>GG</v>
      </c>
      <c r="B333" t="str">
        <f>IF('Raw Data'!B333="","",'Raw Data'!B333)</f>
        <v/>
      </c>
      <c r="C333" t="str">
        <f>IF('Raw Data'!C333="","",'Raw Data'!C333)</f>
        <v/>
      </c>
      <c r="D333" t="str">
        <f>IF('Raw Data'!D333="","",'Raw Data'!D333)</f>
        <v/>
      </c>
      <c r="E333" t="str">
        <f>IF('Raw Data'!E333="","",'Raw Data'!E333)</f>
        <v/>
      </c>
      <c r="F333" t="str">
        <f>IF('Raw Data'!F333="","",'Raw Data'!F333)</f>
        <v/>
      </c>
      <c r="G333" s="7" t="str">
        <f>IF('Raw Data'!G333="/","-",IF('Raw Data'!G333="","-",SUBSTITUTE('Raw Data'!G333," ",":",1)))</f>
        <v>-</v>
      </c>
      <c r="H333" s="7" t="str">
        <f>IF('Raw Data'!H333="/","-",IF('Raw Data'!H333="","-",SUBSTITUTE('Raw Data'!H333," ",":",1)))</f>
        <v>-</v>
      </c>
      <c r="I333" s="7" t="str">
        <f>IF('Raw Data'!I333="/","-",IF('Raw Data'!I333="","-",SUBSTITUTE('Raw Data'!I333," ",":",1)))</f>
        <v>-</v>
      </c>
      <c r="J333" s="12" t="str">
        <f>IF('Raw Data'!J333="",IF(LEN(K333)&gt;6,SQRT('Raw Data'!M333^2+N333^2),""),'Raw Data'!J333)</f>
        <v/>
      </c>
      <c r="K333" s="7" t="str">
        <f>IF('Raw Data'!K333="","",IF(LEN('Raw Data'!K333)&lt;7,SUBSTITUTE('Raw Data'!K333," ",":",1),'Raw Data'!K333))</f>
        <v/>
      </c>
      <c r="L333" t="str">
        <f>IF('Raw Data'!L333="","",'Raw Data'!L333)</f>
        <v/>
      </c>
      <c r="M333" t="str">
        <f>IF('Raw Data'!M333="","",'Raw Data'!M333)</f>
        <v/>
      </c>
      <c r="N333" t="str">
        <f>IF('Raw Data'!N333="","",IF('Raw Data'!N333="-",0,'Raw Data'!N333))</f>
        <v/>
      </c>
      <c r="O333" t="str">
        <f>IF('Raw Data'!O333="",IF('Raw Data'!N333="","",0),'Raw Data'!O333)</f>
        <v/>
      </c>
      <c r="P333" t="str">
        <f>IF('Raw Data'!P333="","",'Raw Data'!P333)</f>
        <v/>
      </c>
      <c r="W333" s="4"/>
      <c r="X333" s="4"/>
      <c r="Y333" s="3"/>
      <c r="Z333" s="4" t="str">
        <f>IF('Raw Data'!O333="","",O332+N332)</f>
        <v/>
      </c>
    </row>
    <row r="334" spans="1:27" x14ac:dyDescent="0.25">
      <c r="A334" t="str">
        <f>IF('Raw Data'!A334="","",'Raw Data'!A334)</f>
        <v>p. 69-70</v>
      </c>
      <c r="B334" t="str">
        <f>IF('Raw Data'!B334="","",'Raw Data'!B334)</f>
        <v>(=PDF p.71-72)</v>
      </c>
      <c r="C334" t="str">
        <f>IF('Raw Data'!C334="","",'Raw Data'!C334)</f>
        <v/>
      </c>
      <c r="D334" t="str">
        <f>IF('Raw Data'!D334="","",'Raw Data'!D334)</f>
        <v/>
      </c>
      <c r="E334" t="str">
        <f>IF('Raw Data'!E334="","",'Raw Data'!E334)</f>
        <v/>
      </c>
      <c r="F334" t="str">
        <f>IF('Raw Data'!F334="","",'Raw Data'!F334)</f>
        <v/>
      </c>
      <c r="G334" s="7" t="str">
        <f>IF('Raw Data'!G334="/","-",IF('Raw Data'!G334="","-",SUBSTITUTE('Raw Data'!G334," ",":",1)))</f>
        <v>-</v>
      </c>
      <c r="H334" s="7" t="str">
        <f>IF('Raw Data'!H334="/","-",IF('Raw Data'!H334="","-",SUBSTITUTE('Raw Data'!H334," ",":",1)))</f>
        <v>-</v>
      </c>
      <c r="I334" s="7" t="str">
        <f>IF('Raw Data'!I334="/","-",IF('Raw Data'!I334="","-",SUBSTITUTE('Raw Data'!I334," ",":",1)))</f>
        <v>-</v>
      </c>
      <c r="J334" s="12" t="str">
        <f>IF('Raw Data'!J334="",IF(LEN(K334)&gt;6,SQRT('Raw Data'!M334^2+N334^2),""),'Raw Data'!J334)</f>
        <v/>
      </c>
      <c r="K334" s="7" t="str">
        <f>IF('Raw Data'!K334="","",IF(LEN('Raw Data'!K334)&lt;7,SUBSTITUTE('Raw Data'!K334," ",":",1),'Raw Data'!K334))</f>
        <v/>
      </c>
      <c r="L334" t="str">
        <f>IF('Raw Data'!L334="","",'Raw Data'!L334)</f>
        <v/>
      </c>
      <c r="M334" t="str">
        <f>IF('Raw Data'!M334="","",'Raw Data'!M334)</f>
        <v/>
      </c>
      <c r="N334" t="str">
        <f>IF('Raw Data'!N334="","",IF('Raw Data'!N334="-",0,'Raw Data'!N334))</f>
        <v/>
      </c>
      <c r="O334" t="str">
        <f>IF('Raw Data'!O334="",IF('Raw Data'!N334="","",0),'Raw Data'!O334)</f>
        <v/>
      </c>
      <c r="P334" t="str">
        <f>IF('Raw Data'!P334="","",'Raw Data'!P334)</f>
        <v/>
      </c>
      <c r="W334" s="4"/>
      <c r="X334" s="4"/>
      <c r="Y334" s="3"/>
      <c r="Z334" s="4" t="str">
        <f>IF('Raw Data'!O334="","",O333+N333)</f>
        <v/>
      </c>
    </row>
    <row r="335" spans="1:27" x14ac:dyDescent="0.25">
      <c r="A335" t="str">
        <f>IF('Raw Data'!A335="","",'Raw Data'!A335)</f>
        <v>GG</v>
      </c>
      <c r="B335" t="str">
        <f>IF('Raw Data'!B335="","",'Raw Data'!B335)</f>
        <v>EA</v>
      </c>
      <c r="C335">
        <f>IF('Raw Data'!C335="","",'Raw Data'!C335)</f>
        <v>3</v>
      </c>
      <c r="D335">
        <f>IF('Raw Data'!D335="","",'Raw Data'!D335)</f>
        <v>3</v>
      </c>
      <c r="E335">
        <f>IF('Raw Data'!E335="","",'Raw Data'!E335)</f>
        <v>20</v>
      </c>
      <c r="F335">
        <f>IF('Raw Data'!F335="","",'Raw Data'!F335)</f>
        <v>7</v>
      </c>
      <c r="G335" s="7" t="str">
        <f>IF('Raw Data'!G335="/","-",IF('Raw Data'!G335="","-",SUBSTITUTE('Raw Data'!G335," ",":",1)))</f>
        <v>093:30</v>
      </c>
      <c r="H335" s="7" t="str">
        <f>IF('Raw Data'!H335="/","-",IF('Raw Data'!H335="","-",SUBSTITUTE('Raw Data'!H335," ",":",1)))</f>
        <v>-</v>
      </c>
      <c r="I335" s="7" t="str">
        <f>IF('Raw Data'!I335="/","-",IF('Raw Data'!I335="","-",SUBSTITUTE('Raw Data'!I335," ",":",1)))</f>
        <v>093:00</v>
      </c>
      <c r="J335" s="12">
        <f>IF('Raw Data'!J335="",IF(LEN(K335)&gt;6,SQRT('Raw Data'!M335^2+N335^2),""),'Raw Data'!J335)</f>
        <v>16.2</v>
      </c>
      <c r="K335" s="7" t="str">
        <f>IF('Raw Data'!K335="","",IF(LEN('Raw Data'!K335)&lt;7,SUBSTITUTE('Raw Data'!K335," ",":",1),'Raw Data'!K335))</f>
        <v>25:30</v>
      </c>
      <c r="L335" t="str">
        <f>IF('Raw Data'!L335="","",'Raw Data'!L335)</f>
        <v/>
      </c>
      <c r="M335">
        <f>IF('Raw Data'!M335="","",'Raw Data'!M335)</f>
        <v>14.6</v>
      </c>
      <c r="N335">
        <f>IF('Raw Data'!N335="","",IF('Raw Data'!N335="-",0,'Raw Data'!N335))</f>
        <v>7</v>
      </c>
      <c r="O335">
        <f>IF('Raw Data'!O335="",IF('Raw Data'!N335="","",0),'Raw Data'!O335)</f>
        <v>358.6</v>
      </c>
      <c r="P335" t="str">
        <f>IF('Raw Data'!P335="","",'Raw Data'!P335)</f>
        <v/>
      </c>
      <c r="R335" s="3">
        <f t="shared" si="118"/>
        <v>93.5</v>
      </c>
      <c r="S335" s="3" t="str">
        <f t="shared" si="119"/>
        <v>-</v>
      </c>
      <c r="T335" s="3">
        <f t="shared" si="120"/>
        <v>93</v>
      </c>
      <c r="U335" s="3">
        <f>IF(ISERROR(FIND(":",K335)),IF(K335="zero",0,1*K335),1*CONCATENATE(LEFT(K335,FIND(":",K335)-1),".",MID(RIGHT(K335,LEN(K335)-FIND(":",K335))/60,3,8)))</f>
        <v>25.5</v>
      </c>
      <c r="W335" s="4">
        <f t="shared" si="121"/>
        <v>14.621881606467742</v>
      </c>
      <c r="X335" s="4">
        <f t="shared" si="122"/>
        <v>6.9742797682943802</v>
      </c>
      <c r="Y335" s="3">
        <f t="shared" si="123"/>
        <v>93.5</v>
      </c>
      <c r="Z335" s="4">
        <f>IF('Raw Data'!O335="","",O332+N332)</f>
        <v>358.7</v>
      </c>
    </row>
    <row r="336" spans="1:27" x14ac:dyDescent="0.25">
      <c r="A336" t="str">
        <f>IF('Raw Data'!A336="","",'Raw Data'!A336)</f>
        <v>EA</v>
      </c>
      <c r="B336" t="str">
        <f>IF('Raw Data'!B336="","",'Raw Data'!B336)</f>
        <v/>
      </c>
      <c r="C336" t="str">
        <f>IF('Raw Data'!C336="","",'Raw Data'!C336)</f>
        <v>/</v>
      </c>
      <c r="D336" t="str">
        <f>IF('Raw Data'!D336="","",'Raw Data'!D336)</f>
        <v>/</v>
      </c>
      <c r="E336" t="str">
        <f>IF('Raw Data'!E336="","",'Raw Data'!E336)</f>
        <v>/</v>
      </c>
      <c r="F336" t="str">
        <f>IF('Raw Data'!F336="","",'Raw Data'!F336)</f>
        <v>/</v>
      </c>
      <c r="G336" s="7" t="str">
        <f>IF('Raw Data'!G336="/","-",IF('Raw Data'!G336="","-",SUBSTITUTE('Raw Data'!G336," ",":",1)))</f>
        <v>-</v>
      </c>
      <c r="H336" s="7" t="str">
        <f>IF('Raw Data'!H336="/","-",IF('Raw Data'!H336="","-",SUBSTITUTE('Raw Data'!H336," ",":",1)))</f>
        <v>-</v>
      </c>
      <c r="I336" s="7" t="str">
        <f>IF('Raw Data'!I336="/","-",IF('Raw Data'!I336="","-",SUBSTITUTE('Raw Data'!I336," ",":",1)))</f>
        <v>-</v>
      </c>
      <c r="J336" s="12" t="str">
        <f>IF('Raw Data'!J336="",IF(LEN(K336)&gt;6,SQRT('Raw Data'!M336^2+N336^2),""),'Raw Data'!J336)</f>
        <v>-</v>
      </c>
      <c r="K336" s="7" t="str">
        <f>IF('Raw Data'!K336="","",IF(LEN('Raw Data'!K336)&lt;7,SUBSTITUTE('Raw Data'!K336," ",":",1),'Raw Data'!K336))</f>
        <v>-</v>
      </c>
      <c r="L336" t="str">
        <f>IF('Raw Data'!L336="","",'Raw Data'!L336)</f>
        <v/>
      </c>
      <c r="M336" t="str">
        <f>IF('Raw Data'!M336="","",'Raw Data'!M336)</f>
        <v/>
      </c>
      <c r="N336" t="str">
        <f>IF('Raw Data'!N336="","",IF('Raw Data'!N336="-",0,'Raw Data'!N336))</f>
        <v/>
      </c>
      <c r="O336">
        <f>IF('Raw Data'!O336="",IF('Raw Data'!N336="","",0),'Raw Data'!O336)</f>
        <v>365.5</v>
      </c>
      <c r="P336" t="str">
        <f>IF('Raw Data'!P336="","",'Raw Data'!P336)</f>
        <v>Vert error 0.7' in 298' = 0.23%</v>
      </c>
      <c r="W336" s="4"/>
      <c r="X336" s="4"/>
      <c r="Y336" s="3"/>
      <c r="Z336" s="4">
        <f>IF('Raw Data'!O336="","",O335+N335)</f>
        <v>365.6</v>
      </c>
    </row>
    <row r="337" spans="1:26" x14ac:dyDescent="0.25">
      <c r="A337" t="str">
        <f>IF('Raw Data'!A337="","",'Raw Data'!A337)</f>
        <v>CS</v>
      </c>
      <c r="B337" t="str">
        <f>IF('Raw Data'!B337="","",'Raw Data'!B337)</f>
        <v>GH</v>
      </c>
      <c r="C337" t="str">
        <f>IF('Raw Data'!C337="","",'Raw Data'!C337)</f>
        <v>/</v>
      </c>
      <c r="D337" t="str">
        <f>IF('Raw Data'!D337="","",'Raw Data'!D337)</f>
        <v>/</v>
      </c>
      <c r="E337" t="str">
        <f>IF('Raw Data'!E337="","",'Raw Data'!E337)</f>
        <v>/</v>
      </c>
      <c r="F337" t="str">
        <f>IF('Raw Data'!F337="","",'Raw Data'!F337)</f>
        <v>/</v>
      </c>
      <c r="G337" s="7" t="str">
        <f>IF('Raw Data'!G337="/","-",IF('Raw Data'!G337="","-",SUBSTITUTE('Raw Data'!G337," ",":",1)))</f>
        <v>111:00</v>
      </c>
      <c r="H337" s="7" t="str">
        <f>IF('Raw Data'!H337="/","-",IF('Raw Data'!H337="","-",SUBSTITUTE('Raw Data'!H337," ",":",1)))</f>
        <v>-</v>
      </c>
      <c r="I337" s="7" t="str">
        <f>IF('Raw Data'!I337="/","-",IF('Raw Data'!I337="","-",SUBSTITUTE('Raw Data'!I337," ",":",1)))</f>
        <v>111:00</v>
      </c>
      <c r="J337" s="12">
        <f>IF('Raw Data'!J337="",IF(LEN(K337)&gt;6,SQRT('Raw Data'!M337^2+N337^2),""),'Raw Data'!J337)</f>
        <v>26.5</v>
      </c>
      <c r="K337" s="7" t="str">
        <f>IF('Raw Data'!K337="","",IF(LEN('Raw Data'!K337)&lt;7,SUBSTITUTE('Raw Data'!K337," ",":",1),'Raw Data'!K337))</f>
        <v>24:00</v>
      </c>
      <c r="L337" t="str">
        <f>IF('Raw Data'!L337="","",'Raw Data'!L337)</f>
        <v/>
      </c>
      <c r="M337">
        <f>IF('Raw Data'!M337="","",'Raw Data'!M337)</f>
        <v>24.3</v>
      </c>
      <c r="N337">
        <f>IF('Raw Data'!N337="","",IF('Raw Data'!N337="-",0,'Raw Data'!N337))</f>
        <v>10.8</v>
      </c>
      <c r="O337">
        <f>IF('Raw Data'!O337="",IF('Raw Data'!N337="","",0),'Raw Data'!O337)</f>
        <v>260.8</v>
      </c>
      <c r="P337" t="str">
        <f>IF('Raw Data'!P337="","",'Raw Data'!P337)</f>
        <v>See p.56</v>
      </c>
      <c r="R337" s="3">
        <f t="shared" si="118"/>
        <v>111</v>
      </c>
      <c r="S337" s="3" t="str">
        <f t="shared" si="119"/>
        <v>-</v>
      </c>
      <c r="T337" s="3">
        <f t="shared" si="120"/>
        <v>111</v>
      </c>
      <c r="U337" s="3">
        <f t="shared" ref="U337:U365" si="129">IF(ISERROR(FIND(":",K337)),IF(K337="zero",0,1*K337),1*CONCATENATE(LEFT(K337,FIND(":",K337)-1),".",MID(RIGHT(K337,LEN(K337)-FIND(":",K337))/60,3,8)))</f>
        <v>24</v>
      </c>
      <c r="W337" s="4">
        <f t="shared" si="121"/>
        <v>24.208954627528922</v>
      </c>
      <c r="X337" s="4">
        <f t="shared" si="122"/>
        <v>10.778521041508704</v>
      </c>
      <c r="Y337" s="3">
        <f t="shared" si="123"/>
        <v>111</v>
      </c>
      <c r="Z337" s="4">
        <f>IF('Raw Data'!O337="","",O179+N179)</f>
        <v>260.8</v>
      </c>
    </row>
    <row r="338" spans="1:26" x14ac:dyDescent="0.25">
      <c r="A338" t="str">
        <f>IF('Raw Data'!A338="","",'Raw Data'!A338)</f>
        <v>GH</v>
      </c>
      <c r="B338" t="str">
        <f>IF('Raw Data'!B338="","",'Raw Data'!B338)</f>
        <v>GI</v>
      </c>
      <c r="C338">
        <f>IF('Raw Data'!C338="","",'Raw Data'!C338)</f>
        <v>7</v>
      </c>
      <c r="D338">
        <f>IF('Raw Data'!D338="","",'Raw Data'!D338)</f>
        <v>4</v>
      </c>
      <c r="E338">
        <f>IF('Raw Data'!E338="","",'Raw Data'!E338)</f>
        <v>6</v>
      </c>
      <c r="F338">
        <f>IF('Raw Data'!F338="","",'Raw Data'!F338)</f>
        <v>12</v>
      </c>
      <c r="G338" s="7" t="str">
        <f>IF('Raw Data'!G338="/","-",IF('Raw Data'!G338="","-",SUBSTITUTE('Raw Data'!G338," ",":",1)))</f>
        <v>-</v>
      </c>
      <c r="H338" s="7" t="str">
        <f>IF('Raw Data'!H338="/","-",IF('Raw Data'!H338="","-",SUBSTITUTE('Raw Data'!H338," ",":",1)))</f>
        <v>316:30</v>
      </c>
      <c r="I338" s="7" t="str">
        <f>IF('Raw Data'!I338="/","-",IF('Raw Data'!I338="","-",SUBSTITUTE('Raw Data'!I338," ",":",1)))</f>
        <v>136:30</v>
      </c>
      <c r="J338" s="12">
        <f>IF('Raw Data'!J338="",IF(LEN(K338)&gt;6,SQRT('Raw Data'!M338^2+N338^2),""),'Raw Data'!J338)</f>
        <v>20</v>
      </c>
      <c r="K338" s="7" t="str">
        <f>IF('Raw Data'!K338="","",IF(LEN('Raw Data'!K338)&lt;7,SUBSTITUTE('Raw Data'!K338," ",":",1),'Raw Data'!K338))</f>
        <v>3:30</v>
      </c>
      <c r="L338" t="str">
        <f>IF('Raw Data'!L338="","",'Raw Data'!L338)</f>
        <v/>
      </c>
      <c r="M338">
        <f>IF('Raw Data'!M338="","",'Raw Data'!M338)</f>
        <v>19.899999999999999</v>
      </c>
      <c r="N338">
        <f>IF('Raw Data'!N338="","",IF('Raw Data'!N338="-",0,'Raw Data'!N338))</f>
        <v>1.2</v>
      </c>
      <c r="O338">
        <f>IF('Raw Data'!O338="",IF('Raw Data'!N338="","",0),'Raw Data'!O338)</f>
        <v>271.60000000000002</v>
      </c>
      <c r="P338" t="str">
        <f>IF('Raw Data'!P338="","",'Raw Data'!P338)</f>
        <v/>
      </c>
      <c r="R338" s="3" t="str">
        <f t="shared" si="118"/>
        <v>-</v>
      </c>
      <c r="S338" s="3">
        <f t="shared" si="119"/>
        <v>316.5</v>
      </c>
      <c r="T338" s="3">
        <f t="shared" si="120"/>
        <v>136.5</v>
      </c>
      <c r="U338" s="3">
        <f t="shared" si="129"/>
        <v>3.5</v>
      </c>
      <c r="W338" s="4">
        <f t="shared" si="121"/>
        <v>19.962695968437338</v>
      </c>
      <c r="X338" s="4">
        <f t="shared" si="122"/>
        <v>1.2209707906971374</v>
      </c>
      <c r="Y338" s="3">
        <f t="shared" si="123"/>
        <v>136.5</v>
      </c>
      <c r="Z338" s="4">
        <f>IF('Raw Data'!O338="","",O337+N337)</f>
        <v>271.60000000000002</v>
      </c>
    </row>
    <row r="339" spans="1:26" x14ac:dyDescent="0.25">
      <c r="A339" t="str">
        <f>IF('Raw Data'!A339="","",'Raw Data'!A339)</f>
        <v>GI</v>
      </c>
      <c r="B339" t="str">
        <f>IF('Raw Data'!B339="","",'Raw Data'!B339)</f>
        <v>GJ</v>
      </c>
      <c r="C339">
        <f>IF('Raw Data'!C339="","",'Raw Data'!C339)</f>
        <v>10</v>
      </c>
      <c r="D339">
        <f>IF('Raw Data'!D339="","",'Raw Data'!D339)</f>
        <v>3</v>
      </c>
      <c r="E339">
        <f>IF('Raw Data'!E339="","",'Raw Data'!E339)</f>
        <v>8</v>
      </c>
      <c r="F339" t="str">
        <f>IF('Raw Data'!F339="","",'Raw Data'!F339)</f>
        <v>/</v>
      </c>
      <c r="G339" s="7" t="str">
        <f>IF('Raw Data'!G339="/","-",IF('Raw Data'!G339="","-",SUBSTITUTE('Raw Data'!G339," ",":",1)))</f>
        <v>088:30</v>
      </c>
      <c r="H339" s="7" t="str">
        <f>IF('Raw Data'!H339="/","-",IF('Raw Data'!H339="","-",SUBSTITUTE('Raw Data'!H339," ",":",1)))</f>
        <v>-</v>
      </c>
      <c r="I339" s="7" t="str">
        <f>IF('Raw Data'!I339="/","-",IF('Raw Data'!I339="","-",SUBSTITUTE('Raw Data'!I339," ",":",1)))</f>
        <v>088:30</v>
      </c>
      <c r="J339" s="12">
        <f>IF('Raw Data'!J339="",IF(LEN(K339)&gt;6,SQRT('Raw Data'!M339^2+N339^2),""),'Raw Data'!J339)</f>
        <v>52.9</v>
      </c>
      <c r="K339" s="7" t="str">
        <f>IF('Raw Data'!K339="","",IF(LEN('Raw Data'!K339)&lt;7,SUBSTITUTE('Raw Data'!K339," ",":",1),'Raw Data'!K339))</f>
        <v>9:30</v>
      </c>
      <c r="L339" t="str">
        <f>IF('Raw Data'!L339="","",'Raw Data'!L339)</f>
        <v/>
      </c>
      <c r="M339">
        <f>IF('Raw Data'!M339="","",'Raw Data'!M339)</f>
        <v>52.2</v>
      </c>
      <c r="N339">
        <f>IF('Raw Data'!N339="","",IF('Raw Data'!N339="-",0,'Raw Data'!N339))</f>
        <v>8.6999999999999993</v>
      </c>
      <c r="O339">
        <f>IF('Raw Data'!O339="",IF('Raw Data'!N339="","",0),'Raw Data'!O339)</f>
        <v>272.8</v>
      </c>
      <c r="P339" t="str">
        <f>IF('Raw Data'!P339="","",'Raw Data'!P339)</f>
        <v/>
      </c>
      <c r="R339" s="3">
        <f t="shared" si="118"/>
        <v>88.5</v>
      </c>
      <c r="S339" s="3" t="str">
        <f t="shared" si="119"/>
        <v>-</v>
      </c>
      <c r="T339" s="3">
        <f t="shared" si="120"/>
        <v>88.5</v>
      </c>
      <c r="U339" s="3">
        <f t="shared" si="129"/>
        <v>9.5</v>
      </c>
      <c r="W339" s="4">
        <f t="shared" si="121"/>
        <v>52.174508321319543</v>
      </c>
      <c r="X339" s="4">
        <f t="shared" si="122"/>
        <v>8.7310183500298457</v>
      </c>
      <c r="Y339" s="3">
        <f t="shared" si="123"/>
        <v>88.5</v>
      </c>
      <c r="Z339" s="4">
        <f>IF('Raw Data'!O339="","",O338+N338)</f>
        <v>272.8</v>
      </c>
    </row>
    <row r="340" spans="1:26" x14ac:dyDescent="0.25">
      <c r="A340" t="str">
        <f>IF('Raw Data'!A340="","",'Raw Data'!A340)</f>
        <v>GJ</v>
      </c>
      <c r="B340" t="str">
        <f>IF('Raw Data'!B340="","",'Raw Data'!B340)</f>
        <v>GK</v>
      </c>
      <c r="C340">
        <f>IF('Raw Data'!C340="","",'Raw Data'!C340)</f>
        <v>14</v>
      </c>
      <c r="D340">
        <f>IF('Raw Data'!D340="","",'Raw Data'!D340)</f>
        <v>4</v>
      </c>
      <c r="E340">
        <f>IF('Raw Data'!E340="","",'Raw Data'!E340)</f>
        <v>4</v>
      </c>
      <c r="F340" t="str">
        <f>IF('Raw Data'!F340="","",'Raw Data'!F340)</f>
        <v>-</v>
      </c>
      <c r="G340" s="7" t="str">
        <f>IF('Raw Data'!G340="/","-",IF('Raw Data'!G340="","-",SUBSTITUTE('Raw Data'!G340," ",":",1)))</f>
        <v>108:00</v>
      </c>
      <c r="H340" s="7" t="str">
        <f>IF('Raw Data'!H340="/","-",IF('Raw Data'!H340="","-",SUBSTITUTE('Raw Data'!H340," ",":",1)))</f>
        <v>-</v>
      </c>
      <c r="I340" s="7" t="str">
        <f>IF('Raw Data'!I340="/","-",IF('Raw Data'!I340="","-",SUBSTITUTE('Raw Data'!I340," ",":",1)))</f>
        <v>108:00</v>
      </c>
      <c r="J340" s="12">
        <f>IF('Raw Data'!J340="",IF(LEN(K340)&gt;6,SQRT('Raw Data'!M340^2+N340^2),""),'Raw Data'!J340)</f>
        <v>4</v>
      </c>
      <c r="K340" s="7" t="str">
        <f>IF('Raw Data'!K340="","",IF(LEN('Raw Data'!K340)&lt;7,SUBSTITUTE('Raw Data'!K340," ",":",1),'Raw Data'!K340))</f>
        <v>-53:30</v>
      </c>
      <c r="L340" t="str">
        <f>IF('Raw Data'!L340="","",'Raw Data'!L340)</f>
        <v/>
      </c>
      <c r="M340">
        <f>IF('Raw Data'!M340="","",'Raw Data'!M340)</f>
        <v>2.4</v>
      </c>
      <c r="N340">
        <f>IF('Raw Data'!N340="","",IF('Raw Data'!N340="-",0,'Raw Data'!N340))</f>
        <v>-3.2</v>
      </c>
      <c r="O340">
        <f>IF('Raw Data'!O340="",IF('Raw Data'!N340="","",0),'Raw Data'!O340)</f>
        <v>281.5</v>
      </c>
      <c r="P340" t="str">
        <f>IF('Raw Data'!P340="","",'Raw Data'!P340)</f>
        <v/>
      </c>
      <c r="R340" s="3">
        <f t="shared" si="118"/>
        <v>108</v>
      </c>
      <c r="S340" s="3" t="str">
        <f t="shared" si="119"/>
        <v>-</v>
      </c>
      <c r="T340" s="3">
        <f t="shared" si="120"/>
        <v>108</v>
      </c>
      <c r="U340" s="3">
        <f t="shared" si="129"/>
        <v>-53.5</v>
      </c>
      <c r="W340" s="4">
        <f t="shared" si="121"/>
        <v>2.3792911470053655</v>
      </c>
      <c r="X340" s="4">
        <f t="shared" si="122"/>
        <v>-3.2154274424688691</v>
      </c>
      <c r="Y340" s="3">
        <f t="shared" si="123"/>
        <v>108</v>
      </c>
      <c r="Z340" s="4">
        <f>IF('Raw Data'!O340="","",O339+N339)</f>
        <v>281.5</v>
      </c>
    </row>
    <row r="341" spans="1:26" x14ac:dyDescent="0.25">
      <c r="A341" t="str">
        <f>IF('Raw Data'!A341="","",'Raw Data'!A341)</f>
        <v>GK</v>
      </c>
      <c r="B341" t="str">
        <f>IF('Raw Data'!B341="","",'Raw Data'!B341)</f>
        <v>GL</v>
      </c>
      <c r="C341">
        <f>IF('Raw Data'!C341="","",'Raw Data'!C341)</f>
        <v>4</v>
      </c>
      <c r="D341">
        <f>IF('Raw Data'!D341="","",'Raw Data'!D341)</f>
        <v>0.5</v>
      </c>
      <c r="E341">
        <f>IF('Raw Data'!E341="","",'Raw Data'!E341)</f>
        <v>2.5</v>
      </c>
      <c r="F341">
        <f>IF('Raw Data'!F341="","",'Raw Data'!F341)</f>
        <v>0.3</v>
      </c>
      <c r="G341" s="7" t="str">
        <f>IF('Raw Data'!G341="/","-",IF('Raw Data'!G341="","-",SUBSTITUTE('Raw Data'!G341," ",":",1)))</f>
        <v>-</v>
      </c>
      <c r="H341" s="7" t="str">
        <f>IF('Raw Data'!H341="/","-",IF('Raw Data'!H341="","-",SUBSTITUTE('Raw Data'!H341," ",":",1)))</f>
        <v>246:00</v>
      </c>
      <c r="I341" s="7" t="str">
        <f>IF('Raw Data'!I341="/","-",IF('Raw Data'!I341="","-",SUBSTITUTE('Raw Data'!I341," ",":",1)))</f>
        <v>066:00</v>
      </c>
      <c r="J341" s="12">
        <f>IF('Raw Data'!J341="",IF(LEN(K341)&gt;6,SQRT('Raw Data'!M341^2+N341^2),""),'Raw Data'!J341)</f>
        <v>11.7</v>
      </c>
      <c r="K341" s="7" t="str">
        <f>IF('Raw Data'!K341="","",IF(LEN('Raw Data'!K341)&lt;7,SUBSTITUTE('Raw Data'!K341," ",":",1),'Raw Data'!K341))</f>
        <v>26:00</v>
      </c>
      <c r="L341" t="str">
        <f>IF('Raw Data'!L341="","",'Raw Data'!L341)</f>
        <v/>
      </c>
      <c r="M341">
        <f>IF('Raw Data'!M341="","",'Raw Data'!M341)</f>
        <v>10.5</v>
      </c>
      <c r="N341">
        <f>IF('Raw Data'!N341="","",IF('Raw Data'!N341="-",0,'Raw Data'!N341))</f>
        <v>5.0999999999999996</v>
      </c>
      <c r="O341">
        <f>IF('Raw Data'!O341="",IF('Raw Data'!N341="","",0),'Raw Data'!O341)</f>
        <v>278.3</v>
      </c>
      <c r="P341" t="str">
        <f>IF('Raw Data'!P341="","",'Raw Data'!P341)</f>
        <v/>
      </c>
      <c r="R341" s="3" t="str">
        <f t="shared" si="118"/>
        <v>-</v>
      </c>
      <c r="S341" s="3">
        <f t="shared" si="119"/>
        <v>246</v>
      </c>
      <c r="T341" s="3">
        <f t="shared" si="120"/>
        <v>66</v>
      </c>
      <c r="U341" s="3">
        <f t="shared" si="129"/>
        <v>26</v>
      </c>
      <c r="W341" s="4">
        <f t="shared" si="121"/>
        <v>10.515890341700254</v>
      </c>
      <c r="X341" s="4">
        <f t="shared" si="122"/>
        <v>5.1289424174322056</v>
      </c>
      <c r="Y341" s="3">
        <f t="shared" si="123"/>
        <v>66</v>
      </c>
      <c r="Z341" s="4">
        <f>IF('Raw Data'!O341="","",O340+N340)</f>
        <v>278.3</v>
      </c>
    </row>
    <row r="342" spans="1:26" x14ac:dyDescent="0.25">
      <c r="A342" t="str">
        <f>IF('Raw Data'!A342="","",'Raw Data'!A342)</f>
        <v>GL</v>
      </c>
      <c r="B342" t="str">
        <f>IF('Raw Data'!B342="","",'Raw Data'!B342)</f>
        <v>GM</v>
      </c>
      <c r="C342">
        <f>IF('Raw Data'!C342="","",'Raw Data'!C342)</f>
        <v>10</v>
      </c>
      <c r="D342">
        <f>IF('Raw Data'!D342="","",'Raw Data'!D342)</f>
        <v>2</v>
      </c>
      <c r="E342">
        <f>IF('Raw Data'!E342="","",'Raw Data'!E342)</f>
        <v>2</v>
      </c>
      <c r="F342">
        <f>IF('Raw Data'!F342="","",'Raw Data'!F342)</f>
        <v>3</v>
      </c>
      <c r="G342" s="7" t="str">
        <f>IF('Raw Data'!G342="/","-",IF('Raw Data'!G342="","-",SUBSTITUTE('Raw Data'!G342," ",":",1)))</f>
        <v>079:00</v>
      </c>
      <c r="H342" s="7" t="str">
        <f>IF('Raw Data'!H342="/","-",IF('Raw Data'!H342="","-",SUBSTITUTE('Raw Data'!H342," ",":",1)))</f>
        <v>-</v>
      </c>
      <c r="I342" s="7" t="str">
        <f>IF('Raw Data'!I342="/","-",IF('Raw Data'!I342="","-",SUBSTITUTE('Raw Data'!I342," ",":",1)))</f>
        <v>079:00</v>
      </c>
      <c r="J342" s="12">
        <f>IF('Raw Data'!J342="",IF(LEN(K342)&gt;6,SQRT('Raw Data'!M342^2+N342^2),""),'Raw Data'!J342)</f>
        <v>15.8</v>
      </c>
      <c r="K342" s="7" t="str">
        <f>IF('Raw Data'!K342="","",IF(LEN('Raw Data'!K342)&lt;7,SUBSTITUTE('Raw Data'!K342," ",":",1),'Raw Data'!K342))</f>
        <v>26:00</v>
      </c>
      <c r="L342" t="str">
        <f>IF('Raw Data'!L342="","",'Raw Data'!L342)</f>
        <v/>
      </c>
      <c r="M342">
        <f>IF('Raw Data'!M342="","",'Raw Data'!M342)</f>
        <v>14.2</v>
      </c>
      <c r="N342">
        <f>IF('Raw Data'!N342="","",IF('Raw Data'!N342="-",0,'Raw Data'!N342))</f>
        <v>6.9</v>
      </c>
      <c r="O342">
        <f>IF('Raw Data'!O342="",IF('Raw Data'!N342="","",0),'Raw Data'!O342)</f>
        <v>283.39999999999998</v>
      </c>
      <c r="P342" t="str">
        <f>IF('Raw Data'!P342="","",'Raw Data'!P342)</f>
        <v/>
      </c>
      <c r="R342" s="3">
        <f t="shared" si="118"/>
        <v>79</v>
      </c>
      <c r="S342" s="3" t="str">
        <f t="shared" si="119"/>
        <v>-</v>
      </c>
      <c r="T342" s="3">
        <f t="shared" si="120"/>
        <v>79</v>
      </c>
      <c r="U342" s="3">
        <f t="shared" si="129"/>
        <v>26</v>
      </c>
      <c r="W342" s="4">
        <f t="shared" si="121"/>
        <v>14.20094593152684</v>
      </c>
      <c r="X342" s="4">
        <f t="shared" si="122"/>
        <v>6.9262641192674232</v>
      </c>
      <c r="Y342" s="3">
        <f t="shared" si="123"/>
        <v>79</v>
      </c>
      <c r="Z342" s="4">
        <f>IF('Raw Data'!O342="","",O341+N341)</f>
        <v>283.40000000000003</v>
      </c>
    </row>
    <row r="343" spans="1:26" x14ac:dyDescent="0.25">
      <c r="A343" t="str">
        <f>IF('Raw Data'!A343="","",'Raw Data'!A343)</f>
        <v>GM</v>
      </c>
      <c r="B343" t="str">
        <f>IF('Raw Data'!B343="","",'Raw Data'!B343)</f>
        <v>GN</v>
      </c>
      <c r="C343">
        <f>IF('Raw Data'!C343="","",'Raw Data'!C343)</f>
        <v>6</v>
      </c>
      <c r="D343">
        <f>IF('Raw Data'!D343="","",'Raw Data'!D343)</f>
        <v>2</v>
      </c>
      <c r="E343">
        <f>IF('Raw Data'!E343="","",'Raw Data'!E343)</f>
        <v>1</v>
      </c>
      <c r="F343" t="str">
        <f>IF('Raw Data'!F343="","",'Raw Data'!F343)</f>
        <v>/</v>
      </c>
      <c r="G343" s="7" t="str">
        <f>IF('Raw Data'!G343="/","-",IF('Raw Data'!G343="","-",SUBSTITUTE('Raw Data'!G343," ",":",1)))</f>
        <v>-</v>
      </c>
      <c r="H343" s="7" t="str">
        <f>IF('Raw Data'!H343="/","-",IF('Raw Data'!H343="","-",SUBSTITUTE('Raw Data'!H343," ",":",1)))</f>
        <v>355:30</v>
      </c>
      <c r="I343" s="7" t="str">
        <f>IF('Raw Data'!I343="/","-",IF('Raw Data'!I343="","-",SUBSTITUTE('Raw Data'!I343," ",":",1)))</f>
        <v>175:30</v>
      </c>
      <c r="J343" s="12">
        <f>IF('Raw Data'!J343="",IF(LEN(K343)&gt;6,SQRT('Raw Data'!M343^2+N343^2),""),'Raw Data'!J343)</f>
        <v>12.8</v>
      </c>
      <c r="K343" s="7" t="str">
        <f>IF('Raw Data'!K343="","",IF(LEN('Raw Data'!K343)&lt;7,SUBSTITUTE('Raw Data'!K343," ",":",1),'Raw Data'!K343))</f>
        <v>26:00</v>
      </c>
      <c r="L343" t="str">
        <f>IF('Raw Data'!L343="","",'Raw Data'!L343)</f>
        <v/>
      </c>
      <c r="M343">
        <f>IF('Raw Data'!M343="","",'Raw Data'!M343)</f>
        <v>11.5</v>
      </c>
      <c r="N343">
        <f>IF('Raw Data'!N343="","",IF('Raw Data'!N343="-",0,'Raw Data'!N343))</f>
        <v>5.6</v>
      </c>
      <c r="O343">
        <f>IF('Raw Data'!O343="",IF('Raw Data'!N343="","",0),'Raw Data'!O343)</f>
        <v>290.3</v>
      </c>
      <c r="P343" t="str">
        <f>IF('Raw Data'!P343="","",'Raw Data'!P343)</f>
        <v/>
      </c>
      <c r="R343" s="3" t="str">
        <f t="shared" si="118"/>
        <v>-</v>
      </c>
      <c r="S343" s="3">
        <f t="shared" si="119"/>
        <v>355.5</v>
      </c>
      <c r="T343" s="3">
        <f t="shared" si="120"/>
        <v>175.5</v>
      </c>
      <c r="U343" s="3">
        <f t="shared" si="129"/>
        <v>26</v>
      </c>
      <c r="W343" s="4">
        <f t="shared" si="121"/>
        <v>11.504563792629339</v>
      </c>
      <c r="X343" s="4">
        <f t="shared" si="122"/>
        <v>5.6111506789001915</v>
      </c>
      <c r="Y343" s="3">
        <f t="shared" si="123"/>
        <v>175.5</v>
      </c>
      <c r="Z343" s="4">
        <f>IF('Raw Data'!O343="","",O342+N342)</f>
        <v>290.29999999999995</v>
      </c>
    </row>
    <row r="344" spans="1:26" x14ac:dyDescent="0.25">
      <c r="A344" t="str">
        <f>IF('Raw Data'!A344="","",'Raw Data'!A344)</f>
        <v>GN</v>
      </c>
      <c r="B344" t="str">
        <f>IF('Raw Data'!B344="","",'Raw Data'!B344)</f>
        <v>GO</v>
      </c>
      <c r="C344">
        <f>IF('Raw Data'!C344="","",'Raw Data'!C344)</f>
        <v>10</v>
      </c>
      <c r="D344">
        <f>IF('Raw Data'!D344="","",'Raw Data'!D344)</f>
        <v>4</v>
      </c>
      <c r="E344">
        <f>IF('Raw Data'!E344="","",'Raw Data'!E344)</f>
        <v>0.5</v>
      </c>
      <c r="F344">
        <f>IF('Raw Data'!F344="","",'Raw Data'!F344)</f>
        <v>6</v>
      </c>
      <c r="G344" s="7" t="str">
        <f>IF('Raw Data'!G344="/","-",IF('Raw Data'!G344="","-",SUBSTITUTE('Raw Data'!G344," ",":",1)))</f>
        <v>148:00</v>
      </c>
      <c r="H344" s="7" t="str">
        <f>IF('Raw Data'!H344="/","-",IF('Raw Data'!H344="","-",SUBSTITUTE('Raw Data'!H344," ",":",1)))</f>
        <v>-</v>
      </c>
      <c r="I344" s="7" t="str">
        <f>IF('Raw Data'!I344="/","-",IF('Raw Data'!I344="","-",SUBSTITUTE('Raw Data'!I344," ",":",1)))</f>
        <v>148:00</v>
      </c>
      <c r="J344" s="12">
        <f>IF('Raw Data'!J344="",IF(LEN(K344)&gt;6,SQRT('Raw Data'!M344^2+N344^2),""),'Raw Data'!J344)</f>
        <v>39.9</v>
      </c>
      <c r="K344" s="7" t="str">
        <f>IF('Raw Data'!K344="","",IF(LEN('Raw Data'!K344)&lt;7,SUBSTITUTE('Raw Data'!K344," ",":",1),'Raw Data'!K344))</f>
        <v>24:30</v>
      </c>
      <c r="L344" t="str">
        <f>IF('Raw Data'!L344="","",'Raw Data'!L344)</f>
        <v/>
      </c>
      <c r="M344">
        <f>IF('Raw Data'!M344="","",'Raw Data'!M344)</f>
        <v>36.299999999999997</v>
      </c>
      <c r="N344">
        <f>IF('Raw Data'!N344="","",IF('Raw Data'!N344="-",0,'Raw Data'!N344))</f>
        <v>16.600000000000001</v>
      </c>
      <c r="O344">
        <f>IF('Raw Data'!O344="",IF('Raw Data'!N344="","",0),'Raw Data'!O344)</f>
        <v>295.89999999999998</v>
      </c>
      <c r="P344" t="str">
        <f>IF('Raw Data'!P344="","",'Raw Data'!P344)</f>
        <v/>
      </c>
      <c r="R344" s="3">
        <f t="shared" si="118"/>
        <v>148</v>
      </c>
      <c r="S344" s="3" t="str">
        <f t="shared" si="119"/>
        <v>-</v>
      </c>
      <c r="T344" s="3">
        <f t="shared" si="120"/>
        <v>148</v>
      </c>
      <c r="U344" s="3">
        <f t="shared" si="129"/>
        <v>24.5</v>
      </c>
      <c r="W344" s="4">
        <f t="shared" si="121"/>
        <v>36.307454707974074</v>
      </c>
      <c r="X344" s="4">
        <f t="shared" si="122"/>
        <v>16.546260381983938</v>
      </c>
      <c r="Y344" s="3">
        <f t="shared" si="123"/>
        <v>148</v>
      </c>
      <c r="Z344" s="4">
        <f>IF('Raw Data'!O344="","",O343+N343)</f>
        <v>295.90000000000003</v>
      </c>
    </row>
    <row r="345" spans="1:26" x14ac:dyDescent="0.25">
      <c r="A345" t="str">
        <f>IF('Raw Data'!A345="","",'Raw Data'!A345)</f>
        <v>GO</v>
      </c>
      <c r="B345" t="str">
        <f>IF('Raw Data'!B345="","",'Raw Data'!B345)</f>
        <v>GP</v>
      </c>
      <c r="C345">
        <f>IF('Raw Data'!C345="","",'Raw Data'!C345)</f>
        <v>1</v>
      </c>
      <c r="D345">
        <f>IF('Raw Data'!D345="","",'Raw Data'!D345)</f>
        <v>0.2</v>
      </c>
      <c r="E345">
        <f>IF('Raw Data'!E345="","",'Raw Data'!E345)</f>
        <v>4</v>
      </c>
      <c r="F345">
        <f>IF('Raw Data'!F345="","",'Raw Data'!F345)</f>
        <v>3</v>
      </c>
      <c r="G345" s="7" t="str">
        <f>IF('Raw Data'!G345="/","-",IF('Raw Data'!G345="","-",SUBSTITUTE('Raw Data'!G345," ",":",1)))</f>
        <v>-</v>
      </c>
      <c r="H345" s="7" t="str">
        <f>IF('Raw Data'!H345="/","-",IF('Raw Data'!H345="","-",SUBSTITUTE('Raw Data'!H345," ",":",1)))</f>
        <v>273:00</v>
      </c>
      <c r="I345" s="7" t="str">
        <f>IF('Raw Data'!I345="/","-",IF('Raw Data'!I345="","-",SUBSTITUTE('Raw Data'!I345," ",":",1)))</f>
        <v>093:00</v>
      </c>
      <c r="J345" s="12">
        <f>IF('Raw Data'!J345="",IF(LEN(K345)&gt;6,SQRT('Raw Data'!M345^2+N345^2),""),'Raw Data'!J345)</f>
        <v>8.9</v>
      </c>
      <c r="K345" s="7" t="str">
        <f>IF('Raw Data'!K345="","",IF(LEN('Raw Data'!K345)&lt;7,SUBSTITUTE('Raw Data'!K345," ",":",1),'Raw Data'!K345))</f>
        <v>20:00</v>
      </c>
      <c r="L345" t="str">
        <f>IF('Raw Data'!L345="","",'Raw Data'!L345)</f>
        <v/>
      </c>
      <c r="M345">
        <f>IF('Raw Data'!M345="","",'Raw Data'!M345)</f>
        <v>8.4</v>
      </c>
      <c r="N345">
        <f>IF('Raw Data'!N345="","",IF('Raw Data'!N345="-",0,'Raw Data'!N345))</f>
        <v>3</v>
      </c>
      <c r="O345">
        <f>IF('Raw Data'!O345="",IF('Raw Data'!N345="","",0),'Raw Data'!O345)</f>
        <v>312.5</v>
      </c>
      <c r="P345" t="str">
        <f>IF('Raw Data'!P345="","",'Raw Data'!P345)</f>
        <v>Sketch marks GP as 'stream on stalagmite'</v>
      </c>
      <c r="R345" s="3" t="str">
        <f t="shared" si="118"/>
        <v>-</v>
      </c>
      <c r="S345" s="3">
        <f t="shared" si="119"/>
        <v>273</v>
      </c>
      <c r="T345" s="3">
        <f t="shared" si="120"/>
        <v>93</v>
      </c>
      <c r="U345" s="3">
        <f t="shared" si="129"/>
        <v>20</v>
      </c>
      <c r="W345" s="4">
        <f t="shared" si="121"/>
        <v>8.3632643249945851</v>
      </c>
      <c r="X345" s="4">
        <f t="shared" si="122"/>
        <v>3.0439792755984518</v>
      </c>
      <c r="Y345" s="3">
        <f t="shared" si="123"/>
        <v>93</v>
      </c>
      <c r="Z345" s="4">
        <f>IF('Raw Data'!O345="","",O344+N344)</f>
        <v>312.5</v>
      </c>
    </row>
    <row r="346" spans="1:26" x14ac:dyDescent="0.25">
      <c r="A346" t="str">
        <f>IF('Raw Data'!A346="","",'Raw Data'!A346)</f>
        <v>GP</v>
      </c>
      <c r="B346" t="str">
        <f>IF('Raw Data'!B346="","",'Raw Data'!B346)</f>
        <v>GQ</v>
      </c>
      <c r="C346">
        <f>IF('Raw Data'!C346="","",'Raw Data'!C346)</f>
        <v>1</v>
      </c>
      <c r="D346">
        <f>IF('Raw Data'!D346="","",'Raw Data'!D346)</f>
        <v>3</v>
      </c>
      <c r="E346">
        <f>IF('Raw Data'!E346="","",'Raw Data'!E346)</f>
        <v>3</v>
      </c>
      <c r="F346">
        <f>IF('Raw Data'!F346="","",'Raw Data'!F346)</f>
        <v>7</v>
      </c>
      <c r="G346" s="7" t="str">
        <f>IF('Raw Data'!G346="/","-",IF('Raw Data'!G346="","-",SUBSTITUTE('Raw Data'!G346," ",":",1)))</f>
        <v>121:10</v>
      </c>
      <c r="H346" s="7" t="str">
        <f>IF('Raw Data'!H346="/","-",IF('Raw Data'!H346="","-",SUBSTITUTE('Raw Data'!H346," ",":",1)))</f>
        <v>-</v>
      </c>
      <c r="I346" s="7" t="str">
        <f>IF('Raw Data'!I346="/","-",IF('Raw Data'!I346="","-",SUBSTITUTE('Raw Data'!I346," ",":",1)))</f>
        <v>121:10</v>
      </c>
      <c r="J346" s="12">
        <f>IF('Raw Data'!J346="",IF(LEN(K346)&gt;6,SQRT('Raw Data'!M346^2+N346^2),""),'Raw Data'!J346)</f>
        <v>27.7</v>
      </c>
      <c r="K346" s="7" t="str">
        <f>IF('Raw Data'!K346="","",IF(LEN('Raw Data'!K346)&lt;7,SUBSTITUTE('Raw Data'!K346," ",":",1),'Raw Data'!K346))</f>
        <v>15:00</v>
      </c>
      <c r="L346" t="str">
        <f>IF('Raw Data'!L346="","",'Raw Data'!L346)</f>
        <v/>
      </c>
      <c r="M346">
        <f>IF('Raw Data'!M346="","",'Raw Data'!M346)</f>
        <v>26.8</v>
      </c>
      <c r="N346">
        <f>IF('Raw Data'!N346="","",IF('Raw Data'!N346="-",0,'Raw Data'!N346))</f>
        <v>7.2</v>
      </c>
      <c r="O346">
        <f>IF('Raw Data'!O346="",IF('Raw Data'!N346="","",0),'Raw Data'!O346)</f>
        <v>315.5</v>
      </c>
      <c r="P346" t="str">
        <f>IF('Raw Data'!P346="","",'Raw Data'!P346)</f>
        <v>Sketch marks GQ as 'on boss'</v>
      </c>
      <c r="R346" s="3">
        <f t="shared" si="118"/>
        <v>121.16666666666667</v>
      </c>
      <c r="S346" s="3" t="str">
        <f t="shared" si="119"/>
        <v>-</v>
      </c>
      <c r="T346" s="3">
        <f t="shared" si="120"/>
        <v>121.16666666666667</v>
      </c>
      <c r="U346" s="3">
        <f t="shared" si="129"/>
        <v>15</v>
      </c>
      <c r="W346" s="4">
        <f t="shared" si="121"/>
        <v>26.756145388207191</v>
      </c>
      <c r="X346" s="4">
        <f t="shared" si="122"/>
        <v>7.169287549339824</v>
      </c>
      <c r="Y346" s="3">
        <f t="shared" si="123"/>
        <v>121.16666666666667</v>
      </c>
      <c r="Z346" s="4">
        <f>IF('Raw Data'!O346="","",O345+N345)</f>
        <v>315.5</v>
      </c>
    </row>
    <row r="347" spans="1:26" x14ac:dyDescent="0.25">
      <c r="A347" t="str">
        <f>IF('Raw Data'!A347="","",'Raw Data'!A347)</f>
        <v>GQ</v>
      </c>
      <c r="B347" t="str">
        <f>IF('Raw Data'!B347="","",'Raw Data'!B347)</f>
        <v>GR</v>
      </c>
      <c r="C347">
        <f>IF('Raw Data'!C347="","",'Raw Data'!C347)</f>
        <v>2</v>
      </c>
      <c r="D347">
        <f>IF('Raw Data'!D347="","",'Raw Data'!D347)</f>
        <v>2</v>
      </c>
      <c r="E347">
        <f>IF('Raw Data'!E347="","",'Raw Data'!E347)</f>
        <v>3.5</v>
      </c>
      <c r="F347">
        <f>IF('Raw Data'!F347="","",'Raw Data'!F347)</f>
        <v>1</v>
      </c>
      <c r="G347" s="7" t="str">
        <f>IF('Raw Data'!G347="/","-",IF('Raw Data'!G347="","-",SUBSTITUTE('Raw Data'!G347," ",":",1)))</f>
        <v>092:30</v>
      </c>
      <c r="H347" s="7" t="str">
        <f>IF('Raw Data'!H347="/","-",IF('Raw Data'!H347="","-",SUBSTITUTE('Raw Data'!H347," ",":",1)))</f>
        <v>-</v>
      </c>
      <c r="I347" s="7" t="str">
        <f>IF('Raw Data'!I347="/","-",IF('Raw Data'!I347="","-",SUBSTITUTE('Raw Data'!I347," ",":",1)))</f>
        <v>092:30</v>
      </c>
      <c r="J347" s="12">
        <f>IF('Raw Data'!J347="",IF(LEN(K347)&gt;6,SQRT('Raw Data'!M347^2+N347^2),""),'Raw Data'!J347)</f>
        <v>9.8000000000000007</v>
      </c>
      <c r="K347" s="7" t="str">
        <f>IF('Raw Data'!K347="","",IF(LEN('Raw Data'!K347)&lt;7,SUBSTITUTE('Raw Data'!K347," ",":",1),'Raw Data'!K347))</f>
        <v>19:30</v>
      </c>
      <c r="L347" t="str">
        <f>IF('Raw Data'!L347="","",'Raw Data'!L347)</f>
        <v/>
      </c>
      <c r="M347">
        <f>IF('Raw Data'!M347="","",'Raw Data'!M347)</f>
        <v>9.3000000000000007</v>
      </c>
      <c r="N347">
        <f>IF('Raw Data'!N347="","",IF('Raw Data'!N347="-",0,'Raw Data'!N347))</f>
        <v>3.3</v>
      </c>
      <c r="O347">
        <f>IF('Raw Data'!O347="",IF('Raw Data'!N347="","",0),'Raw Data'!O347)</f>
        <v>322.7</v>
      </c>
      <c r="P347" t="str">
        <f>IF('Raw Data'!P347="","",'Raw Data'!P347)</f>
        <v/>
      </c>
      <c r="R347" s="3">
        <f t="shared" si="118"/>
        <v>92.5</v>
      </c>
      <c r="S347" s="3" t="str">
        <f t="shared" si="119"/>
        <v>-</v>
      </c>
      <c r="T347" s="3">
        <f t="shared" si="120"/>
        <v>92.5</v>
      </c>
      <c r="U347" s="3">
        <f t="shared" si="129"/>
        <v>19.5</v>
      </c>
      <c r="W347" s="4">
        <f t="shared" si="121"/>
        <v>9.237886612703349</v>
      </c>
      <c r="X347" s="4">
        <f t="shared" si="122"/>
        <v>3.271307220490955</v>
      </c>
      <c r="Y347" s="3">
        <f t="shared" si="123"/>
        <v>92.5</v>
      </c>
      <c r="Z347" s="4">
        <f>IF('Raw Data'!O347="","",O346+N346)</f>
        <v>322.7</v>
      </c>
    </row>
    <row r="348" spans="1:26" x14ac:dyDescent="0.25">
      <c r="A348" t="str">
        <f>IF('Raw Data'!A348="","",'Raw Data'!A348)</f>
        <v>GR</v>
      </c>
      <c r="B348" t="str">
        <f>IF('Raw Data'!B348="","",'Raw Data'!B348)</f>
        <v/>
      </c>
      <c r="C348">
        <f>IF('Raw Data'!C348="","",'Raw Data'!C348)</f>
        <v>1</v>
      </c>
      <c r="D348">
        <f>IF('Raw Data'!D348="","",'Raw Data'!D348)</f>
        <v>2</v>
      </c>
      <c r="E348">
        <f>IF('Raw Data'!E348="","",'Raw Data'!E348)</f>
        <v>1.7</v>
      </c>
      <c r="F348">
        <f>IF('Raw Data'!F348="","",'Raw Data'!F348)</f>
        <v>0.5</v>
      </c>
      <c r="G348" s="7" t="str">
        <f>IF('Raw Data'!G348="/","-",IF('Raw Data'!G348="","-",SUBSTITUTE('Raw Data'!G348," ",":",1)))</f>
        <v>-</v>
      </c>
      <c r="H348" s="7" t="str">
        <f>IF('Raw Data'!H348="/","-",IF('Raw Data'!H348="","-",SUBSTITUTE('Raw Data'!H348," ",":",1)))</f>
        <v>-</v>
      </c>
      <c r="I348" s="7" t="str">
        <f>IF('Raw Data'!I348="/","-",IF('Raw Data'!I348="","-",SUBSTITUTE('Raw Data'!I348," ",":",1)))</f>
        <v>-</v>
      </c>
      <c r="J348" s="12" t="str">
        <f>IF('Raw Data'!J348="",IF(LEN(K348)&gt;6,SQRT('Raw Data'!M348^2+N348^2),""),'Raw Data'!J348)</f>
        <v/>
      </c>
      <c r="K348" s="7" t="str">
        <f>IF('Raw Data'!K348="","",IF(LEN('Raw Data'!K348)&lt;7,SUBSTITUTE('Raw Data'!K348," ",":",1),'Raw Data'!K348))</f>
        <v/>
      </c>
      <c r="L348" t="str">
        <f>IF('Raw Data'!L348="","",'Raw Data'!L348)</f>
        <v/>
      </c>
      <c r="M348" t="str">
        <f>IF('Raw Data'!M348="","",'Raw Data'!M348)</f>
        <v/>
      </c>
      <c r="N348" t="str">
        <f>IF('Raw Data'!N348="","",IF('Raw Data'!N348="-",0,'Raw Data'!N348))</f>
        <v/>
      </c>
      <c r="O348">
        <f>IF('Raw Data'!O348="",IF('Raw Data'!N348="","",0),'Raw Data'!O348)</f>
        <v>325.89999999999998</v>
      </c>
      <c r="P348" t="str">
        <f>IF('Raw Data'!P348="","",'Raw Data'!P348)</f>
        <v>Vert error 0.1' in 670' = 0.015%!</v>
      </c>
      <c r="U348" s="3" t="e">
        <f t="shared" si="129"/>
        <v>#VALUE!</v>
      </c>
      <c r="W348" s="4"/>
      <c r="X348" s="4"/>
      <c r="Y348" s="3"/>
      <c r="Z348" s="4">
        <f>IF('Raw Data'!O348="","",O347+N347)</f>
        <v>326</v>
      </c>
    </row>
    <row r="349" spans="1:26" x14ac:dyDescent="0.25">
      <c r="A349" t="str">
        <f>IF('Raw Data'!A349="","",'Raw Data'!A349)</f>
        <v/>
      </c>
      <c r="B349" t="str">
        <f>IF('Raw Data'!B349="","",'Raw Data'!B349)</f>
        <v/>
      </c>
      <c r="C349" t="str">
        <f>IF('Raw Data'!C349="","",'Raw Data'!C349)</f>
        <v/>
      </c>
      <c r="D349" t="str">
        <f>IF('Raw Data'!D349="","",'Raw Data'!D349)</f>
        <v/>
      </c>
      <c r="E349" t="str">
        <f>IF('Raw Data'!E349="","",'Raw Data'!E349)</f>
        <v/>
      </c>
      <c r="F349" t="str">
        <f>IF('Raw Data'!F349="","",'Raw Data'!F349)</f>
        <v/>
      </c>
      <c r="G349" s="7" t="str">
        <f>IF('Raw Data'!G349="/","-",IF('Raw Data'!G349="","-",SUBSTITUTE('Raw Data'!G349," ",":",1)))</f>
        <v>-</v>
      </c>
      <c r="H349" s="7" t="str">
        <f>IF('Raw Data'!H349="/","-",IF('Raw Data'!H349="","-",SUBSTITUTE('Raw Data'!H349," ",":",1)))</f>
        <v>-</v>
      </c>
      <c r="I349" s="7" t="str">
        <f>IF('Raw Data'!I349="/","-",IF('Raw Data'!I349="","-",SUBSTITUTE('Raw Data'!I349," ",":",1)))</f>
        <v>-</v>
      </c>
      <c r="J349" s="12" t="str">
        <f>IF('Raw Data'!J349="",IF(LEN(K349)&gt;6,SQRT('Raw Data'!M349^2+N349^2),""),'Raw Data'!J349)</f>
        <v/>
      </c>
      <c r="K349" s="7" t="str">
        <f>IF('Raw Data'!K349="","",IF(LEN('Raw Data'!K349)&lt;7,SUBSTITUTE('Raw Data'!K349," ",":",1),'Raw Data'!K349))</f>
        <v/>
      </c>
      <c r="L349" t="str">
        <f>IF('Raw Data'!L349="","",'Raw Data'!L349)</f>
        <v/>
      </c>
      <c r="M349" t="str">
        <f>IF('Raw Data'!M349="","",'Raw Data'!M349)</f>
        <v/>
      </c>
      <c r="N349" t="str">
        <f>IF('Raw Data'!N349="","",IF('Raw Data'!N349="-",0,'Raw Data'!N349))</f>
        <v/>
      </c>
      <c r="O349" t="str">
        <f>IF('Raw Data'!O349="",IF('Raw Data'!N349="","",0),'Raw Data'!O349)</f>
        <v/>
      </c>
      <c r="P349" t="str">
        <f>IF('Raw Data'!P349="","",'Raw Data'!P349)</f>
        <v>Totals (unclear in scan)(7,005'?) then (7445'?)</v>
      </c>
      <c r="U349" s="3" t="e">
        <f t="shared" si="129"/>
        <v>#VALUE!</v>
      </c>
      <c r="W349" s="4"/>
      <c r="X349" s="4"/>
      <c r="Y349" s="3"/>
      <c r="Z349" s="4" t="str">
        <f>IF('Raw Data'!O349="","",O348+N348)</f>
        <v/>
      </c>
    </row>
    <row r="350" spans="1:26" x14ac:dyDescent="0.25">
      <c r="A350" t="str">
        <f>IF('Raw Data'!A350="","",'Raw Data'!A350)</f>
        <v>August 30th 1953</v>
      </c>
      <c r="B350" t="str">
        <f>IF('Raw Data'!B350="","",'Raw Data'!B350)</f>
        <v/>
      </c>
      <c r="C350" t="str">
        <f>IF('Raw Data'!C350="","",'Raw Data'!C350)</f>
        <v>Name Too faint to read. 'Black?' hole to 'Paradise?'. Sketch contains 'Calcutta' at  start and 'Sore Knees Creep' near the end.</v>
      </c>
      <c r="D350" t="str">
        <f>IF('Raw Data'!D350="","",'Raw Data'!D350)</f>
        <v/>
      </c>
      <c r="E350" t="str">
        <f>IF('Raw Data'!E350="","",'Raw Data'!E350)</f>
        <v/>
      </c>
      <c r="F350" t="str">
        <f>IF('Raw Data'!F350="","",'Raw Data'!F350)</f>
        <v/>
      </c>
      <c r="G350" s="7" t="str">
        <f>IF('Raw Data'!G350="/","-",IF('Raw Data'!G350="","-",SUBSTITUTE('Raw Data'!G350," ",":",1)))</f>
        <v>-</v>
      </c>
      <c r="H350" s="7" t="str">
        <f>IF('Raw Data'!H350="/","-",IF('Raw Data'!H350="","-",SUBSTITUTE('Raw Data'!H350," ",":",1)))</f>
        <v>-</v>
      </c>
      <c r="I350" s="7" t="str">
        <f>IF('Raw Data'!I350="/","-",IF('Raw Data'!I350="","-",SUBSTITUTE('Raw Data'!I350," ",":",1)))</f>
        <v>-</v>
      </c>
      <c r="J350" s="12" t="str">
        <f>IF('Raw Data'!J350="",IF(LEN(K350)&gt;6,SQRT('Raw Data'!M350^2+N350^2),""),'Raw Data'!J350)</f>
        <v/>
      </c>
      <c r="K350" s="7" t="str">
        <f>IF('Raw Data'!K350="","",IF(LEN('Raw Data'!K350)&lt;7,SUBSTITUTE('Raw Data'!K350," ",":",1),'Raw Data'!K350))</f>
        <v/>
      </c>
      <c r="L350" t="str">
        <f>IF('Raw Data'!L350="","",'Raw Data'!L350)</f>
        <v/>
      </c>
      <c r="M350" t="str">
        <f>IF('Raw Data'!M350="","",'Raw Data'!M350)</f>
        <v/>
      </c>
      <c r="N350" t="str">
        <f>IF('Raw Data'!N350="","",IF('Raw Data'!N350="-",0,'Raw Data'!N350))</f>
        <v/>
      </c>
      <c r="O350" t="str">
        <f>IF('Raw Data'!O350="",IF('Raw Data'!N350="","",0),'Raw Data'!O350)</f>
        <v/>
      </c>
      <c r="P350" t="str">
        <f>IF('Raw Data'!P350="","",'Raw Data'!P350)</f>
        <v/>
      </c>
      <c r="U350" s="3" t="e">
        <f t="shared" si="129"/>
        <v>#VALUE!</v>
      </c>
      <c r="W350" s="4"/>
      <c r="X350" s="4"/>
      <c r="Y350" s="3"/>
      <c r="Z350" s="4" t="str">
        <f>IF('Raw Data'!O350="","",O349+N349)</f>
        <v/>
      </c>
    </row>
    <row r="351" spans="1:26" x14ac:dyDescent="0.25">
      <c r="A351">
        <f>IF('Raw Data'!A351="","",'Raw Data'!A351)</f>
        <v>46</v>
      </c>
      <c r="B351">
        <f>IF('Raw Data'!B351="","",'Raw Data'!B351)</f>
        <v>60</v>
      </c>
      <c r="C351" t="str">
        <f>IF('Raw Data'!C351="","",'Raw Data'!C351)</f>
        <v>/</v>
      </c>
      <c r="D351" t="str">
        <f>IF('Raw Data'!D351="","",'Raw Data'!D351)</f>
        <v>/</v>
      </c>
      <c r="E351" t="str">
        <f>IF('Raw Data'!E351="","",'Raw Data'!E351)</f>
        <v>/</v>
      </c>
      <c r="F351" t="str">
        <f>IF('Raw Data'!F351="","",'Raw Data'!F351)</f>
        <v>/</v>
      </c>
      <c r="G351" s="7" t="str">
        <f>IF('Raw Data'!G351="/","-",IF('Raw Data'!G351="","-",SUBSTITUTE('Raw Data'!G351," ",":",1)))</f>
        <v>-</v>
      </c>
      <c r="H351" s="7" t="str">
        <f>IF('Raw Data'!H351="/","-",IF('Raw Data'!H351="","-",SUBSTITUTE('Raw Data'!H351," ",":",1)))</f>
        <v>195:00</v>
      </c>
      <c r="I351" s="7" t="str">
        <f>IF('Raw Data'!I351="/","-",IF('Raw Data'!I351="","-",SUBSTITUTE('Raw Data'!I351," ",":",1)))</f>
        <v>015:00</v>
      </c>
      <c r="J351" s="12">
        <f>IF('Raw Data'!J351="",IF(LEN(K351)&gt;6,SQRT('Raw Data'!M351^2+N351^2),""),'Raw Data'!J351)</f>
        <v>34.299999999999997</v>
      </c>
      <c r="K351" s="7" t="str">
        <f>IF('Raw Data'!K351="","",IF(LEN('Raw Data'!K351)&lt;7,SUBSTITUTE('Raw Data'!K351," ",":",1),'Raw Data'!K351))</f>
        <v>13:00</v>
      </c>
      <c r="L351" t="str">
        <f>IF('Raw Data'!L351="","",'Raw Data'!L351)</f>
        <v/>
      </c>
      <c r="M351">
        <f>IF('Raw Data'!M351="","",'Raw Data'!M351)</f>
        <v>33.4</v>
      </c>
      <c r="N351">
        <f>IF('Raw Data'!N351="","",IF('Raw Data'!N351="-",0,'Raw Data'!N351))</f>
        <v>7.7</v>
      </c>
      <c r="O351">
        <f>IF('Raw Data'!O351="",IF('Raw Data'!N351="","",0),'Raw Data'!O351)</f>
        <v>95.6</v>
      </c>
      <c r="P351" t="str">
        <f>IF('Raw Data'!P351="","",'Raw Data'!P351)</f>
        <v/>
      </c>
      <c r="R351" s="3" t="str">
        <f t="shared" si="118"/>
        <v>-</v>
      </c>
      <c r="S351" s="3">
        <f t="shared" si="119"/>
        <v>195</v>
      </c>
      <c r="T351" s="3">
        <f t="shared" si="120"/>
        <v>15</v>
      </c>
      <c r="U351" s="3">
        <f t="shared" si="129"/>
        <v>13</v>
      </c>
      <c r="W351" s="4">
        <f t="shared" si="121"/>
        <v>33.420893222133564</v>
      </c>
      <c r="X351" s="4">
        <f t="shared" si="122"/>
        <v>7.7158211639945691</v>
      </c>
      <c r="Y351" s="3">
        <f t="shared" si="123"/>
        <v>15</v>
      </c>
      <c r="Z351" s="4">
        <f>IF('Raw Data'!O351="","",O133+N133)</f>
        <v>95.5</v>
      </c>
    </row>
    <row r="352" spans="1:26" x14ac:dyDescent="0.25">
      <c r="A352">
        <f>IF('Raw Data'!A352="","",'Raw Data'!A352)</f>
        <v>60</v>
      </c>
      <c r="B352">
        <f>IF('Raw Data'!B352="","",'Raw Data'!B352)</f>
        <v>61</v>
      </c>
      <c r="C352">
        <f>IF('Raw Data'!C352="","",'Raw Data'!C352)</f>
        <v>10</v>
      </c>
      <c r="D352">
        <f>IF('Raw Data'!D352="","",'Raw Data'!D352)</f>
        <v>8</v>
      </c>
      <c r="E352">
        <f>IF('Raw Data'!E352="","",'Raw Data'!E352)</f>
        <v>2</v>
      </c>
      <c r="F352">
        <f>IF('Raw Data'!F352="","",'Raw Data'!F352)</f>
        <v>8</v>
      </c>
      <c r="G352" s="7" t="str">
        <f>IF('Raw Data'!G352="/","-",IF('Raw Data'!G352="","-",SUBSTITUTE('Raw Data'!G352," ",":",1)))</f>
        <v>133:30</v>
      </c>
      <c r="H352" s="7" t="str">
        <f>IF('Raw Data'!H352="/","-",IF('Raw Data'!H352="","-",SUBSTITUTE('Raw Data'!H352," ",":",1)))</f>
        <v>-</v>
      </c>
      <c r="I352" s="7" t="str">
        <f>IF('Raw Data'!I352="/","-",IF('Raw Data'!I352="","-",SUBSTITUTE('Raw Data'!I352," ",":",1)))</f>
        <v>133:30</v>
      </c>
      <c r="J352" s="12">
        <f>IF('Raw Data'!J352="",IF(LEN(K352)&gt;6,SQRT('Raw Data'!M352^2+N352^2),""),'Raw Data'!J352)</f>
        <v>41.8</v>
      </c>
      <c r="K352" s="7" t="str">
        <f>IF('Raw Data'!K352="","",IF(LEN('Raw Data'!K352)&lt;7,SUBSTITUTE('Raw Data'!K352," ",":",1),'Raw Data'!K352))</f>
        <v>3:30</v>
      </c>
      <c r="L352" t="str">
        <f>IF('Raw Data'!L352="","",'Raw Data'!L352)</f>
        <v/>
      </c>
      <c r="M352">
        <f>IF('Raw Data'!M352="","",'Raw Data'!M352)</f>
        <v>41.6</v>
      </c>
      <c r="N352">
        <f>IF('Raw Data'!N352="","",IF('Raw Data'!N352="-",0,'Raw Data'!N352))</f>
        <v>2.6</v>
      </c>
      <c r="O352">
        <f>IF('Raw Data'!O352="",IF('Raw Data'!N352="","",0),'Raw Data'!O352)</f>
        <v>103.3</v>
      </c>
      <c r="P352" t="str">
        <f>IF('Raw Data'!P352="","",'Raw Data'!P352)</f>
        <v/>
      </c>
      <c r="R352" s="3">
        <f t="shared" si="118"/>
        <v>133.5</v>
      </c>
      <c r="S352" s="3" t="str">
        <f t="shared" si="119"/>
        <v>-</v>
      </c>
      <c r="T352" s="3">
        <f t="shared" si="120"/>
        <v>133.5</v>
      </c>
      <c r="U352" s="3">
        <f t="shared" si="129"/>
        <v>3.5</v>
      </c>
      <c r="W352" s="4">
        <f t="shared" si="121"/>
        <v>41.722034574034033</v>
      </c>
      <c r="X352" s="4">
        <f t="shared" si="122"/>
        <v>2.5518289525570172</v>
      </c>
      <c r="Y352" s="3">
        <f t="shared" si="123"/>
        <v>133.5</v>
      </c>
      <c r="Z352" s="4">
        <f>IF('Raw Data'!O352="","",O351+N351)</f>
        <v>103.3</v>
      </c>
    </row>
    <row r="353" spans="1:27" x14ac:dyDescent="0.25">
      <c r="A353">
        <f>IF('Raw Data'!A353="","",'Raw Data'!A353)</f>
        <v>61</v>
      </c>
      <c r="B353">
        <f>IF('Raw Data'!B353="","",'Raw Data'!B353)</f>
        <v>62</v>
      </c>
      <c r="C353">
        <f>IF('Raw Data'!C353="","",'Raw Data'!C353)</f>
        <v>8</v>
      </c>
      <c r="D353">
        <f>IF('Raw Data'!D353="","",'Raw Data'!D353)</f>
        <v>6</v>
      </c>
      <c r="E353" t="str">
        <f>IF('Raw Data'!E353="","",'Raw Data'!E353)</f>
        <v>-</v>
      </c>
      <c r="F353">
        <f>IF('Raw Data'!F353="","",'Raw Data'!F353)</f>
        <v>3</v>
      </c>
      <c r="G353" s="7" t="str">
        <f>IF('Raw Data'!G353="/","-",IF('Raw Data'!G353="","-",SUBSTITUTE('Raw Data'!G353," ",":",1)))</f>
        <v>-</v>
      </c>
      <c r="H353" s="7" t="str">
        <f>IF('Raw Data'!H353="/","-",IF('Raw Data'!H353="","-",SUBSTITUTE('Raw Data'!H353," ",":",1)))</f>
        <v>192:30</v>
      </c>
      <c r="I353" s="7" t="str">
        <f>IF('Raw Data'!I353="/","-",IF('Raw Data'!I353="","-",SUBSTITUTE('Raw Data'!I353," ",":",1)))</f>
        <v>012:30</v>
      </c>
      <c r="J353" s="12">
        <f>IF('Raw Data'!J353="",IF(LEN(K353)&gt;6,SQRT('Raw Data'!M353^2+N353^2),""),'Raw Data'!J353)</f>
        <v>22.9</v>
      </c>
      <c r="K353" s="7" t="str">
        <f>IF('Raw Data'!K353="","",IF(LEN('Raw Data'!K353)&lt;7,SUBSTITUTE('Raw Data'!K353," ",":",1),'Raw Data'!K353))</f>
        <v>6:00</v>
      </c>
      <c r="L353" t="str">
        <f>IF('Raw Data'!L353="","",'Raw Data'!L353)</f>
        <v/>
      </c>
      <c r="M353">
        <f>IF('Raw Data'!M353="","",'Raw Data'!M353)</f>
        <v>22.7</v>
      </c>
      <c r="N353">
        <f>IF('Raw Data'!N353="","",IF('Raw Data'!N353="-",0,'Raw Data'!N353))</f>
        <v>2.4</v>
      </c>
      <c r="O353">
        <f>IF('Raw Data'!O353="",IF('Raw Data'!N353="","",0),'Raw Data'!O353)</f>
        <v>105.9</v>
      </c>
      <c r="P353" t="str">
        <f>IF('Raw Data'!P353="","",'Raw Data'!P353)</f>
        <v/>
      </c>
      <c r="R353" s="3" t="str">
        <f t="shared" ref="R353:R387" si="130">IF(ISERROR(FIND(":",G353)),IF(G353&lt;&gt;"-",1*G353,G353),1*LEFT(G353,FIND(":",G353)-1)+RIGHT(G353,LEN(G353)-FIND(":",G353))/60)</f>
        <v>-</v>
      </c>
      <c r="S353" s="3">
        <f t="shared" ref="S353:S387" si="131">IF(ISERROR(FIND(":",H353)),IF(H353&lt;&gt;"-",1*H353,H353),1*LEFT(H353,FIND(":",H353)-1)+RIGHT(H353,LEN(H353)-FIND(":",H353))/60)</f>
        <v>192.5</v>
      </c>
      <c r="T353" s="3">
        <f t="shared" ref="T353:T387" si="132">IF(ISERROR(FIND(":",I353)),IF(I353&lt;&gt;"-",1*I353,I353),1*LEFT(I353,FIND(":",I353)-1)+RIGHT(I353,LEN(I353)-FIND(":",I353))/60)</f>
        <v>12.5</v>
      </c>
      <c r="U353" s="3">
        <f t="shared" si="129"/>
        <v>6</v>
      </c>
      <c r="W353" s="4">
        <f t="shared" ref="W353:W387" si="133">J353*COS(U353*PI()/180)</f>
        <v>22.774551403933458</v>
      </c>
      <c r="X353" s="4">
        <f t="shared" ref="X353:X387" si="134">J353*SIN(U353*PI()/180)</f>
        <v>2.3937018088292641</v>
      </c>
      <c r="Y353" s="3">
        <f t="shared" ref="Y353:Y387" si="135">IF(R353="-",IF(S353&gt;180,S353-180,S353+180),R353)</f>
        <v>12.5</v>
      </c>
      <c r="Z353" s="4">
        <f>IF('Raw Data'!O353="","",O352+N352)</f>
        <v>105.89999999999999</v>
      </c>
    </row>
    <row r="354" spans="1:27" x14ac:dyDescent="0.25">
      <c r="A354">
        <f>IF('Raw Data'!A354="","",'Raw Data'!A354)</f>
        <v>62</v>
      </c>
      <c r="B354">
        <f>IF('Raw Data'!B354="","",'Raw Data'!B354)</f>
        <v>63</v>
      </c>
      <c r="C354">
        <f>IF('Raw Data'!C354="","",'Raw Data'!C354)</f>
        <v>5</v>
      </c>
      <c r="D354">
        <f>IF('Raw Data'!D354="","",'Raw Data'!D354)</f>
        <v>7</v>
      </c>
      <c r="E354">
        <f>IF('Raw Data'!E354="","",'Raw Data'!E354)</f>
        <v>3</v>
      </c>
      <c r="F354">
        <f>IF('Raw Data'!F354="","",'Raw Data'!F354)</f>
        <v>1</v>
      </c>
      <c r="G354" s="7" t="str">
        <f>IF('Raw Data'!G354="/","-",IF('Raw Data'!G354="","-",SUBSTITUTE('Raw Data'!G354," ",":",1)))</f>
        <v>357:00</v>
      </c>
      <c r="H354" s="7" t="str">
        <f>IF('Raw Data'!H354="/","-",IF('Raw Data'!H354="","-",SUBSTITUTE('Raw Data'!H354," ",":",1)))</f>
        <v>-</v>
      </c>
      <c r="I354" s="7" t="str">
        <f>IF('Raw Data'!I354="/","-",IF('Raw Data'!I354="","-",SUBSTITUTE('Raw Data'!I354," ",":",1)))</f>
        <v>357:00</v>
      </c>
      <c r="J354" s="12">
        <f>IF('Raw Data'!J354="",IF(LEN(K354)&gt;6,SQRT('Raw Data'!M354^2+N354^2),""),'Raw Data'!J354)</f>
        <v>30.3</v>
      </c>
      <c r="K354" s="7" t="str">
        <f>IF('Raw Data'!K354="","",IF(LEN('Raw Data'!K354)&lt;7,SUBSTITUTE('Raw Data'!K354," ",":",1),'Raw Data'!K354))</f>
        <v>-5:00</v>
      </c>
      <c r="L354" t="str">
        <f>IF('Raw Data'!L354="","",'Raw Data'!L354)</f>
        <v/>
      </c>
      <c r="M354">
        <f>IF('Raw Data'!M354="","",'Raw Data'!M354)</f>
        <v>30</v>
      </c>
      <c r="N354">
        <f>IF('Raw Data'!N354="","",IF('Raw Data'!N354="-",0,'Raw Data'!N354))</f>
        <v>-2.6</v>
      </c>
      <c r="O354">
        <f>IF('Raw Data'!O354="",IF('Raw Data'!N354="","",0),'Raw Data'!O354)</f>
        <v>108.3</v>
      </c>
      <c r="P354" t="str">
        <f>IF('Raw Data'!P354="","",'Raw Data'!P354)</f>
        <v/>
      </c>
      <c r="R354" s="3">
        <f t="shared" si="130"/>
        <v>357</v>
      </c>
      <c r="S354" s="3" t="str">
        <f t="shared" si="131"/>
        <v>-</v>
      </c>
      <c r="T354" s="3">
        <f t="shared" si="132"/>
        <v>357</v>
      </c>
      <c r="U354" s="3">
        <f t="shared" si="129"/>
        <v>-5</v>
      </c>
      <c r="W354" s="4">
        <f t="shared" si="133"/>
        <v>30.184699352179891</v>
      </c>
      <c r="X354" s="4">
        <f t="shared" si="134"/>
        <v>-2.6408190052540426</v>
      </c>
      <c r="Y354" s="3">
        <f t="shared" si="135"/>
        <v>357</v>
      </c>
      <c r="Z354" s="4">
        <f>IF('Raw Data'!O354="","",O353+N353)</f>
        <v>108.30000000000001</v>
      </c>
      <c r="AA354" t="s">
        <v>900</v>
      </c>
    </row>
    <row r="355" spans="1:27" x14ac:dyDescent="0.25">
      <c r="A355">
        <f>IF('Raw Data'!A355="","",'Raw Data'!A355)</f>
        <v>63</v>
      </c>
      <c r="B355">
        <f>IF('Raw Data'!B355="","",'Raw Data'!B355)</f>
        <v>64</v>
      </c>
      <c r="C355">
        <f>IF('Raw Data'!C355="","",'Raw Data'!C355)</f>
        <v>8</v>
      </c>
      <c r="D355">
        <f>IF('Raw Data'!D355="","",'Raw Data'!D355)</f>
        <v>2</v>
      </c>
      <c r="E355" t="str">
        <f>IF('Raw Data'!E355="","",'Raw Data'!E355)</f>
        <v/>
      </c>
      <c r="F355">
        <f>IF('Raw Data'!F355="","",'Raw Data'!F355)</f>
        <v>2</v>
      </c>
      <c r="G355" s="7" t="str">
        <f>IF('Raw Data'!G355="/","-",IF('Raw Data'!G355="","-",SUBSTITUTE('Raw Data'!G355," ",":",1)))</f>
        <v>-</v>
      </c>
      <c r="H355" s="7" t="str">
        <f>IF('Raw Data'!H355="/","-",IF('Raw Data'!H355="","-",SUBSTITUTE('Raw Data'!H355," ",":",1)))</f>
        <v>203:00</v>
      </c>
      <c r="I355" s="7" t="str">
        <f>IF('Raw Data'!I355="/","-",IF('Raw Data'!I355="","-",SUBSTITUTE('Raw Data'!I355," ",":",1)))</f>
        <v>023:00</v>
      </c>
      <c r="J355" s="12">
        <f>IF('Raw Data'!J355="",IF(LEN(K355)&gt;6,SQRT('Raw Data'!M355^2+N355^2),""),'Raw Data'!J355)</f>
        <v>12.5</v>
      </c>
      <c r="K355" s="7" t="str">
        <f>IF('Raw Data'!K355="","",IF(LEN('Raw Data'!K355)&lt;7,SUBSTITUTE('Raw Data'!K355," ",":",1),'Raw Data'!K355))</f>
        <v>12:30</v>
      </c>
      <c r="L355" t="str">
        <f>IF('Raw Data'!L355="","",'Raw Data'!L355)</f>
        <v/>
      </c>
      <c r="M355">
        <f>IF('Raw Data'!M355="","",'Raw Data'!M355)</f>
        <v>12.2</v>
      </c>
      <c r="N355">
        <f>IF('Raw Data'!N355="","",IF('Raw Data'!N355="-",0,'Raw Data'!N355))</f>
        <v>2.7</v>
      </c>
      <c r="O355">
        <f>IF('Raw Data'!O355="",IF('Raw Data'!N355="","",0),'Raw Data'!O355)</f>
        <v>105.7</v>
      </c>
      <c r="P355" t="str">
        <f>IF('Raw Data'!P355="","",'Raw Data'!P355)</f>
        <v/>
      </c>
      <c r="R355" s="3" t="str">
        <f t="shared" si="130"/>
        <v>-</v>
      </c>
      <c r="S355" s="3">
        <f t="shared" si="131"/>
        <v>203</v>
      </c>
      <c r="T355" s="3">
        <f t="shared" si="132"/>
        <v>23</v>
      </c>
      <c r="U355" s="3">
        <f t="shared" si="129"/>
        <v>12.5</v>
      </c>
      <c r="W355" s="4">
        <f t="shared" si="133"/>
        <v>12.203700088999167</v>
      </c>
      <c r="X355" s="4">
        <f t="shared" si="134"/>
        <v>2.7054951742262858</v>
      </c>
      <c r="Y355" s="3">
        <f t="shared" si="135"/>
        <v>23</v>
      </c>
      <c r="Z355" s="4">
        <f>IF('Raw Data'!O355="","",O354+N354)</f>
        <v>105.7</v>
      </c>
    </row>
    <row r="356" spans="1:27" x14ac:dyDescent="0.25">
      <c r="A356">
        <f>IF('Raw Data'!A356="","",'Raw Data'!A356)</f>
        <v>64</v>
      </c>
      <c r="B356">
        <f>IF('Raw Data'!B356="","",'Raw Data'!B356)</f>
        <v>65</v>
      </c>
      <c r="C356">
        <f>IF('Raw Data'!C356="","",'Raw Data'!C356)</f>
        <v>10</v>
      </c>
      <c r="D356">
        <f>IF('Raw Data'!D356="","",'Raw Data'!D356)</f>
        <v>4</v>
      </c>
      <c r="E356">
        <f>IF('Raw Data'!E356="","",'Raw Data'!E356)</f>
        <v>3</v>
      </c>
      <c r="F356" t="str">
        <f>IF('Raw Data'!F356="","",'Raw Data'!F356)</f>
        <v>-</v>
      </c>
      <c r="G356" s="7" t="str">
        <f>IF('Raw Data'!G356="/","-",IF('Raw Data'!G356="","-",SUBSTITUTE('Raw Data'!G356," ",":",1)))</f>
        <v>-</v>
      </c>
      <c r="H356" s="7" t="str">
        <f>IF('Raw Data'!H356="/","-",IF('Raw Data'!H356="","-",SUBSTITUTE('Raw Data'!H356," ",":",1)))</f>
        <v>165:00</v>
      </c>
      <c r="I356" s="7" t="str">
        <f>IF('Raw Data'!I356="/","-",IF('Raw Data'!I356="","-",SUBSTITUTE('Raw Data'!I356," ",":",1)))</f>
        <v>345:00</v>
      </c>
      <c r="J356" s="12">
        <f>IF('Raw Data'!J356="",IF(LEN(K356)&gt;6,SQRT('Raw Data'!M356^2+N356^2),""),'Raw Data'!J356)</f>
        <v>15.7</v>
      </c>
      <c r="K356" s="7" t="str">
        <f>IF('Raw Data'!K356="","",IF(LEN('Raw Data'!K356)&lt;7,SUBSTITUTE('Raw Data'!K356," ",":",1),'Raw Data'!K356))</f>
        <v>3:30</v>
      </c>
      <c r="L356" t="str">
        <f>IF('Raw Data'!L356="","",'Raw Data'!L356)</f>
        <v/>
      </c>
      <c r="M356">
        <f>IF('Raw Data'!M356="","",'Raw Data'!M356)</f>
        <v>15.6</v>
      </c>
      <c r="N356">
        <f>IF('Raw Data'!N356="","",IF('Raw Data'!N356="-",0,'Raw Data'!N356))</f>
        <v>1</v>
      </c>
      <c r="O356">
        <f>IF('Raw Data'!O356="",IF('Raw Data'!N356="","",0),'Raw Data'!O356)</f>
        <v>108.4</v>
      </c>
      <c r="P356" t="str">
        <f>IF('Raw Data'!P356="","",'Raw Data'!P356)</f>
        <v/>
      </c>
      <c r="R356" s="3" t="str">
        <f t="shared" si="130"/>
        <v>-</v>
      </c>
      <c r="S356" s="3">
        <f t="shared" si="131"/>
        <v>165</v>
      </c>
      <c r="T356" s="3">
        <f t="shared" si="132"/>
        <v>345</v>
      </c>
      <c r="U356" s="3">
        <f t="shared" si="129"/>
        <v>3.5</v>
      </c>
      <c r="W356" s="4">
        <f t="shared" si="133"/>
        <v>15.670716335223309</v>
      </c>
      <c r="X356" s="4">
        <f t="shared" si="134"/>
        <v>0.95846207069725287</v>
      </c>
      <c r="Y356" s="3">
        <f t="shared" si="135"/>
        <v>345</v>
      </c>
      <c r="Z356" s="4">
        <f>IF('Raw Data'!O356="","",O355+N355)</f>
        <v>108.4</v>
      </c>
    </row>
    <row r="357" spans="1:27" x14ac:dyDescent="0.25">
      <c r="A357">
        <f>IF('Raw Data'!A357="","",'Raw Data'!A357)</f>
        <v>65</v>
      </c>
      <c r="B357">
        <f>IF('Raw Data'!B357="","",'Raw Data'!B357)</f>
        <v>66</v>
      </c>
      <c r="C357" t="str">
        <f>IF('Raw Data'!C357="","",'Raw Data'!C357)</f>
        <v>3 and 12</v>
      </c>
      <c r="D357">
        <f>IF('Raw Data'!D357="","",'Raw Data'!D357)</f>
        <v>3</v>
      </c>
      <c r="E357">
        <f>IF('Raw Data'!E357="","",'Raw Data'!E357)</f>
        <v>2</v>
      </c>
      <c r="F357">
        <f>IF('Raw Data'!F357="","",'Raw Data'!F357)</f>
        <v>2</v>
      </c>
      <c r="G357" s="7" t="str">
        <f>IF('Raw Data'!G357="/","-",IF('Raw Data'!G357="","-",SUBSTITUTE('Raw Data'!G357," ",":",1)))</f>
        <v>006:30</v>
      </c>
      <c r="H357" s="7" t="str">
        <f>IF('Raw Data'!H357="/","-",IF('Raw Data'!H357="","-",SUBSTITUTE('Raw Data'!H357," ",":",1)))</f>
        <v>-</v>
      </c>
      <c r="I357" s="7" t="str">
        <f>IF('Raw Data'!I357="/","-",IF('Raw Data'!I357="","-",SUBSTITUTE('Raw Data'!I357," ",":",1)))</f>
        <v>006:30</v>
      </c>
      <c r="J357" s="12">
        <f>IF('Raw Data'!J357="",IF(LEN(K357)&gt;6,SQRT('Raw Data'!M357^2+N357^2),""),'Raw Data'!J357)</f>
        <v>19.3</v>
      </c>
      <c r="K357" s="7" t="str">
        <f>IF('Raw Data'!K357="","",IF(LEN('Raw Data'!K357)&lt;7,SUBSTITUTE('Raw Data'!K357," ",":",1),'Raw Data'!K357))</f>
        <v>13:30</v>
      </c>
      <c r="L357" t="str">
        <f>IF('Raw Data'!L357="","",'Raw Data'!L357)</f>
        <v/>
      </c>
      <c r="M357">
        <f>IF('Raw Data'!M357="","",'Raw Data'!M357)</f>
        <v>18.8</v>
      </c>
      <c r="N357">
        <f>IF('Raw Data'!N357="","",IF('Raw Data'!N357="-",0,'Raw Data'!N357))</f>
        <v>4.5</v>
      </c>
      <c r="O357">
        <f>IF('Raw Data'!O357="",IF('Raw Data'!N357="","",0),'Raw Data'!O357)</f>
        <v>109.4</v>
      </c>
      <c r="P357" t="str">
        <f>IF('Raw Data'!P357="","",'Raw Data'!P357)</f>
        <v/>
      </c>
      <c r="R357" s="3">
        <f t="shared" si="130"/>
        <v>6.5</v>
      </c>
      <c r="S357" s="3" t="str">
        <f t="shared" si="131"/>
        <v>-</v>
      </c>
      <c r="T357" s="3">
        <f t="shared" si="132"/>
        <v>6.5</v>
      </c>
      <c r="U357" s="3">
        <f t="shared" si="129"/>
        <v>13.5</v>
      </c>
      <c r="W357" s="4">
        <f t="shared" si="133"/>
        <v>18.766739463675158</v>
      </c>
      <c r="X357" s="4">
        <f t="shared" si="134"/>
        <v>4.5054955224189746</v>
      </c>
      <c r="Y357" s="3">
        <f t="shared" si="135"/>
        <v>6.5</v>
      </c>
      <c r="Z357" s="4">
        <f>IF('Raw Data'!O357="","",O356+N356)</f>
        <v>109.4</v>
      </c>
    </row>
    <row r="358" spans="1:27" x14ac:dyDescent="0.25">
      <c r="A358">
        <f>IF('Raw Data'!A358="","",'Raw Data'!A358)</f>
        <v>66</v>
      </c>
      <c r="B358">
        <f>IF('Raw Data'!B358="","",'Raw Data'!B358)</f>
        <v>67</v>
      </c>
      <c r="C358">
        <f>IF('Raw Data'!C358="","",'Raw Data'!C358)</f>
        <v>6</v>
      </c>
      <c r="D358">
        <f>IF('Raw Data'!D358="","",'Raw Data'!D358)</f>
        <v>4</v>
      </c>
      <c r="E358">
        <f>IF('Raw Data'!E358="","",'Raw Data'!E358)</f>
        <v>3</v>
      </c>
      <c r="F358">
        <f>IF('Raw Data'!F358="","",'Raw Data'!F358)</f>
        <v>4</v>
      </c>
      <c r="G358" s="7" t="str">
        <f>IF('Raw Data'!G358="/","-",IF('Raw Data'!G358="","-",SUBSTITUTE('Raw Data'!G358," ",":",1)))</f>
        <v>-</v>
      </c>
      <c r="H358" s="7" t="str">
        <f>IF('Raw Data'!H358="/","-",IF('Raw Data'!H358="","-",SUBSTITUTE('Raw Data'!H358," ",":",1)))</f>
        <v>180:00</v>
      </c>
      <c r="I358" s="7" t="str">
        <f>IF('Raw Data'!I358="/","-",IF('Raw Data'!I358="","-",SUBSTITUTE('Raw Data'!I358," ",":",1)))</f>
        <v>000:00</v>
      </c>
      <c r="J358" s="12">
        <f>IF('Raw Data'!J358="",IF(LEN(K358)&gt;6,SQRT('Raw Data'!M358^2+N358^2),""),'Raw Data'!J358)</f>
        <v>30.2</v>
      </c>
      <c r="K358" s="7" t="str">
        <f>IF('Raw Data'!K358="","",IF(LEN('Raw Data'!K358)&lt;7,SUBSTITUTE('Raw Data'!K358," ",":",1),'Raw Data'!K358))</f>
        <v>-1:00</v>
      </c>
      <c r="L358" t="str">
        <f>IF('Raw Data'!L358="","",'Raw Data'!L358)</f>
        <v/>
      </c>
      <c r="M358">
        <f>IF('Raw Data'!M358="","",'Raw Data'!M358)</f>
        <v>30.2</v>
      </c>
      <c r="N358">
        <f>IF('Raw Data'!N358="","",IF('Raw Data'!N358="-",0,'Raw Data'!N358))</f>
        <v>-0.5</v>
      </c>
      <c r="O358">
        <f>IF('Raw Data'!O358="",IF('Raw Data'!N358="","",0),'Raw Data'!O358)</f>
        <v>113.9</v>
      </c>
      <c r="P358" t="str">
        <f>IF('Raw Data'!P358="","",'Raw Data'!P358)</f>
        <v/>
      </c>
      <c r="R358" s="3" t="str">
        <f t="shared" si="130"/>
        <v>-</v>
      </c>
      <c r="S358" s="3">
        <f t="shared" si="131"/>
        <v>180</v>
      </c>
      <c r="T358" s="3">
        <f t="shared" si="132"/>
        <v>0</v>
      </c>
      <c r="U358" s="3">
        <f t="shared" si="129"/>
        <v>-1</v>
      </c>
      <c r="W358" s="4">
        <f t="shared" si="133"/>
        <v>30.195400393723016</v>
      </c>
      <c r="X358" s="4">
        <f t="shared" si="134"/>
        <v>-0.527062674405962</v>
      </c>
      <c r="Y358" s="3">
        <f t="shared" si="135"/>
        <v>360</v>
      </c>
      <c r="Z358" s="4">
        <f>IF('Raw Data'!O358="","",O357+N357)</f>
        <v>113.9</v>
      </c>
    </row>
    <row r="359" spans="1:27" x14ac:dyDescent="0.25">
      <c r="A359">
        <f>IF('Raw Data'!A359="","",'Raw Data'!A359)</f>
        <v>67</v>
      </c>
      <c r="B359">
        <f>IF('Raw Data'!B359="","",'Raw Data'!B359)</f>
        <v>68</v>
      </c>
      <c r="C359">
        <f>IF('Raw Data'!C359="","",'Raw Data'!C359)</f>
        <v>3</v>
      </c>
      <c r="D359">
        <f>IF('Raw Data'!D359="","",'Raw Data'!D359)</f>
        <v>2</v>
      </c>
      <c r="E359">
        <f>IF('Raw Data'!E359="","",'Raw Data'!E359)</f>
        <v>6</v>
      </c>
      <c r="F359">
        <f>IF('Raw Data'!F359="","",'Raw Data'!F359)</f>
        <v>4</v>
      </c>
      <c r="G359" s="7" t="str">
        <f>IF('Raw Data'!G359="/","-",IF('Raw Data'!G359="","-",SUBSTITUTE('Raw Data'!G359," ",":",1)))</f>
        <v>348:00</v>
      </c>
      <c r="H359" s="7" t="str">
        <f>IF('Raw Data'!H359="/","-",IF('Raw Data'!H359="","-",SUBSTITUTE('Raw Data'!H359," ",":",1)))</f>
        <v>-</v>
      </c>
      <c r="I359" s="7" t="str">
        <f>IF('Raw Data'!I359="/","-",IF('Raw Data'!I359="","-",SUBSTITUTE('Raw Data'!I359," ",":",1)))</f>
        <v>348:00</v>
      </c>
      <c r="J359" s="12">
        <f>IF('Raw Data'!J359="",IF(LEN(K359)&gt;6,SQRT('Raw Data'!M359^2+N359^2),""),'Raw Data'!J359)</f>
        <v>48.9</v>
      </c>
      <c r="K359" s="7" t="str">
        <f>IF('Raw Data'!K359="","",IF(LEN('Raw Data'!K359)&lt;7,SUBSTITUTE('Raw Data'!K359," ",":",1),'Raw Data'!K359))</f>
        <v>-4:00</v>
      </c>
      <c r="L359" t="str">
        <f>IF('Raw Data'!L359="","",'Raw Data'!L359)</f>
        <v/>
      </c>
      <c r="M359">
        <f>IF('Raw Data'!M359="","",'Raw Data'!M359)</f>
        <v>48.6</v>
      </c>
      <c r="N359">
        <f>IF('Raw Data'!N359="","",IF('Raw Data'!N359="-",0,'Raw Data'!N359))</f>
        <v>-3.4</v>
      </c>
      <c r="O359">
        <f>IF('Raw Data'!O359="",IF('Raw Data'!N359="","",0),'Raw Data'!O359)</f>
        <v>113.4</v>
      </c>
      <c r="P359" t="str">
        <f>IF('Raw Data'!P359="","",'Raw Data'!P359)</f>
        <v/>
      </c>
      <c r="R359" s="3">
        <f t="shared" si="130"/>
        <v>348</v>
      </c>
      <c r="S359" s="3" t="str">
        <f t="shared" si="131"/>
        <v>-</v>
      </c>
      <c r="T359" s="3">
        <f t="shared" si="132"/>
        <v>348</v>
      </c>
      <c r="U359" s="3">
        <f t="shared" si="129"/>
        <v>-4</v>
      </c>
      <c r="W359" s="4">
        <f t="shared" si="133"/>
        <v>48.780882057705405</v>
      </c>
      <c r="X359" s="4">
        <f t="shared" si="134"/>
        <v>-3.4110915660877272</v>
      </c>
      <c r="Y359" s="3">
        <f t="shared" si="135"/>
        <v>348</v>
      </c>
      <c r="Z359" s="4">
        <f>IF('Raw Data'!O359="","",O358+N358)</f>
        <v>113.4</v>
      </c>
      <c r="AA359" t="s">
        <v>900</v>
      </c>
    </row>
    <row r="360" spans="1:27" x14ac:dyDescent="0.25">
      <c r="A360">
        <f>IF('Raw Data'!A360="","",'Raw Data'!A360)</f>
        <v>68</v>
      </c>
      <c r="B360">
        <f>IF('Raw Data'!B360="","",'Raw Data'!B360)</f>
        <v>69</v>
      </c>
      <c r="C360">
        <f>IF('Raw Data'!C360="","",'Raw Data'!C360)</f>
        <v>3</v>
      </c>
      <c r="D360">
        <f>IF('Raw Data'!D360="","",'Raw Data'!D360)</f>
        <v>3</v>
      </c>
      <c r="E360">
        <f>IF('Raw Data'!E360="","",'Raw Data'!E360)</f>
        <v>1</v>
      </c>
      <c r="F360" t="str">
        <f>IF('Raw Data'!F360="","",'Raw Data'!F360)</f>
        <v>-</v>
      </c>
      <c r="G360" s="7" t="str">
        <f>IF('Raw Data'!G360="/","-",IF('Raw Data'!G360="","-",SUBSTITUTE('Raw Data'!G360," ",":",1)))</f>
        <v>-</v>
      </c>
      <c r="H360" s="7" t="str">
        <f>IF('Raw Data'!H360="/","-",IF('Raw Data'!H360="","-",SUBSTITUTE('Raw Data'!H360," ",":",1)))</f>
        <v>221:30</v>
      </c>
      <c r="I360" s="7" t="str">
        <f>IF('Raw Data'!I360="/","-",IF('Raw Data'!I360="","-",SUBSTITUTE('Raw Data'!I360," ",":",1)))</f>
        <v>041:30</v>
      </c>
      <c r="J360" s="12">
        <f>IF('Raw Data'!J360="",IF(LEN(K360)&gt;6,SQRT('Raw Data'!M360^2+N360^2),""),'Raw Data'!J360)</f>
        <v>14.8</v>
      </c>
      <c r="K360" s="7" t="str">
        <f>IF('Raw Data'!K360="","",IF(LEN('Raw Data'!K360)&lt;7,SUBSTITUTE('Raw Data'!K360," ",":",1),'Raw Data'!K360))</f>
        <v>5:30</v>
      </c>
      <c r="L360" t="str">
        <f>IF('Raw Data'!L360="","",'Raw Data'!L360)</f>
        <v/>
      </c>
      <c r="M360">
        <f>IF('Raw Data'!M360="","",'Raw Data'!M360)</f>
        <v>14.6</v>
      </c>
      <c r="N360">
        <f>IF('Raw Data'!N360="","",IF('Raw Data'!N360="-",0,'Raw Data'!N360))</f>
        <v>1.4</v>
      </c>
      <c r="O360">
        <f>IF('Raw Data'!O360="",IF('Raw Data'!N360="","",0),'Raw Data'!O360)</f>
        <v>110</v>
      </c>
      <c r="P360" t="str">
        <f>IF('Raw Data'!P360="","",'Raw Data'!P360)</f>
        <v/>
      </c>
      <c r="R360" s="3" t="str">
        <f t="shared" si="130"/>
        <v>-</v>
      </c>
      <c r="S360" s="3">
        <f t="shared" si="131"/>
        <v>221.5</v>
      </c>
      <c r="T360" s="3">
        <f t="shared" si="132"/>
        <v>41.5</v>
      </c>
      <c r="U360" s="3">
        <f t="shared" si="129"/>
        <v>5.5</v>
      </c>
      <c r="W360" s="4">
        <f t="shared" si="133"/>
        <v>14.731863735834247</v>
      </c>
      <c r="X360" s="4">
        <f t="shared" si="134"/>
        <v>1.4185171372993151</v>
      </c>
      <c r="Y360" s="3">
        <f t="shared" si="135"/>
        <v>41.5</v>
      </c>
      <c r="Z360" s="4">
        <f>IF('Raw Data'!O360="","",O359+N359)</f>
        <v>110</v>
      </c>
    </row>
    <row r="361" spans="1:27" x14ac:dyDescent="0.25">
      <c r="A361">
        <f>IF('Raw Data'!A361="","",'Raw Data'!A361)</f>
        <v>69</v>
      </c>
      <c r="B361">
        <f>IF('Raw Data'!B361="","",'Raw Data'!B361)</f>
        <v>70</v>
      </c>
      <c r="C361">
        <f>IF('Raw Data'!C361="","",'Raw Data'!C361)</f>
        <v>6</v>
      </c>
      <c r="D361">
        <f>IF('Raw Data'!D361="","",'Raw Data'!D361)</f>
        <v>3</v>
      </c>
      <c r="E361">
        <f>IF('Raw Data'!E361="","",'Raw Data'!E361)</f>
        <v>3</v>
      </c>
      <c r="F361">
        <f>IF('Raw Data'!F361="","",'Raw Data'!F361)</f>
        <v>3</v>
      </c>
      <c r="G361" s="7" t="str">
        <f>IF('Raw Data'!G361="/","-",IF('Raw Data'!G361="","-",SUBSTITUTE('Raw Data'!G361," ",":",1)))</f>
        <v>005:00</v>
      </c>
      <c r="H361" s="7" t="str">
        <f>IF('Raw Data'!H361="/","-",IF('Raw Data'!H361="","-",SUBSTITUTE('Raw Data'!H361," ",":",1)))</f>
        <v>-</v>
      </c>
      <c r="I361" s="7" t="str">
        <f>IF('Raw Data'!I361="/","-",IF('Raw Data'!I361="","-",SUBSTITUTE('Raw Data'!I361," ",":",1)))</f>
        <v>005:00</v>
      </c>
      <c r="J361" s="12">
        <f>IF('Raw Data'!J361="",IF(LEN(K361)&gt;6,SQRT('Raw Data'!M361^2+N361^2),""),'Raw Data'!J361)</f>
        <v>21</v>
      </c>
      <c r="K361" s="7" t="str">
        <f>IF('Raw Data'!K361="","",IF(LEN('Raw Data'!K361)&lt;7,SUBSTITUTE('Raw Data'!K361," ",":",1),'Raw Data'!K361))</f>
        <v>-6:30</v>
      </c>
      <c r="L361" t="str">
        <f>IF('Raw Data'!L361="","",'Raw Data'!L361)</f>
        <v/>
      </c>
      <c r="M361">
        <f>IF('Raw Data'!M361="","",'Raw Data'!M361)</f>
        <v>20.8</v>
      </c>
      <c r="N361">
        <f>IF('Raw Data'!N361="","",IF('Raw Data'!N361="-",0,'Raw Data'!N361))</f>
        <v>-2.4</v>
      </c>
      <c r="O361">
        <f>IF('Raw Data'!O361="",IF('Raw Data'!N361="","",0),'Raw Data'!O361)</f>
        <v>111.4</v>
      </c>
      <c r="P361" t="str">
        <f>IF('Raw Data'!P361="","",'Raw Data'!P361)</f>
        <v/>
      </c>
      <c r="R361" s="3">
        <f t="shared" si="130"/>
        <v>5</v>
      </c>
      <c r="S361" s="3" t="str">
        <f t="shared" si="131"/>
        <v>-</v>
      </c>
      <c r="T361" s="3">
        <f t="shared" si="132"/>
        <v>5</v>
      </c>
      <c r="U361" s="3">
        <f t="shared" si="129"/>
        <v>-6.5</v>
      </c>
      <c r="W361" s="4">
        <f t="shared" si="133"/>
        <v>20.865008969208336</v>
      </c>
      <c r="X361" s="4">
        <f t="shared" si="134"/>
        <v>-2.3772674891260412</v>
      </c>
      <c r="Y361" s="3">
        <f t="shared" si="135"/>
        <v>5</v>
      </c>
      <c r="Z361" s="4">
        <f>IF('Raw Data'!O361="","",O360+N360)</f>
        <v>111.4</v>
      </c>
    </row>
    <row r="362" spans="1:27" x14ac:dyDescent="0.25">
      <c r="A362">
        <f>IF('Raw Data'!A362="","",'Raw Data'!A362)</f>
        <v>70</v>
      </c>
      <c r="B362">
        <f>IF('Raw Data'!B362="","",'Raw Data'!B362)</f>
        <v>71</v>
      </c>
      <c r="C362">
        <f>IF('Raw Data'!C362="","",'Raw Data'!C362)</f>
        <v>3</v>
      </c>
      <c r="D362">
        <f>IF('Raw Data'!D362="","",'Raw Data'!D362)</f>
        <v>1</v>
      </c>
      <c r="E362">
        <f>IF('Raw Data'!E362="","",'Raw Data'!E362)</f>
        <v>3</v>
      </c>
      <c r="F362" t="str">
        <f>IF('Raw Data'!F362="","",'Raw Data'!F362)</f>
        <v>/</v>
      </c>
      <c r="G362" s="7" t="str">
        <f>IF('Raw Data'!G362="/","-",IF('Raw Data'!G362="","-",SUBSTITUTE('Raw Data'!G362," ",":",1)))</f>
        <v>-</v>
      </c>
      <c r="H362" s="7" t="str">
        <f>IF('Raw Data'!H362="/","-",IF('Raw Data'!H362="","-",SUBSTITUTE('Raw Data'!H362," ",":",1)))</f>
        <v>283:00</v>
      </c>
      <c r="I362" s="7" t="str">
        <f>IF('Raw Data'!I362="/","-",IF('Raw Data'!I362="","-",SUBSTITUTE('Raw Data'!I362," ",":",1)))</f>
        <v>103:00</v>
      </c>
      <c r="J362" s="12">
        <f>IF('Raw Data'!J362="",IF(LEN(K362)&gt;6,SQRT('Raw Data'!M362^2+N362^2),""),'Raw Data'!J362)</f>
        <v>36.799999999999997</v>
      </c>
      <c r="K362" s="7" t="str">
        <f>IF('Raw Data'!K362="","",IF(LEN('Raw Data'!K362)&lt;7,SUBSTITUTE('Raw Data'!K362," ",":",1),'Raw Data'!K362))</f>
        <v>4:30</v>
      </c>
      <c r="L362" t="str">
        <f>IF('Raw Data'!L362="","",'Raw Data'!L362)</f>
        <v/>
      </c>
      <c r="M362">
        <f>IF('Raw Data'!M362="","",'Raw Data'!M362)</f>
        <v>36.6</v>
      </c>
      <c r="N362">
        <f>IF('Raw Data'!N362="","",IF('Raw Data'!N362="-",0,'Raw Data'!N362))</f>
        <v>2.9</v>
      </c>
      <c r="O362">
        <f>IF('Raw Data'!O362="",IF('Raw Data'!N362="","",0),'Raw Data'!O362)</f>
        <v>109</v>
      </c>
      <c r="P362" t="str">
        <f>IF('Raw Data'!P362="","",'Raw Data'!P362)</f>
        <v/>
      </c>
      <c r="R362" s="3" t="str">
        <f t="shared" si="130"/>
        <v>-</v>
      </c>
      <c r="S362" s="3">
        <f t="shared" si="131"/>
        <v>283</v>
      </c>
      <c r="T362" s="3">
        <f t="shared" si="132"/>
        <v>103</v>
      </c>
      <c r="U362" s="3">
        <f t="shared" si="129"/>
        <v>4.5</v>
      </c>
      <c r="W362" s="4">
        <f t="shared" si="133"/>
        <v>36.686557881379109</v>
      </c>
      <c r="X362" s="4">
        <f t="shared" si="134"/>
        <v>2.8872947227846937</v>
      </c>
      <c r="Y362" s="3">
        <f t="shared" si="135"/>
        <v>103</v>
      </c>
      <c r="Z362" s="4">
        <f>IF('Raw Data'!O362="","",O361+N361)</f>
        <v>109</v>
      </c>
    </row>
    <row r="363" spans="1:27" x14ac:dyDescent="0.25">
      <c r="A363">
        <f>IF('Raw Data'!A363="","",'Raw Data'!A363)</f>
        <v>71</v>
      </c>
      <c r="B363">
        <f>IF('Raw Data'!B363="","",'Raw Data'!B363)</f>
        <v>72</v>
      </c>
      <c r="C363">
        <f>IF('Raw Data'!C363="","",'Raw Data'!C363)</f>
        <v>4</v>
      </c>
      <c r="D363">
        <f>IF('Raw Data'!D363="","",'Raw Data'!D363)</f>
        <v>3</v>
      </c>
      <c r="E363" t="str">
        <f>IF('Raw Data'!E363="","",'Raw Data'!E363)</f>
        <v>1 to corner</v>
      </c>
      <c r="F363">
        <f>IF('Raw Data'!F363="","",'Raw Data'!F363)</f>
        <v>5</v>
      </c>
      <c r="G363" s="7" t="str">
        <f>IF('Raw Data'!G363="/","-",IF('Raw Data'!G363="","-",SUBSTITUTE('Raw Data'!G363," ",":",1)))</f>
        <v>019:00</v>
      </c>
      <c r="H363" s="7" t="str">
        <f>IF('Raw Data'!H363="/","-",IF('Raw Data'!H363="","-",SUBSTITUTE('Raw Data'!H363," ",":",1)))</f>
        <v>-</v>
      </c>
      <c r="I363" s="7" t="str">
        <f>IF('Raw Data'!I363="/","-",IF('Raw Data'!I363="","-",SUBSTITUTE('Raw Data'!I363," ",":",1)))</f>
        <v>019:00</v>
      </c>
      <c r="J363" s="12">
        <f>IF('Raw Data'!J363="",IF(LEN(K363)&gt;6,SQRT('Raw Data'!M363^2+N363^2),""),'Raw Data'!J363)</f>
        <v>38.200000000000003</v>
      </c>
      <c r="K363" s="7" t="str">
        <f>IF('Raw Data'!K363="","",IF(LEN('Raw Data'!K363)&lt;7,SUBSTITUTE('Raw Data'!K363," ",":",1),'Raw Data'!K363))</f>
        <v>5:00</v>
      </c>
      <c r="L363" t="str">
        <f>IF('Raw Data'!L363="","",'Raw Data'!L363)</f>
        <v/>
      </c>
      <c r="M363">
        <f>IF('Raw Data'!M363="","",'Raw Data'!M363)</f>
        <v>38</v>
      </c>
      <c r="N363">
        <f>IF('Raw Data'!N363="","",IF('Raw Data'!N363="-",0,'Raw Data'!N363))</f>
        <v>3.3</v>
      </c>
      <c r="O363">
        <f>IF('Raw Data'!O363="",IF('Raw Data'!N363="","",0),'Raw Data'!O363)</f>
        <v>111.9</v>
      </c>
      <c r="P363" t="str">
        <f>IF('Raw Data'!P363="","",'Raw Data'!P363)</f>
        <v/>
      </c>
      <c r="R363" s="3">
        <f t="shared" si="130"/>
        <v>19</v>
      </c>
      <c r="S363" s="3" t="str">
        <f t="shared" si="131"/>
        <v>-</v>
      </c>
      <c r="T363" s="3">
        <f t="shared" si="132"/>
        <v>19</v>
      </c>
      <c r="U363" s="3">
        <f t="shared" si="129"/>
        <v>5</v>
      </c>
      <c r="W363" s="4">
        <f t="shared" si="133"/>
        <v>38.054637467104683</v>
      </c>
      <c r="X363" s="4">
        <f t="shared" si="134"/>
        <v>3.3293493729605421</v>
      </c>
      <c r="Y363" s="3">
        <f t="shared" si="135"/>
        <v>19</v>
      </c>
      <c r="Z363" s="4">
        <f>IF('Raw Data'!O363="","",O362+N362)</f>
        <v>111.9</v>
      </c>
    </row>
    <row r="364" spans="1:27" x14ac:dyDescent="0.25">
      <c r="A364">
        <f>IF('Raw Data'!A364="","",'Raw Data'!A364)</f>
        <v>72</v>
      </c>
      <c r="B364">
        <f>IF('Raw Data'!B364="","",'Raw Data'!B364)</f>
        <v>73</v>
      </c>
      <c r="C364">
        <f>IF('Raw Data'!C364="","",'Raw Data'!C364)</f>
        <v>8</v>
      </c>
      <c r="D364">
        <f>IF('Raw Data'!D364="","",'Raw Data'!D364)</f>
        <v>4</v>
      </c>
      <c r="E364">
        <f>IF('Raw Data'!E364="","",'Raw Data'!E364)</f>
        <v>3</v>
      </c>
      <c r="F364" t="str">
        <f>IF('Raw Data'!F364="","",'Raw Data'!F364)</f>
        <v>-</v>
      </c>
      <c r="G364" s="7" t="str">
        <f>IF('Raw Data'!G364="/","-",IF('Raw Data'!G364="","-",SUBSTITUTE('Raw Data'!G364," ",":",1)))</f>
        <v>-</v>
      </c>
      <c r="H364" s="7" t="str">
        <f>IF('Raw Data'!H364="/","-",IF('Raw Data'!H364="","-",SUBSTITUTE('Raw Data'!H364," ",":",1)))</f>
        <v>172:00</v>
      </c>
      <c r="I364" s="7" t="str">
        <f>IF('Raw Data'!I364="/","-",IF('Raw Data'!I364="","-",SUBSTITUTE('Raw Data'!I364," ",":",1)))</f>
        <v>352:00</v>
      </c>
      <c r="J364" s="12">
        <f>IF('Raw Data'!J364="",IF(LEN(K364)&gt;6,SQRT('Raw Data'!M364^2+N364^2),""),'Raw Data'!J364)</f>
        <v>11.9</v>
      </c>
      <c r="K364" s="7" t="str">
        <f>IF('Raw Data'!K364="","",IF(LEN('Raw Data'!K364)&lt;7,SUBSTITUTE('Raw Data'!K364," ",":",1),'Raw Data'!K364))</f>
        <v>-10:00</v>
      </c>
      <c r="L364" t="str">
        <f>IF('Raw Data'!L364="","",'Raw Data'!L364)</f>
        <v/>
      </c>
      <c r="M364">
        <f>IF('Raw Data'!M364="","",'Raw Data'!M364)</f>
        <v>11.7</v>
      </c>
      <c r="N364">
        <f>IF('Raw Data'!N364="","",IF('Raw Data'!N364="-",0,'Raw Data'!N364))</f>
        <v>-2.1</v>
      </c>
      <c r="O364">
        <f>IF('Raw Data'!O364="",IF('Raw Data'!N364="","",0),'Raw Data'!O364)</f>
        <v>115.2</v>
      </c>
      <c r="P364" t="str">
        <f>IF('Raw Data'!P364="","",'Raw Data'!P364)</f>
        <v/>
      </c>
      <c r="R364" s="3" t="str">
        <f t="shared" si="130"/>
        <v>-</v>
      </c>
      <c r="S364" s="3">
        <f t="shared" si="131"/>
        <v>172</v>
      </c>
      <c r="T364" s="3">
        <f t="shared" si="132"/>
        <v>352</v>
      </c>
      <c r="U364" s="3">
        <f t="shared" si="129"/>
        <v>-10</v>
      </c>
      <c r="W364" s="4">
        <f t="shared" si="133"/>
        <v>11.719212260845277</v>
      </c>
      <c r="X364" s="4">
        <f t="shared" si="134"/>
        <v>-2.0664133142364709</v>
      </c>
      <c r="Y364" s="3">
        <f t="shared" si="135"/>
        <v>352</v>
      </c>
      <c r="Z364" s="4">
        <f>IF('Raw Data'!O364="","",O363+N363)</f>
        <v>115.2</v>
      </c>
    </row>
    <row r="365" spans="1:27" x14ac:dyDescent="0.25">
      <c r="A365">
        <f>IF('Raw Data'!A365="","",'Raw Data'!A365)</f>
        <v>73</v>
      </c>
      <c r="B365">
        <f>IF('Raw Data'!B365="","",'Raw Data'!B365)</f>
        <v>74</v>
      </c>
      <c r="C365">
        <f>IF('Raw Data'!C365="","",'Raw Data'!C365)</f>
        <v>15</v>
      </c>
      <c r="D365">
        <f>IF('Raw Data'!D365="","",'Raw Data'!D365)</f>
        <v>2</v>
      </c>
      <c r="E365">
        <f>IF('Raw Data'!E365="","",'Raw Data'!E365)</f>
        <v>3</v>
      </c>
      <c r="F365">
        <f>IF('Raw Data'!F365="","",'Raw Data'!F365)</f>
        <v>2</v>
      </c>
      <c r="G365" s="7" t="str">
        <f>IF('Raw Data'!G365="/","-",IF('Raw Data'!G365="","-",SUBSTITUTE('Raw Data'!G365," ",":",1)))</f>
        <v>007:00</v>
      </c>
      <c r="H365" s="7" t="str">
        <f>IF('Raw Data'!H365="/","-",IF('Raw Data'!H365="","-",SUBSTITUTE('Raw Data'!H365," ",":",1)))</f>
        <v>-</v>
      </c>
      <c r="I365" s="7" t="str">
        <f>IF('Raw Data'!I365="/","-",IF('Raw Data'!I365="","-",SUBSTITUTE('Raw Data'!I365," ",":",1)))</f>
        <v>007:00</v>
      </c>
      <c r="J365" s="12">
        <f>IF('Raw Data'!J365="",IF(LEN(K365)&gt;6,SQRT('Raw Data'!M365^2+N365^2),""),'Raw Data'!J365)</f>
        <v>34.200000000000003</v>
      </c>
      <c r="K365" s="7" t="str">
        <f>IF('Raw Data'!K365="","",IF(LEN('Raw Data'!K365)&lt;7,SUBSTITUTE('Raw Data'!K365," ",":",1),'Raw Data'!K365))</f>
        <v>-1:30</v>
      </c>
      <c r="L365" t="str">
        <f>IF('Raw Data'!L365="","",'Raw Data'!L365)</f>
        <v/>
      </c>
      <c r="M365">
        <f>IF('Raw Data'!M365="","",'Raw Data'!M365)</f>
        <v>34.200000000000003</v>
      </c>
      <c r="N365">
        <f>IF('Raw Data'!N365="","",IF('Raw Data'!N365="-",0,'Raw Data'!N365))</f>
        <v>-0.9</v>
      </c>
      <c r="O365">
        <f>IF('Raw Data'!O365="",IF('Raw Data'!N365="","",0),'Raw Data'!O365)</f>
        <v>113.1</v>
      </c>
      <c r="P365" t="str">
        <f>IF('Raw Data'!P365="","",'Raw Data'!P365)</f>
        <v/>
      </c>
      <c r="R365" s="3">
        <f t="shared" si="130"/>
        <v>7</v>
      </c>
      <c r="S365" s="3" t="str">
        <f t="shared" si="131"/>
        <v>-</v>
      </c>
      <c r="T365" s="3">
        <f t="shared" si="132"/>
        <v>7</v>
      </c>
      <c r="U365" s="3">
        <f t="shared" si="129"/>
        <v>-1.5</v>
      </c>
      <c r="W365" s="4">
        <f t="shared" si="133"/>
        <v>34.188280514164063</v>
      </c>
      <c r="X365" s="4">
        <f t="shared" si="134"/>
        <v>-0.89525163212926173</v>
      </c>
      <c r="Y365" s="3">
        <f t="shared" si="135"/>
        <v>7</v>
      </c>
      <c r="Z365" s="4">
        <f>IF('Raw Data'!O365="","",O364+N364)</f>
        <v>113.10000000000001</v>
      </c>
    </row>
    <row r="366" spans="1:27" x14ac:dyDescent="0.25">
      <c r="A366">
        <f>IF('Raw Data'!A366="","",'Raw Data'!A366)</f>
        <v>74</v>
      </c>
      <c r="B366">
        <f>IF('Raw Data'!B366="","",'Raw Data'!B366)</f>
        <v>75</v>
      </c>
      <c r="C366">
        <f>IF('Raw Data'!C366="","",'Raw Data'!C366)</f>
        <v>4</v>
      </c>
      <c r="D366" t="str">
        <f>IF('Raw Data'!D366="","",'Raw Data'!D366)</f>
        <v>-</v>
      </c>
      <c r="E366">
        <f>IF('Raw Data'!E366="","",'Raw Data'!E366)</f>
        <v>3</v>
      </c>
      <c r="F366" t="str">
        <f>IF('Raw Data'!F366="","",'Raw Data'!F366)</f>
        <v>1 to corner</v>
      </c>
      <c r="G366" s="7" t="str">
        <f>IF('Raw Data'!G366="/","-",IF('Raw Data'!G366="","-",SUBSTITUTE('Raw Data'!G366," ",":",1)))</f>
        <v>-</v>
      </c>
      <c r="H366" s="7" t="str">
        <f>IF('Raw Data'!H366="/","-",IF('Raw Data'!H366="","-",SUBSTITUTE('Raw Data'!H366," ",":",1)))</f>
        <v>280:00</v>
      </c>
      <c r="I366" s="7" t="str">
        <f>IF('Raw Data'!I366="/","-",IF('Raw Data'!I366="","-",SUBSTITUTE('Raw Data'!I366," ",":",1)))</f>
        <v>100:00</v>
      </c>
      <c r="J366" s="12">
        <f>IF('Raw Data'!J366="",IF(LEN(K366)&gt;6,SQRT('Raw Data'!M366^2+N366^2),""),'Raw Data'!J366)</f>
        <v>9.1</v>
      </c>
      <c r="K366" s="7" t="str">
        <f>IF('Raw Data'!K366="","",IF(LEN('Raw Data'!K366)&lt;7,SUBSTITUTE('Raw Data'!K366," ",":",1),'Raw Data'!K366))</f>
        <v>level</v>
      </c>
      <c r="L366" t="str">
        <f>IF('Raw Data'!L366="","",'Raw Data'!L366)</f>
        <v/>
      </c>
      <c r="M366">
        <f>IF('Raw Data'!M366="","",'Raw Data'!M366)</f>
        <v>9.1</v>
      </c>
      <c r="N366">
        <f>IF('Raw Data'!N366="","",IF('Raw Data'!N366="-",0,'Raw Data'!N366))</f>
        <v>0</v>
      </c>
      <c r="O366">
        <f>IF('Raw Data'!O366="",IF('Raw Data'!N366="","",0),'Raw Data'!O366)</f>
        <v>112.2</v>
      </c>
      <c r="P366" t="str">
        <f>IF('Raw Data'!P366="","",'Raw Data'!P366)</f>
        <v/>
      </c>
      <c r="R366" s="3" t="str">
        <f t="shared" si="130"/>
        <v>-</v>
      </c>
      <c r="S366" s="3">
        <f t="shared" si="131"/>
        <v>280</v>
      </c>
      <c r="T366" s="3">
        <f t="shared" si="132"/>
        <v>100</v>
      </c>
      <c r="U366" s="9">
        <f t="shared" ref="U366" si="136">ASIN(N366/J366)*180/PI()</f>
        <v>0</v>
      </c>
      <c r="W366" s="4">
        <f t="shared" si="133"/>
        <v>9.1</v>
      </c>
      <c r="X366" s="4">
        <f t="shared" si="134"/>
        <v>0</v>
      </c>
      <c r="Y366" s="3">
        <f t="shared" si="135"/>
        <v>100</v>
      </c>
      <c r="Z366" s="4">
        <f>IF('Raw Data'!O366="","",O365+N365)</f>
        <v>112.19999999999999</v>
      </c>
    </row>
    <row r="367" spans="1:27" x14ac:dyDescent="0.25">
      <c r="A367">
        <f>IF('Raw Data'!A367="","",'Raw Data'!A367)</f>
        <v>75</v>
      </c>
      <c r="B367">
        <f>IF('Raw Data'!B367="","",'Raw Data'!B367)</f>
        <v>76</v>
      </c>
      <c r="C367">
        <f>IF('Raw Data'!C367="","",'Raw Data'!C367)</f>
        <v>4</v>
      </c>
      <c r="D367" t="str">
        <f>IF('Raw Data'!D367="","",'Raw Data'!D367)</f>
        <v>-</v>
      </c>
      <c r="E367">
        <f>IF('Raw Data'!E367="","",'Raw Data'!E367)</f>
        <v>1</v>
      </c>
      <c r="F367">
        <f>IF('Raw Data'!F367="","",'Raw Data'!F367)</f>
        <v>2</v>
      </c>
      <c r="G367" s="7" t="str">
        <f>IF('Raw Data'!G367="/","-",IF('Raw Data'!G367="","-",SUBSTITUTE('Raw Data'!G367," ",":",1)))</f>
        <v>-</v>
      </c>
      <c r="H367" s="7" t="str">
        <f>IF('Raw Data'!H367="/","-",IF('Raw Data'!H367="","-",SUBSTITUTE('Raw Data'!H367," ",":",1)))</f>
        <v>310:00</v>
      </c>
      <c r="I367" s="7" t="str">
        <f>IF('Raw Data'!I367="/","-",IF('Raw Data'!I367="","-",SUBSTITUTE('Raw Data'!I367," ",":",1)))</f>
        <v>130:00</v>
      </c>
      <c r="J367" s="12">
        <f>IF('Raw Data'!J367="",IF(LEN(K367)&gt;6,SQRT('Raw Data'!M367^2+N367^2),""),'Raw Data'!J367)</f>
        <v>40.700000000000003</v>
      </c>
      <c r="K367" s="7" t="str">
        <f>IF('Raw Data'!K367="","",IF(LEN('Raw Data'!K367)&lt;7,SUBSTITUTE('Raw Data'!K367," ",":",1),'Raw Data'!K367))</f>
        <v>6:30</v>
      </c>
      <c r="L367" t="str">
        <f>IF('Raw Data'!L367="","",'Raw Data'!L367)</f>
        <v/>
      </c>
      <c r="M367">
        <f>IF('Raw Data'!M367="","",'Raw Data'!M367)</f>
        <v>40.4</v>
      </c>
      <c r="N367">
        <f>IF('Raw Data'!N367="","",IF('Raw Data'!N367="-",0,'Raw Data'!N367))</f>
        <v>4.5999999999999996</v>
      </c>
      <c r="O367">
        <f>IF('Raw Data'!O367="",IF('Raw Data'!N367="","",0),'Raw Data'!O367)</f>
        <v>112.2</v>
      </c>
      <c r="P367" t="str">
        <f>IF('Raw Data'!P367="","",'Raw Data'!P367)</f>
        <v/>
      </c>
      <c r="R367" s="3" t="str">
        <f t="shared" si="130"/>
        <v>-</v>
      </c>
      <c r="S367" s="3">
        <f t="shared" si="131"/>
        <v>310</v>
      </c>
      <c r="T367" s="3">
        <f t="shared" si="132"/>
        <v>130</v>
      </c>
      <c r="U367" s="3">
        <f t="shared" ref="U367:U381" si="137">IF(ISERROR(FIND(":",K367)),IF(K367="zero",0,1*K367),1*CONCATENATE(LEFT(K367,FIND(":",K367)-1),".",MID(RIGHT(K367,LEN(K367)-FIND(":",K367))/60,3,8)))</f>
        <v>6.5</v>
      </c>
      <c r="W367" s="4">
        <f t="shared" si="133"/>
        <v>40.438374526037116</v>
      </c>
      <c r="X367" s="4">
        <f t="shared" si="134"/>
        <v>4.6073708003538041</v>
      </c>
      <c r="Y367" s="3">
        <f t="shared" si="135"/>
        <v>130</v>
      </c>
      <c r="Z367" s="4">
        <f>IF('Raw Data'!O367="","",O366+N366)</f>
        <v>112.2</v>
      </c>
    </row>
    <row r="368" spans="1:27" x14ac:dyDescent="0.25">
      <c r="A368">
        <f>IF('Raw Data'!A368="","",'Raw Data'!A368)</f>
        <v>76</v>
      </c>
      <c r="B368">
        <f>IF('Raw Data'!B368="","",'Raw Data'!B368)</f>
        <v>77</v>
      </c>
      <c r="C368">
        <f>IF('Raw Data'!C368="","",'Raw Data'!C368)</f>
        <v>10</v>
      </c>
      <c r="D368">
        <f>IF('Raw Data'!D368="","",'Raw Data'!D368)</f>
        <v>2</v>
      </c>
      <c r="E368">
        <f>IF('Raw Data'!E368="","",'Raw Data'!E368)</f>
        <v>1</v>
      </c>
      <c r="F368">
        <f>IF('Raw Data'!F368="","",'Raw Data'!F368)</f>
        <v>2</v>
      </c>
      <c r="G368" s="7" t="str">
        <f>IF('Raw Data'!G368="/","-",IF('Raw Data'!G368="","-",SUBSTITUTE('Raw Data'!G368," ",":",1)))</f>
        <v>161:00</v>
      </c>
      <c r="H368" s="7" t="str">
        <f>IF('Raw Data'!H368="/","-",IF('Raw Data'!H368="","-",SUBSTITUTE('Raw Data'!H368," ",":",1)))</f>
        <v>-</v>
      </c>
      <c r="I368" s="7" t="str">
        <f>IF('Raw Data'!I368="/","-",IF('Raw Data'!I368="","-",SUBSTITUTE('Raw Data'!I368," ",":",1)))</f>
        <v>161:00</v>
      </c>
      <c r="J368" s="12">
        <f>IF('Raw Data'!J368="",IF(LEN(K368)&gt;6,SQRT('Raw Data'!M368^2+N368^2),""),'Raw Data'!J368)</f>
        <v>17.5</v>
      </c>
      <c r="K368" s="7" t="str">
        <f>IF('Raw Data'!K368="","",IF(LEN('Raw Data'!K368)&lt;7,SUBSTITUTE('Raw Data'!K368," ",":",1),'Raw Data'!K368))</f>
        <v>-1:30</v>
      </c>
      <c r="L368" t="str">
        <f>IF('Raw Data'!L368="","",'Raw Data'!L368)</f>
        <v/>
      </c>
      <c r="M368">
        <f>IF('Raw Data'!M368="","",'Raw Data'!M368)</f>
        <v>17.5</v>
      </c>
      <c r="N368">
        <f>IF('Raw Data'!N368="","",IF('Raw Data'!N368="-",0,'Raw Data'!N368))</f>
        <v>-0.5</v>
      </c>
      <c r="O368">
        <f>IF('Raw Data'!O368="",IF('Raw Data'!N368="","",0),'Raw Data'!O368)</f>
        <v>116.8</v>
      </c>
      <c r="P368" t="str">
        <f>IF('Raw Data'!P368="","",'Raw Data'!P368)</f>
        <v/>
      </c>
      <c r="R368" s="3">
        <f t="shared" si="130"/>
        <v>161</v>
      </c>
      <c r="S368" s="3" t="str">
        <f t="shared" si="131"/>
        <v>-</v>
      </c>
      <c r="T368" s="3">
        <f t="shared" si="132"/>
        <v>161</v>
      </c>
      <c r="U368" s="3">
        <f t="shared" si="137"/>
        <v>-1.5</v>
      </c>
      <c r="W368" s="4">
        <f t="shared" si="133"/>
        <v>17.494003187072252</v>
      </c>
      <c r="X368" s="4">
        <f t="shared" si="134"/>
        <v>-0.45809659538778014</v>
      </c>
      <c r="Y368" s="3">
        <f t="shared" si="135"/>
        <v>161</v>
      </c>
      <c r="Z368" s="4">
        <f>IF('Raw Data'!O368="","",O367+N367)</f>
        <v>116.8</v>
      </c>
    </row>
    <row r="369" spans="1:27" x14ac:dyDescent="0.25">
      <c r="A369">
        <f>IF('Raw Data'!A369="","",'Raw Data'!A369)</f>
        <v>77</v>
      </c>
      <c r="B369">
        <f>IF('Raw Data'!B369="","",'Raw Data'!B369)</f>
        <v>78</v>
      </c>
      <c r="C369">
        <f>IF('Raw Data'!C369="","",'Raw Data'!C369)</f>
        <v>2</v>
      </c>
      <c r="D369" t="str">
        <f>IF('Raw Data'!D369="","",'Raw Data'!D369)</f>
        <v>-</v>
      </c>
      <c r="E369">
        <f>IF('Raw Data'!E369="","",'Raw Data'!E369)</f>
        <v>2</v>
      </c>
      <c r="F369">
        <f>IF('Raw Data'!F369="","",'Raw Data'!F369)</f>
        <v>2</v>
      </c>
      <c r="G369" s="7" t="str">
        <f>IF('Raw Data'!G369="/","-",IF('Raw Data'!G369="","-",SUBSTITUTE('Raw Data'!G369," ",":",1)))</f>
        <v>-</v>
      </c>
      <c r="H369" s="7" t="str">
        <f>IF('Raw Data'!H369="/","-",IF('Raw Data'!H369="","-",SUBSTITUTE('Raw Data'!H369," ",":",1)))</f>
        <v>338:00</v>
      </c>
      <c r="I369" s="7" t="str">
        <f>IF('Raw Data'!I369="/","-",IF('Raw Data'!I369="","-",SUBSTITUTE('Raw Data'!I369," ",":",1)))</f>
        <v>158:00</v>
      </c>
      <c r="J369" s="12">
        <f>IF('Raw Data'!J369="",IF(LEN(K369)&gt;6,SQRT('Raw Data'!M369^2+N369^2),""),'Raw Data'!J369)</f>
        <v>7.6</v>
      </c>
      <c r="K369" s="7" t="str">
        <f>IF('Raw Data'!K369="","",IF(LEN('Raw Data'!K369)&lt;7,SUBSTITUTE('Raw Data'!K369," ",":",1),'Raw Data'!K369))</f>
        <v>25:30</v>
      </c>
      <c r="L369" t="str">
        <f>IF('Raw Data'!L369="","",'Raw Data'!L369)</f>
        <v/>
      </c>
      <c r="M369">
        <f>IF('Raw Data'!M369="","",'Raw Data'!M369)</f>
        <v>6.9</v>
      </c>
      <c r="N369">
        <f>IF('Raw Data'!N369="","",IF('Raw Data'!N369="-",0,'Raw Data'!N369))</f>
        <v>3.3</v>
      </c>
      <c r="O369">
        <f>IF('Raw Data'!O369="",IF('Raw Data'!N369="","",0),'Raw Data'!O369)</f>
        <v>116.3</v>
      </c>
      <c r="P369" t="str">
        <f>IF('Raw Data'!P369="","",'Raw Data'!P369)</f>
        <v/>
      </c>
      <c r="R369" s="3" t="str">
        <f t="shared" si="130"/>
        <v>-</v>
      </c>
      <c r="S369" s="3">
        <f t="shared" si="131"/>
        <v>338</v>
      </c>
      <c r="T369" s="3">
        <f t="shared" si="132"/>
        <v>158</v>
      </c>
      <c r="U369" s="3">
        <f t="shared" si="137"/>
        <v>25.5</v>
      </c>
      <c r="W369" s="4">
        <f t="shared" si="133"/>
        <v>6.8596481610589404</v>
      </c>
      <c r="X369" s="4">
        <f t="shared" si="134"/>
        <v>3.2718843357430423</v>
      </c>
      <c r="Y369" s="3">
        <f t="shared" si="135"/>
        <v>158</v>
      </c>
      <c r="Z369" s="4">
        <f>IF('Raw Data'!O369="","",O368+N368)</f>
        <v>116.3</v>
      </c>
    </row>
    <row r="370" spans="1:27" x14ac:dyDescent="0.25">
      <c r="A370">
        <f>IF('Raw Data'!A370="","",'Raw Data'!A370)</f>
        <v>78</v>
      </c>
      <c r="B370">
        <f>IF('Raw Data'!B370="","",'Raw Data'!B370)</f>
        <v>79</v>
      </c>
      <c r="C370">
        <f>IF('Raw Data'!C370="","",'Raw Data'!C370)</f>
        <v>10</v>
      </c>
      <c r="D370">
        <f>IF('Raw Data'!D370="","",'Raw Data'!D370)</f>
        <v>3</v>
      </c>
      <c r="E370">
        <f>IF('Raw Data'!E370="","",'Raw Data'!E370)</f>
        <v>3</v>
      </c>
      <c r="F370">
        <f>IF('Raw Data'!F370="","",'Raw Data'!F370)</f>
        <v>4</v>
      </c>
      <c r="G370" s="7" t="str">
        <f>IF('Raw Data'!G370="/","-",IF('Raw Data'!G370="","-",SUBSTITUTE('Raw Data'!G370," ",":",1)))</f>
        <v>176:00</v>
      </c>
      <c r="H370" s="7" t="str">
        <f>IF('Raw Data'!H370="/","-",IF('Raw Data'!H370="","-",SUBSTITUTE('Raw Data'!H370," ",":",1)))</f>
        <v>-</v>
      </c>
      <c r="I370" s="7" t="str">
        <f>IF('Raw Data'!I370="/","-",IF('Raw Data'!I370="","-",SUBSTITUTE('Raw Data'!I370," ",":",1)))</f>
        <v>176:00</v>
      </c>
      <c r="J370" s="12">
        <f>IF('Raw Data'!J370="",IF(LEN(K370)&gt;6,SQRT('Raw Data'!M370^2+N370^2),""),'Raw Data'!J370)</f>
        <v>35</v>
      </c>
      <c r="K370" s="7" t="str">
        <f>IF('Raw Data'!K370="","",IF(LEN('Raw Data'!K370)&lt;7,SUBSTITUTE('Raw Data'!K370," ",":",1),'Raw Data'!K370))</f>
        <v>4:00</v>
      </c>
      <c r="L370" t="str">
        <f>IF('Raw Data'!L370="","",'Raw Data'!L370)</f>
        <v/>
      </c>
      <c r="M370">
        <f>IF('Raw Data'!M370="","",'Raw Data'!M370)</f>
        <v>34.799999999999997</v>
      </c>
      <c r="N370">
        <f>IF('Raw Data'!N370="","",IF('Raw Data'!N370="-",0,'Raw Data'!N370))</f>
        <v>2.4</v>
      </c>
      <c r="O370">
        <f>IF('Raw Data'!O370="",IF('Raw Data'!N370="","",0),'Raw Data'!O370)</f>
        <v>119.6</v>
      </c>
      <c r="P370" t="str">
        <f>IF('Raw Data'!P370="","",'Raw Data'!P370)</f>
        <v/>
      </c>
      <c r="R370" s="3">
        <f t="shared" si="130"/>
        <v>176</v>
      </c>
      <c r="S370" s="3" t="str">
        <f t="shared" si="131"/>
        <v>-</v>
      </c>
      <c r="T370" s="3">
        <f t="shared" si="132"/>
        <v>176</v>
      </c>
      <c r="U370" s="3">
        <f t="shared" si="137"/>
        <v>4</v>
      </c>
      <c r="W370" s="4">
        <f t="shared" si="133"/>
        <v>34.91474175909385</v>
      </c>
      <c r="X370" s="4">
        <f t="shared" si="134"/>
        <v>2.4414765810443857</v>
      </c>
      <c r="Y370" s="3">
        <f t="shared" si="135"/>
        <v>176</v>
      </c>
      <c r="Z370" s="4">
        <f>IF('Raw Data'!O370="","",O369+N369)</f>
        <v>119.6</v>
      </c>
    </row>
    <row r="371" spans="1:27" x14ac:dyDescent="0.25">
      <c r="A371">
        <f>IF('Raw Data'!A371="","",'Raw Data'!A371)</f>
        <v>79</v>
      </c>
      <c r="B371">
        <f>IF('Raw Data'!B371="","",'Raw Data'!B371)</f>
        <v>80</v>
      </c>
      <c r="C371">
        <f>IF('Raw Data'!C371="","",'Raw Data'!C371)</f>
        <v>10</v>
      </c>
      <c r="D371">
        <f>IF('Raw Data'!D371="","",'Raw Data'!D371)</f>
        <v>3</v>
      </c>
      <c r="E371">
        <f>IF('Raw Data'!E371="","",'Raw Data'!E371)</f>
        <v>4</v>
      </c>
      <c r="F371">
        <f>IF('Raw Data'!F371="","",'Raw Data'!F371)</f>
        <v>4</v>
      </c>
      <c r="G371" s="7" t="str">
        <f>IF('Raw Data'!G371="/","-",IF('Raw Data'!G371="","-",SUBSTITUTE('Raw Data'!G371," ",":",1)))</f>
        <v>-</v>
      </c>
      <c r="H371" s="7" t="str">
        <f>IF('Raw Data'!H371="/","-",IF('Raw Data'!H371="","-",SUBSTITUTE('Raw Data'!H371," ",":",1)))</f>
        <v>325:00</v>
      </c>
      <c r="I371" s="7" t="str">
        <f>IF('Raw Data'!I371="/","-",IF('Raw Data'!I371="","-",SUBSTITUTE('Raw Data'!I371," ",":",1)))</f>
        <v>145:00</v>
      </c>
      <c r="J371" s="12">
        <f>IF('Raw Data'!J371="",IF(LEN(K371)&gt;6,SQRT('Raw Data'!M371^2+N371^2),""),'Raw Data'!J371)</f>
        <v>45.7</v>
      </c>
      <c r="K371" s="7" t="str">
        <f>IF('Raw Data'!K371="","",IF(LEN('Raw Data'!K371)&lt;7,SUBSTITUTE('Raw Data'!K371," ",":",1),'Raw Data'!K371))</f>
        <v>0:30</v>
      </c>
      <c r="L371" t="str">
        <f>IF('Raw Data'!L371="","",'Raw Data'!L371)</f>
        <v/>
      </c>
      <c r="M371">
        <f>IF('Raw Data'!M371="","",'Raw Data'!M371)</f>
        <v>45.7</v>
      </c>
      <c r="N371">
        <f>IF('Raw Data'!N371="","",IF('Raw Data'!N371="-",0,'Raw Data'!N371))</f>
        <v>0.4</v>
      </c>
      <c r="O371">
        <f>IF('Raw Data'!O371="",IF('Raw Data'!N371="","",0),'Raw Data'!O371)</f>
        <v>122</v>
      </c>
      <c r="P371" t="str">
        <f>IF('Raw Data'!P371="","",'Raw Data'!P371)</f>
        <v/>
      </c>
      <c r="R371" s="3" t="str">
        <f t="shared" si="130"/>
        <v>-</v>
      </c>
      <c r="S371" s="3">
        <f t="shared" si="131"/>
        <v>325</v>
      </c>
      <c r="T371" s="3">
        <f t="shared" si="132"/>
        <v>145</v>
      </c>
      <c r="U371" s="3">
        <f t="shared" si="137"/>
        <v>0.5</v>
      </c>
      <c r="W371" s="4">
        <f t="shared" si="133"/>
        <v>45.69825988403263</v>
      </c>
      <c r="X371" s="4">
        <f t="shared" si="134"/>
        <v>0.39880267227568883</v>
      </c>
      <c r="Y371" s="3">
        <f t="shared" si="135"/>
        <v>145</v>
      </c>
      <c r="Z371" s="4">
        <f>IF('Raw Data'!O371="","",O370+N370)</f>
        <v>122</v>
      </c>
    </row>
    <row r="372" spans="1:27" x14ac:dyDescent="0.25">
      <c r="A372">
        <f>IF('Raw Data'!A372="","",'Raw Data'!A372)</f>
        <v>80</v>
      </c>
      <c r="B372">
        <f>IF('Raw Data'!B372="","",'Raw Data'!B372)</f>
        <v>81</v>
      </c>
      <c r="C372">
        <f>IF('Raw Data'!C372="","",'Raw Data'!C372)</f>
        <v>10</v>
      </c>
      <c r="D372">
        <f>IF('Raw Data'!D372="","",'Raw Data'!D372)</f>
        <v>3</v>
      </c>
      <c r="E372">
        <f>IF('Raw Data'!E372="","",'Raw Data'!E372)</f>
        <v>5</v>
      </c>
      <c r="F372">
        <f>IF('Raw Data'!F372="","",'Raw Data'!F372)</f>
        <v>2</v>
      </c>
      <c r="G372" s="7" t="str">
        <f>IF('Raw Data'!G372="/","-",IF('Raw Data'!G372="","-",SUBSTITUTE('Raw Data'!G372," ",":",1)))</f>
        <v>157:30</v>
      </c>
      <c r="H372" s="7" t="str">
        <f>IF('Raw Data'!H372="/","-",IF('Raw Data'!H372="","-",SUBSTITUTE('Raw Data'!H372," ",":",1)))</f>
        <v>-</v>
      </c>
      <c r="I372" s="7" t="str">
        <f>IF('Raw Data'!I372="/","-",IF('Raw Data'!I372="","-",SUBSTITUTE('Raw Data'!I372," ",":",1)))</f>
        <v>157:30</v>
      </c>
      <c r="J372" s="12">
        <f>IF('Raw Data'!J372="",IF(LEN(K372)&gt;6,SQRT('Raw Data'!M372^2+N372^2),""),'Raw Data'!J372)</f>
        <v>27.2</v>
      </c>
      <c r="K372" s="7" t="str">
        <f>IF('Raw Data'!K372="","",IF(LEN('Raw Data'!K372)&lt;7,SUBSTITUTE('Raw Data'!K372," ",":",1),'Raw Data'!K372))</f>
        <v>0:30</v>
      </c>
      <c r="L372" t="str">
        <f>IF('Raw Data'!L372="","",'Raw Data'!L372)</f>
        <v/>
      </c>
      <c r="M372">
        <f>IF('Raw Data'!M372="","",'Raw Data'!M372)</f>
        <v>27.2</v>
      </c>
      <c r="N372">
        <f>IF('Raw Data'!N372="","",IF('Raw Data'!N372="-",0,'Raw Data'!N372))</f>
        <v>0.2</v>
      </c>
      <c r="O372">
        <f>IF('Raw Data'!O372="",IF('Raw Data'!N372="","",0),'Raw Data'!O372)</f>
        <v>122.4</v>
      </c>
      <c r="P372" t="str">
        <f>IF('Raw Data'!P372="","",'Raw Data'!P372)</f>
        <v/>
      </c>
      <c r="R372" s="3">
        <f t="shared" si="130"/>
        <v>157.5</v>
      </c>
      <c r="S372" s="3" t="str">
        <f t="shared" si="131"/>
        <v>-</v>
      </c>
      <c r="T372" s="3">
        <f t="shared" si="132"/>
        <v>157.5</v>
      </c>
      <c r="U372" s="3">
        <f t="shared" si="137"/>
        <v>0.5</v>
      </c>
      <c r="W372" s="4">
        <f t="shared" si="133"/>
        <v>27.198964307345459</v>
      </c>
      <c r="X372" s="4">
        <f t="shared" si="134"/>
        <v>0.23736176555577101</v>
      </c>
      <c r="Y372" s="3">
        <f t="shared" si="135"/>
        <v>157.5</v>
      </c>
      <c r="Z372" s="4">
        <f>IF('Raw Data'!O372="","",O371+N371)</f>
        <v>122.4</v>
      </c>
    </row>
    <row r="373" spans="1:27" x14ac:dyDescent="0.25">
      <c r="A373">
        <f>IF('Raw Data'!A373="","",'Raw Data'!A373)</f>
        <v>81</v>
      </c>
      <c r="B373">
        <f>IF('Raw Data'!B373="","",'Raw Data'!B373)</f>
        <v>82</v>
      </c>
      <c r="C373">
        <f>IF('Raw Data'!C373="","",'Raw Data'!C373)</f>
        <v>5</v>
      </c>
      <c r="D373" t="str">
        <f>IF('Raw Data'!D373="","",'Raw Data'!D373)</f>
        <v>-</v>
      </c>
      <c r="E373">
        <f>IF('Raw Data'!E373="","",'Raw Data'!E373)</f>
        <v>7</v>
      </c>
      <c r="F373">
        <f>IF('Raw Data'!F373="","",'Raw Data'!F373)</f>
        <v>8</v>
      </c>
      <c r="G373" s="7" t="str">
        <f>IF('Raw Data'!G373="/","-",IF('Raw Data'!G373="","-",SUBSTITUTE('Raw Data'!G373," ",":",1)))</f>
        <v>-</v>
      </c>
      <c r="H373" s="7" t="str">
        <f>IF('Raw Data'!H373="/","-",IF('Raw Data'!H373="","-",SUBSTITUTE('Raw Data'!H373," ",":",1)))</f>
        <v>283:30</v>
      </c>
      <c r="I373" s="7" t="str">
        <f>IF('Raw Data'!I373="/","-",IF('Raw Data'!I373="","-",SUBSTITUTE('Raw Data'!I373," ",":",1)))</f>
        <v>103:30</v>
      </c>
      <c r="J373" s="12">
        <f>IF('Raw Data'!J373="",IF(LEN(K373)&gt;6,SQRT('Raw Data'!M373^2+N373^2),""),'Raw Data'!J373)</f>
        <v>19.100000000000001</v>
      </c>
      <c r="K373" s="7" t="str">
        <f>IF('Raw Data'!K373="","",IF(LEN('Raw Data'!K373)&lt;7,SUBSTITUTE('Raw Data'!K373," ",":",1),'Raw Data'!K373))</f>
        <v>7:00</v>
      </c>
      <c r="L373" t="str">
        <f>IF('Raw Data'!L373="","",'Raw Data'!L373)</f>
        <v/>
      </c>
      <c r="M373">
        <f>IF('Raw Data'!M373="","",'Raw Data'!M373)</f>
        <v>18.899999999999999</v>
      </c>
      <c r="N373">
        <f>IF('Raw Data'!N373="","",IF('Raw Data'!N373="-",0,'Raw Data'!N373))</f>
        <v>2.2999999999999998</v>
      </c>
      <c r="O373">
        <f>IF('Raw Data'!O373="",IF('Raw Data'!N373="","",0),'Raw Data'!O373)</f>
        <v>122.6</v>
      </c>
      <c r="P373" t="str">
        <f>IF('Raw Data'!P373="","",'Raw Data'!P373)</f>
        <v/>
      </c>
      <c r="R373" s="3" t="str">
        <f t="shared" si="130"/>
        <v>-</v>
      </c>
      <c r="S373" s="3">
        <f t="shared" si="131"/>
        <v>283.5</v>
      </c>
      <c r="T373" s="3">
        <f t="shared" si="132"/>
        <v>103.5</v>
      </c>
      <c r="U373" s="3">
        <f t="shared" si="137"/>
        <v>7</v>
      </c>
      <c r="W373" s="4">
        <f t="shared" si="133"/>
        <v>18.957631496349251</v>
      </c>
      <c r="X373" s="4">
        <f t="shared" si="134"/>
        <v>2.3277044590383169</v>
      </c>
      <c r="Y373" s="3">
        <f t="shared" si="135"/>
        <v>103.5</v>
      </c>
      <c r="Z373" s="4">
        <f>IF('Raw Data'!O373="","",O372+N372)</f>
        <v>122.60000000000001</v>
      </c>
    </row>
    <row r="374" spans="1:27" x14ac:dyDescent="0.25">
      <c r="A374">
        <f>IF('Raw Data'!A374="","",'Raw Data'!A374)</f>
        <v>82</v>
      </c>
      <c r="B374">
        <f>IF('Raw Data'!B374="","",'Raw Data'!B374)</f>
        <v>83</v>
      </c>
      <c r="C374">
        <f>IF('Raw Data'!C374="","",'Raw Data'!C374)</f>
        <v>2</v>
      </c>
      <c r="D374">
        <f>IF('Raw Data'!D374="","",'Raw Data'!D374)</f>
        <v>2</v>
      </c>
      <c r="E374">
        <f>IF('Raw Data'!E374="","",'Raw Data'!E374)</f>
        <v>8</v>
      </c>
      <c r="F374">
        <f>IF('Raw Data'!F374="","",'Raw Data'!F374)</f>
        <v>6</v>
      </c>
      <c r="G374" s="7" t="str">
        <f>IF('Raw Data'!G374="/","-",IF('Raw Data'!G374="","-",SUBSTITUTE('Raw Data'!G374," ",":",1)))</f>
        <v>140:00</v>
      </c>
      <c r="H374" s="7" t="str">
        <f>IF('Raw Data'!H374="/","-",IF('Raw Data'!H374="","-",SUBSTITUTE('Raw Data'!H374," ",":",1)))</f>
        <v>-</v>
      </c>
      <c r="I374" s="7" t="str">
        <f>IF('Raw Data'!I374="/","-",IF('Raw Data'!I374="","-",SUBSTITUTE('Raw Data'!I374," ",":",1)))</f>
        <v>140:00</v>
      </c>
      <c r="J374" s="12">
        <f>IF('Raw Data'!J374="",IF(LEN(K374)&gt;6,SQRT('Raw Data'!M374^2+N374^2),""),'Raw Data'!J374)</f>
        <v>39.700000000000003</v>
      </c>
      <c r="K374" s="7" t="str">
        <f>IF('Raw Data'!K374="","",IF(LEN('Raw Data'!K374)&lt;7,SUBSTITUTE('Raw Data'!K374," ",":",1),'Raw Data'!K374))</f>
        <v>3:00</v>
      </c>
      <c r="L374" t="str">
        <f>IF('Raw Data'!L374="","",'Raw Data'!L374)</f>
        <v/>
      </c>
      <c r="M374">
        <f>IF('Raw Data'!M374="","",'Raw Data'!M374)</f>
        <v>39.5</v>
      </c>
      <c r="N374">
        <f>IF('Raw Data'!N374="","",IF('Raw Data'!N374="-",0,'Raw Data'!N374))</f>
        <v>2.1</v>
      </c>
      <c r="O374">
        <f>IF('Raw Data'!O374="",IF('Raw Data'!N374="","",0),'Raw Data'!O374)</f>
        <v>124.9</v>
      </c>
      <c r="P374" t="str">
        <f>IF('Raw Data'!P374="","",'Raw Data'!P374)</f>
        <v/>
      </c>
      <c r="R374" s="3">
        <f t="shared" si="130"/>
        <v>140</v>
      </c>
      <c r="S374" s="3" t="str">
        <f t="shared" si="131"/>
        <v>-</v>
      </c>
      <c r="T374" s="3">
        <f t="shared" si="132"/>
        <v>140</v>
      </c>
      <c r="U374" s="3">
        <f t="shared" si="137"/>
        <v>3</v>
      </c>
      <c r="W374" s="4">
        <f t="shared" si="133"/>
        <v>39.645592529756584</v>
      </c>
      <c r="X374" s="4">
        <f t="shared" si="134"/>
        <v>2.0777374628448699</v>
      </c>
      <c r="Y374" s="3">
        <f t="shared" si="135"/>
        <v>140</v>
      </c>
      <c r="Z374" s="4">
        <f>IF('Raw Data'!O374="","",O373+N373)</f>
        <v>124.89999999999999</v>
      </c>
    </row>
    <row r="375" spans="1:27" x14ac:dyDescent="0.25">
      <c r="A375">
        <f>IF('Raw Data'!A375="","",'Raw Data'!A375)</f>
        <v>83</v>
      </c>
      <c r="B375">
        <f>IF('Raw Data'!B375="","",'Raw Data'!B375)</f>
        <v>84</v>
      </c>
      <c r="C375">
        <f>IF('Raw Data'!C375="","",'Raw Data'!C375)</f>
        <v>3</v>
      </c>
      <c r="D375">
        <f>IF('Raw Data'!D375="","",'Raw Data'!D375)</f>
        <v>1</v>
      </c>
      <c r="E375">
        <f>IF('Raw Data'!E375="","",'Raw Data'!E375)</f>
        <v>5</v>
      </c>
      <c r="F375">
        <f>IF('Raw Data'!F375="","",'Raw Data'!F375)</f>
        <v>5</v>
      </c>
      <c r="G375" s="7" t="str">
        <f>IF('Raw Data'!G375="/","-",IF('Raw Data'!G375="","-",SUBSTITUTE('Raw Data'!G375," ",":",1)))</f>
        <v>-</v>
      </c>
      <c r="H375" s="7" t="str">
        <f>IF('Raw Data'!H375="/","-",IF('Raw Data'!H375="","-",SUBSTITUTE('Raw Data'!H375," ",":",1)))</f>
        <v>319:00</v>
      </c>
      <c r="I375" s="7" t="str">
        <f>IF('Raw Data'!I375="/","-",IF('Raw Data'!I375="","-",SUBSTITUTE('Raw Data'!I375," ",":",1)))</f>
        <v>139:00</v>
      </c>
      <c r="J375" s="12">
        <f>IF('Raw Data'!J375="",IF(LEN(K375)&gt;6,SQRT('Raw Data'!M375^2+N375^2),""),'Raw Data'!J375)</f>
        <v>35.5</v>
      </c>
      <c r="K375" s="7" t="str">
        <f>IF('Raw Data'!K375="","",IF(LEN('Raw Data'!K375)&lt;7,SUBSTITUTE('Raw Data'!K375," ",":",1),'Raw Data'!K375))</f>
        <v>5:30</v>
      </c>
      <c r="L375" t="str">
        <f>IF('Raw Data'!L375="","",'Raw Data'!L375)</f>
        <v/>
      </c>
      <c r="M375">
        <f>IF('Raw Data'!M375="","",'Raw Data'!M375)</f>
        <v>35.299999999999997</v>
      </c>
      <c r="N375">
        <f>IF('Raw Data'!N375="","",IF('Raw Data'!N375="-",0,'Raw Data'!N375))</f>
        <v>3.4</v>
      </c>
      <c r="O375">
        <f>IF('Raw Data'!O375="",IF('Raw Data'!N375="","",0),'Raw Data'!O375)</f>
        <v>127</v>
      </c>
      <c r="P375" t="str">
        <f>IF('Raw Data'!P375="","",'Raw Data'!P375)</f>
        <v/>
      </c>
      <c r="R375" s="3" t="str">
        <f t="shared" si="130"/>
        <v>-</v>
      </c>
      <c r="S375" s="3">
        <f t="shared" si="131"/>
        <v>319</v>
      </c>
      <c r="T375" s="3">
        <f t="shared" si="132"/>
        <v>139</v>
      </c>
      <c r="U375" s="3">
        <f t="shared" si="137"/>
        <v>5.5</v>
      </c>
      <c r="W375" s="4">
        <f t="shared" si="133"/>
        <v>35.336565042034849</v>
      </c>
      <c r="X375" s="4">
        <f t="shared" si="134"/>
        <v>3.4025242144679515</v>
      </c>
      <c r="Y375" s="3">
        <f t="shared" si="135"/>
        <v>139</v>
      </c>
      <c r="Z375" s="4">
        <f>IF('Raw Data'!O375="","",O374+N374)</f>
        <v>127</v>
      </c>
    </row>
    <row r="376" spans="1:27" x14ac:dyDescent="0.25">
      <c r="A376">
        <f>IF('Raw Data'!A376="","",'Raw Data'!A376)</f>
        <v>84</v>
      </c>
      <c r="B376">
        <f>IF('Raw Data'!B376="","",'Raw Data'!B376)</f>
        <v>85</v>
      </c>
      <c r="C376">
        <f>IF('Raw Data'!C376="","",'Raw Data'!C376)</f>
        <v>1</v>
      </c>
      <c r="D376">
        <f>IF('Raw Data'!D376="","",'Raw Data'!D376)</f>
        <v>3</v>
      </c>
      <c r="E376">
        <f>IF('Raw Data'!E376="","",'Raw Data'!E376)</f>
        <v>6</v>
      </c>
      <c r="F376">
        <f>IF('Raw Data'!F376="","",'Raw Data'!F376)</f>
        <v>3</v>
      </c>
      <c r="G376" s="7" t="str">
        <f>IF('Raw Data'!G376="/","-",IF('Raw Data'!G376="","-",SUBSTITUTE('Raw Data'!G376," ",":",1)))</f>
        <v>074:00</v>
      </c>
      <c r="H376" s="7" t="str">
        <f>IF('Raw Data'!H376="/","-",IF('Raw Data'!H376="","-",SUBSTITUTE('Raw Data'!H376," ",":",1)))</f>
        <v>-</v>
      </c>
      <c r="I376" s="7" t="str">
        <f>IF('Raw Data'!I376="/","-",IF('Raw Data'!I376="","-",SUBSTITUTE('Raw Data'!I376," ",":",1)))</f>
        <v>074:00</v>
      </c>
      <c r="J376" s="12">
        <f>IF('Raw Data'!J376="",IF(LEN(K376)&gt;6,SQRT('Raw Data'!M376^2+N376^2),""),'Raw Data'!J376)</f>
        <v>29.1</v>
      </c>
      <c r="K376" s="7" t="str">
        <f>IF('Raw Data'!K376="","",IF(LEN('Raw Data'!K376)&lt;7,SUBSTITUTE('Raw Data'!K376," ",":",1),'Raw Data'!K376))</f>
        <v>16:00</v>
      </c>
      <c r="L376" t="str">
        <f>IF('Raw Data'!L376="","",'Raw Data'!L376)</f>
        <v/>
      </c>
      <c r="M376">
        <f>IF('Raw Data'!M376="","",'Raw Data'!M376)</f>
        <v>28</v>
      </c>
      <c r="N376">
        <f>IF('Raw Data'!N376="","",IF('Raw Data'!N376="-",0,'Raw Data'!N376))</f>
        <v>8.1</v>
      </c>
      <c r="O376">
        <f>IF('Raw Data'!O376="",IF('Raw Data'!N376="","",0),'Raw Data'!O376)</f>
        <v>130.4</v>
      </c>
      <c r="P376" t="str">
        <f>IF('Raw Data'!P376="","",'Raw Data'!P376)</f>
        <v/>
      </c>
      <c r="R376" s="3">
        <f t="shared" si="130"/>
        <v>74</v>
      </c>
      <c r="S376" s="3" t="str">
        <f t="shared" si="131"/>
        <v>-</v>
      </c>
      <c r="T376" s="3">
        <f t="shared" si="132"/>
        <v>74</v>
      </c>
      <c r="U376" s="3">
        <f t="shared" si="137"/>
        <v>16</v>
      </c>
      <c r="W376" s="4">
        <f t="shared" si="133"/>
        <v>27.972715351805082</v>
      </c>
      <c r="X376" s="4">
        <f t="shared" si="134"/>
        <v>8.0210470542746766</v>
      </c>
      <c r="Y376" s="3">
        <f t="shared" si="135"/>
        <v>74</v>
      </c>
      <c r="Z376" s="4">
        <f>IF('Raw Data'!O376="","",O375+N375)</f>
        <v>130.4</v>
      </c>
    </row>
    <row r="377" spans="1:27" x14ac:dyDescent="0.25">
      <c r="A377">
        <f>IF('Raw Data'!A377="","",'Raw Data'!A377)</f>
        <v>85</v>
      </c>
      <c r="B377">
        <f>IF('Raw Data'!B377="","",'Raw Data'!B377)</f>
        <v>86</v>
      </c>
      <c r="C377">
        <f>IF('Raw Data'!C377="","",'Raw Data'!C377)</f>
        <v>3</v>
      </c>
      <c r="D377" t="str">
        <f>IF('Raw Data'!D377="","",'Raw Data'!D377)</f>
        <v>6 to foot of slope</v>
      </c>
      <c r="E377">
        <f>IF('Raw Data'!E377="","",'Raw Data'!E377)</f>
        <v>5</v>
      </c>
      <c r="F377" t="str">
        <f>IF('Raw Data'!F377="","",'Raw Data'!F377)</f>
        <v>/</v>
      </c>
      <c r="G377" s="7" t="str">
        <f>IF('Raw Data'!G377="/","-",IF('Raw Data'!G377="","-",SUBSTITUTE('Raw Data'!G377," ",":",1)))</f>
        <v>-</v>
      </c>
      <c r="H377" s="7" t="str">
        <f>IF('Raw Data'!H377="/","-",IF('Raw Data'!H377="","-",SUBSTITUTE('Raw Data'!H377," ",":",1)))</f>
        <v>193:00</v>
      </c>
      <c r="I377" s="7" t="str">
        <f>IF('Raw Data'!I377="/","-",IF('Raw Data'!I377="","-",SUBSTITUTE('Raw Data'!I377," ",":",1)))</f>
        <v>013:00</v>
      </c>
      <c r="J377" s="12">
        <f>IF('Raw Data'!J377="",IF(LEN(K377)&gt;6,SQRT('Raw Data'!M377^2+N377^2),""),'Raw Data'!J377)</f>
        <v>25.3</v>
      </c>
      <c r="K377" s="7" t="str">
        <f>IF('Raw Data'!K377="","",IF(LEN('Raw Data'!K377)&lt;7,SUBSTITUTE('Raw Data'!K377," ",":",1),'Raw Data'!K377))</f>
        <v>21:00</v>
      </c>
      <c r="L377" t="str">
        <f>IF('Raw Data'!L377="","",'Raw Data'!L377)</f>
        <v/>
      </c>
      <c r="M377">
        <f>IF('Raw Data'!M377="","",'Raw Data'!M377)</f>
        <v>23.7</v>
      </c>
      <c r="N377">
        <f>IF('Raw Data'!N377="","",IF('Raw Data'!N377="-",0,'Raw Data'!N377))</f>
        <v>9.1</v>
      </c>
      <c r="O377">
        <f>IF('Raw Data'!O377="",IF('Raw Data'!N377="","",0),'Raw Data'!O377)</f>
        <v>138.5</v>
      </c>
      <c r="P377" t="str">
        <f>IF('Raw Data'!P377="","",'Raw Data'!P377)</f>
        <v/>
      </c>
      <c r="R377" s="3" t="str">
        <f t="shared" si="130"/>
        <v>-</v>
      </c>
      <c r="S377" s="3">
        <f t="shared" si="131"/>
        <v>193</v>
      </c>
      <c r="T377" s="3">
        <f t="shared" si="132"/>
        <v>13</v>
      </c>
      <c r="U377" s="3">
        <f t="shared" si="137"/>
        <v>21</v>
      </c>
      <c r="W377" s="4">
        <f t="shared" si="133"/>
        <v>23.619584790379204</v>
      </c>
      <c r="X377" s="4">
        <f t="shared" si="134"/>
        <v>9.0667091234960964</v>
      </c>
      <c r="Y377" s="3">
        <f t="shared" si="135"/>
        <v>13</v>
      </c>
      <c r="Z377" s="4">
        <f>IF('Raw Data'!O377="","",O376+N376)</f>
        <v>138.5</v>
      </c>
    </row>
    <row r="378" spans="1:27" x14ac:dyDescent="0.25">
      <c r="A378">
        <f>IF('Raw Data'!A378="","",'Raw Data'!A378)</f>
        <v>86</v>
      </c>
      <c r="B378">
        <f>IF('Raw Data'!B378="","",'Raw Data'!B378)</f>
        <v>87</v>
      </c>
      <c r="C378">
        <f>IF('Raw Data'!C378="","",'Raw Data'!C378)</f>
        <v>3</v>
      </c>
      <c r="D378">
        <f>IF('Raw Data'!D378="","",'Raw Data'!D378)</f>
        <v>2</v>
      </c>
      <c r="E378">
        <f>IF('Raw Data'!E378="","",'Raw Data'!E378)</f>
        <v>7</v>
      </c>
      <c r="F378">
        <f>IF('Raw Data'!F378="","",'Raw Data'!F378)</f>
        <v>3</v>
      </c>
      <c r="G378" s="7" t="str">
        <f>IF('Raw Data'!G378="/","-",IF('Raw Data'!G378="","-",SUBSTITUTE('Raw Data'!G378," ",":",1)))</f>
        <v>353:00</v>
      </c>
      <c r="H378" s="7" t="str">
        <f>IF('Raw Data'!H378="/","-",IF('Raw Data'!H378="","-",SUBSTITUTE('Raw Data'!H378," ",":",1)))</f>
        <v>-</v>
      </c>
      <c r="I378" s="7" t="str">
        <f>IF('Raw Data'!I378="/","-",IF('Raw Data'!I378="","-",SUBSTITUTE('Raw Data'!I378," ",":",1)))</f>
        <v>353:00</v>
      </c>
      <c r="J378" s="12">
        <f>IF('Raw Data'!J378="",IF(LEN(K378)&gt;6,SQRT('Raw Data'!M378^2+N378^2),""),'Raw Data'!J378)</f>
        <v>23.1</v>
      </c>
      <c r="K378" s="7" t="str">
        <f>IF('Raw Data'!K378="","",IF(LEN('Raw Data'!K378)&lt;7,SUBSTITUTE('Raw Data'!K378," ",":",1),'Raw Data'!K378))</f>
        <v>18:30</v>
      </c>
      <c r="L378" t="str">
        <f>IF('Raw Data'!L378="","",'Raw Data'!L378)</f>
        <v/>
      </c>
      <c r="M378">
        <f>IF('Raw Data'!M378="","",'Raw Data'!M378)</f>
        <v>21.9</v>
      </c>
      <c r="N378">
        <f>IF('Raw Data'!N378="","",IF('Raw Data'!N378="-",0,'Raw Data'!N378))</f>
        <v>7.3</v>
      </c>
      <c r="O378">
        <f>IF('Raw Data'!O378="",IF('Raw Data'!N378="","",0),'Raw Data'!O378)</f>
        <v>147.6</v>
      </c>
      <c r="P378" t="str">
        <f>IF('Raw Data'!P378="","",'Raw Data'!P378)</f>
        <v/>
      </c>
      <c r="R378" s="3">
        <f t="shared" si="130"/>
        <v>353</v>
      </c>
      <c r="S378" s="3" t="str">
        <f t="shared" si="131"/>
        <v>-</v>
      </c>
      <c r="T378" s="3">
        <f t="shared" si="132"/>
        <v>353</v>
      </c>
      <c r="U378" s="3">
        <f t="shared" si="137"/>
        <v>18.5</v>
      </c>
      <c r="W378" s="4">
        <f t="shared" si="133"/>
        <v>21.906276435263205</v>
      </c>
      <c r="X378" s="4">
        <f t="shared" si="134"/>
        <v>7.3297375629576287</v>
      </c>
      <c r="Y378" s="3">
        <f t="shared" si="135"/>
        <v>353</v>
      </c>
      <c r="Z378" s="4">
        <f>IF('Raw Data'!O378="","",O377+N377)</f>
        <v>147.6</v>
      </c>
    </row>
    <row r="379" spans="1:27" x14ac:dyDescent="0.25">
      <c r="A379">
        <f>IF('Raw Data'!A379="","",'Raw Data'!A379)</f>
        <v>87</v>
      </c>
      <c r="B379">
        <f>IF('Raw Data'!B379="","",'Raw Data'!B379)</f>
        <v>88</v>
      </c>
      <c r="C379">
        <f>IF('Raw Data'!C379="","",'Raw Data'!C379)</f>
        <v>15</v>
      </c>
      <c r="D379">
        <f>IF('Raw Data'!D379="","",'Raw Data'!D379)</f>
        <v>6</v>
      </c>
      <c r="E379">
        <f>IF('Raw Data'!E379="","",'Raw Data'!E379)</f>
        <v>15</v>
      </c>
      <c r="F379" t="str">
        <f>IF('Raw Data'!F379="","",'Raw Data'!F379)</f>
        <v>10 to corner</v>
      </c>
      <c r="G379" s="7" t="str">
        <f>IF('Raw Data'!G379="/","-",IF('Raw Data'!G379="","-",SUBSTITUTE('Raw Data'!G379," ",":",1)))</f>
        <v>-</v>
      </c>
      <c r="H379" s="7" t="str">
        <f>IF('Raw Data'!H379="/","-",IF('Raw Data'!H379="","-",SUBSTITUTE('Raw Data'!H379," ",":",1)))</f>
        <v>268:00</v>
      </c>
      <c r="I379" s="7" t="str">
        <f>IF('Raw Data'!I379="/","-",IF('Raw Data'!I379="","-",SUBSTITUTE('Raw Data'!I379," ",":",1)))</f>
        <v>088:00</v>
      </c>
      <c r="J379" s="12">
        <f>IF('Raw Data'!J379="",IF(LEN(K379)&gt;6,SQRT('Raw Data'!M379^2+N379^2),""),'Raw Data'!J379)</f>
        <v>51.3</v>
      </c>
      <c r="K379" s="7" t="str">
        <f>IF('Raw Data'!K379="","",IF(LEN('Raw Data'!K379)&lt;7,SUBSTITUTE('Raw Data'!K379," ",":",1),'Raw Data'!K379))</f>
        <v>12:30</v>
      </c>
      <c r="L379" t="str">
        <f>IF('Raw Data'!L379="","",'Raw Data'!L379)</f>
        <v/>
      </c>
      <c r="M379">
        <f>IF('Raw Data'!M379="","",'Raw Data'!M379)</f>
        <v>50.1</v>
      </c>
      <c r="N379">
        <f>IF('Raw Data'!N379="","",IF('Raw Data'!N379="-",0,'Raw Data'!N379))</f>
        <v>11.1</v>
      </c>
      <c r="O379">
        <f>IF('Raw Data'!O379="",IF('Raw Data'!N379="","",0),'Raw Data'!O379)</f>
        <v>154.9</v>
      </c>
      <c r="P379" t="str">
        <f>IF('Raw Data'!P379="","",'Raw Data'!P379)</f>
        <v/>
      </c>
      <c r="R379" s="3" t="str">
        <f t="shared" si="130"/>
        <v>-</v>
      </c>
      <c r="S379" s="3">
        <f t="shared" si="131"/>
        <v>268</v>
      </c>
      <c r="T379" s="3">
        <f t="shared" si="132"/>
        <v>88</v>
      </c>
      <c r="U379" s="3">
        <f t="shared" si="137"/>
        <v>12.5</v>
      </c>
      <c r="W379" s="4">
        <f t="shared" si="133"/>
        <v>50.083985165252578</v>
      </c>
      <c r="X379" s="4">
        <f t="shared" si="134"/>
        <v>11.103352195024677</v>
      </c>
      <c r="Y379" s="3">
        <f t="shared" si="135"/>
        <v>88</v>
      </c>
      <c r="Z379" s="4">
        <f>IF('Raw Data'!O379="","",O378+N378)</f>
        <v>154.9</v>
      </c>
    </row>
    <row r="380" spans="1:27" x14ac:dyDescent="0.25">
      <c r="A380">
        <f>IF('Raw Data'!A380="","",'Raw Data'!A380)</f>
        <v>88</v>
      </c>
      <c r="B380">
        <f>IF('Raw Data'!B380="","",'Raw Data'!B380)</f>
        <v>89</v>
      </c>
      <c r="C380">
        <f>IF('Raw Data'!C380="","",'Raw Data'!C380)</f>
        <v>22</v>
      </c>
      <c r="D380">
        <f>IF('Raw Data'!D380="","",'Raw Data'!D380)</f>
        <v>3</v>
      </c>
      <c r="E380">
        <f>IF('Raw Data'!E380="","",'Raw Data'!E380)</f>
        <v>4</v>
      </c>
      <c r="F380">
        <f>IF('Raw Data'!F380="","",'Raw Data'!F380)</f>
        <v>5</v>
      </c>
      <c r="G380" s="7" t="str">
        <f>IF('Raw Data'!G380="/","-",IF('Raw Data'!G380="","-",SUBSTITUTE('Raw Data'!G380," ",":",1)))</f>
        <v>061:00</v>
      </c>
      <c r="H380" s="7" t="str">
        <f>IF('Raw Data'!H380="/","-",IF('Raw Data'!H380="","-",SUBSTITUTE('Raw Data'!H380," ",":",1)))</f>
        <v>-</v>
      </c>
      <c r="I380" s="7" t="str">
        <f>IF('Raw Data'!I380="/","-",IF('Raw Data'!I380="","-",SUBSTITUTE('Raw Data'!I380," ",":",1)))</f>
        <v>061:00</v>
      </c>
      <c r="J380" s="12">
        <f>IF('Raw Data'!J380="",IF(LEN(K380)&gt;6,SQRT('Raw Data'!M380^2+N380^2),""),'Raw Data'!J380)</f>
        <v>16.5</v>
      </c>
      <c r="K380" s="7" t="str">
        <f>IF('Raw Data'!K380="","",IF(LEN('Raw Data'!K380)&lt;7,SUBSTITUTE('Raw Data'!K380," ",":",1),'Raw Data'!K380))</f>
        <v>22:30</v>
      </c>
      <c r="L380" t="str">
        <f>IF('Raw Data'!L380="","",'Raw Data'!L380)</f>
        <v/>
      </c>
      <c r="M380">
        <f>IF('Raw Data'!M380="","",'Raw Data'!M380)</f>
        <v>15.2</v>
      </c>
      <c r="N380">
        <f>IF('Raw Data'!N380="","",IF('Raw Data'!N380="-",0,'Raw Data'!N380))</f>
        <v>6.3</v>
      </c>
      <c r="O380">
        <f>IF('Raw Data'!O380="",IF('Raw Data'!N380="","",0),'Raw Data'!O380)</f>
        <v>166</v>
      </c>
      <c r="P380" t="str">
        <f>IF('Raw Data'!P380="","",'Raw Data'!P380)</f>
        <v/>
      </c>
      <c r="R380" s="3">
        <f t="shared" si="130"/>
        <v>61</v>
      </c>
      <c r="S380" s="3" t="str">
        <f t="shared" si="131"/>
        <v>-</v>
      </c>
      <c r="T380" s="3">
        <f t="shared" si="132"/>
        <v>61</v>
      </c>
      <c r="U380" s="3">
        <f t="shared" si="137"/>
        <v>22.5</v>
      </c>
      <c r="W380" s="4">
        <f t="shared" si="133"/>
        <v>15.244012286436231</v>
      </c>
      <c r="X380" s="4">
        <f t="shared" si="134"/>
        <v>6.3142766340239813</v>
      </c>
      <c r="Y380" s="3">
        <f t="shared" si="135"/>
        <v>61</v>
      </c>
      <c r="Z380" s="4">
        <f>IF('Raw Data'!O380="","",O379+N379)</f>
        <v>166</v>
      </c>
    </row>
    <row r="381" spans="1:27" x14ac:dyDescent="0.25">
      <c r="A381">
        <f>IF('Raw Data'!A381="","",'Raw Data'!A381)</f>
        <v>89</v>
      </c>
      <c r="B381">
        <f>IF('Raw Data'!B381="","",'Raw Data'!B381)</f>
        <v>90</v>
      </c>
      <c r="C381">
        <f>IF('Raw Data'!C381="","",'Raw Data'!C381)</f>
        <v>24</v>
      </c>
      <c r="D381">
        <f>IF('Raw Data'!D381="","",'Raw Data'!D381)</f>
        <v>6</v>
      </c>
      <c r="E381">
        <f>IF('Raw Data'!E381="","",'Raw Data'!E381)</f>
        <v>1</v>
      </c>
      <c r="F381">
        <f>IF('Raw Data'!F381="","",'Raw Data'!F381)</f>
        <v>4</v>
      </c>
      <c r="G381" s="7" t="str">
        <f>IF('Raw Data'!G381="/","-",IF('Raw Data'!G381="","-",SUBSTITUTE('Raw Data'!G381," ",":",1)))</f>
        <v>-</v>
      </c>
      <c r="H381" s="7" t="str">
        <f>IF('Raw Data'!H381="/","-",IF('Raw Data'!H381="","-",SUBSTITUTE('Raw Data'!H381," ",":",1)))</f>
        <v>211:00</v>
      </c>
      <c r="I381" s="7" t="str">
        <f>IF('Raw Data'!I381="/","-",IF('Raw Data'!I381="","-",SUBSTITUTE('Raw Data'!I381," ",":",1)))</f>
        <v>031:00</v>
      </c>
      <c r="J381" s="12">
        <f>IF('Raw Data'!J381="",IF(LEN(K381)&gt;6,SQRT('Raw Data'!M381^2+N381^2),""),'Raw Data'!J381)</f>
        <v>26.4</v>
      </c>
      <c r="K381" s="7" t="str">
        <f>IF('Raw Data'!K381="","",IF(LEN('Raw Data'!K381)&lt;7,SUBSTITUTE('Raw Data'!K381," ",":",1),'Raw Data'!K381))</f>
        <v>14:30</v>
      </c>
      <c r="L381" t="str">
        <f>IF('Raw Data'!L381="","",'Raw Data'!L381)</f>
        <v/>
      </c>
      <c r="M381">
        <f>IF('Raw Data'!M381="","",'Raw Data'!M381)</f>
        <v>25.5</v>
      </c>
      <c r="N381">
        <f>IF('Raw Data'!N381="","",IF('Raw Data'!N381="-",0,'Raw Data'!N381))</f>
        <v>6.6</v>
      </c>
      <c r="O381">
        <f>IF('Raw Data'!O381="",IF('Raw Data'!N381="","",0),'Raw Data'!O381)</f>
        <v>172.3</v>
      </c>
      <c r="P381" t="str">
        <f>IF('Raw Data'!P381="","",'Raw Data'!P381)</f>
        <v/>
      </c>
      <c r="R381" s="3" t="str">
        <f t="shared" si="130"/>
        <v>-</v>
      </c>
      <c r="S381" s="3">
        <f t="shared" si="131"/>
        <v>211</v>
      </c>
      <c r="T381" s="3">
        <f t="shared" si="132"/>
        <v>31</v>
      </c>
      <c r="U381" s="3">
        <f t="shared" si="137"/>
        <v>14.5</v>
      </c>
      <c r="W381" s="4">
        <f t="shared" si="133"/>
        <v>25.559097705982044</v>
      </c>
      <c r="X381" s="4">
        <f t="shared" si="134"/>
        <v>6.6100321070372541</v>
      </c>
      <c r="Y381" s="3">
        <f t="shared" si="135"/>
        <v>31</v>
      </c>
      <c r="Z381" s="4">
        <f>IF('Raw Data'!O381="","",O380+N380)</f>
        <v>172.3</v>
      </c>
    </row>
    <row r="382" spans="1:27" x14ac:dyDescent="0.25">
      <c r="A382" t="str">
        <f>IF('Raw Data'!A382="","",'Raw Data'!A382)</f>
        <v>p. 71-72</v>
      </c>
      <c r="B382" t="str">
        <f>IF('Raw Data'!B382="","",'Raw Data'!B382)</f>
        <v>(=PDF p.73-74)</v>
      </c>
      <c r="C382" t="str">
        <f>IF('Raw Data'!C382="","",'Raw Data'!C382)</f>
        <v/>
      </c>
      <c r="D382" t="str">
        <f>IF('Raw Data'!D382="","",'Raw Data'!D382)</f>
        <v/>
      </c>
      <c r="E382" t="str">
        <f>IF('Raw Data'!E382="","",'Raw Data'!E382)</f>
        <v/>
      </c>
      <c r="F382" t="str">
        <f>IF('Raw Data'!F382="","",'Raw Data'!F382)</f>
        <v/>
      </c>
      <c r="G382" s="7" t="str">
        <f>IF('Raw Data'!G382="/","-",IF('Raw Data'!G382="","-",SUBSTITUTE('Raw Data'!G382," ",":",1)))</f>
        <v>-</v>
      </c>
      <c r="H382" s="7" t="str">
        <f>IF('Raw Data'!H382="/","-",IF('Raw Data'!H382="","-",SUBSTITUTE('Raw Data'!H382," ",":",1)))</f>
        <v>-</v>
      </c>
      <c r="I382" s="7" t="str">
        <f>IF('Raw Data'!I382="/","-",IF('Raw Data'!I382="","-",SUBSTITUTE('Raw Data'!I382," ",":",1)))</f>
        <v>-</v>
      </c>
      <c r="J382" s="12" t="str">
        <f>IF('Raw Data'!J382="",IF(LEN(K382)&gt;6,SQRT('Raw Data'!M382^2+N382^2),""),'Raw Data'!J382)</f>
        <v/>
      </c>
      <c r="K382" s="7" t="str">
        <f>IF('Raw Data'!K382="","",IF(LEN('Raw Data'!K382)&lt;7,SUBSTITUTE('Raw Data'!K382," ",":",1),'Raw Data'!K382))</f>
        <v/>
      </c>
      <c r="L382" t="str">
        <f>IF('Raw Data'!L382="","",'Raw Data'!L382)</f>
        <v/>
      </c>
      <c r="M382" t="str">
        <f>IF('Raw Data'!M382="","",'Raw Data'!M382)</f>
        <v/>
      </c>
      <c r="N382" t="str">
        <f>IF('Raw Data'!N382="","",IF('Raw Data'!N382="-",0,'Raw Data'!N382))</f>
        <v/>
      </c>
      <c r="O382" t="str">
        <f>IF('Raw Data'!O382="",IF('Raw Data'!N382="","",0),'Raw Data'!O382)</f>
        <v/>
      </c>
      <c r="P382" t="str">
        <f>IF('Raw Data'!P382="","",'Raw Data'!P382)</f>
        <v/>
      </c>
      <c r="W382" s="4"/>
      <c r="X382" s="4"/>
      <c r="Y382" s="3"/>
      <c r="Z382" s="4" t="str">
        <f>IF('Raw Data'!O382="","",O381+N381)</f>
        <v/>
      </c>
    </row>
    <row r="383" spans="1:27" x14ac:dyDescent="0.25">
      <c r="A383">
        <f>IF('Raw Data'!A383="","",'Raw Data'!A383)</f>
        <v>90</v>
      </c>
      <c r="B383">
        <f>IF('Raw Data'!B383="","",'Raw Data'!B383)</f>
        <v>91</v>
      </c>
      <c r="C383">
        <f>IF('Raw Data'!C383="","",'Raw Data'!C383)</f>
        <v>15</v>
      </c>
      <c r="D383">
        <f>IF('Raw Data'!D383="","",'Raw Data'!D383)</f>
        <v>4</v>
      </c>
      <c r="E383">
        <f>IF('Raw Data'!E383="","",'Raw Data'!E383)</f>
        <v>3</v>
      </c>
      <c r="F383">
        <f>IF('Raw Data'!F383="","",'Raw Data'!F383)</f>
        <v>3</v>
      </c>
      <c r="G383" s="7" t="str">
        <f>IF('Raw Data'!G383="/","-",IF('Raw Data'!G383="","-",SUBSTITUTE('Raw Data'!G383," ",":",1)))</f>
        <v>351:00</v>
      </c>
      <c r="H383" s="7" t="str">
        <f>IF('Raw Data'!H383="/","-",IF('Raw Data'!H383="","-",SUBSTITUTE('Raw Data'!H383," ",":",1)))</f>
        <v>-</v>
      </c>
      <c r="I383" s="7" t="str">
        <f>IF('Raw Data'!I383="/","-",IF('Raw Data'!I383="","-",SUBSTITUTE('Raw Data'!I383," ",":",1)))</f>
        <v>351:00</v>
      </c>
      <c r="J383" s="12">
        <f>IF('Raw Data'!J383="",IF(LEN(K383)&gt;6,SQRT('Raw Data'!M383^2+N383^2),""),'Raw Data'!J383)</f>
        <v>49</v>
      </c>
      <c r="K383" s="7" t="str">
        <f>IF('Raw Data'!K383="","",IF(LEN('Raw Data'!K383)&lt;7,SUBSTITUTE('Raw Data'!K383," ",":",1),'Raw Data'!K383))</f>
        <v>3:30</v>
      </c>
      <c r="L383" t="str">
        <f>IF('Raw Data'!L383="","",'Raw Data'!L383)</f>
        <v/>
      </c>
      <c r="M383">
        <f>IF('Raw Data'!M383="","",'Raw Data'!M383)</f>
        <v>48.7</v>
      </c>
      <c r="N383">
        <f>IF('Raw Data'!N383="","",IF('Raw Data'!N383="-",0,'Raw Data'!N383))</f>
        <v>3</v>
      </c>
      <c r="O383">
        <f>IF('Raw Data'!O383="",IF('Raw Data'!N383="","",0),'Raw Data'!O383)</f>
        <v>178.9</v>
      </c>
      <c r="P383" t="str">
        <f>IF('Raw Data'!P383="","",'Raw Data'!P383)</f>
        <v/>
      </c>
      <c r="R383" s="3">
        <f t="shared" si="130"/>
        <v>351</v>
      </c>
      <c r="S383" s="3" t="str">
        <f t="shared" si="131"/>
        <v>-</v>
      </c>
      <c r="T383" s="3">
        <f t="shared" si="132"/>
        <v>351</v>
      </c>
      <c r="U383" s="3">
        <f t="shared" ref="U383:U387" si="138">IF(ISERROR(FIND(":",K383)),IF(K383="zero",0,1*K383),1*CONCATENATE(LEFT(K383,FIND(":",K383)-1),".",MID(RIGHT(K383,LEN(K383)-FIND(":",K383))/60,3,8)))</f>
        <v>3.5</v>
      </c>
      <c r="W383" s="4">
        <f t="shared" si="133"/>
        <v>48.908605122671482</v>
      </c>
      <c r="X383" s="4">
        <f t="shared" si="134"/>
        <v>2.9913784372079868</v>
      </c>
      <c r="Y383" s="3">
        <f t="shared" si="135"/>
        <v>351</v>
      </c>
      <c r="Z383" s="4">
        <f>IF('Raw Data'!O383="","",O381+N381)</f>
        <v>178.9</v>
      </c>
      <c r="AA383" t="s">
        <v>900</v>
      </c>
    </row>
    <row r="384" spans="1:27" x14ac:dyDescent="0.25">
      <c r="A384">
        <f>IF('Raw Data'!A384="","",'Raw Data'!A384)</f>
        <v>91</v>
      </c>
      <c r="B384">
        <f>IF('Raw Data'!B384="","",'Raw Data'!B384)</f>
        <v>92</v>
      </c>
      <c r="C384">
        <f>IF('Raw Data'!C384="","",'Raw Data'!C384)</f>
        <v>25</v>
      </c>
      <c r="D384" t="str">
        <f>IF('Raw Data'!D384="","",'Raw Data'!D384)</f>
        <v>3 rocks</v>
      </c>
      <c r="E384" t="str">
        <f>IF('Raw Data'!E384="","",'Raw Data'!E384)</f>
        <v>-</v>
      </c>
      <c r="F384">
        <f>IF('Raw Data'!F384="","",'Raw Data'!F384)</f>
        <v>5</v>
      </c>
      <c r="G384" s="7" t="str">
        <f>IF('Raw Data'!G384="/","-",IF('Raw Data'!G384="","-",SUBSTITUTE('Raw Data'!G384," ",":",1)))</f>
        <v>-</v>
      </c>
      <c r="H384" s="7" t="str">
        <f>IF('Raw Data'!H384="/","-",IF('Raw Data'!H384="","-",SUBSTITUTE('Raw Data'!H384," ",":",1)))</f>
        <v>215:00</v>
      </c>
      <c r="I384" s="7" t="str">
        <f>IF('Raw Data'!I384="/","-",IF('Raw Data'!I384="","-",SUBSTITUTE('Raw Data'!I384," ",":",1)))</f>
        <v>035:00</v>
      </c>
      <c r="J384" s="12">
        <f>IF('Raw Data'!J384="",IF(LEN(K384)&gt;6,SQRT('Raw Data'!M384^2+N384^2),""),'Raw Data'!J384)</f>
        <v>35.799999999999997</v>
      </c>
      <c r="K384" s="7" t="str">
        <f>IF('Raw Data'!K384="","",IF(LEN('Raw Data'!K384)&lt;7,SUBSTITUTE('Raw Data'!K384," ",":",1),'Raw Data'!K384))</f>
        <v>26:30</v>
      </c>
      <c r="L384" t="str">
        <f>IF('Raw Data'!L384="","",'Raw Data'!L384)</f>
        <v/>
      </c>
      <c r="M384">
        <f>IF('Raw Data'!M384="","",'Raw Data'!M384)</f>
        <v>32</v>
      </c>
      <c r="N384">
        <f>IF('Raw Data'!N384="","",IF('Raw Data'!N384="-",0,'Raw Data'!N384))</f>
        <v>16</v>
      </c>
      <c r="O384">
        <f>IF('Raw Data'!O384="",IF('Raw Data'!N384="","",0),'Raw Data'!O384)</f>
        <v>181.9</v>
      </c>
      <c r="P384" t="str">
        <f>IF('Raw Data'!P384="","",'Raw Data'!P384)</f>
        <v/>
      </c>
      <c r="R384" s="3" t="str">
        <f t="shared" si="130"/>
        <v>-</v>
      </c>
      <c r="S384" s="3">
        <f t="shared" si="131"/>
        <v>215</v>
      </c>
      <c r="T384" s="3">
        <f t="shared" si="132"/>
        <v>35</v>
      </c>
      <c r="U384" s="3">
        <f t="shared" si="138"/>
        <v>26.5</v>
      </c>
      <c r="W384" s="4">
        <f t="shared" si="133"/>
        <v>32.038650145352499</v>
      </c>
      <c r="X384" s="4">
        <f t="shared" si="134"/>
        <v>15.973881709331152</v>
      </c>
      <c r="Y384" s="3">
        <f t="shared" si="135"/>
        <v>35</v>
      </c>
      <c r="Z384" s="4">
        <f>IF('Raw Data'!O384="","",O383+N383)</f>
        <v>181.9</v>
      </c>
    </row>
    <row r="385" spans="1:26" x14ac:dyDescent="0.25">
      <c r="A385">
        <f>IF('Raw Data'!A385="","",'Raw Data'!A385)</f>
        <v>92</v>
      </c>
      <c r="B385">
        <f>IF('Raw Data'!B385="","",'Raw Data'!B385)</f>
        <v>93</v>
      </c>
      <c r="C385">
        <f>IF('Raw Data'!C385="","",'Raw Data'!C385)</f>
        <v>20</v>
      </c>
      <c r="D385">
        <f>IF('Raw Data'!D385="","",'Raw Data'!D385)</f>
        <v>4</v>
      </c>
      <c r="E385">
        <f>IF('Raw Data'!E385="","",'Raw Data'!E385)</f>
        <v>8</v>
      </c>
      <c r="F385">
        <f>IF('Raw Data'!F385="","",'Raw Data'!F385)</f>
        <v>6</v>
      </c>
      <c r="G385" s="7" t="str">
        <f>IF('Raw Data'!G385="/","-",IF('Raw Data'!G385="","-",SUBSTITUTE('Raw Data'!G385," ",":",1)))</f>
        <v>018:00</v>
      </c>
      <c r="H385" s="7" t="str">
        <f>IF('Raw Data'!H385="/","-",IF('Raw Data'!H385="","-",SUBSTITUTE('Raw Data'!H385," ",":",1)))</f>
        <v>-</v>
      </c>
      <c r="I385" s="7" t="str">
        <f>IF('Raw Data'!I385="/","-",IF('Raw Data'!I385="","-",SUBSTITUTE('Raw Data'!I385," ",":",1)))</f>
        <v>018:00</v>
      </c>
      <c r="J385" s="12">
        <f>IF('Raw Data'!J385="",IF(LEN(K385)&gt;6,SQRT('Raw Data'!M385^2+N385^2),""),'Raw Data'!J385)</f>
        <v>48.2</v>
      </c>
      <c r="K385" s="7" t="str">
        <f>IF('Raw Data'!K385="","",IF(LEN('Raw Data'!K385)&lt;7,SUBSTITUTE('Raw Data'!K385," ",":",1),'Raw Data'!K385))</f>
        <v>8:30</v>
      </c>
      <c r="L385" t="str">
        <f>IF('Raw Data'!L385="","",'Raw Data'!L385)</f>
        <v/>
      </c>
      <c r="M385">
        <f>IF('Raw Data'!M385="","",'Raw Data'!M385)</f>
        <v>47.7</v>
      </c>
      <c r="N385">
        <f>IF('Raw Data'!N385="","",IF('Raw Data'!N385="-",0,'Raw Data'!N385))</f>
        <v>7.1</v>
      </c>
      <c r="O385">
        <f>IF('Raw Data'!O385="",IF('Raw Data'!N385="","",0),'Raw Data'!O385)</f>
        <v>197.9</v>
      </c>
      <c r="P385" t="str">
        <f>IF('Raw Data'!P385="","",'Raw Data'!P385)</f>
        <v/>
      </c>
      <c r="R385" s="3">
        <f t="shared" si="130"/>
        <v>18</v>
      </c>
      <c r="S385" s="3" t="str">
        <f t="shared" si="131"/>
        <v>-</v>
      </c>
      <c r="T385" s="3">
        <f t="shared" si="132"/>
        <v>18</v>
      </c>
      <c r="U385" s="3">
        <f t="shared" si="138"/>
        <v>8.5</v>
      </c>
      <c r="W385" s="4">
        <f t="shared" si="133"/>
        <v>47.670564614044395</v>
      </c>
      <c r="X385" s="4">
        <f t="shared" si="134"/>
        <v>7.1244136164472325</v>
      </c>
      <c r="Y385" s="3">
        <f t="shared" si="135"/>
        <v>18</v>
      </c>
      <c r="Z385" s="4">
        <f>IF('Raw Data'!O385="","",O384+N384)</f>
        <v>197.9</v>
      </c>
    </row>
    <row r="386" spans="1:26" x14ac:dyDescent="0.25">
      <c r="A386">
        <f>IF('Raw Data'!A386="","",'Raw Data'!A386)</f>
        <v>93</v>
      </c>
      <c r="B386">
        <f>IF('Raw Data'!B386="","",'Raw Data'!B386)</f>
        <v>94</v>
      </c>
      <c r="C386">
        <f>IF('Raw Data'!C386="","",'Raw Data'!C386)</f>
        <v>8</v>
      </c>
      <c r="D386">
        <f>IF('Raw Data'!D386="","",'Raw Data'!D386)</f>
        <v>7</v>
      </c>
      <c r="E386">
        <f>IF('Raw Data'!E386="","",'Raw Data'!E386)</f>
        <v>5</v>
      </c>
      <c r="F386">
        <f>IF('Raw Data'!F386="","",'Raw Data'!F386)</f>
        <v>2</v>
      </c>
      <c r="G386" s="7" t="str">
        <f>IF('Raw Data'!G386="/","-",IF('Raw Data'!G386="","-",SUBSTITUTE('Raw Data'!G386," ",":",1)))</f>
        <v>-</v>
      </c>
      <c r="H386" s="7" t="str">
        <f>IF('Raw Data'!H386="/","-",IF('Raw Data'!H386="","-",SUBSTITUTE('Raw Data'!H386," ",":",1)))</f>
        <v>211:00</v>
      </c>
      <c r="I386" s="7" t="str">
        <f>IF('Raw Data'!I386="/","-",IF('Raw Data'!I386="","-",SUBSTITUTE('Raw Data'!I386," ",":",1)))</f>
        <v>031:00</v>
      </c>
      <c r="J386" s="12">
        <f>IF('Raw Data'!J386="",IF(LEN(K386)&gt;6,SQRT('Raw Data'!M386^2+N386^2),""),'Raw Data'!J386)</f>
        <v>18.5</v>
      </c>
      <c r="K386" s="7" t="str">
        <f>IF('Raw Data'!K386="","",IF(LEN('Raw Data'!K386)&lt;7,SUBSTITUTE('Raw Data'!K386," ",":",1),'Raw Data'!K386))</f>
        <v>-9:00</v>
      </c>
      <c r="L386" t="str">
        <f>IF('Raw Data'!L386="","",'Raw Data'!L386)</f>
        <v/>
      </c>
      <c r="M386">
        <f>IF('Raw Data'!M386="","",'Raw Data'!M386)</f>
        <v>18.3</v>
      </c>
      <c r="N386">
        <f>IF('Raw Data'!N386="","",IF('Raw Data'!N386="-",0,'Raw Data'!N386))</f>
        <v>-2.9</v>
      </c>
      <c r="O386">
        <f>IF('Raw Data'!O386="",IF('Raw Data'!N386="","",0),'Raw Data'!O386)</f>
        <v>205</v>
      </c>
      <c r="P386" t="str">
        <f>IF('Raw Data'!P386="","",'Raw Data'!P386)</f>
        <v/>
      </c>
      <c r="R386" s="3" t="str">
        <f t="shared" si="130"/>
        <v>-</v>
      </c>
      <c r="S386" s="3">
        <f t="shared" si="131"/>
        <v>211</v>
      </c>
      <c r="T386" s="3">
        <f t="shared" si="132"/>
        <v>31</v>
      </c>
      <c r="U386" s="3">
        <f t="shared" si="138"/>
        <v>-9</v>
      </c>
      <c r="W386" s="4">
        <f t="shared" si="133"/>
        <v>18.272234301010048</v>
      </c>
      <c r="X386" s="4">
        <f t="shared" si="134"/>
        <v>-2.894037603244271</v>
      </c>
      <c r="Y386" s="3">
        <f t="shared" si="135"/>
        <v>31</v>
      </c>
      <c r="Z386" s="4">
        <f>IF('Raw Data'!O386="","",O385+N385)</f>
        <v>205</v>
      </c>
    </row>
    <row r="387" spans="1:26" x14ac:dyDescent="0.25">
      <c r="A387">
        <f>IF('Raw Data'!A387="","",'Raw Data'!A387)</f>
        <v>94</v>
      </c>
      <c r="B387">
        <f>IF('Raw Data'!B387="","",'Raw Data'!B387)</f>
        <v>95</v>
      </c>
      <c r="C387" t="str">
        <f>IF('Raw Data'!C387="","",'Raw Data'!C387)</f>
        <v>stalagmite 5</v>
      </c>
      <c r="D387">
        <f>IF('Raw Data'!D387="","",'Raw Data'!D387)</f>
        <v>3</v>
      </c>
      <c r="E387">
        <f>IF('Raw Data'!E387="","",'Raw Data'!E387)</f>
        <v>3</v>
      </c>
      <c r="F387">
        <f>IF('Raw Data'!F387="","",'Raw Data'!F387)</f>
        <v>1</v>
      </c>
      <c r="G387" s="7" t="str">
        <f>IF('Raw Data'!G387="/","-",IF('Raw Data'!G387="","-",SUBSTITUTE('Raw Data'!G387," ",":",1)))</f>
        <v>003:00</v>
      </c>
      <c r="H387" s="7" t="str">
        <f>IF('Raw Data'!H387="/","-",IF('Raw Data'!H387="","-",SUBSTITUTE('Raw Data'!H387," ",":",1)))</f>
        <v>-</v>
      </c>
      <c r="I387" s="7" t="str">
        <f>IF('Raw Data'!I387="/","-",IF('Raw Data'!I387="","-",SUBSTITUTE('Raw Data'!I387," ",":",1)))</f>
        <v>003:00</v>
      </c>
      <c r="J387" s="12">
        <f>IF('Raw Data'!J387="",IF(LEN(K387)&gt;6,SQRT('Raw Data'!M387^2+N387^2),""),'Raw Data'!J387)</f>
        <v>26</v>
      </c>
      <c r="K387" s="7" t="str">
        <f>IF('Raw Data'!K387="","",IF(LEN('Raw Data'!K387)&lt;7,SUBSTITUTE('Raw Data'!K387," ",":",1),'Raw Data'!K387))</f>
        <v>-4:30</v>
      </c>
      <c r="L387" t="str">
        <f>IF('Raw Data'!L387="","",'Raw Data'!L387)</f>
        <v/>
      </c>
      <c r="M387">
        <f>IF('Raw Data'!M387="","",'Raw Data'!M387)</f>
        <v>25.8</v>
      </c>
      <c r="N387">
        <f>IF('Raw Data'!N387="","",IF('Raw Data'!N387="-",0,'Raw Data'!N387))</f>
        <v>-2</v>
      </c>
      <c r="O387">
        <f>IF('Raw Data'!O387="",IF('Raw Data'!N387="","",0),'Raw Data'!O387)</f>
        <v>202.1</v>
      </c>
      <c r="P387" t="str">
        <f>IF('Raw Data'!P387="","",'Raw Data'!P387)</f>
        <v/>
      </c>
      <c r="R387" s="3">
        <f t="shared" si="130"/>
        <v>3</v>
      </c>
      <c r="S387" s="3" t="str">
        <f t="shared" si="131"/>
        <v>-</v>
      </c>
      <c r="T387" s="3">
        <f t="shared" si="132"/>
        <v>3</v>
      </c>
      <c r="U387" s="3">
        <f t="shared" si="138"/>
        <v>-4.5</v>
      </c>
      <c r="W387" s="4">
        <f t="shared" si="133"/>
        <v>25.919850677061326</v>
      </c>
      <c r="X387" s="4">
        <f t="shared" si="134"/>
        <v>-2.0399364889239684</v>
      </c>
      <c r="Y387" s="3">
        <f t="shared" si="135"/>
        <v>3</v>
      </c>
      <c r="Z387" s="4">
        <f>IF('Raw Data'!O387="","",O386+N386)</f>
        <v>202.1</v>
      </c>
    </row>
    <row r="388" spans="1:26" x14ac:dyDescent="0.25">
      <c r="A388">
        <f>IF('Raw Data'!A388="","",'Raw Data'!A388)</f>
        <v>95</v>
      </c>
      <c r="B388" t="str">
        <f>IF('Raw Data'!B388="","",'Raw Data'!B388)</f>
        <v/>
      </c>
      <c r="C388">
        <f>IF('Raw Data'!C388="","",'Raw Data'!C388)</f>
        <v>10</v>
      </c>
      <c r="D388" t="str">
        <f>IF('Raw Data'!D388="","",'Raw Data'!D388)</f>
        <v>-</v>
      </c>
      <c r="E388" t="str">
        <f>IF('Raw Data'!E388="","",'Raw Data'!E388)</f>
        <v>-</v>
      </c>
      <c r="F388">
        <f>IF('Raw Data'!F388="","",'Raw Data'!F388)</f>
        <v>3</v>
      </c>
      <c r="G388" s="7" t="str">
        <f>IF('Raw Data'!G388="/","-",IF('Raw Data'!G388="","-",SUBSTITUTE('Raw Data'!G388," ",":",1)))</f>
        <v>-</v>
      </c>
      <c r="H388" s="7" t="str">
        <f>IF('Raw Data'!H388="/","-",IF('Raw Data'!H388="","-",SUBSTITUTE('Raw Data'!H388," ",":",1)))</f>
        <v>-</v>
      </c>
      <c r="I388" s="7" t="str">
        <f>IF('Raw Data'!I388="/","-",IF('Raw Data'!I388="","-",SUBSTITUTE('Raw Data'!I388," ",":",1)))</f>
        <v>-</v>
      </c>
      <c r="J388" s="12" t="str">
        <f>IF('Raw Data'!J388="",IF(LEN(K388)&gt;6,SQRT('Raw Data'!M388^2+N388^2),""),'Raw Data'!J388)</f>
        <v/>
      </c>
      <c r="K388" s="7" t="str">
        <f>IF('Raw Data'!K388="","",IF(LEN('Raw Data'!K388)&lt;7,SUBSTITUTE('Raw Data'!K388," ",":",1),'Raw Data'!K388))</f>
        <v/>
      </c>
      <c r="L388" t="str">
        <f>IF('Raw Data'!L388="","",'Raw Data'!L388)</f>
        <v/>
      </c>
      <c r="M388">
        <f>IF('Raw Data'!M388="","",'Raw Data'!M388)</f>
        <v>52.5</v>
      </c>
      <c r="N388">
        <f>IF('Raw Data'!N388="","",IF('Raw Data'!N388="-",0,'Raw Data'!N388))</f>
        <v>10</v>
      </c>
      <c r="O388">
        <f>IF('Raw Data'!O388="",IF('Raw Data'!N388="","",0),'Raw Data'!O388)</f>
        <v>200.1</v>
      </c>
      <c r="P388" t="str">
        <f>IF('Raw Data'!P388="","",'Raw Data'!P388)</f>
        <v/>
      </c>
      <c r="W388" s="4"/>
      <c r="X388" s="4"/>
      <c r="Y388" s="3"/>
      <c r="Z388" s="4">
        <f>IF('Raw Data'!O388="","",O387+N387)</f>
        <v>200.1</v>
      </c>
    </row>
    <row r="389" spans="1:26" x14ac:dyDescent="0.25">
      <c r="A389" t="str">
        <f>IF('Raw Data'!A389="","",'Raw Data'!A389)</f>
        <v/>
      </c>
      <c r="B389" t="str">
        <f>IF('Raw Data'!B389="","",'Raw Data'!B389)</f>
        <v/>
      </c>
      <c r="C389" t="str">
        <f>IF('Raw Data'!C389="","",'Raw Data'!C389)</f>
        <v/>
      </c>
      <c r="D389" t="str">
        <f>IF('Raw Data'!D389="","",'Raw Data'!D389)</f>
        <v/>
      </c>
      <c r="E389" t="str">
        <f>IF('Raw Data'!E389="","",'Raw Data'!E389)</f>
        <v/>
      </c>
      <c r="F389" t="str">
        <f>IF('Raw Data'!F389="","",'Raw Data'!F389)</f>
        <v/>
      </c>
      <c r="G389" s="7" t="str">
        <f>IF('Raw Data'!G389="/","-",IF('Raw Data'!G389="","-",SUBSTITUTE('Raw Data'!G389," ",":",1)))</f>
        <v>-</v>
      </c>
      <c r="H389" s="7" t="str">
        <f>IF('Raw Data'!H389="/","-",IF('Raw Data'!H389="","-",SUBSTITUTE('Raw Data'!H389," ",":",1)))</f>
        <v>-</v>
      </c>
      <c r="I389" s="7" t="str">
        <f>IF('Raw Data'!I389="/","-",IF('Raw Data'!I389="","-",SUBSTITUTE('Raw Data'!I389," ",":",1)))</f>
        <v>-</v>
      </c>
      <c r="J389" s="12" t="str">
        <f>IF('Raw Data'!J389="",IF(LEN(K389)&gt;6,SQRT('Raw Data'!M389^2+N389^2),""),'Raw Data'!J389)</f>
        <v/>
      </c>
      <c r="K389" s="7" t="str">
        <f>IF('Raw Data'!K389="","",IF(LEN('Raw Data'!K389)&lt;7,SUBSTITUTE('Raw Data'!K389," ",":",1),'Raw Data'!K389))</f>
        <v/>
      </c>
      <c r="L389" t="str">
        <f>IF('Raw Data'!L389="","",'Raw Data'!L389)</f>
        <v/>
      </c>
      <c r="M389" t="str">
        <f>IF('Raw Data'!M389="","",'Raw Data'!M389)</f>
        <v/>
      </c>
      <c r="N389" t="str">
        <f>IF('Raw Data'!N389="","",IF('Raw Data'!N389="-",0,'Raw Data'!N389))</f>
        <v/>
      </c>
      <c r="O389">
        <f>IF('Raw Data'!O389="",IF('Raw Data'!N389="","",0),'Raw Data'!O389)</f>
        <v>210</v>
      </c>
      <c r="P389" t="str">
        <f>IF('Raw Data'!P389="","",'Raw Data'!P389)</f>
        <v/>
      </c>
      <c r="W389" s="4"/>
      <c r="X389" s="4"/>
      <c r="Y389" s="3"/>
      <c r="Z389" s="4">
        <f>IF('Raw Data'!O389="","",O388+N388)</f>
        <v>210.1</v>
      </c>
    </row>
    <row r="390" spans="1:26" x14ac:dyDescent="0.25">
      <c r="A390" t="str">
        <f>IF('Raw Data'!A390="","",'Raw Data'!A390)</f>
        <v>21-22nd April 1957</v>
      </c>
      <c r="B390" t="str">
        <f>IF('Raw Data'!B390="","",'Raw Data'!B390)</f>
        <v>Chris Hawkes</v>
      </c>
      <c r="C390" t="str">
        <f>IF('Raw Data'!C390="","",'Raw Data'!C390)</f>
        <v>Paradise Regained, Mud Sump to Blue Pencil Passage</v>
      </c>
      <c r="D390" t="str">
        <f>IF('Raw Data'!D390="","",'Raw Data'!D390)</f>
        <v/>
      </c>
      <c r="E390" t="str">
        <f>IF('Raw Data'!E390="","",'Raw Data'!E390)</f>
        <v/>
      </c>
      <c r="F390" t="str">
        <f>IF('Raw Data'!F390="","",'Raw Data'!F390)</f>
        <v/>
      </c>
      <c r="G390" s="7" t="str">
        <f>IF('Raw Data'!G390="/","-",IF('Raw Data'!G390="","-",SUBSTITUTE('Raw Data'!G390," ",":",1)))</f>
        <v>-</v>
      </c>
      <c r="H390" s="7" t="str">
        <f>IF('Raw Data'!H390="/","-",IF('Raw Data'!H390="","-",SUBSTITUTE('Raw Data'!H390," ",":",1)))</f>
        <v>-</v>
      </c>
      <c r="I390" s="7" t="str">
        <f>IF('Raw Data'!I390="/","-",IF('Raw Data'!I390="","-",SUBSTITUTE('Raw Data'!I390," ",":",1)))</f>
        <v>-</v>
      </c>
      <c r="J390" s="12" t="str">
        <f>IF('Raw Data'!J390="",IF(LEN(K390)&gt;6,SQRT('Raw Data'!M390^2+N390^2),""),'Raw Data'!J390)</f>
        <v/>
      </c>
      <c r="K390" s="7" t="str">
        <f>IF('Raw Data'!K390="","",IF(LEN('Raw Data'!K390)&lt;7,SUBSTITUTE('Raw Data'!K390," ",":",1),'Raw Data'!K390))</f>
        <v/>
      </c>
      <c r="L390" t="str">
        <f>IF('Raw Data'!L390="","",'Raw Data'!L390)</f>
        <v/>
      </c>
      <c r="M390" t="str">
        <f>IF('Raw Data'!M390="","",'Raw Data'!M390)</f>
        <v>Mag Var 10(deg) 35' W</v>
      </c>
      <c r="N390" t="str">
        <f>IF('Raw Data'!N390="","",IF('Raw Data'!N390="-",0,'Raw Data'!N390))</f>
        <v/>
      </c>
      <c r="O390" t="str">
        <f>IF('Raw Data'!O390="",IF('Raw Data'!N390="","",0),'Raw Data'!O390)</f>
        <v>Alt/ OD</v>
      </c>
      <c r="P390" t="str">
        <f>IF('Raw Data'!P390="","",'Raw Data'!P390)</f>
        <v/>
      </c>
      <c r="W390" s="4"/>
      <c r="X390" s="4"/>
      <c r="Y390" s="3"/>
      <c r="Z390" s="4" t="s">
        <v>989</v>
      </c>
    </row>
    <row r="391" spans="1:26" x14ac:dyDescent="0.25">
      <c r="A391" t="str">
        <f>IF('Raw Data'!A391="","",'Raw Data'!A391)</f>
        <v>ag</v>
      </c>
      <c r="B391">
        <f>IF('Raw Data'!B391="","",'Raw Data'!B391)</f>
        <v>98</v>
      </c>
      <c r="C391">
        <f>IF('Raw Data'!C391="","",'Raw Data'!C391)</f>
        <v>2</v>
      </c>
      <c r="D391">
        <f>IF('Raw Data'!D391="","",'Raw Data'!D391)</f>
        <v>1.5</v>
      </c>
      <c r="E391" t="str">
        <f>IF('Raw Data'!E391="","",'Raw Data'!E391)</f>
        <v>/</v>
      </c>
      <c r="F391" t="str">
        <f>IF('Raw Data'!F391="","",'Raw Data'!F391)</f>
        <v>/</v>
      </c>
      <c r="G391" s="7" t="str">
        <f>IF('Raw Data'!G391="/","-",IF('Raw Data'!G391="","-",SUBSTITUTE('Raw Data'!G391," ",":",1)))</f>
        <v>-</v>
      </c>
      <c r="H391" s="7" t="str">
        <f>IF('Raw Data'!H391="/","-",IF('Raw Data'!H391="","-",SUBSTITUTE('Raw Data'!H391," ",":",1)))</f>
        <v>324:00</v>
      </c>
      <c r="I391" s="7" t="str">
        <f>IF('Raw Data'!I391="/","-",IF('Raw Data'!I391="","-",SUBSTITUTE('Raw Data'!I391," ",":",1)))</f>
        <v>144:00</v>
      </c>
      <c r="J391" s="12">
        <f>IF('Raw Data'!J391="",IF(LEN(K391)&gt;6,SQRT('Raw Data'!M391^2+N391^2),""),'Raw Data'!J391)</f>
        <v>3.3</v>
      </c>
      <c r="K391" s="7" t="str">
        <f>IF('Raw Data'!K391="","",IF(LEN('Raw Data'!K391)&lt;7,SUBSTITUTE('Raw Data'!K391," ",":",1),'Raw Data'!K391))</f>
        <v>23:00</v>
      </c>
      <c r="L391" t="str">
        <f>IF('Raw Data'!L391="","",'Raw Data'!L391)</f>
        <v/>
      </c>
      <c r="M391">
        <f>IF('Raw Data'!M391="","",'Raw Data'!M391)</f>
        <v>3</v>
      </c>
      <c r="N391">
        <f>IF('Raw Data'!N391="","",IF('Raw Data'!N391="-",0,'Raw Data'!N391))</f>
        <v>1.3</v>
      </c>
      <c r="O391">
        <f>IF('Raw Data'!O391="",IF('Raw Data'!N391="","",0),'Raw Data'!O391)</f>
        <v>470.1</v>
      </c>
      <c r="P391" t="str">
        <f>IF('Raw Data'!P391="","",'Raw Data'!P391)</f>
        <v>ag on page 65</v>
      </c>
      <c r="R391" s="3" t="str">
        <f t="shared" ref="R391:R392" si="139">IF(ISERROR(FIND(":",G391)),IF(G391&lt;&gt;"-",1*G391,G391),1*LEFT(G391,FIND(":",G391)-1)+RIGHT(G391,LEN(G391)-FIND(":",G391))/60)</f>
        <v>-</v>
      </c>
      <c r="S391" s="3">
        <f t="shared" ref="S391:S392" si="140">IF(ISERROR(FIND(":",H391)),IF(H391&lt;&gt;"-",1*H391,H391),1*LEFT(H391,FIND(":",H391)-1)+RIGHT(H391,LEN(H391)-FIND(":",H391))/60)</f>
        <v>324</v>
      </c>
      <c r="T391" s="3">
        <f t="shared" ref="T391:T392" si="141">IF(ISERROR(FIND(":",I391)),IF(I391&lt;&gt;"-",1*I391,I391),1*LEFT(I391,FIND(":",I391)-1)+RIGHT(I391,LEN(I391)-FIND(":",I391))/60)</f>
        <v>144</v>
      </c>
      <c r="U391" s="3">
        <f t="shared" ref="U391:U392" si="142">IF(ISERROR(FIND(":",K391)),IF(K391="zero",0,1*K391),1*CONCATENATE(LEFT(K391,FIND(":",K391)-1),".",MID(RIGHT(K391,LEN(K391)-FIND(":",K391))/60,3,8)))</f>
        <v>23</v>
      </c>
      <c r="W391" s="4">
        <f t="shared" ref="W391:W438" si="143">J391*COS(U391*PI()/180)</f>
        <v>3.0376660163930529</v>
      </c>
      <c r="X391" s="4">
        <f t="shared" ref="X391:X438" si="144">J391*SIN(U391*PI()/180)</f>
        <v>1.2894127240146032</v>
      </c>
      <c r="Y391" s="3">
        <f t="shared" ref="Y391:Y438" si="145">IF(R391="-",IF(S391&gt;180,S391-180,S391+180),R391)</f>
        <v>144</v>
      </c>
      <c r="Z391" s="4">
        <f>IF('Raw Data'!O391="","",O391)</f>
        <v>470.1</v>
      </c>
    </row>
    <row r="392" spans="1:26" x14ac:dyDescent="0.25">
      <c r="A392">
        <f>IF('Raw Data'!A392="","",'Raw Data'!A392)</f>
        <v>98</v>
      </c>
      <c r="B392">
        <f>IF('Raw Data'!B392="","",'Raw Data'!B392)</f>
        <v>99</v>
      </c>
      <c r="C392" t="str">
        <f>IF('Raw Data'!C392="","",'Raw Data'!C392)</f>
        <v>/</v>
      </c>
      <c r="D392" t="str">
        <f>IF('Raw Data'!D392="","",'Raw Data'!D392)</f>
        <v>/</v>
      </c>
      <c r="E392" t="str">
        <f>IF('Raw Data'!E392="","",'Raw Data'!E392)</f>
        <v>/</v>
      </c>
      <c r="F392" t="str">
        <f>IF('Raw Data'!F392="","",'Raw Data'!F392)</f>
        <v>/</v>
      </c>
      <c r="G392" s="7" t="str">
        <f>IF('Raw Data'!G392="/","-",IF('Raw Data'!G392="","-",SUBSTITUTE('Raw Data'!G392," ",":",1)))</f>
        <v>262:45</v>
      </c>
      <c r="H392" s="7" t="str">
        <f>IF('Raw Data'!H392="/","-",IF('Raw Data'!H392="","-",SUBSTITUTE('Raw Data'!H392," ",":",1)))</f>
        <v>-</v>
      </c>
      <c r="I392" s="7" t="str">
        <f>IF('Raw Data'!I392="/","-",IF('Raw Data'!I392="","-",SUBSTITUTE('Raw Data'!I392," ",":",1)))</f>
        <v>262:45</v>
      </c>
      <c r="J392" s="12">
        <f>IF('Raw Data'!J392="",IF(LEN(K392)&gt;6,SQRT('Raw Data'!M392^2+N392^2),""),'Raw Data'!J392)</f>
        <v>19.5</v>
      </c>
      <c r="K392" s="7" t="str">
        <f>IF('Raw Data'!K392="","",IF(LEN('Raw Data'!K392)&lt;7,SUBSTITUTE('Raw Data'!K392," ",":",1),'Raw Data'!K392))</f>
        <v>-19:30</v>
      </c>
      <c r="L392" t="str">
        <f>IF('Raw Data'!L392="","",'Raw Data'!L392)</f>
        <v/>
      </c>
      <c r="M392">
        <f>IF('Raw Data'!M392="","",'Raw Data'!M392)</f>
        <v>18.399999999999999</v>
      </c>
      <c r="N392">
        <f>IF('Raw Data'!N392="","",IF('Raw Data'!N392="-",0,'Raw Data'!N392))</f>
        <v>-6.5</v>
      </c>
      <c r="O392">
        <f>IF('Raw Data'!O392="",IF('Raw Data'!N392="","",0),'Raw Data'!O392)</f>
        <v>471.4</v>
      </c>
      <c r="P392" t="str">
        <f>IF('Raw Data'!P392="","",'Raw Data'!P392)</f>
        <v/>
      </c>
      <c r="R392" s="3">
        <f t="shared" si="139"/>
        <v>262.75</v>
      </c>
      <c r="S392" s="3" t="str">
        <f t="shared" si="140"/>
        <v>-</v>
      </c>
      <c r="T392" s="3">
        <f t="shared" si="141"/>
        <v>262.75</v>
      </c>
      <c r="U392" s="3">
        <f t="shared" si="142"/>
        <v>-19.5</v>
      </c>
      <c r="W392" s="4">
        <f t="shared" si="143"/>
        <v>18.38150907629748</v>
      </c>
      <c r="X392" s="4">
        <f t="shared" si="144"/>
        <v>-6.5092337550585322</v>
      </c>
      <c r="Y392" s="3">
        <f t="shared" si="145"/>
        <v>262.75</v>
      </c>
      <c r="Z392" s="4">
        <f>IF('Raw Data'!O392="","",O391+N391)</f>
        <v>471.40000000000003</v>
      </c>
    </row>
    <row r="393" spans="1:26" x14ac:dyDescent="0.25">
      <c r="A393">
        <f>IF('Raw Data'!A393="","",'Raw Data'!A393)</f>
        <v>99</v>
      </c>
      <c r="B393">
        <f>IF('Raw Data'!B393="","",'Raw Data'!B393)</f>
        <v>100</v>
      </c>
      <c r="C393">
        <f>IF('Raw Data'!C393="","",'Raw Data'!C393)</f>
        <v>1</v>
      </c>
      <c r="D393">
        <f>IF('Raw Data'!D393="","",'Raw Data'!D393)</f>
        <v>0.3</v>
      </c>
      <c r="E393">
        <f>IF('Raw Data'!E393="","",'Raw Data'!E393)</f>
        <v>1.8</v>
      </c>
      <c r="F393">
        <f>IF('Raw Data'!F393="","",'Raw Data'!F393)</f>
        <v>3</v>
      </c>
      <c r="G393" s="7" t="str">
        <f>IF('Raw Data'!G393="/","-",IF('Raw Data'!G393="","-",SUBSTITUTE('Raw Data'!G393," ",":",1)))</f>
        <v>262:00</v>
      </c>
      <c r="H393" s="7" t="str">
        <f>IF('Raw Data'!H393="/","-",IF('Raw Data'!H393="","-",SUBSTITUTE('Raw Data'!H393," ",":",1)))</f>
        <v>-</v>
      </c>
      <c r="I393" s="7" t="str">
        <f>IF('Raw Data'!I393="/","-",IF('Raw Data'!I393="","-",SUBSTITUTE('Raw Data'!I393," ",":",1)))</f>
        <v>262:00</v>
      </c>
      <c r="J393" s="12">
        <f>IF('Raw Data'!J393="",IF(LEN(K393)&gt;6,SQRT('Raw Data'!M393^2+N393^2),""),'Raw Data'!J393)</f>
        <v>7.3</v>
      </c>
      <c r="K393" s="7" t="str">
        <f>IF('Raw Data'!K393="","",IF(LEN('Raw Data'!K393)&lt;7,SUBSTITUTE('Raw Data'!K393," ",":",1),'Raw Data'!K393))</f>
        <v>+0.2 feet</v>
      </c>
      <c r="L393" t="str">
        <f>IF('Raw Data'!L393="","",'Raw Data'!L393)</f>
        <v/>
      </c>
      <c r="M393">
        <f>IF('Raw Data'!M393="","",'Raw Data'!M393)</f>
        <v>7.3</v>
      </c>
      <c r="N393">
        <f>IF('Raw Data'!N393="","",IF('Raw Data'!N393="-",0,'Raw Data'!N393))</f>
        <v>0.2</v>
      </c>
      <c r="O393">
        <f>IF('Raw Data'!O393="",IF('Raw Data'!N393="","",0),'Raw Data'!O393)</f>
        <v>464.9</v>
      </c>
      <c r="P393" t="str">
        <f>IF('Raw Data'!P393="","",'Raw Data'!P393)</f>
        <v>Near side of pool in Mud sump</v>
      </c>
      <c r="R393" s="3">
        <f t="shared" ref="R393:R428" si="146">IF(ISERROR(FIND(":",G393)),IF(G393&lt;&gt;"-",1*G393,G393),1*LEFT(G393,FIND(":",G393)-1)+RIGHT(G393,LEN(G393)-FIND(":",G393))/60)</f>
        <v>262</v>
      </c>
      <c r="S393" s="3" t="str">
        <f t="shared" ref="S393:S428" si="147">IF(ISERROR(FIND(":",H393)),IF(H393&lt;&gt;"-",1*H393,H393),1*LEFT(H393,FIND(":",H393)-1)+RIGHT(H393,LEN(H393)-FIND(":",H393))/60)</f>
        <v>-</v>
      </c>
      <c r="T393" s="3">
        <f t="shared" ref="T393:T428" si="148">IF(ISERROR(FIND(":",I393)),IF(I393&lt;&gt;"-",1*I393,I393),1*LEFT(I393,FIND(":",I393)-1)+RIGHT(I393,LEN(I393)-FIND(":",I393))/60)</f>
        <v>262</v>
      </c>
      <c r="U393" s="9">
        <f t="shared" ref="U393" si="149">ASIN(N393/J393)*180/PI()</f>
        <v>1.5699438282612768</v>
      </c>
      <c r="W393" s="4">
        <f t="shared" si="143"/>
        <v>7.2972597596632118</v>
      </c>
      <c r="X393" s="4">
        <f t="shared" si="144"/>
        <v>0.2</v>
      </c>
      <c r="Y393" s="3">
        <f t="shared" si="145"/>
        <v>262</v>
      </c>
      <c r="Z393" s="4">
        <f>IF('Raw Data'!O393="","",O392+N392)</f>
        <v>464.9</v>
      </c>
    </row>
    <row r="394" spans="1:26" x14ac:dyDescent="0.25">
      <c r="A394">
        <f>IF('Raw Data'!A394="","",'Raw Data'!A394)</f>
        <v>100</v>
      </c>
      <c r="B394">
        <f>IF('Raw Data'!B394="","",'Raw Data'!B394)</f>
        <v>101</v>
      </c>
      <c r="C394">
        <f>IF('Raw Data'!C394="","",'Raw Data'!C394)</f>
        <v>3</v>
      </c>
      <c r="D394">
        <f>IF('Raw Data'!D394="","",'Raw Data'!D394)</f>
        <v>0.3</v>
      </c>
      <c r="E394">
        <f>IF('Raw Data'!E394="","",'Raw Data'!E394)</f>
        <v>3.5</v>
      </c>
      <c r="F394">
        <f>IF('Raw Data'!F394="","",'Raw Data'!F394)</f>
        <v>1.2</v>
      </c>
      <c r="G394" s="7" t="str">
        <f>IF('Raw Data'!G394="/","-",IF('Raw Data'!G394="","-",SUBSTITUTE('Raw Data'!G394," ",":",1)))</f>
        <v>-</v>
      </c>
      <c r="H394" s="7" t="str">
        <f>IF('Raw Data'!H394="/","-",IF('Raw Data'!H394="","-",SUBSTITUTE('Raw Data'!H394," ",":",1)))</f>
        <v>033:20</v>
      </c>
      <c r="I394" s="7" t="str">
        <f>IF('Raw Data'!I394="/","-",IF('Raw Data'!I394="","-",SUBSTITUTE('Raw Data'!I394," ",":",1)))</f>
        <v>213:20</v>
      </c>
      <c r="J394" s="12">
        <f>IF('Raw Data'!J394="",IF(LEN(K394)&gt;6,SQRT('Raw Data'!M394^2+N394^2),""),'Raw Data'!J394)</f>
        <v>10.5</v>
      </c>
      <c r="K394" s="7" t="str">
        <f>IF('Raw Data'!K394="","",IF(LEN('Raw Data'!K394)&lt;7,SUBSTITUTE('Raw Data'!K394," ",":",1),'Raw Data'!K394))</f>
        <v>38:20</v>
      </c>
      <c r="L394" t="str">
        <f>IF('Raw Data'!L394="","",'Raw Data'!L394)</f>
        <v/>
      </c>
      <c r="M394">
        <f>IF('Raw Data'!M394="","",'Raw Data'!M394)</f>
        <v>8.1999999999999993</v>
      </c>
      <c r="N394">
        <f>IF('Raw Data'!N394="","",IF('Raw Data'!N394="-",0,'Raw Data'!N394))</f>
        <v>6.5</v>
      </c>
      <c r="O394">
        <f>IF('Raw Data'!O394="",IF('Raw Data'!N394="","",0),'Raw Data'!O394)</f>
        <v>465.1</v>
      </c>
      <c r="P394" t="str">
        <f>IF('Raw Data'!P394="","",'Raw Data'!P394)</f>
        <v>Far side of pool in Mud sump</v>
      </c>
      <c r="R394" s="3" t="str">
        <f t="shared" si="146"/>
        <v>-</v>
      </c>
      <c r="S394" s="3">
        <f t="shared" si="147"/>
        <v>33.333333333333336</v>
      </c>
      <c r="T394" s="3">
        <f t="shared" si="148"/>
        <v>213.33333333333334</v>
      </c>
      <c r="U394" s="3">
        <f t="shared" ref="U394:U409" si="150">IF(ISERROR(FIND(":",K394)),IF(K394="zero",0,1*K394),1*CONCATENATE(LEFT(K394,FIND(":",K394)-1),".",MID(RIGHT(K394,LEN(K394)-FIND(":",K394))/60,3,8)))</f>
        <v>38.333333330000002</v>
      </c>
      <c r="W394" s="4">
        <f t="shared" si="143"/>
        <v>8.2363644820344248</v>
      </c>
      <c r="X394" s="4">
        <f t="shared" si="144"/>
        <v>6.5124726578375594</v>
      </c>
      <c r="Y394" s="3">
        <f t="shared" si="145"/>
        <v>213.33333333333334</v>
      </c>
      <c r="Z394" s="4">
        <f>IF('Raw Data'!O394="","",O393+N393)</f>
        <v>465.09999999999997</v>
      </c>
    </row>
    <row r="395" spans="1:26" x14ac:dyDescent="0.25">
      <c r="A395">
        <f>IF('Raw Data'!A395="","",'Raw Data'!A395)</f>
        <v>101</v>
      </c>
      <c r="B395">
        <f>IF('Raw Data'!B395="","",'Raw Data'!B395)</f>
        <v>102</v>
      </c>
      <c r="C395">
        <f>IF('Raw Data'!C395="","",'Raw Data'!C395)</f>
        <v>3</v>
      </c>
      <c r="D395">
        <f>IF('Raw Data'!D395="","",'Raw Data'!D395)</f>
        <v>1</v>
      </c>
      <c r="E395" t="str">
        <f>IF('Raw Data'!E395="","",'Raw Data'!E395)</f>
        <v>14 in passage</v>
      </c>
      <c r="F395">
        <f>IF('Raw Data'!F395="","",'Raw Data'!F395)</f>
        <v>4</v>
      </c>
      <c r="G395" s="7" t="str">
        <f>IF('Raw Data'!G395="/","-",IF('Raw Data'!G395="","-",SUBSTITUTE('Raw Data'!G395," ",":",1)))</f>
        <v>185:10</v>
      </c>
      <c r="H395" s="7" t="str">
        <f>IF('Raw Data'!H395="/","-",IF('Raw Data'!H395="","-",SUBSTITUTE('Raw Data'!H395," ",":",1)))</f>
        <v>-</v>
      </c>
      <c r="I395" s="7" t="str">
        <f>IF('Raw Data'!I395="/","-",IF('Raw Data'!I395="","-",SUBSTITUTE('Raw Data'!I395," ",":",1)))</f>
        <v>185:10</v>
      </c>
      <c r="J395" s="12">
        <f>IF('Raw Data'!J395="",IF(LEN(K395)&gt;6,SQRT('Raw Data'!M395^2+N395^2),""),'Raw Data'!J395)</f>
        <v>15.5</v>
      </c>
      <c r="K395" s="7" t="str">
        <f>IF('Raw Data'!K395="","",IF(LEN('Raw Data'!K395)&lt;7,SUBSTITUTE('Raw Data'!K395," ",":",1),'Raw Data'!K395))</f>
        <v>-7:00</v>
      </c>
      <c r="L395" t="str">
        <f>IF('Raw Data'!L395="","",'Raw Data'!L395)</f>
        <v/>
      </c>
      <c r="M395">
        <f>IF('Raw Data'!M395="","",'Raw Data'!M395)</f>
        <v>15.4</v>
      </c>
      <c r="N395">
        <f>IF('Raw Data'!N395="","",IF('Raw Data'!N395="-",0,'Raw Data'!N395))</f>
        <v>-1.9</v>
      </c>
      <c r="O395">
        <f>IF('Raw Data'!O395="",IF('Raw Data'!N395="","",0),'Raw Data'!O395)</f>
        <v>471.6</v>
      </c>
      <c r="P395" t="str">
        <f>IF('Raw Data'!P395="","",'Raw Data'!P395)</f>
        <v/>
      </c>
      <c r="R395" s="3">
        <f t="shared" si="146"/>
        <v>185.16666666666666</v>
      </c>
      <c r="S395" s="3" t="str">
        <f t="shared" si="147"/>
        <v>-</v>
      </c>
      <c r="T395" s="3">
        <f t="shared" si="148"/>
        <v>185.16666666666666</v>
      </c>
      <c r="U395" s="3">
        <f t="shared" si="150"/>
        <v>-7</v>
      </c>
      <c r="W395" s="4">
        <f t="shared" si="143"/>
        <v>15.384465350440491</v>
      </c>
      <c r="X395" s="4">
        <f t="shared" si="144"/>
        <v>-1.8889748227797858</v>
      </c>
      <c r="Y395" s="3">
        <f t="shared" si="145"/>
        <v>185.16666666666666</v>
      </c>
      <c r="Z395" s="4">
        <f>IF('Raw Data'!O395="","",O394+N394)</f>
        <v>471.6</v>
      </c>
    </row>
    <row r="396" spans="1:26" x14ac:dyDescent="0.25">
      <c r="A396">
        <f>IF('Raw Data'!A396="","",'Raw Data'!A396)</f>
        <v>102</v>
      </c>
      <c r="B396">
        <f>IF('Raw Data'!B396="","",'Raw Data'!B396)</f>
        <v>103</v>
      </c>
      <c r="C396" t="str">
        <f>IF('Raw Data'!C396="","",'Raw Data'!C396)</f>
        <v>15 in aven</v>
      </c>
      <c r="D396">
        <f>IF('Raw Data'!D396="","",'Raw Data'!D396)</f>
        <v>1</v>
      </c>
      <c r="E396">
        <f>IF('Raw Data'!E396="","",'Raw Data'!E396)</f>
        <v>2</v>
      </c>
      <c r="F396" t="str">
        <f>IF('Raw Data'!F396="","",'Raw Data'!F396)</f>
        <v>7 to aven</v>
      </c>
      <c r="G396" s="7" t="str">
        <f>IF('Raw Data'!G396="/","-",IF('Raw Data'!G396="","-",SUBSTITUTE('Raw Data'!G396," ",":",1)))</f>
        <v>-</v>
      </c>
      <c r="H396" s="7" t="str">
        <f>IF('Raw Data'!H396="/","-",IF('Raw Data'!H396="","-",SUBSTITUTE('Raw Data'!H396," ",":",1)))</f>
        <v>323:20</v>
      </c>
      <c r="I396" s="7" t="str">
        <f>IF('Raw Data'!I396="/","-",IF('Raw Data'!I396="","-",SUBSTITUTE('Raw Data'!I396," ",":",1)))</f>
        <v>143:20</v>
      </c>
      <c r="J396" s="12">
        <f>IF('Raw Data'!J396="",IF(LEN(K396)&gt;6,SQRT('Raw Data'!M396^2+N396^2),""),'Raw Data'!J396)</f>
        <v>28.9</v>
      </c>
      <c r="K396" s="7" t="str">
        <f>IF('Raw Data'!K396="","",IF(LEN('Raw Data'!K396)&lt;7,SUBSTITUTE('Raw Data'!K396," ",":",1),'Raw Data'!K396))</f>
        <v>20:30</v>
      </c>
      <c r="L396" t="str">
        <f>IF('Raw Data'!L396="","",'Raw Data'!L396)</f>
        <v/>
      </c>
      <c r="M396">
        <f>IF('Raw Data'!M396="","",'Raw Data'!M396)</f>
        <v>27</v>
      </c>
      <c r="N396">
        <f>IF('Raw Data'!N396="","",IF('Raw Data'!N396="-",0,'Raw Data'!N396))</f>
        <v>10.1</v>
      </c>
      <c r="O396">
        <f>IF('Raw Data'!O396="",IF('Raw Data'!N396="","",0),'Raw Data'!O396)</f>
        <v>469.7</v>
      </c>
      <c r="P396" t="str">
        <f>IF('Raw Data'!P396="","",'Raw Data'!P396)</f>
        <v/>
      </c>
      <c r="R396" s="3" t="str">
        <f t="shared" si="146"/>
        <v>-</v>
      </c>
      <c r="S396" s="3">
        <f t="shared" si="147"/>
        <v>323.33333333333331</v>
      </c>
      <c r="T396" s="3">
        <f t="shared" si="148"/>
        <v>143.33333333333334</v>
      </c>
      <c r="U396" s="3">
        <f t="shared" si="150"/>
        <v>20.5</v>
      </c>
      <c r="W396" s="4">
        <f t="shared" si="143"/>
        <v>27.069826269278693</v>
      </c>
      <c r="X396" s="4">
        <f t="shared" si="144"/>
        <v>10.120993318398607</v>
      </c>
      <c r="Y396" s="3">
        <f t="shared" si="145"/>
        <v>143.33333333333331</v>
      </c>
      <c r="Z396" s="4">
        <f>IF('Raw Data'!O396="","",O395+N395)</f>
        <v>469.70000000000005</v>
      </c>
    </row>
    <row r="397" spans="1:26" x14ac:dyDescent="0.25">
      <c r="A397">
        <f>IF('Raw Data'!A397="","",'Raw Data'!A397)</f>
        <v>103</v>
      </c>
      <c r="B397">
        <f>IF('Raw Data'!B397="","",'Raw Data'!B397)</f>
        <v>104</v>
      </c>
      <c r="C397" t="str">
        <f>IF('Raw Data'!C397="","",'Raw Data'!C397)</f>
        <v>20 in double passage</v>
      </c>
      <c r="D397">
        <f>IF('Raw Data'!D397="","",'Raw Data'!D397)</f>
        <v>6</v>
      </c>
      <c r="E397">
        <f>IF('Raw Data'!E397="","",'Raw Data'!E397)</f>
        <v>1</v>
      </c>
      <c r="F397">
        <f>IF('Raw Data'!F397="","",'Raw Data'!F397)</f>
        <v>3</v>
      </c>
      <c r="G397" s="7" t="str">
        <f>IF('Raw Data'!G397="/","-",IF('Raw Data'!G397="","-",SUBSTITUTE('Raw Data'!G397," ",":",1)))</f>
        <v>161:30</v>
      </c>
      <c r="H397" s="7" t="str">
        <f>IF('Raw Data'!H397="/","-",IF('Raw Data'!H397="","-",SUBSTITUTE('Raw Data'!H397," ",":",1)))</f>
        <v>-</v>
      </c>
      <c r="I397" s="7" t="str">
        <f>IF('Raw Data'!I397="/","-",IF('Raw Data'!I397="","-",SUBSTITUTE('Raw Data'!I397," ",":",1)))</f>
        <v>161:30</v>
      </c>
      <c r="J397" s="12">
        <f>IF('Raw Data'!J397="",IF(LEN(K397)&gt;6,SQRT('Raw Data'!M397^2+N397^2),""),'Raw Data'!J397)</f>
        <v>7.5</v>
      </c>
      <c r="K397" s="7" t="str">
        <f>IF('Raw Data'!K397="","",IF(LEN('Raw Data'!K397)&lt;7,SUBSTITUTE('Raw Data'!K397," ",":",1),'Raw Data'!K397))</f>
        <v>-12:30</v>
      </c>
      <c r="L397" t="str">
        <f>IF('Raw Data'!L397="","",'Raw Data'!L397)</f>
        <v/>
      </c>
      <c r="M397">
        <f>IF('Raw Data'!M397="","",'Raw Data'!M397)</f>
        <v>7.3</v>
      </c>
      <c r="N397">
        <f>IF('Raw Data'!N397="","",IF('Raw Data'!N397="-",0,'Raw Data'!N397))</f>
        <v>-1.6</v>
      </c>
      <c r="O397">
        <f>IF('Raw Data'!O397="",IF('Raw Data'!N397="","",0),'Raw Data'!O397)</f>
        <v>479.8</v>
      </c>
      <c r="P397" t="str">
        <f>IF('Raw Data'!P397="","",'Raw Data'!P397)</f>
        <v/>
      </c>
      <c r="R397" s="3">
        <f t="shared" si="146"/>
        <v>161.5</v>
      </c>
      <c r="S397" s="3" t="str">
        <f t="shared" si="147"/>
        <v>-</v>
      </c>
      <c r="T397" s="3">
        <f t="shared" si="148"/>
        <v>161.5</v>
      </c>
      <c r="U397" s="3">
        <f t="shared" si="150"/>
        <v>-12.5</v>
      </c>
      <c r="W397" s="4">
        <f t="shared" si="143"/>
        <v>7.3222200533995006</v>
      </c>
      <c r="X397" s="4">
        <f t="shared" si="144"/>
        <v>-1.6232971045357716</v>
      </c>
      <c r="Y397" s="3">
        <f t="shared" si="145"/>
        <v>161.5</v>
      </c>
      <c r="Z397" s="4">
        <f>IF('Raw Data'!O397="","",O396+N396)</f>
        <v>479.8</v>
      </c>
    </row>
    <row r="398" spans="1:26" x14ac:dyDescent="0.25">
      <c r="A398">
        <f>IF('Raw Data'!A398="","",'Raw Data'!A398)</f>
        <v>104</v>
      </c>
      <c r="B398">
        <f>IF('Raw Data'!B398="","",'Raw Data'!B398)</f>
        <v>105</v>
      </c>
      <c r="C398">
        <f>IF('Raw Data'!C398="","",'Raw Data'!C398)</f>
        <v>20</v>
      </c>
      <c r="D398">
        <f>IF('Raw Data'!D398="","",'Raw Data'!D398)</f>
        <v>3</v>
      </c>
      <c r="E398">
        <f>IF('Raw Data'!E398="","",'Raw Data'!E398)</f>
        <v>1</v>
      </c>
      <c r="F398" t="str">
        <f>IF('Raw Data'!F398="","",'Raw Data'!F398)</f>
        <v>6 in fault</v>
      </c>
      <c r="G398" s="7" t="str">
        <f>IF('Raw Data'!G398="/","-",IF('Raw Data'!G398="","-",SUBSTITUTE('Raw Data'!G398," ",":",1)))</f>
        <v>-</v>
      </c>
      <c r="H398" s="7" t="str">
        <f>IF('Raw Data'!H398="/","-",IF('Raw Data'!H398="","-",SUBSTITUTE('Raw Data'!H398," ",":",1)))</f>
        <v>296:40</v>
      </c>
      <c r="I398" s="7" t="str">
        <f>IF('Raw Data'!I398="/","-",IF('Raw Data'!I398="","-",SUBSTITUTE('Raw Data'!I398," ",":",1)))</f>
        <v>116:40</v>
      </c>
      <c r="J398" s="12">
        <f>IF('Raw Data'!J398="",IF(LEN(K398)&gt;6,SQRT('Raw Data'!M398^2+N398^2),""),'Raw Data'!J398)</f>
        <v>6.7</v>
      </c>
      <c r="K398" s="7" t="str">
        <f>IF('Raw Data'!K398="","",IF(LEN('Raw Data'!K398)&lt;7,SUBSTITUTE('Raw Data'!K398," ",":",1),'Raw Data'!K398))</f>
        <v>10:30</v>
      </c>
      <c r="L398" t="str">
        <f>IF('Raw Data'!L398="","",'Raw Data'!L398)</f>
        <v/>
      </c>
      <c r="M398">
        <f>IF('Raw Data'!M398="","",'Raw Data'!M398)</f>
        <v>6.6</v>
      </c>
      <c r="N398">
        <f>IF('Raw Data'!N398="","",IF('Raw Data'!N398="-",0,'Raw Data'!N398))</f>
        <v>1.2</v>
      </c>
      <c r="O398">
        <f>IF('Raw Data'!O398="",IF('Raw Data'!N398="","",0),'Raw Data'!O398)</f>
        <v>478.2</v>
      </c>
      <c r="P398" t="str">
        <f>IF('Raw Data'!P398="","",'Raw Data'!P398)</f>
        <v/>
      </c>
      <c r="R398" s="3" t="str">
        <f t="shared" si="146"/>
        <v>-</v>
      </c>
      <c r="S398" s="3">
        <f t="shared" si="147"/>
        <v>296.66666666666669</v>
      </c>
      <c r="T398" s="3">
        <f t="shared" si="148"/>
        <v>116.66666666666667</v>
      </c>
      <c r="U398" s="3">
        <f t="shared" si="150"/>
        <v>10.5</v>
      </c>
      <c r="W398" s="4">
        <f t="shared" si="143"/>
        <v>6.5878078806784961</v>
      </c>
      <c r="X398" s="4">
        <f t="shared" si="144"/>
        <v>1.2209780207973882</v>
      </c>
      <c r="Y398" s="3">
        <f t="shared" si="145"/>
        <v>116.66666666666669</v>
      </c>
      <c r="Z398" s="4">
        <f>IF('Raw Data'!O398="","",O397+N397)</f>
        <v>478.2</v>
      </c>
    </row>
    <row r="399" spans="1:26" x14ac:dyDescent="0.25">
      <c r="A399">
        <f>IF('Raw Data'!A399="","",'Raw Data'!A399)</f>
        <v>105</v>
      </c>
      <c r="B399">
        <f>IF('Raw Data'!B399="","",'Raw Data'!B399)</f>
        <v>106</v>
      </c>
      <c r="C399">
        <f>IF('Raw Data'!C399="","",'Raw Data'!C399)</f>
        <v>20</v>
      </c>
      <c r="D399">
        <f>IF('Raw Data'!D399="","",'Raw Data'!D399)</f>
        <v>2</v>
      </c>
      <c r="E399">
        <f>IF('Raw Data'!E399="","",'Raw Data'!E399)</f>
        <v>2</v>
      </c>
      <c r="F399">
        <f>IF('Raw Data'!F399="","",'Raw Data'!F399)</f>
        <v>1.5</v>
      </c>
      <c r="G399" s="7" t="str">
        <f>IF('Raw Data'!G399="/","-",IF('Raw Data'!G399="","-",SUBSTITUTE('Raw Data'!G399," ",":",1)))</f>
        <v>139:40</v>
      </c>
      <c r="H399" s="7" t="str">
        <f>IF('Raw Data'!H399="/","-",IF('Raw Data'!H399="","-",SUBSTITUTE('Raw Data'!H399," ",":",1)))</f>
        <v>-</v>
      </c>
      <c r="I399" s="7" t="str">
        <f>IF('Raw Data'!I399="/","-",IF('Raw Data'!I399="","-",SUBSTITUTE('Raw Data'!I399," ",":",1)))</f>
        <v>139:40</v>
      </c>
      <c r="J399" s="12">
        <f>IF('Raw Data'!J399="",IF(LEN(K399)&gt;6,SQRT('Raw Data'!M399^2+N399^2),""),'Raw Data'!J399)</f>
        <v>20.2</v>
      </c>
      <c r="K399" s="7" t="str">
        <f>IF('Raw Data'!K399="","",IF(LEN('Raw Data'!K399)&lt;7,SUBSTITUTE('Raw Data'!K399," ",":",1),'Raw Data'!K399))</f>
        <v>8:30</v>
      </c>
      <c r="L399" t="str">
        <f>IF('Raw Data'!L399="","",'Raw Data'!L399)</f>
        <v/>
      </c>
      <c r="M399">
        <f>IF('Raw Data'!M399="","",'Raw Data'!M399)</f>
        <v>20</v>
      </c>
      <c r="N399">
        <f>IF('Raw Data'!N399="","",IF('Raw Data'!N399="-",0,'Raw Data'!N399))</f>
        <v>3</v>
      </c>
      <c r="O399">
        <f>IF('Raw Data'!O399="",IF('Raw Data'!N399="","",0),'Raw Data'!O399)</f>
        <v>479.4</v>
      </c>
      <c r="P399" t="str">
        <f>IF('Raw Data'!P399="","",'Raw Data'!P399)</f>
        <v/>
      </c>
      <c r="R399" s="3">
        <f t="shared" si="146"/>
        <v>139.66666666666666</v>
      </c>
      <c r="S399" s="3" t="str">
        <f t="shared" si="147"/>
        <v>-</v>
      </c>
      <c r="T399" s="3">
        <f t="shared" si="148"/>
        <v>139.66666666666666</v>
      </c>
      <c r="U399" s="3">
        <f t="shared" si="150"/>
        <v>8.5</v>
      </c>
      <c r="W399" s="4">
        <f t="shared" si="143"/>
        <v>19.978120439910718</v>
      </c>
      <c r="X399" s="4">
        <f t="shared" si="144"/>
        <v>2.9857501048181345</v>
      </c>
      <c r="Y399" s="3">
        <f t="shared" si="145"/>
        <v>139.66666666666666</v>
      </c>
      <c r="Z399" s="4">
        <f>IF('Raw Data'!O399="","",O398+N398)</f>
        <v>479.4</v>
      </c>
    </row>
    <row r="400" spans="1:26" x14ac:dyDescent="0.25">
      <c r="A400">
        <f>IF('Raw Data'!A400="","",'Raw Data'!A400)</f>
        <v>106</v>
      </c>
      <c r="B400">
        <f>IF('Raw Data'!B400="","",'Raw Data'!B400)</f>
        <v>107</v>
      </c>
      <c r="C400">
        <f>IF('Raw Data'!C400="","",'Raw Data'!C400)</f>
        <v>18</v>
      </c>
      <c r="D400">
        <f>IF('Raw Data'!D400="","",'Raw Data'!D400)</f>
        <v>2</v>
      </c>
      <c r="E400">
        <f>IF('Raw Data'!E400="","",'Raw Data'!E400)</f>
        <v>2.5</v>
      </c>
      <c r="F400">
        <f>IF('Raw Data'!F400="","",'Raw Data'!F400)</f>
        <v>6</v>
      </c>
      <c r="G400" s="7" t="str">
        <f>IF('Raw Data'!G400="/","-",IF('Raw Data'!G400="","-",SUBSTITUTE('Raw Data'!G400," ",":",1)))</f>
        <v>-</v>
      </c>
      <c r="H400" s="7" t="str">
        <f>IF('Raw Data'!H400="/","-",IF('Raw Data'!H400="","-",SUBSTITUTE('Raw Data'!H400," ",":",1)))</f>
        <v>115:00</v>
      </c>
      <c r="I400" s="7" t="str">
        <f>IF('Raw Data'!I400="/","-",IF('Raw Data'!I400="","-",SUBSTITUTE('Raw Data'!I400," ",":",1)))</f>
        <v>295:00</v>
      </c>
      <c r="J400" s="12">
        <f>IF('Raw Data'!J400="",IF(LEN(K400)&gt;6,SQRT('Raw Data'!M400^2+N400^2),""),'Raw Data'!J400)</f>
        <v>3.3</v>
      </c>
      <c r="K400" s="7" t="str">
        <f>IF('Raw Data'!K400="","",IF(LEN('Raw Data'!K400)&lt;7,SUBSTITUTE('Raw Data'!K400," ",":",1),'Raw Data'!K400))</f>
        <v>6:00</v>
      </c>
      <c r="L400" t="str">
        <f>IF('Raw Data'!L400="","",'Raw Data'!L400)</f>
        <v/>
      </c>
      <c r="M400">
        <f>IF('Raw Data'!M400="","",'Raw Data'!M400)</f>
        <v>3.3</v>
      </c>
      <c r="N400">
        <f>IF('Raw Data'!N400="","",IF('Raw Data'!N400="-",0,'Raw Data'!N400))</f>
        <v>0.3</v>
      </c>
      <c r="O400">
        <f>IF('Raw Data'!O400="",IF('Raw Data'!N400="","",0),'Raw Data'!O400)</f>
        <v>482.4</v>
      </c>
      <c r="P400" t="str">
        <f>IF('Raw Data'!P400="","",'Raw Data'!P400)</f>
        <v/>
      </c>
      <c r="R400" s="3" t="str">
        <f t="shared" si="146"/>
        <v>-</v>
      </c>
      <c r="S400" s="3">
        <f t="shared" si="147"/>
        <v>115</v>
      </c>
      <c r="T400" s="3">
        <f t="shared" si="148"/>
        <v>295</v>
      </c>
      <c r="U400" s="3">
        <f t="shared" si="150"/>
        <v>6</v>
      </c>
      <c r="W400" s="4">
        <f t="shared" si="143"/>
        <v>3.2819222547153015</v>
      </c>
      <c r="X400" s="4">
        <f t="shared" si="144"/>
        <v>0.34494392878325641</v>
      </c>
      <c r="Y400" s="3">
        <f t="shared" si="145"/>
        <v>295</v>
      </c>
      <c r="Z400" s="4">
        <f>IF('Raw Data'!O400="","",O399+N399)</f>
        <v>482.4</v>
      </c>
    </row>
    <row r="401" spans="1:27" x14ac:dyDescent="0.25">
      <c r="A401">
        <f>IF('Raw Data'!A401="","",'Raw Data'!A401)</f>
        <v>107</v>
      </c>
      <c r="B401">
        <f>IF('Raw Data'!B401="","",'Raw Data'!B401)</f>
        <v>108</v>
      </c>
      <c r="C401" t="str">
        <f>IF('Raw Data'!C401="","",'Raw Data'!C401)</f>
        <v>/</v>
      </c>
      <c r="D401" t="str">
        <f>IF('Raw Data'!D401="","",'Raw Data'!D401)</f>
        <v>/</v>
      </c>
      <c r="E401" t="str">
        <f>IF('Raw Data'!E401="","",'Raw Data'!E401)</f>
        <v>/</v>
      </c>
      <c r="F401" t="str">
        <f>IF('Raw Data'!F401="","",'Raw Data'!F401)</f>
        <v>/</v>
      </c>
      <c r="G401" s="7" t="str">
        <f>IF('Raw Data'!G401="/","-",IF('Raw Data'!G401="","-",SUBSTITUTE('Raw Data'!G401," ",":",1)))</f>
        <v>155:00</v>
      </c>
      <c r="H401" s="7" t="str">
        <f>IF('Raw Data'!H401="/","-",IF('Raw Data'!H401="","-",SUBSTITUTE('Raw Data'!H401," ",":",1)))</f>
        <v>-</v>
      </c>
      <c r="I401" s="7" t="str">
        <f>IF('Raw Data'!I401="/","-",IF('Raw Data'!I401="","-",SUBSTITUTE('Raw Data'!I401," ",":",1)))</f>
        <v>155:00</v>
      </c>
      <c r="J401" s="12">
        <f>IF('Raw Data'!J401="",IF(LEN(K401)&gt;6,SQRT('Raw Data'!M401^2+N401^2),""),'Raw Data'!J401)</f>
        <v>15</v>
      </c>
      <c r="K401" s="7" t="str">
        <f>IF('Raw Data'!K401="","",IF(LEN('Raw Data'!K401)&lt;7,SUBSTITUTE('Raw Data'!K401," ",":",1),'Raw Data'!K401))</f>
        <v>-8:50</v>
      </c>
      <c r="L401" t="str">
        <f>IF('Raw Data'!L401="","",'Raw Data'!L401)</f>
        <v/>
      </c>
      <c r="M401">
        <f>IF('Raw Data'!M401="","",'Raw Data'!M401)</f>
        <v>14.8</v>
      </c>
      <c r="N401">
        <f>IF('Raw Data'!N401="","",IF('Raw Data'!N401="-",0,'Raw Data'!N401))</f>
        <v>-2.2999999999999998</v>
      </c>
      <c r="O401">
        <f>IF('Raw Data'!O401="",IF('Raw Data'!N401="","",0),'Raw Data'!O401)</f>
        <v>482.7</v>
      </c>
      <c r="P401" t="str">
        <f>IF('Raw Data'!P401="","",'Raw Data'!P401)</f>
        <v/>
      </c>
      <c r="R401" s="3">
        <f t="shared" si="146"/>
        <v>155</v>
      </c>
      <c r="S401" s="3" t="str">
        <f t="shared" si="147"/>
        <v>-</v>
      </c>
      <c r="T401" s="3">
        <f t="shared" si="148"/>
        <v>155</v>
      </c>
      <c r="U401" s="3">
        <f t="shared" si="150"/>
        <v>-8.8333333300000003</v>
      </c>
      <c r="W401" s="4">
        <f t="shared" si="143"/>
        <v>14.822088160035147</v>
      </c>
      <c r="X401" s="4">
        <f t="shared" si="144"/>
        <v>-2.30341107406948</v>
      </c>
      <c r="Y401" s="3">
        <f t="shared" si="145"/>
        <v>155</v>
      </c>
      <c r="Z401" s="4">
        <f>IF('Raw Data'!O401="","",O400+N400)</f>
        <v>482.7</v>
      </c>
    </row>
    <row r="402" spans="1:27" x14ac:dyDescent="0.25">
      <c r="A402">
        <f>IF('Raw Data'!A402="","",'Raw Data'!A402)</f>
        <v>108</v>
      </c>
      <c r="B402">
        <f>IF('Raw Data'!B402="","",'Raw Data'!B402)</f>
        <v>109</v>
      </c>
      <c r="C402">
        <f>IF('Raw Data'!C402="","",'Raw Data'!C402)</f>
        <v>3</v>
      </c>
      <c r="D402">
        <f>IF('Raw Data'!D402="","",'Raw Data'!D402)</f>
        <v>1.5</v>
      </c>
      <c r="E402">
        <f>IF('Raw Data'!E402="","",'Raw Data'!E402)</f>
        <v>15</v>
      </c>
      <c r="F402" t="str">
        <f>IF('Raw Data'!F402="","",'Raw Data'!F402)</f>
        <v>/</v>
      </c>
      <c r="G402" s="7" t="str">
        <f>IF('Raw Data'!G402="/","-",IF('Raw Data'!G402="","-",SUBSTITUTE('Raw Data'!G402," ",":",1)))</f>
        <v>-</v>
      </c>
      <c r="H402" s="7" t="str">
        <f>IF('Raw Data'!H402="/","-",IF('Raw Data'!H402="","-",SUBSTITUTE('Raw Data'!H402," ",":",1)))</f>
        <v>056:40</v>
      </c>
      <c r="I402" s="7" t="str">
        <f>IF('Raw Data'!I402="/","-",IF('Raw Data'!I402="","-",SUBSTITUTE('Raw Data'!I402," ",":",1)))</f>
        <v>236:40</v>
      </c>
      <c r="J402" s="12">
        <f>IF('Raw Data'!J402="",IF(LEN(K402)&gt;6,SQRT('Raw Data'!M402^2+N402^2),""),'Raw Data'!J402)</f>
        <v>40.200000000000003</v>
      </c>
      <c r="K402" s="7" t="str">
        <f>IF('Raw Data'!K402="","",IF(LEN('Raw Data'!K402)&lt;7,SUBSTITUTE('Raw Data'!K402," ",":",1),'Raw Data'!K402))</f>
        <v>7:30</v>
      </c>
      <c r="L402" t="str">
        <f>IF('Raw Data'!L402="","",'Raw Data'!L402)</f>
        <v/>
      </c>
      <c r="M402">
        <f>IF('Raw Data'!M402="","",'Raw Data'!M402)</f>
        <v>39.9</v>
      </c>
      <c r="N402">
        <f>IF('Raw Data'!N402="","",IF('Raw Data'!N402="-",0,'Raw Data'!N402))</f>
        <v>5.3</v>
      </c>
      <c r="O402">
        <f>IF('Raw Data'!O402="",IF('Raw Data'!N402="","",0),'Raw Data'!O402)</f>
        <v>480.4</v>
      </c>
      <c r="P402" t="str">
        <f>IF('Raw Data'!P402="","",'Raw Data'!P402)</f>
        <v/>
      </c>
      <c r="R402" s="3" t="str">
        <f t="shared" si="146"/>
        <v>-</v>
      </c>
      <c r="S402" s="3">
        <f t="shared" si="147"/>
        <v>56.666666666666664</v>
      </c>
      <c r="T402" s="3">
        <f t="shared" si="148"/>
        <v>236.66666666666666</v>
      </c>
      <c r="U402" s="3">
        <f t="shared" si="150"/>
        <v>7.5</v>
      </c>
      <c r="W402" s="4">
        <f t="shared" si="143"/>
        <v>39.856083427227183</v>
      </c>
      <c r="X402" s="4">
        <f t="shared" si="144"/>
        <v>5.2471529272460735</v>
      </c>
      <c r="Y402" s="3">
        <f t="shared" si="145"/>
        <v>236.66666666666666</v>
      </c>
      <c r="Z402" s="4">
        <f>IF('Raw Data'!O402="","",O401+N401)</f>
        <v>480.4</v>
      </c>
    </row>
    <row r="403" spans="1:27" x14ac:dyDescent="0.25">
      <c r="A403">
        <f>IF('Raw Data'!A403="","",'Raw Data'!A403)</f>
        <v>109</v>
      </c>
      <c r="B403">
        <f>IF('Raw Data'!B403="","",'Raw Data'!B403)</f>
        <v>110</v>
      </c>
      <c r="C403">
        <f>IF('Raw Data'!C403="","",'Raw Data'!C403)</f>
        <v>18</v>
      </c>
      <c r="D403">
        <f>IF('Raw Data'!D403="","",'Raw Data'!D403)</f>
        <v>10</v>
      </c>
      <c r="E403">
        <f>IF('Raw Data'!E403="","",'Raw Data'!E403)</f>
        <v>6</v>
      </c>
      <c r="F403">
        <f>IF('Raw Data'!F403="","",'Raw Data'!F403)</f>
        <v>1.5</v>
      </c>
      <c r="G403" s="7" t="str">
        <f>IF('Raw Data'!G403="/","-",IF('Raw Data'!G403="","-",SUBSTITUTE('Raw Data'!G403," ",":",1)))</f>
        <v>247:00</v>
      </c>
      <c r="H403" s="7" t="str">
        <f>IF('Raw Data'!H403="/","-",IF('Raw Data'!H403="","-",SUBSTITUTE('Raw Data'!H403," ",":",1)))</f>
        <v>-</v>
      </c>
      <c r="I403" s="7" t="str">
        <f>IF('Raw Data'!I403="/","-",IF('Raw Data'!I403="","-",SUBSTITUTE('Raw Data'!I403," ",":",1)))</f>
        <v>247:00</v>
      </c>
      <c r="J403" s="12">
        <f>IF('Raw Data'!J403="",IF(LEN(K403)&gt;6,SQRT('Raw Data'!M403^2+N403^2),""),'Raw Data'!J403)</f>
        <v>20.399999999999999</v>
      </c>
      <c r="K403" s="7" t="str">
        <f>IF('Raw Data'!K403="","",IF(LEN('Raw Data'!K403)&lt;7,SUBSTITUTE('Raw Data'!K403," ",":",1),'Raw Data'!K403))</f>
        <v>-24:30</v>
      </c>
      <c r="L403" t="str">
        <f>IF('Raw Data'!L403="","",'Raw Data'!L403)</f>
        <v/>
      </c>
      <c r="M403">
        <f>IF('Raw Data'!M403="","",'Raw Data'!M403)</f>
        <v>18.5</v>
      </c>
      <c r="N403">
        <f>IF('Raw Data'!N403="","",IF('Raw Data'!N403="-",0,'Raw Data'!N403))</f>
        <v>-8.5</v>
      </c>
      <c r="O403">
        <f>IF('Raw Data'!O403="",IF('Raw Data'!N403="","",0),'Raw Data'!O403)</f>
        <v>485.7</v>
      </c>
      <c r="P403" t="str">
        <f>IF('Raw Data'!P403="","",'Raw Data'!P403)</f>
        <v/>
      </c>
      <c r="R403" s="3">
        <f t="shared" si="146"/>
        <v>247</v>
      </c>
      <c r="S403" s="3" t="str">
        <f t="shared" si="147"/>
        <v>-</v>
      </c>
      <c r="T403" s="3">
        <f t="shared" si="148"/>
        <v>247</v>
      </c>
      <c r="U403" s="3">
        <f t="shared" si="150"/>
        <v>-24.5</v>
      </c>
      <c r="W403" s="4">
        <f t="shared" si="143"/>
        <v>18.56320992588148</v>
      </c>
      <c r="X403" s="4">
        <f t="shared" si="144"/>
        <v>-8.4597421501872763</v>
      </c>
      <c r="Y403" s="3">
        <f t="shared" si="145"/>
        <v>247</v>
      </c>
      <c r="Z403" s="4">
        <f>IF('Raw Data'!O403="","",O402+N402)</f>
        <v>485.7</v>
      </c>
    </row>
    <row r="404" spans="1:27" x14ac:dyDescent="0.25">
      <c r="A404">
        <f>IF('Raw Data'!A404="","",'Raw Data'!A404)</f>
        <v>110</v>
      </c>
      <c r="B404">
        <f>IF('Raw Data'!B404="","",'Raw Data'!B404)</f>
        <v>111</v>
      </c>
      <c r="C404">
        <f>IF('Raw Data'!C404="","",'Raw Data'!C404)</f>
        <v>18</v>
      </c>
      <c r="D404">
        <f>IF('Raw Data'!D404="","",'Raw Data'!D404)</f>
        <v>0.5</v>
      </c>
      <c r="E404" t="str">
        <f>IF('Raw Data'!E404="","",'Raw Data'!E404)</f>
        <v>Drop</v>
      </c>
      <c r="F404">
        <f>IF('Raw Data'!F404="","",'Raw Data'!F404)</f>
        <v>5</v>
      </c>
      <c r="G404" s="7" t="str">
        <f>IF('Raw Data'!G404="/","-",IF('Raw Data'!G404="","-",SUBSTITUTE('Raw Data'!G404," ",":",1)))</f>
        <v>-</v>
      </c>
      <c r="H404" s="7" t="str">
        <f>IF('Raw Data'!H404="/","-",IF('Raw Data'!H404="","-",SUBSTITUTE('Raw Data'!H404," ",":",1)))</f>
        <v>068:30</v>
      </c>
      <c r="I404" s="7" t="str">
        <f>IF('Raw Data'!I404="/","-",IF('Raw Data'!I404="","-",SUBSTITUTE('Raw Data'!I404," ",":",1)))</f>
        <v>248:30</v>
      </c>
      <c r="J404" s="12">
        <f>IF('Raw Data'!J404="",IF(LEN(K404)&gt;6,SQRT('Raw Data'!M404^2+N404^2),""),'Raw Data'!J404)</f>
        <v>26</v>
      </c>
      <c r="K404" s="7" t="str">
        <f>IF('Raw Data'!K404="","",IF(LEN('Raw Data'!K404)&lt;7,SUBSTITUTE('Raw Data'!K404," ",":",1),'Raw Data'!K404))</f>
        <v>20:30</v>
      </c>
      <c r="L404" t="str">
        <f>IF('Raw Data'!L404="","",'Raw Data'!L404)</f>
        <v/>
      </c>
      <c r="M404">
        <f>IF('Raw Data'!M404="","",'Raw Data'!M404)</f>
        <v>24.3</v>
      </c>
      <c r="N404">
        <f>IF('Raw Data'!N404="","",IF('Raw Data'!N404="-",0,'Raw Data'!N404))</f>
        <v>9.1</v>
      </c>
      <c r="O404">
        <f>IF('Raw Data'!O404="",IF('Raw Data'!N404="","",0),'Raw Data'!O404)</f>
        <v>477.2</v>
      </c>
      <c r="P404" t="str">
        <f>IF('Raw Data'!P404="","",'Raw Data'!P404)</f>
        <v/>
      </c>
      <c r="R404" s="3" t="str">
        <f t="shared" si="146"/>
        <v>-</v>
      </c>
      <c r="S404" s="3">
        <f t="shared" si="147"/>
        <v>68.5</v>
      </c>
      <c r="T404" s="3">
        <f t="shared" si="148"/>
        <v>248.5</v>
      </c>
      <c r="U404" s="3">
        <f t="shared" si="150"/>
        <v>20.5</v>
      </c>
      <c r="W404" s="4">
        <f t="shared" si="143"/>
        <v>24.353476920458341</v>
      </c>
      <c r="X404" s="4">
        <f t="shared" si="144"/>
        <v>9.1053919127461516</v>
      </c>
      <c r="Y404" s="3">
        <f t="shared" si="145"/>
        <v>248.5</v>
      </c>
      <c r="Z404" s="4">
        <f>IF('Raw Data'!O404="","",O403+N403)</f>
        <v>477.2</v>
      </c>
    </row>
    <row r="405" spans="1:27" x14ac:dyDescent="0.25">
      <c r="A405">
        <f>IF('Raw Data'!A405="","",'Raw Data'!A405)</f>
        <v>111</v>
      </c>
      <c r="B405">
        <f>IF('Raw Data'!B405="","",'Raw Data'!B405)</f>
        <v>112</v>
      </c>
      <c r="C405">
        <f>IF('Raw Data'!C405="","",'Raw Data'!C405)</f>
        <v>2</v>
      </c>
      <c r="D405">
        <f>IF('Raw Data'!D405="","",'Raw Data'!D405)</f>
        <v>2</v>
      </c>
      <c r="E405">
        <f>IF('Raw Data'!E405="","",'Raw Data'!E405)</f>
        <v>2.5</v>
      </c>
      <c r="F405">
        <f>IF('Raw Data'!F405="","",'Raw Data'!F405)</f>
        <v>2</v>
      </c>
      <c r="G405" s="7" t="str">
        <f>IF('Raw Data'!G405="/","-",IF('Raw Data'!G405="","-",SUBSTITUTE('Raw Data'!G405," ",":",1)))</f>
        <v>259:30</v>
      </c>
      <c r="H405" s="7" t="str">
        <f>IF('Raw Data'!H405="/","-",IF('Raw Data'!H405="","-",SUBSTITUTE('Raw Data'!H405," ",":",1)))</f>
        <v>-</v>
      </c>
      <c r="I405" s="7" t="str">
        <f>IF('Raw Data'!I405="/","-",IF('Raw Data'!I405="","-",SUBSTITUTE('Raw Data'!I405," ",":",1)))</f>
        <v>259:30</v>
      </c>
      <c r="J405" s="12">
        <f>IF('Raw Data'!J405="",IF(LEN(K405)&gt;6,SQRT('Raw Data'!M405^2+N405^2),""),'Raw Data'!J405)</f>
        <v>31.5</v>
      </c>
      <c r="K405" s="7" t="str">
        <f>IF('Raw Data'!K405="","",IF(LEN('Raw Data'!K405)&lt;7,SUBSTITUTE('Raw Data'!K405," ",":",1),'Raw Data'!K405))</f>
        <v>-14:40</v>
      </c>
      <c r="L405" t="str">
        <f>IF('Raw Data'!L405="","",'Raw Data'!L405)</f>
        <v/>
      </c>
      <c r="M405">
        <f>IF('Raw Data'!M405="","",'Raw Data'!M405)</f>
        <v>30.5</v>
      </c>
      <c r="N405">
        <f>IF('Raw Data'!N405="","",IF('Raw Data'!N405="-",0,'Raw Data'!N405))</f>
        <v>-8</v>
      </c>
      <c r="O405">
        <f>IF('Raw Data'!O405="",IF('Raw Data'!N405="","",0),'Raw Data'!O405)</f>
        <v>486.3</v>
      </c>
      <c r="P405" t="str">
        <f>IF('Raw Data'!P405="","",'Raw Data'!P405)</f>
        <v/>
      </c>
      <c r="R405" s="3">
        <f t="shared" si="146"/>
        <v>259.5</v>
      </c>
      <c r="S405" s="3" t="str">
        <f t="shared" si="147"/>
        <v>-</v>
      </c>
      <c r="T405" s="3">
        <f t="shared" si="148"/>
        <v>259.5</v>
      </c>
      <c r="U405" s="3">
        <f t="shared" si="150"/>
        <v>-14.666666660000001</v>
      </c>
      <c r="W405" s="4">
        <f t="shared" si="143"/>
        <v>30.473579414008224</v>
      </c>
      <c r="X405" s="4">
        <f t="shared" si="144"/>
        <v>-7.9756477917554918</v>
      </c>
      <c r="Y405" s="3">
        <f t="shared" si="145"/>
        <v>259.5</v>
      </c>
      <c r="Z405" s="4">
        <f>IF('Raw Data'!O405="","",O404+N404)</f>
        <v>486.3</v>
      </c>
    </row>
    <row r="406" spans="1:27" x14ac:dyDescent="0.25">
      <c r="A406">
        <f>IF('Raw Data'!A406="","",'Raw Data'!A406)</f>
        <v>112</v>
      </c>
      <c r="B406">
        <f>IF('Raw Data'!B406="","",'Raw Data'!B406)</f>
        <v>113</v>
      </c>
      <c r="C406">
        <f>IF('Raw Data'!C406="","",'Raw Data'!C406)</f>
        <v>2</v>
      </c>
      <c r="D406">
        <f>IF('Raw Data'!D406="","",'Raw Data'!D406)</f>
        <v>0.3</v>
      </c>
      <c r="E406">
        <f>IF('Raw Data'!E406="","",'Raw Data'!E406)</f>
        <v>8</v>
      </c>
      <c r="F406">
        <f>IF('Raw Data'!F406="","",'Raw Data'!F406)</f>
        <v>3.5</v>
      </c>
      <c r="G406" s="7" t="str">
        <f>IF('Raw Data'!G406="/","-",IF('Raw Data'!G406="","-",SUBSTITUTE('Raw Data'!G406," ",":",1)))</f>
        <v>231:00</v>
      </c>
      <c r="H406" s="7" t="str">
        <f>IF('Raw Data'!H406="/","-",IF('Raw Data'!H406="","-",SUBSTITUTE('Raw Data'!H406," ",":",1)))</f>
        <v>-</v>
      </c>
      <c r="I406" s="7" t="str">
        <f>IF('Raw Data'!I406="/","-",IF('Raw Data'!I406="","-",SUBSTITUTE('Raw Data'!I406," ",":",1)))</f>
        <v>231:00</v>
      </c>
      <c r="J406" s="12">
        <f>IF('Raw Data'!J406="",IF(LEN(K406)&gt;6,SQRT('Raw Data'!M406^2+N406^2),""),'Raw Data'!J406)</f>
        <v>13.9</v>
      </c>
      <c r="K406" s="7" t="str">
        <f>IF('Raw Data'!K406="","",IF(LEN('Raw Data'!K406)&lt;7,SUBSTITUTE('Raw Data'!K406," ",":",1),'Raw Data'!K406))</f>
        <v>-12:30</v>
      </c>
      <c r="L406" t="str">
        <f>IF('Raw Data'!L406="","",'Raw Data'!L406)</f>
        <v/>
      </c>
      <c r="M406">
        <f>IF('Raw Data'!M406="","",'Raw Data'!M406)</f>
        <v>13.6</v>
      </c>
      <c r="N406">
        <f>IF('Raw Data'!N406="","",IF('Raw Data'!N406="-",0,'Raw Data'!N406))</f>
        <v>-3</v>
      </c>
      <c r="O406">
        <f>IF('Raw Data'!O406="",IF('Raw Data'!N406="","",0),'Raw Data'!O406)</f>
        <v>478.3</v>
      </c>
      <c r="P406" t="str">
        <f>IF('Raw Data'!P406="","",'Raw Data'!P406)</f>
        <v/>
      </c>
      <c r="R406" s="3">
        <f t="shared" si="146"/>
        <v>231</v>
      </c>
      <c r="S406" s="3" t="str">
        <f t="shared" si="147"/>
        <v>-</v>
      </c>
      <c r="T406" s="3">
        <f t="shared" si="148"/>
        <v>231</v>
      </c>
      <c r="U406" s="3">
        <f t="shared" si="150"/>
        <v>-12.5</v>
      </c>
      <c r="W406" s="4">
        <f t="shared" si="143"/>
        <v>13.570514498967075</v>
      </c>
      <c r="X406" s="4">
        <f t="shared" si="144"/>
        <v>-3.0085106337396299</v>
      </c>
      <c r="Y406" s="3">
        <f t="shared" si="145"/>
        <v>231</v>
      </c>
      <c r="Z406" s="4">
        <f>IF('Raw Data'!O406="","",O405+N405)</f>
        <v>478.3</v>
      </c>
    </row>
    <row r="407" spans="1:27" x14ac:dyDescent="0.25">
      <c r="A407">
        <f>IF('Raw Data'!A407="","",'Raw Data'!A407)</f>
        <v>113</v>
      </c>
      <c r="B407">
        <f>IF('Raw Data'!B407="","",'Raw Data'!B407)</f>
        <v>114</v>
      </c>
      <c r="C407">
        <f>IF('Raw Data'!C407="","",'Raw Data'!C407)</f>
        <v>2</v>
      </c>
      <c r="D407">
        <f>IF('Raw Data'!D407="","",'Raw Data'!D407)</f>
        <v>0.5</v>
      </c>
      <c r="E407">
        <f>IF('Raw Data'!E407="","",'Raw Data'!E407)</f>
        <v>0.5</v>
      </c>
      <c r="F407">
        <f>IF('Raw Data'!F407="","",'Raw Data'!F407)</f>
        <v>4</v>
      </c>
      <c r="G407" s="7" t="str">
        <f>IF('Raw Data'!G407="/","-",IF('Raw Data'!G407="","-",SUBSTITUTE('Raw Data'!G407," ",":",1)))</f>
        <v>-</v>
      </c>
      <c r="H407" s="7" t="str">
        <f>IF('Raw Data'!H407="/","-",IF('Raw Data'!H407="","-",SUBSTITUTE('Raw Data'!H407," ",":",1)))</f>
        <v>110:00</v>
      </c>
      <c r="I407" s="7" t="str">
        <f>IF('Raw Data'!I407="/","-",IF('Raw Data'!I407="","-",SUBSTITUTE('Raw Data'!I407," ",":",1)))</f>
        <v>290:00</v>
      </c>
      <c r="J407" s="12">
        <f>IF('Raw Data'!J407="",IF(LEN(K407)&gt;6,SQRT('Raw Data'!M407^2+N407^2),""),'Raw Data'!J407)</f>
        <v>17.7</v>
      </c>
      <c r="K407" s="7" t="str">
        <f>IF('Raw Data'!K407="","",IF(LEN('Raw Data'!K407)&lt;7,SUBSTITUTE('Raw Data'!K407," ",":",1),'Raw Data'!K407))</f>
        <v>49:00</v>
      </c>
      <c r="L407" t="str">
        <f>IF('Raw Data'!L407="","",'Raw Data'!L407)</f>
        <v/>
      </c>
      <c r="M407">
        <f>IF('Raw Data'!M407="","",'Raw Data'!M407)</f>
        <v>11.6</v>
      </c>
      <c r="N407">
        <f>IF('Raw Data'!N407="","",IF('Raw Data'!N407="-",0,'Raw Data'!N407))</f>
        <v>13.4</v>
      </c>
      <c r="O407">
        <f>IF('Raw Data'!O407="",IF('Raw Data'!N407="","",0),'Raw Data'!O407)</f>
        <v>475.3</v>
      </c>
      <c r="P407" t="str">
        <f>IF('Raw Data'!P407="","",'Raw Data'!P407)</f>
        <v>Foot of Mud Shute</v>
      </c>
      <c r="R407" s="3" t="str">
        <f t="shared" si="146"/>
        <v>-</v>
      </c>
      <c r="S407" s="3">
        <f t="shared" si="147"/>
        <v>110</v>
      </c>
      <c r="T407" s="3">
        <f t="shared" si="148"/>
        <v>290</v>
      </c>
      <c r="U407" s="3">
        <f t="shared" si="150"/>
        <v>49</v>
      </c>
      <c r="W407" s="4">
        <f t="shared" si="143"/>
        <v>11.612244813131978</v>
      </c>
      <c r="X407" s="4">
        <f t="shared" si="144"/>
        <v>13.358359569943064</v>
      </c>
      <c r="Y407" s="3">
        <f t="shared" si="145"/>
        <v>290</v>
      </c>
      <c r="Z407" s="4">
        <f>IF('Raw Data'!O407="","",O406+N406)</f>
        <v>475.3</v>
      </c>
    </row>
    <row r="408" spans="1:27" x14ac:dyDescent="0.25">
      <c r="A408">
        <f>IF('Raw Data'!A408="","",'Raw Data'!A408)</f>
        <v>114</v>
      </c>
      <c r="B408">
        <f>IF('Raw Data'!B408="","",'Raw Data'!B408)</f>
        <v>115</v>
      </c>
      <c r="C408">
        <f>IF('Raw Data'!C408="","",'Raw Data'!C408)</f>
        <v>2.5</v>
      </c>
      <c r="D408">
        <f>IF('Raw Data'!D408="","",'Raw Data'!D408)</f>
        <v>4</v>
      </c>
      <c r="E408">
        <f>IF('Raw Data'!E408="","",'Raw Data'!E408)</f>
        <v>0.5</v>
      </c>
      <c r="F408">
        <f>IF('Raw Data'!F408="","",'Raw Data'!F408)</f>
        <v>1</v>
      </c>
      <c r="G408" s="7" t="str">
        <f>IF('Raw Data'!G408="/","-",IF('Raw Data'!G408="","-",SUBSTITUTE('Raw Data'!G408," ",":",1)))</f>
        <v>312:00</v>
      </c>
      <c r="H408" s="7" t="str">
        <f>IF('Raw Data'!H408="/","-",IF('Raw Data'!H408="","-",SUBSTITUTE('Raw Data'!H408," ",":",1)))</f>
        <v>-</v>
      </c>
      <c r="I408" s="7" t="str">
        <f>IF('Raw Data'!I408="/","-",IF('Raw Data'!I408="","-",SUBSTITUTE('Raw Data'!I408," ",":",1)))</f>
        <v>312:00</v>
      </c>
      <c r="J408" s="12">
        <f>IF('Raw Data'!J408="",IF(LEN(K408)&gt;6,SQRT('Raw Data'!M408^2+N408^2),""),'Raw Data'!J408)</f>
        <v>7.6</v>
      </c>
      <c r="K408" s="7" t="str">
        <f>IF('Raw Data'!K408="","",IF(LEN('Raw Data'!K408)&lt;7,SUBSTITUTE('Raw Data'!K408," ",":",1),'Raw Data'!K408))</f>
        <v>1:00</v>
      </c>
      <c r="L408" t="str">
        <f>IF('Raw Data'!L408="","",'Raw Data'!L408)</f>
        <v/>
      </c>
      <c r="M408">
        <f>IF('Raw Data'!M408="","",'Raw Data'!M408)</f>
        <v>7.6</v>
      </c>
      <c r="N408">
        <f>IF('Raw Data'!N408="","",IF('Raw Data'!N408="-",0,'Raw Data'!N408))</f>
        <v>0.1</v>
      </c>
      <c r="O408">
        <f>IF('Raw Data'!O408="",IF('Raw Data'!N408="","",0),'Raw Data'!O408)</f>
        <v>488.7</v>
      </c>
      <c r="P408" t="str">
        <f>IF('Raw Data'!P408="","",'Raw Data'!P408)</f>
        <v/>
      </c>
      <c r="R408" s="3">
        <f t="shared" si="146"/>
        <v>312</v>
      </c>
      <c r="S408" s="3" t="str">
        <f t="shared" si="147"/>
        <v>-</v>
      </c>
      <c r="T408" s="3">
        <f t="shared" si="148"/>
        <v>312</v>
      </c>
      <c r="U408" s="3">
        <f t="shared" si="150"/>
        <v>1</v>
      </c>
      <c r="W408" s="4">
        <f t="shared" si="143"/>
        <v>7.598842483188573</v>
      </c>
      <c r="X408" s="4">
        <f t="shared" si="144"/>
        <v>0.13263828892335469</v>
      </c>
      <c r="Y408" s="3">
        <f t="shared" si="145"/>
        <v>312</v>
      </c>
      <c r="Z408" s="4">
        <f>IF('Raw Data'!O408="","",O407+N407)</f>
        <v>488.7</v>
      </c>
    </row>
    <row r="409" spans="1:27" x14ac:dyDescent="0.25">
      <c r="A409">
        <f>IF('Raw Data'!A409="","",'Raw Data'!A409)</f>
        <v>115</v>
      </c>
      <c r="B409">
        <f>IF('Raw Data'!B409="","",'Raw Data'!B409)</f>
        <v>116</v>
      </c>
      <c r="C409">
        <f>IF('Raw Data'!C409="","",'Raw Data'!C409)</f>
        <v>2</v>
      </c>
      <c r="D409">
        <f>IF('Raw Data'!D409="","",'Raw Data'!D409)</f>
        <v>0.3</v>
      </c>
      <c r="E409">
        <f>IF('Raw Data'!E409="","",'Raw Data'!E409)</f>
        <v>2.5</v>
      </c>
      <c r="F409">
        <f>IF('Raw Data'!F409="","",'Raw Data'!F409)</f>
        <v>1</v>
      </c>
      <c r="G409" s="7" t="str">
        <f>IF('Raw Data'!G409="/","-",IF('Raw Data'!G409="","-",SUBSTITUTE('Raw Data'!G409," ",":",1)))</f>
        <v>-</v>
      </c>
      <c r="H409" s="7" t="str">
        <f>IF('Raw Data'!H409="/","-",IF('Raw Data'!H409="","-",SUBSTITUTE('Raw Data'!H409," ",":",1)))</f>
        <v>076:00</v>
      </c>
      <c r="I409" s="7" t="str">
        <f>IF('Raw Data'!I409="/","-",IF('Raw Data'!I409="","-",SUBSTITUTE('Raw Data'!I409," ",":",1)))</f>
        <v>256:00</v>
      </c>
      <c r="J409" s="12">
        <f>IF('Raw Data'!J409="",IF(LEN(K409)&gt;6,SQRT('Raw Data'!M409^2+N409^2),""),'Raw Data'!J409)</f>
        <v>9.9</v>
      </c>
      <c r="K409" s="7" t="str">
        <f>IF('Raw Data'!K409="","",IF(LEN('Raw Data'!K409)&lt;7,SUBSTITUTE('Raw Data'!K409," ",":",1),'Raw Data'!K409))</f>
        <v>-14:30</v>
      </c>
      <c r="L409" t="str">
        <f>IF('Raw Data'!L409="","",'Raw Data'!L409)</f>
        <v/>
      </c>
      <c r="M409">
        <f>IF('Raw Data'!M409="","",'Raw Data'!M409)</f>
        <v>9.6</v>
      </c>
      <c r="N409">
        <f>IF('Raw Data'!N409="","",IF('Raw Data'!N409="-",0,'Raw Data'!N409))</f>
        <v>-2.5</v>
      </c>
      <c r="O409">
        <f>IF('Raw Data'!O409="",IF('Raw Data'!N409="","",0),'Raw Data'!O409)</f>
        <v>488.8</v>
      </c>
      <c r="P409" t="str">
        <f>IF('Raw Data'!P409="","",'Raw Data'!P409)</f>
        <v/>
      </c>
      <c r="R409" s="3" t="str">
        <f t="shared" si="146"/>
        <v>-</v>
      </c>
      <c r="S409" s="3">
        <f t="shared" si="147"/>
        <v>76</v>
      </c>
      <c r="T409" s="3">
        <f t="shared" si="148"/>
        <v>256</v>
      </c>
      <c r="U409" s="3">
        <f t="shared" si="150"/>
        <v>-14.5</v>
      </c>
      <c r="W409" s="4">
        <f t="shared" si="143"/>
        <v>9.5846616397432669</v>
      </c>
      <c r="X409" s="4">
        <f t="shared" si="144"/>
        <v>-2.4787620401389705</v>
      </c>
      <c r="Y409" s="3">
        <f t="shared" si="145"/>
        <v>256</v>
      </c>
      <c r="Z409" s="4">
        <f>IF('Raw Data'!O409="","",O408+N408)</f>
        <v>488.8</v>
      </c>
    </row>
    <row r="410" spans="1:27" x14ac:dyDescent="0.25">
      <c r="A410">
        <f>IF('Raw Data'!A410="","",'Raw Data'!A410)</f>
        <v>116</v>
      </c>
      <c r="B410">
        <f>IF('Raw Data'!B410="","",'Raw Data'!B410)</f>
        <v>117</v>
      </c>
      <c r="C410">
        <f>IF('Raw Data'!C410="","",'Raw Data'!C410)</f>
        <v>2</v>
      </c>
      <c r="D410">
        <f>IF('Raw Data'!D410="","",'Raw Data'!D410)</f>
        <v>12.9</v>
      </c>
      <c r="E410">
        <f>IF('Raw Data'!E410="","",'Raw Data'!E410)</f>
        <v>2</v>
      </c>
      <c r="F410" t="str">
        <f>IF('Raw Data'!F410="","",'Raw Data'!F410)</f>
        <v>/</v>
      </c>
      <c r="G410" s="7" t="str">
        <f>IF('Raw Data'!G410="/","-",IF('Raw Data'!G410="","-",SUBSTITUTE('Raw Data'!G410," ",":",1)))</f>
        <v>-</v>
      </c>
      <c r="H410" s="7" t="str">
        <f>IF('Raw Data'!H410="/","-",IF('Raw Data'!H410="","-",SUBSTITUTE('Raw Data'!H410," ",":",1)))</f>
        <v>124:40</v>
      </c>
      <c r="I410" s="7" t="str">
        <f>IF('Raw Data'!I410="/","-",IF('Raw Data'!I410="","-",SUBSTITUTE('Raw Data'!I410," ",":",1)))</f>
        <v>304:40</v>
      </c>
      <c r="J410" s="12">
        <f>IF('Raw Data'!J410="",IF(LEN(K410)&gt;6,SQRT('Raw Data'!M410^2+N410^2),""),'Raw Data'!J410)</f>
        <v>19.8</v>
      </c>
      <c r="K410" s="7" t="str">
        <f>IF('Raw Data'!K410="","",IF(LEN('Raw Data'!K410)&lt;7,SUBSTITUTE('Raw Data'!K410," ",":",1),'Raw Data'!K410))</f>
        <v>-3:00</v>
      </c>
      <c r="L410" t="str">
        <f>IF('Raw Data'!L410="","",'Raw Data'!L410)</f>
        <v/>
      </c>
      <c r="M410">
        <f>IF('Raw Data'!M410="","",'Raw Data'!M410)</f>
        <v>19.7</v>
      </c>
      <c r="N410">
        <f>IF('Raw Data'!N410="","",IF('Raw Data'!N410="-",0,'Raw Data'!N410))</f>
        <v>-2.1</v>
      </c>
      <c r="O410">
        <f>IF('Raw Data'!O410="",IF('Raw Data'!N410="","",0),'Raw Data'!O410)</f>
        <v>486.3</v>
      </c>
      <c r="P410" t="str">
        <f>IF('Raw Data'!P410="","",'Raw Data'!P410)</f>
        <v>Over 12' Drop. Candle put 1.1' lower for clino</v>
      </c>
      <c r="R410" s="3" t="str">
        <f t="shared" si="146"/>
        <v>-</v>
      </c>
      <c r="S410" s="3">
        <f t="shared" si="147"/>
        <v>124.66666666666667</v>
      </c>
      <c r="T410" s="3">
        <f t="shared" si="148"/>
        <v>304.66666666666669</v>
      </c>
      <c r="U410" s="9">
        <f t="shared" ref="U410" si="151">ASIN(N410/J410)*180/PI()</f>
        <v>-6.0882760441169816</v>
      </c>
      <c r="W410" s="4">
        <f t="shared" si="143"/>
        <v>19.688321411435766</v>
      </c>
      <c r="X410" s="4">
        <f t="shared" si="144"/>
        <v>-2.0999999999999996</v>
      </c>
      <c r="Y410" s="3">
        <f t="shared" si="145"/>
        <v>304.66666666666669</v>
      </c>
      <c r="Z410" s="4">
        <f>IF('Raw Data'!O410="","",O409+N409)</f>
        <v>486.3</v>
      </c>
      <c r="AA410" t="s">
        <v>990</v>
      </c>
    </row>
    <row r="411" spans="1:27" x14ac:dyDescent="0.25">
      <c r="A411">
        <f>IF('Raw Data'!A411="","",'Raw Data'!A411)</f>
        <v>117</v>
      </c>
      <c r="B411">
        <f>IF('Raw Data'!B411="","",'Raw Data'!B411)</f>
        <v>118</v>
      </c>
      <c r="C411">
        <f>IF('Raw Data'!C411="","",'Raw Data'!C411)</f>
        <v>2.5</v>
      </c>
      <c r="D411">
        <f>IF('Raw Data'!D411="","",'Raw Data'!D411)</f>
        <v>7</v>
      </c>
      <c r="E411">
        <f>IF('Raw Data'!E411="","",'Raw Data'!E411)</f>
        <v>1</v>
      </c>
      <c r="F411">
        <f>IF('Raw Data'!F411="","",'Raw Data'!F411)</f>
        <v>0.5</v>
      </c>
      <c r="G411" s="7" t="str">
        <f>IF('Raw Data'!G411="/","-",IF('Raw Data'!G411="","-",SUBSTITUTE('Raw Data'!G411," ",":",1)))</f>
        <v>294:30</v>
      </c>
      <c r="H411" s="7" t="str">
        <f>IF('Raw Data'!H411="/","-",IF('Raw Data'!H411="","-",SUBSTITUTE('Raw Data'!H411," ",":",1)))</f>
        <v>-</v>
      </c>
      <c r="I411" s="7" t="str">
        <f>IF('Raw Data'!I411="/","-",IF('Raw Data'!I411="","-",SUBSTITUTE('Raw Data'!I411," ",":",1)))</f>
        <v>294:30</v>
      </c>
      <c r="J411" s="12">
        <f>IF('Raw Data'!J411="",IF(LEN(K411)&gt;6,SQRT('Raw Data'!M411^2+N411^2),""),'Raw Data'!J411)</f>
        <v>18.100000000000001</v>
      </c>
      <c r="K411" s="7" t="str">
        <f>IF('Raw Data'!K411="","",IF(LEN('Raw Data'!K411)&lt;7,SUBSTITUTE('Raw Data'!K411," ",":",1),'Raw Data'!K411))</f>
        <v>-11:10</v>
      </c>
      <c r="L411" t="str">
        <f>IF('Raw Data'!L411="","",'Raw Data'!L411)</f>
        <v/>
      </c>
      <c r="M411">
        <f>IF('Raw Data'!M411="","",'Raw Data'!M411)</f>
        <v>17.8</v>
      </c>
      <c r="N411">
        <f>IF('Raw Data'!N411="","",IF('Raw Data'!N411="-",0,'Raw Data'!N411))</f>
        <v>-3.5</v>
      </c>
      <c r="O411">
        <f>IF('Raw Data'!O411="",IF('Raw Data'!N411="","",0),'Raw Data'!O411)</f>
        <v>484.2</v>
      </c>
      <c r="P411" t="str">
        <f>IF('Raw Data'!P411="","",'Raw Data'!P411)</f>
        <v>Double passage 2' on</v>
      </c>
      <c r="R411" s="3">
        <f t="shared" si="146"/>
        <v>294.5</v>
      </c>
      <c r="S411" s="3" t="str">
        <f t="shared" si="147"/>
        <v>-</v>
      </c>
      <c r="T411" s="3">
        <f t="shared" si="148"/>
        <v>294.5</v>
      </c>
      <c r="U411" s="3">
        <f t="shared" ref="U411:U413" si="152">IF(ISERROR(FIND(":",K411)),IF(K411="zero",0,1*K411),1*CONCATENATE(LEFT(K411,FIND(":",K411)-1),".",MID(RIGHT(K411,LEN(K411)-FIND(":",K411))/60,3,8)))</f>
        <v>-11.166666660000001</v>
      </c>
      <c r="W411" s="4">
        <f t="shared" si="143"/>
        <v>17.757330624817818</v>
      </c>
      <c r="X411" s="4">
        <f t="shared" si="144"/>
        <v>-3.5053115526165786</v>
      </c>
      <c r="Y411" s="3">
        <f t="shared" si="145"/>
        <v>294.5</v>
      </c>
      <c r="Z411" s="4">
        <f>IF('Raw Data'!O411="","",O410+N410)</f>
        <v>484.2</v>
      </c>
    </row>
    <row r="412" spans="1:27" x14ac:dyDescent="0.25">
      <c r="A412">
        <f>IF('Raw Data'!A412="","",'Raw Data'!A412)</f>
        <v>118</v>
      </c>
      <c r="B412">
        <f>IF('Raw Data'!B412="","",'Raw Data'!B412)</f>
        <v>119</v>
      </c>
      <c r="C412">
        <f>IF('Raw Data'!C412="","",'Raw Data'!C412)</f>
        <v>7</v>
      </c>
      <c r="D412">
        <f>IF('Raw Data'!D412="","",'Raw Data'!D412)</f>
        <v>1</v>
      </c>
      <c r="E412">
        <f>IF('Raw Data'!E412="","",'Raw Data'!E412)</f>
        <v>1.5</v>
      </c>
      <c r="F412">
        <f>IF('Raw Data'!F412="","",'Raw Data'!F412)</f>
        <v>4</v>
      </c>
      <c r="G412" s="7" t="str">
        <f>IF('Raw Data'!G412="/","-",IF('Raw Data'!G412="","-",SUBSTITUTE('Raw Data'!G412," ",":",1)))</f>
        <v>-</v>
      </c>
      <c r="H412" s="7" t="str">
        <f>IF('Raw Data'!H412="/","-",IF('Raw Data'!H412="","-",SUBSTITUTE('Raw Data'!H412," ",":",1)))</f>
        <v>134:00</v>
      </c>
      <c r="I412" s="7" t="str">
        <f>IF('Raw Data'!I412="/","-",IF('Raw Data'!I412="","-",SUBSTITUTE('Raw Data'!I412," ",":",1)))</f>
        <v>314:00</v>
      </c>
      <c r="J412" s="12">
        <f>IF('Raw Data'!J412="",IF(LEN(K412)&gt;6,SQRT('Raw Data'!M412^2+N412^2),""),'Raw Data'!J412)</f>
        <v>4.3</v>
      </c>
      <c r="K412" s="7" t="str">
        <f>IF('Raw Data'!K412="","",IF(LEN('Raw Data'!K412)&lt;7,SUBSTITUTE('Raw Data'!K412," ",":",1),'Raw Data'!K412))</f>
        <v>41:00</v>
      </c>
      <c r="L412" t="str">
        <f>IF('Raw Data'!L412="","",'Raw Data'!L412)</f>
        <v/>
      </c>
      <c r="M412">
        <f>IF('Raw Data'!M412="","",'Raw Data'!M412)</f>
        <v>3.2</v>
      </c>
      <c r="N412">
        <f>IF('Raw Data'!N412="","",IF('Raw Data'!N412="-",0,'Raw Data'!N412))</f>
        <v>2.8</v>
      </c>
      <c r="O412">
        <f>IF('Raw Data'!O412="",IF('Raw Data'!N412="","",0),'Raw Data'!O412)</f>
        <v>480.7</v>
      </c>
      <c r="P412" t="str">
        <f>IF('Raw Data'!P412="","",'Raw Data'!P412)</f>
        <v/>
      </c>
      <c r="R412" s="3" t="str">
        <f t="shared" si="146"/>
        <v>-</v>
      </c>
      <c r="S412" s="3">
        <f t="shared" si="147"/>
        <v>134</v>
      </c>
      <c r="T412" s="3">
        <f t="shared" si="148"/>
        <v>314</v>
      </c>
      <c r="U412" s="3">
        <f t="shared" si="152"/>
        <v>41</v>
      </c>
      <c r="W412" s="4">
        <f t="shared" si="143"/>
        <v>3.2452511949579201</v>
      </c>
      <c r="X412" s="4">
        <f t="shared" si="144"/>
        <v>2.8210538246591805</v>
      </c>
      <c r="Y412" s="3">
        <f t="shared" si="145"/>
        <v>314</v>
      </c>
      <c r="Z412" s="4">
        <f>IF('Raw Data'!O412="","",O411+N411)</f>
        <v>480.7</v>
      </c>
    </row>
    <row r="413" spans="1:27" x14ac:dyDescent="0.25">
      <c r="A413">
        <f>IF('Raw Data'!A413="","",'Raw Data'!A413)</f>
        <v>119</v>
      </c>
      <c r="B413">
        <f>IF('Raw Data'!B413="","",'Raw Data'!B413)</f>
        <v>120</v>
      </c>
      <c r="C413">
        <f>IF('Raw Data'!C413="","",'Raw Data'!C413)</f>
        <v>5</v>
      </c>
      <c r="D413">
        <f>IF('Raw Data'!D413="","",'Raw Data'!D413)</f>
        <v>4</v>
      </c>
      <c r="E413">
        <f>IF('Raw Data'!E413="","",'Raw Data'!E413)</f>
        <v>4</v>
      </c>
      <c r="F413">
        <f>IF('Raw Data'!F413="","",'Raw Data'!F413)</f>
        <v>6</v>
      </c>
      <c r="G413" s="7" t="str">
        <f>IF('Raw Data'!G413="/","-",IF('Raw Data'!G413="","-",SUBSTITUTE('Raw Data'!G413," ",":",1)))</f>
        <v>254:00</v>
      </c>
      <c r="H413" s="7" t="str">
        <f>IF('Raw Data'!H413="/","-",IF('Raw Data'!H413="","-",SUBSTITUTE('Raw Data'!H413," ",":",1)))</f>
        <v>-</v>
      </c>
      <c r="I413" s="7" t="str">
        <f>IF('Raw Data'!I413="/","-",IF('Raw Data'!I413="","-",SUBSTITUTE('Raw Data'!I413," ",":",1)))</f>
        <v>254:00</v>
      </c>
      <c r="J413" s="12">
        <f>IF('Raw Data'!J413="",IF(LEN(K413)&gt;6,SQRT('Raw Data'!M413^2+N413^2),""),'Raw Data'!J413)</f>
        <v>6.2</v>
      </c>
      <c r="K413" s="7" t="str">
        <f>IF('Raw Data'!K413="","",IF(LEN('Raw Data'!K413)&lt;7,SUBSTITUTE('Raw Data'!K413," ",":",1),'Raw Data'!K413))</f>
        <v>-23:30</v>
      </c>
      <c r="L413" t="str">
        <f>IF('Raw Data'!L413="","",'Raw Data'!L413)</f>
        <v/>
      </c>
      <c r="M413">
        <f>IF('Raw Data'!M413="","",'Raw Data'!M413)</f>
        <v>5.7</v>
      </c>
      <c r="N413">
        <f>IF('Raw Data'!N413="","",IF('Raw Data'!N413="-",0,'Raw Data'!N413))</f>
        <v>-2.5</v>
      </c>
      <c r="O413">
        <f>IF('Raw Data'!O413="",IF('Raw Data'!N413="","",0),'Raw Data'!O413)</f>
        <v>483.5</v>
      </c>
      <c r="P413" t="str">
        <f>IF('Raw Data'!P413="","",'Raw Data'!P413)</f>
        <v>On rock rib</v>
      </c>
      <c r="R413" s="3">
        <f t="shared" si="146"/>
        <v>254</v>
      </c>
      <c r="S413" s="3" t="str">
        <f t="shared" si="147"/>
        <v>-</v>
      </c>
      <c r="T413" s="3">
        <f t="shared" si="148"/>
        <v>254</v>
      </c>
      <c r="U413" s="3">
        <f t="shared" si="152"/>
        <v>-23.5</v>
      </c>
      <c r="W413" s="4">
        <f t="shared" si="143"/>
        <v>5.6857724611877689</v>
      </c>
      <c r="X413" s="4">
        <f t="shared" si="144"/>
        <v>-2.4722442273365264</v>
      </c>
      <c r="Y413" s="3">
        <f t="shared" si="145"/>
        <v>254</v>
      </c>
      <c r="Z413" s="4">
        <f>IF('Raw Data'!O413="","",O412+N412)</f>
        <v>483.5</v>
      </c>
    </row>
    <row r="414" spans="1:27" x14ac:dyDescent="0.25">
      <c r="A414">
        <f>IF('Raw Data'!A414="","",'Raw Data'!A414)</f>
        <v>120</v>
      </c>
      <c r="B414">
        <f>IF('Raw Data'!B414="","",'Raw Data'!B414)</f>
        <v>121</v>
      </c>
      <c r="C414">
        <f>IF('Raw Data'!C414="","",'Raw Data'!C414)</f>
        <v>0.5</v>
      </c>
      <c r="D414">
        <f>IF('Raw Data'!D414="","",'Raw Data'!D414)</f>
        <v>1</v>
      </c>
      <c r="E414">
        <f>IF('Raw Data'!E414="","",'Raw Data'!E414)</f>
        <v>0.5</v>
      </c>
      <c r="F414">
        <f>IF('Raw Data'!F414="","",'Raw Data'!F414)</f>
        <v>2</v>
      </c>
      <c r="G414" s="7" t="str">
        <f>IF('Raw Data'!G414="/","-",IF('Raw Data'!G414="","-",SUBSTITUTE('Raw Data'!G414," ",":",1)))</f>
        <v>222:00</v>
      </c>
      <c r="H414" s="7" t="str">
        <f>IF('Raw Data'!H414="/","-",IF('Raw Data'!H414="","-",SUBSTITUTE('Raw Data'!H414," ",":",1)))</f>
        <v>-</v>
      </c>
      <c r="I414" s="7" t="str">
        <f>IF('Raw Data'!I414="/","-",IF('Raw Data'!I414="","-",SUBSTITUTE('Raw Data'!I414," ",":",1)))</f>
        <v>222:00</v>
      </c>
      <c r="J414" s="12">
        <f>IF('Raw Data'!J414="",IF(LEN(K414)&gt;6,SQRT('Raw Data'!M414^2+N414^2),""),'Raw Data'!J414)</f>
        <v>9.1999999999999993</v>
      </c>
      <c r="K414" s="7" t="str">
        <f>IF('Raw Data'!K414="","",IF(LEN('Raw Data'!K414)&lt;7,SUBSTITUTE('Raw Data'!K414," ",":",1),'Raw Data'!K414))</f>
        <v>zero</v>
      </c>
      <c r="L414" t="str">
        <f>IF('Raw Data'!L414="","",'Raw Data'!L414)</f>
        <v/>
      </c>
      <c r="M414">
        <f>IF('Raw Data'!M414="","",'Raw Data'!M414)</f>
        <v>9.1999999999999993</v>
      </c>
      <c r="N414" t="str">
        <f>IF('Raw Data'!N414="","",IF('Raw Data'!N414="-",0,'Raw Data'!N414))</f>
        <v>/</v>
      </c>
      <c r="O414">
        <f>IF('Raw Data'!O414="",IF('Raw Data'!N414="","",0),'Raw Data'!O414)</f>
        <v>481</v>
      </c>
      <c r="P414" t="str">
        <f>IF('Raw Data'!P414="","",'Raw Data'!P414)</f>
        <v/>
      </c>
      <c r="R414" s="3">
        <f t="shared" si="146"/>
        <v>222</v>
      </c>
      <c r="S414" s="3" t="str">
        <f t="shared" si="147"/>
        <v>-</v>
      </c>
      <c r="T414" s="3">
        <f t="shared" si="148"/>
        <v>222</v>
      </c>
      <c r="U414" s="3">
        <f>IF(ISERROR(FIND(":",K414)),IF(K414="zero",0,1*K414),1*CONCATENATE(LEFT(K414,FIND(":",K414)-1),".",MID(RIGHT(K414,LEN(K414)-FIND(":",K414))/60,3,8)))</f>
        <v>0</v>
      </c>
      <c r="W414" s="4">
        <f t="shared" si="143"/>
        <v>9.1999999999999993</v>
      </c>
      <c r="X414" s="4">
        <f t="shared" si="144"/>
        <v>0</v>
      </c>
      <c r="Y414" s="3">
        <f t="shared" si="145"/>
        <v>222</v>
      </c>
      <c r="Z414" s="4">
        <f>IF('Raw Data'!O414="","",O413+N413)</f>
        <v>481</v>
      </c>
    </row>
    <row r="415" spans="1:27" x14ac:dyDescent="0.25">
      <c r="A415">
        <f>IF('Raw Data'!A415="","",'Raw Data'!A415)</f>
        <v>121</v>
      </c>
      <c r="B415">
        <f>IF('Raw Data'!B415="","",'Raw Data'!B415)</f>
        <v>122</v>
      </c>
      <c r="C415">
        <f>IF('Raw Data'!C415="","",'Raw Data'!C415)</f>
        <v>1.5</v>
      </c>
      <c r="D415">
        <f>IF('Raw Data'!D415="","",'Raw Data'!D415)</f>
        <v>0.5</v>
      </c>
      <c r="E415">
        <f>IF('Raw Data'!E415="","",'Raw Data'!E415)</f>
        <v>1.5</v>
      </c>
      <c r="F415">
        <f>IF('Raw Data'!F415="","",'Raw Data'!F415)</f>
        <v>2</v>
      </c>
      <c r="G415" s="7" t="str">
        <f>IF('Raw Data'!G415="/","-",IF('Raw Data'!G415="","-",SUBSTITUTE('Raw Data'!G415," ",":",1)))</f>
        <v>-</v>
      </c>
      <c r="H415" s="7" t="str">
        <f>IF('Raw Data'!H415="/","-",IF('Raw Data'!H415="","-",SUBSTITUTE('Raw Data'!H415," ",":",1)))</f>
        <v>011:50</v>
      </c>
      <c r="I415" s="7" t="str">
        <f>IF('Raw Data'!I415="/","-",IF('Raw Data'!I415="","-",SUBSTITUTE('Raw Data'!I415," ",":",1)))</f>
        <v>191:50</v>
      </c>
      <c r="J415" s="12">
        <f>IF('Raw Data'!J415="",IF(LEN(K415)&gt;6,SQRT('Raw Data'!M415^2+N415^2),""),'Raw Data'!J415)</f>
        <v>10</v>
      </c>
      <c r="K415" s="7" t="str">
        <f>IF('Raw Data'!K415="","",IF(LEN('Raw Data'!K415)&lt;7,SUBSTITUTE('Raw Data'!K415," ",":",1),'Raw Data'!K415))</f>
        <v>24:00</v>
      </c>
      <c r="L415" t="str">
        <f>IF('Raw Data'!L415="","",'Raw Data'!L415)</f>
        <v/>
      </c>
      <c r="M415">
        <f>IF('Raw Data'!M415="","",'Raw Data'!M415)</f>
        <v>9.1</v>
      </c>
      <c r="N415">
        <f>IF('Raw Data'!N415="","",IF('Raw Data'!N415="-",0,'Raw Data'!N415))</f>
        <v>4.0999999999999996</v>
      </c>
      <c r="O415">
        <f>IF('Raw Data'!O415="",IF('Raw Data'!N415="","",0),'Raw Data'!O415)</f>
        <v>481</v>
      </c>
      <c r="P415" t="str">
        <f>IF('Raw Data'!P415="","",'Raw Data'!P415)</f>
        <v/>
      </c>
      <c r="R415" s="3" t="str">
        <f t="shared" si="146"/>
        <v>-</v>
      </c>
      <c r="S415" s="3">
        <f t="shared" si="147"/>
        <v>11.833333333333334</v>
      </c>
      <c r="T415" s="3">
        <f t="shared" si="148"/>
        <v>191.83333333333334</v>
      </c>
      <c r="U415" s="3">
        <f t="shared" ref="U415:U441" si="153">IF(ISERROR(FIND(":",K415)),IF(K415="zero",0,1*K415),1*CONCATENATE(LEFT(K415,FIND(":",K415)-1),".",MID(RIGHT(K415,LEN(K415)-FIND(":",K415))/60,3,8)))</f>
        <v>24</v>
      </c>
      <c r="W415" s="4">
        <f t="shared" si="143"/>
        <v>9.1354545764260084</v>
      </c>
      <c r="X415" s="4">
        <f t="shared" si="144"/>
        <v>4.0673664307580015</v>
      </c>
      <c r="Y415" s="3">
        <f t="shared" si="145"/>
        <v>191.83333333333334</v>
      </c>
      <c r="Z415" s="4">
        <f>IF('Raw Data'!O415="","",O414)</f>
        <v>481</v>
      </c>
    </row>
    <row r="416" spans="1:27" x14ac:dyDescent="0.25">
      <c r="A416">
        <f>IF('Raw Data'!A416="","",'Raw Data'!A416)</f>
        <v>122</v>
      </c>
      <c r="B416">
        <f>IF('Raw Data'!B416="","",'Raw Data'!B416)</f>
        <v>123</v>
      </c>
      <c r="C416">
        <f>IF('Raw Data'!C416="","",'Raw Data'!C416)</f>
        <v>2</v>
      </c>
      <c r="D416">
        <f>IF('Raw Data'!D416="","",'Raw Data'!D416)</f>
        <v>1</v>
      </c>
      <c r="E416">
        <f>IF('Raw Data'!E416="","",'Raw Data'!E416)</f>
        <v>2.5</v>
      </c>
      <c r="F416">
        <f>IF('Raw Data'!F416="","",'Raw Data'!F416)</f>
        <v>1.5</v>
      </c>
      <c r="G416" s="7" t="str">
        <f>IF('Raw Data'!G416="/","-",IF('Raw Data'!G416="","-",SUBSTITUTE('Raw Data'!G416," ",":",1)))</f>
        <v>252:30</v>
      </c>
      <c r="H416" s="7" t="str">
        <f>IF('Raw Data'!H416="/","-",IF('Raw Data'!H416="","-",SUBSTITUTE('Raw Data'!H416," ",":",1)))</f>
        <v>-</v>
      </c>
      <c r="I416" s="7" t="str">
        <f>IF('Raw Data'!I416="/","-",IF('Raw Data'!I416="","-",SUBSTITUTE('Raw Data'!I416," ",":",1)))</f>
        <v>252:30</v>
      </c>
      <c r="J416" s="12">
        <f>IF('Raw Data'!J416="",IF(LEN(K416)&gt;6,SQRT('Raw Data'!M416^2+N416^2),""),'Raw Data'!J416)</f>
        <v>22</v>
      </c>
      <c r="K416" s="7" t="str">
        <f>IF('Raw Data'!K416="","",IF(LEN('Raw Data'!K416)&lt;7,SUBSTITUTE('Raw Data'!K416," ",":",1),'Raw Data'!K416))</f>
        <v>-10:00</v>
      </c>
      <c r="L416" t="str">
        <f>IF('Raw Data'!L416="","",'Raw Data'!L416)</f>
        <v/>
      </c>
      <c r="M416">
        <f>IF('Raw Data'!M416="","",'Raw Data'!M416)</f>
        <v>21.7</v>
      </c>
      <c r="N416">
        <f>IF('Raw Data'!N416="","",IF('Raw Data'!N416="-",0,'Raw Data'!N416))</f>
        <v>-3.8</v>
      </c>
      <c r="O416">
        <f>IF('Raw Data'!O416="",IF('Raw Data'!N416="","",0),'Raw Data'!O416)</f>
        <v>485.1</v>
      </c>
      <c r="P416" t="str">
        <f>IF('Raw Data'!P416="","",'Raw Data'!P416)</f>
        <v>Passage (small) on left at 6'</v>
      </c>
      <c r="R416" s="3">
        <f t="shared" si="146"/>
        <v>252.5</v>
      </c>
      <c r="S416" s="3" t="str">
        <f t="shared" si="147"/>
        <v>-</v>
      </c>
      <c r="T416" s="3">
        <f t="shared" si="148"/>
        <v>252.5</v>
      </c>
      <c r="U416" s="3">
        <f t="shared" si="153"/>
        <v>-10</v>
      </c>
      <c r="W416" s="4">
        <f t="shared" si="143"/>
        <v>21.665770566268577</v>
      </c>
      <c r="X416" s="4">
        <f t="shared" si="144"/>
        <v>-3.8202599086724671</v>
      </c>
      <c r="Y416" s="3">
        <f t="shared" si="145"/>
        <v>252.5</v>
      </c>
      <c r="Z416" s="4">
        <f>IF('Raw Data'!O416="","",O415+N415)</f>
        <v>485.1</v>
      </c>
    </row>
    <row r="417" spans="1:26" x14ac:dyDescent="0.25">
      <c r="A417">
        <f>IF('Raw Data'!A417="","",'Raw Data'!A417)</f>
        <v>123</v>
      </c>
      <c r="B417">
        <f>IF('Raw Data'!B417="","",'Raw Data'!B417)</f>
        <v>124</v>
      </c>
      <c r="C417">
        <f>IF('Raw Data'!C417="","",'Raw Data'!C417)</f>
        <v>2</v>
      </c>
      <c r="D417">
        <f>IF('Raw Data'!D417="","",'Raw Data'!D417)</f>
        <v>0.3</v>
      </c>
      <c r="E417">
        <f>IF('Raw Data'!E417="","",'Raw Data'!E417)</f>
        <v>2</v>
      </c>
      <c r="F417">
        <f>IF('Raw Data'!F417="","",'Raw Data'!F417)</f>
        <v>1.5</v>
      </c>
      <c r="G417" s="7" t="str">
        <f>IF('Raw Data'!G417="/","-",IF('Raw Data'!G417="","-",SUBSTITUTE('Raw Data'!G417," ",":",1)))</f>
        <v>-</v>
      </c>
      <c r="H417" s="7" t="str">
        <f>IF('Raw Data'!H417="/","-",IF('Raw Data'!H417="","-",SUBSTITUTE('Raw Data'!H417," ",":",1)))</f>
        <v>031:00</v>
      </c>
      <c r="I417" s="7" t="str">
        <f>IF('Raw Data'!I417="/","-",IF('Raw Data'!I417="","-",SUBSTITUTE('Raw Data'!I417," ",":",1)))</f>
        <v>211:00</v>
      </c>
      <c r="J417" s="12">
        <f>IF('Raw Data'!J417="",IF(LEN(K417)&gt;6,SQRT('Raw Data'!M417^2+N417^2),""),'Raw Data'!J417)</f>
        <v>18.7</v>
      </c>
      <c r="K417" s="7" t="str">
        <f>IF('Raw Data'!K417="","",IF(LEN('Raw Data'!K417)&lt;7,SUBSTITUTE('Raw Data'!K417," ",":",1),'Raw Data'!K417))</f>
        <v>16:00</v>
      </c>
      <c r="L417" t="str">
        <f>IF('Raw Data'!L417="","",'Raw Data'!L417)</f>
        <v/>
      </c>
      <c r="M417">
        <f>IF('Raw Data'!M417="","",'Raw Data'!M417)</f>
        <v>18</v>
      </c>
      <c r="N417">
        <f>IF('Raw Data'!N417="","",IF('Raw Data'!N417="-",0,'Raw Data'!N417))</f>
        <v>5.3</v>
      </c>
      <c r="O417">
        <f>IF('Raw Data'!O417="",IF('Raw Data'!N417="","",0),'Raw Data'!O417)</f>
        <v>481.3</v>
      </c>
      <c r="P417" t="str">
        <f>IF('Raw Data'!P417="","",'Raw Data'!P417)</f>
        <v/>
      </c>
      <c r="R417" s="3" t="str">
        <f t="shared" si="146"/>
        <v>-</v>
      </c>
      <c r="S417" s="3">
        <f t="shared" si="147"/>
        <v>31</v>
      </c>
      <c r="T417" s="3">
        <f t="shared" si="148"/>
        <v>211</v>
      </c>
      <c r="U417" s="3">
        <f t="shared" si="153"/>
        <v>16</v>
      </c>
      <c r="W417" s="4">
        <f t="shared" si="143"/>
        <v>17.975593714046564</v>
      </c>
      <c r="X417" s="4">
        <f t="shared" si="144"/>
        <v>5.1544185537778837</v>
      </c>
      <c r="Y417" s="3">
        <f t="shared" si="145"/>
        <v>211</v>
      </c>
      <c r="Z417" s="4">
        <f>IF('Raw Data'!O417="","",O416+N416)</f>
        <v>481.3</v>
      </c>
    </row>
    <row r="418" spans="1:26" x14ac:dyDescent="0.25">
      <c r="A418">
        <f>IF('Raw Data'!A418="","",'Raw Data'!A418)</f>
        <v>124</v>
      </c>
      <c r="B418">
        <f>IF('Raw Data'!B418="","",'Raw Data'!B418)</f>
        <v>125</v>
      </c>
      <c r="C418">
        <f>IF('Raw Data'!C418="","",'Raw Data'!C418)</f>
        <v>1.5</v>
      </c>
      <c r="D418">
        <f>IF('Raw Data'!D418="","",'Raw Data'!D418)</f>
        <v>1.2</v>
      </c>
      <c r="E418">
        <f>IF('Raw Data'!E418="","",'Raw Data'!E418)</f>
        <v>4</v>
      </c>
      <c r="F418">
        <f>IF('Raw Data'!F418="","",'Raw Data'!F418)</f>
        <v>2.5</v>
      </c>
      <c r="G418" s="7" t="str">
        <f>IF('Raw Data'!G418="/","-",IF('Raw Data'!G418="","-",SUBSTITUTE('Raw Data'!G418," ",":",1)))</f>
        <v>281:00</v>
      </c>
      <c r="H418" s="7" t="str">
        <f>IF('Raw Data'!H418="/","-",IF('Raw Data'!H418="","-",SUBSTITUTE('Raw Data'!H418," ",":",1)))</f>
        <v>-</v>
      </c>
      <c r="I418" s="7" t="str">
        <f>IF('Raw Data'!I418="/","-",IF('Raw Data'!I418="","-",SUBSTITUTE('Raw Data'!I418," ",":",1)))</f>
        <v>281:00</v>
      </c>
      <c r="J418" s="12">
        <f>IF('Raw Data'!J418="",IF(LEN(K418)&gt;6,SQRT('Raw Data'!M418^2+N418^2),""),'Raw Data'!J418)</f>
        <v>40.700000000000003</v>
      </c>
      <c r="K418" s="7" t="str">
        <f>IF('Raw Data'!K418="","",IF(LEN('Raw Data'!K418)&lt;7,SUBSTITUTE('Raw Data'!K418," ",":",1),'Raw Data'!K418))</f>
        <v>-14:15</v>
      </c>
      <c r="L418" t="str">
        <f>IF('Raw Data'!L418="","",'Raw Data'!L418)</f>
        <v/>
      </c>
      <c r="M418">
        <f>IF('Raw Data'!M418="","",'Raw Data'!M418)</f>
        <v>39.4</v>
      </c>
      <c r="N418">
        <f>IF('Raw Data'!N418="","",IF('Raw Data'!N418="-",0,'Raw Data'!N418))</f>
        <v>-10</v>
      </c>
      <c r="O418">
        <f>IF('Raw Data'!O418="",IF('Raw Data'!N418="","",0),'Raw Data'!O418)</f>
        <v>486.6</v>
      </c>
      <c r="P418" t="str">
        <f>IF('Raw Data'!P418="","",'Raw Data'!P418)</f>
        <v>Stn 124 marked by double ring on roof</v>
      </c>
      <c r="R418" s="3">
        <f t="shared" si="146"/>
        <v>281</v>
      </c>
      <c r="S418" s="3" t="str">
        <f t="shared" si="147"/>
        <v>-</v>
      </c>
      <c r="T418" s="3">
        <f t="shared" si="148"/>
        <v>281</v>
      </c>
      <c r="U418" s="3">
        <f t="shared" si="153"/>
        <v>-14.25</v>
      </c>
      <c r="W418" s="4">
        <f t="shared" si="143"/>
        <v>39.447698025064909</v>
      </c>
      <c r="X418" s="4">
        <f t="shared" si="144"/>
        <v>-10.018439026280017</v>
      </c>
      <c r="Y418" s="3">
        <f t="shared" si="145"/>
        <v>281</v>
      </c>
      <c r="Z418" s="4">
        <f>IF('Raw Data'!O418="","",O417+N417)</f>
        <v>486.6</v>
      </c>
    </row>
    <row r="419" spans="1:26" x14ac:dyDescent="0.25">
      <c r="A419">
        <f>IF('Raw Data'!A419="","",'Raw Data'!A419)</f>
        <v>125</v>
      </c>
      <c r="B419">
        <f>IF('Raw Data'!B419="","",'Raw Data'!B419)</f>
        <v>126</v>
      </c>
      <c r="C419">
        <f>IF('Raw Data'!C419="","",'Raw Data'!C419)</f>
        <v>2</v>
      </c>
      <c r="D419">
        <f>IF('Raw Data'!D419="","",'Raw Data'!D419)</f>
        <v>0.3</v>
      </c>
      <c r="E419">
        <f>IF('Raw Data'!E419="","",'Raw Data'!E419)</f>
        <v>3</v>
      </c>
      <c r="F419">
        <f>IF('Raw Data'!F419="","",'Raw Data'!F419)</f>
        <v>6</v>
      </c>
      <c r="G419" s="7" t="str">
        <f>IF('Raw Data'!G419="/","-",IF('Raw Data'!G419="","-",SUBSTITUTE('Raw Data'!G419," ",":",1)))</f>
        <v>-</v>
      </c>
      <c r="H419" s="7" t="str">
        <f>IF('Raw Data'!H419="/","-",IF('Raw Data'!H419="","-",SUBSTITUTE('Raw Data'!H419," ",":",1)))</f>
        <v>147:15</v>
      </c>
      <c r="I419" s="7" t="str">
        <f>IF('Raw Data'!I419="/","-",IF('Raw Data'!I419="","-",SUBSTITUTE('Raw Data'!I419," ",":",1)))</f>
        <v>327:15</v>
      </c>
      <c r="J419" s="12">
        <f>IF('Raw Data'!J419="",IF(LEN(K419)&gt;6,SQRT('Raw Data'!M419^2+N419^2),""),'Raw Data'!J419)</f>
        <v>13.8</v>
      </c>
      <c r="K419" s="7" t="str">
        <f>IF('Raw Data'!K419="","",IF(LEN('Raw Data'!K419)&lt;7,SUBSTITUTE('Raw Data'!K419," ",":",1),'Raw Data'!K419))</f>
        <v>5:30</v>
      </c>
      <c r="L419" t="str">
        <f>IF('Raw Data'!L419="","",'Raw Data'!L419)</f>
        <v/>
      </c>
      <c r="M419">
        <f>IF('Raw Data'!M419="","",'Raw Data'!M419)</f>
        <v>13.7</v>
      </c>
      <c r="N419">
        <f>IF('Raw Data'!N419="","",IF('Raw Data'!N419="-",0,'Raw Data'!N419))</f>
        <v>1.3</v>
      </c>
      <c r="O419">
        <f>IF('Raw Data'!O419="",IF('Raw Data'!N419="","",0),'Raw Data'!O419)</f>
        <v>476.6</v>
      </c>
      <c r="P419" t="str">
        <f>IF('Raw Data'!P419="","",'Raw Data'!P419)</f>
        <v/>
      </c>
      <c r="R419" s="3" t="str">
        <f t="shared" si="146"/>
        <v>-</v>
      </c>
      <c r="S419" s="3">
        <f t="shared" si="147"/>
        <v>147.25</v>
      </c>
      <c r="T419" s="3">
        <f t="shared" si="148"/>
        <v>327.25</v>
      </c>
      <c r="U419" s="3">
        <f t="shared" si="153"/>
        <v>5.5</v>
      </c>
      <c r="W419" s="4">
        <f t="shared" si="143"/>
        <v>13.736467537467069</v>
      </c>
      <c r="X419" s="4">
        <f t="shared" si="144"/>
        <v>1.322671384779091</v>
      </c>
      <c r="Y419" s="3">
        <f t="shared" si="145"/>
        <v>327.25</v>
      </c>
      <c r="Z419" s="4">
        <f>IF('Raw Data'!O419="","",O418+N418)</f>
        <v>476.6</v>
      </c>
    </row>
    <row r="420" spans="1:26" x14ac:dyDescent="0.25">
      <c r="A420">
        <f>IF('Raw Data'!A420="","",'Raw Data'!A420)</f>
        <v>126</v>
      </c>
      <c r="B420">
        <f>IF('Raw Data'!B420="","",'Raw Data'!B420)</f>
        <v>127</v>
      </c>
      <c r="C420">
        <f>IF('Raw Data'!C420="","",'Raw Data'!C420)</f>
        <v>2.5</v>
      </c>
      <c r="D420">
        <f>IF('Raw Data'!D420="","",'Raw Data'!D420)</f>
        <v>1.5</v>
      </c>
      <c r="E420" t="str">
        <f>IF('Raw Data'!E420="","",'Raw Data'!E420)</f>
        <v>/</v>
      </c>
      <c r="F420">
        <f>IF('Raw Data'!F420="","",'Raw Data'!F420)</f>
        <v>4</v>
      </c>
      <c r="G420" s="7" t="str">
        <f>IF('Raw Data'!G420="/","-",IF('Raw Data'!G420="","-",SUBSTITUTE('Raw Data'!G420," ",":",1)))</f>
        <v>266:20</v>
      </c>
      <c r="H420" s="7" t="str">
        <f>IF('Raw Data'!H420="/","-",IF('Raw Data'!H420="","-",SUBSTITUTE('Raw Data'!H420," ",":",1)))</f>
        <v>-</v>
      </c>
      <c r="I420" s="7" t="str">
        <f>IF('Raw Data'!I420="/","-",IF('Raw Data'!I420="","-",SUBSTITUTE('Raw Data'!I420," ",":",1)))</f>
        <v>266:20</v>
      </c>
      <c r="J420" s="12">
        <f>IF('Raw Data'!J420="",IF(LEN(K420)&gt;6,SQRT('Raw Data'!M420^2+N420^2),""),'Raw Data'!J420)</f>
        <v>20.5</v>
      </c>
      <c r="K420" s="7" t="str">
        <f>IF('Raw Data'!K420="","",IF(LEN('Raw Data'!K420)&lt;7,SUBSTITUTE('Raw Data'!K420," ",":",1),'Raw Data'!K420))</f>
        <v>-9:15</v>
      </c>
      <c r="L420" t="str">
        <f>IF('Raw Data'!L420="","",'Raw Data'!L420)</f>
        <v/>
      </c>
      <c r="M420">
        <f>IF('Raw Data'!M420="","",'Raw Data'!M420)</f>
        <v>20.3</v>
      </c>
      <c r="N420">
        <f>IF('Raw Data'!N420="","",IF('Raw Data'!N420="-",0,'Raw Data'!N420))</f>
        <v>-3.3</v>
      </c>
      <c r="O420">
        <f>IF('Raw Data'!O420="",IF('Raw Data'!N420="","",0),'Raw Data'!O420)</f>
        <v>477.9</v>
      </c>
      <c r="P420" t="str">
        <f>IF('Raw Data'!P420="","",'Raw Data'!P420)</f>
        <v/>
      </c>
      <c r="R420" s="3">
        <f t="shared" si="146"/>
        <v>266.33333333333331</v>
      </c>
      <c r="S420" s="3" t="str">
        <f t="shared" si="147"/>
        <v>-</v>
      </c>
      <c r="T420" s="3">
        <f t="shared" si="148"/>
        <v>266.33333333333331</v>
      </c>
      <c r="U420" s="3">
        <f t="shared" si="153"/>
        <v>-9.25</v>
      </c>
      <c r="W420" s="4">
        <f t="shared" si="143"/>
        <v>20.233425514484754</v>
      </c>
      <c r="X420" s="4">
        <f t="shared" si="144"/>
        <v>-3.2952225948784353</v>
      </c>
      <c r="Y420" s="3">
        <f t="shared" si="145"/>
        <v>266.33333333333331</v>
      </c>
      <c r="Z420" s="4">
        <f>IF('Raw Data'!O420="","",O419+N419)</f>
        <v>477.90000000000003</v>
      </c>
    </row>
    <row r="421" spans="1:26" x14ac:dyDescent="0.25">
      <c r="A421">
        <f>IF('Raw Data'!A421="","",'Raw Data'!A421)</f>
        <v>127</v>
      </c>
      <c r="B421">
        <f>IF('Raw Data'!B421="","",'Raw Data'!B421)</f>
        <v>128</v>
      </c>
      <c r="C421">
        <f>IF('Raw Data'!C421="","",'Raw Data'!C421)</f>
        <v>1.5</v>
      </c>
      <c r="D421">
        <f>IF('Raw Data'!D421="","",'Raw Data'!D421)</f>
        <v>0.2</v>
      </c>
      <c r="E421">
        <f>IF('Raw Data'!E421="","",'Raw Data'!E421)</f>
        <v>3</v>
      </c>
      <c r="F421">
        <f>IF('Raw Data'!F421="","",'Raw Data'!F421)</f>
        <v>1</v>
      </c>
      <c r="G421" s="7" t="str">
        <f>IF('Raw Data'!G421="/","-",IF('Raw Data'!G421="","-",SUBSTITUTE('Raw Data'!G421," ",":",1)))</f>
        <v>-</v>
      </c>
      <c r="H421" s="7" t="str">
        <f>IF('Raw Data'!H421="/","-",IF('Raw Data'!H421="","-",SUBSTITUTE('Raw Data'!H421," ",":",1)))</f>
        <v>146:00</v>
      </c>
      <c r="I421" s="7" t="str">
        <f>IF('Raw Data'!I421="/","-",IF('Raw Data'!I421="","-",SUBSTITUTE('Raw Data'!I421," ",":",1)))</f>
        <v>326:00</v>
      </c>
      <c r="J421" s="12">
        <f>IF('Raw Data'!J421="",IF(LEN(K421)&gt;6,SQRT('Raw Data'!M421^2+N421^2),""),'Raw Data'!J421)</f>
        <v>4.3</v>
      </c>
      <c r="K421" s="7" t="str">
        <f>IF('Raw Data'!K421="","",IF(LEN('Raw Data'!K421)&lt;7,SUBSTITUTE('Raw Data'!K421," ",":",1),'Raw Data'!K421))</f>
        <v>17:00</v>
      </c>
      <c r="L421" t="str">
        <f>IF('Raw Data'!L421="","",'Raw Data'!L421)</f>
        <v/>
      </c>
      <c r="M421">
        <f>IF('Raw Data'!M421="","",'Raw Data'!M421)</f>
        <v>4.0999999999999996</v>
      </c>
      <c r="N421">
        <f>IF('Raw Data'!N421="","",IF('Raw Data'!N421="-",0,'Raw Data'!N421))</f>
        <v>1.3</v>
      </c>
      <c r="O421">
        <f>IF('Raw Data'!O421="",IF('Raw Data'!N421="","",0),'Raw Data'!O421)</f>
        <v>474.6</v>
      </c>
      <c r="P421" t="str">
        <f>IF('Raw Data'!P421="","",'Raw Data'!P421)</f>
        <v/>
      </c>
      <c r="R421" s="3" t="str">
        <f t="shared" si="146"/>
        <v>-</v>
      </c>
      <c r="S421" s="3">
        <f t="shared" si="147"/>
        <v>146</v>
      </c>
      <c r="T421" s="3">
        <f t="shared" si="148"/>
        <v>326</v>
      </c>
      <c r="U421" s="3">
        <f t="shared" si="153"/>
        <v>17</v>
      </c>
      <c r="W421" s="4">
        <f t="shared" si="143"/>
        <v>4.112110450641052</v>
      </c>
      <c r="X421" s="4">
        <f t="shared" si="144"/>
        <v>1.2571983303077681</v>
      </c>
      <c r="Y421" s="3">
        <f t="shared" si="145"/>
        <v>326</v>
      </c>
      <c r="Z421" s="4">
        <f>IF('Raw Data'!O421="","",O420+N420)</f>
        <v>474.59999999999997</v>
      </c>
    </row>
    <row r="422" spans="1:26" x14ac:dyDescent="0.25">
      <c r="A422">
        <f>IF('Raw Data'!A422="","",'Raw Data'!A422)</f>
        <v>128</v>
      </c>
      <c r="B422">
        <f>IF('Raw Data'!B422="","",'Raw Data'!B422)</f>
        <v>129</v>
      </c>
      <c r="C422">
        <f>IF('Raw Data'!C422="","",'Raw Data'!C422)</f>
        <v>3.5</v>
      </c>
      <c r="D422">
        <f>IF('Raw Data'!D422="","",'Raw Data'!D422)</f>
        <v>1</v>
      </c>
      <c r="E422" t="str">
        <f>IF('Raw Data'!E422="","",'Raw Data'!E422)</f>
        <v>12 to choke</v>
      </c>
      <c r="F422">
        <f>IF('Raw Data'!F422="","",'Raw Data'!F422)</f>
        <v>2.5</v>
      </c>
      <c r="G422" s="7" t="str">
        <f>IF('Raw Data'!G422="/","-",IF('Raw Data'!G422="","-",SUBSTITUTE('Raw Data'!G422," ",":",1)))</f>
        <v>021:30</v>
      </c>
      <c r="H422" s="7" t="str">
        <f>IF('Raw Data'!H422="/","-",IF('Raw Data'!H422="","-",SUBSTITUTE('Raw Data'!H422," ",":",1)))</f>
        <v>-</v>
      </c>
      <c r="I422" s="7" t="str">
        <f>IF('Raw Data'!I422="/","-",IF('Raw Data'!I422="","-",SUBSTITUTE('Raw Data'!I422," ",":",1)))</f>
        <v>021:30</v>
      </c>
      <c r="J422" s="12">
        <f>IF('Raw Data'!J422="",IF(LEN(K422)&gt;6,SQRT('Raw Data'!M422^2+N422^2),""),'Raw Data'!J422)</f>
        <v>10.3</v>
      </c>
      <c r="K422" s="7" t="str">
        <f>IF('Raw Data'!K422="","",IF(LEN('Raw Data'!K422)&lt;7,SUBSTITUTE('Raw Data'!K422," ",":",1),'Raw Data'!K422))</f>
        <v>8:20</v>
      </c>
      <c r="L422" t="str">
        <f>IF('Raw Data'!L422="","",'Raw Data'!L422)</f>
        <v/>
      </c>
      <c r="M422">
        <f>IF('Raw Data'!M422="","",'Raw Data'!M422)</f>
        <v>10.199999999999999</v>
      </c>
      <c r="N422">
        <f>IF('Raw Data'!N422="","",IF('Raw Data'!N422="-",0,'Raw Data'!N422))</f>
        <v>1.5</v>
      </c>
      <c r="O422">
        <f>IF('Raw Data'!O422="",IF('Raw Data'!N422="","",0),'Raw Data'!O422)</f>
        <v>475.9</v>
      </c>
      <c r="P422" t="str">
        <f>IF('Raw Data'!P422="","",'Raw Data'!P422)</f>
        <v/>
      </c>
      <c r="R422" s="3">
        <f t="shared" si="146"/>
        <v>21.5</v>
      </c>
      <c r="S422" s="3" t="str">
        <f t="shared" si="147"/>
        <v>-</v>
      </c>
      <c r="T422" s="3">
        <f t="shared" si="148"/>
        <v>21.5</v>
      </c>
      <c r="U422" s="3">
        <f t="shared" si="153"/>
        <v>8.3333333300000003</v>
      </c>
      <c r="W422" s="4">
        <f t="shared" si="143"/>
        <v>10.191248877470576</v>
      </c>
      <c r="X422" s="4">
        <f t="shared" si="144"/>
        <v>1.4927981502717387</v>
      </c>
      <c r="Y422" s="3">
        <f t="shared" si="145"/>
        <v>21.5</v>
      </c>
      <c r="Z422" s="4">
        <f>IF('Raw Data'!O422="","",O421+N421)</f>
        <v>475.90000000000003</v>
      </c>
    </row>
    <row r="423" spans="1:26" x14ac:dyDescent="0.25">
      <c r="A423">
        <f>IF('Raw Data'!A423="","",'Raw Data'!A423)</f>
        <v>129</v>
      </c>
      <c r="B423">
        <f>IF('Raw Data'!B423="","",'Raw Data'!B423)</f>
        <v>130</v>
      </c>
      <c r="C423">
        <f>IF('Raw Data'!C423="","",'Raw Data'!C423)</f>
        <v>3.5</v>
      </c>
      <c r="D423">
        <f>IF('Raw Data'!D423="","",'Raw Data'!D423)</f>
        <v>2</v>
      </c>
      <c r="E423" t="str">
        <f>IF('Raw Data'!E423="","",'Raw Data'!E423)</f>
        <v>/</v>
      </c>
      <c r="F423">
        <f>IF('Raw Data'!F423="","",'Raw Data'!F423)</f>
        <v>6</v>
      </c>
      <c r="G423" s="7" t="str">
        <f>IF('Raw Data'!G423="/","-",IF('Raw Data'!G423="","-",SUBSTITUTE('Raw Data'!G423," ",":",1)))</f>
        <v>-</v>
      </c>
      <c r="H423" s="7" t="str">
        <f>IF('Raw Data'!H423="/","-",IF('Raw Data'!H423="","-",SUBSTITUTE('Raw Data'!H423," ",":",1)))</f>
        <v>113:10</v>
      </c>
      <c r="I423" s="7" t="str">
        <f>IF('Raw Data'!I423="/","-",IF('Raw Data'!I423="","-",SUBSTITUTE('Raw Data'!I423," ",":",1)))</f>
        <v>293:10</v>
      </c>
      <c r="J423" s="12">
        <f>IF('Raw Data'!J423="",IF(LEN(K423)&gt;6,SQRT('Raw Data'!M423^2+N423^2),""),'Raw Data'!J423)</f>
        <v>43.2</v>
      </c>
      <c r="K423" s="7" t="str">
        <f>IF('Raw Data'!K423="","",IF(LEN('Raw Data'!K423)&lt;7,SUBSTITUTE('Raw Data'!K423," ",":",1),'Raw Data'!K423))</f>
        <v>-10:20</v>
      </c>
      <c r="L423" t="str">
        <f>IF('Raw Data'!L423="","",'Raw Data'!L423)</f>
        <v/>
      </c>
      <c r="M423">
        <f>IF('Raw Data'!M423="","",'Raw Data'!M423)</f>
        <v>42.5</v>
      </c>
      <c r="N423">
        <f>IF('Raw Data'!N423="","",IF('Raw Data'!N423="-",0,'Raw Data'!N423))</f>
        <v>-7.7</v>
      </c>
      <c r="O423">
        <f>IF('Raw Data'!O423="",IF('Raw Data'!N423="","",0),'Raw Data'!O423)</f>
        <v>477.4</v>
      </c>
      <c r="P423" t="str">
        <f>IF('Raw Data'!P423="","",'Raw Data'!P423)</f>
        <v/>
      </c>
      <c r="R423" s="3" t="str">
        <f t="shared" si="146"/>
        <v>-</v>
      </c>
      <c r="S423" s="3">
        <f t="shared" si="147"/>
        <v>113.16666666666667</v>
      </c>
      <c r="T423" s="3">
        <f t="shared" si="148"/>
        <v>293.16666666666669</v>
      </c>
      <c r="U423" s="3">
        <f t="shared" si="153"/>
        <v>-10.33333333</v>
      </c>
      <c r="W423" s="4">
        <f t="shared" si="143"/>
        <v>42.499332656625356</v>
      </c>
      <c r="X423" s="4">
        <f t="shared" si="144"/>
        <v>-7.7489821100256489</v>
      </c>
      <c r="Y423" s="3">
        <f t="shared" si="145"/>
        <v>293.16666666666669</v>
      </c>
      <c r="Z423" s="4">
        <f>IF('Raw Data'!O423="","",O422+N422)</f>
        <v>477.4</v>
      </c>
    </row>
    <row r="424" spans="1:26" x14ac:dyDescent="0.25">
      <c r="A424">
        <f>IF('Raw Data'!A424="","",'Raw Data'!A424)</f>
        <v>130</v>
      </c>
      <c r="B424">
        <f>IF('Raw Data'!B424="","",'Raw Data'!B424)</f>
        <v>131</v>
      </c>
      <c r="C424">
        <f>IF('Raw Data'!C424="","",'Raw Data'!C424)</f>
        <v>1.5</v>
      </c>
      <c r="D424">
        <f>IF('Raw Data'!D424="","",'Raw Data'!D424)</f>
        <v>1</v>
      </c>
      <c r="E424">
        <f>IF('Raw Data'!E424="","",'Raw Data'!E424)</f>
        <v>5</v>
      </c>
      <c r="F424">
        <f>IF('Raw Data'!F424="","",'Raw Data'!F424)</f>
        <v>3</v>
      </c>
      <c r="G424" s="7" t="str">
        <f>IF('Raw Data'!G424="/","-",IF('Raw Data'!G424="","-",SUBSTITUTE('Raw Data'!G424," ",":",1)))</f>
        <v>293:40</v>
      </c>
      <c r="H424" s="7" t="str">
        <f>IF('Raw Data'!H424="/","-",IF('Raw Data'!H424="","-",SUBSTITUTE('Raw Data'!H424," ",":",1)))</f>
        <v>-</v>
      </c>
      <c r="I424" s="7" t="str">
        <f>IF('Raw Data'!I424="/","-",IF('Raw Data'!I424="","-",SUBSTITUTE('Raw Data'!I424," ",":",1)))</f>
        <v>293:40</v>
      </c>
      <c r="J424" s="12">
        <f>IF('Raw Data'!J424="",IF(LEN(K424)&gt;6,SQRT('Raw Data'!M424^2+N424^2),""),'Raw Data'!J424)</f>
        <v>37.799999999999997</v>
      </c>
      <c r="K424" s="7" t="str">
        <f>IF('Raw Data'!K424="","",IF(LEN('Raw Data'!K424)&lt;7,SUBSTITUTE('Raw Data'!K424," ",":",1),'Raw Data'!K424))</f>
        <v>-3:00</v>
      </c>
      <c r="L424" t="str">
        <f>IF('Raw Data'!L424="","",'Raw Data'!L424)</f>
        <v/>
      </c>
      <c r="M424">
        <f>IF('Raw Data'!M424="","",'Raw Data'!M424)</f>
        <v>37.6</v>
      </c>
      <c r="N424">
        <f>IF('Raw Data'!N424="","",IF('Raw Data'!N424="-",0,'Raw Data'!N424))</f>
        <v>-2</v>
      </c>
      <c r="O424">
        <f>IF('Raw Data'!O424="",IF('Raw Data'!N424="","",0),'Raw Data'!O424)</f>
        <v>469.7</v>
      </c>
      <c r="P424" t="str">
        <f>IF('Raw Data'!P424="","",'Raw Data'!P424)</f>
        <v/>
      </c>
      <c r="R424" s="3">
        <f t="shared" si="146"/>
        <v>293.66666666666669</v>
      </c>
      <c r="S424" s="3" t="str">
        <f t="shared" si="147"/>
        <v>-</v>
      </c>
      <c r="T424" s="3">
        <f t="shared" si="148"/>
        <v>293.66666666666669</v>
      </c>
      <c r="U424" s="3">
        <f t="shared" si="153"/>
        <v>-3</v>
      </c>
      <c r="W424" s="4">
        <f t="shared" si="143"/>
        <v>37.748196413722887</v>
      </c>
      <c r="X424" s="4">
        <f t="shared" si="144"/>
        <v>-1.9782991459832766</v>
      </c>
      <c r="Y424" s="3">
        <f t="shared" si="145"/>
        <v>293.66666666666669</v>
      </c>
      <c r="Z424" s="4">
        <f>IF('Raw Data'!O424="","",O423+N423)</f>
        <v>469.7</v>
      </c>
    </row>
    <row r="425" spans="1:26" x14ac:dyDescent="0.25">
      <c r="A425">
        <f>IF('Raw Data'!A425="","",'Raw Data'!A425)</f>
        <v>131</v>
      </c>
      <c r="B425">
        <f>IF('Raw Data'!B425="","",'Raw Data'!B425)</f>
        <v>132</v>
      </c>
      <c r="C425">
        <f>IF('Raw Data'!C425="","",'Raw Data'!C425)</f>
        <v>2</v>
      </c>
      <c r="D425">
        <f>IF('Raw Data'!D425="","",'Raw Data'!D425)</f>
        <v>0.5</v>
      </c>
      <c r="E425">
        <f>IF('Raw Data'!E425="","",'Raw Data'!E425)</f>
        <v>3</v>
      </c>
      <c r="F425">
        <f>IF('Raw Data'!F425="","",'Raw Data'!F425)</f>
        <v>4</v>
      </c>
      <c r="G425" s="7" t="str">
        <f>IF('Raw Data'!G425="/","-",IF('Raw Data'!G425="","-",SUBSTITUTE('Raw Data'!G425," ",":",1)))</f>
        <v>-</v>
      </c>
      <c r="H425" s="7" t="str">
        <f>IF('Raw Data'!H425="/","-",IF('Raw Data'!H425="","-",SUBSTITUTE('Raw Data'!H425," ",":",1)))</f>
        <v>167:00</v>
      </c>
      <c r="I425" s="7" t="str">
        <f>IF('Raw Data'!I425="/","-",IF('Raw Data'!I425="","-",SUBSTITUTE('Raw Data'!I425," ",":",1)))</f>
        <v>347:00</v>
      </c>
      <c r="J425" s="12">
        <f>IF('Raw Data'!J425="",IF(LEN(K425)&gt;6,SQRT('Raw Data'!M425^2+N425^2),""),'Raw Data'!J425)</f>
        <v>9.3000000000000007</v>
      </c>
      <c r="K425" s="7" t="str">
        <f>IF('Raw Data'!K425="","",IF(LEN('Raw Data'!K425)&lt;7,SUBSTITUTE('Raw Data'!K425," ",":",1),'Raw Data'!K425))</f>
        <v>20:30</v>
      </c>
      <c r="L425" t="str">
        <f>IF('Raw Data'!L425="","",'Raw Data'!L425)</f>
        <v/>
      </c>
      <c r="M425">
        <f>IF('Raw Data'!M425="","",'Raw Data'!M425)</f>
        <v>8.6999999999999993</v>
      </c>
      <c r="N425">
        <f>IF('Raw Data'!N425="","",IF('Raw Data'!N425="-",0,'Raw Data'!N425))</f>
        <v>3.3</v>
      </c>
      <c r="O425">
        <f>IF('Raw Data'!O425="",IF('Raw Data'!N425="","",0),'Raw Data'!O425)</f>
        <v>467.7</v>
      </c>
      <c r="P425" t="str">
        <f>IF('Raw Data'!P425="","",'Raw Data'!P425)</f>
        <v/>
      </c>
      <c r="R425" s="3" t="str">
        <f t="shared" si="146"/>
        <v>-</v>
      </c>
      <c r="S425" s="3">
        <f t="shared" si="147"/>
        <v>167</v>
      </c>
      <c r="T425" s="3">
        <f t="shared" si="148"/>
        <v>347</v>
      </c>
      <c r="U425" s="3">
        <f t="shared" si="153"/>
        <v>20.5</v>
      </c>
      <c r="W425" s="4">
        <f t="shared" si="143"/>
        <v>8.7110513600100994</v>
      </c>
      <c r="X425" s="4">
        <f t="shared" si="144"/>
        <v>3.2569286457130469</v>
      </c>
      <c r="Y425" s="3">
        <f t="shared" si="145"/>
        <v>347</v>
      </c>
      <c r="Z425" s="4">
        <f>IF('Raw Data'!O425="","",O424+N424)</f>
        <v>467.7</v>
      </c>
    </row>
    <row r="426" spans="1:26" x14ac:dyDescent="0.25">
      <c r="A426">
        <f>IF('Raw Data'!A426="","",'Raw Data'!A426)</f>
        <v>132</v>
      </c>
      <c r="B426">
        <f>IF('Raw Data'!B426="","",'Raw Data'!B426)</f>
        <v>133</v>
      </c>
      <c r="C426">
        <f>IF('Raw Data'!C426="","",'Raw Data'!C426)</f>
        <v>1</v>
      </c>
      <c r="D426">
        <f>IF('Raw Data'!D426="","",'Raw Data'!D426)</f>
        <v>1.5</v>
      </c>
      <c r="E426">
        <f>IF('Raw Data'!E426="","",'Raw Data'!E426)</f>
        <v>10</v>
      </c>
      <c r="F426">
        <f>IF('Raw Data'!F426="","",'Raw Data'!F426)</f>
        <v>4</v>
      </c>
      <c r="G426" s="7" t="str">
        <f>IF('Raw Data'!G426="/","-",IF('Raw Data'!G426="","-",SUBSTITUTE('Raw Data'!G426," ",":",1)))</f>
        <v>271:30</v>
      </c>
      <c r="H426" s="7" t="str">
        <f>IF('Raw Data'!H426="/","-",IF('Raw Data'!H426="","-",SUBSTITUTE('Raw Data'!H426," ",":",1)))</f>
        <v>-</v>
      </c>
      <c r="I426" s="7" t="str">
        <f>IF('Raw Data'!I426="/","-",IF('Raw Data'!I426="","-",SUBSTITUTE('Raw Data'!I426," ",":",1)))</f>
        <v>271:30</v>
      </c>
      <c r="J426" s="12">
        <f>IF('Raw Data'!J426="",IF(LEN(K426)&gt;6,SQRT('Raw Data'!M426^2+N426^2),""),'Raw Data'!J426)</f>
        <v>14.6</v>
      </c>
      <c r="K426" s="7" t="str">
        <f>IF('Raw Data'!K426="","",IF(LEN('Raw Data'!K426)&lt;7,SUBSTITUTE('Raw Data'!K426," ",":",1),'Raw Data'!K426))</f>
        <v>-11:30</v>
      </c>
      <c r="L426" t="str">
        <f>IF('Raw Data'!L426="","",'Raw Data'!L426)</f>
        <v/>
      </c>
      <c r="M426">
        <f>IF('Raw Data'!M426="","",'Raw Data'!M426)</f>
        <v>14.3</v>
      </c>
      <c r="N426">
        <f>IF('Raw Data'!N426="","",IF('Raw Data'!N426="-",0,'Raw Data'!N426))</f>
        <v>-2.9</v>
      </c>
      <c r="O426">
        <f>IF('Raw Data'!O426="",IF('Raw Data'!N426="","",0),'Raw Data'!O426)</f>
        <v>471</v>
      </c>
      <c r="P426" t="str">
        <f>IF('Raw Data'!P426="","",'Raw Data'!P426)</f>
        <v/>
      </c>
      <c r="R426" s="3">
        <f t="shared" si="146"/>
        <v>271.5</v>
      </c>
      <c r="S426" s="3" t="str">
        <f t="shared" si="147"/>
        <v>-</v>
      </c>
      <c r="T426" s="3">
        <f t="shared" si="148"/>
        <v>271.5</v>
      </c>
      <c r="U426" s="3">
        <f t="shared" si="153"/>
        <v>-11.5</v>
      </c>
      <c r="W426" s="4">
        <f t="shared" si="143"/>
        <v>14.306900687464111</v>
      </c>
      <c r="X426" s="4">
        <f t="shared" si="144"/>
        <v>-2.9107718424910787</v>
      </c>
      <c r="Y426" s="3">
        <f t="shared" si="145"/>
        <v>271.5</v>
      </c>
      <c r="Z426" s="4">
        <f>IF('Raw Data'!O426="","",O425+N425)</f>
        <v>471</v>
      </c>
    </row>
    <row r="427" spans="1:26" x14ac:dyDescent="0.25">
      <c r="A427">
        <f>IF('Raw Data'!A427="","",'Raw Data'!A427)</f>
        <v>133</v>
      </c>
      <c r="B427">
        <f>IF('Raw Data'!B427="","",'Raw Data'!B427)</f>
        <v>134</v>
      </c>
      <c r="C427">
        <f>IF('Raw Data'!C427="","",'Raw Data'!C427)</f>
        <v>10</v>
      </c>
      <c r="D427">
        <f>IF('Raw Data'!D427="","",'Raw Data'!D427)</f>
        <v>0.3</v>
      </c>
      <c r="E427">
        <f>IF('Raw Data'!E427="","",'Raw Data'!E427)</f>
        <v>3</v>
      </c>
      <c r="F427">
        <f>IF('Raw Data'!F427="","",'Raw Data'!F427)</f>
        <v>1.5</v>
      </c>
      <c r="G427" s="7" t="str">
        <f>IF('Raw Data'!G427="/","-",IF('Raw Data'!G427="","-",SUBSTITUTE('Raw Data'!G427," ",":",1)))</f>
        <v>-</v>
      </c>
      <c r="H427" s="7" t="str">
        <f>IF('Raw Data'!H427="/","-",IF('Raw Data'!H427="","-",SUBSTITUTE('Raw Data'!H427," ",":",1)))</f>
        <v>161:00</v>
      </c>
      <c r="I427" s="7" t="str">
        <f>IF('Raw Data'!I427="/","-",IF('Raw Data'!I427="","-",SUBSTITUTE('Raw Data'!I427," ",":",1)))</f>
        <v>341:00</v>
      </c>
      <c r="J427" s="12">
        <f>IF('Raw Data'!J427="",IF(LEN(K427)&gt;6,SQRT('Raw Data'!M427^2+N427^2),""),'Raw Data'!J427)</f>
        <v>14.7</v>
      </c>
      <c r="K427" s="7" t="str">
        <f>IF('Raw Data'!K427="","",IF(LEN('Raw Data'!K427)&lt;7,SUBSTITUTE('Raw Data'!K427," ",":",1),'Raw Data'!K427))</f>
        <v>20:40</v>
      </c>
      <c r="L427" t="str">
        <f>IF('Raw Data'!L427="","",'Raw Data'!L427)</f>
        <v/>
      </c>
      <c r="M427">
        <f>IF('Raw Data'!M427="","",'Raw Data'!M427)</f>
        <v>13.8</v>
      </c>
      <c r="N427">
        <f>IF('Raw Data'!N427="","",IF('Raw Data'!N427="-",0,'Raw Data'!N427))</f>
        <v>5.2</v>
      </c>
      <c r="O427">
        <f>IF('Raw Data'!O427="",IF('Raw Data'!N427="","",0),'Raw Data'!O427)</f>
        <v>468.1</v>
      </c>
      <c r="P427" t="str">
        <f>IF('Raw Data'!P427="","",'Raw Data'!P427)</f>
        <v/>
      </c>
      <c r="R427" s="3" t="str">
        <f t="shared" si="146"/>
        <v>-</v>
      </c>
      <c r="S427" s="3">
        <f t="shared" si="147"/>
        <v>161</v>
      </c>
      <c r="T427" s="3">
        <f t="shared" si="148"/>
        <v>341</v>
      </c>
      <c r="U427" s="3">
        <f t="shared" si="153"/>
        <v>20.666666660000001</v>
      </c>
      <c r="W427" s="4">
        <f t="shared" si="143"/>
        <v>13.754047883444771</v>
      </c>
      <c r="X427" s="4">
        <f t="shared" si="144"/>
        <v>5.1880792996935172</v>
      </c>
      <c r="Y427" s="3">
        <f t="shared" si="145"/>
        <v>341</v>
      </c>
      <c r="Z427" s="4">
        <f>IF('Raw Data'!O427="","",O426+N426)</f>
        <v>468.1</v>
      </c>
    </row>
    <row r="428" spans="1:26" x14ac:dyDescent="0.25">
      <c r="A428">
        <f>IF('Raw Data'!A428="","",'Raw Data'!A428)</f>
        <v>134</v>
      </c>
      <c r="B428">
        <f>IF('Raw Data'!B428="","",'Raw Data'!B428)</f>
        <v>135</v>
      </c>
      <c r="C428">
        <f>IF('Raw Data'!C428="","",'Raw Data'!C428)</f>
        <v>15</v>
      </c>
      <c r="D428">
        <f>IF('Raw Data'!D428="","",'Raw Data'!D428)</f>
        <v>3</v>
      </c>
      <c r="E428">
        <f>IF('Raw Data'!E428="","",'Raw Data'!E428)</f>
        <v>3.5</v>
      </c>
      <c r="F428">
        <f>IF('Raw Data'!F428="","",'Raw Data'!F428)</f>
        <v>1.5</v>
      </c>
      <c r="G428" s="7" t="str">
        <f>IF('Raw Data'!G428="/","-",IF('Raw Data'!G428="","-",SUBSTITUTE('Raw Data'!G428," ",":",1)))</f>
        <v>009:30</v>
      </c>
      <c r="H428" s="7" t="str">
        <f>IF('Raw Data'!H428="/","-",IF('Raw Data'!H428="","-",SUBSTITUTE('Raw Data'!H428," ",":",1)))</f>
        <v>-</v>
      </c>
      <c r="I428" s="7" t="str">
        <f>IF('Raw Data'!I428="/","-",IF('Raw Data'!I428="","-",SUBSTITUTE('Raw Data'!I428," ",":",1)))</f>
        <v>009:30</v>
      </c>
      <c r="J428" s="12">
        <f>IF('Raw Data'!J428="",IF(LEN(K428)&gt;6,SQRT('Raw Data'!M428^2+N428^2),""),'Raw Data'!J428)</f>
        <v>21.5</v>
      </c>
      <c r="K428" s="7" t="str">
        <f>IF('Raw Data'!K428="","",IF(LEN('Raw Data'!K428)&lt;7,SUBSTITUTE('Raw Data'!K428," ",":",1),'Raw Data'!K428))</f>
        <v>-6:20</v>
      </c>
      <c r="L428" t="str">
        <f>IF('Raw Data'!L428="","",'Raw Data'!L428)</f>
        <v/>
      </c>
      <c r="M428">
        <f>IF('Raw Data'!M428="","",'Raw Data'!M428)</f>
        <v>21.3</v>
      </c>
      <c r="N428">
        <f>IF('Raw Data'!N428="","",IF('Raw Data'!N428="-",0,'Raw Data'!N428))</f>
        <v>-2.4</v>
      </c>
      <c r="O428">
        <f>IF('Raw Data'!O428="",IF('Raw Data'!N428="","",0),'Raw Data'!O428)</f>
        <v>473.3</v>
      </c>
      <c r="P428" t="str">
        <f>IF('Raw Data'!P428="","",'Raw Data'!P428)</f>
        <v/>
      </c>
      <c r="R428" s="3">
        <f t="shared" si="146"/>
        <v>9.5</v>
      </c>
      <c r="S428" s="3" t="str">
        <f t="shared" si="147"/>
        <v>-</v>
      </c>
      <c r="T428" s="3">
        <f t="shared" si="148"/>
        <v>9.5</v>
      </c>
      <c r="U428" s="3">
        <f t="shared" si="153"/>
        <v>-6.3333333300000003</v>
      </c>
      <c r="W428" s="4">
        <f t="shared" si="143"/>
        <v>21.368784348050159</v>
      </c>
      <c r="X428" s="4">
        <f t="shared" si="144"/>
        <v>-2.3717199426843165</v>
      </c>
      <c r="Y428" s="3">
        <f t="shared" si="145"/>
        <v>9.5</v>
      </c>
      <c r="Z428" s="4">
        <f>IF('Raw Data'!O428="","",O427+N427)</f>
        <v>473.3</v>
      </c>
    </row>
    <row r="429" spans="1:26" x14ac:dyDescent="0.25">
      <c r="A429" t="str">
        <f>IF('Raw Data'!A429="","",'Raw Data'!A429)</f>
        <v/>
      </c>
      <c r="B429" t="str">
        <f>IF('Raw Data'!B429="","",'Raw Data'!B429)</f>
        <v/>
      </c>
      <c r="C429" t="str">
        <f>IF('Raw Data'!C429="","",'Raw Data'!C429)</f>
        <v/>
      </c>
      <c r="D429" t="str">
        <f>IF('Raw Data'!D429="","",'Raw Data'!D429)</f>
        <v/>
      </c>
      <c r="E429" t="str">
        <f>IF('Raw Data'!E429="","",'Raw Data'!E429)</f>
        <v/>
      </c>
      <c r="F429" t="str">
        <f>IF('Raw Data'!F429="","",'Raw Data'!F429)</f>
        <v/>
      </c>
      <c r="G429" s="7" t="str">
        <f>IF('Raw Data'!G429="/","-",IF('Raw Data'!G429="","-",SUBSTITUTE('Raw Data'!G429," ",":",1)))</f>
        <v>-</v>
      </c>
      <c r="H429" s="7" t="str">
        <f>IF('Raw Data'!H429="/","-",IF('Raw Data'!H429="","-",SUBSTITUTE('Raw Data'!H429," ",":",1)))</f>
        <v>-</v>
      </c>
      <c r="I429" s="7" t="str">
        <f>IF('Raw Data'!I429="/","-",IF('Raw Data'!I429="","-",SUBSTITUTE('Raw Data'!I429," ",":",1)))</f>
        <v>-</v>
      </c>
      <c r="J429" s="12" t="str">
        <f>IF('Raw Data'!J429="",IF(LEN(K429)&gt;6,SQRT('Raw Data'!M429^2+N429^2),""),'Raw Data'!J429)</f>
        <v/>
      </c>
      <c r="K429" s="7" t="str">
        <f>IF('Raw Data'!K429="","",IF(LEN('Raw Data'!K429)&lt;7,SUBSTITUTE('Raw Data'!K429," ",":",1),'Raw Data'!K429))</f>
        <v/>
      </c>
      <c r="L429" t="str">
        <f>IF('Raw Data'!L429="","",'Raw Data'!L429)</f>
        <v/>
      </c>
      <c r="M429" t="str">
        <f>IF('Raw Data'!M429="","",'Raw Data'!M429)</f>
        <v/>
      </c>
      <c r="N429" t="str">
        <f>IF('Raw Data'!N429="","",IF('Raw Data'!N429="-",0,'Raw Data'!N429))</f>
        <v/>
      </c>
      <c r="O429">
        <f>IF('Raw Data'!O429="",IF('Raw Data'!N429="","",0),'Raw Data'!O429)</f>
        <v>470.9</v>
      </c>
      <c r="P429" t="str">
        <f>IF('Raw Data'!P429="","",'Raw Data'!P429)</f>
        <v/>
      </c>
      <c r="W429" s="4"/>
      <c r="X429" s="4"/>
      <c r="Y429" s="3"/>
      <c r="Z429" s="4">
        <f>IF('Raw Data'!O429="","",O428+N428)</f>
        <v>470.90000000000003</v>
      </c>
    </row>
    <row r="430" spans="1:26" x14ac:dyDescent="0.25">
      <c r="A430" t="str">
        <f>IF('Raw Data'!A430="","",'Raw Data'!A430)</f>
        <v>p. 73-74</v>
      </c>
      <c r="B430" t="str">
        <f>IF('Raw Data'!B430="","",'Raw Data'!B430)</f>
        <v>(=PDF p.75-76)</v>
      </c>
      <c r="C430" t="str">
        <f>IF('Raw Data'!C430="","",'Raw Data'!C430)</f>
        <v/>
      </c>
      <c r="D430" t="str">
        <f>IF('Raw Data'!D430="","",'Raw Data'!D430)</f>
        <v/>
      </c>
      <c r="E430" t="str">
        <f>IF('Raw Data'!E430="","",'Raw Data'!E430)</f>
        <v/>
      </c>
      <c r="F430" t="str">
        <f>IF('Raw Data'!F430="","",'Raw Data'!F430)</f>
        <v/>
      </c>
      <c r="G430" s="7" t="str">
        <f>IF('Raw Data'!G430="/","-",IF('Raw Data'!G430="","-",SUBSTITUTE('Raw Data'!G430," ",":",1)))</f>
        <v>-</v>
      </c>
      <c r="H430" s="7" t="str">
        <f>IF('Raw Data'!H430="/","-",IF('Raw Data'!H430="","-",SUBSTITUTE('Raw Data'!H430," ",":",1)))</f>
        <v>-</v>
      </c>
      <c r="I430" s="7" t="str">
        <f>IF('Raw Data'!I430="/","-",IF('Raw Data'!I430="","-",SUBSTITUTE('Raw Data'!I430," ",":",1)))</f>
        <v>-</v>
      </c>
      <c r="J430" s="12" t="str">
        <f>IF('Raw Data'!J430="",IF(LEN(K430)&gt;6,SQRT('Raw Data'!M430^2+N430^2),""),'Raw Data'!J430)</f>
        <v/>
      </c>
      <c r="K430" s="7" t="str">
        <f>IF('Raw Data'!K430="","",IF(LEN('Raw Data'!K430)&lt;7,SUBSTITUTE('Raw Data'!K430," ",":",1),'Raw Data'!K430))</f>
        <v/>
      </c>
      <c r="L430" t="str">
        <f>IF('Raw Data'!L430="","",'Raw Data'!L430)</f>
        <v/>
      </c>
      <c r="M430" t="str">
        <f>IF('Raw Data'!M430="","",'Raw Data'!M430)</f>
        <v/>
      </c>
      <c r="N430" t="str">
        <f>IF('Raw Data'!N430="","",IF('Raw Data'!N430="-",0,'Raw Data'!N430))</f>
        <v/>
      </c>
      <c r="O430" t="str">
        <f>IF('Raw Data'!O430="",IF('Raw Data'!N430="","",0),'Raw Data'!O430)</f>
        <v/>
      </c>
      <c r="P430" t="str">
        <f>IF('Raw Data'!P430="","",'Raw Data'!P430)</f>
        <v/>
      </c>
      <c r="W430" s="4"/>
      <c r="X430" s="4"/>
      <c r="Y430" s="3"/>
      <c r="Z430" s="4" t="str">
        <f>IF('Raw Data'!O430="","",O429+N429)</f>
        <v/>
      </c>
    </row>
    <row r="431" spans="1:26" x14ac:dyDescent="0.25">
      <c r="A431">
        <f>IF('Raw Data'!A431="","",'Raw Data'!A431)</f>
        <v>135</v>
      </c>
      <c r="B431">
        <f>IF('Raw Data'!B431="","",'Raw Data'!B431)</f>
        <v>136</v>
      </c>
      <c r="C431">
        <f>IF('Raw Data'!C431="","",'Raw Data'!C431)</f>
        <v>3.5</v>
      </c>
      <c r="D431">
        <f>IF('Raw Data'!D431="","",'Raw Data'!D431)</f>
        <v>1.2</v>
      </c>
      <c r="E431" t="str">
        <f>IF('Raw Data'!E431="","",'Raw Data'!E431)</f>
        <v>/</v>
      </c>
      <c r="F431">
        <f>IF('Raw Data'!F431="","",'Raw Data'!F431)</f>
        <v>3</v>
      </c>
      <c r="G431" s="7" t="str">
        <f>IF('Raw Data'!G431="/","-",IF('Raw Data'!G431="","-",SUBSTITUTE('Raw Data'!G431," ",":",1)))</f>
        <v>-</v>
      </c>
      <c r="H431" s="7" t="str">
        <f>IF('Raw Data'!H431="/","-",IF('Raw Data'!H431="","-",SUBSTITUTE('Raw Data'!H431," ",":",1)))</f>
        <v>084:20</v>
      </c>
      <c r="I431" s="7" t="str">
        <f>IF('Raw Data'!I431="/","-",IF('Raw Data'!I431="","-",SUBSTITUTE('Raw Data'!I431," ",":",1)))</f>
        <v>264:20</v>
      </c>
      <c r="J431" s="12">
        <f>IF('Raw Data'!J431="",IF(LEN(K431)&gt;6,SQRT('Raw Data'!M431^2+N431^2),""),'Raw Data'!J431)</f>
        <v>57.2</v>
      </c>
      <c r="K431" s="7" t="str">
        <f>IF('Raw Data'!K431="","",IF(LEN('Raw Data'!K431)&lt;7,SUBSTITUTE('Raw Data'!K431," ",":",1),'Raw Data'!K431))</f>
        <v>-13:40</v>
      </c>
      <c r="L431" t="str">
        <f>IF('Raw Data'!L431="","",'Raw Data'!L431)</f>
        <v/>
      </c>
      <c r="M431">
        <f>IF('Raw Data'!M431="","",'Raw Data'!M431)</f>
        <v>55.7</v>
      </c>
      <c r="N431">
        <f>IF('Raw Data'!N431="","",IF('Raw Data'!N431="-",0,'Raw Data'!N431))</f>
        <v>-13.5</v>
      </c>
      <c r="O431">
        <f>IF('Raw Data'!O431="",IF('Raw Data'!N431="","",0),'Raw Data'!O431)</f>
        <v>470.9</v>
      </c>
      <c r="P431" t="str">
        <f>IF('Raw Data'!P431="","",'Raw Data'!P431)</f>
        <v/>
      </c>
      <c r="R431" s="3" t="str">
        <f t="shared" ref="R431:R441" si="154">IF(ISERROR(FIND(":",G431)),IF(G431&lt;&gt;"-",1*G431,G431),1*LEFT(G431,FIND(":",G431)-1)+RIGHT(G431,LEN(G431)-FIND(":",G431))/60)</f>
        <v>-</v>
      </c>
      <c r="S431" s="3">
        <f t="shared" ref="S431:S441" si="155">IF(ISERROR(FIND(":",H431)),IF(H431&lt;&gt;"-",1*H431,H431),1*LEFT(H431,FIND(":",H431)-1)+RIGHT(H431,LEN(H431)-FIND(":",H431))/60)</f>
        <v>84.333333333333329</v>
      </c>
      <c r="T431" s="3">
        <f t="shared" ref="T431:T441" si="156">IF(ISERROR(FIND(":",I431)),IF(I431&lt;&gt;"-",1*I431,I431),1*LEFT(I431,FIND(":",I431)-1)+RIGHT(I431,LEN(I431)-FIND(":",I431))/60)</f>
        <v>264.33333333333331</v>
      </c>
      <c r="U431" s="3">
        <f t="shared" si="153"/>
        <v>-13.666666660000001</v>
      </c>
      <c r="W431" s="4">
        <f t="shared" si="143"/>
        <v>55.580481668046872</v>
      </c>
      <c r="X431" s="4">
        <f t="shared" si="144"/>
        <v>-13.514808823949602</v>
      </c>
      <c r="Y431" s="3">
        <f t="shared" si="145"/>
        <v>264.33333333333331</v>
      </c>
      <c r="Z431" s="4">
        <f>IF('Raw Data'!O431="","",O428+N428)</f>
        <v>470.90000000000003</v>
      </c>
    </row>
    <row r="432" spans="1:26" x14ac:dyDescent="0.25">
      <c r="A432">
        <f>IF('Raw Data'!A432="","",'Raw Data'!A432)</f>
        <v>136</v>
      </c>
      <c r="B432">
        <f>IF('Raw Data'!B432="","",'Raw Data'!B432)</f>
        <v>137</v>
      </c>
      <c r="C432">
        <f>IF('Raw Data'!C432="","",'Raw Data'!C432)</f>
        <v>2</v>
      </c>
      <c r="D432">
        <f>IF('Raw Data'!D432="","",'Raw Data'!D432)</f>
        <v>1</v>
      </c>
      <c r="E432">
        <f>IF('Raw Data'!E432="","",'Raw Data'!E432)</f>
        <v>6</v>
      </c>
      <c r="F432" t="str">
        <f>IF('Raw Data'!F432="","",'Raw Data'!F432)</f>
        <v>/</v>
      </c>
      <c r="G432" s="7" t="str">
        <f>IF('Raw Data'!G432="/","-",IF('Raw Data'!G432="","-",SUBSTITUTE('Raw Data'!G432," ",":",1)))</f>
        <v>007:30</v>
      </c>
      <c r="H432" s="7" t="str">
        <f>IF('Raw Data'!H432="/","-",IF('Raw Data'!H432="","-",SUBSTITUTE('Raw Data'!H432," ",":",1)))</f>
        <v>-</v>
      </c>
      <c r="I432" s="7" t="str">
        <f>IF('Raw Data'!I432="/","-",IF('Raw Data'!I432="","-",SUBSTITUTE('Raw Data'!I432," ",":",1)))</f>
        <v>007:30</v>
      </c>
      <c r="J432" s="12">
        <f>IF('Raw Data'!J432="",IF(LEN(K432)&gt;6,SQRT('Raw Data'!M432^2+N432^2),""),'Raw Data'!J432)</f>
        <v>18.399999999999999</v>
      </c>
      <c r="K432" s="7" t="str">
        <f>IF('Raw Data'!K432="","",IF(LEN('Raw Data'!K432)&lt;7,SUBSTITUTE('Raw Data'!K432," ",":",1),'Raw Data'!K432))</f>
        <v>-6:00</v>
      </c>
      <c r="L432" t="str">
        <f>IF('Raw Data'!L432="","",'Raw Data'!L432)</f>
        <v/>
      </c>
      <c r="M432">
        <f>IF('Raw Data'!M432="","",'Raw Data'!M432)</f>
        <v>18.2</v>
      </c>
      <c r="N432">
        <f>IF('Raw Data'!N432="","",IF('Raw Data'!N432="-",0,'Raw Data'!N432))</f>
        <v>-1.9</v>
      </c>
      <c r="O432">
        <f>IF('Raw Data'!O432="",IF('Raw Data'!N432="","",0),'Raw Data'!O432)</f>
        <v>457.4</v>
      </c>
      <c r="P432" t="str">
        <f>IF('Raw Data'!P432="","",'Raw Data'!P432)</f>
        <v/>
      </c>
      <c r="R432" s="3">
        <f t="shared" si="154"/>
        <v>7.5</v>
      </c>
      <c r="S432" s="3" t="str">
        <f t="shared" si="155"/>
        <v>-</v>
      </c>
      <c r="T432" s="3">
        <f t="shared" si="156"/>
        <v>7.5</v>
      </c>
      <c r="U432" s="3">
        <f t="shared" si="153"/>
        <v>-6</v>
      </c>
      <c r="W432" s="4">
        <f t="shared" si="143"/>
        <v>18.299202874776228</v>
      </c>
      <c r="X432" s="4">
        <f t="shared" si="144"/>
        <v>-1.9233237241248236</v>
      </c>
      <c r="Y432" s="3">
        <f t="shared" si="145"/>
        <v>7.5</v>
      </c>
      <c r="Z432" s="4">
        <f>IF('Raw Data'!O432="","",O431+N431)</f>
        <v>457.4</v>
      </c>
    </row>
    <row r="433" spans="1:27" x14ac:dyDescent="0.25">
      <c r="A433">
        <f>IF('Raw Data'!A433="","",'Raw Data'!A433)</f>
        <v>137</v>
      </c>
      <c r="B433">
        <f>IF('Raw Data'!B433="","",'Raw Data'!B433)</f>
        <v>138</v>
      </c>
      <c r="C433">
        <f>IF('Raw Data'!C433="","",'Raw Data'!C433)</f>
        <v>5.5</v>
      </c>
      <c r="D433">
        <f>IF('Raw Data'!D433="","",'Raw Data'!D433)</f>
        <v>0.3</v>
      </c>
      <c r="E433">
        <f>IF('Raw Data'!E433="","",'Raw Data'!E433)</f>
        <v>4</v>
      </c>
      <c r="F433" t="str">
        <f>IF('Raw Data'!F433="","",'Raw Data'!F433)</f>
        <v>/</v>
      </c>
      <c r="G433" s="7" t="str">
        <f>IF('Raw Data'!G433="/","-",IF('Raw Data'!G433="","-",SUBSTITUTE('Raw Data'!G433," ",":",1)))</f>
        <v>-</v>
      </c>
      <c r="H433" s="7" t="str">
        <f>IF('Raw Data'!H433="/","-",IF('Raw Data'!H433="","-",SUBSTITUTE('Raw Data'!H433," ",":",1)))</f>
        <v>252:15</v>
      </c>
      <c r="I433" s="7" t="str">
        <f>IF('Raw Data'!I433="/","-",IF('Raw Data'!I433="","-",SUBSTITUTE('Raw Data'!I433," ",":",1)))</f>
        <v>072:15</v>
      </c>
      <c r="J433" s="12">
        <f>IF('Raw Data'!J433="",IF(LEN(K433)&gt;6,SQRT('Raw Data'!M433^2+N433^2),""),'Raw Data'!J433)</f>
        <v>24.8</v>
      </c>
      <c r="K433" s="7" t="str">
        <f>IF('Raw Data'!K433="","",IF(LEN('Raw Data'!K433)&lt;7,SUBSTITUTE('Raw Data'!K433," ",":",1),'Raw Data'!K433))</f>
        <v>33:20</v>
      </c>
      <c r="L433" t="str">
        <f>IF('Raw Data'!L433="","",'Raw Data'!L433)</f>
        <v/>
      </c>
      <c r="M433">
        <f>IF('Raw Data'!M433="","",'Raw Data'!M433)</f>
        <v>20.7</v>
      </c>
      <c r="N433">
        <f>IF('Raw Data'!N433="","",IF('Raw Data'!N433="-",0,'Raw Data'!N433))</f>
        <v>13.6</v>
      </c>
      <c r="O433">
        <f>IF('Raw Data'!O433="",IF('Raw Data'!N433="","",0),'Raw Data'!O433)</f>
        <v>455.5</v>
      </c>
      <c r="P433" t="str">
        <f>IF('Raw Data'!P433="","",'Raw Data'!P433)</f>
        <v/>
      </c>
      <c r="R433" s="3" t="str">
        <f t="shared" si="154"/>
        <v>-</v>
      </c>
      <c r="S433" s="3">
        <f t="shared" si="155"/>
        <v>252.25</v>
      </c>
      <c r="T433" s="3">
        <f t="shared" si="156"/>
        <v>72.25</v>
      </c>
      <c r="U433" s="3">
        <f t="shared" si="153"/>
        <v>33.333333330000002</v>
      </c>
      <c r="W433" s="4">
        <f t="shared" si="143"/>
        <v>20.720097723833661</v>
      </c>
      <c r="X433" s="4">
        <f t="shared" si="144"/>
        <v>13.627822654950544</v>
      </c>
      <c r="Y433" s="3">
        <f t="shared" si="145"/>
        <v>72.25</v>
      </c>
      <c r="Z433" s="4">
        <f>IF('Raw Data'!O433="","",O432+N432)</f>
        <v>455.5</v>
      </c>
    </row>
    <row r="434" spans="1:27" x14ac:dyDescent="0.25">
      <c r="A434">
        <f>IF('Raw Data'!A434="","",'Raw Data'!A434)</f>
        <v>138</v>
      </c>
      <c r="B434">
        <f>IF('Raw Data'!B434="","",'Raw Data'!B434)</f>
        <v>139</v>
      </c>
      <c r="C434">
        <f>IF('Raw Data'!C434="","",'Raw Data'!C434)</f>
        <v>2.5</v>
      </c>
      <c r="D434">
        <f>IF('Raw Data'!D434="","",'Raw Data'!D434)</f>
        <v>1.5</v>
      </c>
      <c r="E434">
        <f>IF('Raw Data'!E434="","",'Raw Data'!E434)</f>
        <v>5</v>
      </c>
      <c r="F434">
        <f>IF('Raw Data'!F434="","",'Raw Data'!F434)</f>
        <v>1</v>
      </c>
      <c r="G434" s="7" t="str">
        <f>IF('Raw Data'!G434="/","-",IF('Raw Data'!G434="","-",SUBSTITUTE('Raw Data'!G434," ",":",1)))</f>
        <v>052:00</v>
      </c>
      <c r="H434" s="7" t="str">
        <f>IF('Raw Data'!H434="/","-",IF('Raw Data'!H434="","-",SUBSTITUTE('Raw Data'!H434," ",":",1)))</f>
        <v>-</v>
      </c>
      <c r="I434" s="7" t="str">
        <f>IF('Raw Data'!I434="/","-",IF('Raw Data'!I434="","-",SUBSTITUTE('Raw Data'!I434," ",":",1)))</f>
        <v>052:00</v>
      </c>
      <c r="J434" s="12">
        <f>IF('Raw Data'!J434="",IF(LEN(K434)&gt;6,SQRT('Raw Data'!M434^2+N434^2),""),'Raw Data'!J434)</f>
        <v>19</v>
      </c>
      <c r="K434" s="7" t="str">
        <f>IF('Raw Data'!K434="","",IF(LEN('Raw Data'!K434)&lt;7,SUBSTITUTE('Raw Data'!K434," ",":",1),'Raw Data'!K434))</f>
        <v>16:30</v>
      </c>
      <c r="L434" t="str">
        <f>IF('Raw Data'!L434="","",'Raw Data'!L434)</f>
        <v/>
      </c>
      <c r="M434">
        <f>IF('Raw Data'!M434="","",'Raw Data'!M434)</f>
        <v>18.2</v>
      </c>
      <c r="N434">
        <f>IF('Raw Data'!N434="","",IF('Raw Data'!N434="-",0,'Raw Data'!N434))</f>
        <v>5.4</v>
      </c>
      <c r="O434">
        <f>IF('Raw Data'!O434="",IF('Raw Data'!N434="","",0),'Raw Data'!O434)</f>
        <v>469.1</v>
      </c>
      <c r="P434" t="str">
        <f>IF('Raw Data'!P434="","",'Raw Data'!P434)</f>
        <v/>
      </c>
      <c r="R434" s="3">
        <f t="shared" si="154"/>
        <v>52</v>
      </c>
      <c r="S434" s="3" t="str">
        <f t="shared" si="155"/>
        <v>-</v>
      </c>
      <c r="T434" s="3">
        <f t="shared" si="156"/>
        <v>52</v>
      </c>
      <c r="U434" s="3">
        <f t="shared" si="153"/>
        <v>16.5</v>
      </c>
      <c r="W434" s="4">
        <f t="shared" si="143"/>
        <v>18.217574962495668</v>
      </c>
      <c r="X434" s="4">
        <f t="shared" si="144"/>
        <v>5.3962915493745305</v>
      </c>
      <c r="Y434" s="3">
        <f t="shared" si="145"/>
        <v>52</v>
      </c>
      <c r="Z434" s="4">
        <f>IF('Raw Data'!O434="","",O433+N433)</f>
        <v>469.1</v>
      </c>
    </row>
    <row r="435" spans="1:27" x14ac:dyDescent="0.25">
      <c r="A435">
        <f>IF('Raw Data'!A435="","",'Raw Data'!A435)</f>
        <v>139</v>
      </c>
      <c r="B435">
        <f>IF('Raw Data'!B435="","",'Raw Data'!B435)</f>
        <v>140</v>
      </c>
      <c r="C435">
        <f>IF('Raw Data'!C435="","",'Raw Data'!C435)</f>
        <v>0.8</v>
      </c>
      <c r="D435">
        <f>IF('Raw Data'!D435="","",'Raw Data'!D435)</f>
        <v>0.3</v>
      </c>
      <c r="E435">
        <f>IF('Raw Data'!E435="","",'Raw Data'!E435)</f>
        <v>5</v>
      </c>
      <c r="F435">
        <f>IF('Raw Data'!F435="","",'Raw Data'!F435)</f>
        <v>2</v>
      </c>
      <c r="G435" s="7" t="str">
        <f>IF('Raw Data'!G435="/","-",IF('Raw Data'!G435="","-",SUBSTITUTE('Raw Data'!G435," ",":",1)))</f>
        <v>-</v>
      </c>
      <c r="H435" s="7" t="str">
        <f>IF('Raw Data'!H435="/","-",IF('Raw Data'!H435="","-",SUBSTITUTE('Raw Data'!H435," ",":",1)))</f>
        <v>094:10</v>
      </c>
      <c r="I435" s="7" t="str">
        <f>IF('Raw Data'!I435="/","-",IF('Raw Data'!I435="","-",SUBSTITUTE('Raw Data'!I435," ",":",1)))</f>
        <v>274:10</v>
      </c>
      <c r="J435" s="12">
        <f>IF('Raw Data'!J435="",IF(LEN(K435)&gt;6,SQRT('Raw Data'!M435^2+N435^2),""),'Raw Data'!J435)</f>
        <v>35</v>
      </c>
      <c r="K435" s="7" t="str">
        <f>IF('Raw Data'!K435="","",IF(LEN('Raw Data'!K435)&lt;7,SUBSTITUTE('Raw Data'!K435," ",":",1),'Raw Data'!K435))</f>
        <v>-19:20</v>
      </c>
      <c r="L435" t="str">
        <f>IF('Raw Data'!L435="","",'Raw Data'!L435)</f>
        <v/>
      </c>
      <c r="M435">
        <f>IF('Raw Data'!M435="","",'Raw Data'!M435)</f>
        <v>33</v>
      </c>
      <c r="N435">
        <f>IF('Raw Data'!N435="","",IF('Raw Data'!N435="-",0,'Raw Data'!N435))</f>
        <v>-11.6</v>
      </c>
      <c r="O435">
        <f>IF('Raw Data'!O435="",IF('Raw Data'!N435="","",0),'Raw Data'!O435)</f>
        <v>474.5</v>
      </c>
      <c r="P435" t="str">
        <f>IF('Raw Data'!P435="","",'Raw Data'!P435)</f>
        <v/>
      </c>
      <c r="R435" s="3" t="str">
        <f t="shared" si="154"/>
        <v>-</v>
      </c>
      <c r="S435" s="3">
        <f t="shared" si="155"/>
        <v>94.166666666666671</v>
      </c>
      <c r="T435" s="3">
        <f t="shared" si="156"/>
        <v>274.16666666666669</v>
      </c>
      <c r="U435" s="3">
        <f t="shared" si="153"/>
        <v>-19.333333329999999</v>
      </c>
      <c r="W435" s="4">
        <f t="shared" si="143"/>
        <v>33.026297724449542</v>
      </c>
      <c r="X435" s="4">
        <f t="shared" si="144"/>
        <v>-11.587219624052139</v>
      </c>
      <c r="Y435" s="3">
        <f t="shared" si="145"/>
        <v>274.16666666666669</v>
      </c>
      <c r="Z435" s="4">
        <f>IF('Raw Data'!O435="","",O434+N434)</f>
        <v>474.5</v>
      </c>
    </row>
    <row r="436" spans="1:27" x14ac:dyDescent="0.25">
      <c r="A436">
        <f>IF('Raw Data'!A436="","",'Raw Data'!A436)</f>
        <v>140</v>
      </c>
      <c r="B436">
        <f>IF('Raw Data'!B436="","",'Raw Data'!B436)</f>
        <v>141</v>
      </c>
      <c r="C436" t="str">
        <f>IF('Raw Data'!C436="","",'Raw Data'!C436)</f>
        <v>10 (22 in aven)</v>
      </c>
      <c r="D436">
        <f>IF('Raw Data'!D436="","",'Raw Data'!D436)</f>
        <v>1.5</v>
      </c>
      <c r="E436">
        <f>IF('Raw Data'!E436="","",'Raw Data'!E436)</f>
        <v>4</v>
      </c>
      <c r="F436">
        <f>IF('Raw Data'!F436="","",'Raw Data'!F436)</f>
        <v>5</v>
      </c>
      <c r="G436" s="7" t="str">
        <f>IF('Raw Data'!G436="/","-",IF('Raw Data'!G436="","-",SUBSTITUTE('Raw Data'!G436," ",":",1)))</f>
        <v>265:50</v>
      </c>
      <c r="H436" s="7" t="str">
        <f>IF('Raw Data'!H436="/","-",IF('Raw Data'!H436="","-",SUBSTITUTE('Raw Data'!H436," ",":",1)))</f>
        <v>-</v>
      </c>
      <c r="I436" s="7" t="str">
        <f>IF('Raw Data'!I436="/","-",IF('Raw Data'!I436="","-",SUBSTITUTE('Raw Data'!I436," ",":",1)))</f>
        <v>265:50</v>
      </c>
      <c r="J436" s="12">
        <f>IF('Raw Data'!J436="",IF(LEN(K436)&gt;6,SQRT('Raw Data'!M436^2+N436^2),""),'Raw Data'!J436)</f>
        <v>51.6</v>
      </c>
      <c r="K436" s="7" t="str">
        <f>IF('Raw Data'!K436="","",IF(LEN('Raw Data'!K436)&lt;7,SUBSTITUTE('Raw Data'!K436," ",":",1),'Raw Data'!K436))</f>
        <v>-19:00</v>
      </c>
      <c r="L436" t="str">
        <f>IF('Raw Data'!L436="","",'Raw Data'!L436)</f>
        <v/>
      </c>
      <c r="M436">
        <f>IF('Raw Data'!M436="","",'Raw Data'!M436)</f>
        <v>48.6</v>
      </c>
      <c r="N436">
        <f>IF('Raw Data'!N436="","",IF('Raw Data'!N436="-",0,'Raw Data'!N436))</f>
        <v>-16.8</v>
      </c>
      <c r="O436">
        <f>IF('Raw Data'!O436="",IF('Raw Data'!N436="","",0),'Raw Data'!O436)</f>
        <v>462.9</v>
      </c>
      <c r="P436" t="str">
        <f>IF('Raw Data'!P436="","",'Raw Data'!P436)</f>
        <v/>
      </c>
      <c r="R436" s="3">
        <f t="shared" si="154"/>
        <v>265.83333333333331</v>
      </c>
      <c r="S436" s="3" t="str">
        <f t="shared" si="155"/>
        <v>-</v>
      </c>
      <c r="T436" s="3">
        <f t="shared" si="156"/>
        <v>265.83333333333331</v>
      </c>
      <c r="U436" s="3">
        <f t="shared" si="153"/>
        <v>-19</v>
      </c>
      <c r="W436" s="4">
        <f t="shared" si="143"/>
        <v>48.78875850092475</v>
      </c>
      <c r="X436" s="4">
        <f t="shared" si="144"/>
        <v>-16.799316769989282</v>
      </c>
      <c r="Y436" s="3">
        <f t="shared" si="145"/>
        <v>265.83333333333331</v>
      </c>
      <c r="Z436" s="4">
        <f>IF('Raw Data'!O436="","",O435+N435)</f>
        <v>462.9</v>
      </c>
      <c r="AA436" t="s">
        <v>900</v>
      </c>
    </row>
    <row r="437" spans="1:27" x14ac:dyDescent="0.25">
      <c r="A437">
        <f>IF('Raw Data'!A437="","",'Raw Data'!A437)</f>
        <v>141</v>
      </c>
      <c r="B437">
        <f>IF('Raw Data'!B437="","",'Raw Data'!B437)</f>
        <v>142</v>
      </c>
      <c r="C437">
        <f>IF('Raw Data'!C437="","",'Raw Data'!C437)</f>
        <v>2.5</v>
      </c>
      <c r="D437">
        <f>IF('Raw Data'!D437="","",'Raw Data'!D437)</f>
        <v>2</v>
      </c>
      <c r="E437">
        <f>IF('Raw Data'!E437="","",'Raw Data'!E437)</f>
        <v>15</v>
      </c>
      <c r="F437">
        <f>IF('Raw Data'!F437="","",'Raw Data'!F437)</f>
        <v>3</v>
      </c>
      <c r="G437" s="7" t="str">
        <f>IF('Raw Data'!G437="/","-",IF('Raw Data'!G437="","-",SUBSTITUTE('Raw Data'!G437," ",":",1)))</f>
        <v>-</v>
      </c>
      <c r="H437" s="7" t="str">
        <f>IF('Raw Data'!H437="/","-",IF('Raw Data'!H437="","-",SUBSTITUTE('Raw Data'!H437," ",":",1)))</f>
        <v>149:15</v>
      </c>
      <c r="I437" s="7" t="str">
        <f>IF('Raw Data'!I437="/","-",IF('Raw Data'!I437="","-",SUBSTITUTE('Raw Data'!I437," ",":",1)))</f>
        <v>329:15</v>
      </c>
      <c r="J437" s="12">
        <f>IF('Raw Data'!J437="",IF(LEN(K437)&gt;6,SQRT('Raw Data'!M437^2+N437^2),""),'Raw Data'!J437)</f>
        <v>21.6</v>
      </c>
      <c r="K437" s="7" t="str">
        <f>IF('Raw Data'!K437="","",IF(LEN('Raw Data'!K437)&lt;7,SUBSTITUTE('Raw Data'!K437," ",":",1),'Raw Data'!K437))</f>
        <v>11:00</v>
      </c>
      <c r="L437" t="str">
        <f>IF('Raw Data'!L437="","",'Raw Data'!L437)</f>
        <v/>
      </c>
      <c r="M437">
        <f>IF('Raw Data'!M437="","",'Raw Data'!M437)</f>
        <v>21.2</v>
      </c>
      <c r="N437">
        <f>IF('Raw Data'!N437="","",IF('Raw Data'!N437="-",0,'Raw Data'!N437))</f>
        <v>4.0999999999999996</v>
      </c>
      <c r="O437">
        <f>IF('Raw Data'!O437="",IF('Raw Data'!N437="","",0),'Raw Data'!O437)</f>
        <v>446.1</v>
      </c>
      <c r="P437" t="str">
        <f>IF('Raw Data'!P437="","",'Raw Data'!P437)</f>
        <v/>
      </c>
      <c r="R437" s="3" t="str">
        <f t="shared" si="154"/>
        <v>-</v>
      </c>
      <c r="S437" s="3">
        <f t="shared" si="155"/>
        <v>149.25</v>
      </c>
      <c r="T437" s="3">
        <f t="shared" si="156"/>
        <v>329.25</v>
      </c>
      <c r="U437" s="3">
        <f t="shared" si="153"/>
        <v>11</v>
      </c>
      <c r="W437" s="4">
        <f t="shared" si="143"/>
        <v>21.203147162469545</v>
      </c>
      <c r="X437" s="4">
        <f t="shared" si="144"/>
        <v>4.121474300133368</v>
      </c>
      <c r="Y437" s="3">
        <f t="shared" si="145"/>
        <v>329.25</v>
      </c>
      <c r="Z437" s="4">
        <f>IF('Raw Data'!O437="","",O436+N436)</f>
        <v>446.09999999999997</v>
      </c>
    </row>
    <row r="438" spans="1:27" x14ac:dyDescent="0.25">
      <c r="A438">
        <f>IF('Raw Data'!A438="","",'Raw Data'!A438)</f>
        <v>142</v>
      </c>
      <c r="B438">
        <f>IF('Raw Data'!B438="","",'Raw Data'!B438)</f>
        <v>143</v>
      </c>
      <c r="C438">
        <f>IF('Raw Data'!C438="","",'Raw Data'!C438)</f>
        <v>3</v>
      </c>
      <c r="D438">
        <f>IF('Raw Data'!D438="","",'Raw Data'!D438)</f>
        <v>1.5</v>
      </c>
      <c r="E438">
        <f>IF('Raw Data'!E438="","",'Raw Data'!E438)</f>
        <v>11</v>
      </c>
      <c r="F438" t="str">
        <f>IF('Raw Data'!F438="","",'Raw Data'!F438)</f>
        <v>/</v>
      </c>
      <c r="G438" s="7" t="str">
        <f>IF('Raw Data'!G438="/","-",IF('Raw Data'!G438="","-",SUBSTITUTE('Raw Data'!G438," ",":",1)))</f>
        <v>042:20</v>
      </c>
      <c r="H438" s="7" t="str">
        <f>IF('Raw Data'!H438="/","-",IF('Raw Data'!H438="","-",SUBSTITUTE('Raw Data'!H438," ",":",1)))</f>
        <v>-</v>
      </c>
      <c r="I438" s="7" t="str">
        <f>IF('Raw Data'!I438="/","-",IF('Raw Data'!I438="","-",SUBSTITUTE('Raw Data'!I438," ",":",1)))</f>
        <v>042:20</v>
      </c>
      <c r="J438" s="12">
        <f>IF('Raw Data'!J438="",IF(LEN(K438)&gt;6,SQRT('Raw Data'!M438^2+N438^2),""),'Raw Data'!J438)</f>
        <v>22.4</v>
      </c>
      <c r="K438" s="7" t="str">
        <f>IF('Raw Data'!K438="","",IF(LEN('Raw Data'!K438)&lt;7,SUBSTITUTE('Raw Data'!K438," ",":",1),'Raw Data'!K438))</f>
        <v>28:30</v>
      </c>
      <c r="L438" t="str">
        <f>IF('Raw Data'!L438="","",'Raw Data'!L438)</f>
        <v/>
      </c>
      <c r="M438">
        <f>IF('Raw Data'!M438="","",'Raw Data'!M438)</f>
        <v>19.600000000000001</v>
      </c>
      <c r="N438">
        <f>IF('Raw Data'!N438="","",IF('Raw Data'!N438="-",0,'Raw Data'!N438))</f>
        <v>10.7</v>
      </c>
      <c r="O438">
        <f>IF('Raw Data'!O438="",IF('Raw Data'!N438="","",0),'Raw Data'!O438)</f>
        <v>450.2</v>
      </c>
      <c r="P438" t="str">
        <f>IF('Raw Data'!P438="","",'Raw Data'!P438)</f>
        <v/>
      </c>
      <c r="R438" s="3">
        <f t="shared" si="154"/>
        <v>42.333333333333336</v>
      </c>
      <c r="S438" s="3" t="str">
        <f t="shared" si="155"/>
        <v>-</v>
      </c>
      <c r="T438" s="3">
        <f t="shared" si="156"/>
        <v>42.333333333333336</v>
      </c>
      <c r="U438" s="3">
        <f t="shared" si="153"/>
        <v>28.5</v>
      </c>
      <c r="W438" s="4">
        <f t="shared" si="143"/>
        <v>19.685503323628023</v>
      </c>
      <c r="X438" s="4">
        <f t="shared" si="144"/>
        <v>10.688356229815227</v>
      </c>
      <c r="Y438" s="3">
        <f t="shared" si="145"/>
        <v>42.333333333333336</v>
      </c>
      <c r="Z438" s="4">
        <f>IF('Raw Data'!O438="","",O437+N437)</f>
        <v>450.20000000000005</v>
      </c>
    </row>
    <row r="439" spans="1:27" x14ac:dyDescent="0.25">
      <c r="A439">
        <f>IF('Raw Data'!A439="","",'Raw Data'!A439)</f>
        <v>143</v>
      </c>
      <c r="B439" t="str">
        <f>IF('Raw Data'!B439="","",'Raw Data'!B439)</f>
        <v/>
      </c>
      <c r="C439">
        <f>IF('Raw Data'!C439="","",'Raw Data'!C439)</f>
        <v>0</v>
      </c>
      <c r="D439">
        <f>IF('Raw Data'!D439="","",'Raw Data'!D439)</f>
        <v>3.5</v>
      </c>
      <c r="E439" t="str">
        <f>IF('Raw Data'!E439="","",'Raw Data'!E439)</f>
        <v/>
      </c>
      <c r="F439" t="str">
        <f>IF('Raw Data'!F439="","",'Raw Data'!F439)</f>
        <v/>
      </c>
      <c r="G439" s="7" t="str">
        <f>IF('Raw Data'!G439="/","-",IF('Raw Data'!G439="","-",SUBSTITUTE('Raw Data'!G439," ",":",1)))</f>
        <v>-</v>
      </c>
      <c r="H439" s="7" t="str">
        <f>IF('Raw Data'!H439="/","-",IF('Raw Data'!H439="","-",SUBSTITUTE('Raw Data'!H439," ",":",1)))</f>
        <v>-</v>
      </c>
      <c r="I439" s="7" t="str">
        <f>IF('Raw Data'!I439="/","-",IF('Raw Data'!I439="","-",SUBSTITUTE('Raw Data'!I439," ",":",1)))</f>
        <v>-</v>
      </c>
      <c r="J439" s="12" t="str">
        <f>IF('Raw Data'!J439="",IF(LEN(K439)&gt;6,SQRT('Raw Data'!M439^2+N439^2),""),'Raw Data'!J439)</f>
        <v/>
      </c>
      <c r="K439" s="7" t="str">
        <f>IF('Raw Data'!K439="","",IF(LEN('Raw Data'!K439)&lt;7,SUBSTITUTE('Raw Data'!K439," ",":",1),'Raw Data'!K439))</f>
        <v/>
      </c>
      <c r="L439" t="str">
        <f>IF('Raw Data'!L439="","",'Raw Data'!L439)</f>
        <v/>
      </c>
      <c r="M439" t="str">
        <f>IF('Raw Data'!M439="","",'Raw Data'!M439)</f>
        <v/>
      </c>
      <c r="N439" t="str">
        <f>IF('Raw Data'!N439="","",IF('Raw Data'!N439="-",0,'Raw Data'!N439))</f>
        <v/>
      </c>
      <c r="O439">
        <f>IF('Raw Data'!O439="",IF('Raw Data'!N439="","",0),'Raw Data'!O439)</f>
        <v>460.9</v>
      </c>
      <c r="P439" t="str">
        <f>IF('Raw Data'!P439="","",'Raw Data'!P439)</f>
        <v>knob on roof 4 feet from entrance pit of Blue Pencil Passage</v>
      </c>
      <c r="W439" s="4"/>
      <c r="X439" s="4"/>
      <c r="Y439" s="3"/>
      <c r="Z439" s="4">
        <f>IF('Raw Data'!O439="","",O438+N438)</f>
        <v>460.9</v>
      </c>
    </row>
    <row r="440" spans="1:27" x14ac:dyDescent="0.25">
      <c r="A440" t="str">
        <f>IF('Raw Data'!A440="","",'Raw Data'!A440)</f>
        <v/>
      </c>
      <c r="B440" t="str">
        <f>IF('Raw Data'!B440="","",'Raw Data'!B440)</f>
        <v/>
      </c>
      <c r="C440" t="str">
        <f>IF('Raw Data'!C440="","",'Raw Data'!C440)</f>
        <v/>
      </c>
      <c r="D440" t="str">
        <f>IF('Raw Data'!D440="","",'Raw Data'!D440)</f>
        <v/>
      </c>
      <c r="E440" t="str">
        <f>IF('Raw Data'!E440="","",'Raw Data'!E440)</f>
        <v/>
      </c>
      <c r="F440" t="str">
        <f>IF('Raw Data'!F440="","",'Raw Data'!F440)</f>
        <v/>
      </c>
      <c r="G440" s="7" t="str">
        <f>IF('Raw Data'!G440="/","-",IF('Raw Data'!G440="","-",SUBSTITUTE('Raw Data'!G440," ",":",1)))</f>
        <v>-</v>
      </c>
      <c r="H440" s="7" t="str">
        <f>IF('Raw Data'!H440="/","-",IF('Raw Data'!H440="","-",SUBSTITUTE('Raw Data'!H440," ",":",1)))</f>
        <v>-</v>
      </c>
      <c r="I440" s="7" t="str">
        <f>IF('Raw Data'!I440="/","-",IF('Raw Data'!I440="","-",SUBSTITUTE('Raw Data'!I440," ",":",1)))</f>
        <v>-</v>
      </c>
      <c r="J440" s="12" t="str">
        <f>IF('Raw Data'!J440="",IF(LEN(K440)&gt;6,SQRT('Raw Data'!M440^2+N440^2),""),'Raw Data'!J440)</f>
        <v/>
      </c>
      <c r="K440" s="7" t="str">
        <f>IF('Raw Data'!K440="","",IF(LEN('Raw Data'!K440)&lt;7,SUBSTITUTE('Raw Data'!K440," ",":",1),'Raw Data'!K440))</f>
        <v/>
      </c>
      <c r="L440" t="str">
        <f>IF('Raw Data'!L440="","",'Raw Data'!L440)</f>
        <v/>
      </c>
      <c r="M440" t="str">
        <f>IF('Raw Data'!M440="","",'Raw Data'!M440)</f>
        <v/>
      </c>
      <c r="N440" t="str">
        <f>IF('Raw Data'!N440="","",IF('Raw Data'!N440="-",0,'Raw Data'!N440))</f>
        <v/>
      </c>
      <c r="O440" t="str">
        <f>IF('Raw Data'!O440="",IF('Raw Data'!N440="","",0),'Raw Data'!O440)</f>
        <v/>
      </c>
      <c r="P440" t="str">
        <f>IF('Raw Data'!P440="","",'Raw Data'!P440)</f>
        <v/>
      </c>
      <c r="W440" s="4"/>
      <c r="X440" s="4"/>
      <c r="Y440" s="3"/>
      <c r="Z440" s="4" t="str">
        <f>IF('Raw Data'!O440="","",O439+N439)</f>
        <v/>
      </c>
      <c r="AA440" s="8" t="s">
        <v>892</v>
      </c>
    </row>
    <row r="441" spans="1:27" x14ac:dyDescent="0.25">
      <c r="A441" t="str">
        <f>IF('Raw Data'!A441="","",'Raw Data'!A441)</f>
        <v>(skipped surface survey to Priddy Green dig and back)</v>
      </c>
      <c r="B441" t="str">
        <f>IF('Raw Data'!B441="","",'Raw Data'!B441)</f>
        <v/>
      </c>
      <c r="C441" t="str">
        <f>IF('Raw Data'!C441="","",'Raw Data'!C441)</f>
        <v/>
      </c>
      <c r="D441" t="str">
        <f>IF('Raw Data'!D441="","",'Raw Data'!D441)</f>
        <v/>
      </c>
      <c r="E441" t="str">
        <f>IF('Raw Data'!E441="","",'Raw Data'!E441)</f>
        <v/>
      </c>
      <c r="F441" t="str">
        <f>IF('Raw Data'!F441="","",'Raw Data'!F441)</f>
        <v/>
      </c>
      <c r="G441" s="7" t="str">
        <f>IF('Raw Data'!G441="/","-",IF('Raw Data'!G441="","-",SUBSTITUTE('Raw Data'!G441," ",":",1)))</f>
        <v>-</v>
      </c>
      <c r="H441" s="7" t="str">
        <f>IF('Raw Data'!H441="/","-",IF('Raw Data'!H441="","-",SUBSTITUTE('Raw Data'!H441," ",":",1)))</f>
        <v>-</v>
      </c>
      <c r="I441" s="7" t="str">
        <f>IF('Raw Data'!I441="/","-",IF('Raw Data'!I441="","-",SUBSTITUTE('Raw Data'!I441," ",":",1)))</f>
        <v>-</v>
      </c>
      <c r="J441" s="12" t="str">
        <f>IF('Raw Data'!J441="",IF(LEN(K441)&gt;6,SQRT('Raw Data'!M441^2+N441^2),""),'Raw Data'!J441)</f>
        <v/>
      </c>
      <c r="K441" s="7" t="str">
        <f>IF('Raw Data'!K441="","",IF(LEN('Raw Data'!K441)&lt;7,SUBSTITUTE('Raw Data'!K441," ",":",1),'Raw Data'!K441))</f>
        <v/>
      </c>
      <c r="L441" t="str">
        <f>IF('Raw Data'!L441="","",'Raw Data'!L441)</f>
        <v/>
      </c>
      <c r="M441" t="str">
        <f>IF('Raw Data'!M441="","",'Raw Data'!M441)</f>
        <v/>
      </c>
      <c r="N441" t="str">
        <f>IF('Raw Data'!N441="","",IF('Raw Data'!N441="-",0,'Raw Data'!N441))</f>
        <v/>
      </c>
      <c r="O441" t="str">
        <f>IF('Raw Data'!O441="",IF('Raw Data'!N441="","",0),'Raw Data'!O441)</f>
        <v/>
      </c>
      <c r="P441" t="str">
        <f>IF('Raw Data'!P441="","",'Raw Data'!P441)</f>
        <v/>
      </c>
      <c r="R441" s="3" t="str">
        <f t="shared" si="154"/>
        <v>-</v>
      </c>
      <c r="S441" s="3" t="str">
        <f t="shared" si="155"/>
        <v>-</v>
      </c>
      <c r="T441" s="3" t="str">
        <f t="shared" si="156"/>
        <v>-</v>
      </c>
      <c r="U441" s="3" t="e">
        <f t="shared" si="153"/>
        <v>#VALUE!</v>
      </c>
      <c r="W441" s="4"/>
      <c r="X441" s="4"/>
      <c r="Y441" s="3"/>
      <c r="Z441" s="4" t="str">
        <f>IF('Raw Data'!O441="","",O440+N440)</f>
        <v/>
      </c>
    </row>
    <row r="442" spans="1:27" x14ac:dyDescent="0.25">
      <c r="G442" s="7"/>
      <c r="H442" s="7"/>
      <c r="I442" s="7"/>
      <c r="J442" s="12"/>
      <c r="K442" s="7"/>
      <c r="W442" s="4"/>
      <c r="X442" s="4"/>
      <c r="Y442" s="3"/>
    </row>
    <row r="443" spans="1:27" x14ac:dyDescent="0.25">
      <c r="G443" s="7"/>
      <c r="H443" s="7"/>
      <c r="I443" s="7"/>
      <c r="J443" s="12"/>
      <c r="K443" s="7"/>
      <c r="W443" s="4"/>
      <c r="X443" s="4"/>
      <c r="Y443" s="3"/>
    </row>
    <row r="444" spans="1:27" x14ac:dyDescent="0.25">
      <c r="G444" s="7"/>
      <c r="H444" s="7"/>
      <c r="I444" s="7"/>
      <c r="J444" s="12"/>
      <c r="K444" s="7"/>
      <c r="W444" s="4"/>
      <c r="X444" s="4"/>
      <c r="Y444" s="3"/>
    </row>
    <row r="445" spans="1:27" x14ac:dyDescent="0.25">
      <c r="G445" s="7"/>
      <c r="H445" s="7"/>
      <c r="I445" s="7"/>
      <c r="J445" s="12"/>
      <c r="K445" s="7"/>
      <c r="W445" s="4"/>
      <c r="X445" s="4"/>
      <c r="Y445" s="3"/>
    </row>
    <row r="446" spans="1:27" x14ac:dyDescent="0.25">
      <c r="G446" s="7"/>
      <c r="H446" s="7"/>
      <c r="I446" s="7"/>
      <c r="J446" s="12"/>
      <c r="K446" s="7"/>
      <c r="W446" s="4"/>
      <c r="X446" s="4"/>
      <c r="Y446" s="3"/>
    </row>
    <row r="447" spans="1:27" x14ac:dyDescent="0.25">
      <c r="G447" s="7"/>
      <c r="H447" s="7"/>
      <c r="I447" s="7"/>
      <c r="J447" s="12"/>
      <c r="K447" s="7"/>
      <c r="W447" s="4"/>
      <c r="X447" s="4"/>
      <c r="Y447" s="3"/>
    </row>
    <row r="448" spans="1:27" x14ac:dyDescent="0.25">
      <c r="G448" s="7"/>
      <c r="H448" s="7"/>
      <c r="I448" s="7"/>
      <c r="J448" s="12"/>
      <c r="K448" s="7"/>
      <c r="W448" s="4"/>
      <c r="X448" s="4"/>
      <c r="Y448" s="3"/>
    </row>
    <row r="449" spans="7:25" x14ac:dyDescent="0.25">
      <c r="G449" s="7"/>
      <c r="H449" s="7"/>
      <c r="I449" s="7"/>
      <c r="J449" s="12"/>
      <c r="K449" s="7"/>
      <c r="W449" s="4"/>
      <c r="X449" s="4"/>
      <c r="Y449" s="3"/>
    </row>
    <row r="450" spans="7:25" x14ac:dyDescent="0.25">
      <c r="G450" s="7"/>
      <c r="H450" s="7"/>
      <c r="I450" s="7"/>
      <c r="J450" s="12"/>
      <c r="K450" s="7"/>
      <c r="W450" s="4"/>
      <c r="X450" s="4"/>
      <c r="Y450" s="3"/>
    </row>
    <row r="451" spans="7:25" x14ac:dyDescent="0.25">
      <c r="G451" s="7"/>
      <c r="H451" s="7"/>
      <c r="I451" s="7"/>
      <c r="J451" s="12"/>
      <c r="K451" s="7"/>
      <c r="W451" s="4"/>
      <c r="X451" s="4"/>
      <c r="Y451" s="3"/>
    </row>
    <row r="452" spans="7:25" x14ac:dyDescent="0.25">
      <c r="G452" s="7"/>
      <c r="H452" s="7"/>
      <c r="I452" s="7"/>
      <c r="J452" s="12"/>
      <c r="K452" s="7"/>
      <c r="W452" s="4"/>
      <c r="X452" s="4"/>
      <c r="Y452" s="3"/>
    </row>
    <row r="453" spans="7:25" x14ac:dyDescent="0.25">
      <c r="G453" s="7"/>
      <c r="H453" s="7"/>
      <c r="I453" s="7"/>
      <c r="J453" s="12"/>
      <c r="K453" s="7"/>
      <c r="W453" s="4"/>
      <c r="X453" s="4"/>
      <c r="Y453" s="3"/>
    </row>
    <row r="454" spans="7:25" x14ac:dyDescent="0.25">
      <c r="G454" s="7"/>
      <c r="H454" s="7"/>
      <c r="I454" s="7"/>
      <c r="J454" s="12"/>
      <c r="K454" s="7"/>
      <c r="W454" s="4"/>
      <c r="X454" s="4"/>
      <c r="Y454" s="3"/>
    </row>
    <row r="455" spans="7:25" x14ac:dyDescent="0.25">
      <c r="G455" s="7"/>
      <c r="H455" s="7"/>
      <c r="I455" s="7"/>
      <c r="J455" s="12"/>
      <c r="K455" s="7"/>
      <c r="W455" s="4"/>
      <c r="X455" s="4"/>
      <c r="Y455" s="3"/>
    </row>
    <row r="456" spans="7:25" x14ac:dyDescent="0.25">
      <c r="G456" s="7"/>
      <c r="H456" s="7"/>
      <c r="I456" s="7"/>
      <c r="J456" s="12"/>
      <c r="K456" s="7"/>
      <c r="W456" s="4"/>
      <c r="X456" s="4"/>
      <c r="Y456" s="3"/>
    </row>
    <row r="457" spans="7:25" x14ac:dyDescent="0.25">
      <c r="G457" s="7"/>
      <c r="H457" s="7"/>
      <c r="I457" s="7"/>
      <c r="J457" s="12"/>
      <c r="K457" s="7"/>
      <c r="W457" s="4"/>
      <c r="X457" s="4"/>
      <c r="Y457" s="3"/>
    </row>
    <row r="458" spans="7:25" x14ac:dyDescent="0.25">
      <c r="G458" s="7"/>
      <c r="H458" s="7"/>
      <c r="I458" s="7"/>
      <c r="J458" s="12"/>
      <c r="K458" s="7"/>
      <c r="W458" s="4"/>
      <c r="X458" s="4"/>
      <c r="Y458" s="3"/>
    </row>
    <row r="459" spans="7:25" x14ac:dyDescent="0.25">
      <c r="G459" s="7"/>
      <c r="H459" s="7"/>
      <c r="I459" s="7"/>
      <c r="J459" s="12"/>
      <c r="K459" s="7"/>
      <c r="W459" s="4"/>
      <c r="X459" s="4"/>
      <c r="Y459" s="3"/>
    </row>
    <row r="460" spans="7:25" x14ac:dyDescent="0.25">
      <c r="G460" s="7"/>
      <c r="H460" s="7"/>
      <c r="I460" s="7"/>
      <c r="J460" s="12"/>
      <c r="K460" s="7"/>
      <c r="W460" s="4"/>
      <c r="X460" s="4"/>
      <c r="Y460" s="3"/>
    </row>
    <row r="461" spans="7:25" x14ac:dyDescent="0.25">
      <c r="G461" s="7"/>
      <c r="H461" s="7"/>
      <c r="I461" s="7"/>
      <c r="J461" s="12"/>
      <c r="K461" s="7"/>
      <c r="W461" s="4"/>
      <c r="X461" s="4"/>
      <c r="Y461" s="3"/>
    </row>
    <row r="462" spans="7:25" x14ac:dyDescent="0.25">
      <c r="G462" s="7"/>
      <c r="H462" s="7"/>
      <c r="I462" s="7"/>
      <c r="J462" s="12"/>
      <c r="K462" s="7"/>
      <c r="W462" s="4"/>
      <c r="X462" s="4"/>
      <c r="Y462" s="3"/>
    </row>
    <row r="463" spans="7:25" x14ac:dyDescent="0.25">
      <c r="G463" s="7"/>
      <c r="H463" s="7"/>
      <c r="I463" s="7"/>
      <c r="J463" s="12"/>
      <c r="K463" s="7"/>
      <c r="W463" s="4"/>
      <c r="X463" s="4"/>
      <c r="Y463" s="3"/>
    </row>
    <row r="464" spans="7:25" x14ac:dyDescent="0.25">
      <c r="G464" s="7"/>
      <c r="H464" s="7"/>
      <c r="I464" s="7"/>
      <c r="J464" s="12"/>
      <c r="K464" s="7"/>
      <c r="W464" s="4"/>
      <c r="X464" s="4"/>
      <c r="Y464" s="3"/>
    </row>
    <row r="465" spans="7:25" x14ac:dyDescent="0.25">
      <c r="G465" s="7"/>
      <c r="H465" s="7"/>
      <c r="I465" s="7"/>
      <c r="J465" s="12"/>
      <c r="K465" s="7"/>
      <c r="W465" s="4"/>
      <c r="X465" s="4"/>
      <c r="Y465" s="3"/>
    </row>
    <row r="466" spans="7:25" x14ac:dyDescent="0.25">
      <c r="G466" s="7"/>
      <c r="H466" s="7"/>
      <c r="I466" s="7"/>
      <c r="J466" s="12"/>
      <c r="K466" s="7"/>
      <c r="W466" s="4"/>
      <c r="X466" s="4"/>
      <c r="Y466" s="3"/>
    </row>
    <row r="467" spans="7:25" x14ac:dyDescent="0.25">
      <c r="G467" s="7"/>
      <c r="H467" s="7"/>
      <c r="I467" s="7"/>
      <c r="J467" s="12"/>
      <c r="K467" s="7"/>
      <c r="W467" s="4"/>
      <c r="X467" s="4"/>
      <c r="Y467" s="3"/>
    </row>
    <row r="468" spans="7:25" x14ac:dyDescent="0.25">
      <c r="G468" s="7"/>
      <c r="H468" s="7"/>
      <c r="I468" s="7"/>
      <c r="J468" s="12"/>
      <c r="K468" s="7"/>
      <c r="W468" s="4"/>
      <c r="X468" s="4"/>
      <c r="Y468" s="3"/>
    </row>
    <row r="469" spans="7:25" x14ac:dyDescent="0.25">
      <c r="G469" s="7"/>
      <c r="H469" s="7"/>
      <c r="I469" s="7"/>
      <c r="J469" s="12"/>
      <c r="K469" s="7"/>
      <c r="W469" s="4"/>
      <c r="X469" s="4"/>
      <c r="Y469" s="3"/>
    </row>
    <row r="470" spans="7:25" x14ac:dyDescent="0.25">
      <c r="G470" s="7"/>
      <c r="H470" s="7"/>
      <c r="I470" s="7"/>
      <c r="J470" s="12"/>
      <c r="K470" s="7"/>
      <c r="W470" s="4"/>
      <c r="X470" s="4"/>
      <c r="Y470" s="3"/>
    </row>
    <row r="471" spans="7:25" x14ac:dyDescent="0.25">
      <c r="G471" s="7"/>
      <c r="H471" s="7"/>
      <c r="I471" s="7"/>
      <c r="J471" s="12"/>
      <c r="K471" s="7"/>
      <c r="W471" s="4"/>
      <c r="X471" s="4"/>
      <c r="Y471" s="3"/>
    </row>
    <row r="472" spans="7:25" x14ac:dyDescent="0.25">
      <c r="G472" s="7"/>
      <c r="H472" s="7"/>
      <c r="I472" s="7"/>
      <c r="J472" s="12"/>
      <c r="K472" s="7"/>
      <c r="W472" s="4"/>
      <c r="X472" s="4"/>
      <c r="Y472" s="3"/>
    </row>
    <row r="473" spans="7:25" x14ac:dyDescent="0.25">
      <c r="G473" s="7"/>
      <c r="H473" s="7"/>
      <c r="I473" s="7"/>
      <c r="J473" s="12"/>
      <c r="K473" s="7"/>
      <c r="W473" s="4"/>
      <c r="X473" s="4"/>
      <c r="Y473" s="3"/>
    </row>
    <row r="474" spans="7:25" x14ac:dyDescent="0.25">
      <c r="G474" s="7"/>
      <c r="H474" s="7"/>
      <c r="I474" s="7"/>
      <c r="J474" s="12"/>
      <c r="K474" s="7"/>
      <c r="W474" s="4"/>
      <c r="X474" s="4"/>
      <c r="Y474" s="3"/>
    </row>
    <row r="475" spans="7:25" x14ac:dyDescent="0.25">
      <c r="G475" s="7"/>
      <c r="H475" s="7"/>
      <c r="I475" s="7"/>
      <c r="J475" s="12"/>
      <c r="K475" s="7"/>
      <c r="W475" s="4"/>
      <c r="X475" s="4"/>
      <c r="Y475" s="3"/>
    </row>
    <row r="476" spans="7:25" x14ac:dyDescent="0.25">
      <c r="G476" s="7"/>
      <c r="H476" s="7"/>
      <c r="I476" s="7"/>
      <c r="J476" s="12"/>
      <c r="K476" s="7"/>
      <c r="W476" s="4"/>
      <c r="X476" s="4"/>
      <c r="Y476" s="3"/>
    </row>
    <row r="477" spans="7:25" x14ac:dyDescent="0.25">
      <c r="G477" s="7"/>
      <c r="H477" s="7"/>
      <c r="I477" s="7"/>
      <c r="J477" s="12"/>
      <c r="K477" s="7"/>
      <c r="W477" s="4"/>
      <c r="X477" s="4"/>
      <c r="Y477" s="3"/>
    </row>
    <row r="478" spans="7:25" x14ac:dyDescent="0.25">
      <c r="G478" s="7"/>
      <c r="H478" s="7"/>
      <c r="I478" s="7"/>
      <c r="J478" s="12"/>
      <c r="K478" s="7"/>
      <c r="W478" s="4"/>
      <c r="X478" s="4"/>
      <c r="Y478" s="3"/>
    </row>
    <row r="479" spans="7:25" x14ac:dyDescent="0.25">
      <c r="G479" s="7"/>
      <c r="H479" s="7"/>
      <c r="I479" s="7"/>
      <c r="J479" s="12"/>
      <c r="K479" s="7"/>
      <c r="W479" s="4"/>
      <c r="X479" s="4"/>
      <c r="Y479" s="3"/>
    </row>
    <row r="480" spans="7:25" x14ac:dyDescent="0.25">
      <c r="G480" s="7"/>
      <c r="H480" s="7"/>
      <c r="I480" s="7"/>
      <c r="J480" s="12"/>
      <c r="K480" s="7"/>
      <c r="W480" s="4"/>
      <c r="X480" s="4"/>
      <c r="Y480" s="3"/>
    </row>
    <row r="481" spans="7:25" x14ac:dyDescent="0.25">
      <c r="G481" s="7"/>
      <c r="H481" s="7"/>
      <c r="I481" s="7"/>
      <c r="J481" s="12"/>
      <c r="K481" s="7"/>
      <c r="W481" s="4"/>
      <c r="X481" s="4"/>
      <c r="Y481" s="3"/>
    </row>
    <row r="482" spans="7:25" x14ac:dyDescent="0.25">
      <c r="G482" s="7"/>
      <c r="H482" s="7"/>
      <c r="I482" s="7"/>
      <c r="J482" s="12"/>
      <c r="K482" s="7"/>
      <c r="W482" s="4"/>
      <c r="X482" s="4"/>
      <c r="Y482" s="3"/>
    </row>
  </sheetData>
  <mergeCells count="1">
    <mergeCell ref="E3:F3"/>
  </mergeCells>
  <conditionalFormatting sqref="X5:X281">
    <cfRule type="expression" dxfId="13" priority="19">
      <formula>ABS(X5-N5)&gt;0.15</formula>
    </cfRule>
  </conditionalFormatting>
  <conditionalFormatting sqref="W5:W281">
    <cfRule type="expression" dxfId="12" priority="16">
      <formula>ABS(W5-M5)&gt;0.15</formula>
    </cfRule>
  </conditionalFormatting>
  <conditionalFormatting sqref="Y5:Y281">
    <cfRule type="expression" dxfId="11" priority="15">
      <formula>T5-Y5&gt;0.001</formula>
    </cfRule>
  </conditionalFormatting>
  <conditionalFormatting sqref="X282:X389 X442:X482">
    <cfRule type="expression" dxfId="10" priority="11">
      <formula>ABS(X282-N282)&gt;0.15</formula>
    </cfRule>
  </conditionalFormatting>
  <conditionalFormatting sqref="W282:W389 W442:W482">
    <cfRule type="expression" dxfId="9" priority="10">
      <formula>ABS(W282-M282)&gt;0.15</formula>
    </cfRule>
  </conditionalFormatting>
  <conditionalFormatting sqref="Y282:Y389 Y442:Y482">
    <cfRule type="expression" dxfId="8" priority="9">
      <formula>T282-Y282&gt;0.001</formula>
    </cfRule>
  </conditionalFormatting>
  <conditionalFormatting sqref="Z6:Z389">
    <cfRule type="expression" dxfId="7" priority="8">
      <formula>ABS(Z6-O6)&gt;0.15</formula>
    </cfRule>
  </conditionalFormatting>
  <conditionalFormatting sqref="X440:X441">
    <cfRule type="expression" dxfId="6" priority="7">
      <formula>ABS(X440-N440)&gt;0.15</formula>
    </cfRule>
  </conditionalFormatting>
  <conditionalFormatting sqref="W440:W441">
    <cfRule type="expression" dxfId="5" priority="6">
      <formula>ABS(W440-M440)&gt;0.15</formula>
    </cfRule>
  </conditionalFormatting>
  <conditionalFormatting sqref="Y440:Y441">
    <cfRule type="expression" dxfId="4" priority="5">
      <formula>T440-Y440&gt;0.001</formula>
    </cfRule>
  </conditionalFormatting>
  <conditionalFormatting sqref="Z390:Z441">
    <cfRule type="expression" dxfId="3" priority="4">
      <formula>ABS(Z390-O390)&gt;0.15</formula>
    </cfRule>
  </conditionalFormatting>
  <conditionalFormatting sqref="X390:X439">
    <cfRule type="expression" dxfId="2" priority="3">
      <formula>ABS(X390-N390)&gt;0.15</formula>
    </cfRule>
  </conditionalFormatting>
  <conditionalFormatting sqref="W390:W439">
    <cfRule type="expression" dxfId="1" priority="2">
      <formula>ABS(W390-M390)&gt;0.15</formula>
    </cfRule>
  </conditionalFormatting>
  <conditionalFormatting sqref="Y390:Y439">
    <cfRule type="expression" dxfId="0" priority="1">
      <formula>T390-Y390&gt;0.001</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8"/>
  <sheetViews>
    <sheetView zoomScaleNormal="100" workbookViewId="0">
      <pane ySplit="4" topLeftCell="A380" activePane="bottomLeft" state="frozen"/>
      <selection pane="bottomLeft" activeCell="A440" sqref="A440"/>
    </sheetView>
  </sheetViews>
  <sheetFormatPr defaultRowHeight="15" x14ac:dyDescent="0.25"/>
  <cols>
    <col min="1" max="1" width="15.5703125" bestFit="1" customWidth="1"/>
  </cols>
  <sheetData>
    <row r="1" spans="1:7" x14ac:dyDescent="0.25">
      <c r="A1" t="str">
        <f>'Interpreted Data'!A1</f>
        <v>p. 45-46</v>
      </c>
      <c r="B1" t="str">
        <f>'Interpreted Data'!B1</f>
        <v>(=PDF p.49-50)</v>
      </c>
      <c r="F1" t="s">
        <v>284</v>
      </c>
      <c r="G1">
        <v>3.28</v>
      </c>
    </row>
    <row r="2" spans="1:7" x14ac:dyDescent="0.25">
      <c r="A2" t="str">
        <f>'Interpreted Data'!A2</f>
        <v>21st July 1951</v>
      </c>
      <c r="B2" t="str">
        <f>'Interpreted Data'!B2</f>
        <v>W.I.Stanton</v>
      </c>
    </row>
    <row r="3" spans="1:7" x14ac:dyDescent="0.25">
      <c r="C3" t="s">
        <v>254</v>
      </c>
      <c r="D3" s="23" t="s">
        <v>255</v>
      </c>
      <c r="E3" s="23"/>
    </row>
    <row r="4" spans="1:7" x14ac:dyDescent="0.25">
      <c r="A4" t="s">
        <v>57</v>
      </c>
      <c r="B4" t="s">
        <v>53</v>
      </c>
      <c r="C4" t="s">
        <v>54</v>
      </c>
      <c r="D4" t="s">
        <v>55</v>
      </c>
      <c r="E4" t="s">
        <v>56</v>
      </c>
    </row>
    <row r="5" spans="1:7" x14ac:dyDescent="0.25">
      <c r="A5" t="str">
        <f>'Interpreted Data'!A5</f>
        <v>A</v>
      </c>
      <c r="B5" t="str">
        <f>'Interpreted Data'!B5</f>
        <v>B</v>
      </c>
      <c r="C5" s="2">
        <f>'Interpreted Data'!J5/$G$1</f>
        <v>6.4024390243902447</v>
      </c>
      <c r="D5" s="10">
        <f>'Interpreted Data'!T5</f>
        <v>283</v>
      </c>
      <c r="E5" s="11">
        <f>IF(D5="-",IF('Interpreted Data'!U5=-90,"-V",IF('Interpreted Data'!U5=90,"+V",'Interpreted Data'!U5)),'Interpreted Data'!U5)</f>
        <v>8.5</v>
      </c>
      <c r="F5" s="18" t="str">
        <f>IF('Interpreted Data'!P5="","",CONCATENATE(";",'Interpreted Data'!P5))</f>
        <v>;A is at the base of the cable spike on the downstream side of Sump I</v>
      </c>
    </row>
    <row r="6" spans="1:7" x14ac:dyDescent="0.25">
      <c r="A6" t="str">
        <f>'Interpreted Data'!A6</f>
        <v>B</v>
      </c>
      <c r="B6" t="str">
        <f>'Interpreted Data'!B6</f>
        <v>C</v>
      </c>
      <c r="C6" s="2">
        <f>'Interpreted Data'!J6/$G$1</f>
        <v>8.2317073170731714</v>
      </c>
      <c r="D6" s="10">
        <f>'Interpreted Data'!T6</f>
        <v>322.5</v>
      </c>
      <c r="E6" s="11">
        <f>IF(D6="-",IF('Interpreted Data'!U6=-90,"-V",IF('Interpreted Data'!U6=90,"+V",'Interpreted Data'!U6)),'Interpreted Data'!U6)</f>
        <v>-9.5</v>
      </c>
      <c r="F6" s="18" t="str">
        <f>IF('Interpreted Data'!P6="","",CONCATENATE(";",'Interpreted Data'!P6))</f>
        <v>;B is on a rock at upstream end of pool</v>
      </c>
    </row>
    <row r="7" spans="1:7" x14ac:dyDescent="0.25">
      <c r="A7" t="str">
        <f>'Interpreted Data'!A7</f>
        <v>C</v>
      </c>
      <c r="B7" t="str">
        <f>'Interpreted Data'!B7</f>
        <v>D</v>
      </c>
      <c r="C7" s="2">
        <f>'Interpreted Data'!J7/$G$1</f>
        <v>11.280487804878049</v>
      </c>
      <c r="D7" s="10">
        <f>'Interpreted Data'!T7</f>
        <v>263</v>
      </c>
      <c r="E7" s="11">
        <f>IF(D7="-",IF('Interpreted Data'!U7=-90,"-V",IF('Interpreted Data'!U7=90,"+V",'Interpreted Data'!U7)),'Interpreted Data'!U7)</f>
        <v>2.3234386110520671</v>
      </c>
      <c r="F7" s="18" t="str">
        <f>IF('Interpreted Data'!P7="","",CONCATENATE(";",'Interpreted Data'!P7))</f>
        <v>;C is on edge of pool 10' before Duck I</v>
      </c>
    </row>
    <row r="8" spans="1:7" x14ac:dyDescent="0.25">
      <c r="A8" t="str">
        <f>'Interpreted Data'!A8</f>
        <v>D</v>
      </c>
      <c r="B8" t="str">
        <f>'Interpreted Data'!B8</f>
        <v>E</v>
      </c>
      <c r="C8" s="2">
        <f>'Interpreted Data'!J8/$G$1</f>
        <v>4.9390243902439028</v>
      </c>
      <c r="D8" s="10">
        <f>'Interpreted Data'!T8</f>
        <v>192.5</v>
      </c>
      <c r="E8" s="11">
        <f>IF(D8="-",IF('Interpreted Data'!U8=-90,"-V",IF('Interpreted Data'!U8=90,"+V",'Interpreted Data'!U8)),'Interpreted Data'!U8)</f>
        <v>4.5</v>
      </c>
      <c r="F8" s="18" t="str">
        <f>IF('Interpreted Data'!P8="","",CONCATENATE(";",'Interpreted Data'!P8))</f>
        <v>;D is in stream. Big rock (start of New Series survey) 10' away at 350 (deg). Big passage starts as continuation of Howards Dig.</v>
      </c>
    </row>
    <row r="9" spans="1:7" x14ac:dyDescent="0.25">
      <c r="A9" t="str">
        <f>'Interpreted Data'!A9</f>
        <v>E</v>
      </c>
      <c r="B9" t="str">
        <f>'Interpreted Data'!B9</f>
        <v>F</v>
      </c>
      <c r="C9" s="2">
        <f>'Interpreted Data'!J9/$G$1</f>
        <v>14.329268292682928</v>
      </c>
      <c r="D9" s="10">
        <f>'Interpreted Data'!T9</f>
        <v>258</v>
      </c>
      <c r="E9" s="11">
        <f>IF(D9="-",IF('Interpreted Data'!U9=-90,"-V",IF('Interpreted Data'!U9=90,"+V",'Interpreted Data'!U9)),'Interpreted Data'!U9)</f>
        <v>-5.5</v>
      </c>
      <c r="F9" s="18" t="str">
        <f>IF('Interpreted Data'!P9="","",CONCATENATE(";",'Interpreted Data'!P9))</f>
        <v/>
      </c>
    </row>
    <row r="10" spans="1:7" x14ac:dyDescent="0.25">
      <c r="A10" t="str">
        <f>'Interpreted Data'!A10</f>
        <v>F</v>
      </c>
      <c r="B10" t="str">
        <f>'Interpreted Data'!B10</f>
        <v>G</v>
      </c>
      <c r="C10" s="2">
        <f>'Interpreted Data'!J10/$G$1</f>
        <v>14.634146341463415</v>
      </c>
      <c r="D10" s="10">
        <f>'Interpreted Data'!T10</f>
        <v>292</v>
      </c>
      <c r="E10" s="11">
        <f>IF(D10="-",IF('Interpreted Data'!U10=-90,"-V",IF('Interpreted Data'!U10=90,"+V",'Interpreted Data'!U10)),'Interpreted Data'!U10)</f>
        <v>-2.9855060057465379</v>
      </c>
      <c r="F10" s="18" t="str">
        <f>IF('Interpreted Data'!P10="","",CONCATENATE(";",'Interpreted Data'!P10))</f>
        <v>;At 40' the roof lowers suddenly to Creep I. The big Bedding Plane passage comes in on the right, from -5' to 40'</v>
      </c>
    </row>
    <row r="11" spans="1:7" x14ac:dyDescent="0.25">
      <c r="A11" t="str">
        <f>'Interpreted Data'!A11</f>
        <v>G</v>
      </c>
      <c r="B11" t="str">
        <f>'Interpreted Data'!B11</f>
        <v>H</v>
      </c>
      <c r="C11" s="2">
        <f>'Interpreted Data'!J11/$G$1</f>
        <v>10.975609756097562</v>
      </c>
      <c r="D11" s="10">
        <f>'Interpreted Data'!T11</f>
        <v>339</v>
      </c>
      <c r="E11" s="11">
        <f>IF(D11="-",IF('Interpreted Data'!U11=-90,"-V",IF('Interpreted Data'!U11=90,"+V",'Interpreted Data'!U11)),'Interpreted Data'!U11)</f>
        <v>0</v>
      </c>
      <c r="F11" s="18" t="str">
        <f>IF('Interpreted Data'!P11="","",CONCATENATE(";",'Interpreted Data'!P11))</f>
        <v/>
      </c>
    </row>
    <row r="12" spans="1:7" x14ac:dyDescent="0.25">
      <c r="A12" t="str">
        <f>'Interpreted Data'!A12</f>
        <v>H</v>
      </c>
      <c r="B12" t="str">
        <f>'Interpreted Data'!B12</f>
        <v>I</v>
      </c>
      <c r="C12" s="2">
        <f>'Interpreted Data'!J12/$G$1</f>
        <v>9.4512195121951219</v>
      </c>
      <c r="D12" s="10">
        <f>'Interpreted Data'!T12</f>
        <v>247</v>
      </c>
      <c r="E12" s="11">
        <f>IF(D12="-",IF('Interpreted Data'!U12=-90,"-V",IF('Interpreted Data'!U12=90,"+V",'Interpreted Data'!U12)),'Interpreted Data'!U12)</f>
        <v>-2.5</v>
      </c>
      <c r="F12" s="18" t="str">
        <f>IF('Interpreted Data'!P12="","",CONCATENATE(";",'Interpreted Data'!P12))</f>
        <v/>
      </c>
    </row>
    <row r="13" spans="1:7" x14ac:dyDescent="0.25">
      <c r="A13" t="str">
        <f>'Interpreted Data'!A13</f>
        <v>I</v>
      </c>
      <c r="B13" t="str">
        <f>'Interpreted Data'!B13</f>
        <v>J</v>
      </c>
      <c r="C13" s="2">
        <f>'Interpreted Data'!J13/$G$1</f>
        <v>7.9268292682926838</v>
      </c>
      <c r="D13" s="10">
        <f>'Interpreted Data'!T13</f>
        <v>275</v>
      </c>
      <c r="E13" s="11">
        <f>IF(D13="-",IF('Interpreted Data'!U13=-90,"-V",IF('Interpreted Data'!U13=90,"+V",'Interpreted Data'!U13)),'Interpreted Data'!U13)</f>
        <v>2</v>
      </c>
      <c r="F13" s="18" t="str">
        <f>IF('Interpreted Data'!P13="","",CONCATENATE(";",'Interpreted Data'!P13))</f>
        <v/>
      </c>
    </row>
    <row r="14" spans="1:7" x14ac:dyDescent="0.25">
      <c r="A14" t="str">
        <f>'Interpreted Data'!A14</f>
        <v>J</v>
      </c>
      <c r="B14" t="str">
        <f>'Interpreted Data'!B14</f>
        <v>K</v>
      </c>
      <c r="C14" s="2">
        <f>'Interpreted Data'!J14/$G$1</f>
        <v>8.0792682926829276</v>
      </c>
      <c r="D14" s="10">
        <f>'Interpreted Data'!T14</f>
        <v>320</v>
      </c>
      <c r="E14" s="11">
        <f>IF(D14="-",IF('Interpreted Data'!U14=-90,"-V",IF('Interpreted Data'!U14=90,"+V",'Interpreted Data'!U14)),'Interpreted Data'!U14)</f>
        <v>1</v>
      </c>
      <c r="F14" s="18" t="str">
        <f>IF('Interpreted Data'!P14="","",CONCATENATE(";",'Interpreted Data'!P14))</f>
        <v>;Pots</v>
      </c>
    </row>
    <row r="15" spans="1:7" x14ac:dyDescent="0.25">
      <c r="A15" t="str">
        <f>'Interpreted Data'!A15</f>
        <v>K</v>
      </c>
      <c r="B15" t="str">
        <f>'Interpreted Data'!B15</f>
        <v>L</v>
      </c>
      <c r="C15" s="2">
        <f>'Interpreted Data'!J15/$G$1</f>
        <v>5.3353658536585371</v>
      </c>
      <c r="D15" s="10">
        <f>'Interpreted Data'!T15</f>
        <v>13</v>
      </c>
      <c r="E15" s="11">
        <f>IF(D15="-",IF('Interpreted Data'!U15=-90,"-V",IF('Interpreted Data'!U15=90,"+V",'Interpreted Data'!U15)),'Interpreted Data'!U15)</f>
        <v>-9</v>
      </c>
      <c r="F15" s="18" t="str">
        <f>IF('Interpreted Data'!P15="","",CONCATENATE(";",'Interpreted Data'!P15))</f>
        <v>;Pots</v>
      </c>
    </row>
    <row r="16" spans="1:7" x14ac:dyDescent="0.25">
      <c r="A16" t="str">
        <f>'Interpreted Data'!A16</f>
        <v>L</v>
      </c>
      <c r="B16" t="str">
        <f>'Interpreted Data'!B16</f>
        <v>M</v>
      </c>
      <c r="C16" s="2">
        <f>'Interpreted Data'!J16/$G$1</f>
        <v>10.060975609756099</v>
      </c>
      <c r="D16" s="10">
        <f>'Interpreted Data'!T16</f>
        <v>299</v>
      </c>
      <c r="E16" s="11">
        <f>IF(D16="-",IF('Interpreted Data'!U16=-90,"-V",IF('Interpreted Data'!U16=90,"+V",'Interpreted Data'!U16)),'Interpreted Data'!U16)</f>
        <v>-3</v>
      </c>
      <c r="F16" s="18" t="str">
        <f>IF('Interpreted Data'!P16="","",CONCATENATE(";",'Interpreted Data'!P16))</f>
        <v>;L is at foot of climb to Approach passage. Clay fill remains 6' up on left wall.</v>
      </c>
    </row>
    <row r="17" spans="1:6" x14ac:dyDescent="0.25">
      <c r="A17" t="str">
        <f>'Interpreted Data'!A17</f>
        <v>M</v>
      </c>
      <c r="B17" t="str">
        <f>'Interpreted Data'!B17</f>
        <v>N</v>
      </c>
      <c r="C17" s="2">
        <f>'Interpreted Data'!J17/$G$1</f>
        <v>13.109756097560977</v>
      </c>
      <c r="D17" s="10">
        <f>'Interpreted Data'!T17</f>
        <v>322</v>
      </c>
      <c r="E17" s="11">
        <f>IF(D17="-",IF('Interpreted Data'!U17=-90,"-V",IF('Interpreted Data'!U17=90,"+V",'Interpreted Data'!U17)),'Interpreted Data'!U17)</f>
        <v>-7.3</v>
      </c>
      <c r="F17" s="18" t="str">
        <f>IF('Interpreted Data'!P17="","",CONCATENATE(";",'Interpreted Data'!P17))</f>
        <v>;Pots</v>
      </c>
    </row>
    <row r="18" spans="1:6" x14ac:dyDescent="0.25">
      <c r="A18" t="str">
        <f>'Interpreted Data'!A18</f>
        <v>N</v>
      </c>
      <c r="B18" t="str">
        <f>'Interpreted Data'!B18</f>
        <v>O</v>
      </c>
      <c r="C18" s="2">
        <f>'Interpreted Data'!J18/$G$1</f>
        <v>4.725609756097561</v>
      </c>
      <c r="D18" s="10">
        <f>'Interpreted Data'!T18</f>
        <v>281</v>
      </c>
      <c r="E18" s="11">
        <f>IF(D18="-",IF('Interpreted Data'!U18=-90,"-V",IF('Interpreted Data'!U18=90,"+V",'Interpreted Data'!U18)),'Interpreted Data'!U18)</f>
        <v>-2</v>
      </c>
      <c r="F18" s="18" t="str">
        <f>IF('Interpreted Data'!P18="","",CONCATENATE(";",'Interpreted Data'!P18))</f>
        <v>;Pots</v>
      </c>
    </row>
    <row r="19" spans="1:6" x14ac:dyDescent="0.25">
      <c r="A19" t="str">
        <f>'Interpreted Data'!A19</f>
        <v>O</v>
      </c>
      <c r="B19" t="str">
        <f>'Interpreted Data'!B19</f>
        <v>P</v>
      </c>
      <c r="C19" s="2">
        <f>'Interpreted Data'!J19/$G$1</f>
        <v>17.073170731707318</v>
      </c>
      <c r="D19" s="10">
        <f>'Interpreted Data'!T19</f>
        <v>307</v>
      </c>
      <c r="E19" s="11">
        <f>IF(D19="-",IF('Interpreted Data'!U19=-90,"-V",IF('Interpreted Data'!U19=90,"+V",'Interpreted Data'!U19)),'Interpreted Data'!U19)</f>
        <v>-5</v>
      </c>
      <c r="F19" s="18" t="str">
        <f>IF('Interpreted Data'!P19="","",CONCATENATE(";",'Interpreted Data'!P19))</f>
        <v>;Pots. Very pretty coral on left wall</v>
      </c>
    </row>
    <row r="20" spans="1:6" x14ac:dyDescent="0.25">
      <c r="A20" t="str">
        <f>'Interpreted Data'!A20</f>
        <v>P</v>
      </c>
      <c r="B20" t="str">
        <f>'Interpreted Data'!B20</f>
        <v>Q</v>
      </c>
      <c r="C20" s="2">
        <f>'Interpreted Data'!J20/$G$1</f>
        <v>4.8170731707317076</v>
      </c>
      <c r="D20" s="10">
        <f>'Interpreted Data'!T20</f>
        <v>283</v>
      </c>
      <c r="E20" s="11">
        <f>IF(D20="-",IF('Interpreted Data'!U20=-90,"-V",IF('Interpreted Data'!U20=90,"+V",'Interpreted Data'!U20)),'Interpreted Data'!U20)</f>
        <v>-0.36263393697894891</v>
      </c>
      <c r="F20" s="18" t="str">
        <f>IF('Interpreted Data'!P20="","",CONCATENATE(";",'Interpreted Data'!P20))</f>
        <v/>
      </c>
    </row>
    <row r="21" spans="1:6" x14ac:dyDescent="0.25">
      <c r="A21" t="str">
        <f>'Interpreted Data'!A21</f>
        <v>Q</v>
      </c>
      <c r="B21" t="str">
        <f>'Interpreted Data'!B21</f>
        <v>R</v>
      </c>
      <c r="C21" s="2">
        <f>'Interpreted Data'!J21/$G$1</f>
        <v>4.8214128337309923</v>
      </c>
      <c r="D21" s="10">
        <f>'Interpreted Data'!T21</f>
        <v>217</v>
      </c>
      <c r="E21" s="11">
        <f>IF(D21="-",IF('Interpreted Data'!U21=-90,"-V",IF('Interpreted Data'!U21=90,"+V",'Interpreted Data'!U21)),'Interpreted Data'!U21)</f>
        <v>-14.65135857182217</v>
      </c>
      <c r="F21" s="18" t="str">
        <f>IF('Interpreted Data'!P21="","",CONCATENATE(";",'Interpreted Data'!P21))</f>
        <v>;1.5 foot deep pool starts at P.</v>
      </c>
    </row>
    <row r="22" spans="1:6" x14ac:dyDescent="0.25">
      <c r="A22" t="str">
        <f>'Interpreted Data'!A22</f>
        <v>R</v>
      </c>
      <c r="B22" t="str">
        <f>'Interpreted Data'!B22</f>
        <v>S</v>
      </c>
      <c r="C22" s="2">
        <f>'Interpreted Data'!J22/$G$1</f>
        <v>12.104272884820316</v>
      </c>
      <c r="D22" s="10">
        <f>'Interpreted Data'!T22</f>
        <v>310</v>
      </c>
      <c r="E22" s="11">
        <f>IF(D22="-",IF('Interpreted Data'!U22=-90,"-V",IF('Interpreted Data'!U22=90,"+V",'Interpreted Data'!U22)),'Interpreted Data'!U22)</f>
        <v>5.782392322364041</v>
      </c>
      <c r="F22" s="18" t="str">
        <f>IF('Interpreted Data'!P22="","",CONCATENATE(";",'Interpreted Data'!P22))</f>
        <v>;Pool 2.5' deep at R, ends 15' on. Scalloping as in Goughs 1st Sandy Chamber.</v>
      </c>
    </row>
    <row r="23" spans="1:6" x14ac:dyDescent="0.25">
      <c r="A23" t="str">
        <f>'Interpreted Data'!A23</f>
        <v>S</v>
      </c>
      <c r="B23" t="str">
        <f>'Interpreted Data'!B23</f>
        <v>T</v>
      </c>
      <c r="C23" s="2">
        <f>'Interpreted Data'!J23/$G$1</f>
        <v>12.073170731707318</v>
      </c>
      <c r="D23" s="10">
        <f>'Interpreted Data'!T23</f>
        <v>238</v>
      </c>
      <c r="E23" s="11">
        <f>IF(D23="-",IF('Interpreted Data'!U23=-90,"-V",IF('Interpreted Data'!U23=90,"+V",'Interpreted Data'!U23)),'Interpreted Data'!U23)</f>
        <v>-2.5</v>
      </c>
      <c r="F23" s="18" t="str">
        <f>IF('Interpreted Data'!P23="","",CONCATENATE(";",'Interpreted Data'!P23))</f>
        <v>;S is marked on wall. At 20' there is a muddy chamber overhead.</v>
      </c>
    </row>
    <row r="24" spans="1:6" x14ac:dyDescent="0.25">
      <c r="A24" t="str">
        <f>'Interpreted Data'!A24</f>
        <v>T</v>
      </c>
      <c r="B24" t="str">
        <f>'Interpreted Data'!B24</f>
        <v>U</v>
      </c>
      <c r="C24" s="2">
        <f>'Interpreted Data'!J24/$G$1</f>
        <v>14.939024390243903</v>
      </c>
      <c r="D24" s="10">
        <f>'Interpreted Data'!T24</f>
        <v>148</v>
      </c>
      <c r="E24" s="11">
        <f>IF(D24="-",IF('Interpreted Data'!U24=-90,"-V",IF('Interpreted Data'!U24=90,"+V",'Interpreted Data'!U24)),'Interpreted Data'!U24)</f>
        <v>-1.9882117515894562</v>
      </c>
      <c r="F24" s="18" t="str">
        <f>IF('Interpreted Data'!P24="","",CONCATENATE(";",'Interpreted Data'!P24))</f>
        <v/>
      </c>
    </row>
    <row r="25" spans="1:6" x14ac:dyDescent="0.25">
      <c r="A25" s="18" t="str">
        <f>CONCATENATE(";",'Interpreted Data'!A25)</f>
        <v>;U</v>
      </c>
      <c r="B25" t="str">
        <f>'Interpreted Data'!B25</f>
        <v/>
      </c>
      <c r="C25" s="2"/>
      <c r="D25" s="10"/>
      <c r="E25" s="11"/>
      <c r="F25" s="18" t="str">
        <f>IF('Interpreted Data'!P25="","",CONCATENATE(";",'Interpreted Data'!P25))</f>
        <v>;Beasts (or Pearls? Not clear in scan) seen here.    Total = 650'</v>
      </c>
    </row>
    <row r="26" spans="1:6" x14ac:dyDescent="0.25">
      <c r="A26" t="str">
        <f>'Interpreted Data'!A26</f>
        <v>A1</v>
      </c>
      <c r="B26" t="str">
        <f>'Interpreted Data'!B26</f>
        <v>B1</v>
      </c>
      <c r="C26" s="2">
        <f>'Interpreted Data'!J26/$G$1</f>
        <v>9.2682926829268286</v>
      </c>
      <c r="D26" s="10">
        <f>'Interpreted Data'!T26</f>
        <v>146</v>
      </c>
      <c r="E26" s="11">
        <f>IF(D26="-",IF('Interpreted Data'!U26=-90,"-V",IF('Interpreted Data'!U26=90,"+V",'Interpreted Data'!U26)),'Interpreted Data'!U26)</f>
        <v>0</v>
      </c>
      <c r="F26" s="18" t="str">
        <f>IF('Interpreted Data'!P26="","",CONCATENATE(";",'Interpreted Data'!P26))</f>
        <v>;A1 is far end of "Priddy Green" passage. At choke</v>
      </c>
    </row>
    <row r="27" spans="1:6" x14ac:dyDescent="0.25">
      <c r="A27" t="str">
        <f>'Interpreted Data'!A27</f>
        <v>B1</v>
      </c>
      <c r="B27" t="str">
        <f>'Interpreted Data'!B27</f>
        <v>C1</v>
      </c>
      <c r="C27" s="2">
        <f>'Interpreted Data'!J27/$G$1</f>
        <v>11.432926829268293</v>
      </c>
      <c r="D27" s="10">
        <f>'Interpreted Data'!T27</f>
        <v>248</v>
      </c>
      <c r="E27" s="11">
        <f>IF(D27="-",IF('Interpreted Data'!U27=-90,"-V",IF('Interpreted Data'!U27=90,"+V",'Interpreted Data'!U27)),'Interpreted Data'!U27)</f>
        <v>-6</v>
      </c>
      <c r="F27" s="18" t="str">
        <f>IF('Interpreted Data'!P27="","",CONCATENATE(";",'Interpreted Data'!P27))</f>
        <v>;B1 is ent to P.G. pass, above stalagmite keloid (sp.?)</v>
      </c>
    </row>
    <row r="28" spans="1:6" x14ac:dyDescent="0.25">
      <c r="A28" s="18" t="str">
        <f>CONCATENATE(";",'Interpreted Data'!A28)</f>
        <v>;p. 47-50</v>
      </c>
      <c r="B28" t="str">
        <f>'Interpreted Data'!B28</f>
        <v>(=PDF p.51-54)</v>
      </c>
      <c r="C28" s="2"/>
      <c r="D28" s="10"/>
      <c r="E28" s="11"/>
      <c r="F28" s="18" t="str">
        <f>IF('Interpreted Data'!P28="","",CONCATENATE(";",'Interpreted Data'!P28))</f>
        <v/>
      </c>
    </row>
    <row r="29" spans="1:6" x14ac:dyDescent="0.25">
      <c r="A29" s="18" t="str">
        <f>CONCATENATE(";",'Interpreted Data'!A29)</f>
        <v>;5th August 1951</v>
      </c>
      <c r="B29" t="str">
        <f>'Interpreted Data'!B29</f>
        <v>SWILDONS HOLE SURVEY</v>
      </c>
      <c r="C29" s="2"/>
      <c r="D29" s="10"/>
      <c r="E29" s="11"/>
      <c r="F29" s="18" t="str">
        <f>IF('Interpreted Data'!P29="","",CONCATENATE(";",'Interpreted Data'!P29))</f>
        <v/>
      </c>
    </row>
    <row r="30" spans="1:6" x14ac:dyDescent="0.25">
      <c r="A30" t="str">
        <f>'Interpreted Data'!A30</f>
        <v>C1</v>
      </c>
      <c r="B30" t="str">
        <f>'Interpreted Data'!B30</f>
        <v>D1</v>
      </c>
      <c r="C30" s="2">
        <f>'Interpreted Data'!J30/$G$1</f>
        <v>3.5975609756097566</v>
      </c>
      <c r="D30" s="10">
        <f>'Interpreted Data'!T30</f>
        <v>265</v>
      </c>
      <c r="E30" s="11">
        <f>IF(D30="-",IF('Interpreted Data'!U30=-90,"-V",IF('Interpreted Data'!U30=90,"+V",'Interpreted Data'!U30)),'Interpreted Data'!U30)</f>
        <v>-24</v>
      </c>
      <c r="F30" s="18" t="str">
        <f>IF('Interpreted Data'!P30="","",CONCATENATE(";",'Interpreted Data'!P30))</f>
        <v>;On rocky bank.</v>
      </c>
    </row>
    <row r="31" spans="1:6" x14ac:dyDescent="0.25">
      <c r="A31" t="str">
        <f>'Interpreted Data'!A31</f>
        <v>D1</v>
      </c>
      <c r="B31" t="str">
        <f>'Interpreted Data'!B31</f>
        <v>A</v>
      </c>
      <c r="C31" s="2">
        <f>'Interpreted Data'!J31/$G$1</f>
        <v>11.219512195121951</v>
      </c>
      <c r="D31" s="10">
        <f>'Interpreted Data'!T31</f>
        <v>251</v>
      </c>
      <c r="E31" s="11">
        <f>IF(D31="-",IF('Interpreted Data'!U31=-90,"-V",IF('Interpreted Data'!U31=90,"+V",'Interpreted Data'!U31)),'Interpreted Data'!U31)</f>
        <v>-3.5833216984719738</v>
      </c>
      <c r="F31" s="18" t="str">
        <f>IF('Interpreted Data'!P31="","",CONCATENATE(";",'Interpreted Data'!P31))</f>
        <v>;D1 to near side of Sump I 11.8'. D1 to far side of Sump I 18'. D1 is in pool at stake for cable.</v>
      </c>
    </row>
    <row r="32" spans="1:6" x14ac:dyDescent="0.25">
      <c r="A32" t="str">
        <f>'Interpreted Data'!A32</f>
        <v>U</v>
      </c>
      <c r="B32" t="str">
        <f>'Interpreted Data'!B32</f>
        <v>V</v>
      </c>
      <c r="C32" s="2">
        <f>'Interpreted Data'!J32/$G$1</f>
        <v>8.8414634146341466</v>
      </c>
      <c r="D32" s="10">
        <f>'Interpreted Data'!T32</f>
        <v>186.5</v>
      </c>
      <c r="E32" s="11">
        <f>IF(D32="-",IF('Interpreted Data'!U32=-90,"-V",IF('Interpreted Data'!U32=90,"+V",'Interpreted Data'!U32)),'Interpreted Data'!U32)</f>
        <v>0</v>
      </c>
      <c r="F32" s="18" t="str">
        <f>IF('Interpreted Data'!P32="","",CONCATENATE(";",'Interpreted Data'!P32))</f>
        <v>;Lake begins as 10'. (Little sketch)</v>
      </c>
    </row>
    <row r="33" spans="1:6" x14ac:dyDescent="0.25">
      <c r="A33" t="str">
        <f>'Interpreted Data'!A33</f>
        <v>V</v>
      </c>
      <c r="B33" t="str">
        <f>'Interpreted Data'!B33</f>
        <v>W</v>
      </c>
      <c r="C33" s="2">
        <f>'Interpreted Data'!J33/$G$1</f>
        <v>10.304878048780488</v>
      </c>
      <c r="D33" s="10">
        <f>'Interpreted Data'!T33</f>
        <v>141.5</v>
      </c>
      <c r="E33" s="11">
        <f>IF(D33="-",IF('Interpreted Data'!U33=-90,"-V",IF('Interpreted Data'!U33=90,"+V",'Interpreted Data'!U33)),'Interpreted Data'!U33)</f>
        <v>0</v>
      </c>
      <c r="F33" s="18" t="str">
        <f>IF('Interpreted Data'!P33="","",CONCATENATE(";",'Interpreted Data'!P33))</f>
        <v>;Lake</v>
      </c>
    </row>
    <row r="34" spans="1:6" x14ac:dyDescent="0.25">
      <c r="A34" t="str">
        <f>'Interpreted Data'!A34</f>
        <v>W</v>
      </c>
      <c r="B34" t="str">
        <f>'Interpreted Data'!B34</f>
        <v>X</v>
      </c>
      <c r="C34" s="2">
        <f>'Interpreted Data'!J34/$G$1</f>
        <v>14.329268292682928</v>
      </c>
      <c r="D34" s="10">
        <f>'Interpreted Data'!T34</f>
        <v>132.16666666666666</v>
      </c>
      <c r="E34" s="11">
        <f>IF(D34="-",IF('Interpreted Data'!U34=-90,"-V",IF('Interpreted Data'!U34=90,"+V",'Interpreted Data'!U34)),'Interpreted Data'!U34)</f>
        <v>0</v>
      </c>
      <c r="F34" s="18" t="str">
        <f>IF('Interpreted Data'!P34="","",CONCATENATE(";",'Interpreted Data'!P34))</f>
        <v>;Bearing from 2' to right. W to near side Duck II = 3.5. W to far side Duck II = 20.4</v>
      </c>
    </row>
    <row r="35" spans="1:6" x14ac:dyDescent="0.25">
      <c r="A35" t="str">
        <f>'Interpreted Data'!A35</f>
        <v>X</v>
      </c>
      <c r="B35" t="str">
        <f>'Interpreted Data'!B35</f>
        <v>Y</v>
      </c>
      <c r="C35" s="2">
        <f>'Interpreted Data'!J35/$G$1</f>
        <v>25.457317073170735</v>
      </c>
      <c r="D35" s="10">
        <f>'Interpreted Data'!T35</f>
        <v>174</v>
      </c>
      <c r="E35" s="11">
        <f>IF(D35="-",IF('Interpreted Data'!U35=-90,"-V",IF('Interpreted Data'!U35=90,"+V",'Interpreted Data'!U35)),'Interpreted Data'!U35)</f>
        <v>-0.48032952636983861</v>
      </c>
      <c r="F35" s="18" t="str">
        <f>IF('Interpreted Data'!P35="","",CONCATENATE(";",'Interpreted Data'!P35))</f>
        <v>;Y at lip of Sump II, 3" air space goes on 10 more</v>
      </c>
    </row>
    <row r="36" spans="1:6" x14ac:dyDescent="0.25">
      <c r="A36" s="18" t="str">
        <f>CONCATENATE(";",'Interpreted Data'!A36)</f>
        <v>;Y</v>
      </c>
      <c r="B36" t="str">
        <f>'Interpreted Data'!B36</f>
        <v/>
      </c>
      <c r="C36" s="2"/>
      <c r="D36" s="10"/>
      <c r="E36" s="11"/>
      <c r="F36" s="18" t="str">
        <f>IF('Interpreted Data'!P36="","",CONCATENATE(";",'Interpreted Data'!P36))</f>
        <v>;(Little sketch). Total 1010'</v>
      </c>
    </row>
    <row r="37" spans="1:6" x14ac:dyDescent="0.25">
      <c r="A37" t="str">
        <f>'Interpreted Data'!A37</f>
        <v>T</v>
      </c>
      <c r="B37" t="str">
        <f>'Interpreted Data'!B37</f>
        <v>Ri</v>
      </c>
      <c r="C37" s="2">
        <f>'Interpreted Data'!J37/$G$1</f>
        <v>6.7378048780487809</v>
      </c>
      <c r="D37" s="10">
        <f>'Interpreted Data'!T37</f>
        <v>19</v>
      </c>
      <c r="E37" s="11">
        <f>IF(D37="-",IF('Interpreted Data'!U37=-90,"-V",IF('Interpreted Data'!U37=90,"+V",'Interpreted Data'!U37)),'Interpreted Data'!U37)</f>
        <v>20</v>
      </c>
      <c r="F37" s="18" t="str">
        <f>IF('Interpreted Data'!P37="","",CONCATENATE(";",'Interpreted Data'!P37))</f>
        <v/>
      </c>
    </row>
    <row r="38" spans="1:6" x14ac:dyDescent="0.25">
      <c r="A38" t="str">
        <f>'Interpreted Data'!A38</f>
        <v>Ri</v>
      </c>
      <c r="B38" t="str">
        <f>'Interpreted Data'!B38</f>
        <v>Rii</v>
      </c>
      <c r="C38" s="2">
        <f>'Interpreted Data'!J38/$G$1</f>
        <v>14.02439024390244</v>
      </c>
      <c r="D38" s="10">
        <f>'Interpreted Data'!T38</f>
        <v>315</v>
      </c>
      <c r="E38" s="11">
        <f>IF(D38="-",IF('Interpreted Data'!U38=-90,"-V",IF('Interpreted Data'!U38=90,"+V",'Interpreted Data'!U38)),'Interpreted Data'!U38)</f>
        <v>-3</v>
      </c>
      <c r="F38" s="18" t="str">
        <f>IF('Interpreted Data'!P38="","",CONCATENATE(";",'Interpreted Data'!P38))</f>
        <v>;Sump on left at 41' feet</v>
      </c>
    </row>
    <row r="39" spans="1:6" x14ac:dyDescent="0.25">
      <c r="A39" t="str">
        <f>'Interpreted Data'!A39</f>
        <v>Rii</v>
      </c>
      <c r="B39" t="str">
        <f>'Interpreted Data'!B39</f>
        <v>Riii</v>
      </c>
      <c r="C39" s="2">
        <f>'Interpreted Data'!J39/$G$1</f>
        <v>9.7560975609756095</v>
      </c>
      <c r="D39" s="10">
        <f>'Interpreted Data'!T39</f>
        <v>348</v>
      </c>
      <c r="E39" s="11">
        <f>IF(D39="-",IF('Interpreted Data'!U39=-90,"-V",IF('Interpreted Data'!U39=90,"+V",'Interpreted Data'!U39)),'Interpreted Data'!U39)</f>
        <v>2</v>
      </c>
      <c r="F39" s="18" t="str">
        <f>IF('Interpreted Data'!P39="","",CONCATENATE(";",'Interpreted Data'!P39))</f>
        <v>;Bearing from 3 feet to left</v>
      </c>
    </row>
    <row r="40" spans="1:6" x14ac:dyDescent="0.25">
      <c r="A40" t="str">
        <f>'Interpreted Data'!A40</f>
        <v>Riii</v>
      </c>
      <c r="B40" t="str">
        <f>'Interpreted Data'!B40</f>
        <v>Riv</v>
      </c>
      <c r="C40" s="2">
        <f>'Interpreted Data'!J40/$G$1</f>
        <v>8.4120378638710669</v>
      </c>
      <c r="D40" s="10">
        <f>'Interpreted Data'!T40</f>
        <v>284</v>
      </c>
      <c r="E40" s="11">
        <f>IF(D40="-",IF('Interpreted Data'!U40=-90,"-V",IF('Interpreted Data'!U40=90,"+V",'Interpreted Data'!U40)),'Interpreted Data'!U40)</f>
        <v>-8.3356732078743381</v>
      </c>
      <c r="F40" s="18" t="str">
        <f>IF('Interpreted Data'!P40="","",CONCATENATE(";",'Interpreted Data'!P40))</f>
        <v>;Bearing from 2' to left. Iv is Muddy Sump. Dp below Sump I is 20.6 feet. Total 1127'</v>
      </c>
    </row>
    <row r="41" spans="1:6" x14ac:dyDescent="0.25">
      <c r="A41" t="str">
        <f>CONCATENATE('Interpreted Data'!A41,"2")</f>
        <v>a2</v>
      </c>
      <c r="B41" t="str">
        <f>CONCATENATE('Interpreted Data'!B41,"2")</f>
        <v>b2</v>
      </c>
      <c r="C41" s="2">
        <f>'Interpreted Data'!J41/$G$1</f>
        <v>13.109756097560977</v>
      </c>
      <c r="D41" s="10">
        <f>'Interpreted Data'!T41</f>
        <v>83</v>
      </c>
      <c r="E41" s="11">
        <f>IF(D41="-",IF('Interpreted Data'!U41=-90,"-V",IF('Interpreted Data'!U41=90,"+V",'Interpreted Data'!U41)),'Interpreted Data'!U41)</f>
        <v>15</v>
      </c>
      <c r="F41" s="18" t="str">
        <f>IF('Interpreted Data'!P41="","",CONCATENATE(";",'Interpreted Data'!P41))</f>
        <v>;a is on N.Side of passage just before Creep I -&gt; (sketch)</v>
      </c>
    </row>
    <row r="42" spans="1:6" x14ac:dyDescent="0.25">
      <c r="A42" t="str">
        <f>CONCATENATE('Interpreted Data'!A42,"2")</f>
        <v>b2</v>
      </c>
      <c r="B42" t="str">
        <f>CONCATENATE('Interpreted Data'!B42,"2")</f>
        <v>c2</v>
      </c>
      <c r="C42" s="2">
        <f>'Interpreted Data'!J42/$G$1</f>
        <v>6.3109756097560981</v>
      </c>
      <c r="D42" s="10">
        <f>'Interpreted Data'!T42</f>
        <v>6</v>
      </c>
      <c r="E42" s="11">
        <f>IF(D42="-",IF('Interpreted Data'!U42=-90,"-V",IF('Interpreted Data'!U42=90,"+V",'Interpreted Data'!U42)),'Interpreted Data'!U42)</f>
        <v>8</v>
      </c>
      <c r="F42" s="18" t="str">
        <f>IF('Interpreted Data'!P42="","",CONCATENATE(";",'Interpreted Data'!P42))</f>
        <v/>
      </c>
    </row>
    <row r="43" spans="1:6" x14ac:dyDescent="0.25">
      <c r="A43" t="str">
        <f>CONCATENATE('Interpreted Data'!A43,"2")</f>
        <v>c2</v>
      </c>
      <c r="B43" t="str">
        <f>CONCATENATE('Interpreted Data'!B43,"2")</f>
        <v>d2</v>
      </c>
      <c r="C43" s="2">
        <f>'Interpreted Data'!J43/$G$1</f>
        <v>3.4451219512195128</v>
      </c>
      <c r="D43" s="10">
        <f>'Interpreted Data'!T43</f>
        <v>42</v>
      </c>
      <c r="E43" s="11">
        <f>IF(D43="-",IF('Interpreted Data'!U43=-90,"-V",IF('Interpreted Data'!U43=90,"+V",'Interpreted Data'!U43)),'Interpreted Data'!U43)</f>
        <v>10</v>
      </c>
      <c r="F43" s="18" t="str">
        <f>IF('Interpreted Data'!P43="","",CONCATENATE(";",'Interpreted Data'!P43))</f>
        <v/>
      </c>
    </row>
    <row r="44" spans="1:6" x14ac:dyDescent="0.25">
      <c r="A44" t="str">
        <f>CONCATENATE('Interpreted Data'!A44,"2")</f>
        <v>d2</v>
      </c>
      <c r="B44" t="str">
        <f>CONCATENATE('Interpreted Data'!B44,"2")</f>
        <v>e2</v>
      </c>
      <c r="C44" s="2">
        <f>'Interpreted Data'!J44/$G$1</f>
        <v>5.7621951219512191</v>
      </c>
      <c r="D44" s="10">
        <f>'Interpreted Data'!T44</f>
        <v>139</v>
      </c>
      <c r="E44" s="11">
        <f>IF(D44="-",IF('Interpreted Data'!U44=-90,"-V",IF('Interpreted Data'!U44=90,"+V",'Interpreted Data'!U44)),'Interpreted Data'!U44)</f>
        <v>0</v>
      </c>
      <c r="F44" s="18" t="str">
        <f>IF('Interpreted Data'!P44="","",CONCATENATE(";",'Interpreted Data'!P44))</f>
        <v>;(e) is where passage rejoins streamway. Stn 35 (p.52)-(e) is F.S. 234 (TRUE), Dist 18', Clino +45 (deg), HD 12.7, VD +12.7</v>
      </c>
    </row>
    <row r="45" spans="1:6" x14ac:dyDescent="0.25">
      <c r="A45" t="str">
        <f>CONCATENATE('Interpreted Data'!A45,"2")</f>
        <v>d2</v>
      </c>
      <c r="B45" t="str">
        <f>CONCATENATE('Interpreted Data'!B45,"2")</f>
        <v>f2</v>
      </c>
      <c r="C45" s="2">
        <f>'Interpreted Data'!J45/$G$1</f>
        <v>3.1402439024390247</v>
      </c>
      <c r="D45" s="10">
        <f>'Interpreted Data'!T45</f>
        <v>245</v>
      </c>
      <c r="E45" s="11">
        <f>IF(D45="-",IF('Interpreted Data'!U45=-90,"-V",IF('Interpreted Data'!U45=90,"+V",'Interpreted Data'!U45)),'Interpreted Data'!U45)</f>
        <v>60</v>
      </c>
      <c r="F45" s="18" t="str">
        <f>IF('Interpreted Data'!P45="","",CONCATENATE(";",'Interpreted Data'!P45))</f>
        <v/>
      </c>
    </row>
    <row r="46" spans="1:6" x14ac:dyDescent="0.25">
      <c r="A46" t="str">
        <f>CONCATENATE('Interpreted Data'!A46,"2")</f>
        <v>f2</v>
      </c>
      <c r="B46" t="str">
        <f>CONCATENATE('Interpreted Data'!B46,"2")</f>
        <v>g2</v>
      </c>
      <c r="C46" s="2">
        <f>'Interpreted Data'!J46/$G$1</f>
        <v>1.8902439024390245</v>
      </c>
      <c r="D46" s="10">
        <f>'Interpreted Data'!T46</f>
        <v>319</v>
      </c>
      <c r="E46" s="11">
        <f>IF(D46="-",IF('Interpreted Data'!U46=-90,"-V",IF('Interpreted Data'!U46=90,"+V",'Interpreted Data'!U46)),'Interpreted Data'!U46)</f>
        <v>0</v>
      </c>
      <c r="F46" s="18" t="str">
        <f>IF('Interpreted Data'!P46="","",CONCATENATE(";",'Interpreted Data'!P46))</f>
        <v/>
      </c>
    </row>
    <row r="47" spans="1:6" x14ac:dyDescent="0.25">
      <c r="A47" t="str">
        <f>CONCATENATE('Interpreted Data'!A47,"2")</f>
        <v>g2</v>
      </c>
      <c r="B47" t="str">
        <f>CONCATENATE('Interpreted Data'!B47,"2")</f>
        <v>h2</v>
      </c>
      <c r="C47" s="2">
        <f>'Interpreted Data'!J47/$G$1</f>
        <v>4.8780487804878048</v>
      </c>
      <c r="D47" s="10">
        <f>'Interpreted Data'!T47</f>
        <v>237</v>
      </c>
      <c r="E47" s="11">
        <f>IF(D47="-",IF('Interpreted Data'!U47=-90,"-V",IF('Interpreted Data'!U47=90,"+V",'Interpreted Data'!U47)),'Interpreted Data'!U47)</f>
        <v>65</v>
      </c>
      <c r="F47" s="18" t="str">
        <f>IF('Interpreted Data'!P47="","",CONCATENATE(";",'Interpreted Data'!P47))</f>
        <v/>
      </c>
    </row>
    <row r="48" spans="1:6" x14ac:dyDescent="0.25">
      <c r="A48" t="str">
        <f>CONCATENATE('Interpreted Data'!A48,"2")</f>
        <v>h2</v>
      </c>
      <c r="B48" t="str">
        <f>CONCATENATE('Interpreted Data'!B48,"2")</f>
        <v>i2</v>
      </c>
      <c r="C48" s="2">
        <f>'Interpreted Data'!J48/$G$1</f>
        <v>14.02439024390244</v>
      </c>
      <c r="D48" s="10">
        <f>'Interpreted Data'!T48</f>
        <v>329</v>
      </c>
      <c r="E48" s="11">
        <f>IF(D48="-",IF('Interpreted Data'!U48=-90,"-V",IF('Interpreted Data'!U48=90,"+V",'Interpreted Data'!U48)),'Interpreted Data'!U48)</f>
        <v>0</v>
      </c>
      <c r="F48" s="18" t="str">
        <f>IF('Interpreted Data'!P48="","",CONCATENATE(";",'Interpreted Data'!P48))</f>
        <v>;(i) is where passage gets too low. (some indistinct numbers follow. Too faint to read on logbook scan). Total 1207' (?)</v>
      </c>
    </row>
    <row r="49" spans="1:6" x14ac:dyDescent="0.25">
      <c r="A49" t="str">
        <f>'Interpreted Data'!A49</f>
        <v>M</v>
      </c>
      <c r="B49">
        <f>'Interpreted Data'!B49</f>
        <v>1</v>
      </c>
      <c r="C49" s="2">
        <f>'Interpreted Data'!J49/$G$1</f>
        <v>3.5670731707317072</v>
      </c>
      <c r="D49" s="10">
        <f>'Interpreted Data'!T49</f>
        <v>325</v>
      </c>
      <c r="E49" s="11">
        <f>IF(D49="-",IF('Interpreted Data'!U49=-90,"-V",IF('Interpreted Data'!U49=90,"+V",'Interpreted Data'!U49)),'Interpreted Data'!U49)</f>
        <v>-20</v>
      </c>
      <c r="F49" s="18" t="str">
        <f>IF('Interpreted Data'!P49="","",CONCATENATE(";",'Interpreted Data'!P49))</f>
        <v/>
      </c>
    </row>
    <row r="50" spans="1:6" x14ac:dyDescent="0.25">
      <c r="A50">
        <f>'Interpreted Data'!A50</f>
        <v>1</v>
      </c>
      <c r="B50">
        <f>'Interpreted Data'!B50</f>
        <v>2</v>
      </c>
      <c r="C50" s="2">
        <f>'Interpreted Data'!J50/$G$1</f>
        <v>8.6890243902439028</v>
      </c>
      <c r="D50" s="10">
        <f>'Interpreted Data'!T50</f>
        <v>35</v>
      </c>
      <c r="E50" s="11">
        <f>IF(D50="-",IF('Interpreted Data'!U50=-90,"-V",IF('Interpreted Data'!U50=90,"+V",'Interpreted Data'!U50)),'Interpreted Data'!U50)</f>
        <v>85</v>
      </c>
      <c r="F50" s="18" t="str">
        <f>IF('Interpreted Data'!P50="","",CONCATENATE(";",'Interpreted Data'!P50))</f>
        <v/>
      </c>
    </row>
    <row r="51" spans="1:6" x14ac:dyDescent="0.25">
      <c r="A51">
        <f>'Interpreted Data'!A51</f>
        <v>2</v>
      </c>
      <c r="B51">
        <f>'Interpreted Data'!B51</f>
        <v>3</v>
      </c>
      <c r="C51" s="2">
        <f>'Interpreted Data'!J51/$G$1</f>
        <v>6.0670731707317076</v>
      </c>
      <c r="D51" s="10">
        <f>'Interpreted Data'!T51</f>
        <v>50</v>
      </c>
      <c r="E51" s="11">
        <f>IF(D51="-",IF('Interpreted Data'!U51=-90,"-V",IF('Interpreted Data'!U51=90,"+V",'Interpreted Data'!U51)),'Interpreted Data'!U51)</f>
        <v>16</v>
      </c>
      <c r="F51" s="18" t="str">
        <f>IF('Interpreted Data'!P51="","",CONCATENATE(";",'Interpreted Data'!P51))</f>
        <v>;2 is on lip of Approach passage. Little passage starts 15 back.</v>
      </c>
    </row>
    <row r="52" spans="1:6" x14ac:dyDescent="0.25">
      <c r="A52">
        <f>'Interpreted Data'!A52</f>
        <v>3</v>
      </c>
      <c r="B52">
        <f>'Interpreted Data'!B52</f>
        <v>4</v>
      </c>
      <c r="C52" s="2">
        <f>'Interpreted Data'!J52/$G$1</f>
        <v>4.8780487804878048</v>
      </c>
      <c r="D52" s="10">
        <f>'Interpreted Data'!T52</f>
        <v>122</v>
      </c>
      <c r="E52" s="11">
        <f>IF(D52="-",IF('Interpreted Data'!U52=-90,"-V",IF('Interpreted Data'!U52=90,"+V",'Interpreted Data'!U52)),'Interpreted Data'!U52)</f>
        <v>7</v>
      </c>
      <c r="F52" s="18" t="str">
        <f>IF('Interpreted Data'!P52="","",CONCATENATE(";",'Interpreted Data'!P52))</f>
        <v>;3 - 12 Trench up to 2 feet deep in floor of this passage</v>
      </c>
    </row>
    <row r="53" spans="1:6" x14ac:dyDescent="0.25">
      <c r="A53">
        <f>'Interpreted Data'!A53</f>
        <v>4</v>
      </c>
      <c r="B53">
        <f>'Interpreted Data'!B53</f>
        <v>5</v>
      </c>
      <c r="C53" s="2">
        <f>'Interpreted Data'!J53/$G$1</f>
        <v>5.4878048780487809</v>
      </c>
      <c r="D53" s="10">
        <f>'Interpreted Data'!T53</f>
        <v>59</v>
      </c>
      <c r="E53" s="11">
        <f>IF(D53="-",IF('Interpreted Data'!U53=-90,"-V",IF('Interpreted Data'!U53=90,"+V",'Interpreted Data'!U53)),'Interpreted Data'!U53)</f>
        <v>15</v>
      </c>
      <c r="F53" s="18" t="str">
        <f>IF('Interpreted Data'!P53="","",CONCATENATE(";",'Interpreted Data'!P53))</f>
        <v>;Little passage off to South from 4</v>
      </c>
    </row>
    <row r="54" spans="1:6" x14ac:dyDescent="0.25">
      <c r="A54">
        <f>'Interpreted Data'!A54</f>
        <v>5</v>
      </c>
      <c r="B54">
        <f>'Interpreted Data'!B54</f>
        <v>6</v>
      </c>
      <c r="C54" s="2">
        <f>'Interpreted Data'!J54/$G$1</f>
        <v>2.8963414634146343</v>
      </c>
      <c r="D54" s="10">
        <f>'Interpreted Data'!T54</f>
        <v>17</v>
      </c>
      <c r="E54" s="11">
        <f>IF(D54="-",IF('Interpreted Data'!U54=-90,"-V",IF('Interpreted Data'!U54=90,"+V",'Interpreted Data'!U54)),'Interpreted Data'!U54)</f>
        <v>10</v>
      </c>
      <c r="F54" s="18" t="str">
        <f>IF('Interpreted Data'!P54="","",CONCATENATE(";",'Interpreted Data'!P54))</f>
        <v/>
      </c>
    </row>
    <row r="55" spans="1:6" x14ac:dyDescent="0.25">
      <c r="A55">
        <f>'Interpreted Data'!A55</f>
        <v>6</v>
      </c>
      <c r="B55">
        <f>'Interpreted Data'!B55</f>
        <v>7</v>
      </c>
      <c r="C55" s="2">
        <f>'Interpreted Data'!J55/$G$1</f>
        <v>4.1158536585365857</v>
      </c>
      <c r="D55" s="10">
        <f>'Interpreted Data'!T55</f>
        <v>46</v>
      </c>
      <c r="E55" s="11">
        <f>IF(D55="-",IF('Interpreted Data'!U55=-90,"-V",IF('Interpreted Data'!U55=90,"+V",'Interpreted Data'!U55)),'Interpreted Data'!U55)</f>
        <v>17</v>
      </c>
      <c r="F55" s="18" t="str">
        <f>IF('Interpreted Data'!P55="","",CONCATENATE(";",'Interpreted Data'!P55))</f>
        <v/>
      </c>
    </row>
    <row r="56" spans="1:6" x14ac:dyDescent="0.25">
      <c r="A56">
        <f>'Interpreted Data'!A56</f>
        <v>7</v>
      </c>
      <c r="B56">
        <f>'Interpreted Data'!B56</f>
        <v>8</v>
      </c>
      <c r="C56" s="2">
        <f>'Interpreted Data'!J56/$G$1</f>
        <v>7.3780487804878048</v>
      </c>
      <c r="D56" s="10">
        <f>'Interpreted Data'!T56</f>
        <v>74</v>
      </c>
      <c r="E56" s="11">
        <f>IF(D56="-",IF('Interpreted Data'!U56=-90,"-V",IF('Interpreted Data'!U56=90,"+V",'Interpreted Data'!U56)),'Interpreted Data'!U56)</f>
        <v>13</v>
      </c>
      <c r="F56" s="18" t="str">
        <f>IF('Interpreted Data'!P56="","",CONCATENATE(";",'Interpreted Data'!P56))</f>
        <v/>
      </c>
    </row>
    <row r="57" spans="1:6" x14ac:dyDescent="0.25">
      <c r="A57">
        <f>'Interpreted Data'!A57</f>
        <v>8</v>
      </c>
      <c r="B57">
        <f>'Interpreted Data'!B57</f>
        <v>9</v>
      </c>
      <c r="C57" s="2">
        <f>'Interpreted Data'!J57/$G$1</f>
        <v>2.6829268292682928</v>
      </c>
      <c r="D57" s="10">
        <f>'Interpreted Data'!T57</f>
        <v>137</v>
      </c>
      <c r="E57" s="11">
        <f>IF(D57="-",IF('Interpreted Data'!U57=-90,"-V",IF('Interpreted Data'!U57=90,"+V",'Interpreted Data'!U57)),'Interpreted Data'!U57)</f>
        <v>10</v>
      </c>
      <c r="F57" s="18" t="str">
        <f>IF('Interpreted Data'!P57="","",CONCATENATE(";",'Interpreted Data'!P57))</f>
        <v/>
      </c>
    </row>
    <row r="58" spans="1:6" x14ac:dyDescent="0.25">
      <c r="A58">
        <f>'Interpreted Data'!A58</f>
        <v>9</v>
      </c>
      <c r="B58">
        <f>'Interpreted Data'!B58</f>
        <v>10</v>
      </c>
      <c r="C58" s="2">
        <f>'Interpreted Data'!J58/$G$1</f>
        <v>6.036585365853659</v>
      </c>
      <c r="D58" s="10">
        <f>'Interpreted Data'!T58</f>
        <v>89</v>
      </c>
      <c r="E58" s="11">
        <f>IF(D58="-",IF('Interpreted Data'!U58=-90,"-V",IF('Interpreted Data'!U58=90,"+V",'Interpreted Data'!U58)),'Interpreted Data'!U58)</f>
        <v>15</v>
      </c>
      <c r="F58" s="18" t="str">
        <f>IF('Interpreted Data'!P58="","",CONCATENATE(";",'Interpreted Data'!P58))</f>
        <v/>
      </c>
    </row>
    <row r="59" spans="1:6" x14ac:dyDescent="0.25">
      <c r="A59">
        <f>'Interpreted Data'!A59</f>
        <v>10</v>
      </c>
      <c r="B59">
        <f>'Interpreted Data'!B59</f>
        <v>11</v>
      </c>
      <c r="C59" s="2">
        <f>'Interpreted Data'!J59/$G$1</f>
        <v>2.7439024390243905</v>
      </c>
      <c r="D59" s="10">
        <f>'Interpreted Data'!T59</f>
        <v>26</v>
      </c>
      <c r="E59" s="11">
        <f>IF(D59="-",IF('Interpreted Data'!U59=-90,"-V",IF('Interpreted Data'!U59=90,"+V",'Interpreted Data'!U59)),'Interpreted Data'!U59)</f>
        <v>12</v>
      </c>
      <c r="F59" s="18" t="str">
        <f>IF('Interpreted Data'!P59="","",CONCATENATE(";",'Interpreted Data'!P59))</f>
        <v/>
      </c>
    </row>
    <row r="60" spans="1:6" x14ac:dyDescent="0.25">
      <c r="A60">
        <f>'Interpreted Data'!A60</f>
        <v>11</v>
      </c>
      <c r="B60">
        <f>'Interpreted Data'!B60</f>
        <v>12</v>
      </c>
      <c r="C60" s="2">
        <f>'Interpreted Data'!J60/$G$1</f>
        <v>3.2621951219512195</v>
      </c>
      <c r="D60" s="10">
        <f>'Interpreted Data'!T60</f>
        <v>78</v>
      </c>
      <c r="E60" s="11">
        <f>IF(D60="-",IF('Interpreted Data'!U60=-90,"-V",IF('Interpreted Data'!U60=90,"+V",'Interpreted Data'!U60)),'Interpreted Data'!U60)</f>
        <v>10</v>
      </c>
      <c r="F60" s="18" t="str">
        <f>IF('Interpreted Data'!P60="","",CONCATENATE(";",'Interpreted Data'!P60))</f>
        <v/>
      </c>
    </row>
    <row r="61" spans="1:6" x14ac:dyDescent="0.25">
      <c r="A61">
        <f>'Interpreted Data'!A61</f>
        <v>12</v>
      </c>
      <c r="B61">
        <f>'Interpreted Data'!B61</f>
        <v>13</v>
      </c>
      <c r="C61" s="2">
        <f>'Interpreted Data'!J61/$G$1</f>
        <v>2.5914634146341466</v>
      </c>
      <c r="D61" s="10">
        <f>'Interpreted Data'!T61</f>
        <v>25</v>
      </c>
      <c r="E61" s="11">
        <f>IF(D61="-",IF('Interpreted Data'!U61=-90,"-V",IF('Interpreted Data'!U61=90,"+V",'Interpreted Data'!U61)),'Interpreted Data'!U61)</f>
        <v>-13.608960630782917</v>
      </c>
      <c r="F61" s="18" t="str">
        <f>IF('Interpreted Data'!P61="","",CONCATENATE(";",'Interpreted Data'!P61))</f>
        <v>;Little passage goes uphill straight on</v>
      </c>
    </row>
    <row r="62" spans="1:6" x14ac:dyDescent="0.25">
      <c r="A62">
        <f>'Interpreted Data'!A62</f>
        <v>13</v>
      </c>
      <c r="B62">
        <f>'Interpreted Data'!B62</f>
        <v>14</v>
      </c>
      <c r="C62" s="2">
        <f>'Interpreted Data'!J62/$G$1</f>
        <v>3.7500000000000004</v>
      </c>
      <c r="D62" s="10">
        <f>'Interpreted Data'!T62</f>
        <v>85</v>
      </c>
      <c r="E62" s="11">
        <f>IF(D62="-",IF('Interpreted Data'!U62=-90,"-V",IF('Interpreted Data'!U62=90,"+V",'Interpreted Data'!U62)),'Interpreted Data'!U62)</f>
        <v>9</v>
      </c>
      <c r="F62" s="18" t="str">
        <f>IF('Interpreted Data'!P62="","",CONCATENATE(";",'Interpreted Data'!P62))</f>
        <v/>
      </c>
    </row>
    <row r="63" spans="1:6" x14ac:dyDescent="0.25">
      <c r="A63">
        <f>'Interpreted Data'!A63</f>
        <v>14</v>
      </c>
      <c r="B63">
        <f>'Interpreted Data'!B63</f>
        <v>15</v>
      </c>
      <c r="C63" s="2">
        <f>'Interpreted Data'!J63/$G$1</f>
        <v>3.5365853658536586</v>
      </c>
      <c r="D63" s="10">
        <f>'Interpreted Data'!T63</f>
        <v>63</v>
      </c>
      <c r="E63" s="11">
        <f>IF(D63="-",IF('Interpreted Data'!U63=-90,"-V",IF('Interpreted Data'!U63=90,"+V",'Interpreted Data'!U63)),'Interpreted Data'!U63)</f>
        <v>10</v>
      </c>
      <c r="F63" s="18" t="str">
        <f>IF('Interpreted Data'!P63="","",CONCATENATE(";",'Interpreted Data'!P63))</f>
        <v/>
      </c>
    </row>
    <row r="64" spans="1:6" x14ac:dyDescent="0.25">
      <c r="A64">
        <f>'Interpreted Data'!A64</f>
        <v>15</v>
      </c>
      <c r="B64">
        <f>'Interpreted Data'!B64</f>
        <v>16</v>
      </c>
      <c r="C64" s="2">
        <f>'Interpreted Data'!J64/$G$1</f>
        <v>3.8109756097560976</v>
      </c>
      <c r="D64" s="10">
        <f>'Interpreted Data'!T64</f>
        <v>125</v>
      </c>
      <c r="E64" s="11">
        <f>IF(D64="-",IF('Interpreted Data'!U64=-90,"-V",IF('Interpreted Data'!U64=90,"+V",'Interpreted Data'!U64)),'Interpreted Data'!U64)</f>
        <v>-16.26020470831196</v>
      </c>
      <c r="F64" s="18" t="str">
        <f>IF('Interpreted Data'!P64="","",CONCATENATE(";",'Interpreted Data'!P64))</f>
        <v>;Low creep at 4-10 feet. Chamber goes 15' in same line</v>
      </c>
    </row>
    <row r="65" spans="1:6" x14ac:dyDescent="0.25">
      <c r="A65">
        <f>'Interpreted Data'!A65</f>
        <v>16</v>
      </c>
      <c r="B65">
        <f>'Interpreted Data'!B65</f>
        <v>17</v>
      </c>
      <c r="C65" s="2">
        <f>'Interpreted Data'!J65/$G$1</f>
        <v>4.4207317073170733</v>
      </c>
      <c r="D65" s="10">
        <f>'Interpreted Data'!T65</f>
        <v>85</v>
      </c>
      <c r="E65" s="11">
        <f>IF(D65="-",IF('Interpreted Data'!U65=-90,"-V",IF('Interpreted Data'!U65=90,"+V",'Interpreted Data'!U65)),'Interpreted Data'!U65)</f>
        <v>6</v>
      </c>
      <c r="F65" s="18" t="str">
        <f>IF('Interpreted Data'!P65="","",CONCATENATE(";",'Interpreted Data'!P65))</f>
        <v/>
      </c>
    </row>
    <row r="66" spans="1:6" x14ac:dyDescent="0.25">
      <c r="A66">
        <f>'Interpreted Data'!A66</f>
        <v>17</v>
      </c>
      <c r="B66">
        <f>'Interpreted Data'!B66</f>
        <v>18</v>
      </c>
      <c r="C66" s="2">
        <f>'Interpreted Data'!J66/$G$1</f>
        <v>3.8414634146341466</v>
      </c>
      <c r="D66" s="10">
        <f>'Interpreted Data'!T66</f>
        <v>22</v>
      </c>
      <c r="E66" s="11">
        <f>IF(D66="-",IF('Interpreted Data'!U66=-90,"-V",IF('Interpreted Data'!U66=90,"+V",'Interpreted Data'!U66)),'Interpreted Data'!U66)</f>
        <v>6</v>
      </c>
      <c r="F66" s="18" t="str">
        <f>IF('Interpreted Data'!P66="","",CONCATENATE(";",'Interpreted Data'!P66))</f>
        <v/>
      </c>
    </row>
    <row r="67" spans="1:6" x14ac:dyDescent="0.25">
      <c r="A67" s="18" t="str">
        <f>CONCATENATE(";",'Interpreted Data'!A67)</f>
        <v>;18</v>
      </c>
      <c r="B67">
        <f>'Interpreted Data'!B67</f>
        <v>19</v>
      </c>
      <c r="C67" s="2">
        <f>'Interpreted Data'!J67/$G$1</f>
        <v>3.3536585365853662</v>
      </c>
      <c r="D67" s="10" t="str">
        <f>'Interpreted Data'!T67</f>
        <v>-</v>
      </c>
      <c r="E67" s="11" t="str">
        <f>IF(D67="-",IF('Interpreted Data'!U67=-90,"-V",IF('Interpreted Data'!U67=90,"+V",'Interpreted Data'!U67)),'Interpreted Data'!U67)</f>
        <v>-V</v>
      </c>
      <c r="F67" s="18" t="str">
        <f>IF('Interpreted Data'!P67="","",CONCATENATE(";",'Interpreted Data'!P67))</f>
        <v>;18 is in crack at top of "11 foot drop"</v>
      </c>
    </row>
    <row r="68" spans="1:6" x14ac:dyDescent="0.25">
      <c r="A68" t="str">
        <f>'Interpreted Data'!A68</f>
        <v/>
      </c>
      <c r="B68" t="str">
        <f>'Interpreted Data'!B68</f>
        <v/>
      </c>
      <c r="C68" s="2"/>
      <c r="D68" s="10"/>
      <c r="E68" s="11"/>
      <c r="F68" s="18" t="str">
        <f>IF('Interpreted Data'!P68="","",CONCATENATE(";",'Interpreted Data'!P68))</f>
        <v>;Total = 1562'</v>
      </c>
    </row>
    <row r="69" spans="1:6" x14ac:dyDescent="0.25">
      <c r="A69" s="18" t="str">
        <f>CONCATENATE(";",'Interpreted Data'!A69)</f>
        <v>;p. 51-52</v>
      </c>
      <c r="B69" t="str">
        <f>'Interpreted Data'!B69</f>
        <v>(=PDF p.55-56)</v>
      </c>
      <c r="C69" s="2"/>
      <c r="D69" s="10"/>
      <c r="E69" s="11"/>
      <c r="F69" s="18" t="str">
        <f>IF('Interpreted Data'!P69="","",CONCATENATE(";",'Interpreted Data'!P69))</f>
        <v/>
      </c>
    </row>
    <row r="70" spans="1:6" x14ac:dyDescent="0.25">
      <c r="A70" s="18" t="str">
        <f>CONCATENATE(";",'Interpreted Data'!A70)</f>
        <v>;30th March 1952</v>
      </c>
      <c r="B70" t="str">
        <f>'Interpreted Data'!B70</f>
        <v/>
      </c>
      <c r="C70" s="2"/>
      <c r="D70" s="10"/>
      <c r="E70" s="11"/>
      <c r="F70" s="18" t="str">
        <f>IF('Interpreted Data'!P70="","",CONCATENATE(";",'Interpreted Data'!P70))</f>
        <v/>
      </c>
    </row>
    <row r="71" spans="1:6" x14ac:dyDescent="0.25">
      <c r="A71" t="str">
        <f>'Interpreted Data'!A71</f>
        <v>B1</v>
      </c>
      <c r="B71" t="str">
        <f>'Interpreted Data'!B71</f>
        <v>AA</v>
      </c>
      <c r="C71" s="2">
        <f>'Interpreted Data'!J71/$G$1</f>
        <v>23.810975609756099</v>
      </c>
      <c r="D71" s="10">
        <f>'Interpreted Data'!T71</f>
        <v>113.66666666666667</v>
      </c>
      <c r="E71" s="11">
        <f>IF(D71="-",IF('Interpreted Data'!U71=-90,"-V",IF('Interpreted Data'!U71=90,"+V",'Interpreted Data'!U71)),'Interpreted Data'!U71)</f>
        <v>9.5</v>
      </c>
      <c r="F71" s="18" t="str">
        <f>IF('Interpreted Data'!P71="","",CONCATENATE(";",'Interpreted Data'!P71))</f>
        <v>;B1 ('beta' in original notes) is station B1 of page 45, at entrance to "P.G." passage</v>
      </c>
    </row>
    <row r="72" spans="1:6" x14ac:dyDescent="0.25">
      <c r="A72" t="str">
        <f>'Interpreted Data'!A72</f>
        <v>AA</v>
      </c>
      <c r="B72" t="str">
        <f>'Interpreted Data'!B72</f>
        <v>AB</v>
      </c>
      <c r="C72" s="2">
        <f>'Interpreted Data'!J72/$G$1</f>
        <v>7.3475609756097571</v>
      </c>
      <c r="D72" s="10">
        <f>'Interpreted Data'!T72</f>
        <v>115.5</v>
      </c>
      <c r="E72" s="11">
        <f>IF(D72="-",IF('Interpreted Data'!U72=-90,"-V",IF('Interpreted Data'!U72=90,"+V",'Interpreted Data'!U72)),'Interpreted Data'!U72)</f>
        <v>-5.5</v>
      </c>
      <c r="F72" s="18" t="str">
        <f>IF('Interpreted Data'!P72="","",CONCATENATE(";",'Interpreted Data'!P72))</f>
        <v>;AA on a big high rock</v>
      </c>
    </row>
    <row r="73" spans="1:6" x14ac:dyDescent="0.25">
      <c r="A73" t="str">
        <f>'Interpreted Data'!A73</f>
        <v>AB</v>
      </c>
      <c r="B73" t="str">
        <f>'Interpreted Data'!B73</f>
        <v>AC</v>
      </c>
      <c r="C73" s="2">
        <f>'Interpreted Data'!J73/$G$1</f>
        <v>8.9024390243902438</v>
      </c>
      <c r="D73" s="10">
        <f>'Interpreted Data'!T73</f>
        <v>97.833333333333329</v>
      </c>
      <c r="E73" s="11">
        <f>IF(D73="-",IF('Interpreted Data'!U73=-90,"-V",IF('Interpreted Data'!U73=90,"+V",'Interpreted Data'!U73)),'Interpreted Data'!U73)</f>
        <v>0.5</v>
      </c>
      <c r="F73" s="18" t="str">
        <f>IF('Interpreted Data'!P73="","",CONCATENATE(";",'Interpreted Data'!P73))</f>
        <v>;AB on big rock. Stream sinks below boulders.</v>
      </c>
    </row>
    <row r="74" spans="1:6" x14ac:dyDescent="0.25">
      <c r="A74" t="str">
        <f>'Interpreted Data'!A74</f>
        <v>AC</v>
      </c>
      <c r="B74" t="str">
        <f>'Interpreted Data'!B74</f>
        <v>AD</v>
      </c>
      <c r="C74" s="2">
        <f>'Interpreted Data'!J74/$G$1</f>
        <v>3.2317073170731709</v>
      </c>
      <c r="D74" s="10">
        <f>'Interpreted Data'!T74</f>
        <v>121</v>
      </c>
      <c r="E74" s="11">
        <f>IF(D74="-",IF('Interpreted Data'!U74=-90,"-V",IF('Interpreted Data'!U74=90,"+V",'Interpreted Data'!U74)),'Interpreted Data'!U74)</f>
        <v>22.5</v>
      </c>
      <c r="F74" s="18" t="str">
        <f>IF('Interpreted Data'!P74="","",CONCATENATE(";",'Interpreted Data'!P74))</f>
        <v>;AC on dirty great big rock.</v>
      </c>
    </row>
    <row r="75" spans="1:6" x14ac:dyDescent="0.25">
      <c r="A75" t="str">
        <f>'Interpreted Data'!A75</f>
        <v>AD</v>
      </c>
      <c r="B75" t="str">
        <f>'Interpreted Data'!B75</f>
        <v>AE</v>
      </c>
      <c r="C75" s="2">
        <f>'Interpreted Data'!J75/$G$1</f>
        <v>14.725609756097562</v>
      </c>
      <c r="D75" s="10">
        <f>'Interpreted Data'!T75</f>
        <v>110</v>
      </c>
      <c r="E75" s="11">
        <f>IF(D75="-",IF('Interpreted Data'!U75=-90,"-V",IF('Interpreted Data'!U75=90,"+V",'Interpreted Data'!U75)),'Interpreted Data'!U75)</f>
        <v>9.6666666600000006</v>
      </c>
      <c r="F75" s="18" t="str">
        <f>IF('Interpreted Data'!P75="","",CONCATENATE(";",'Interpreted Data'!P75))</f>
        <v>;Stream rises from boulders.</v>
      </c>
    </row>
    <row r="76" spans="1:6" x14ac:dyDescent="0.25">
      <c r="A76" t="str">
        <f>'Interpreted Data'!A76</f>
        <v>AE</v>
      </c>
      <c r="B76" t="str">
        <f>'Interpreted Data'!B76</f>
        <v>AF</v>
      </c>
      <c r="C76" s="2">
        <f>'Interpreted Data'!J76/$G$1</f>
        <v>5.1829268292682933</v>
      </c>
      <c r="D76" s="10">
        <f>'Interpreted Data'!T76</f>
        <v>50.5</v>
      </c>
      <c r="E76" s="11">
        <f>IF(D76="-",IF('Interpreted Data'!U76=-90,"-V",IF('Interpreted Data'!U76=90,"+V",'Interpreted Data'!U76)),'Interpreted Data'!U76)</f>
        <v>10.33333333</v>
      </c>
      <c r="F76" s="18" t="str">
        <f>IF('Interpreted Data'!P76="","",CONCATENATE(";",'Interpreted Data'!P76))</f>
        <v>;Stream sinks below boulders.</v>
      </c>
    </row>
    <row r="77" spans="1:6" x14ac:dyDescent="0.25">
      <c r="A77" t="str">
        <f>'Interpreted Data'!A77</f>
        <v>AF</v>
      </c>
      <c r="B77" t="str">
        <f>'Interpreted Data'!B77</f>
        <v>AG</v>
      </c>
      <c r="C77" s="2">
        <f>'Interpreted Data'!J77/$G$1</f>
        <v>6.1585365853658542</v>
      </c>
      <c r="D77" s="10">
        <f>'Interpreted Data'!T77</f>
        <v>133</v>
      </c>
      <c r="E77" s="11">
        <f>IF(D77="-",IF('Interpreted Data'!U77=-90,"-V",IF('Interpreted Data'!U77=90,"+V",'Interpreted Data'!U77)),'Interpreted Data'!U77)</f>
        <v>3</v>
      </c>
      <c r="F77" s="18" t="str">
        <f>IF('Interpreted Data'!P77="","",CONCATENATE(";",'Interpreted Data'!P77))</f>
        <v>;AF above waterfall.</v>
      </c>
    </row>
    <row r="78" spans="1:6" x14ac:dyDescent="0.25">
      <c r="A78" t="str">
        <f>'Interpreted Data'!A78</f>
        <v>AG</v>
      </c>
      <c r="B78" t="str">
        <f>'Interpreted Data'!B78</f>
        <v>AH</v>
      </c>
      <c r="C78" s="2">
        <f>'Interpreted Data'!J78/$G$1</f>
        <v>3.0792682926829271</v>
      </c>
      <c r="D78" s="10">
        <f>'Interpreted Data'!T78</f>
        <v>192.83333333333334</v>
      </c>
      <c r="E78" s="11">
        <f>IF(D78="-",IF('Interpreted Data'!U78=-90,"-V",IF('Interpreted Data'!U78=90,"+V",'Interpreted Data'!U78)),'Interpreted Data'!U78)</f>
        <v>11.33333333</v>
      </c>
      <c r="F78" s="18" t="str">
        <f>IF('Interpreted Data'!P78="","",CONCATENATE(";",'Interpreted Data'!P78))</f>
        <v/>
      </c>
    </row>
    <row r="79" spans="1:6" x14ac:dyDescent="0.25">
      <c r="A79" t="str">
        <f>'Interpreted Data'!A79</f>
        <v>AH</v>
      </c>
      <c r="B79" t="str">
        <f>'Interpreted Data'!B79</f>
        <v>AI</v>
      </c>
      <c r="C79" s="2">
        <f>'Interpreted Data'!J79/$G$1</f>
        <v>12.682926829268293</v>
      </c>
      <c r="D79" s="10">
        <f>'Interpreted Data'!T79</f>
        <v>112.16666666666667</v>
      </c>
      <c r="E79" s="11">
        <f>IF(D79="-",IF('Interpreted Data'!U79=-90,"-V",IF('Interpreted Data'!U79=90,"+V",'Interpreted Data'!U79)),'Interpreted Data'!U79)</f>
        <v>4.8333333300000003</v>
      </c>
      <c r="F79" s="18" t="str">
        <f>IF('Interpreted Data'!P79="","",CONCATENATE(";",'Interpreted Data'!P79))</f>
        <v/>
      </c>
    </row>
    <row r="80" spans="1:6" x14ac:dyDescent="0.25">
      <c r="A80" t="str">
        <f>'Interpreted Data'!A80</f>
        <v>AI</v>
      </c>
      <c r="B80" t="str">
        <f>'Interpreted Data'!B80</f>
        <v>AJ</v>
      </c>
      <c r="C80" s="2">
        <f>'Interpreted Data'!J80/$G$1</f>
        <v>10.426829268292684</v>
      </c>
      <c r="D80" s="10">
        <f>'Interpreted Data'!T80</f>
        <v>138.5</v>
      </c>
      <c r="E80" s="11">
        <f>IF(D80="-",IF('Interpreted Data'!U80=-90,"-V",IF('Interpreted Data'!U80=90,"+V",'Interpreted Data'!U80)),'Interpreted Data'!U80)</f>
        <v>6.5</v>
      </c>
      <c r="F80" s="18" t="str">
        <f>IF('Interpreted Data'!P80="","",CONCATENATE(";",'Interpreted Data'!P80))</f>
        <v/>
      </c>
    </row>
    <row r="81" spans="1:6" x14ac:dyDescent="0.25">
      <c r="A81" t="str">
        <f>'Interpreted Data'!A81</f>
        <v>AJ</v>
      </c>
      <c r="B81" t="str">
        <f>'Interpreted Data'!B81</f>
        <v>AK</v>
      </c>
      <c r="C81" s="2">
        <f>'Interpreted Data'!J81/$G$1</f>
        <v>9.6951219512195124</v>
      </c>
      <c r="D81" s="10">
        <f>'Interpreted Data'!T81</f>
        <v>106</v>
      </c>
      <c r="E81" s="11">
        <f>IF(D81="-",IF('Interpreted Data'!U81=-90,"-V",IF('Interpreted Data'!U81=90,"+V",'Interpreted Data'!U81)),'Interpreted Data'!U81)</f>
        <v>14.5</v>
      </c>
      <c r="F81" s="18" t="str">
        <f>IF('Interpreted Data'!P81="","",CONCATENATE(";",'Interpreted Data'!P81))</f>
        <v/>
      </c>
    </row>
    <row r="82" spans="1:6" x14ac:dyDescent="0.25">
      <c r="A82" t="str">
        <f>'Interpreted Data'!A82</f>
        <v>AK</v>
      </c>
      <c r="B82" t="str">
        <f>'Interpreted Data'!B82</f>
        <v>AL</v>
      </c>
      <c r="C82" s="2">
        <f>'Interpreted Data'!J82/$G$1</f>
        <v>3.4451219512195128</v>
      </c>
      <c r="D82" s="10">
        <f>'Interpreted Data'!T82</f>
        <v>44</v>
      </c>
      <c r="E82" s="11">
        <f>IF(D82="-",IF('Interpreted Data'!U82=-90,"-V",IF('Interpreted Data'!U82=90,"+V",'Interpreted Data'!U82)),'Interpreted Data'!U82)</f>
        <v>-0.5</v>
      </c>
      <c r="F82" s="18" t="str">
        <f>IF('Interpreted Data'!P82="","",CONCATENATE(";",'Interpreted Data'!P82))</f>
        <v>;AK is below hole into Upper Grottos. Asellus (sp?) present.</v>
      </c>
    </row>
    <row r="83" spans="1:6" x14ac:dyDescent="0.25">
      <c r="A83" s="18" t="str">
        <f>CONCATENATE(";",'Interpreted Data'!A83)</f>
        <v>;AL</v>
      </c>
      <c r="B83" t="str">
        <f>'Interpreted Data'!B83</f>
        <v/>
      </c>
      <c r="C83" s="2"/>
      <c r="D83" s="10"/>
      <c r="E83" s="11"/>
      <c r="F83" s="18" t="str">
        <f>IF('Interpreted Data'!P83="","",CONCATENATE(";",'Interpreted Data'!P83))</f>
        <v>;Total = 1,918'</v>
      </c>
    </row>
    <row r="84" spans="1:6" x14ac:dyDescent="0.25">
      <c r="A84" t="str">
        <f>'Interpreted Data'!A84</f>
        <v/>
      </c>
      <c r="B84" t="str">
        <f>'Interpreted Data'!B84</f>
        <v/>
      </c>
      <c r="C84" s="2"/>
      <c r="D84" s="10"/>
      <c r="E84" s="11"/>
      <c r="F84" s="18" t="str">
        <f>IF('Interpreted Data'!P84="","",CONCATENATE(";",'Interpreted Data'!P84))</f>
        <v/>
      </c>
    </row>
    <row r="85" spans="1:6" x14ac:dyDescent="0.25">
      <c r="A85" s="18" t="str">
        <f>CONCATENATE(";",'Interpreted Data'!A85)</f>
        <v>;2nd April 1952</v>
      </c>
      <c r="B85" t="str">
        <f>'Interpreted Data'!B85</f>
        <v>Cono &amp; Roy Blewett</v>
      </c>
      <c r="C85" s="2"/>
      <c r="D85" s="10"/>
      <c r="E85" s="11"/>
      <c r="F85" s="18" t="str">
        <f>IF('Interpreted Data'!P85="","",CONCATENATE(";",'Interpreted Data'!P85))</f>
        <v/>
      </c>
    </row>
    <row r="86" spans="1:6" x14ac:dyDescent="0.25">
      <c r="A86" t="str">
        <f>'Interpreted Data'!A86</f>
        <v>AL</v>
      </c>
      <c r="B86" t="str">
        <f>'Interpreted Data'!B86</f>
        <v>AN</v>
      </c>
      <c r="C86" s="2">
        <f>'Interpreted Data'!J86/$G$1</f>
        <v>3.9024390243902443</v>
      </c>
      <c r="D86" s="10">
        <f>'Interpreted Data'!T86</f>
        <v>306.66666666666669</v>
      </c>
      <c r="E86" s="11">
        <f>IF(D86="-",IF('Interpreted Data'!U86=-90,"-V",IF('Interpreted Data'!U86=90,"+V",'Interpreted Data'!U86)),'Interpreted Data'!U86)</f>
        <v>-4.5</v>
      </c>
      <c r="F86" s="18" t="str">
        <f>IF('Interpreted Data'!P86="","",CONCATENATE(";",'Interpreted Data'!P86))</f>
        <v>;AL is start of St. Pauls survey</v>
      </c>
    </row>
    <row r="87" spans="1:6" x14ac:dyDescent="0.25">
      <c r="A87" t="str">
        <f>'Interpreted Data'!A87</f>
        <v>AN</v>
      </c>
      <c r="B87" t="str">
        <f>'Interpreted Data'!B87</f>
        <v>AO</v>
      </c>
      <c r="C87" s="2">
        <f>'Interpreted Data'!J87/$G$1</f>
        <v>5.1219512195121952</v>
      </c>
      <c r="D87" s="10">
        <f>'Interpreted Data'!T87</f>
        <v>25.333333333333332</v>
      </c>
      <c r="E87" s="11">
        <f>IF(D87="-",IF('Interpreted Data'!U87=-90,"-V",IF('Interpreted Data'!U87=90,"+V",'Interpreted Data'!U87)),'Interpreted Data'!U87)</f>
        <v>26</v>
      </c>
      <c r="F87" s="18" t="str">
        <f>IF('Interpreted Data'!P87="","",CONCATENATE(";",'Interpreted Data'!P87))</f>
        <v>;AN is at S. end of lower big pot.</v>
      </c>
    </row>
    <row r="88" spans="1:6" x14ac:dyDescent="0.25">
      <c r="A88" t="str">
        <f>'Interpreted Data'!A88</f>
        <v>AO</v>
      </c>
      <c r="B88" t="str">
        <f>'Interpreted Data'!B88</f>
        <v>AP</v>
      </c>
      <c r="C88" s="2">
        <f>'Interpreted Data'!J88/$G$1</f>
        <v>8.4451219512195124</v>
      </c>
      <c r="D88" s="10">
        <f>'Interpreted Data'!T88</f>
        <v>63.833333333333336</v>
      </c>
      <c r="E88" s="11">
        <f>IF(D88="-",IF('Interpreted Data'!U88=-90,"-V",IF('Interpreted Data'!U88=90,"+V",'Interpreted Data'!U88)),'Interpreted Data'!U88)</f>
        <v>12</v>
      </c>
      <c r="F88" s="18" t="str">
        <f>IF('Interpreted Data'!P88="","",CONCATENATE(";",'Interpreted Data'!P88))</f>
        <v/>
      </c>
    </row>
    <row r="89" spans="1:6" x14ac:dyDescent="0.25">
      <c r="A89" t="str">
        <f>'Interpreted Data'!A89</f>
        <v>AP</v>
      </c>
      <c r="B89" t="str">
        <f>'Interpreted Data'!B89</f>
        <v>AQ</v>
      </c>
      <c r="C89" s="2">
        <f>'Interpreted Data'!J89/$G$1</f>
        <v>7.0731707317073171</v>
      </c>
      <c r="D89" s="10">
        <f>'Interpreted Data'!T89</f>
        <v>94</v>
      </c>
      <c r="E89" s="11">
        <f>IF(D89="-",IF('Interpreted Data'!U89=-90,"-V",IF('Interpreted Data'!U89=90,"+V",'Interpreted Data'!U89)),'Interpreted Data'!U89)</f>
        <v>10.5</v>
      </c>
      <c r="F89" s="18" t="str">
        <f>IF('Interpreted Data'!P89="","",CONCATENATE(";",'Interpreted Data'!P89))</f>
        <v/>
      </c>
    </row>
    <row r="90" spans="1:6" x14ac:dyDescent="0.25">
      <c r="A90" t="str">
        <f>'Interpreted Data'!A90</f>
        <v>AQ</v>
      </c>
      <c r="B90" t="str">
        <f>'Interpreted Data'!B90</f>
        <v>AR</v>
      </c>
      <c r="C90" s="2">
        <f>'Interpreted Data'!J90/$G$1</f>
        <v>3.2621951219512195</v>
      </c>
      <c r="D90" s="10">
        <f>'Interpreted Data'!T90</f>
        <v>136</v>
      </c>
      <c r="E90" s="11">
        <f>IF(D90="-",IF('Interpreted Data'!U90=-90,"-V",IF('Interpreted Data'!U90=90,"+V",'Interpreted Data'!U90)),'Interpreted Data'!U90)</f>
        <v>-5.5</v>
      </c>
      <c r="F90" s="18" t="str">
        <f>IF('Interpreted Data'!P90="","",CONCATENATE(";",'Interpreted Data'!P90))</f>
        <v/>
      </c>
    </row>
    <row r="91" spans="1:6" x14ac:dyDescent="0.25">
      <c r="A91" t="str">
        <f>'Interpreted Data'!A91</f>
        <v>AR</v>
      </c>
      <c r="B91" t="str">
        <f>'Interpreted Data'!B91</f>
        <v>AS</v>
      </c>
      <c r="C91" s="2">
        <f>'Interpreted Data'!J91/$G$1</f>
        <v>8.0792682926829276</v>
      </c>
      <c r="D91" s="10">
        <f>'Interpreted Data'!T91</f>
        <v>12.333333333333334</v>
      </c>
      <c r="E91" s="11">
        <f>IF(D91="-",IF('Interpreted Data'!U91=-90,"-V",IF('Interpreted Data'!U91=90,"+V",'Interpreted Data'!U91)),'Interpreted Data'!U91)</f>
        <v>28.5</v>
      </c>
      <c r="F91" s="18" t="str">
        <f>IF('Interpreted Data'!P91="","",CONCATENATE(";",'Interpreted Data'!P91))</f>
        <v/>
      </c>
    </row>
    <row r="92" spans="1:6" x14ac:dyDescent="0.25">
      <c r="A92" t="str">
        <f>'Interpreted Data'!A92</f>
        <v>AS</v>
      </c>
      <c r="B92" t="str">
        <f>'Interpreted Data'!B92</f>
        <v>AT</v>
      </c>
      <c r="C92" s="2">
        <f>'Interpreted Data'!J92/$G$1</f>
        <v>11.76829268292683</v>
      </c>
      <c r="D92" s="10">
        <f>'Interpreted Data'!T92</f>
        <v>349.5</v>
      </c>
      <c r="E92" s="11">
        <f>IF(D92="-",IF('Interpreted Data'!U92=-90,"-V",IF('Interpreted Data'!U92=90,"+V",'Interpreted Data'!U92)),'Interpreted Data'!U92)</f>
        <v>10.5</v>
      </c>
      <c r="F92" s="18" t="str">
        <f>IF('Interpreted Data'!P92="","",CONCATENATE(";",'Interpreted Data'!P92))</f>
        <v/>
      </c>
    </row>
    <row r="93" spans="1:6" x14ac:dyDescent="0.25">
      <c r="A93" t="str">
        <f>'Interpreted Data'!A93</f>
        <v>AT</v>
      </c>
      <c r="B93" t="str">
        <f>'Interpreted Data'!B93</f>
        <v>AU</v>
      </c>
      <c r="C93" s="2">
        <f>'Interpreted Data'!J93/$G$1</f>
        <v>7.1036585365853666</v>
      </c>
      <c r="D93" s="10">
        <f>'Interpreted Data'!T93</f>
        <v>321.66666666666669</v>
      </c>
      <c r="E93" s="11">
        <f>IF(D93="-",IF('Interpreted Data'!U93=-90,"-V",IF('Interpreted Data'!U93=90,"+V",'Interpreted Data'!U93)),'Interpreted Data'!U93)</f>
        <v>-4</v>
      </c>
      <c r="F93" s="18" t="str">
        <f>IF('Interpreted Data'!P93="","",CONCATENATE(";",'Interpreted Data'!P93))</f>
        <v/>
      </c>
    </row>
    <row r="94" spans="1:6" x14ac:dyDescent="0.25">
      <c r="A94" t="str">
        <f>'Interpreted Data'!A94</f>
        <v>AU</v>
      </c>
      <c r="B94" t="str">
        <f>'Interpreted Data'!B94</f>
        <v>AV</v>
      </c>
      <c r="C94" s="2">
        <f>'Interpreted Data'!J94/$G$1</f>
        <v>7.1036585365853666</v>
      </c>
      <c r="D94" s="10">
        <f>'Interpreted Data'!T94</f>
        <v>65.5</v>
      </c>
      <c r="E94" s="11">
        <f>IF(D94="-",IF('Interpreted Data'!U94=-90,"-V",IF('Interpreted Data'!U94=90,"+V",'Interpreted Data'!U94)),'Interpreted Data'!U94)</f>
        <v>9</v>
      </c>
      <c r="F94" s="18" t="str">
        <f>IF('Interpreted Data'!P94="","",CONCATENATE(";",'Interpreted Data'!P94))</f>
        <v/>
      </c>
    </row>
    <row r="95" spans="1:6" x14ac:dyDescent="0.25">
      <c r="A95" t="str">
        <f>'Interpreted Data'!A95</f>
        <v>AV</v>
      </c>
      <c r="B95" t="str">
        <f>'Interpreted Data'!B95</f>
        <v>AW</v>
      </c>
      <c r="C95" s="2">
        <f>'Interpreted Data'!J95/$G$1</f>
        <v>7.3475609756097571</v>
      </c>
      <c r="D95" s="10">
        <f>'Interpreted Data'!T95</f>
        <v>108.5</v>
      </c>
      <c r="E95" s="11">
        <f>IF(D95="-",IF('Interpreted Data'!U95=-90,"-V",IF('Interpreted Data'!U95=90,"+V",'Interpreted Data'!U95)),'Interpreted Data'!U95)</f>
        <v>27.5</v>
      </c>
      <c r="F95" s="18" t="str">
        <f>IF('Interpreted Data'!P95="","",CONCATENATE(";",'Interpreted Data'!P95))</f>
        <v>;AV is in middle of upper big pot.</v>
      </c>
    </row>
    <row r="96" spans="1:6" x14ac:dyDescent="0.25">
      <c r="A96" t="str">
        <f>'Interpreted Data'!A96</f>
        <v>AW</v>
      </c>
      <c r="B96" t="str">
        <f>'Interpreted Data'!B96</f>
        <v>AX</v>
      </c>
      <c r="C96" s="2">
        <f>'Interpreted Data'!J96/$G$1</f>
        <v>4.4512195121951219</v>
      </c>
      <c r="D96" s="10">
        <f>'Interpreted Data'!T96</f>
        <v>79.666666666666671</v>
      </c>
      <c r="E96" s="11">
        <f>IF(D96="-",IF('Interpreted Data'!U96=-90,"-V",IF('Interpreted Data'!U96=90,"+V",'Interpreted Data'!U96)),'Interpreted Data'!U96)</f>
        <v>23.5</v>
      </c>
      <c r="F96" s="18" t="str">
        <f>IF('Interpreted Data'!P96="","",CONCATENATE(";",'Interpreted Data'!P96))</f>
        <v/>
      </c>
    </row>
    <row r="97" spans="1:6" x14ac:dyDescent="0.25">
      <c r="A97" t="str">
        <f>'Interpreted Data'!A97</f>
        <v>AX</v>
      </c>
      <c r="B97" t="str">
        <f>'Interpreted Data'!B97</f>
        <v>AY</v>
      </c>
      <c r="C97" s="2">
        <f>'Interpreted Data'!J97/$G$1</f>
        <v>4.5731707317073171</v>
      </c>
      <c r="D97" s="10">
        <f>'Interpreted Data'!T97</f>
        <v>128</v>
      </c>
      <c r="E97" s="11">
        <f>IF(D97="-",IF('Interpreted Data'!U97=-90,"-V",IF('Interpreted Data'!U97=90,"+V",'Interpreted Data'!U97)),'Interpreted Data'!U97)</f>
        <v>13.5</v>
      </c>
      <c r="F97" s="18" t="str">
        <f>IF('Interpreted Data'!P97="","",CONCATENATE(";",'Interpreted Data'!P97))</f>
        <v>;AY is on stumpy stalagmite on cascade on E side of passage.</v>
      </c>
    </row>
    <row r="98" spans="1:6" x14ac:dyDescent="0.25">
      <c r="A98" s="18" t="str">
        <f>CONCATENATE(";",'Interpreted Data'!A98)</f>
        <v>;AY</v>
      </c>
      <c r="B98" t="str">
        <f>'Interpreted Data'!B98</f>
        <v/>
      </c>
      <c r="C98" s="2"/>
      <c r="D98" s="10"/>
      <c r="E98" s="11"/>
      <c r="F98" s="18" t="str">
        <f>IF('Interpreted Data'!P98="","",CONCATENATE(";",'Interpreted Data'!P98))</f>
        <v>;Total = 2,188'</v>
      </c>
    </row>
    <row r="99" spans="1:6" x14ac:dyDescent="0.25">
      <c r="A99" t="str">
        <f>'Interpreted Data'!A99</f>
        <v/>
      </c>
      <c r="B99" t="str">
        <f>'Interpreted Data'!B99</f>
        <v/>
      </c>
      <c r="C99" s="2"/>
      <c r="D99" s="10"/>
      <c r="E99" s="11"/>
      <c r="F99" s="18" t="str">
        <f>IF('Interpreted Data'!P99="","",CONCATENATE(";",'Interpreted Data'!P99))</f>
        <v/>
      </c>
    </row>
    <row r="100" spans="1:6" x14ac:dyDescent="0.25">
      <c r="A100" s="18" t="str">
        <f>CONCATENATE(";",'Interpreted Data'!A100)</f>
        <v>;14th August '52</v>
      </c>
      <c r="B100" t="str">
        <f>'Interpreted Data'!B100</f>
        <v>Colin</v>
      </c>
      <c r="C100" s="2"/>
      <c r="D100" s="10"/>
      <c r="E100" s="11"/>
      <c r="F100" s="18" t="str">
        <f>IF('Interpreted Data'!P100="","",CONCATENATE(";",'Interpreted Data'!P100))</f>
        <v/>
      </c>
    </row>
    <row r="101" spans="1:6" x14ac:dyDescent="0.25">
      <c r="A101">
        <f>'Interpreted Data'!A101</f>
        <v>18</v>
      </c>
      <c r="B101">
        <f>'Interpreted Data'!B101</f>
        <v>19</v>
      </c>
      <c r="C101" s="2">
        <f>'Interpreted Data'!J101/$G$1</f>
        <v>3.0792682926829271</v>
      </c>
      <c r="D101" s="10" t="str">
        <f>'Interpreted Data'!T101</f>
        <v>-</v>
      </c>
      <c r="E101" s="11" t="str">
        <f>IF(D101="-",IF('Interpreted Data'!U101=-90,"-V",IF('Interpreted Data'!U101=90,"+V",'Interpreted Data'!U101)),'Interpreted Data'!U101)</f>
        <v>-V</v>
      </c>
      <c r="F101" s="18" t="str">
        <f>IF('Interpreted Data'!P101="","",CONCATENATE(";",'Interpreted Data'!P101))</f>
        <v>;18 is in crack at top of 11 Foot Drop.</v>
      </c>
    </row>
    <row r="102" spans="1:6" x14ac:dyDescent="0.25">
      <c r="A102">
        <f>'Interpreted Data'!A102</f>
        <v>19</v>
      </c>
      <c r="B102">
        <f>'Interpreted Data'!B102</f>
        <v>20</v>
      </c>
      <c r="C102" s="2">
        <f>'Interpreted Data'!J102/$G$1</f>
        <v>2.4390243902439024</v>
      </c>
      <c r="D102" s="10">
        <f>'Interpreted Data'!T102</f>
        <v>175</v>
      </c>
      <c r="E102" s="11">
        <f>IF(D102="-",IF('Interpreted Data'!U102=-90,"-V",IF('Interpreted Data'!U102=90,"+V",'Interpreted Data'!U102)),'Interpreted Data'!U102)</f>
        <v>1</v>
      </c>
      <c r="F102" s="18" t="str">
        <f>IF('Interpreted Data'!P102="","",CONCATENATE(";",'Interpreted Data'!P102))</f>
        <v>;(sketch of 18 - 24)</v>
      </c>
    </row>
    <row r="103" spans="1:6" x14ac:dyDescent="0.25">
      <c r="A103">
        <f>'Interpreted Data'!A103</f>
        <v>20</v>
      </c>
      <c r="B103">
        <f>'Interpreted Data'!B103</f>
        <v>21</v>
      </c>
      <c r="C103" s="2">
        <f>'Interpreted Data'!J103/$G$1</f>
        <v>7.5609756097560981</v>
      </c>
      <c r="D103" s="10">
        <f>'Interpreted Data'!T103</f>
        <v>91</v>
      </c>
      <c r="E103" s="11">
        <f>IF(D103="-",IF('Interpreted Data'!U103=-90,"-V",IF('Interpreted Data'!U103=90,"+V",'Interpreted Data'!U103)),'Interpreted Data'!U103)</f>
        <v>23</v>
      </c>
      <c r="F103" s="18" t="str">
        <f>IF('Interpreted Data'!P103="","",CONCATENATE(";",'Interpreted Data'!P103))</f>
        <v/>
      </c>
    </row>
    <row r="104" spans="1:6" x14ac:dyDescent="0.25">
      <c r="A104">
        <f>'Interpreted Data'!A104</f>
        <v>21</v>
      </c>
      <c r="B104">
        <f>'Interpreted Data'!B104</f>
        <v>22</v>
      </c>
      <c r="C104" s="2">
        <f>'Interpreted Data'!J104/$G$1</f>
        <v>3.4146341463414633</v>
      </c>
      <c r="D104" s="10">
        <f>'Interpreted Data'!T104</f>
        <v>122</v>
      </c>
      <c r="E104" s="11">
        <f>IF(D104="-",IF('Interpreted Data'!U104=-90,"-V",IF('Interpreted Data'!U104=90,"+V",'Interpreted Data'!U104)),'Interpreted Data'!U104)</f>
        <v>10</v>
      </c>
      <c r="F104" s="18" t="str">
        <f>IF('Interpreted Data'!P104="","",CONCATENATE(";",'Interpreted Data'!P104))</f>
        <v/>
      </c>
    </row>
    <row r="105" spans="1:6" x14ac:dyDescent="0.25">
      <c r="A105">
        <f>'Interpreted Data'!A105</f>
        <v>22</v>
      </c>
      <c r="B105">
        <f>'Interpreted Data'!B105</f>
        <v>23</v>
      </c>
      <c r="C105" s="2">
        <f>'Interpreted Data'!J105/$G$1</f>
        <v>7.774390243902439</v>
      </c>
      <c r="D105" s="10">
        <f>'Interpreted Data'!T105</f>
        <v>172.66666666666666</v>
      </c>
      <c r="E105" s="11">
        <f>IF(D105="-",IF('Interpreted Data'!U105=-90,"-V",IF('Interpreted Data'!U105=90,"+V",'Interpreted Data'!U105)),'Interpreted Data'!U105)</f>
        <v>-9</v>
      </c>
      <c r="F105" s="18" t="str">
        <f>IF('Interpreted Data'!P105="","",CONCATENATE(";",'Interpreted Data'!P105))</f>
        <v/>
      </c>
    </row>
    <row r="106" spans="1:6" x14ac:dyDescent="0.25">
      <c r="A106">
        <f>'Interpreted Data'!A106</f>
        <v>23</v>
      </c>
      <c r="B106">
        <f>'Interpreted Data'!B106</f>
        <v>24</v>
      </c>
      <c r="C106" s="2">
        <f>'Interpreted Data'!J106/$G$1</f>
        <v>15.457317073170733</v>
      </c>
      <c r="D106" s="10">
        <f>'Interpreted Data'!T106</f>
        <v>68</v>
      </c>
      <c r="E106" s="11">
        <f>IF(D106="-",IF('Interpreted Data'!U106=-90,"-V",IF('Interpreted Data'!U106=90,"+V",'Interpreted Data'!U106)),'Interpreted Data'!U106)</f>
        <v>18</v>
      </c>
      <c r="F106" s="18" t="str">
        <f>IF('Interpreted Data'!P106="","",CONCATENATE(";",'Interpreted Data'!P106))</f>
        <v/>
      </c>
    </row>
    <row r="107" spans="1:6" x14ac:dyDescent="0.25">
      <c r="A107">
        <f>'Interpreted Data'!A107</f>
        <v>24</v>
      </c>
      <c r="B107">
        <f>'Interpreted Data'!B107</f>
        <v>25</v>
      </c>
      <c r="C107" s="2">
        <f>'Interpreted Data'!J107/$G$1</f>
        <v>4.2682926829268295</v>
      </c>
      <c r="D107" s="10">
        <f>'Interpreted Data'!T107</f>
        <v>46</v>
      </c>
      <c r="E107" s="11">
        <f>IF(D107="-",IF('Interpreted Data'!U107=-90,"-V",IF('Interpreted Data'!U107=90,"+V",'Interpreted Data'!U107)),'Interpreted Data'!U107)</f>
        <v>-46</v>
      </c>
      <c r="F107" s="18" t="str">
        <f>IF('Interpreted Data'!P107="","",CONCATENATE(";",'Interpreted Data'!P107))</f>
        <v>;(sketch of 24 - 35)</v>
      </c>
    </row>
    <row r="108" spans="1:6" x14ac:dyDescent="0.25">
      <c r="A108">
        <f>'Interpreted Data'!A108</f>
        <v>25</v>
      </c>
      <c r="B108">
        <f>'Interpreted Data'!B108</f>
        <v>26</v>
      </c>
      <c r="C108" s="2">
        <f>'Interpreted Data'!J108/$G$1</f>
        <v>4.6646341463414638</v>
      </c>
      <c r="D108" s="10">
        <f>'Interpreted Data'!T108</f>
        <v>113</v>
      </c>
      <c r="E108" s="11">
        <f>IF(D108="-",IF('Interpreted Data'!U108=-90,"-V",IF('Interpreted Data'!U108=90,"+V",'Interpreted Data'!U108)),'Interpreted Data'!U108)</f>
        <v>-43</v>
      </c>
      <c r="F108" s="18" t="str">
        <f>IF('Interpreted Data'!P108="","",CONCATENATE(";",'Interpreted Data'!P108))</f>
        <v/>
      </c>
    </row>
    <row r="109" spans="1:6" x14ac:dyDescent="0.25">
      <c r="A109">
        <f>'Interpreted Data'!A109</f>
        <v>26</v>
      </c>
      <c r="B109">
        <f>'Interpreted Data'!B109</f>
        <v>27</v>
      </c>
      <c r="C109" s="2">
        <f>'Interpreted Data'!J109/$G$1</f>
        <v>7.0731707317073171</v>
      </c>
      <c r="D109" s="10">
        <f>'Interpreted Data'!T109</f>
        <v>61</v>
      </c>
      <c r="E109" s="11">
        <f>IF(D109="-",IF('Interpreted Data'!U109=-90,"-V",IF('Interpreted Data'!U109=90,"+V",'Interpreted Data'!U109)),'Interpreted Data'!U109)</f>
        <v>-55</v>
      </c>
      <c r="F109" s="18" t="str">
        <f>IF('Interpreted Data'!P109="","",CONCATENATE(";",'Interpreted Data'!P109))</f>
        <v/>
      </c>
    </row>
    <row r="110" spans="1:6" x14ac:dyDescent="0.25">
      <c r="A110">
        <f>'Interpreted Data'!A110</f>
        <v>27</v>
      </c>
      <c r="B110">
        <f>'Interpreted Data'!B110</f>
        <v>28</v>
      </c>
      <c r="C110" s="2">
        <f>'Interpreted Data'!J110/$G$1</f>
        <v>7.7134146341463419</v>
      </c>
      <c r="D110" s="10">
        <f>'Interpreted Data'!T110</f>
        <v>195.5</v>
      </c>
      <c r="E110" s="11">
        <f>IF(D110="-",IF('Interpreted Data'!U110=-90,"-V",IF('Interpreted Data'!U110=90,"+V",'Interpreted Data'!U110)),'Interpreted Data'!U110)</f>
        <v>-24.5</v>
      </c>
      <c r="F110" s="18" t="str">
        <f>IF('Interpreted Data'!P110="","",CONCATENATE(";",'Interpreted Data'!P110))</f>
        <v/>
      </c>
    </row>
    <row r="111" spans="1:6" x14ac:dyDescent="0.25">
      <c r="A111">
        <f>'Interpreted Data'!A111</f>
        <v>28</v>
      </c>
      <c r="B111">
        <f>'Interpreted Data'!B111</f>
        <v>29</v>
      </c>
      <c r="C111" s="2">
        <f>'Interpreted Data'!J111/$G$1</f>
        <v>15.548780487804878</v>
      </c>
      <c r="D111" s="10">
        <f>'Interpreted Data'!T111</f>
        <v>242</v>
      </c>
      <c r="E111" s="11">
        <f>IF(D111="-",IF('Interpreted Data'!U111=-90,"-V",IF('Interpreted Data'!U111=90,"+V",'Interpreted Data'!U111)),'Interpreted Data'!U111)</f>
        <v>-23.5</v>
      </c>
      <c r="F111" s="18" t="str">
        <f>IF('Interpreted Data'!P111="","",CONCATENATE(";",'Interpreted Data'!P111))</f>
        <v/>
      </c>
    </row>
    <row r="112" spans="1:6" x14ac:dyDescent="0.25">
      <c r="A112">
        <f>'Interpreted Data'!A112</f>
        <v>29</v>
      </c>
      <c r="B112">
        <f>'Interpreted Data'!B112</f>
        <v>30</v>
      </c>
      <c r="C112" s="2">
        <f>'Interpreted Data'!J112/$G$1</f>
        <v>4.1768292682926829</v>
      </c>
      <c r="D112" s="10">
        <f>'Interpreted Data'!T112</f>
        <v>160</v>
      </c>
      <c r="E112" s="11">
        <f>IF(D112="-",IF('Interpreted Data'!U112=-90,"-V",IF('Interpreted Data'!U112=90,"+V",'Interpreted Data'!U112)),'Interpreted Data'!U112)</f>
        <v>-3</v>
      </c>
      <c r="F112" s="18" t="str">
        <f>IF('Interpreted Data'!P112="","",CONCATENATE(";",'Interpreted Data'!P112))</f>
        <v/>
      </c>
    </row>
    <row r="113" spans="1:6" x14ac:dyDescent="0.25">
      <c r="A113">
        <f>'Interpreted Data'!A113</f>
        <v>30</v>
      </c>
      <c r="B113">
        <f>'Interpreted Data'!B113</f>
        <v>31</v>
      </c>
      <c r="C113" s="2">
        <f>'Interpreted Data'!J113/$G$1</f>
        <v>7.7439024390243905</v>
      </c>
      <c r="D113" s="10">
        <f>'Interpreted Data'!T113</f>
        <v>239</v>
      </c>
      <c r="E113" s="11">
        <f>IF(D113="-",IF('Interpreted Data'!U113=-90,"-V",IF('Interpreted Data'!U113=90,"+V",'Interpreted Data'!U113)),'Interpreted Data'!U113)</f>
        <v>-19</v>
      </c>
      <c r="F113" s="18" t="str">
        <f>IF('Interpreted Data'!P113="","",CONCATENATE(";",'Interpreted Data'!P113))</f>
        <v/>
      </c>
    </row>
    <row r="114" spans="1:6" x14ac:dyDescent="0.25">
      <c r="A114">
        <f>'Interpreted Data'!A114</f>
        <v>31</v>
      </c>
      <c r="B114">
        <f>'Interpreted Data'!B114</f>
        <v>32</v>
      </c>
      <c r="C114" s="2">
        <f>'Interpreted Data'!J114/$G$1</f>
        <v>3.4146341463414633</v>
      </c>
      <c r="D114" s="10">
        <f>'Interpreted Data'!T114</f>
        <v>286</v>
      </c>
      <c r="E114" s="11">
        <f>IF(D114="-",IF('Interpreted Data'!U114=-90,"-V",IF('Interpreted Data'!U114=90,"+V",'Interpreted Data'!U114)),'Interpreted Data'!U114)</f>
        <v>-5.1225160997809072</v>
      </c>
      <c r="F114" s="18" t="str">
        <f>IF('Interpreted Data'!P114="","",CONCATENATE(";",'Interpreted Data'!P114))</f>
        <v/>
      </c>
    </row>
    <row r="115" spans="1:6" x14ac:dyDescent="0.25">
      <c r="A115">
        <f>'Interpreted Data'!A115</f>
        <v>32</v>
      </c>
      <c r="B115">
        <f>'Interpreted Data'!B115</f>
        <v>33</v>
      </c>
      <c r="C115" s="2">
        <f>'Interpreted Data'!J115/$G$1</f>
        <v>4.2987804878048781</v>
      </c>
      <c r="D115" s="10">
        <f>'Interpreted Data'!T115</f>
        <v>182</v>
      </c>
      <c r="E115" s="11">
        <f>IF(D115="-",IF('Interpreted Data'!U115=-90,"-V",IF('Interpreted Data'!U115=90,"+V",'Interpreted Data'!U115)),'Interpreted Data'!U115)</f>
        <v>-9</v>
      </c>
      <c r="F115" s="18" t="str">
        <f>IF('Interpreted Data'!P115="","",CONCATENATE(";",'Interpreted Data'!P115))</f>
        <v/>
      </c>
    </row>
    <row r="116" spans="1:6" x14ac:dyDescent="0.25">
      <c r="A116">
        <f>'Interpreted Data'!A116</f>
        <v>33</v>
      </c>
      <c r="B116">
        <f>'Interpreted Data'!B116</f>
        <v>34</v>
      </c>
      <c r="C116" s="2">
        <f>'Interpreted Data'!J116/$G$1</f>
        <v>5.131016947905227</v>
      </c>
      <c r="D116" s="10">
        <f>'Interpreted Data'!T116</f>
        <v>159</v>
      </c>
      <c r="E116" s="11">
        <f>IF(D116="-",IF('Interpreted Data'!U116=-90,"-V",IF('Interpreted Data'!U116=90,"+V",'Interpreted Data'!U116)),'Interpreted Data'!U116)</f>
        <v>3.4064437549947186</v>
      </c>
      <c r="F116" s="18" t="str">
        <f>IF('Interpreted Data'!P116="","",CONCATENATE(";",'Interpreted Data'!P116))</f>
        <v/>
      </c>
    </row>
    <row r="117" spans="1:6" x14ac:dyDescent="0.25">
      <c r="A117">
        <f>'Interpreted Data'!A117</f>
        <v>34</v>
      </c>
      <c r="B117">
        <f>'Interpreted Data'!B117</f>
        <v>35</v>
      </c>
      <c r="C117" s="2">
        <f>'Interpreted Data'!J117/$G$1</f>
        <v>4.2378048780487809</v>
      </c>
      <c r="D117" s="10">
        <f>'Interpreted Data'!T117</f>
        <v>161</v>
      </c>
      <c r="E117" s="11">
        <f>IF(D117="-",IF('Interpreted Data'!U117=-90,"-V",IF('Interpreted Data'!U117=90,"+V",'Interpreted Data'!U117)),'Interpreted Data'!U117)</f>
        <v>-12.5</v>
      </c>
      <c r="F117" s="18" t="str">
        <f>IF('Interpreted Data'!P117="","",CONCATENATE(";",'Interpreted Data'!P117))</f>
        <v>;35 = A on p.25 = Big rock by D on p.46 (Top of)</v>
      </c>
    </row>
    <row r="118" spans="1:6" x14ac:dyDescent="0.25">
      <c r="A118" s="18" t="str">
        <f>CONCATENATE(";",'Interpreted Data'!A118)</f>
        <v>;35</v>
      </c>
      <c r="C118" s="2"/>
      <c r="D118" s="10"/>
      <c r="E118" s="11"/>
      <c r="F118" s="18" t="str">
        <f>IF('Interpreted Data'!P118="","",CONCATENATE(";",'Interpreted Data'!P118))</f>
        <v>;Total = 2,642'</v>
      </c>
    </row>
    <row r="119" spans="1:6" x14ac:dyDescent="0.25">
      <c r="A119">
        <f>'Interpreted Data'!A119</f>
        <v>35</v>
      </c>
      <c r="B119" t="str">
        <f>CONCATENATE('Interpreted Data'!B119,"2")</f>
        <v>e2</v>
      </c>
      <c r="C119" s="2">
        <f>'Interpreted Data'!J119/$G$1</f>
        <v>5.4878048780487809</v>
      </c>
      <c r="D119" s="10">
        <f>'Interpreted Data'!T119</f>
        <v>234</v>
      </c>
      <c r="E119" s="11">
        <f>IF(D119="-",IF('Interpreted Data'!U119=-90,"-V",IF('Interpreted Data'!U119=90,"+V",'Interpreted Data'!U119)),'Interpreted Data'!U119)</f>
        <v>45</v>
      </c>
      <c r="F119" s="18" t="str">
        <f>IF('Interpreted Data'!P119="","",CONCATENATE(";",'Interpreted Data'!P119))</f>
        <v>;(e) is where passage rejoins streamway. Stn 35 (p.52)-(e) is F.S. 234 (TRUE), Dist 18', Clino +45 (deg), HD 12.7, VD +12.7</v>
      </c>
    </row>
    <row r="120" spans="1:6" x14ac:dyDescent="0.25">
      <c r="A120">
        <f>'Interpreted Data'!A120</f>
        <v>35</v>
      </c>
      <c r="B120" t="str">
        <f>'Interpreted Data'!B120</f>
        <v>D</v>
      </c>
      <c r="C120" s="2">
        <f>'Interpreted Data'!J120/$G$1</f>
        <v>3.0487804878048781</v>
      </c>
      <c r="D120" s="10">
        <f>'Interpreted Data'!T120</f>
        <v>170</v>
      </c>
      <c r="E120" s="11">
        <f>IF(D120="-",IF('Interpreted Data'!U120=-90,"-V",IF('Interpreted Data'!U120=90,"+V",'Interpreted Data'!U120)),'Interpreted Data'!U120)</f>
        <v>0</v>
      </c>
      <c r="F120" s="18" t="str">
        <f>IF('Interpreted Data'!P120="","",CONCATENATE(";",'Interpreted Data'!P120))</f>
        <v>;D is in stream. Big rock (start of New Series survey) 10' away at 350 (deg). Big passage starts as continuation of Howards Dig.</v>
      </c>
    </row>
    <row r="121" spans="1:6" x14ac:dyDescent="0.25">
      <c r="A121" t="str">
        <f>'Interpreted Data'!A121</f>
        <v/>
      </c>
      <c r="B121" t="str">
        <f>'Interpreted Data'!B121</f>
        <v/>
      </c>
      <c r="C121" s="2"/>
      <c r="D121" s="10"/>
      <c r="E121" s="11"/>
      <c r="F121" s="18" t="str">
        <f>IF('Interpreted Data'!P121="","",CONCATENATE(";",'Interpreted Data'!P121))</f>
        <v/>
      </c>
    </row>
    <row r="122" spans="1:6" x14ac:dyDescent="0.25">
      <c r="A122" s="18" t="str">
        <f>CONCATENATE(";",'Interpreted Data'!A122)</f>
        <v>;p. 53-56</v>
      </c>
      <c r="B122" t="str">
        <f>'Interpreted Data'!B122</f>
        <v>(=PDF p.57-60)</v>
      </c>
      <c r="C122" s="2"/>
      <c r="D122" s="10"/>
      <c r="E122" s="11"/>
      <c r="F122" s="18" t="str">
        <f>IF('Interpreted Data'!P122="","",CONCATENATE(";",'Interpreted Data'!P122))</f>
        <v/>
      </c>
    </row>
    <row r="123" spans="1:6" x14ac:dyDescent="0.25">
      <c r="A123">
        <f>'Interpreted Data'!A123</f>
        <v>27</v>
      </c>
      <c r="B123">
        <f>'Interpreted Data'!B123</f>
        <v>36</v>
      </c>
      <c r="C123" s="2">
        <f>'Interpreted Data'!J123/$G$1</f>
        <v>1.8292682926829269</v>
      </c>
      <c r="D123" s="10" t="str">
        <f>'Interpreted Data'!T123</f>
        <v>-</v>
      </c>
      <c r="E123" s="11" t="str">
        <f>IF(D123="-",IF('Interpreted Data'!U123=-90,"-V",IF('Interpreted Data'!U123=90,"+V",'Interpreted Data'!U123)),'Interpreted Data'!U123)</f>
        <v>+V</v>
      </c>
      <c r="F123" s="18" t="str">
        <f>IF('Interpreted Data'!P123="","",CONCATENATE(";",'Interpreted Data'!P123))</f>
        <v>;27 = 27 of p.52</v>
      </c>
    </row>
    <row r="124" spans="1:6" x14ac:dyDescent="0.25">
      <c r="A124">
        <f>'Interpreted Data'!A124</f>
        <v>36</v>
      </c>
      <c r="B124">
        <f>'Interpreted Data'!B124</f>
        <v>37</v>
      </c>
      <c r="C124" s="2">
        <f>'Interpreted Data'!J124/$G$1</f>
        <v>8.963414634146341</v>
      </c>
      <c r="D124" s="10">
        <f>'Interpreted Data'!T124</f>
        <v>338</v>
      </c>
      <c r="E124" s="11">
        <f>IF(D124="-",IF('Interpreted Data'!U124=-90,"-V",IF('Interpreted Data'!U124=90,"+V",'Interpreted Data'!U124)),'Interpreted Data'!U124)</f>
        <v>12.5</v>
      </c>
      <c r="F124" s="18" t="str">
        <f>IF('Interpreted Data'!P124="","",CONCATENATE(";",'Interpreted Data'!P124))</f>
        <v/>
      </c>
    </row>
    <row r="125" spans="1:6" x14ac:dyDescent="0.25">
      <c r="A125">
        <f>'Interpreted Data'!A125</f>
        <v>37</v>
      </c>
      <c r="B125">
        <f>'Interpreted Data'!B125</f>
        <v>38</v>
      </c>
      <c r="C125" s="2">
        <f>'Interpreted Data'!J125/$G$1</f>
        <v>3.6890243902439024</v>
      </c>
      <c r="D125" s="10">
        <f>'Interpreted Data'!T125</f>
        <v>11</v>
      </c>
      <c r="E125" s="11">
        <f>IF(D125="-",IF('Interpreted Data'!U125=-90,"-V",IF('Interpreted Data'!U125=90,"+V",'Interpreted Data'!U125)),'Interpreted Data'!U125)</f>
        <v>-38</v>
      </c>
      <c r="F125" s="18" t="str">
        <f>IF('Interpreted Data'!P125="","",CONCATENATE(";",'Interpreted Data'!P125))</f>
        <v>;(sketch of 36-54)</v>
      </c>
    </row>
    <row r="126" spans="1:6" x14ac:dyDescent="0.25">
      <c r="A126">
        <f>'Interpreted Data'!A126</f>
        <v>38</v>
      </c>
      <c r="B126">
        <f>'Interpreted Data'!B126</f>
        <v>39</v>
      </c>
      <c r="C126" s="2">
        <f>'Interpreted Data'!J126/$G$1</f>
        <v>9.2073170731707314</v>
      </c>
      <c r="D126" s="10">
        <f>'Interpreted Data'!T126</f>
        <v>102</v>
      </c>
      <c r="E126" s="11">
        <f>IF(D126="-",IF('Interpreted Data'!U126=-90,"-V",IF('Interpreted Data'!U126=90,"+V",'Interpreted Data'!U126)),'Interpreted Data'!U126)</f>
        <v>16.5</v>
      </c>
      <c r="F126" s="18" t="str">
        <f>IF('Interpreted Data'!P126="","",CONCATENATE(";",'Interpreted Data'!P126))</f>
        <v/>
      </c>
    </row>
    <row r="127" spans="1:6" x14ac:dyDescent="0.25">
      <c r="A127">
        <f>'Interpreted Data'!A127</f>
        <v>39</v>
      </c>
      <c r="B127">
        <f>'Interpreted Data'!B127</f>
        <v>40</v>
      </c>
      <c r="C127" s="2">
        <f>'Interpreted Data'!J127/$G$1</f>
        <v>4.5731707317073171</v>
      </c>
      <c r="D127" s="10">
        <f>'Interpreted Data'!T127</f>
        <v>63.5</v>
      </c>
      <c r="E127" s="11">
        <f>IF(D127="-",IF('Interpreted Data'!U127=-90,"-V",IF('Interpreted Data'!U127=90,"+V",'Interpreted Data'!U127)),'Interpreted Data'!U127)</f>
        <v>27</v>
      </c>
      <c r="F127" s="18" t="str">
        <f>IF('Interpreted Data'!P127="","",CONCATENATE(";",'Interpreted Data'!P127))</f>
        <v/>
      </c>
    </row>
    <row r="128" spans="1:6" x14ac:dyDescent="0.25">
      <c r="A128">
        <f>'Interpreted Data'!A128</f>
        <v>40</v>
      </c>
      <c r="B128">
        <f>'Interpreted Data'!B128</f>
        <v>41</v>
      </c>
      <c r="C128" s="2">
        <f>'Interpreted Data'!J128/$G$1</f>
        <v>7.4390243902439028</v>
      </c>
      <c r="D128" s="10">
        <f>'Interpreted Data'!T128</f>
        <v>104</v>
      </c>
      <c r="E128" s="11">
        <f>IF(D128="-",IF('Interpreted Data'!U128=-90,"-V",IF('Interpreted Data'!U128=90,"+V",'Interpreted Data'!U128)),'Interpreted Data'!U128)</f>
        <v>13.5</v>
      </c>
      <c r="F128" s="18" t="str">
        <f>IF('Interpreted Data'!P128="","",CONCATENATE(";",'Interpreted Data'!P128))</f>
        <v/>
      </c>
    </row>
    <row r="129" spans="1:6" x14ac:dyDescent="0.25">
      <c r="A129">
        <f>'Interpreted Data'!A129</f>
        <v>41</v>
      </c>
      <c r="B129">
        <f>'Interpreted Data'!B129</f>
        <v>42</v>
      </c>
      <c r="C129" s="2">
        <f>'Interpreted Data'!J129/$G$1</f>
        <v>5.9451219512195124</v>
      </c>
      <c r="D129" s="10">
        <f>'Interpreted Data'!T129</f>
        <v>83</v>
      </c>
      <c r="E129" s="11">
        <f>IF(D129="-",IF('Interpreted Data'!U129=-90,"-V",IF('Interpreted Data'!U129=90,"+V",'Interpreted Data'!U129)),'Interpreted Data'!U129)</f>
        <v>10.5</v>
      </c>
      <c r="F129" s="18" t="str">
        <f>IF('Interpreted Data'!P129="","",CONCATENATE(";",'Interpreted Data'!P129))</f>
        <v/>
      </c>
    </row>
    <row r="130" spans="1:6" x14ac:dyDescent="0.25">
      <c r="A130">
        <f>'Interpreted Data'!A130</f>
        <v>42</v>
      </c>
      <c r="B130">
        <f>'Interpreted Data'!B130</f>
        <v>43</v>
      </c>
      <c r="C130" s="2">
        <f>'Interpreted Data'!J130/$G$1</f>
        <v>4.51219512195122</v>
      </c>
      <c r="D130" s="10">
        <f>'Interpreted Data'!T130</f>
        <v>116.5</v>
      </c>
      <c r="E130" s="11">
        <f>IF(D130="-",IF('Interpreted Data'!U130=-90,"-V",IF('Interpreted Data'!U130=90,"+V",'Interpreted Data'!U130)),'Interpreted Data'!U130)</f>
        <v>14.5</v>
      </c>
      <c r="F130" s="18" t="str">
        <f>IF('Interpreted Data'!P130="","",CONCATENATE(";",'Interpreted Data'!P130))</f>
        <v/>
      </c>
    </row>
    <row r="131" spans="1:6" x14ac:dyDescent="0.25">
      <c r="A131">
        <f>'Interpreted Data'!A131</f>
        <v>43</v>
      </c>
      <c r="B131">
        <f>'Interpreted Data'!B131</f>
        <v>44</v>
      </c>
      <c r="C131" s="2">
        <f>'Interpreted Data'!J131/$G$1</f>
        <v>15.030487804878049</v>
      </c>
      <c r="D131" s="10">
        <f>'Interpreted Data'!T131</f>
        <v>74.5</v>
      </c>
      <c r="E131" s="11">
        <f>IF(D131="-",IF('Interpreted Data'!U131=-90,"-V",IF('Interpreted Data'!U131=90,"+V",'Interpreted Data'!U131)),'Interpreted Data'!U131)</f>
        <v>23</v>
      </c>
      <c r="F131" s="18" t="str">
        <f>IF('Interpreted Data'!P131="","",CONCATENATE(";",'Interpreted Data'!P131))</f>
        <v/>
      </c>
    </row>
    <row r="132" spans="1:6" x14ac:dyDescent="0.25">
      <c r="A132">
        <f>'Interpreted Data'!A132</f>
        <v>44</v>
      </c>
      <c r="B132">
        <f>'Interpreted Data'!B132</f>
        <v>45</v>
      </c>
      <c r="C132" s="2">
        <f>'Interpreted Data'!J132/$G$1</f>
        <v>2.225609756097561</v>
      </c>
      <c r="D132" s="10">
        <f>'Interpreted Data'!T132</f>
        <v>157</v>
      </c>
      <c r="E132" s="11">
        <f>IF(D132="-",IF('Interpreted Data'!U132=-90,"-V",IF('Interpreted Data'!U132=90,"+V",'Interpreted Data'!U132)),'Interpreted Data'!U132)</f>
        <v>5</v>
      </c>
      <c r="F132" s="18" t="str">
        <f>IF('Interpreted Data'!P132="","",CONCATENATE(";",'Interpreted Data'!P132))</f>
        <v/>
      </c>
    </row>
    <row r="133" spans="1:6" x14ac:dyDescent="0.25">
      <c r="A133">
        <f>'Interpreted Data'!A133</f>
        <v>45</v>
      </c>
      <c r="B133">
        <f>'Interpreted Data'!B133</f>
        <v>46</v>
      </c>
      <c r="C133" s="2">
        <f>'Interpreted Data'!J133/$G$1</f>
        <v>4.9390243902439028</v>
      </c>
      <c r="D133" s="10">
        <f>'Interpreted Data'!T133</f>
        <v>117</v>
      </c>
      <c r="E133" s="11">
        <f>IF(D133="-",IF('Interpreted Data'!U133=-90,"-V",IF('Interpreted Data'!U133=90,"+V",'Interpreted Data'!U133)),'Interpreted Data'!U133)</f>
        <v>-31</v>
      </c>
      <c r="F133" s="18" t="str">
        <f>IF('Interpreted Data'!P133="","",CONCATENATE(";",'Interpreted Data'!P133))</f>
        <v/>
      </c>
    </row>
    <row r="134" spans="1:6" x14ac:dyDescent="0.25">
      <c r="A134">
        <f>'Interpreted Data'!A134</f>
        <v>46</v>
      </c>
      <c r="B134">
        <f>'Interpreted Data'!B134</f>
        <v>47</v>
      </c>
      <c r="C134" s="2">
        <f>'Interpreted Data'!J134/$G$1</f>
        <v>10.670731707317074</v>
      </c>
      <c r="D134" s="10" t="str">
        <f>'Interpreted Data'!T134</f>
        <v>-</v>
      </c>
      <c r="E134" s="11" t="str">
        <f>IF(D134="-",IF('Interpreted Data'!U134=-90,"-V",IF('Interpreted Data'!U134=90,"+V",'Interpreted Data'!U134)),'Interpreted Data'!U134)</f>
        <v>-V</v>
      </c>
      <c r="F134" s="18" t="str">
        <f>IF('Interpreted Data'!P134="","",CONCATENATE(";",'Interpreted Data'!P134))</f>
        <v>;46 marked by candle 4' beyond lip of Black Hole</v>
      </c>
    </row>
    <row r="135" spans="1:6" x14ac:dyDescent="0.25">
      <c r="A135">
        <f>'Interpreted Data'!A135</f>
        <v>47</v>
      </c>
      <c r="B135">
        <f>'Interpreted Data'!B135</f>
        <v>48</v>
      </c>
      <c r="C135" s="2">
        <f>'Interpreted Data'!J135/$G$1</f>
        <v>7.1951219512195133</v>
      </c>
      <c r="D135" s="10">
        <f>'Interpreted Data'!T135</f>
        <v>128</v>
      </c>
      <c r="E135" s="11">
        <f>IF(D135="-",IF('Interpreted Data'!U135=-90,"-V",IF('Interpreted Data'!U135=90,"+V",'Interpreted Data'!U135)),'Interpreted Data'!U135)</f>
        <v>8</v>
      </c>
      <c r="F135" s="18" t="str">
        <f>IF('Interpreted Data'!P135="","",CONCATENATE(";",'Interpreted Data'!P135))</f>
        <v/>
      </c>
    </row>
    <row r="136" spans="1:6" x14ac:dyDescent="0.25">
      <c r="A136">
        <f>'Interpreted Data'!A136</f>
        <v>48</v>
      </c>
      <c r="B136">
        <f>'Interpreted Data'!B136</f>
        <v>49</v>
      </c>
      <c r="C136" s="2">
        <f>'Interpreted Data'!J136/$G$1</f>
        <v>8.3841463414634152</v>
      </c>
      <c r="D136" s="10">
        <f>'Interpreted Data'!T136</f>
        <v>163.5</v>
      </c>
      <c r="E136" s="11">
        <f>IF(D136="-",IF('Interpreted Data'!U136=-90,"-V",IF('Interpreted Data'!U136=90,"+V",'Interpreted Data'!U136)),'Interpreted Data'!U136)</f>
        <v>-34.5</v>
      </c>
      <c r="F136" s="18" t="str">
        <f>IF('Interpreted Data'!P136="","",CONCATENATE(";",'Interpreted Data'!P136))</f>
        <v/>
      </c>
    </row>
    <row r="137" spans="1:6" x14ac:dyDescent="0.25">
      <c r="A137">
        <f>'Interpreted Data'!A137</f>
        <v>49</v>
      </c>
      <c r="B137">
        <f>'Interpreted Data'!B137</f>
        <v>50</v>
      </c>
      <c r="C137" s="2">
        <f>'Interpreted Data'!J137/$G$1</f>
        <v>7.1646341463414638</v>
      </c>
      <c r="D137" s="10">
        <f>'Interpreted Data'!T137</f>
        <v>200</v>
      </c>
      <c r="E137" s="11">
        <f>IF(D137="-",IF('Interpreted Data'!U137=-90,"-V",IF('Interpreted Data'!U137=90,"+V",'Interpreted Data'!U137)),'Interpreted Data'!U137)</f>
        <v>-5</v>
      </c>
      <c r="F137" s="18" t="str">
        <f>IF('Interpreted Data'!P137="","",CONCATENATE(";",'Interpreted Data'!P137))</f>
        <v/>
      </c>
    </row>
    <row r="138" spans="1:6" x14ac:dyDescent="0.25">
      <c r="A138">
        <f>'Interpreted Data'!A138</f>
        <v>50</v>
      </c>
      <c r="B138">
        <f>'Interpreted Data'!B138</f>
        <v>51</v>
      </c>
      <c r="C138" s="2">
        <f>'Interpreted Data'!J138/$G$1</f>
        <v>5.1524390243902438</v>
      </c>
      <c r="D138" s="10">
        <f>'Interpreted Data'!T138</f>
        <v>186</v>
      </c>
      <c r="E138" s="11">
        <f>IF(D138="-",IF('Interpreted Data'!U138=-90,"-V",IF('Interpreted Data'!U138=90,"+V",'Interpreted Data'!U138)),'Interpreted Data'!U138)</f>
        <v>-17.5</v>
      </c>
      <c r="F138" s="18" t="str">
        <f>IF('Interpreted Data'!P138="","",CONCATENATE(";",'Interpreted Data'!P138))</f>
        <v>;"Dry" passage starts 3' back.</v>
      </c>
    </row>
    <row r="139" spans="1:6" x14ac:dyDescent="0.25">
      <c r="A139">
        <f>'Interpreted Data'!A139</f>
        <v>51</v>
      </c>
      <c r="B139">
        <f>'Interpreted Data'!B139</f>
        <v>52</v>
      </c>
      <c r="C139" s="2">
        <f>'Interpreted Data'!J139/$G$1</f>
        <v>15.091463414634147</v>
      </c>
      <c r="D139" s="10">
        <f>'Interpreted Data'!T139</f>
        <v>282.5</v>
      </c>
      <c r="E139" s="11">
        <f>IF(D139="-",IF('Interpreted Data'!U139=-90,"-V",IF('Interpreted Data'!U139=90,"+V",'Interpreted Data'!U139)),'Interpreted Data'!U139)</f>
        <v>-20.5</v>
      </c>
      <c r="F139" s="18" t="str">
        <f>IF('Interpreted Data'!P139="","",CONCATENATE(";",'Interpreted Data'!P139))</f>
        <v/>
      </c>
    </row>
    <row r="140" spans="1:6" x14ac:dyDescent="0.25">
      <c r="A140">
        <f>'Interpreted Data'!A140</f>
        <v>52</v>
      </c>
      <c r="B140">
        <f>'Interpreted Data'!B140</f>
        <v>53</v>
      </c>
      <c r="C140" s="2">
        <f>'Interpreted Data'!J140/$G$1</f>
        <v>15.609756097560977</v>
      </c>
      <c r="D140" s="10">
        <f>'Interpreted Data'!T140</f>
        <v>264</v>
      </c>
      <c r="E140" s="11">
        <f>IF(D140="-",IF('Interpreted Data'!U140=-90,"-V",IF('Interpreted Data'!U140=90,"+V",'Interpreted Data'!U140)),'Interpreted Data'!U140)</f>
        <v>-12.5</v>
      </c>
      <c r="F140" s="18" t="str">
        <f>IF('Interpreted Data'!P140="","",CONCATENATE(";",'Interpreted Data'!P140))</f>
        <v/>
      </c>
    </row>
    <row r="141" spans="1:6" x14ac:dyDescent="0.25">
      <c r="A141">
        <f>'Interpreted Data'!A141</f>
        <v>53</v>
      </c>
      <c r="B141">
        <f>'Interpreted Data'!B141</f>
        <v>54</v>
      </c>
      <c r="C141" s="2">
        <f>'Interpreted Data'!J141/$G$1</f>
        <v>4.192932284473156</v>
      </c>
      <c r="D141" s="10">
        <f>'Interpreted Data'!T141</f>
        <v>175</v>
      </c>
      <c r="E141" s="11">
        <f>IF(D141="-",IF('Interpreted Data'!U141=-90,"-V",IF('Interpreted Data'!U141=90,"+V",'Interpreted Data'!U141)),'Interpreted Data'!U141)</f>
        <v>-14.743562836470735</v>
      </c>
      <c r="F141" s="18" t="str">
        <f>IF('Interpreted Data'!P141="","",CONCATENATE(";",'Interpreted Data'!P141))</f>
        <v>;Dry passage enters 2' on North. 53 is marked by a candle 1' below (.) on roof. 54 is H2O level in sump.</v>
      </c>
    </row>
    <row r="142" spans="1:6" x14ac:dyDescent="0.25">
      <c r="A142" s="18" t="str">
        <f>CONCATENATE(";",'Interpreted Data'!A142)</f>
        <v>;54</v>
      </c>
      <c r="B142" t="str">
        <f>'Interpreted Data'!B142</f>
        <v/>
      </c>
      <c r="C142" s="2"/>
      <c r="D142" s="10"/>
      <c r="E142" s="11"/>
      <c r="F142" s="18" t="str">
        <f>IF('Interpreted Data'!P142="","",CONCATENATE(";",'Interpreted Data'!P142))</f>
        <v>;Closed on levels to 1.9 feet.  Not bad! Total 2,208 (? faint)</v>
      </c>
    </row>
    <row r="143" spans="1:6" x14ac:dyDescent="0.25">
      <c r="A143" t="str">
        <f>'Interpreted Data'!A143</f>
        <v/>
      </c>
      <c r="B143" t="str">
        <f>'Interpreted Data'!B143</f>
        <v/>
      </c>
      <c r="C143" s="2"/>
      <c r="D143" s="10"/>
      <c r="E143" s="11"/>
      <c r="F143" s="18" t="str">
        <f>IF('Interpreted Data'!P143="","",CONCATENATE(";",'Interpreted Data'!P143))</f>
        <v/>
      </c>
    </row>
    <row r="144" spans="1:6" x14ac:dyDescent="0.25">
      <c r="A144" s="18" t="str">
        <f>CONCATENATE(";",'Interpreted Data'!A144)</f>
        <v>;Nov. 23rd '52</v>
      </c>
      <c r="B144" t="str">
        <f>'Interpreted Data'!B144</f>
        <v>Jack Broadley</v>
      </c>
      <c r="C144" s="2"/>
      <c r="D144" s="10"/>
      <c r="E144" s="11"/>
      <c r="F144" s="18" t="str">
        <f>IF('Interpreted Data'!P144="","",CONCATENATE(";",'Interpreted Data'!P144))</f>
        <v/>
      </c>
    </row>
    <row r="145" spans="1:6" x14ac:dyDescent="0.25">
      <c r="A145" t="str">
        <f>'Interpreted Data'!A145</f>
        <v>EC</v>
      </c>
      <c r="B145" t="str">
        <f>'Interpreted Data'!B145</f>
        <v>EB</v>
      </c>
      <c r="C145" s="2">
        <f>'Interpreted Data'!J145/$G$1</f>
        <v>3.6585365853658538</v>
      </c>
      <c r="D145" s="10">
        <f>'Interpreted Data'!T145</f>
        <v>283</v>
      </c>
      <c r="E145" s="11">
        <f>IF(D145="-",IF('Interpreted Data'!U145=-90,"-V",IF('Interpreted Data'!U145=90,"+V",'Interpreted Data'!U145)),'Interpreted Data'!U145)</f>
        <v>-6</v>
      </c>
      <c r="F145" s="18" t="str">
        <f>IF('Interpreted Data'!P145="","",CONCATENATE(";",'Interpreted Data'!P145))</f>
        <v>;EC is on dimple in projecting rock 10' below entrance on E.</v>
      </c>
    </row>
    <row r="146" spans="1:6" x14ac:dyDescent="0.25">
      <c r="A146" t="str">
        <f>'Interpreted Data'!A146</f>
        <v>EB</v>
      </c>
      <c r="B146" t="str">
        <f>'Interpreted Data'!B146</f>
        <v>EA</v>
      </c>
      <c r="C146" s="2">
        <f>'Interpreted Data'!J146/$G$1</f>
        <v>0.91463414634146345</v>
      </c>
      <c r="D146" s="10">
        <f>'Interpreted Data'!T146</f>
        <v>11</v>
      </c>
      <c r="E146" s="11">
        <f>IF(D146="-",IF('Interpreted Data'!U146=-90,"-V",IF('Interpreted Data'!U146=90,"+V",'Interpreted Data'!U146)),'Interpreted Data'!U146)</f>
        <v>-6</v>
      </c>
      <c r="F146" s="18" t="str">
        <f>IF('Interpreted Data'!P146="","",CONCATENATE(";",'Interpreted Data'!P146))</f>
        <v/>
      </c>
    </row>
    <row r="147" spans="1:6" x14ac:dyDescent="0.25">
      <c r="A147" t="str">
        <f>'Interpreted Data'!A147</f>
        <v>EA</v>
      </c>
      <c r="B147" t="str">
        <f>'Interpreted Data'!B147</f>
        <v>DZ</v>
      </c>
      <c r="C147" s="2">
        <f>'Interpreted Data'!J147/$G$1</f>
        <v>1.8292682926829269</v>
      </c>
      <c r="D147" s="10" t="str">
        <f>'Interpreted Data'!T147</f>
        <v>-</v>
      </c>
      <c r="E147" s="11" t="str">
        <f>IF(D147="-",IF('Interpreted Data'!U147=-90,"-V",IF('Interpreted Data'!U147=90,"+V",'Interpreted Data'!U147)),'Interpreted Data'!U147)</f>
        <v>-V</v>
      </c>
      <c r="F147" s="18" t="str">
        <f>IF('Interpreted Data'!P147="","",CONCATENATE(";",'Interpreted Data'!P147))</f>
        <v>;(sketch from Ent. EC-DO)</v>
      </c>
    </row>
    <row r="148" spans="1:6" x14ac:dyDescent="0.25">
      <c r="A148" t="str">
        <f>'Interpreted Data'!A148</f>
        <v>DZ</v>
      </c>
      <c r="B148" t="str">
        <f>'Interpreted Data'!B148</f>
        <v>DY</v>
      </c>
      <c r="C148" s="2">
        <f>'Interpreted Data'!J148/$G$1</f>
        <v>5.3353658536585371</v>
      </c>
      <c r="D148" s="10">
        <f>'Interpreted Data'!T148</f>
        <v>36</v>
      </c>
      <c r="E148" s="11">
        <f>IF(D148="-",IF('Interpreted Data'!U148=-90,"-V",IF('Interpreted Data'!U148=90,"+V",'Interpreted Data'!U148)),'Interpreted Data'!U148)</f>
        <v>8</v>
      </c>
      <c r="F148" s="18" t="str">
        <f>IF('Interpreted Data'!P148="","",CONCATENATE(";",'Interpreted Data'!P148))</f>
        <v/>
      </c>
    </row>
    <row r="149" spans="1:6" x14ac:dyDescent="0.25">
      <c r="A149" t="str">
        <f>'Interpreted Data'!A149</f>
        <v>DY</v>
      </c>
      <c r="B149" t="str">
        <f>'Interpreted Data'!B149</f>
        <v>DX</v>
      </c>
      <c r="C149" s="2">
        <f>'Interpreted Data'!J149/$G$1</f>
        <v>1.4939024390243905</v>
      </c>
      <c r="D149" s="10">
        <f>'Interpreted Data'!T149</f>
        <v>344.5</v>
      </c>
      <c r="E149" s="11">
        <f>IF(D149="-",IF('Interpreted Data'!U149=-90,"-V",IF('Interpreted Data'!U149=90,"+V",'Interpreted Data'!U149)),'Interpreted Data'!U149)</f>
        <v>6</v>
      </c>
      <c r="F149" s="18" t="str">
        <f>IF('Interpreted Data'!P149="","",CONCATENATE(";",'Interpreted Data'!P149))</f>
        <v/>
      </c>
    </row>
    <row r="150" spans="1:6" x14ac:dyDescent="0.25">
      <c r="A150" t="str">
        <f>'Interpreted Data'!A150</f>
        <v>DX</v>
      </c>
      <c r="B150" t="str">
        <f>'Interpreted Data'!B150</f>
        <v>DW</v>
      </c>
      <c r="C150" s="2">
        <f>'Interpreted Data'!J150/$G$1</f>
        <v>7.1646341463414638</v>
      </c>
      <c r="D150" s="10">
        <f>'Interpreted Data'!T150</f>
        <v>342</v>
      </c>
      <c r="E150" s="11">
        <f>IF(D150="-",IF('Interpreted Data'!U150=-90,"-V",IF('Interpreted Data'!U150=90,"+V",'Interpreted Data'!U150)),'Interpreted Data'!U150)</f>
        <v>-12</v>
      </c>
      <c r="F150" s="18" t="str">
        <f>IF('Interpreted Data'!P150="","",CONCATENATE(";",'Interpreted Data'!P150))</f>
        <v/>
      </c>
    </row>
    <row r="151" spans="1:6" x14ac:dyDescent="0.25">
      <c r="A151" t="str">
        <f>'Interpreted Data'!A151</f>
        <v>DW</v>
      </c>
      <c r="B151" t="str">
        <f>'Interpreted Data'!B151</f>
        <v>DV</v>
      </c>
      <c r="C151" s="2">
        <f>'Interpreted Data'!J151/$G$1</f>
        <v>2.5</v>
      </c>
      <c r="D151" s="10">
        <f>'Interpreted Data'!T151</f>
        <v>259</v>
      </c>
      <c r="E151" s="11">
        <f>IF(D151="-",IF('Interpreted Data'!U151=-90,"-V",IF('Interpreted Data'!U151=90,"+V",'Interpreted Data'!U151)),'Interpreted Data'!U151)</f>
        <v>-21</v>
      </c>
      <c r="F151" s="18" t="str">
        <f>IF('Interpreted Data'!P151="","",CONCATENATE(";",'Interpreted Data'!P151))</f>
        <v/>
      </c>
    </row>
    <row r="152" spans="1:6" x14ac:dyDescent="0.25">
      <c r="A152" t="str">
        <f>'Interpreted Data'!A152</f>
        <v>DV</v>
      </c>
      <c r="B152" t="str">
        <f>'Interpreted Data'!B152</f>
        <v>DQ</v>
      </c>
      <c r="C152" s="2">
        <f>'Interpreted Data'!J152/$G$1</f>
        <v>2.7439024390243905</v>
      </c>
      <c r="D152" s="10">
        <f>'Interpreted Data'!T152</f>
        <v>299</v>
      </c>
      <c r="E152" s="11">
        <f>IF(D152="-",IF('Interpreted Data'!U152=-90,"-V",IF('Interpreted Data'!U152=90,"+V",'Interpreted Data'!U152)),'Interpreted Data'!U152)</f>
        <v>-17</v>
      </c>
      <c r="F152" s="18" t="str">
        <f>IF('Interpreted Data'!P152="","",CONCATENATE(";",'Interpreted Data'!P152))</f>
        <v>;(sketch of Short Dry Way DN-DH)</v>
      </c>
    </row>
    <row r="153" spans="1:6" x14ac:dyDescent="0.25">
      <c r="A153" t="str">
        <f>'Interpreted Data'!A153</f>
        <v>DQ</v>
      </c>
      <c r="B153" t="str">
        <f>'Interpreted Data'!B153</f>
        <v>DP</v>
      </c>
      <c r="C153" s="2">
        <f>'Interpreted Data'!J153/$G$1</f>
        <v>0.1524390243902439</v>
      </c>
      <c r="D153" s="10" t="str">
        <f>'Interpreted Data'!T153</f>
        <v>-</v>
      </c>
      <c r="E153" s="11" t="str">
        <f>IF(D153="-",IF('Interpreted Data'!U153=-90,"-V",IF('Interpreted Data'!U153=90,"+V",'Interpreted Data'!U153)),'Interpreted Data'!U153)</f>
        <v>-V</v>
      </c>
      <c r="F153" s="18" t="str">
        <f>IF('Interpreted Data'!P153="","",CONCATENATE(";",'Interpreted Data'!P153))</f>
        <v/>
      </c>
    </row>
    <row r="154" spans="1:6" x14ac:dyDescent="0.25">
      <c r="A154" t="str">
        <f>'Interpreted Data'!A154</f>
        <v>DP</v>
      </c>
      <c r="B154" t="str">
        <f>'Interpreted Data'!B154</f>
        <v>DO</v>
      </c>
      <c r="C154" s="2">
        <f>'Interpreted Data'!J154/$G$1</f>
        <v>4.51219512195122</v>
      </c>
      <c r="D154" s="10">
        <f>'Interpreted Data'!T154</f>
        <v>227</v>
      </c>
      <c r="E154" s="11">
        <f>IF(D154="-",IF('Interpreted Data'!U154=-90,"-V",IF('Interpreted Data'!U154=90,"+V",'Interpreted Data'!U154)),'Interpreted Data'!U154)</f>
        <v>-53</v>
      </c>
      <c r="F154" s="18" t="str">
        <f>IF('Interpreted Data'!P154="","",CONCATENATE(";",'Interpreted Data'!P154))</f>
        <v/>
      </c>
    </row>
    <row r="155" spans="1:6" x14ac:dyDescent="0.25">
      <c r="A155" t="str">
        <f>'Interpreted Data'!A155</f>
        <v>DO</v>
      </c>
      <c r="B155" t="str">
        <f>'Interpreted Data'!B155</f>
        <v>DN</v>
      </c>
      <c r="C155" s="2">
        <f>'Interpreted Data'!J155/$G$1</f>
        <v>4.0548780487804885</v>
      </c>
      <c r="D155" s="10">
        <f>'Interpreted Data'!T155</f>
        <v>81</v>
      </c>
      <c r="E155" s="11">
        <f>IF(D155="-",IF('Interpreted Data'!U155=-90,"-V",IF('Interpreted Data'!U155=90,"+V",'Interpreted Data'!U155)),'Interpreted Data'!U155)</f>
        <v>-47</v>
      </c>
      <c r="F155" s="18" t="str">
        <f>IF('Interpreted Data'!P155="","",CONCATENATE(";",'Interpreted Data'!P155))</f>
        <v/>
      </c>
    </row>
    <row r="156" spans="1:6" x14ac:dyDescent="0.25">
      <c r="A156" t="str">
        <f>'Interpreted Data'!A156</f>
        <v>DN</v>
      </c>
      <c r="B156" t="str">
        <f>'Interpreted Data'!B156</f>
        <v>DM</v>
      </c>
      <c r="C156" s="2">
        <f>'Interpreted Data'!J156/$G$1</f>
        <v>0.1524390243902439</v>
      </c>
      <c r="D156" s="10" t="str">
        <f>'Interpreted Data'!T156</f>
        <v>-</v>
      </c>
      <c r="E156" s="11" t="str">
        <f>IF(D156="-",IF('Interpreted Data'!U156=-90,"-V",IF('Interpreted Data'!U156=90,"+V",'Interpreted Data'!U156)),'Interpreted Data'!U156)</f>
        <v>+V</v>
      </c>
      <c r="F156" s="18" t="str">
        <f>IF('Interpreted Data'!P156="","",CONCATENATE(";",'Interpreted Data'!P156))</f>
        <v/>
      </c>
    </row>
    <row r="157" spans="1:6" x14ac:dyDescent="0.25">
      <c r="A157" t="str">
        <f>'Interpreted Data'!A157</f>
        <v>DM</v>
      </c>
      <c r="B157" t="str">
        <f>'Interpreted Data'!B157</f>
        <v>DL</v>
      </c>
      <c r="C157" s="2">
        <f>'Interpreted Data'!J157/$G$1</f>
        <v>4.4207317073170733</v>
      </c>
      <c r="D157" s="10">
        <f>'Interpreted Data'!T157</f>
        <v>348.5</v>
      </c>
      <c r="E157" s="11">
        <f>IF(D157="-",IF('Interpreted Data'!U157=-90,"-V",IF('Interpreted Data'!U157=90,"+V",'Interpreted Data'!U157)),'Interpreted Data'!U157)</f>
        <v>-6</v>
      </c>
      <c r="F157" s="18" t="str">
        <f>IF('Interpreted Data'!P157="","",CONCATENATE(";",'Interpreted Data'!P157))</f>
        <v/>
      </c>
    </row>
    <row r="158" spans="1:6" x14ac:dyDescent="0.25">
      <c r="A158" t="str">
        <f>'Interpreted Data'!A158</f>
        <v>DL</v>
      </c>
      <c r="B158" t="str">
        <f>'Interpreted Data'!B158</f>
        <v>DK</v>
      </c>
      <c r="C158" s="2">
        <f>'Interpreted Data'!J158/$G$1</f>
        <v>5.2743902439024399</v>
      </c>
      <c r="D158" s="10">
        <f>'Interpreted Data'!T158</f>
        <v>292</v>
      </c>
      <c r="E158" s="11">
        <f>IF(D158="-",IF('Interpreted Data'!U158=-90,"-V",IF('Interpreted Data'!U158=90,"+V",'Interpreted Data'!U158)),'Interpreted Data'!U158)</f>
        <v>-20</v>
      </c>
      <c r="F158" s="18" t="str">
        <f>IF('Interpreted Data'!P158="","",CONCATENATE(";",'Interpreted Data'!P158))</f>
        <v/>
      </c>
    </row>
    <row r="159" spans="1:6" x14ac:dyDescent="0.25">
      <c r="A159" t="str">
        <f>'Interpreted Data'!A159</f>
        <v>DK</v>
      </c>
      <c r="B159" t="str">
        <f>'Interpreted Data'!B159</f>
        <v>DJ</v>
      </c>
      <c r="C159" s="2">
        <f>'Interpreted Data'!J159/$G$1</f>
        <v>5.2439024390243905</v>
      </c>
      <c r="D159" s="10">
        <f>'Interpreted Data'!T159</f>
        <v>346</v>
      </c>
      <c r="E159" s="11">
        <f>IF(D159="-",IF('Interpreted Data'!U159=-90,"-V",IF('Interpreted Data'!U159=90,"+V",'Interpreted Data'!U159)),'Interpreted Data'!U159)</f>
        <v>-22</v>
      </c>
      <c r="F159" s="18" t="str">
        <f>IF('Interpreted Data'!P159="","",CONCATENATE(";",'Interpreted Data'!P159))</f>
        <v/>
      </c>
    </row>
    <row r="160" spans="1:6" x14ac:dyDescent="0.25">
      <c r="A160" t="str">
        <f>'Interpreted Data'!A160</f>
        <v>DJ</v>
      </c>
      <c r="B160" t="str">
        <f>'Interpreted Data'!B160</f>
        <v>DI</v>
      </c>
      <c r="C160" s="2">
        <f>'Interpreted Data'!J160/$G$1</f>
        <v>2.7134146341463419</v>
      </c>
      <c r="D160" s="10">
        <f>'Interpreted Data'!T160</f>
        <v>318</v>
      </c>
      <c r="E160" s="11">
        <f>IF(D160="-",IF('Interpreted Data'!U160=-90,"-V",IF('Interpreted Data'!U160=90,"+V",'Interpreted Data'!U160)),'Interpreted Data'!U160)</f>
        <v>-13.5</v>
      </c>
      <c r="F160" s="18" t="str">
        <f>IF('Interpreted Data'!P160="","",CONCATENATE(";",'Interpreted Data'!P160))</f>
        <v/>
      </c>
    </row>
    <row r="161" spans="1:6" x14ac:dyDescent="0.25">
      <c r="A161" t="str">
        <f>'Interpreted Data'!A161</f>
        <v>DI</v>
      </c>
      <c r="B161" t="str">
        <f>'Interpreted Data'!B161</f>
        <v>DH</v>
      </c>
      <c r="C161" s="2">
        <f>'Interpreted Data'!J161/$G$1</f>
        <v>9.7560975609756095</v>
      </c>
      <c r="D161" s="10">
        <f>'Interpreted Data'!T161</f>
        <v>304</v>
      </c>
      <c r="E161" s="11">
        <f>IF(D161="-",IF('Interpreted Data'!U161=-90,"-V",IF('Interpreted Data'!U161=90,"+V",'Interpreted Data'!U161)),'Interpreted Data'!U161)</f>
        <v>-17</v>
      </c>
      <c r="F161" s="18" t="str">
        <f>IF('Interpreted Data'!P161="","",CONCATENATE(";",'Interpreted Data'!P161))</f>
        <v/>
      </c>
    </row>
    <row r="162" spans="1:6" x14ac:dyDescent="0.25">
      <c r="A162" s="18" t="str">
        <f>CONCATENATE(";",'Interpreted Data'!A162)</f>
        <v>;DH</v>
      </c>
      <c r="B162" t="str">
        <f>'Interpreted Data'!B162</f>
        <v/>
      </c>
      <c r="C162" s="2"/>
      <c r="D162" s="10"/>
      <c r="E162" s="11"/>
      <c r="F162" s="18" t="str">
        <f>IF('Interpreted Data'!P162="","",CONCATENATE(";",'Interpreted Data'!P162))</f>
        <v>;is 2" candle on smoke BM below smoke (.)</v>
      </c>
    </row>
    <row r="163" spans="1:6" x14ac:dyDescent="0.25">
      <c r="A163" t="str">
        <f>'Interpreted Data'!A163</f>
        <v/>
      </c>
      <c r="B163" t="str">
        <f>'Interpreted Data'!B163</f>
        <v/>
      </c>
      <c r="C163" s="2"/>
      <c r="D163" s="10"/>
      <c r="E163" s="11"/>
      <c r="F163" s="18" t="str">
        <f>IF('Interpreted Data'!P163="","",CONCATENATE(";",'Interpreted Data'!P163))</f>
        <v/>
      </c>
    </row>
    <row r="164" spans="1:6" x14ac:dyDescent="0.25">
      <c r="A164" s="18" t="str">
        <f>CONCATENATE(";",'Interpreted Data'!A164)</f>
        <v>;21st Dec '52</v>
      </c>
      <c r="B164" t="str">
        <f>'Interpreted Data'!B164</f>
        <v>Howard &amp; Jock.</v>
      </c>
      <c r="C164" s="2"/>
      <c r="D164" s="10"/>
      <c r="E164" s="11"/>
      <c r="F164" s="18" t="str">
        <f>IF('Interpreted Data'!P164="","",CONCATENATE(";",'Interpreted Data'!P164))</f>
        <v/>
      </c>
    </row>
    <row r="165" spans="1:6" x14ac:dyDescent="0.25">
      <c r="A165" t="str">
        <f>'Interpreted Data'!A165</f>
        <v>DH</v>
      </c>
      <c r="B165" t="str">
        <f>'Interpreted Data'!B165</f>
        <v>DG</v>
      </c>
      <c r="C165" s="2">
        <f>'Interpreted Data'!J165/$G$1</f>
        <v>1.7073170731707317</v>
      </c>
      <c r="D165" s="10">
        <f>'Interpreted Data'!T165</f>
        <v>355</v>
      </c>
      <c r="E165" s="11">
        <f>IF(D165="-",IF('Interpreted Data'!U165=-90,"-V",IF('Interpreted Data'!U165=90,"+V",'Interpreted Data'!U165)),'Interpreted Data'!U165)</f>
        <v>30</v>
      </c>
      <c r="F165" s="18" t="str">
        <f>IF('Interpreted Data'!P165="","",CONCATENATE(";",'Interpreted Data'!P165))</f>
        <v/>
      </c>
    </row>
    <row r="166" spans="1:6" x14ac:dyDescent="0.25">
      <c r="A166" t="str">
        <f>'Interpreted Data'!A166</f>
        <v>DG</v>
      </c>
      <c r="B166" t="str">
        <f>'Interpreted Data'!B166</f>
        <v>DF</v>
      </c>
      <c r="C166" s="2">
        <f>'Interpreted Data'!J166/$G$1</f>
        <v>2.6524390243902438</v>
      </c>
      <c r="D166" s="10">
        <f>'Interpreted Data'!T166</f>
        <v>317</v>
      </c>
      <c r="E166" s="11">
        <f>IF(D166="-",IF('Interpreted Data'!U166=-90,"-V",IF('Interpreted Data'!U166=90,"+V",'Interpreted Data'!U166)),'Interpreted Data'!U166)</f>
        <v>2</v>
      </c>
      <c r="F166" s="18" t="str">
        <f>IF('Interpreted Data'!P166="","",CONCATENATE(";",'Interpreted Data'!P166))</f>
        <v/>
      </c>
    </row>
    <row r="167" spans="1:6" x14ac:dyDescent="0.25">
      <c r="A167" t="str">
        <f>'Interpreted Data'!A167</f>
        <v>DF</v>
      </c>
      <c r="B167" t="str">
        <f>'Interpreted Data'!B167</f>
        <v>DE</v>
      </c>
      <c r="C167" s="2">
        <f>'Interpreted Data'!J167/$G$1</f>
        <v>0.94512195121951226</v>
      </c>
      <c r="D167" s="10">
        <f>'Interpreted Data'!T167</f>
        <v>267</v>
      </c>
      <c r="E167" s="11">
        <f>IF(D167="-",IF('Interpreted Data'!U167=-90,"-V",IF('Interpreted Data'!U167=90,"+V",'Interpreted Data'!U167)),'Interpreted Data'!U167)</f>
        <v>21</v>
      </c>
      <c r="F167" s="18" t="str">
        <f>IF('Interpreted Data'!P167="","",CONCATENATE(";",'Interpreted Data'!P167))</f>
        <v/>
      </c>
    </row>
    <row r="168" spans="1:6" x14ac:dyDescent="0.25">
      <c r="A168" t="str">
        <f>'Interpreted Data'!A168</f>
        <v>DE</v>
      </c>
      <c r="B168" t="str">
        <f>'Interpreted Data'!B168</f>
        <v>DD</v>
      </c>
      <c r="C168" s="2">
        <f>'Interpreted Data'!J168/$G$1</f>
        <v>4.0853658536585371</v>
      </c>
      <c r="D168" s="10">
        <f>'Interpreted Data'!T168</f>
        <v>299</v>
      </c>
      <c r="E168" s="11">
        <f>IF(D168="-",IF('Interpreted Data'!U168=-90,"-V",IF('Interpreted Data'!U168=90,"+V",'Interpreted Data'!U168)),'Interpreted Data'!U168)</f>
        <v>-15</v>
      </c>
      <c r="F168" s="18" t="str">
        <f>IF('Interpreted Data'!P168="","",CONCATENATE(";",'Interpreted Data'!P168))</f>
        <v/>
      </c>
    </row>
    <row r="169" spans="1:6" x14ac:dyDescent="0.25">
      <c r="A169" t="str">
        <f>'Interpreted Data'!A169</f>
        <v>DD</v>
      </c>
      <c r="B169" t="str">
        <f>'Interpreted Data'!B169</f>
        <v>DC</v>
      </c>
      <c r="C169" s="2">
        <f>'Interpreted Data'!J169/$G$1</f>
        <v>5.8536585365853657</v>
      </c>
      <c r="D169" s="10">
        <f>'Interpreted Data'!T169</f>
        <v>325.5</v>
      </c>
      <c r="E169" s="11">
        <f>IF(D169="-",IF('Interpreted Data'!U169=-90,"-V",IF('Interpreted Data'!U169=90,"+V",'Interpreted Data'!U169)),'Interpreted Data'!U169)</f>
        <v>-2.5</v>
      </c>
      <c r="F169" s="18" t="str">
        <f>IF('Interpreted Data'!P169="","",CONCATENATE(";",'Interpreted Data'!P169))</f>
        <v/>
      </c>
    </row>
    <row r="170" spans="1:6" x14ac:dyDescent="0.25">
      <c r="A170" t="str">
        <f>'Interpreted Data'!A170</f>
        <v>DC</v>
      </c>
      <c r="B170" t="str">
        <f>'Interpreted Data'!B170</f>
        <v>DB</v>
      </c>
      <c r="C170" s="2">
        <f>'Interpreted Data'!J170/$G$1</f>
        <v>6.1280487804878057</v>
      </c>
      <c r="D170" s="10">
        <f>'Interpreted Data'!T170</f>
        <v>319.5</v>
      </c>
      <c r="E170" s="11">
        <f>IF(D170="-",IF('Interpreted Data'!U170=-90,"-V",IF('Interpreted Data'!U170=90,"+V",'Interpreted Data'!U170)),'Interpreted Data'!U170)</f>
        <v>-13</v>
      </c>
      <c r="F170" s="18" t="str">
        <f>IF('Interpreted Data'!P170="","",CONCATENATE(";",'Interpreted Data'!P170))</f>
        <v/>
      </c>
    </row>
    <row r="171" spans="1:6" x14ac:dyDescent="0.25">
      <c r="A171" t="str">
        <f>'Interpreted Data'!A171</f>
        <v>DB</v>
      </c>
      <c r="B171" t="str">
        <f>'Interpreted Data'!B171</f>
        <v>DA</v>
      </c>
      <c r="C171" s="2">
        <f>'Interpreted Data'!J171/$G$1</f>
        <v>7.0731707317073171</v>
      </c>
      <c r="D171" s="10">
        <f>'Interpreted Data'!T171</f>
        <v>269</v>
      </c>
      <c r="E171" s="11">
        <f>IF(D171="-",IF('Interpreted Data'!U171=-90,"-V",IF('Interpreted Data'!U171=90,"+V",'Interpreted Data'!U171)),'Interpreted Data'!U171)</f>
        <v>-15</v>
      </c>
      <c r="F171" s="18" t="str">
        <f>IF('Interpreted Data'!P171="","",CONCATENATE(";",'Interpreted Data'!P171))</f>
        <v>;Entrance to Old Grotto.</v>
      </c>
    </row>
    <row r="172" spans="1:6" x14ac:dyDescent="0.25">
      <c r="A172" t="str">
        <f>'Interpreted Data'!A172</f>
        <v>DA</v>
      </c>
      <c r="B172" t="str">
        <f>'Interpreted Data'!B172</f>
        <v>CZ</v>
      </c>
      <c r="C172" s="2">
        <f>'Interpreted Data'!J172/$G$1</f>
        <v>8.5060975609756095</v>
      </c>
      <c r="D172" s="10">
        <f>'Interpreted Data'!T172</f>
        <v>202.33333333333334</v>
      </c>
      <c r="E172" s="11">
        <f>IF(D172="-",IF('Interpreted Data'!U172=-90,"-V",IF('Interpreted Data'!U172=90,"+V",'Interpreted Data'!U172)),'Interpreted Data'!U172)</f>
        <v>-41.5</v>
      </c>
      <c r="F172" s="18" t="str">
        <f>IF('Interpreted Data'!P172="","",CONCATENATE(";",'Interpreted Data'!P172))</f>
        <v/>
      </c>
    </row>
    <row r="173" spans="1:6" x14ac:dyDescent="0.25">
      <c r="A173" t="str">
        <f>'Interpreted Data'!A173</f>
        <v>CZ</v>
      </c>
      <c r="B173" t="str">
        <f>'Interpreted Data'!B173</f>
        <v>CY</v>
      </c>
      <c r="C173" s="2">
        <f>'Interpreted Data'!J173/$G$1</f>
        <v>6.8902439024390256</v>
      </c>
      <c r="D173" s="10">
        <f>'Interpreted Data'!T173</f>
        <v>249</v>
      </c>
      <c r="E173" s="11">
        <f>IF(D173="-",IF('Interpreted Data'!U173=-90,"-V",IF('Interpreted Data'!U173=90,"+V",'Interpreted Data'!U173)),'Interpreted Data'!U173)</f>
        <v>-17</v>
      </c>
      <c r="F173" s="18" t="str">
        <f>IF('Interpreted Data'!P173="","",CONCATENATE(";",'Interpreted Data'!P173))</f>
        <v/>
      </c>
    </row>
    <row r="174" spans="1:6" x14ac:dyDescent="0.25">
      <c r="A174" t="str">
        <f>'Interpreted Data'!A174</f>
        <v>CY</v>
      </c>
      <c r="B174" t="str">
        <f>'Interpreted Data'!B174</f>
        <v>CX</v>
      </c>
      <c r="C174" s="2">
        <f>'Interpreted Data'!J174/$G$1</f>
        <v>8.3536585365853657</v>
      </c>
      <c r="D174" s="10">
        <f>'Interpreted Data'!T174</f>
        <v>292</v>
      </c>
      <c r="E174" s="11">
        <f>IF(D174="-",IF('Interpreted Data'!U174=-90,"-V",IF('Interpreted Data'!U174=90,"+V",'Interpreted Data'!U174)),'Interpreted Data'!U174)</f>
        <v>-6.6666666599999997</v>
      </c>
      <c r="F174" s="18" t="str">
        <f>IF('Interpreted Data'!P174="","",CONCATENATE(";",'Interpreted Data'!P174))</f>
        <v/>
      </c>
    </row>
    <row r="175" spans="1:6" x14ac:dyDescent="0.25">
      <c r="A175" t="str">
        <f>'Interpreted Data'!A175</f>
        <v>CX</v>
      </c>
      <c r="B175" t="str">
        <f>'Interpreted Data'!B175</f>
        <v>CW</v>
      </c>
      <c r="C175" s="2">
        <f>'Interpreted Data'!J175/$G$1</f>
        <v>6.7682926829268295</v>
      </c>
      <c r="D175" s="10">
        <f>'Interpreted Data'!T175</f>
        <v>210</v>
      </c>
      <c r="E175" s="11">
        <f>IF(D175="-",IF('Interpreted Data'!U175=-90,"-V",IF('Interpreted Data'!U175=90,"+V",'Interpreted Data'!U175)),'Interpreted Data'!U175)</f>
        <v>-1.66666666</v>
      </c>
      <c r="F175" s="18" t="str">
        <f>IF('Interpreted Data'!P175="","",CONCATENATE(";",'Interpreted Data'!P175))</f>
        <v/>
      </c>
    </row>
    <row r="176" spans="1:6" x14ac:dyDescent="0.25">
      <c r="A176" t="str">
        <f>'Interpreted Data'!A176</f>
        <v>CW</v>
      </c>
      <c r="B176" t="str">
        <f>'Interpreted Data'!B176</f>
        <v>CV</v>
      </c>
      <c r="C176" s="2">
        <f>'Interpreted Data'!J176/$G$1</f>
        <v>4.9695121951219514</v>
      </c>
      <c r="D176" s="10">
        <f>'Interpreted Data'!T176</f>
        <v>192</v>
      </c>
      <c r="E176" s="11">
        <f>IF(D176="-",IF('Interpreted Data'!U176=-90,"-V",IF('Interpreted Data'!U176=90,"+V",'Interpreted Data'!U176)),'Interpreted Data'!U176)</f>
        <v>6.5</v>
      </c>
      <c r="F176" s="18" t="str">
        <f>IF('Interpreted Data'!P176="","",CONCATENATE(";",'Interpreted Data'!P176))</f>
        <v/>
      </c>
    </row>
    <row r="177" spans="1:6" x14ac:dyDescent="0.25">
      <c r="A177" t="str">
        <f>'Interpreted Data'!A177</f>
        <v>CV</v>
      </c>
      <c r="B177" t="str">
        <f>'Interpreted Data'!B177</f>
        <v>CU</v>
      </c>
      <c r="C177" s="2">
        <f>'Interpreted Data'!J177/$G$1</f>
        <v>4.1463414634146343</v>
      </c>
      <c r="D177" s="10">
        <f>'Interpreted Data'!T177</f>
        <v>253</v>
      </c>
      <c r="E177" s="11">
        <f>IF(D177="-",IF('Interpreted Data'!U177=-90,"-V",IF('Interpreted Data'!U177=90,"+V",'Interpreted Data'!U177)),'Interpreted Data'!U177)</f>
        <v>6</v>
      </c>
      <c r="F177" s="18" t="str">
        <f>IF('Interpreted Data'!P177="","",CONCATENATE(";",'Interpreted Data'!P177))</f>
        <v/>
      </c>
    </row>
    <row r="178" spans="1:6" x14ac:dyDescent="0.25">
      <c r="A178" t="str">
        <f>'Interpreted Data'!A178</f>
        <v>CU</v>
      </c>
      <c r="B178" t="str">
        <f>'Interpreted Data'!B178</f>
        <v>CT</v>
      </c>
      <c r="C178" s="2">
        <f>'Interpreted Data'!J178/$G$1</f>
        <v>6.1280487804878057</v>
      </c>
      <c r="D178" s="10">
        <f>'Interpreted Data'!T178</f>
        <v>259.5</v>
      </c>
      <c r="E178" s="11">
        <f>IF(D178="-",IF('Interpreted Data'!U178=-90,"-V",IF('Interpreted Data'!U178=90,"+V",'Interpreted Data'!U178)),'Interpreted Data'!U178)</f>
        <v>-28</v>
      </c>
      <c r="F178" s="18" t="str">
        <f>IF('Interpreted Data'!P178="","",CONCATENATE(";",'Interpreted Data'!P178))</f>
        <v/>
      </c>
    </row>
    <row r="179" spans="1:6" x14ac:dyDescent="0.25">
      <c r="A179" t="str">
        <f>'Interpreted Data'!A179</f>
        <v>CT</v>
      </c>
      <c r="B179" t="str">
        <f>'Interpreted Data'!B179</f>
        <v>CS</v>
      </c>
      <c r="C179" s="2">
        <f>'Interpreted Data'!J179/$G$1</f>
        <v>0.54878048780487809</v>
      </c>
      <c r="D179" s="10" t="str">
        <f>'Interpreted Data'!T179</f>
        <v>-</v>
      </c>
      <c r="E179" s="11" t="str">
        <f>IF(D179="-",IF('Interpreted Data'!U179=-90,"-V",IF('Interpreted Data'!U179=90,"+V",'Interpreted Data'!U179)),'Interpreted Data'!U179)</f>
        <v>+V</v>
      </c>
      <c r="F179" s="18" t="str">
        <f>IF('Interpreted Data'!P179="","",CONCATENATE(";",'Interpreted Data'!P179))</f>
        <v>;(sketch of CR-CZ-DA-DH)</v>
      </c>
    </row>
    <row r="180" spans="1:6" x14ac:dyDescent="0.25">
      <c r="A180" t="str">
        <f>'Interpreted Data'!A180</f>
        <v>CS</v>
      </c>
      <c r="B180" t="str">
        <f>'Interpreted Data'!B180</f>
        <v>CR</v>
      </c>
      <c r="C180" s="2">
        <f>'Interpreted Data'!J180/$G$1</f>
        <v>4.8170731707317076</v>
      </c>
      <c r="D180" s="10">
        <f>'Interpreted Data'!T180</f>
        <v>321</v>
      </c>
      <c r="E180" s="11">
        <f>IF(D180="-",IF('Interpreted Data'!U180=-90,"-V",IF('Interpreted Data'!U180=90,"+V",'Interpreted Data'!U180)),'Interpreted Data'!U180)</f>
        <v>-1</v>
      </c>
      <c r="F180" s="18" t="str">
        <f>IF('Interpreted Data'!P180="","",CONCATENATE(";",'Interpreted Data'!P180))</f>
        <v/>
      </c>
    </row>
    <row r="181" spans="1:6" x14ac:dyDescent="0.25">
      <c r="A181" t="str">
        <f>'Interpreted Data'!A181</f>
        <v>CR</v>
      </c>
      <c r="B181" t="str">
        <f>'Interpreted Data'!B181</f>
        <v>CQ</v>
      </c>
      <c r="C181" s="2">
        <f>'Interpreted Data'!J181/$G$1</f>
        <v>5.0914634146341466</v>
      </c>
      <c r="D181" s="10">
        <f>'Interpreted Data'!T181</f>
        <v>324</v>
      </c>
      <c r="E181" s="11">
        <f>IF(D181="-",IF('Interpreted Data'!U181=-90,"-V",IF('Interpreted Data'!U181=90,"+V",'Interpreted Data'!U181)),'Interpreted Data'!U181)</f>
        <v>-5</v>
      </c>
      <c r="F181" s="18" t="str">
        <f>IF('Interpreted Data'!P181="","",CONCATENATE(";",'Interpreted Data'!P181))</f>
        <v/>
      </c>
    </row>
    <row r="182" spans="1:6" x14ac:dyDescent="0.25">
      <c r="A182" t="str">
        <f>'Interpreted Data'!A182</f>
        <v>CQ</v>
      </c>
      <c r="B182" t="str">
        <f>'Interpreted Data'!B182</f>
        <v>CP</v>
      </c>
      <c r="C182" s="2">
        <f>'Interpreted Data'!J182/$G$1</f>
        <v>4.4207317073170733</v>
      </c>
      <c r="D182" s="10">
        <f>'Interpreted Data'!T182</f>
        <v>325.5</v>
      </c>
      <c r="E182" s="11">
        <f>IF(D182="-",IF('Interpreted Data'!U182=-90,"-V",IF('Interpreted Data'!U182=90,"+V",'Interpreted Data'!U182)),'Interpreted Data'!U182)</f>
        <v>3</v>
      </c>
      <c r="F182" s="18" t="str">
        <f>IF('Interpreted Data'!P182="","",CONCATENATE(";",'Interpreted Data'!P182))</f>
        <v/>
      </c>
    </row>
    <row r="183" spans="1:6" x14ac:dyDescent="0.25">
      <c r="A183" t="str">
        <f>'Interpreted Data'!A183</f>
        <v>CP</v>
      </c>
      <c r="B183" t="str">
        <f>'Interpreted Data'!B183</f>
        <v>CO</v>
      </c>
      <c r="C183" s="2">
        <f>'Interpreted Data'!J183/$G$1</f>
        <v>1.25</v>
      </c>
      <c r="D183" s="10">
        <f>'Interpreted Data'!T183</f>
        <v>351</v>
      </c>
      <c r="E183" s="11">
        <f>IF(D183="-",IF('Interpreted Data'!U183=-90,"-V",IF('Interpreted Data'!U183=90,"+V",'Interpreted Data'!U183)),'Interpreted Data'!U183)</f>
        <v>0</v>
      </c>
      <c r="F183" s="18" t="str">
        <f>IF('Interpreted Data'!P183="","",CONCATENATE(";",'Interpreted Data'!P183))</f>
        <v/>
      </c>
    </row>
    <row r="184" spans="1:6" x14ac:dyDescent="0.25">
      <c r="A184" t="str">
        <f>'Interpreted Data'!A184</f>
        <v>CO</v>
      </c>
      <c r="B184" t="str">
        <f>'Interpreted Data'!B184</f>
        <v>CN</v>
      </c>
      <c r="C184" s="2">
        <f>'Interpreted Data'!J184/$G$1</f>
        <v>2.8963414634146343</v>
      </c>
      <c r="D184" s="10">
        <f>'Interpreted Data'!T184</f>
        <v>348</v>
      </c>
      <c r="E184" s="11">
        <f>IF(D184="-",IF('Interpreted Data'!U184=-90,"-V",IF('Interpreted Data'!U184=90,"+V",'Interpreted Data'!U184)),'Interpreted Data'!U184)</f>
        <v>4.5</v>
      </c>
      <c r="F184" s="18" t="str">
        <f>IF('Interpreted Data'!P184="","",CONCATENATE(";",'Interpreted Data'!P184))</f>
        <v/>
      </c>
    </row>
    <row r="185" spans="1:6" x14ac:dyDescent="0.25">
      <c r="A185" t="str">
        <f>'Interpreted Data'!A185</f>
        <v>CN</v>
      </c>
      <c r="B185" t="str">
        <f>'Interpreted Data'!B185</f>
        <v>CM</v>
      </c>
      <c r="C185" s="2">
        <f>'Interpreted Data'!J185/$G$1</f>
        <v>7.774390243902439</v>
      </c>
      <c r="D185" s="10">
        <f>'Interpreted Data'!T185</f>
        <v>335</v>
      </c>
      <c r="E185" s="11">
        <f>IF(D185="-",IF('Interpreted Data'!U185=-90,"-V",IF('Interpreted Data'!U185=90,"+V",'Interpreted Data'!U185)),'Interpreted Data'!U185)</f>
        <v>-21.5</v>
      </c>
      <c r="F185" s="18" t="str">
        <f>IF('Interpreted Data'!P185="","",CONCATENATE(";",'Interpreted Data'!P185))</f>
        <v>;CM = On stalagmite projection over 40 ft pt.</v>
      </c>
    </row>
    <row r="186" spans="1:6" x14ac:dyDescent="0.25">
      <c r="A186" s="18" t="str">
        <f>CONCATENATE(";",'Interpreted Data'!A186)</f>
        <v>;CM</v>
      </c>
      <c r="B186" t="str">
        <f>'Interpreted Data'!B186</f>
        <v/>
      </c>
      <c r="C186" s="2"/>
      <c r="D186" s="10"/>
      <c r="E186" s="11"/>
      <c r="F186" s="18" t="str">
        <f>IF('Interpreted Data'!P186="","",CONCATENATE(";",'Interpreted Data'!P186))</f>
        <v/>
      </c>
    </row>
    <row r="187" spans="1:6" x14ac:dyDescent="0.25">
      <c r="A187" t="str">
        <f>'Interpreted Data'!A187</f>
        <v/>
      </c>
      <c r="B187" t="str">
        <f>'Interpreted Data'!B187</f>
        <v/>
      </c>
      <c r="C187" s="2"/>
      <c r="D187" s="10"/>
      <c r="E187" s="11"/>
      <c r="F187" s="18" t="str">
        <f>IF('Interpreted Data'!P187="","",CONCATENATE(";",'Interpreted Data'!P187))</f>
        <v/>
      </c>
    </row>
    <row r="188" spans="1:6" x14ac:dyDescent="0.25">
      <c r="A188" s="18" t="str">
        <f>CONCATENATE(";",'Interpreted Data'!A188)</f>
        <v>;p. 61-64</v>
      </c>
      <c r="B188" t="str">
        <f>'Interpreted Data'!B188</f>
        <v>(=PDF p.65-68)</v>
      </c>
      <c r="C188" s="2"/>
      <c r="D188" s="10"/>
      <c r="E188" s="11"/>
      <c r="F188" s="18" t="str">
        <f>IF('Interpreted Data'!P188="","",CONCATENATE(";",'Interpreted Data'!P188))</f>
        <v/>
      </c>
    </row>
    <row r="189" spans="1:6" x14ac:dyDescent="0.25">
      <c r="A189" s="18" t="str">
        <f>CONCATENATE(";",'Interpreted Data'!A189)</f>
        <v>;8th Feb '53</v>
      </c>
      <c r="B189" t="str">
        <f>'Interpreted Data'!B189</f>
        <v/>
      </c>
      <c r="C189" s="2"/>
      <c r="D189" s="10"/>
      <c r="E189" s="11"/>
      <c r="F189" s="18" t="str">
        <f>IF('Interpreted Data'!P189="","",CONCATENATE(";",'Interpreted Data'!P189))</f>
        <v/>
      </c>
    </row>
    <row r="190" spans="1:6" x14ac:dyDescent="0.25">
      <c r="A190" t="str">
        <f>'Interpreted Data'!A190</f>
        <v>AY</v>
      </c>
      <c r="B190" t="str">
        <f>'Interpreted Data'!B190</f>
        <v>AZ</v>
      </c>
      <c r="C190" s="2">
        <f>'Interpreted Data'!J190/$G$1</f>
        <v>5.3658536585365857</v>
      </c>
      <c r="D190" s="10">
        <f>'Interpreted Data'!T190</f>
        <v>79.333333333333329</v>
      </c>
      <c r="E190" s="11">
        <f>IF(D190="-",IF('Interpreted Data'!U190=-90,"-V",IF('Interpreted Data'!U190=90,"+V",'Interpreted Data'!U190)),'Interpreted Data'!U190)</f>
        <v>30.5</v>
      </c>
      <c r="F190" s="18" t="str">
        <f>IF('Interpreted Data'!P190="","",CONCATENATE(";",'Interpreted Data'!P190))</f>
        <v/>
      </c>
    </row>
    <row r="191" spans="1:6" x14ac:dyDescent="0.25">
      <c r="A191" t="str">
        <f>'Interpreted Data'!A191</f>
        <v>AZ</v>
      </c>
      <c r="B191" t="str">
        <f>'Interpreted Data'!B191</f>
        <v>BA</v>
      </c>
      <c r="C191" s="2">
        <f>'Interpreted Data'!J191/$G$1</f>
        <v>11.158536585365855</v>
      </c>
      <c r="D191" s="10">
        <f>'Interpreted Data'!T191</f>
        <v>113.5</v>
      </c>
      <c r="E191" s="11">
        <f>IF(D191="-",IF('Interpreted Data'!U191=-90,"-V",IF('Interpreted Data'!U191=90,"+V",'Interpreted Data'!U191)),'Interpreted Data'!U191)</f>
        <v>21.333333329999999</v>
      </c>
      <c r="F191" s="18" t="str">
        <f>IF('Interpreted Data'!P191="","",CONCATENATE(";",'Interpreted Data'!P191))</f>
        <v/>
      </c>
    </row>
    <row r="192" spans="1:6" x14ac:dyDescent="0.25">
      <c r="A192" t="str">
        <f>'Interpreted Data'!A192</f>
        <v>BA</v>
      </c>
      <c r="B192" t="str">
        <f>'Interpreted Data'!B192</f>
        <v>BB</v>
      </c>
      <c r="C192" s="2">
        <f>'Interpreted Data'!J192/$G$1</f>
        <v>3.2926829268292686</v>
      </c>
      <c r="D192" s="10">
        <f>'Interpreted Data'!T192</f>
        <v>359.5</v>
      </c>
      <c r="E192" s="11">
        <f>IF(D192="-",IF('Interpreted Data'!U192=-90,"-V",IF('Interpreted Data'!U192=90,"+V",'Interpreted Data'!U192)),'Interpreted Data'!U192)</f>
        <v>-38.333333330000002</v>
      </c>
      <c r="F192" s="18" t="str">
        <f>IF('Interpreted Data'!P192="","",CONCATENATE(";",'Interpreted Data'!P192))</f>
        <v/>
      </c>
    </row>
    <row r="193" spans="1:6" x14ac:dyDescent="0.25">
      <c r="A193" t="str">
        <f>'Interpreted Data'!A193</f>
        <v>BB</v>
      </c>
      <c r="B193" t="str">
        <f>'Interpreted Data'!B193</f>
        <v>BC</v>
      </c>
      <c r="C193" s="2">
        <f>'Interpreted Data'!J193/$G$1</f>
        <v>6.2195121951219514</v>
      </c>
      <c r="D193" s="10">
        <f>'Interpreted Data'!T193</f>
        <v>11.833333333333334</v>
      </c>
      <c r="E193" s="11">
        <f>IF(D193="-",IF('Interpreted Data'!U193=-90,"-V",IF('Interpreted Data'!U193=90,"+V",'Interpreted Data'!U193)),'Interpreted Data'!U193)</f>
        <v>1</v>
      </c>
      <c r="F193" s="18" t="str">
        <f>IF('Interpreted Data'!P193="","",CONCATENATE(";",'Interpreted Data'!P193))</f>
        <v>;3' before little portal</v>
      </c>
    </row>
    <row r="194" spans="1:6" x14ac:dyDescent="0.25">
      <c r="A194" t="str">
        <f>'Interpreted Data'!A194</f>
        <v>BC</v>
      </c>
      <c r="B194" t="str">
        <f>'Interpreted Data'!B194</f>
        <v>BD</v>
      </c>
      <c r="C194" s="2">
        <f>'Interpreted Data'!J194/$G$1</f>
        <v>15.121951219512196</v>
      </c>
      <c r="D194" s="10">
        <f>'Interpreted Data'!T194</f>
        <v>340</v>
      </c>
      <c r="E194" s="11">
        <f>IF(D194="-",IF('Interpreted Data'!U194=-90,"-V",IF('Interpreted Data'!U194=90,"+V",'Interpreted Data'!U194)),'Interpreted Data'!U194)</f>
        <v>17.666666660000001</v>
      </c>
      <c r="F194" s="18" t="str">
        <f>IF('Interpreted Data'!P194="","",CONCATENATE(";",'Interpreted Data'!P194))</f>
        <v/>
      </c>
    </row>
    <row r="195" spans="1:6" x14ac:dyDescent="0.25">
      <c r="A195" t="str">
        <f>'Interpreted Data'!A195</f>
        <v>BD</v>
      </c>
      <c r="B195" t="str">
        <f>'Interpreted Data'!B195</f>
        <v>BE</v>
      </c>
      <c r="C195" s="2">
        <f>'Interpreted Data'!J195/$G$1</f>
        <v>7.5304878048780486</v>
      </c>
      <c r="D195" s="10">
        <f>'Interpreted Data'!T195</f>
        <v>333</v>
      </c>
      <c r="E195" s="11">
        <f>IF(D195="-",IF('Interpreted Data'!U195=-90,"-V",IF('Interpreted Data'!U195=90,"+V",'Interpreted Data'!U195)),'Interpreted Data'!U195)</f>
        <v>-26</v>
      </c>
      <c r="F195" s="18" t="str">
        <f>IF('Interpreted Data'!P195="","",CONCATENATE(";",'Interpreted Data'!P195))</f>
        <v>;6' before junction with rift</v>
      </c>
    </row>
    <row r="196" spans="1:6" x14ac:dyDescent="0.25">
      <c r="A196" t="str">
        <f>'Interpreted Data'!A196</f>
        <v>BE</v>
      </c>
      <c r="B196" t="str">
        <f>'Interpreted Data'!B196</f>
        <v>BF</v>
      </c>
      <c r="C196" s="2">
        <f>'Interpreted Data'!J196/$G$1</f>
        <v>4.0548780487804885</v>
      </c>
      <c r="D196" s="10">
        <f>'Interpreted Data'!T196</f>
        <v>23.5</v>
      </c>
      <c r="E196" s="11">
        <f>IF(D196="-",IF('Interpreted Data'!U196=-90,"-V",IF('Interpreted Data'!U196=90,"+V",'Interpreted Data'!U196)),'Interpreted Data'!U196)</f>
        <v>14</v>
      </c>
      <c r="F196" s="18" t="str">
        <f>IF('Interpreted Data'!P196="","",CONCATENATE(";",'Interpreted Data'!P196))</f>
        <v>;over dark rift</v>
      </c>
    </row>
    <row r="197" spans="1:6" x14ac:dyDescent="0.25">
      <c r="A197" t="str">
        <f>'Interpreted Data'!A197</f>
        <v>BF</v>
      </c>
      <c r="B197" t="str">
        <f>'Interpreted Data'!B197</f>
        <v>BG</v>
      </c>
      <c r="C197" s="2">
        <f>'Interpreted Data'!J197/$G$1</f>
        <v>4.786585365853659</v>
      </c>
      <c r="D197" s="10">
        <f>'Interpreted Data'!T197</f>
        <v>91.833333333333329</v>
      </c>
      <c r="E197" s="11">
        <f>IF(D197="-",IF('Interpreted Data'!U197=-90,"-V",IF('Interpreted Data'!U197=90,"+V",'Interpreted Data'!U197)),'Interpreted Data'!U197)</f>
        <v>15</v>
      </c>
      <c r="F197" s="18" t="str">
        <f>IF('Interpreted Data'!P197="","",CONCATENATE(";",'Interpreted Data'!P197))</f>
        <v>;corner</v>
      </c>
    </row>
    <row r="198" spans="1:6" x14ac:dyDescent="0.25">
      <c r="A198" t="str">
        <f>'Interpreted Data'!A198</f>
        <v>BG</v>
      </c>
      <c r="B198" t="str">
        <f>'Interpreted Data'!B198</f>
        <v>BH</v>
      </c>
      <c r="C198" s="2">
        <f>'Interpreted Data'!J198/$G$1</f>
        <v>11.25</v>
      </c>
      <c r="D198" s="10">
        <f>'Interpreted Data'!T198</f>
        <v>144.33333333333334</v>
      </c>
      <c r="E198" s="11">
        <f>IF(D198="-",IF('Interpreted Data'!U198=-90,"-V",IF('Interpreted Data'!U198=90,"+V",'Interpreted Data'!U198)),'Interpreted Data'!U198)</f>
        <v>11.5</v>
      </c>
      <c r="F198" s="18" t="str">
        <f>IF('Interpreted Data'!P198="","",CONCATENATE(";",'Interpreted Data'!P198))</f>
        <v/>
      </c>
    </row>
    <row r="199" spans="1:6" x14ac:dyDescent="0.25">
      <c r="A199" t="str">
        <f>'Interpreted Data'!A199</f>
        <v>BH</v>
      </c>
      <c r="B199" t="str">
        <f>'Interpreted Data'!B199</f>
        <v>BI</v>
      </c>
      <c r="C199" s="2">
        <f>'Interpreted Data'!J199/$G$1</f>
        <v>7.3780487804878048</v>
      </c>
      <c r="D199" s="10">
        <f>'Interpreted Data'!T199</f>
        <v>104.16666666666667</v>
      </c>
      <c r="E199" s="11">
        <f>IF(D199="-",IF('Interpreted Data'!U199=-90,"-V",IF('Interpreted Data'!U199=90,"+V",'Interpreted Data'!U199)),'Interpreted Data'!U199)</f>
        <v>-0.5</v>
      </c>
      <c r="F199" s="18" t="str">
        <f>IF('Interpreted Data'!P199="","",CONCATENATE(";",'Interpreted Data'!P199))</f>
        <v/>
      </c>
    </row>
    <row r="200" spans="1:6" x14ac:dyDescent="0.25">
      <c r="A200" t="str">
        <f>'Interpreted Data'!A200</f>
        <v>BI</v>
      </c>
      <c r="B200" t="str">
        <f>'Interpreted Data'!B200</f>
        <v>BJ</v>
      </c>
      <c r="C200" s="2">
        <f>'Interpreted Data'!J200/$G$1</f>
        <v>5.3353658536585371</v>
      </c>
      <c r="D200" s="10">
        <f>'Interpreted Data'!T200</f>
        <v>32.333333333333336</v>
      </c>
      <c r="E200" s="11">
        <f>IF(D200="-",IF('Interpreted Data'!U200=-90,"-V",IF('Interpreted Data'!U200=90,"+V",'Interpreted Data'!U200)),'Interpreted Data'!U200)</f>
        <v>39</v>
      </c>
      <c r="F200" s="18" t="str">
        <f>IF('Interpreted Data'!P200="","",CONCATENATE(";",'Interpreted Data'!P200))</f>
        <v>;W.R. At stream level nil(?)</v>
      </c>
    </row>
    <row r="201" spans="1:6" x14ac:dyDescent="0.25">
      <c r="A201" t="str">
        <f>'Interpreted Data'!A201</f>
        <v>BJ</v>
      </c>
      <c r="B201" t="str">
        <f>'Interpreted Data'!B201</f>
        <v>BK</v>
      </c>
      <c r="C201" s="2">
        <f>'Interpreted Data'!J201/$G$1</f>
        <v>7.5609756097560981</v>
      </c>
      <c r="D201" s="10">
        <f>'Interpreted Data'!T201</f>
        <v>121</v>
      </c>
      <c r="E201" s="11">
        <f>IF(D201="-",IF('Interpreted Data'!U201=-90,"-V",IF('Interpreted Data'!U201=90,"+V",'Interpreted Data'!U201)),'Interpreted Data'!U201)</f>
        <v>9</v>
      </c>
      <c r="F201" s="18" t="str">
        <f>IF('Interpreted Data'!P201="","",CONCATENATE(";",'Interpreted Data'!P201))</f>
        <v>;above lower double pot</v>
      </c>
    </row>
    <row r="202" spans="1:6" x14ac:dyDescent="0.25">
      <c r="A202" t="str">
        <f>'Interpreted Data'!A202</f>
        <v>BK</v>
      </c>
      <c r="B202" t="str">
        <f>'Interpreted Data'!B202</f>
        <v>BL</v>
      </c>
      <c r="C202" s="2">
        <f>'Interpreted Data'!J202/$G$1</f>
        <v>6.7378048780487809</v>
      </c>
      <c r="D202" s="10">
        <f>'Interpreted Data'!T202</f>
        <v>97.5</v>
      </c>
      <c r="E202" s="11">
        <f>IF(D202="-",IF('Interpreted Data'!U202=-90,"-V",IF('Interpreted Data'!U202=90,"+V",'Interpreted Data'!U202)),'Interpreted Data'!U202)</f>
        <v>-0.5</v>
      </c>
      <c r="F202" s="18" t="str">
        <f>IF('Interpreted Data'!P202="","",CONCATENATE(";",'Interpreted Data'!P202))</f>
        <v>;low height due to stalagmite choke in high aven</v>
      </c>
    </row>
    <row r="203" spans="1:6" x14ac:dyDescent="0.25">
      <c r="A203" t="str">
        <f>'Interpreted Data'!A203</f>
        <v>BL</v>
      </c>
      <c r="B203" t="str">
        <f>'Interpreted Data'!B203</f>
        <v>BM</v>
      </c>
      <c r="C203" s="2">
        <f>'Interpreted Data'!J203/$G$1</f>
        <v>10.884146341463417</v>
      </c>
      <c r="D203" s="10">
        <f>'Interpreted Data'!T203</f>
        <v>133</v>
      </c>
      <c r="E203" s="11">
        <f>IF(D203="-",IF('Interpreted Data'!U203=-90,"-V",IF('Interpreted Data'!U203=90,"+V",'Interpreted Data'!U203)),'Interpreted Data'!U203)</f>
        <v>7</v>
      </c>
      <c r="F203" s="18" t="str">
        <f>IF('Interpreted Data'!P203="","",CONCATENATE(";",'Interpreted Data'!P203))</f>
        <v/>
      </c>
    </row>
    <row r="204" spans="1:6" x14ac:dyDescent="0.25">
      <c r="A204" t="str">
        <f>'Interpreted Data'!A204</f>
        <v>BM</v>
      </c>
      <c r="B204" t="str">
        <f>'Interpreted Data'!B204</f>
        <v>BN</v>
      </c>
      <c r="C204" s="2">
        <f>'Interpreted Data'!J204/$G$1</f>
        <v>3.0182926829268295</v>
      </c>
      <c r="D204" s="10">
        <f>'Interpreted Data'!T204</f>
        <v>171.33333333333334</v>
      </c>
      <c r="E204" s="11">
        <f>IF(D204="-",IF('Interpreted Data'!U204=-90,"-V",IF('Interpreted Data'!U204=90,"+V",'Interpreted Data'!U204)),'Interpreted Data'!U204)</f>
        <v>-23.5</v>
      </c>
      <c r="F204" s="18" t="str">
        <f>IF('Interpreted Data'!P204="","",CONCATENATE(";",'Interpreted Data'!P204))</f>
        <v/>
      </c>
    </row>
    <row r="205" spans="1:6" x14ac:dyDescent="0.25">
      <c r="A205" t="str">
        <f>'Interpreted Data'!A205</f>
        <v>BN</v>
      </c>
      <c r="B205" t="str">
        <f>'Interpreted Data'!B205</f>
        <v>BO</v>
      </c>
      <c r="C205" s="2">
        <f>'Interpreted Data'!J205/$G$1</f>
        <v>2.3475609756097562</v>
      </c>
      <c r="D205" s="10">
        <f>'Interpreted Data'!T205</f>
        <v>102.33333333333333</v>
      </c>
      <c r="E205" s="11">
        <f>IF(D205="-",IF('Interpreted Data'!U205=-90,"-V",IF('Interpreted Data'!U205=90,"+V",'Interpreted Data'!U205)),'Interpreted Data'!U205)</f>
        <v>15</v>
      </c>
      <c r="F205" s="18" t="str">
        <f>IF('Interpreted Data'!P205="","",CONCATENATE(";",'Interpreted Data'!P205))</f>
        <v/>
      </c>
    </row>
    <row r="206" spans="1:6" x14ac:dyDescent="0.25">
      <c r="A206" t="str">
        <f>'Interpreted Data'!A206</f>
        <v>BO</v>
      </c>
      <c r="B206" t="str">
        <f>'Interpreted Data'!B206</f>
        <v>BP</v>
      </c>
      <c r="C206" s="2">
        <f>'Interpreted Data'!J206/$G$1</f>
        <v>6.4634146341463419</v>
      </c>
      <c r="D206" s="10">
        <f>'Interpreted Data'!T206</f>
        <v>137</v>
      </c>
      <c r="E206" s="11">
        <f>IF(D206="-",IF('Interpreted Data'!U206=-90,"-V",IF('Interpreted Data'!U206=90,"+V",'Interpreted Data'!U206)),'Interpreted Data'!U206)</f>
        <v>6.8333333300000003</v>
      </c>
      <c r="F206" s="18" t="str">
        <f>IF('Interpreted Data'!P206="","",CONCATENATE(";",'Interpreted Data'!P206))</f>
        <v/>
      </c>
    </row>
    <row r="207" spans="1:6" x14ac:dyDescent="0.25">
      <c r="A207" t="str">
        <f>'Interpreted Data'!A207</f>
        <v>BP</v>
      </c>
      <c r="B207" t="str">
        <f>'Interpreted Data'!B207</f>
        <v>BQ</v>
      </c>
      <c r="C207" s="2">
        <f>'Interpreted Data'!J207/$G$1</f>
        <v>8.6890243902439028</v>
      </c>
      <c r="D207" s="10">
        <f>'Interpreted Data'!T207</f>
        <v>152.5</v>
      </c>
      <c r="E207" s="11">
        <f>IF(D207="-",IF('Interpreted Data'!U207=-90,"-V",IF('Interpreted Data'!U207=90,"+V",'Interpreted Data'!U207)),'Interpreted Data'!U207)</f>
        <v>9.6666666600000006</v>
      </c>
      <c r="F207" s="18" t="str">
        <f>IF('Interpreted Data'!P207="","",CONCATENATE(";",'Interpreted Data'!P207))</f>
        <v/>
      </c>
    </row>
    <row r="208" spans="1:6" x14ac:dyDescent="0.25">
      <c r="A208" t="str">
        <f>'Interpreted Data'!A208</f>
        <v>BQ</v>
      </c>
      <c r="B208" t="str">
        <f>'Interpreted Data'!B208</f>
        <v>BR</v>
      </c>
      <c r="C208" s="2">
        <f>'Interpreted Data'!J208/$G$1</f>
        <v>9.0243902439024399</v>
      </c>
      <c r="D208" s="10">
        <f>'Interpreted Data'!T208</f>
        <v>133.16666666666666</v>
      </c>
      <c r="E208" s="11">
        <f>IF(D208="-",IF('Interpreted Data'!U208=-90,"-V",IF('Interpreted Data'!U208=90,"+V",'Interpreted Data'!U208)),'Interpreted Data'!U208)</f>
        <v>1.5</v>
      </c>
      <c r="F208" s="18" t="str">
        <f>IF('Interpreted Data'!P208="","",CONCATENATE(";",'Interpreted Data'!P208))</f>
        <v/>
      </c>
    </row>
    <row r="209" spans="1:6" x14ac:dyDescent="0.25">
      <c r="A209" t="str">
        <f>'Interpreted Data'!A209</f>
        <v>BR</v>
      </c>
      <c r="B209" t="str">
        <f>'Interpreted Data'!B209</f>
        <v>BS</v>
      </c>
      <c r="C209" s="2">
        <f>'Interpreted Data'!J209/$G$1</f>
        <v>6.2195121951219514</v>
      </c>
      <c r="D209" s="10">
        <f>'Interpreted Data'!T209</f>
        <v>137.5</v>
      </c>
      <c r="E209" s="11">
        <f>IF(D209="-",IF('Interpreted Data'!U209=-90,"-V",IF('Interpreted Data'!U209=90,"+V",'Interpreted Data'!U209)),'Interpreted Data'!U209)</f>
        <v>-4.5</v>
      </c>
      <c r="F209" s="18" t="str">
        <f>IF('Interpreted Data'!P209="","",CONCATENATE(";",'Interpreted Data'!P209))</f>
        <v>;below boss in Shrine</v>
      </c>
    </row>
    <row r="210" spans="1:6" x14ac:dyDescent="0.25">
      <c r="A210" t="str">
        <f>'Interpreted Data'!A210</f>
        <v>BS</v>
      </c>
      <c r="B210" t="str">
        <f>'Interpreted Data'!B210</f>
        <v>BT</v>
      </c>
      <c r="C210" s="2">
        <f>'Interpreted Data'!J210/$G$1</f>
        <v>0.45731707317073172</v>
      </c>
      <c r="D210" s="10">
        <f>'Interpreted Data'!T210</f>
        <v>149</v>
      </c>
      <c r="E210" s="11">
        <f>IF(D210="-",IF('Interpreted Data'!U210=-90,"-V",IF('Interpreted Data'!U210=90,"+V",'Interpreted Data'!U210)),'Interpreted Data'!U210)</f>
        <v>-3.8225537292743446</v>
      </c>
      <c r="F210" s="18" t="str">
        <f>IF('Interpreted Data'!P210="","",CONCATENATE(";",'Interpreted Data'!P210))</f>
        <v>;bloody horrible</v>
      </c>
    </row>
    <row r="211" spans="1:6" x14ac:dyDescent="0.25">
      <c r="A211" t="str">
        <f>'Interpreted Data'!A211</f>
        <v>BT</v>
      </c>
      <c r="B211" t="str">
        <f>'Interpreted Data'!B211</f>
        <v>BU</v>
      </c>
      <c r="C211" s="2">
        <f>'Interpreted Data'!J211/$G$1</f>
        <v>6.5853658536585371</v>
      </c>
      <c r="D211" s="10">
        <f>'Interpreted Data'!T211</f>
        <v>85.833333333333329</v>
      </c>
      <c r="E211" s="11">
        <f>IF(D211="-",IF('Interpreted Data'!U211=-90,"-V",IF('Interpreted Data'!U211=90,"+V",'Interpreted Data'!U211)),'Interpreted Data'!U211)</f>
        <v>14.33333333</v>
      </c>
      <c r="F211" s="18" t="str">
        <f>IF('Interpreted Data'!P211="","",CONCATENATE(";",'Interpreted Data'!P211))</f>
        <v/>
      </c>
    </row>
    <row r="212" spans="1:6" x14ac:dyDescent="0.25">
      <c r="A212" t="str">
        <f>'Interpreted Data'!A212</f>
        <v>BU</v>
      </c>
      <c r="B212" t="str">
        <f>'Interpreted Data'!B212</f>
        <v>BV</v>
      </c>
      <c r="C212" s="2">
        <f>'Interpreted Data'!J212/$G$1</f>
        <v>2.5914634146341466</v>
      </c>
      <c r="D212" s="10">
        <f>'Interpreted Data'!T212</f>
        <v>116</v>
      </c>
      <c r="E212" s="11">
        <f>IF(D212="-",IF('Interpreted Data'!U212=-90,"-V",IF('Interpreted Data'!U212=90,"+V",'Interpreted Data'!U212)),'Interpreted Data'!U212)</f>
        <v>-6.5</v>
      </c>
      <c r="F212" s="18" t="str">
        <f>IF('Interpreted Data'!P212="","",CONCATENATE(";",'Interpreted Data'!P212))</f>
        <v/>
      </c>
    </row>
    <row r="213" spans="1:6" x14ac:dyDescent="0.25">
      <c r="A213" t="str">
        <f>'Interpreted Data'!A213</f>
        <v>BV</v>
      </c>
      <c r="B213" t="str">
        <f>'Interpreted Data'!B213</f>
        <v>BW</v>
      </c>
      <c r="C213" s="2">
        <f>'Interpreted Data'!J213/$G$1</f>
        <v>4.786585365853659</v>
      </c>
      <c r="D213" s="10">
        <f>'Interpreted Data'!T213</f>
        <v>86.333333333333329</v>
      </c>
      <c r="E213" s="11">
        <f>IF(D213="-",IF('Interpreted Data'!U213=-90,"-V",IF('Interpreted Data'!U213=90,"+V",'Interpreted Data'!U213)),'Interpreted Data'!U213)</f>
        <v>11.5</v>
      </c>
      <c r="F213" s="18" t="str">
        <f>IF('Interpreted Data'!P213="","",CONCATENATE(";",'Interpreted Data'!P213))</f>
        <v/>
      </c>
    </row>
    <row r="214" spans="1:6" x14ac:dyDescent="0.25">
      <c r="A214" t="str">
        <f>'Interpreted Data'!A214</f>
        <v>BW</v>
      </c>
      <c r="B214" t="str">
        <f>'Interpreted Data'!B214</f>
        <v>BX</v>
      </c>
      <c r="C214" s="2">
        <f>'Interpreted Data'!J214/$G$1</f>
        <v>8.6890243902439028</v>
      </c>
      <c r="D214" s="10">
        <f>'Interpreted Data'!T214</f>
        <v>117</v>
      </c>
      <c r="E214" s="11">
        <f>IF(D214="-",IF('Interpreted Data'!U214=-90,"-V",IF('Interpreted Data'!U214=90,"+V",'Interpreted Data'!U214)),'Interpreted Data'!U214)</f>
        <v>32.5</v>
      </c>
      <c r="F214" s="18" t="str">
        <f>IF('Interpreted Data'!P214="","",CONCATENATE(";",'Interpreted Data'!P214))</f>
        <v/>
      </c>
    </row>
    <row r="215" spans="1:6" x14ac:dyDescent="0.25">
      <c r="A215" t="str">
        <f>'Interpreted Data'!A215</f>
        <v>BX</v>
      </c>
      <c r="B215" t="str">
        <f>'Interpreted Data'!B215</f>
        <v>BY</v>
      </c>
      <c r="C215" s="2">
        <f>'Interpreted Data'!J215/$G$1</f>
        <v>2.1036585365853662</v>
      </c>
      <c r="D215" s="10">
        <f>'Interpreted Data'!T215</f>
        <v>146</v>
      </c>
      <c r="E215" s="11">
        <f>IF(D215="-",IF('Interpreted Data'!U215=-90,"-V",IF('Interpreted Data'!U215=90,"+V",'Interpreted Data'!U215)),'Interpreted Data'!U215)</f>
        <v>24.5</v>
      </c>
      <c r="F215" s="18" t="str">
        <f>IF('Interpreted Data'!P215="","",CONCATENATE(";",'Interpreted Data'!P215))</f>
        <v>;beside hook at top of 20' Drop. W.L. as sta 1'</v>
      </c>
    </row>
    <row r="216" spans="1:6" x14ac:dyDescent="0.25">
      <c r="A216" t="str">
        <f>'Interpreted Data'!A216</f>
        <v>BY</v>
      </c>
      <c r="B216" t="str">
        <f>'Interpreted Data'!B216</f>
        <v>BZ</v>
      </c>
      <c r="C216" s="2">
        <f>'Interpreted Data'!J216/$G$1</f>
        <v>4.2073170731707323</v>
      </c>
      <c r="D216" s="10">
        <f>'Interpreted Data'!T216</f>
        <v>125.33333333333333</v>
      </c>
      <c r="E216" s="11">
        <f>IF(D216="-",IF('Interpreted Data'!U216=-90,"-V",IF('Interpreted Data'!U216=90,"+V",'Interpreted Data'!U216)),'Interpreted Data'!U216)</f>
        <v>-4.5</v>
      </c>
      <c r="F216" s="18" t="str">
        <f>IF('Interpreted Data'!P216="","",CONCATENATE(";",'Interpreted Data'!P216))</f>
        <v/>
      </c>
    </row>
    <row r="217" spans="1:6" x14ac:dyDescent="0.25">
      <c r="A217" t="str">
        <f>'Interpreted Data'!A217</f>
        <v>BZ</v>
      </c>
      <c r="B217" t="str">
        <f>'Interpreted Data'!B217</f>
        <v>CA</v>
      </c>
      <c r="C217" s="2">
        <f>'Interpreted Data'!J217/$G$1</f>
        <v>5.6402439024390247</v>
      </c>
      <c r="D217" s="10">
        <f>'Interpreted Data'!T217</f>
        <v>172</v>
      </c>
      <c r="E217" s="11">
        <f>IF(D217="-",IF('Interpreted Data'!U217=-90,"-V",IF('Interpreted Data'!U217=90,"+V",'Interpreted Data'!U217)),'Interpreted Data'!U217)</f>
        <v>2.25</v>
      </c>
      <c r="F217" s="18" t="str">
        <f>IF('Interpreted Data'!P217="","",CONCATENATE(";",'Interpreted Data'!P217))</f>
        <v/>
      </c>
    </row>
    <row r="218" spans="1:6" x14ac:dyDescent="0.25">
      <c r="A218" t="str">
        <f>'Interpreted Data'!A218</f>
        <v>CA</v>
      </c>
      <c r="B218" t="str">
        <f>'Interpreted Data'!B218</f>
        <v>CB</v>
      </c>
      <c r="C218" s="2">
        <f>'Interpreted Data'!J218/$G$1</f>
        <v>2.4390243902439024</v>
      </c>
      <c r="D218" s="10">
        <f>'Interpreted Data'!T218</f>
        <v>125</v>
      </c>
      <c r="E218" s="11">
        <f>IF(D218="-",IF('Interpreted Data'!U218=-90,"-V",IF('Interpreted Data'!U218=90,"+V",'Interpreted Data'!U218)),'Interpreted Data'!U218)</f>
        <v>4</v>
      </c>
      <c r="F218" s="18" t="str">
        <f>IF('Interpreted Data'!P218="","",CONCATENATE(";",'Interpreted Data'!P218))</f>
        <v>;W.L. at sta 1'</v>
      </c>
    </row>
    <row r="219" spans="1:6" x14ac:dyDescent="0.25">
      <c r="A219" t="str">
        <f>'Interpreted Data'!A219</f>
        <v>CB</v>
      </c>
      <c r="B219" t="str">
        <f>'Interpreted Data'!B219</f>
        <v>CC</v>
      </c>
      <c r="C219" s="2">
        <f>'Interpreted Data'!J219/$G$1</f>
        <v>5.3048780487804876</v>
      </c>
      <c r="D219" s="10">
        <f>'Interpreted Data'!T219</f>
        <v>104.16666666666667</v>
      </c>
      <c r="E219" s="11">
        <f>IF(D219="-",IF('Interpreted Data'!U219=-90,"-V",IF('Interpreted Data'!U219=90,"+V",'Interpreted Data'!U219)),'Interpreted Data'!U219)</f>
        <v>16</v>
      </c>
      <c r="F219" s="18" t="str">
        <f>IF('Interpreted Data'!P219="","",CONCATENATE(";",'Interpreted Data'!P219))</f>
        <v/>
      </c>
    </row>
    <row r="220" spans="1:6" x14ac:dyDescent="0.25">
      <c r="A220" t="str">
        <f>'Interpreted Data'!A220</f>
        <v>CC</v>
      </c>
      <c r="B220" t="str">
        <f>'Interpreted Data'!B220</f>
        <v>CD</v>
      </c>
      <c r="C220" s="2">
        <f>'Interpreted Data'!J220/$G$1</f>
        <v>22.743902439024389</v>
      </c>
      <c r="D220" s="10">
        <f>'Interpreted Data'!T220</f>
        <v>137.16666666666666</v>
      </c>
      <c r="E220" s="11">
        <f>IF(D220="-",IF('Interpreted Data'!U220=-90,"-V",IF('Interpreted Data'!U220=90,"+V",'Interpreted Data'!U220)),'Interpreted Data'!U220)</f>
        <v>7.1666666599999997</v>
      </c>
      <c r="F220" s="18" t="str">
        <f>IF('Interpreted Data'!P220="","",CONCATENATE(";",'Interpreted Data'!P220))</f>
        <v/>
      </c>
    </row>
    <row r="221" spans="1:6" x14ac:dyDescent="0.25">
      <c r="A221" t="str">
        <f>'Interpreted Data'!A221</f>
        <v>CD</v>
      </c>
      <c r="B221" t="str">
        <f>'Interpreted Data'!B221</f>
        <v>CE</v>
      </c>
      <c r="C221" s="2">
        <f>'Interpreted Data'!J221/$G$1</f>
        <v>10.670731707317074</v>
      </c>
      <c r="D221" s="10">
        <f>'Interpreted Data'!T221</f>
        <v>124</v>
      </c>
      <c r="E221" s="11">
        <f>IF(D221="-",IF('Interpreted Data'!U221=-90,"-V",IF('Interpreted Data'!U221=90,"+V",'Interpreted Data'!U221)),'Interpreted Data'!U221)</f>
        <v>19</v>
      </c>
      <c r="F221" s="18" t="str">
        <f>IF('Interpreted Data'!P221="","",CONCATENATE(";",'Interpreted Data'!P221))</f>
        <v/>
      </c>
    </row>
    <row r="222" spans="1:6" x14ac:dyDescent="0.25">
      <c r="A222" t="str">
        <f>'Interpreted Data'!A222</f>
        <v>CE</v>
      </c>
      <c r="B222" t="str">
        <f>'Interpreted Data'!B222</f>
        <v>CF</v>
      </c>
      <c r="C222" s="2">
        <f>'Interpreted Data'!J222/$G$1</f>
        <v>8.6280487804878057</v>
      </c>
      <c r="D222" s="10">
        <f>'Interpreted Data'!T222</f>
        <v>91.666666666666671</v>
      </c>
      <c r="E222" s="11">
        <f>IF(D222="-",IF('Interpreted Data'!U222=-90,"-V",IF('Interpreted Data'!U222=90,"+V",'Interpreted Data'!U222)),'Interpreted Data'!U222)</f>
        <v>-13.5</v>
      </c>
      <c r="F222" s="18" t="str">
        <f>IF('Interpreted Data'!P222="","",CONCATENATE(";",'Interpreted Data'!P222))</f>
        <v/>
      </c>
    </row>
    <row r="223" spans="1:6" x14ac:dyDescent="0.25">
      <c r="A223" t="str">
        <f>'Interpreted Data'!A223</f>
        <v>CF</v>
      </c>
      <c r="B223" t="str">
        <f>'Interpreted Data'!B223</f>
        <v>CG</v>
      </c>
      <c r="C223" s="2">
        <f>'Interpreted Data'!J223/$G$1</f>
        <v>3.2317073170731709</v>
      </c>
      <c r="D223" s="10">
        <f>'Interpreted Data'!T223</f>
        <v>114.5</v>
      </c>
      <c r="E223" s="11">
        <f>IF(D223="-",IF('Interpreted Data'!U223=-90,"-V",IF('Interpreted Data'!U223=90,"+V",'Interpreted Data'!U223)),'Interpreted Data'!U223)</f>
        <v>16.5</v>
      </c>
      <c r="F223" s="18" t="str">
        <f>IF('Interpreted Data'!P223="","",CONCATENATE(";",'Interpreted Data'!P223))</f>
        <v/>
      </c>
    </row>
    <row r="224" spans="1:6" x14ac:dyDescent="0.25">
      <c r="A224" t="str">
        <f>'Interpreted Data'!A224</f>
        <v>CG</v>
      </c>
      <c r="B224" t="str">
        <f>'Interpreted Data'!B224</f>
        <v>CH</v>
      </c>
      <c r="C224" s="2">
        <f>'Interpreted Data'!J224/$G$1</f>
        <v>9.573170731707318</v>
      </c>
      <c r="D224" s="10">
        <f>'Interpreted Data'!T224</f>
        <v>14.333333333333334</v>
      </c>
      <c r="E224" s="11">
        <f>IF(D224="-",IF('Interpreted Data'!U224=-90,"-V",IF('Interpreted Data'!U224=90,"+V",'Interpreted Data'!U224)),'Interpreted Data'!U224)</f>
        <v>-3.5</v>
      </c>
      <c r="F224" s="18" t="str">
        <f>IF('Interpreted Data'!P224="","",CONCATENATE(";",'Interpreted Data'!P224))</f>
        <v/>
      </c>
    </row>
    <row r="225" spans="1:6" x14ac:dyDescent="0.25">
      <c r="A225" t="str">
        <f>'Interpreted Data'!A225</f>
        <v>CH</v>
      </c>
      <c r="B225" t="str">
        <f>'Interpreted Data'!B225</f>
        <v>CI</v>
      </c>
      <c r="C225" s="2">
        <f>'Interpreted Data'!J225/$G$1</f>
        <v>4.8475609756097562</v>
      </c>
      <c r="D225" s="10">
        <f>'Interpreted Data'!T225</f>
        <v>349</v>
      </c>
      <c r="E225" s="11">
        <f>IF(D225="-",IF('Interpreted Data'!U225=-90,"-V",IF('Interpreted Data'!U225=90,"+V",'Interpreted Data'!U225)),'Interpreted Data'!U225)</f>
        <v>4.5</v>
      </c>
      <c r="F225" s="18" t="str">
        <f>IF('Interpreted Data'!P225="","",CONCATENATE(";",'Interpreted Data'!P225))</f>
        <v/>
      </c>
    </row>
    <row r="226" spans="1:6" x14ac:dyDescent="0.25">
      <c r="A226" t="str">
        <f>'Interpreted Data'!A226</f>
        <v>CI</v>
      </c>
      <c r="B226" t="str">
        <f>'Interpreted Data'!B226</f>
        <v>CJ</v>
      </c>
      <c r="C226" s="2">
        <f>'Interpreted Data'!J226/$G$1</f>
        <v>10.731707317073171</v>
      </c>
      <c r="D226" s="10">
        <f>'Interpreted Data'!T226</f>
        <v>23</v>
      </c>
      <c r="E226" s="11">
        <f>IF(D226="-",IF('Interpreted Data'!U226=-90,"-V",IF('Interpreted Data'!U226=90,"+V",'Interpreted Data'!U226)),'Interpreted Data'!U226)</f>
        <v>-3.8333333299999999</v>
      </c>
      <c r="F226" s="18" t="str">
        <f>IF('Interpreted Data'!P226="","",CONCATENATE(";",'Interpreted Data'!P226))</f>
        <v/>
      </c>
    </row>
    <row r="227" spans="1:6" x14ac:dyDescent="0.25">
      <c r="A227" t="str">
        <f>'Interpreted Data'!A227</f>
        <v>CJ</v>
      </c>
      <c r="B227" t="str">
        <f>'Interpreted Data'!B227</f>
        <v>CK</v>
      </c>
      <c r="C227" s="2">
        <f>'Interpreted Data'!J227/$G$1</f>
        <v>3.7500000000000004</v>
      </c>
      <c r="D227" s="10">
        <f>'Interpreted Data'!T227</f>
        <v>328</v>
      </c>
      <c r="E227" s="11">
        <f>IF(D227="-",IF('Interpreted Data'!U227=-90,"-V",IF('Interpreted Data'!U227=90,"+V",'Interpreted Data'!U227)),'Interpreted Data'!U227)</f>
        <v>-4.6633404187377394</v>
      </c>
      <c r="F227" s="18" t="str">
        <f>IF('Interpreted Data'!P227="","",CONCATENATE(";",'Interpreted Data'!P227))</f>
        <v>;side of pot at entrance of passage</v>
      </c>
    </row>
    <row r="228" spans="1:6" x14ac:dyDescent="0.25">
      <c r="A228" t="str">
        <f>'Interpreted Data'!A228</f>
        <v>CK</v>
      </c>
      <c r="B228" t="str">
        <f>'Interpreted Data'!B228</f>
        <v>CL</v>
      </c>
      <c r="C228" s="2">
        <f>'Interpreted Data'!J228/$G$1</f>
        <v>10.884146341463417</v>
      </c>
      <c r="D228" s="10">
        <f>'Interpreted Data'!T228</f>
        <v>92</v>
      </c>
      <c r="E228" s="11">
        <f>IF(D228="-",IF('Interpreted Data'!U228=-90,"-V",IF('Interpreted Data'!U228=90,"+V",'Interpreted Data'!U228)),'Interpreted Data'!U228)</f>
        <v>71</v>
      </c>
      <c r="F228" s="18" t="str">
        <f>IF('Interpreted Data'!P228="","",CONCATENATE(";",'Interpreted Data'!P228))</f>
        <v>;side of pot</v>
      </c>
    </row>
    <row r="229" spans="1:6" x14ac:dyDescent="0.25">
      <c r="A229" t="str">
        <f>'Interpreted Data'!A229</f>
        <v>CL</v>
      </c>
      <c r="B229" t="str">
        <f>'Interpreted Data'!B229</f>
        <v>CN</v>
      </c>
      <c r="C229" s="2">
        <f>'Interpreted Data'!J229/$G$1</f>
        <v>0.97608601180378796</v>
      </c>
      <c r="D229" s="10">
        <f>'Interpreted Data'!T229</f>
        <v>100</v>
      </c>
      <c r="E229" s="11">
        <f>IF(D229="-",IF('Interpreted Data'!U229=-90,"-V",IF('Interpreted Data'!U229=90,"+V",'Interpreted Data'!U229)),'Interpreted Data'!U229)</f>
        <v>38.659808254090095</v>
      </c>
      <c r="F229" s="18" t="str">
        <f>IF('Interpreted Data'!P229="","",CONCATENATE(";",'Interpreted Data'!P229))</f>
        <v>;lip of pot</v>
      </c>
    </row>
    <row r="230" spans="1:6" x14ac:dyDescent="0.25">
      <c r="A230" s="18" t="str">
        <f>CONCATENATE(";",'Interpreted Data'!A230)</f>
        <v>;CN</v>
      </c>
      <c r="B230" t="str">
        <f>'Interpreted Data'!B230</f>
        <v/>
      </c>
      <c r="C230" s="2"/>
      <c r="D230" s="10"/>
      <c r="E230" s="11"/>
      <c r="F230" s="18" t="str">
        <f>IF('Interpreted Data'!P230="","",CONCATENATE(";",'Interpreted Data'!P230))</f>
        <v>;see p.55</v>
      </c>
    </row>
    <row r="231" spans="1:6" x14ac:dyDescent="0.25">
      <c r="A231" s="18" t="str">
        <f>CONCATENATE(";",'Interpreted Data'!A231)</f>
        <v>;1st March 1953</v>
      </c>
      <c r="B231" t="str">
        <f>'Interpreted Data'!B231</f>
        <v>Phil, Don, Oliver, Colin</v>
      </c>
      <c r="C231" s="2"/>
      <c r="D231" s="10"/>
      <c r="E231" s="11"/>
      <c r="F231" s="18" t="str">
        <f>IF('Interpreted Data'!P231="","",CONCATENATE(";",'Interpreted Data'!P231))</f>
        <v/>
      </c>
    </row>
    <row r="232" spans="1:6" x14ac:dyDescent="0.25">
      <c r="A232" t="str">
        <f>'Interpreted Data'!A232</f>
        <v>AL</v>
      </c>
      <c r="B232" t="str">
        <f>CONCATENATE('Interpreted Data'!B232,"3")</f>
        <v>a3</v>
      </c>
      <c r="C232" s="2">
        <f>'Interpreted Data'!J232/$G$1</f>
        <v>1.0365853658536586</v>
      </c>
      <c r="D232" s="10">
        <f>'Interpreted Data'!T232</f>
        <v>228</v>
      </c>
      <c r="E232" s="11">
        <f>IF(D232="-",IF('Interpreted Data'!U232=-90,"-V",IF('Interpreted Data'!U232=90,"+V",'Interpreted Data'!U232)),'Interpreted Data'!U232)</f>
        <v>-17.104635176643804</v>
      </c>
      <c r="F232" s="18" t="str">
        <f>IF('Interpreted Data'!P232="","",CONCATENATE(";",'Interpreted Data'!P232))</f>
        <v>;See p.51 Below Trats Grotto</v>
      </c>
    </row>
    <row r="233" spans="1:6" x14ac:dyDescent="0.25">
      <c r="A233" t="str">
        <f>CONCATENATE('Interpreted Data'!A233,"3")</f>
        <v>a3</v>
      </c>
      <c r="B233" t="str">
        <f>CONCATENATE('Interpreted Data'!B233,"3")</f>
        <v>b3</v>
      </c>
      <c r="C233" s="2">
        <f>'Interpreted Data'!J233/$G$1</f>
        <v>5.9146341463414629</v>
      </c>
      <c r="D233" s="10">
        <f>'Interpreted Data'!T233</f>
        <v>184</v>
      </c>
      <c r="E233" s="11">
        <f>IF(D233="-",IF('Interpreted Data'!U233=-90,"-V",IF('Interpreted Data'!U233=90,"+V",'Interpreted Data'!U233)),'Interpreted Data'!U233)</f>
        <v>56.5</v>
      </c>
      <c r="F233" s="18" t="str">
        <f>IF('Interpreted Data'!P233="","",CONCATENATE(";",'Interpreted Data'!P233))</f>
        <v/>
      </c>
    </row>
    <row r="234" spans="1:6" x14ac:dyDescent="0.25">
      <c r="A234" t="str">
        <f>CONCATENATE('Interpreted Data'!A234,"3")</f>
        <v>b3</v>
      </c>
      <c r="B234" t="str">
        <f>CONCATENATE('Interpreted Data'!B234,"3")</f>
        <v>c3</v>
      </c>
      <c r="C234" s="2">
        <f>'Interpreted Data'!J234/$G$1</f>
        <v>3.2926829268292686</v>
      </c>
      <c r="D234" s="10">
        <f>'Interpreted Data'!T234</f>
        <v>49.666666666666664</v>
      </c>
      <c r="E234" s="11">
        <f>IF(D234="-",IF('Interpreted Data'!U234=-90,"-V",IF('Interpreted Data'!U234=90,"+V",'Interpreted Data'!U234)),'Interpreted Data'!U234)</f>
        <v>30.25</v>
      </c>
      <c r="F234" s="18" t="str">
        <f>IF('Interpreted Data'!P234="","",CONCATENATE(";",'Interpreted Data'!P234))</f>
        <v>;Top of pit</v>
      </c>
    </row>
    <row r="235" spans="1:6" x14ac:dyDescent="0.25">
      <c r="A235" t="str">
        <f>CONCATENATE('Interpreted Data'!A235,"3")</f>
        <v>c3</v>
      </c>
      <c r="B235" t="str">
        <f>CONCATENATE('Interpreted Data'!B235,"3")</f>
        <v>d3</v>
      </c>
      <c r="C235" s="2">
        <f>'Interpreted Data'!J235/$G$1</f>
        <v>7.2560975609756104</v>
      </c>
      <c r="D235" s="10">
        <f>'Interpreted Data'!T235</f>
        <v>203.66666666666666</v>
      </c>
      <c r="E235" s="11">
        <f>IF(D235="-",IF('Interpreted Data'!U235=-90,"-V",IF('Interpreted Data'!U235=90,"+V",'Interpreted Data'!U235)),'Interpreted Data'!U235)</f>
        <v>19.666666660000001</v>
      </c>
      <c r="F235" s="18" t="str">
        <f>IF('Interpreted Data'!P235="","",CONCATENATE(";",'Interpreted Data'!P235))</f>
        <v>;Foot of cascade</v>
      </c>
    </row>
    <row r="236" spans="1:6" x14ac:dyDescent="0.25">
      <c r="A236" t="str">
        <f>CONCATENATE('Interpreted Data'!A236,"3")</f>
        <v>d3</v>
      </c>
      <c r="B236" t="str">
        <f>CONCATENATE('Interpreted Data'!B236,"3")</f>
        <v>e3</v>
      </c>
      <c r="C236" s="2">
        <f>'Interpreted Data'!J236/$G$1</f>
        <v>15.853658536585368</v>
      </c>
      <c r="D236" s="10">
        <f>'Interpreted Data'!T236</f>
        <v>125.16666666666667</v>
      </c>
      <c r="E236" s="11">
        <f>IF(D236="-",IF('Interpreted Data'!U236=-90,"-V",IF('Interpreted Data'!U236=90,"+V",'Interpreted Data'!U236)),'Interpreted Data'!U236)</f>
        <v>2.5</v>
      </c>
      <c r="F236" s="18" t="str">
        <f>IF('Interpreted Data'!P236="","",CONCATENATE(";",'Interpreted Data'!P236))</f>
        <v>;(small sketch a-e)</v>
      </c>
    </row>
    <row r="237" spans="1:6" x14ac:dyDescent="0.25">
      <c r="A237" t="str">
        <f>CONCATENATE('Interpreted Data'!A237,"3")</f>
        <v>e3</v>
      </c>
      <c r="B237" t="str">
        <f>CONCATENATE('Interpreted Data'!B237,"3")</f>
        <v>f3</v>
      </c>
      <c r="C237" s="2">
        <f>'Interpreted Data'!J237/$G$1</f>
        <v>7.1646341463414638</v>
      </c>
      <c r="D237" s="20">
        <f>'Interpreted Data'!Y237</f>
        <v>125</v>
      </c>
      <c r="E237" s="11">
        <f>IF(D237="-",IF('Interpreted Data'!U237=-90,"-V",IF('Interpreted Data'!U237=90,"+V",'Interpreted Data'!U237)),'Interpreted Data'!U237)</f>
        <v>8.75</v>
      </c>
      <c r="F237" s="18" t="str">
        <f>IF('Interpreted Data'!P237="","",CONCATENATE(";",'Interpreted Data'!P237))</f>
        <v>;(sketch e-i)</v>
      </c>
    </row>
    <row r="238" spans="1:6" x14ac:dyDescent="0.25">
      <c r="A238" t="str">
        <f>CONCATENATE('Interpreted Data'!A238,"3")</f>
        <v>f3</v>
      </c>
      <c r="B238" t="str">
        <f>CONCATENATE('Interpreted Data'!B238,"3")</f>
        <v>g3</v>
      </c>
      <c r="C238" s="2">
        <f>'Interpreted Data'!J238/$G$1</f>
        <v>5.1524390243902438</v>
      </c>
      <c r="D238" s="20">
        <f>'Interpreted Data'!Y238</f>
        <v>162</v>
      </c>
      <c r="E238" s="11">
        <f>IF(D238="-",IF('Interpreted Data'!U238=-90,"-V",IF('Interpreted Data'!U238=90,"+V",'Interpreted Data'!U238)),'Interpreted Data'!U238)</f>
        <v>-5</v>
      </c>
      <c r="F238" s="18" t="str">
        <f>IF('Interpreted Data'!P238="","",CONCATENATE(";",'Interpreted Data'!P238))</f>
        <v/>
      </c>
    </row>
    <row r="239" spans="1:6" x14ac:dyDescent="0.25">
      <c r="A239" t="str">
        <f>CONCATENATE('Interpreted Data'!A239,"3")</f>
        <v>g3</v>
      </c>
      <c r="B239" t="str">
        <f>CONCATENATE('Interpreted Data'!B239,"3")</f>
        <v>h3</v>
      </c>
      <c r="C239" s="2">
        <f>'Interpreted Data'!J239/$G$1</f>
        <v>2.3170731707317072</v>
      </c>
      <c r="D239" s="20">
        <f>'Interpreted Data'!Y239</f>
        <v>193</v>
      </c>
      <c r="E239" s="11">
        <f>IF(D239="-",IF('Interpreted Data'!U239=-90,"-V",IF('Interpreted Data'!U239=90,"+V",'Interpreted Data'!U239)),'Interpreted Data'!U239)</f>
        <v>3.7721836850570951</v>
      </c>
      <c r="F239" s="18" t="str">
        <f>IF('Interpreted Data'!P239="","",CONCATENATE(";",'Interpreted Data'!P239))</f>
        <v/>
      </c>
    </row>
    <row r="240" spans="1:6" x14ac:dyDescent="0.25">
      <c r="A240" t="str">
        <f>CONCATENATE('Interpreted Data'!A240,"3")</f>
        <v>h3</v>
      </c>
      <c r="B240" t="str">
        <f>CONCATENATE('Interpreted Data'!B240,"3")</f>
        <v>i3</v>
      </c>
      <c r="C240" s="2">
        <f>'Interpreted Data'!J240/$G$1</f>
        <v>5.5487804878048781</v>
      </c>
      <c r="D240" s="20">
        <f>'Interpreted Data'!Y240</f>
        <v>182</v>
      </c>
      <c r="E240" s="11">
        <f>IF(D240="-",IF('Interpreted Data'!U240=-90,"-V",IF('Interpreted Data'!U240=90,"+V",'Interpreted Data'!U240)),'Interpreted Data'!U240)</f>
        <v>5.5</v>
      </c>
      <c r="F240" s="18" t="str">
        <f>IF('Interpreted Data'!P240="","",CONCATENATE(";",'Interpreted Data'!P240))</f>
        <v/>
      </c>
    </row>
    <row r="241" spans="1:6" x14ac:dyDescent="0.25">
      <c r="A241" t="str">
        <f>CONCATENATE('Interpreted Data'!A241,"3")</f>
        <v>i3</v>
      </c>
      <c r="B241" t="str">
        <f>CONCATENATE('Interpreted Data'!B241,"3")</f>
        <v>j3</v>
      </c>
      <c r="C241" s="2">
        <f>'Interpreted Data'!J241/$G$1</f>
        <v>2.3780487804878048</v>
      </c>
      <c r="D241" s="20">
        <f>'Interpreted Data'!Y241</f>
        <v>187</v>
      </c>
      <c r="E241" s="11">
        <f>IF(D241="-",IF('Interpreted Data'!U241=-90,"-V",IF('Interpreted Data'!U241=90,"+V",'Interpreted Data'!U241)),'Interpreted Data'!U241)</f>
        <v>-7</v>
      </c>
      <c r="F241" s="18" t="str">
        <f>IF('Interpreted Data'!P241="","",CONCATENATE(";",'Interpreted Data'!P241))</f>
        <v>;(sketch j-o)</v>
      </c>
    </row>
    <row r="242" spans="1:6" x14ac:dyDescent="0.25">
      <c r="A242" t="str">
        <f>CONCATENATE('Interpreted Data'!A242,"3")</f>
        <v>j3</v>
      </c>
      <c r="B242" t="str">
        <f>CONCATENATE('Interpreted Data'!B242,"3")</f>
        <v>k3</v>
      </c>
      <c r="C242" s="2">
        <f>'Interpreted Data'!J242/$G$1</f>
        <v>8.8109756097560972</v>
      </c>
      <c r="D242" s="20">
        <f>'Interpreted Data'!Y242</f>
        <v>194</v>
      </c>
      <c r="E242" s="11">
        <f>IF(D242="-",IF('Interpreted Data'!U242=-90,"-V",IF('Interpreted Data'!U242=90,"+V",'Interpreted Data'!U242)),'Interpreted Data'!U242)</f>
        <v>-17.5</v>
      </c>
      <c r="F242" s="18" t="str">
        <f>IF('Interpreted Data'!P242="","",CONCATENATE(";",'Interpreted Data'!P242))</f>
        <v/>
      </c>
    </row>
    <row r="243" spans="1:6" x14ac:dyDescent="0.25">
      <c r="A243" t="str">
        <f>CONCATENATE('Interpreted Data'!A243,"3")</f>
        <v>k3</v>
      </c>
      <c r="B243" t="str">
        <f>CONCATENATE('Interpreted Data'!B243,"3")</f>
        <v>l3</v>
      </c>
      <c r="C243" s="2">
        <f>'Interpreted Data'!J243/$G$1</f>
        <v>6.798780487804879</v>
      </c>
      <c r="D243" s="20">
        <f>'Interpreted Data'!Y243</f>
        <v>207.5</v>
      </c>
      <c r="E243" s="11">
        <f>IF(D243="-",IF('Interpreted Data'!U243=-90,"-V",IF('Interpreted Data'!U243=90,"+V",'Interpreted Data'!U243)),'Interpreted Data'!U243)</f>
        <v>4</v>
      </c>
      <c r="F243" s="18" t="str">
        <f>IF('Interpreted Data'!P243="","",CONCATENATE(";",'Interpreted Data'!P243))</f>
        <v/>
      </c>
    </row>
    <row r="244" spans="1:6" x14ac:dyDescent="0.25">
      <c r="A244" t="str">
        <f>CONCATENATE('Interpreted Data'!A244,"3")</f>
        <v>l3</v>
      </c>
      <c r="B244" t="str">
        <f>CONCATENATE('Interpreted Data'!B244,"3")</f>
        <v>m3</v>
      </c>
      <c r="C244" s="2">
        <f>'Interpreted Data'!J244/$G$1</f>
        <v>6.9817073170731705</v>
      </c>
      <c r="D244" s="20">
        <f>'Interpreted Data'!Y244</f>
        <v>187</v>
      </c>
      <c r="E244" s="11">
        <f>IF(D244="-",IF('Interpreted Data'!U244=-90,"-V",IF('Interpreted Data'!U244=90,"+V",'Interpreted Data'!U244)),'Interpreted Data'!U244)</f>
        <v>0.66666665999999997</v>
      </c>
      <c r="F244" s="18" t="str">
        <f>IF('Interpreted Data'!P244="","",CONCATENATE(";",'Interpreted Data'!P244))</f>
        <v/>
      </c>
    </row>
    <row r="245" spans="1:6" x14ac:dyDescent="0.25">
      <c r="A245" t="str">
        <f>CONCATENATE('Interpreted Data'!A245,"3")</f>
        <v>m3</v>
      </c>
      <c r="B245" t="str">
        <f>CONCATENATE('Interpreted Data'!B245,"3")</f>
        <v>n3</v>
      </c>
      <c r="C245" s="2">
        <f>'Interpreted Data'!J245/$G$1</f>
        <v>5.7317073170731714</v>
      </c>
      <c r="D245" s="20">
        <f>'Interpreted Data'!Y245</f>
        <v>224</v>
      </c>
      <c r="E245" s="11">
        <f>IF(D245="-",IF('Interpreted Data'!U245=-90,"-V",IF('Interpreted Data'!U245=90,"+V",'Interpreted Data'!U245)),'Interpreted Data'!U245)</f>
        <v>-5.5</v>
      </c>
      <c r="F245" s="18" t="str">
        <f>IF('Interpreted Data'!P245="","",CONCATENATE(";",'Interpreted Data'!P245))</f>
        <v/>
      </c>
    </row>
    <row r="246" spans="1:6" x14ac:dyDescent="0.25">
      <c r="A246" t="str">
        <f>CONCATENATE('Interpreted Data'!A246,"3")</f>
        <v>n3</v>
      </c>
      <c r="B246" t="str">
        <f>CONCATENATE('Interpreted Data'!B246,"3")</f>
        <v>o3</v>
      </c>
      <c r="C246" s="2">
        <f>'Interpreted Data'!J246/$G$1</f>
        <v>14.359756097560977</v>
      </c>
      <c r="D246" s="20">
        <f>'Interpreted Data'!Y246</f>
        <v>251</v>
      </c>
      <c r="E246" s="11">
        <f>IF(D246="-",IF('Interpreted Data'!U246=-90,"-V",IF('Interpreted Data'!U246=90,"+V",'Interpreted Data'!U246)),'Interpreted Data'!U246)</f>
        <v>-11.5</v>
      </c>
      <c r="F246" s="18" t="str">
        <f>IF('Interpreted Data'!P246="","",CONCATENATE(";",'Interpreted Data'!P246))</f>
        <v>;On Olivers boulder</v>
      </c>
    </row>
    <row r="247" spans="1:6" x14ac:dyDescent="0.25">
      <c r="A247" s="18" t="str">
        <f>CONCATENATE(";",'Interpreted Data'!A247,3)</f>
        <v>;o3</v>
      </c>
      <c r="B247" t="str">
        <f>'Interpreted Data'!B247</f>
        <v/>
      </c>
      <c r="C247" s="2"/>
      <c r="D247" s="20"/>
      <c r="E247" s="11"/>
      <c r="F247" s="18" t="str">
        <f>IF('Interpreted Data'!P247="","",CONCATENATE(";",'Interpreted Data'!P247))</f>
        <v/>
      </c>
    </row>
    <row r="248" spans="1:6" x14ac:dyDescent="0.25">
      <c r="A248" s="18" t="str">
        <f>CONCATENATE(";",'Interpreted Data'!A248)</f>
        <v>;14th March 1953</v>
      </c>
      <c r="B248" t="str">
        <f>'Interpreted Data'!B248</f>
        <v>Howard</v>
      </c>
      <c r="C248" s="2"/>
      <c r="D248" s="20"/>
      <c r="E248" s="11"/>
      <c r="F248" s="18" t="str">
        <f>IF('Interpreted Data'!P248="","",CONCATENATE(";",'Interpreted Data'!P248))</f>
        <v/>
      </c>
    </row>
    <row r="249" spans="1:6" x14ac:dyDescent="0.25">
      <c r="A249" t="str">
        <f>CONCATENATE('Interpreted Data'!A249,"3")</f>
        <v>o3</v>
      </c>
      <c r="B249" t="str">
        <f>CONCATENATE('Interpreted Data'!B249,"3")</f>
        <v>p3</v>
      </c>
      <c r="C249" s="2">
        <f>'Interpreted Data'!J249/$G$1</f>
        <v>7.3170731707317076</v>
      </c>
      <c r="D249" s="20">
        <f>'Interpreted Data'!Y249</f>
        <v>282</v>
      </c>
      <c r="E249" s="11">
        <f>IF(D249="-",IF('Interpreted Data'!U249=-90,"-V",IF('Interpreted Data'!U249=90,"+V",'Interpreted Data'!U249)),'Interpreted Data'!U249)</f>
        <v>-9.25</v>
      </c>
      <c r="F249" s="18" t="str">
        <f>IF('Interpreted Data'!P249="","",CONCATENATE(";",'Interpreted Data'!P249))</f>
        <v>;(sketch o-t)</v>
      </c>
    </row>
    <row r="250" spans="1:6" x14ac:dyDescent="0.25">
      <c r="A250" t="str">
        <f>CONCATENATE('Interpreted Data'!A250,"3")</f>
        <v>p3</v>
      </c>
      <c r="B250" t="str">
        <f>CONCATENATE('Interpreted Data'!B250,"3")</f>
        <v>q3</v>
      </c>
      <c r="C250" s="2">
        <f>'Interpreted Data'!J250/$G$1</f>
        <v>10.487804878048781</v>
      </c>
      <c r="D250" s="20">
        <f>'Interpreted Data'!Y250</f>
        <v>250</v>
      </c>
      <c r="E250" s="11">
        <f>IF(D250="-",IF('Interpreted Data'!U250=-90,"-V",IF('Interpreted Data'!U250=90,"+V",'Interpreted Data'!U250)),'Interpreted Data'!U250)</f>
        <v>-14.5</v>
      </c>
      <c r="F250" s="18" t="str">
        <f>IF('Interpreted Data'!P250="","",CONCATENATE(";",'Interpreted Data'!P250))</f>
        <v/>
      </c>
    </row>
    <row r="251" spans="1:6" x14ac:dyDescent="0.25">
      <c r="A251" t="str">
        <f>CONCATENATE('Interpreted Data'!A251,"3")</f>
        <v>q3</v>
      </c>
      <c r="B251" t="str">
        <f>CONCATENATE('Interpreted Data'!B251,"3")</f>
        <v>r3</v>
      </c>
      <c r="C251" s="2">
        <f>'Interpreted Data'!J251/$G$1</f>
        <v>6.9422545955705495</v>
      </c>
      <c r="D251" s="20">
        <f>'Interpreted Data'!Y251</f>
        <v>320</v>
      </c>
      <c r="E251" s="11">
        <f>IF(D251="-",IF('Interpreted Data'!U251=-90,"-V",IF('Interpreted Data'!U251=90,"+V",'Interpreted Data'!U251)),'Interpreted Data'!U251)</f>
        <v>-8.841814560191672</v>
      </c>
      <c r="F251" s="18" t="str">
        <f>IF('Interpreted Data'!P251="","",CONCATENATE(";",'Interpreted Data'!P251))</f>
        <v>;Sump 15' on at 280deg true WL 5 WR 4</v>
      </c>
    </row>
    <row r="252" spans="1:6" x14ac:dyDescent="0.25">
      <c r="A252" t="str">
        <f>CONCATENATE('Interpreted Data'!A252,"3")</f>
        <v>q3</v>
      </c>
      <c r="B252" t="str">
        <f>CONCATENATE('Interpreted Data'!B252,"3")</f>
        <v>s3</v>
      </c>
      <c r="C252" s="2">
        <f>'Interpreted Data'!J252/$G$1</f>
        <v>6.5853658536585371</v>
      </c>
      <c r="D252" s="20">
        <f>'Interpreted Data'!Y252</f>
        <v>150</v>
      </c>
      <c r="E252" s="11">
        <f>IF(D252="-",IF('Interpreted Data'!U252=-90,"-V",IF('Interpreted Data'!U252=90,"+V",'Interpreted Data'!U252)),'Interpreted Data'!U252)</f>
        <v>20.5</v>
      </c>
      <c r="F252" s="18" t="str">
        <f>IF('Interpreted Data'!P252="","",CONCATENATE(";",'Interpreted Data'!P252))</f>
        <v/>
      </c>
    </row>
    <row r="253" spans="1:6" x14ac:dyDescent="0.25">
      <c r="A253" t="str">
        <f>CONCATENATE('Interpreted Data'!A253,"3")</f>
        <v>s3</v>
      </c>
      <c r="B253" t="str">
        <f>CONCATENATE('Interpreted Data'!B253,"3")</f>
        <v>t3</v>
      </c>
      <c r="C253" s="2">
        <f>'Interpreted Data'!J253/$G$1</f>
        <v>5.3048780487804876</v>
      </c>
      <c r="D253" s="20">
        <f>'Interpreted Data'!Y253</f>
        <v>246</v>
      </c>
      <c r="E253" s="11">
        <f>IF(D253="-",IF('Interpreted Data'!U253=-90,"-V",IF('Interpreted Data'!U253=90,"+V",'Interpreted Data'!U253)),'Interpreted Data'!U253)</f>
        <v>-7.5</v>
      </c>
      <c r="F253" s="18" t="str">
        <f>IF('Interpreted Data'!P253="","",CONCATENATE(";",'Interpreted Data'!P253))</f>
        <v/>
      </c>
    </row>
    <row r="254" spans="1:6" x14ac:dyDescent="0.25">
      <c r="A254" t="str">
        <f>CONCATENATE('Interpreted Data'!A254,"3")</f>
        <v>t3</v>
      </c>
      <c r="B254" t="str">
        <f>CONCATENATE('Interpreted Data'!B254,"3")</f>
        <v>u3</v>
      </c>
      <c r="C254" s="2">
        <f>'Interpreted Data'!J254/$G$1</f>
        <v>5.5487804878048781</v>
      </c>
      <c r="D254" s="20">
        <f>'Interpreted Data'!Y254</f>
        <v>255</v>
      </c>
      <c r="E254" s="11">
        <f>IF(D254="-",IF('Interpreted Data'!U254=-90,"-V",IF('Interpreted Data'!U254=90,"+V",'Interpreted Data'!U254)),'Interpreted Data'!U254)</f>
        <v>-12.696124577303539</v>
      </c>
      <c r="F254" s="18" t="str">
        <f>IF('Interpreted Data'!P254="","",CONCATENATE(";",'Interpreted Data'!P254))</f>
        <v>;(sketch t-u) u-&gt; Howards Loop</v>
      </c>
    </row>
    <row r="255" spans="1:6" x14ac:dyDescent="0.25">
      <c r="A255" t="str">
        <f>CONCATENATE('Interpreted Data'!A255,"3")</f>
        <v>t3</v>
      </c>
      <c r="B255" t="str">
        <f>CONCATENATE('Interpreted Data'!B255,"3")</f>
        <v>v3</v>
      </c>
      <c r="C255" s="2">
        <f>'Interpreted Data'!J255/$G$1</f>
        <v>5.2743902439024399</v>
      </c>
      <c r="D255" s="20">
        <f>'Interpreted Data'!Y255</f>
        <v>166</v>
      </c>
      <c r="E255" s="11">
        <f>IF(D255="-",IF('Interpreted Data'!U255=-90,"-V",IF('Interpreted Data'!U255=90,"+V",'Interpreted Data'!U255)),'Interpreted Data'!U255)</f>
        <v>20.5</v>
      </c>
      <c r="F255" s="18" t="str">
        <f>IF('Interpreted Data'!P255="","",CONCATENATE(";",'Interpreted Data'!P255))</f>
        <v>;v in a cross rift 4' from Pearly Gate</v>
      </c>
    </row>
    <row r="256" spans="1:6" x14ac:dyDescent="0.25">
      <c r="A256" t="str">
        <f>CONCATENATE('Interpreted Data'!A256,"3")</f>
        <v>v3</v>
      </c>
      <c r="B256" t="str">
        <f>CONCATENATE('Interpreted Data'!B256,"3")</f>
        <v>w3</v>
      </c>
      <c r="C256" s="2">
        <f>'Interpreted Data'!J256/$G$1</f>
        <v>4.9390243902439028</v>
      </c>
      <c r="D256" s="20">
        <f>'Interpreted Data'!Y256</f>
        <v>165.66666666666666</v>
      </c>
      <c r="E256" s="11">
        <f>IF(D256="-",IF('Interpreted Data'!U256=-90,"-V",IF('Interpreted Data'!U256=90,"+V",'Interpreted Data'!U256)),'Interpreted Data'!U256)</f>
        <v>-2.75</v>
      </c>
      <c r="F256" s="18" t="str">
        <f>IF('Interpreted Data'!P256="","",CONCATENATE(";",'Interpreted Data'!P256))</f>
        <v/>
      </c>
    </row>
    <row r="257" spans="1:6" x14ac:dyDescent="0.25">
      <c r="A257" t="str">
        <f>CONCATENATE('Interpreted Data'!A257,"3")</f>
        <v>w3</v>
      </c>
      <c r="B257" t="str">
        <f>CONCATENATE('Interpreted Data'!B257,"3")</f>
        <v>x3</v>
      </c>
      <c r="C257" s="2">
        <f>'Interpreted Data'!J257/$G$1</f>
        <v>5.4268292682926838</v>
      </c>
      <c r="D257" s="20">
        <f>'Interpreted Data'!Y257</f>
        <v>92.5</v>
      </c>
      <c r="E257" s="11">
        <f>IF(D257="-",IF('Interpreted Data'!U257=-90,"-V",IF('Interpreted Data'!U257=90,"+V",'Interpreted Data'!U257)),'Interpreted Data'!U257)</f>
        <v>19.666666660000001</v>
      </c>
      <c r="F257" s="18" t="str">
        <f>IF('Interpreted Data'!P257="","",CONCATENATE(";",'Interpreted Data'!P257))</f>
        <v>;(sketch w-x)</v>
      </c>
    </row>
    <row r="258" spans="1:6" x14ac:dyDescent="0.25">
      <c r="A258" t="str">
        <f>CONCATENATE('Interpreted Data'!A258,"3")</f>
        <v>x3</v>
      </c>
      <c r="B258" t="str">
        <f>CONCATENATE('Interpreted Data'!B258,"3")</f>
        <v>y3</v>
      </c>
      <c r="C258" s="2">
        <f>'Interpreted Data'!J258/$G$1</f>
        <v>7.4085365853658542</v>
      </c>
      <c r="D258" s="20">
        <f>'Interpreted Data'!Y258</f>
        <v>147</v>
      </c>
      <c r="E258" s="11">
        <f>IF(D258="-",IF('Interpreted Data'!U258=-90,"-V",IF('Interpreted Data'!U258=90,"+V",'Interpreted Data'!U258)),'Interpreted Data'!U258)</f>
        <v>10</v>
      </c>
      <c r="F258" s="18" t="str">
        <f>IF('Interpreted Data'!P258="","",CONCATENATE(";",'Interpreted Data'!P258))</f>
        <v/>
      </c>
    </row>
    <row r="259" spans="1:6" x14ac:dyDescent="0.25">
      <c r="A259" t="str">
        <f>CONCATENATE('Interpreted Data'!A259,"3")</f>
        <v>y3</v>
      </c>
      <c r="B259" t="str">
        <f>CONCATENATE('Interpreted Data'!B259,"3")</f>
        <v>z3</v>
      </c>
      <c r="C259" s="2">
        <f>'Interpreted Data'!J259/$G$1</f>
        <v>1.8292682926829269</v>
      </c>
      <c r="D259" s="10" t="str">
        <f>'Interpreted Data'!T259</f>
        <v>-</v>
      </c>
      <c r="E259" s="11" t="str">
        <f>IF(D259="-",IF('Interpreted Data'!U259=-90,"-V",IF('Interpreted Data'!U259=90,"+V",'Interpreted Data'!U259)),'Interpreted Data'!U259)</f>
        <v>-V</v>
      </c>
      <c r="F259" s="18" t="str">
        <f>IF('Interpreted Data'!P259="","",CONCATENATE(";",'Interpreted Data'!P259))</f>
        <v/>
      </c>
    </row>
    <row r="260" spans="1:6" x14ac:dyDescent="0.25">
      <c r="A260" t="str">
        <f>CONCATENATE('Interpreted Data'!A260,"3")</f>
        <v>z3</v>
      </c>
      <c r="B260" t="str">
        <f>CONCATENATE('Interpreted Data'!B260,"3")</f>
        <v>aa3</v>
      </c>
      <c r="C260" s="2">
        <f>'Interpreted Data'!J260/$G$1</f>
        <v>3.8109756097560976</v>
      </c>
      <c r="D260" s="20">
        <f>'Interpreted Data'!Y260</f>
        <v>147</v>
      </c>
      <c r="E260" s="11">
        <f>IF(D260="-",IF('Interpreted Data'!U260=-90,"-V",IF('Interpreted Data'!U260=90,"+V",'Interpreted Data'!U260)),'Interpreted Data'!U260)</f>
        <v>-2.6666666600000002</v>
      </c>
      <c r="F260" s="18" t="str">
        <f>IF('Interpreted Data'!P260="","",CONCATENATE(";",'Interpreted Data'!P260))</f>
        <v>;Bottom of drop. View into Damascus</v>
      </c>
    </row>
    <row r="261" spans="1:6" x14ac:dyDescent="0.25">
      <c r="A261" t="str">
        <f>CONCATENATE('Interpreted Data'!A261,"3")</f>
        <v>aa3</v>
      </c>
      <c r="B261" t="str">
        <f>CONCATENATE('Interpreted Data'!B261,"3")</f>
        <v>ab3</v>
      </c>
      <c r="C261" s="2">
        <f>'Interpreted Data'!J261/$G$1</f>
        <v>3.4146341463414633</v>
      </c>
      <c r="D261" s="20">
        <f>'Interpreted Data'!Y261</f>
        <v>212.5</v>
      </c>
      <c r="E261" s="11">
        <f>IF(D261="-",IF('Interpreted Data'!U261=-90,"-V",IF('Interpreted Data'!U261=90,"+V",'Interpreted Data'!U261)),'Interpreted Data'!U261)</f>
        <v>-22.5</v>
      </c>
      <c r="F261" s="18" t="str">
        <f>IF('Interpreted Data'!P261="","",CONCATENATE(";",'Interpreted Data'!P261))</f>
        <v>;Above pool</v>
      </c>
    </row>
    <row r="262" spans="1:6" x14ac:dyDescent="0.25">
      <c r="A262" t="str">
        <f>CONCATENATE('Interpreted Data'!A262,"3")</f>
        <v>ab3</v>
      </c>
      <c r="B262" t="str">
        <f>CONCATENATE('Interpreted Data'!B262,"3")</f>
        <v>ac3</v>
      </c>
      <c r="C262" s="2">
        <f>'Interpreted Data'!J262/$G$1</f>
        <v>2.4390243902439024</v>
      </c>
      <c r="D262" s="20">
        <f>'Interpreted Data'!Y262</f>
        <v>173</v>
      </c>
      <c r="E262" s="11">
        <f>IF(D262="-",IF('Interpreted Data'!U262=-90,"-V",IF('Interpreted Data'!U262=90,"+V",'Interpreted Data'!U262)),'Interpreted Data'!U262)</f>
        <v>11.5</v>
      </c>
      <c r="F262" s="18" t="str">
        <f>IF('Interpreted Data'!P262="","",CONCATENATE(";",'Interpreted Data'!P262))</f>
        <v>;Bearing 238 true into Howards Loop</v>
      </c>
    </row>
    <row r="263" spans="1:6" x14ac:dyDescent="0.25">
      <c r="A263" t="str">
        <f>CONCATENATE('Interpreted Data'!A263,"3")</f>
        <v>ac3</v>
      </c>
      <c r="B263" t="str">
        <f>CONCATENATE('Interpreted Data'!B263,"3")</f>
        <v>ad3</v>
      </c>
      <c r="C263" s="2">
        <f>'Interpreted Data'!J263/$G$1</f>
        <v>4.3597560975609762</v>
      </c>
      <c r="D263" s="20">
        <f>'Interpreted Data'!Y263</f>
        <v>202</v>
      </c>
      <c r="E263" s="11">
        <f>IF(D263="-",IF('Interpreted Data'!U263=-90,"-V",IF('Interpreted Data'!U263=90,"+V",'Interpreted Data'!U263)),'Interpreted Data'!U263)</f>
        <v>-12</v>
      </c>
      <c r="F263" s="18" t="str">
        <f>IF('Interpreted Data'!P263="","",CONCATENATE(";",'Interpreted Data'!P263))</f>
        <v>;(sketch ab-ac)</v>
      </c>
    </row>
    <row r="264" spans="1:6" x14ac:dyDescent="0.25">
      <c r="A264" t="str">
        <f>CONCATENATE('Interpreted Data'!A264,"3")</f>
        <v>ad3</v>
      </c>
      <c r="B264" t="str">
        <f>CONCATENATE('Interpreted Data'!B264,"3")</f>
        <v>ae3</v>
      </c>
      <c r="C264" s="2">
        <f>'Interpreted Data'!J264/$G$1</f>
        <v>3.8719512195121952</v>
      </c>
      <c r="D264" s="20">
        <f>'Interpreted Data'!Y264</f>
        <v>206</v>
      </c>
      <c r="E264" s="11">
        <f>IF(D264="-",IF('Interpreted Data'!U264=-90,"-V",IF('Interpreted Data'!U264=90,"+V",'Interpreted Data'!U264)),'Interpreted Data'!U264)</f>
        <v>6</v>
      </c>
      <c r="F264" s="18" t="str">
        <f>IF('Interpreted Data'!P264="","",CONCATENATE(";",'Interpreted Data'!P264))</f>
        <v/>
      </c>
    </row>
    <row r="265" spans="1:6" x14ac:dyDescent="0.25">
      <c r="A265" t="str">
        <f>CONCATENATE('Interpreted Data'!A265,"3")</f>
        <v>ae3</v>
      </c>
      <c r="B265" t="str">
        <f>CONCATENATE('Interpreted Data'!B265,"3")</f>
        <v>af3</v>
      </c>
      <c r="C265" s="2">
        <f>'Interpreted Data'!J265/$G$1</f>
        <v>9.2987804878048781</v>
      </c>
      <c r="D265" s="20">
        <f>'Interpreted Data'!Y265</f>
        <v>263</v>
      </c>
      <c r="E265" s="11">
        <f>IF(D265="-",IF('Interpreted Data'!U265=-90,"-V",IF('Interpreted Data'!U265=90,"+V",'Interpreted Data'!U265)),'Interpreted Data'!U265)</f>
        <v>-8.6666666600000006</v>
      </c>
      <c r="F265" s="18" t="str">
        <f>IF('Interpreted Data'!P265="","",CONCATENATE(";",'Interpreted Data'!P265))</f>
        <v>;15' aven explored by Oliver just before station</v>
      </c>
    </row>
    <row r="266" spans="1:6" x14ac:dyDescent="0.25">
      <c r="A266" t="str">
        <f>CONCATENATE('Interpreted Data'!A266,"3")</f>
        <v>af3</v>
      </c>
      <c r="B266" t="str">
        <f>CONCATENATE('Interpreted Data'!B266,"3")</f>
        <v>ag3</v>
      </c>
      <c r="C266" s="2">
        <f>'Interpreted Data'!J266/$G$1</f>
        <v>8.3536585365853657</v>
      </c>
      <c r="D266" s="20">
        <f>'Interpreted Data'!Y266</f>
        <v>292.25</v>
      </c>
      <c r="E266" s="11">
        <f>IF(D266="-",IF('Interpreted Data'!U266=-90,"-V",IF('Interpreted Data'!U266=90,"+V",'Interpreted Data'!U266)),'Interpreted Data'!U266)</f>
        <v>0.25</v>
      </c>
      <c r="F266" s="18" t="str">
        <f>IF('Interpreted Data'!P266="","",CONCATENATE(";",'Interpreted Data'!P266))</f>
        <v/>
      </c>
    </row>
    <row r="267" spans="1:6" x14ac:dyDescent="0.25">
      <c r="A267" t="str">
        <f>CONCATENATE('Interpreted Data'!A267,"3")</f>
        <v>ag3</v>
      </c>
      <c r="B267" t="str">
        <f>CONCATENATE('Interpreted Data'!B267,"3")</f>
        <v>ah3</v>
      </c>
      <c r="C267" s="2">
        <f>'Interpreted Data'!J267/$G$1</f>
        <v>4.1768292682926829</v>
      </c>
      <c r="D267" s="20">
        <f>'Interpreted Data'!Y267</f>
        <v>253.5</v>
      </c>
      <c r="E267" s="11">
        <f>IF(D267="-",IF('Interpreted Data'!U267=-90,"-V",IF('Interpreted Data'!U267=90,"+V",'Interpreted Data'!U267)),'Interpreted Data'!U267)</f>
        <v>-20.333333329999999</v>
      </c>
      <c r="F267" s="18" t="str">
        <f>IF('Interpreted Data'!P267="","",CONCATENATE(";",'Interpreted Data'!P267))</f>
        <v>;(sketch ag) 6" above water. Sump level 60.1</v>
      </c>
    </row>
    <row r="268" spans="1:6" x14ac:dyDescent="0.25">
      <c r="A268" t="str">
        <f>CONCATENATE('Interpreted Data'!A268,"3")</f>
        <v>z3</v>
      </c>
      <c r="B268" t="str">
        <f>CONCATENATE('Interpreted Data'!B268,"3")</f>
        <v>ai3</v>
      </c>
      <c r="C268" s="2">
        <f>'Interpreted Data'!J268/$G$1</f>
        <v>5.8536585365853657</v>
      </c>
      <c r="D268" s="20">
        <f>'Interpreted Data'!Y268</f>
        <v>142</v>
      </c>
      <c r="E268" s="11">
        <f>IF(D268="-",IF('Interpreted Data'!U268=-90,"-V",IF('Interpreted Data'!U268=90,"+V",'Interpreted Data'!U268)),'Interpreted Data'!U268)</f>
        <v>22</v>
      </c>
      <c r="F268" s="18" t="str">
        <f>IF('Interpreted Data'!P268="","",CONCATENATE(";",'Interpreted Data'!P268))</f>
        <v/>
      </c>
    </row>
    <row r="269" spans="1:6" x14ac:dyDescent="0.25">
      <c r="A269" t="str">
        <f>CONCATENATE('Interpreted Data'!A269,"3")</f>
        <v>ai3</v>
      </c>
      <c r="B269" t="str">
        <f>CONCATENATE('Interpreted Data'!B269,"3")</f>
        <v>aj3</v>
      </c>
      <c r="C269" s="2">
        <f>'Interpreted Data'!J269/$G$1</f>
        <v>2.1951219512195124</v>
      </c>
      <c r="D269" s="20">
        <f>'Interpreted Data'!Y269</f>
        <v>97</v>
      </c>
      <c r="E269" s="11">
        <f>IF(D269="-",IF('Interpreted Data'!U269=-90,"-V",IF('Interpreted Data'!U269=90,"+V",'Interpreted Data'!U269)),'Interpreted Data'!U269)</f>
        <v>55</v>
      </c>
      <c r="F269" s="18" t="str">
        <f>IF('Interpreted Data'!P269="","",CONCATENATE(";",'Interpreted Data'!P269))</f>
        <v/>
      </c>
    </row>
    <row r="270" spans="1:6" x14ac:dyDescent="0.25">
      <c r="A270" t="str">
        <f>CONCATENATE('Interpreted Data'!A270,"3")</f>
        <v>aj3</v>
      </c>
      <c r="B270" t="str">
        <f>CONCATENATE('Interpreted Data'!B270,"3")</f>
        <v>ak3</v>
      </c>
      <c r="C270" s="2">
        <f>'Interpreted Data'!J270/$G$1</f>
        <v>6.0060975609756095</v>
      </c>
      <c r="D270" s="20">
        <f>'Interpreted Data'!Y270</f>
        <v>99</v>
      </c>
      <c r="E270" s="11">
        <f>IF(D270="-",IF('Interpreted Data'!U270=-90,"-V",IF('Interpreted Data'!U270=90,"+V",'Interpreted Data'!U270)),'Interpreted Data'!U270)</f>
        <v>18</v>
      </c>
      <c r="F270" s="18" t="str">
        <f>IF('Interpreted Data'!P270="","",CONCATENATE(";",'Interpreted Data'!P270))</f>
        <v/>
      </c>
    </row>
    <row r="271" spans="1:6" x14ac:dyDescent="0.25">
      <c r="A271" t="str">
        <f>CONCATENATE('Interpreted Data'!A271,"3")</f>
        <v>ak3</v>
      </c>
      <c r="B271" t="str">
        <f>CONCATENATE('Interpreted Data'!B271,"3")</f>
        <v>al3</v>
      </c>
      <c r="C271" s="2">
        <f>'Interpreted Data'!J271/$G$1</f>
        <v>2.8048780487804876</v>
      </c>
      <c r="D271" s="20">
        <f>'Interpreted Data'!Y271</f>
        <v>106</v>
      </c>
      <c r="E271" s="11">
        <f>IF(D271="-",IF('Interpreted Data'!U271=-90,"-V",IF('Interpreted Data'!U271=90,"+V",'Interpreted Data'!U271)),'Interpreted Data'!U271)</f>
        <v>-22</v>
      </c>
      <c r="F271" s="18" t="str">
        <f>IF('Interpreted Data'!P271="","",CONCATENATE(";",'Interpreted Data'!P271))</f>
        <v/>
      </c>
    </row>
    <row r="272" spans="1:6" x14ac:dyDescent="0.25">
      <c r="A272" t="str">
        <f>CONCATENATE('Interpreted Data'!A272,"3")</f>
        <v>al3</v>
      </c>
      <c r="B272" t="str">
        <f>CONCATENATE('Interpreted Data'!B272,"3")</f>
        <v>am3</v>
      </c>
      <c r="C272" s="2">
        <f>'Interpreted Data'!J272/$G$1</f>
        <v>4.7647864658804222</v>
      </c>
      <c r="D272" s="20">
        <f>'Interpreted Data'!Y272</f>
        <v>101</v>
      </c>
      <c r="E272" s="11">
        <f>IF(D272="-",IF('Interpreted Data'!U272=-90,"-V",IF('Interpreted Data'!U272=90,"+V",'Interpreted Data'!U272)),'Interpreted Data'!U272)</f>
        <v>7.3523793598923577</v>
      </c>
      <c r="F272" s="18" t="str">
        <f>IF('Interpreted Data'!P272="","",CONCATENATE(";",'Interpreted Data'!P272))</f>
        <v>;Near side of duck (in dry weather)</v>
      </c>
    </row>
    <row r="273" spans="1:6" x14ac:dyDescent="0.25">
      <c r="A273" t="str">
        <f>CONCATENATE('Interpreted Data'!A273,"3")</f>
        <v>am3</v>
      </c>
      <c r="B273" t="str">
        <f>CONCATENATE('Interpreted Data'!B273,"3")</f>
        <v>an3</v>
      </c>
      <c r="C273" s="2">
        <f>'Interpreted Data'!J273/$G$1</f>
        <v>3.7500000000000004</v>
      </c>
      <c r="D273" s="20">
        <f>'Interpreted Data'!Y273</f>
        <v>80</v>
      </c>
      <c r="E273" s="11">
        <f>IF(D273="-",IF('Interpreted Data'!U273=-90,"-V",IF('Interpreted Data'!U273=90,"+V",'Interpreted Data'!U273)),'Interpreted Data'!U273)</f>
        <v>22</v>
      </c>
      <c r="F273" s="18" t="str">
        <f>IF('Interpreted Data'!P273="","",CONCATENATE(";",'Interpreted Data'!P273))</f>
        <v>;Far side of duck (in dry weather)</v>
      </c>
    </row>
    <row r="274" spans="1:6" x14ac:dyDescent="0.25">
      <c r="A274" t="str">
        <f>CONCATENATE('Interpreted Data'!A274,"3")</f>
        <v>an3</v>
      </c>
      <c r="B274" t="str">
        <f>CONCATENATE('Interpreted Data'!B274,"3")</f>
        <v>ao3</v>
      </c>
      <c r="C274" s="2">
        <f>'Interpreted Data'!J274/$G$1</f>
        <v>4.4207317073170733</v>
      </c>
      <c r="D274" s="20">
        <f>'Interpreted Data'!Y274</f>
        <v>114</v>
      </c>
      <c r="E274" s="11">
        <f>IF(D274="-",IF('Interpreted Data'!U274=-90,"-V",IF('Interpreted Data'!U274=90,"+V",'Interpreted Data'!U274)),'Interpreted Data'!U274)</f>
        <v>50</v>
      </c>
      <c r="F274" s="18" t="str">
        <f>IF('Interpreted Data'!P274="","",CONCATENATE(";",'Interpreted Data'!P274))</f>
        <v/>
      </c>
    </row>
    <row r="275" spans="1:6" x14ac:dyDescent="0.25">
      <c r="A275" t="str">
        <f>CONCATENATE('Interpreted Data'!A275,"3")</f>
        <v>ao3</v>
      </c>
      <c r="B275" t="str">
        <f>CONCATENATE('Interpreted Data'!B275,"3")</f>
        <v>ap3</v>
      </c>
      <c r="C275" s="2">
        <f>'Interpreted Data'!J275/$G$1</f>
        <v>5.4268292682926838</v>
      </c>
      <c r="D275" s="20">
        <f>'Interpreted Data'!Y275</f>
        <v>103</v>
      </c>
      <c r="E275" s="11">
        <f>IF(D275="-",IF('Interpreted Data'!U275=-90,"-V",IF('Interpreted Data'!U275=90,"+V",'Interpreted Data'!U275)),'Interpreted Data'!U275)</f>
        <v>-6.5</v>
      </c>
      <c r="F275" s="18" t="str">
        <f>IF('Interpreted Data'!P275="","",CONCATENATE(";",'Interpreted Data'!P275))</f>
        <v/>
      </c>
    </row>
    <row r="276" spans="1:6" x14ac:dyDescent="0.25">
      <c r="A276" t="str">
        <f>CONCATENATE('Interpreted Data'!A276,"3")</f>
        <v>ap3</v>
      </c>
      <c r="B276" t="str">
        <f>CONCATENATE('Interpreted Data'!B276,"3")</f>
        <v>aq3</v>
      </c>
      <c r="C276" s="2">
        <f>'Interpreted Data'!J276/$G$1</f>
        <v>2.3475609756097562</v>
      </c>
      <c r="D276" s="20">
        <f>'Interpreted Data'!Y276</f>
        <v>26</v>
      </c>
      <c r="E276" s="11">
        <f>IF(D276="-",IF('Interpreted Data'!U276=-90,"-V",IF('Interpreted Data'!U276=90,"+V",'Interpreted Data'!U276)),'Interpreted Data'!U276)</f>
        <v>-53</v>
      </c>
      <c r="F276" s="18" t="str">
        <f>IF('Interpreted Data'!P276="","",CONCATENATE(";",'Interpreted Data'!P276))</f>
        <v/>
      </c>
    </row>
    <row r="277" spans="1:6" x14ac:dyDescent="0.25">
      <c r="A277" t="str">
        <f>CONCATENATE('Interpreted Data'!A277,"3")</f>
        <v>aq3</v>
      </c>
      <c r="B277" t="str">
        <f>CONCATENATE('Interpreted Data'!B277,"3")</f>
        <v>ar3</v>
      </c>
      <c r="C277" s="2">
        <f>'Interpreted Data'!J277/$G$1</f>
        <v>2.5914634146341466</v>
      </c>
      <c r="D277" s="20">
        <f>'Interpreted Data'!Y277</f>
        <v>3</v>
      </c>
      <c r="E277" s="11">
        <f>IF(D277="-",IF('Interpreted Data'!U277=-90,"-V",IF('Interpreted Data'!U277=90,"+V",'Interpreted Data'!U277)),'Interpreted Data'!U277)</f>
        <v>0</v>
      </c>
      <c r="F277" s="18" t="str">
        <f>IF('Interpreted Data'!P277="","",CONCATENATE(";",'Interpreted Data'!P277))</f>
        <v/>
      </c>
    </row>
    <row r="278" spans="1:6" x14ac:dyDescent="0.25">
      <c r="A278" t="str">
        <f>CONCATENATE('Interpreted Data'!A278,"3")</f>
        <v>ar3</v>
      </c>
      <c r="B278" t="str">
        <f>CONCATENATE('Interpreted Data'!B278,"3")</f>
        <v>as3</v>
      </c>
      <c r="C278" s="2">
        <f>'Interpreted Data'!J278/$G$1</f>
        <v>3.2926829268292686</v>
      </c>
      <c r="D278" s="20">
        <f>'Interpreted Data'!Y278</f>
        <v>22</v>
      </c>
      <c r="E278" s="11">
        <f>IF(D278="-",IF('Interpreted Data'!U278=-90,"-V",IF('Interpreted Data'!U278=90,"+V",'Interpreted Data'!U278)),'Interpreted Data'!U278)</f>
        <v>0</v>
      </c>
      <c r="F278" s="18" t="str">
        <f>IF('Interpreted Data'!P278="","",CONCATENATE(";",'Interpreted Data'!P278))</f>
        <v>;(sketch at-au) descends at 15 or 20 degrees. i.e. -9 feet vertical. Sump?</v>
      </c>
    </row>
    <row r="279" spans="1:6" x14ac:dyDescent="0.25">
      <c r="A279" t="str">
        <f>CONCATENATE('Interpreted Data'!A279,"3")</f>
        <v>as3</v>
      </c>
      <c r="B279" t="str">
        <f>CONCATENATE('Interpreted Data'!B279,"3")</f>
        <v>at3</v>
      </c>
      <c r="C279" s="2">
        <f>'Interpreted Data'!J279/$G$1</f>
        <v>5.6097560975609753</v>
      </c>
      <c r="D279" s="20">
        <f>'Interpreted Data'!Y279</f>
        <v>3</v>
      </c>
      <c r="E279" s="11">
        <f>IF(D279="-",IF('Interpreted Data'!U279=-90,"-V",IF('Interpreted Data'!U279=90,"+V",'Interpreted Data'!U279)),'Interpreted Data'!U279)</f>
        <v>-7.8089056267920371</v>
      </c>
      <c r="F279" s="18" t="str">
        <f>IF('Interpreted Data'!P279="","",CONCATENATE(";",'Interpreted Data'!P279))</f>
        <v/>
      </c>
    </row>
    <row r="280" spans="1:6" x14ac:dyDescent="0.25">
      <c r="A280" t="str">
        <f>CONCATENATE('Interpreted Data'!A280,"3")</f>
        <v>at3</v>
      </c>
      <c r="B280" t="str">
        <f>CONCATENATE('Interpreted Data'!B280,"3")</f>
        <v>au3</v>
      </c>
      <c r="C280" s="2">
        <f>'Interpreted Data'!J280/$G$1</f>
        <v>3.2317073170731709</v>
      </c>
      <c r="D280" s="20">
        <f>'Interpreted Data'!Y280</f>
        <v>355</v>
      </c>
      <c r="E280" s="11">
        <f>IF(D280="-",IF('Interpreted Data'!U280=-90,"-V",IF('Interpreted Data'!U280=90,"+V",'Interpreted Data'!U280)),'Interpreted Data'!U280)</f>
        <v>0</v>
      </c>
      <c r="F280" s="18" t="str">
        <f>IF('Interpreted Data'!P280="","",CONCATENATE(";",'Interpreted Data'!P280))</f>
        <v/>
      </c>
    </row>
    <row r="281" spans="1:6" x14ac:dyDescent="0.25">
      <c r="A281" t="str">
        <f>'Interpreted Data'!A281</f>
        <v/>
      </c>
      <c r="B281" t="str">
        <f>'Interpreted Data'!B281</f>
        <v/>
      </c>
      <c r="C281" s="2"/>
      <c r="D281" s="10"/>
      <c r="E281" s="11"/>
      <c r="F281" s="18" t="str">
        <f>IF('Interpreted Data'!P281="","",CONCATENATE(";",'Interpreted Data'!P281))</f>
        <v/>
      </c>
    </row>
    <row r="282" spans="1:6" x14ac:dyDescent="0.25">
      <c r="A282" t="str">
        <f>'Interpreted Data'!A282</f>
        <v/>
      </c>
      <c r="B282" t="str">
        <f>'Interpreted Data'!B282</f>
        <v/>
      </c>
      <c r="C282" s="2"/>
      <c r="D282" s="10"/>
      <c r="E282" s="11"/>
      <c r="F282" s="18" t="str">
        <f>IF('Interpreted Data'!P282="","",CONCATENATE(";",'Interpreted Data'!P282))</f>
        <v/>
      </c>
    </row>
    <row r="283" spans="1:6" x14ac:dyDescent="0.25">
      <c r="A283" s="18" t="str">
        <f>CONCATENATE(";",'Interpreted Data'!A283)</f>
        <v>;p. 65-69</v>
      </c>
      <c r="B283" t="str">
        <f>'Interpreted Data'!B283</f>
        <v>(=PDF p.69-72)</v>
      </c>
      <c r="C283" s="2"/>
      <c r="D283" s="10"/>
      <c r="E283" s="11"/>
      <c r="F283" s="18" t="str">
        <f>IF('Interpreted Data'!P283="","",CONCATENATE(";",'Interpreted Data'!P283))</f>
        <v/>
      </c>
    </row>
    <row r="284" spans="1:6" x14ac:dyDescent="0.25">
      <c r="A284" s="18" t="str">
        <f>CONCATENATE(";",'Interpreted Data'!A284)</f>
        <v>;2nd May 1953</v>
      </c>
      <c r="B284" t="str">
        <f>'Interpreted Data'!B284</f>
        <v>Oliver</v>
      </c>
      <c r="C284" s="2"/>
      <c r="D284" s="10"/>
      <c r="E284" s="11"/>
      <c r="F284" s="18" t="str">
        <f>IF('Interpreted Data'!P284="","",CONCATENATE(";",'Interpreted Data'!P284))</f>
        <v/>
      </c>
    </row>
    <row r="285" spans="1:6" x14ac:dyDescent="0.25">
      <c r="A285" t="str">
        <f>'Interpreted Data'!A285</f>
        <v>DO</v>
      </c>
      <c r="B285" t="str">
        <f>'Interpreted Data'!B285</f>
        <v>FA</v>
      </c>
      <c r="C285" s="2">
        <f>'Interpreted Data'!J285/$G$1</f>
        <v>5.3353658536585371</v>
      </c>
      <c r="D285" s="10">
        <f>'Interpreted Data'!T285</f>
        <v>351.5</v>
      </c>
      <c r="E285" s="11">
        <f>IF(D285="-",IF('Interpreted Data'!U285=-90,"-V",IF('Interpreted Data'!U285=90,"+V",'Interpreted Data'!U285)),'Interpreted Data'!U285)</f>
        <v>-0.5</v>
      </c>
      <c r="F285" s="18" t="str">
        <f>IF('Interpreted Data'!P285="","",CONCATENATE(";",'Interpreted Data'!P285))</f>
        <v>;DO within one foot of DO on p.53</v>
      </c>
    </row>
    <row r="286" spans="1:6" x14ac:dyDescent="0.25">
      <c r="A286" t="str">
        <f>'Interpreted Data'!A286</f>
        <v>FA</v>
      </c>
      <c r="B286" t="str">
        <f>'Interpreted Data'!B286</f>
        <v>FB</v>
      </c>
      <c r="C286" s="2">
        <f>'Interpreted Data'!J286/$G$1</f>
        <v>1.4634146341463414</v>
      </c>
      <c r="D286" s="10">
        <f>'Interpreted Data'!T286</f>
        <v>358.16666666666669</v>
      </c>
      <c r="E286" s="11">
        <f>IF(D286="-",IF('Interpreted Data'!U286=-90,"-V",IF('Interpreted Data'!U286=90,"+V",'Interpreted Data'!U286)),'Interpreted Data'!U286)</f>
        <v>-18.5</v>
      </c>
      <c r="F286" s="18" t="str">
        <f>IF('Interpreted Data'!P286="","",CONCATENATE(";",'Interpreted Data'!P286))</f>
        <v>;Corner of Kenneys dig passage 0 - 0.7</v>
      </c>
    </row>
    <row r="287" spans="1:6" x14ac:dyDescent="0.25">
      <c r="A287" t="str">
        <f>'Interpreted Data'!A287</f>
        <v>FB</v>
      </c>
      <c r="B287" t="str">
        <f>'Interpreted Data'!B287</f>
        <v>FC</v>
      </c>
      <c r="C287" s="2">
        <f>'Interpreted Data'!J287/$G$1</f>
        <v>2.9878048780487809</v>
      </c>
      <c r="D287" s="10">
        <f>'Interpreted Data'!T287</f>
        <v>324.16666666666669</v>
      </c>
      <c r="E287" s="11">
        <f>IF(D287="-",IF('Interpreted Data'!U287=-90,"-V",IF('Interpreted Data'!U287=90,"+V",'Interpreted Data'!U287)),'Interpreted Data'!U287)</f>
        <v>29.5</v>
      </c>
      <c r="F287" s="18" t="str">
        <f>IF('Interpreted Data'!P287="","",CONCATENATE(";",'Interpreted Data'!P287))</f>
        <v>;3" candle on wee stalagmite</v>
      </c>
    </row>
    <row r="288" spans="1:6" x14ac:dyDescent="0.25">
      <c r="A288" t="str">
        <f>'Interpreted Data'!A288</f>
        <v>FC</v>
      </c>
      <c r="B288" t="str">
        <f>'Interpreted Data'!B288</f>
        <v>FD</v>
      </c>
      <c r="C288" s="2">
        <f>'Interpreted Data'!J288/$G$1</f>
        <v>4.0548780487804885</v>
      </c>
      <c r="D288" s="10">
        <f>'Interpreted Data'!T288</f>
        <v>358</v>
      </c>
      <c r="E288" s="11">
        <f>IF(D288="-",IF('Interpreted Data'!U288=-90,"-V",IF('Interpreted Data'!U288=90,"+V",'Interpreted Data'!U288)),'Interpreted Data'!U288)</f>
        <v>1.5</v>
      </c>
      <c r="F288" s="18" t="str">
        <f>IF('Interpreted Data'!P288="","",CONCATENATE(";",'Interpreted Data'!P288))</f>
        <v/>
      </c>
    </row>
    <row r="289" spans="1:6" x14ac:dyDescent="0.25">
      <c r="A289" t="str">
        <f>'Interpreted Data'!A289</f>
        <v>FD</v>
      </c>
      <c r="B289" t="str">
        <f>'Interpreted Data'!B289</f>
        <v>FE</v>
      </c>
      <c r="C289" s="2">
        <f>'Interpreted Data'!J289/$G$1</f>
        <v>2.7134146341463419</v>
      </c>
      <c r="D289" s="10">
        <f>'Interpreted Data'!T289</f>
        <v>8</v>
      </c>
      <c r="E289" s="11">
        <f>IF(D289="-",IF('Interpreted Data'!U289=-90,"-V",IF('Interpreted Data'!U289=90,"+V",'Interpreted Data'!U289)),'Interpreted Data'!U289)</f>
        <v>13.5</v>
      </c>
      <c r="F289" s="18" t="str">
        <f>IF('Interpreted Data'!P289="","",CONCATENATE(";",'Interpreted Data'!P289))</f>
        <v>;Under chock stones on angular rock</v>
      </c>
    </row>
    <row r="290" spans="1:6" x14ac:dyDescent="0.25">
      <c r="A290" t="str">
        <f>'Interpreted Data'!A290</f>
        <v>FE</v>
      </c>
      <c r="B290" t="str">
        <f>'Interpreted Data'!B290</f>
        <v>FF</v>
      </c>
      <c r="C290" s="2">
        <f>'Interpreted Data'!J290/$G$1</f>
        <v>4.0853658536585371</v>
      </c>
      <c r="D290" s="10">
        <f>'Interpreted Data'!T290</f>
        <v>52.166666666666664</v>
      </c>
      <c r="E290" s="11">
        <f>IF(D290="-",IF('Interpreted Data'!U290=-90,"-V",IF('Interpreted Data'!U290=90,"+V",'Interpreted Data'!U290)),'Interpreted Data'!U290)</f>
        <v>13.5</v>
      </c>
      <c r="F290" s="18" t="str">
        <f>IF('Interpreted Data'!P290="","",CONCATENATE(";",'Interpreted Data'!P290))</f>
        <v>;On 8" stalagmite at corner</v>
      </c>
    </row>
    <row r="291" spans="1:6" x14ac:dyDescent="0.25">
      <c r="A291" t="str">
        <f>'Interpreted Data'!A291</f>
        <v>FF</v>
      </c>
      <c r="B291" t="str">
        <f>'Interpreted Data'!B291</f>
        <v>FG</v>
      </c>
      <c r="C291" s="2">
        <f>'Interpreted Data'!J291/$G$1</f>
        <v>2.6524390243902438</v>
      </c>
      <c r="D291" s="10">
        <f>'Interpreted Data'!T291</f>
        <v>26</v>
      </c>
      <c r="E291" s="11">
        <f>IF(D291="-",IF('Interpreted Data'!U291=-90,"-V",IF('Interpreted Data'!U291=90,"+V",'Interpreted Data'!U291)),'Interpreted Data'!U291)</f>
        <v>-22.5</v>
      </c>
      <c r="F291" s="18" t="str">
        <f>IF('Interpreted Data'!P291="","",CONCATENATE(";",'Interpreted Data'!P291))</f>
        <v>;On top of bloody great rock</v>
      </c>
    </row>
    <row r="292" spans="1:6" x14ac:dyDescent="0.25">
      <c r="A292" t="str">
        <f>'Interpreted Data'!A292</f>
        <v>FG</v>
      </c>
      <c r="B292" t="str">
        <f>'Interpreted Data'!B292</f>
        <v>FH</v>
      </c>
      <c r="C292" s="2">
        <f>'Interpreted Data'!J292/$G$1</f>
        <v>6.4939024390243905</v>
      </c>
      <c r="D292" s="10">
        <f>'Interpreted Data'!T292</f>
        <v>130</v>
      </c>
      <c r="E292" s="11">
        <f>IF(D292="-",IF('Interpreted Data'!U292=-90,"-V",IF('Interpreted Data'!U292=90,"+V",'Interpreted Data'!U292)),'Interpreted Data'!U292)</f>
        <v>13</v>
      </c>
      <c r="F292" s="18" t="str">
        <f>IF('Interpreted Data'!P292="","",CONCATENATE(";",'Interpreted Data'!P292))</f>
        <v/>
      </c>
    </row>
    <row r="293" spans="1:6" x14ac:dyDescent="0.25">
      <c r="A293" t="str">
        <f>'Interpreted Data'!A293</f>
        <v>FH</v>
      </c>
      <c r="B293" t="str">
        <f>'Interpreted Data'!B293</f>
        <v>FI</v>
      </c>
      <c r="C293" s="2">
        <f>'Interpreted Data'!J293/$G$1</f>
        <v>3.9024390243902443</v>
      </c>
      <c r="D293" s="10">
        <f>'Interpreted Data'!T293</f>
        <v>155.5</v>
      </c>
      <c r="E293" s="11">
        <f>IF(D293="-",IF('Interpreted Data'!U293=-90,"-V",IF('Interpreted Data'!U293=90,"+V",'Interpreted Data'!U293)),'Interpreted Data'!U293)</f>
        <v>10.5</v>
      </c>
      <c r="F293" s="18" t="str">
        <f>IF('Interpreted Data'!P293="","",CONCATENATE(";",'Interpreted Data'!P293))</f>
        <v/>
      </c>
    </row>
    <row r="294" spans="1:6" x14ac:dyDescent="0.25">
      <c r="A294" t="str">
        <f>'Interpreted Data'!A294</f>
        <v>FI</v>
      </c>
      <c r="B294" t="str">
        <f>'Interpreted Data'!B294</f>
        <v>FJ</v>
      </c>
      <c r="C294" s="2">
        <f>'Interpreted Data'!J294/$G$1</f>
        <v>4.2987804878048781</v>
      </c>
      <c r="D294" s="10">
        <f>'Interpreted Data'!T294</f>
        <v>60</v>
      </c>
      <c r="E294" s="11">
        <f>IF(D294="-",IF('Interpreted Data'!U294=-90,"-V",IF('Interpreted Data'!U294=90,"+V",'Interpreted Data'!U294)),'Interpreted Data'!U294)</f>
        <v>-44</v>
      </c>
      <c r="F294" s="18" t="str">
        <f>IF('Interpreted Data'!P294="","",CONCATENATE(";",'Interpreted Data'!P294))</f>
        <v>;Entrance to 2nd Boulder Ch. (sketch of FI-FK)</v>
      </c>
    </row>
    <row r="295" spans="1:6" x14ac:dyDescent="0.25">
      <c r="A295" t="str">
        <f>'Interpreted Data'!A295</f>
        <v>FJ</v>
      </c>
      <c r="B295" t="str">
        <f>'Interpreted Data'!B295</f>
        <v>FK</v>
      </c>
      <c r="C295" s="2">
        <f>'Interpreted Data'!J295/$G$1</f>
        <v>10.914634146341463</v>
      </c>
      <c r="D295" s="10">
        <f>'Interpreted Data'!T295</f>
        <v>324</v>
      </c>
      <c r="E295" s="11">
        <f>IF(D295="-",IF('Interpreted Data'!U295=-90,"-V",IF('Interpreted Data'!U295=90,"+V",'Interpreted Data'!U295)),'Interpreted Data'!U295)</f>
        <v>-18.5</v>
      </c>
      <c r="F295" s="18" t="str">
        <f>IF('Interpreted Data'!P295="","",CONCATENATE(";",'Interpreted Data'!P295))</f>
        <v>;Side pass at 20', enters BC 12' from FK</v>
      </c>
    </row>
    <row r="296" spans="1:6" x14ac:dyDescent="0.25">
      <c r="A296" t="str">
        <f>'Interpreted Data'!A296</f>
        <v>FK</v>
      </c>
      <c r="B296" t="str">
        <f>'Interpreted Data'!B296</f>
        <v>FL</v>
      </c>
      <c r="C296" s="2">
        <f>'Interpreted Data'!J296/$G$1</f>
        <v>3.4146341463414633</v>
      </c>
      <c r="D296" s="10">
        <f>'Interpreted Data'!T296</f>
        <v>58</v>
      </c>
      <c r="E296" s="11">
        <f>IF(D296="-",IF('Interpreted Data'!U296=-90,"-V",IF('Interpreted Data'!U296=90,"+V",'Interpreted Data'!U296)),'Interpreted Data'!U296)</f>
        <v>-15</v>
      </c>
      <c r="F296" s="18" t="str">
        <f>IF('Interpreted Data'!P296="","",CONCATENATE(";",'Interpreted Data'!P296))</f>
        <v>;On wee stalagmite in S. corner 1st BC</v>
      </c>
    </row>
    <row r="297" spans="1:6" x14ac:dyDescent="0.25">
      <c r="A297" t="str">
        <f>'Interpreted Data'!A297</f>
        <v>FL</v>
      </c>
      <c r="B297" t="str">
        <f>'Interpreted Data'!B297</f>
        <v>FM</v>
      </c>
      <c r="C297" s="2">
        <f>'Interpreted Data'!J297/$G$1</f>
        <v>13.567073170731708</v>
      </c>
      <c r="D297" s="10">
        <f>'Interpreted Data'!T297</f>
        <v>287.16666666666669</v>
      </c>
      <c r="E297" s="11">
        <f>IF(D297="-",IF('Interpreted Data'!U297=-90,"-V",IF('Interpreted Data'!U297=90,"+V",'Interpreted Data'!U297)),'Interpreted Data'!U297)</f>
        <v>-11</v>
      </c>
      <c r="F297" s="18" t="str">
        <f>IF('Interpreted Data'!P297="","",CONCATENATE(";",'Interpreted Data'!P297))</f>
        <v>;In BC. Side passage (wet) at 39'. 20' long at 155deg. Passage splits at 24'</v>
      </c>
    </row>
    <row r="298" spans="1:6" x14ac:dyDescent="0.25">
      <c r="A298" t="str">
        <f>'Interpreted Data'!A298</f>
        <v>FM</v>
      </c>
      <c r="B298" t="str">
        <f>'Interpreted Data'!B298</f>
        <v>FN</v>
      </c>
      <c r="C298" s="2">
        <f>'Interpreted Data'!J298/$G$1</f>
        <v>4.3597560975609762</v>
      </c>
      <c r="D298" s="10">
        <f>'Interpreted Data'!T298</f>
        <v>292.25</v>
      </c>
      <c r="E298" s="11">
        <f>IF(D298="-",IF('Interpreted Data'!U298=-90,"-V",IF('Interpreted Data'!U298=90,"+V",'Interpreted Data'!U298)),'Interpreted Data'!U298)</f>
        <v>18.5</v>
      </c>
      <c r="F298" s="18" t="str">
        <f>IF('Interpreted Data'!P298="","",CONCATENATE(";",'Interpreted Data'!P298))</f>
        <v>;On stal boss in roof passage</v>
      </c>
    </row>
    <row r="299" spans="1:6" x14ac:dyDescent="0.25">
      <c r="A299" t="str">
        <f>'Interpreted Data'!A299</f>
        <v>FN</v>
      </c>
      <c r="B299" t="str">
        <f>'Interpreted Data'!B299</f>
        <v>FO</v>
      </c>
      <c r="C299" s="2">
        <f>'Interpreted Data'!J299/$G$1</f>
        <v>4.8780487804878048</v>
      </c>
      <c r="D299" s="10">
        <f>'Interpreted Data'!T299</f>
        <v>340.5</v>
      </c>
      <c r="E299" s="11">
        <f>IF(D299="-",IF('Interpreted Data'!U299=-90,"-V",IF('Interpreted Data'!U299=90,"+V",'Interpreted Data'!U299)),'Interpreted Data'!U299)</f>
        <v>4</v>
      </c>
      <c r="F299" s="18" t="str">
        <f>IF('Interpreted Data'!P299="","",CONCATENATE(";",'Interpreted Data'!P299))</f>
        <v/>
      </c>
    </row>
    <row r="300" spans="1:6" x14ac:dyDescent="0.25">
      <c r="A300" t="str">
        <f>'Interpreted Data'!A300</f>
        <v>FO</v>
      </c>
      <c r="B300" t="str">
        <f>'Interpreted Data'!B300</f>
        <v>FP</v>
      </c>
      <c r="C300" s="2">
        <f>'Interpreted Data'!J300/$G$1</f>
        <v>4.6951219512195124</v>
      </c>
      <c r="D300" s="10">
        <f>'Interpreted Data'!T300</f>
        <v>248</v>
      </c>
      <c r="E300" s="11">
        <f>IF(D300="-",IF('Interpreted Data'!U300=-90,"-V",IF('Interpreted Data'!U300=90,"+V",'Interpreted Data'!U300)),'Interpreted Data'!U300)</f>
        <v>-58</v>
      </c>
      <c r="F300" s="18" t="str">
        <f>IF('Interpreted Data'!P300="","",CONCATENATE(";",'Interpreted Data'!P300))</f>
        <v>;Mousehole passage 33' at 087deg from FO</v>
      </c>
    </row>
    <row r="301" spans="1:6" x14ac:dyDescent="0.25">
      <c r="A301" t="str">
        <f>'Interpreted Data'!A301</f>
        <v>FP</v>
      </c>
      <c r="B301" t="str">
        <f>'Interpreted Data'!B301</f>
        <v>FQ</v>
      </c>
      <c r="C301" s="2">
        <f>'Interpreted Data'!J301/$G$1</f>
        <v>3.6585365853658538</v>
      </c>
      <c r="D301" s="10">
        <f>'Interpreted Data'!T301</f>
        <v>319</v>
      </c>
      <c r="E301" s="11">
        <f>IF(D301="-",IF('Interpreted Data'!U301=-90,"-V",IF('Interpreted Data'!U301=90,"+V",'Interpreted Data'!U301)),'Interpreted Data'!U301)</f>
        <v>-11</v>
      </c>
      <c r="F301" s="18" t="str">
        <f>IF('Interpreted Data'!P301="","",CONCATENATE(";",'Interpreted Data'!P301))</f>
        <v/>
      </c>
    </row>
    <row r="302" spans="1:6" x14ac:dyDescent="0.25">
      <c r="A302" t="str">
        <f>'Interpreted Data'!A302</f>
        <v>FQ</v>
      </c>
      <c r="B302" t="str">
        <f>'Interpreted Data'!B302</f>
        <v>FR</v>
      </c>
      <c r="C302" s="2">
        <f>'Interpreted Data'!J302/$G$1</f>
        <v>11.890243902439025</v>
      </c>
      <c r="D302" s="10">
        <f>'Interpreted Data'!T302</f>
        <v>268</v>
      </c>
      <c r="E302" s="11">
        <f>IF(D302="-",IF('Interpreted Data'!U302=-90,"-V",IF('Interpreted Data'!U302=90,"+V",'Interpreted Data'!U302)),'Interpreted Data'!U302)</f>
        <v>-6.5</v>
      </c>
      <c r="F302" s="18" t="str">
        <f>IF('Interpreted Data'!P302="","",CONCATENATE(";",'Interpreted Data'!P302))</f>
        <v/>
      </c>
    </row>
    <row r="303" spans="1:6" x14ac:dyDescent="0.25">
      <c r="A303" t="str">
        <f>'Interpreted Data'!A303</f>
        <v>FR</v>
      </c>
      <c r="B303" t="str">
        <f>'Interpreted Data'!B303</f>
        <v>DA</v>
      </c>
      <c r="C303" s="2">
        <f>'Interpreted Data'!J303/$G$1</f>
        <v>8.9024390243902438</v>
      </c>
      <c r="D303" s="10">
        <f>'Interpreted Data'!T303</f>
        <v>252</v>
      </c>
      <c r="E303" s="11">
        <f>IF(D303="-",IF('Interpreted Data'!U303=-90,"-V",IF('Interpreted Data'!U303=90,"+V",'Interpreted Data'!U303)),'Interpreted Data'!U303)</f>
        <v>-24.5</v>
      </c>
      <c r="F303" s="18" t="str">
        <f>IF('Interpreted Data'!P303="","",CONCATENATE(";",'Interpreted Data'!P303))</f>
        <v>;Ent to Old Grot on bridge</v>
      </c>
    </row>
    <row r="304" spans="1:6" x14ac:dyDescent="0.25">
      <c r="A304" s="18" t="str">
        <f>CONCATENATE(";",'Interpreted Data'!A304)</f>
        <v>;DA</v>
      </c>
      <c r="B304" t="str">
        <f>'Interpreted Data'!B304</f>
        <v/>
      </c>
      <c r="C304" s="2"/>
      <c r="D304" s="10"/>
      <c r="E304" s="11"/>
      <c r="F304" s="18" t="str">
        <f>IF('Interpreted Data'!P304="","",CONCATENATE(";",'Interpreted Data'!P304))</f>
        <v>;1' further on at 45deg to right of last sta. (sketch of this DA relative to "DA boss")</v>
      </c>
    </row>
    <row r="305" spans="1:6" x14ac:dyDescent="0.25">
      <c r="A305" t="str">
        <f>'Interpreted Data'!A305</f>
        <v>FK</v>
      </c>
      <c r="B305" t="str">
        <f>'Interpreted Data'!B305</f>
        <v>FS</v>
      </c>
      <c r="C305" s="2">
        <f>'Interpreted Data'!J305/$G$1</f>
        <v>9.5426829268292686</v>
      </c>
      <c r="D305" s="10">
        <f>'Interpreted Data'!T305</f>
        <v>91.666666666666671</v>
      </c>
      <c r="E305" s="11">
        <f>IF(D305="-",IF('Interpreted Data'!U305=-90,"-V",IF('Interpreted Data'!U305=90,"+V",'Interpreted Data'!U305)),'Interpreted Data'!U305)</f>
        <v>11</v>
      </c>
      <c r="F305" s="18" t="str">
        <f>IF('Interpreted Data'!P305="","",CONCATENATE(";",'Interpreted Data'!P305))</f>
        <v/>
      </c>
    </row>
    <row r="306" spans="1:6" x14ac:dyDescent="0.25">
      <c r="A306" t="str">
        <f>'Interpreted Data'!A306</f>
        <v>FS</v>
      </c>
      <c r="B306" t="str">
        <f>'Interpreted Data'!B306</f>
        <v>FT</v>
      </c>
      <c r="C306" s="2">
        <f>'Interpreted Data'!J306/$G$1</f>
        <v>11.615853658536587</v>
      </c>
      <c r="D306" s="10">
        <f>'Interpreted Data'!T306</f>
        <v>162</v>
      </c>
      <c r="E306" s="11">
        <f>IF(D306="-",IF('Interpreted Data'!U306=-90,"-V",IF('Interpreted Data'!U306=90,"+V",'Interpreted Data'!U306)),'Interpreted Data'!U306)</f>
        <v>17</v>
      </c>
      <c r="F306" s="18" t="str">
        <f>IF('Interpreted Data'!P306="","",CONCATENATE(";",'Interpreted Data'!P306))</f>
        <v/>
      </c>
    </row>
    <row r="307" spans="1:6" x14ac:dyDescent="0.25">
      <c r="A307" t="str">
        <f>'Interpreted Data'!A307</f>
        <v>FT</v>
      </c>
      <c r="B307" t="str">
        <f>'Interpreted Data'!B307</f>
        <v>FU</v>
      </c>
      <c r="C307" s="2">
        <f>'Interpreted Data'!J307/$G$1</f>
        <v>5.8030235047386878</v>
      </c>
      <c r="D307" s="10">
        <f>'Interpreted Data'!T307</f>
        <v>8</v>
      </c>
      <c r="E307" s="11">
        <f>IF(D307="-",IF('Interpreted Data'!U307=-90,"-V",IF('Interpreted Data'!U307=90,"+V",'Interpreted Data'!U307)),'Interpreted Data'!U307)</f>
        <v>21.577817335473043</v>
      </c>
      <c r="F307" s="18" t="str">
        <f>IF('Interpreted Data'!P307="","",CONCATENATE(";",'Interpreted Data'!P307))</f>
        <v>;Boss opposite squeeze. Passage to choke 15' at 160deg</v>
      </c>
    </row>
    <row r="308" spans="1:6" x14ac:dyDescent="0.25">
      <c r="A308" t="str">
        <f>'Interpreted Data'!A308</f>
        <v>FU</v>
      </c>
      <c r="B308" t="str">
        <f>'Interpreted Data'!B308</f>
        <v>FV</v>
      </c>
      <c r="C308" s="2">
        <f>'Interpreted Data'!J308/$G$1</f>
        <v>4.2180183807189939</v>
      </c>
      <c r="D308" s="10">
        <f>'Interpreted Data'!T308</f>
        <v>46</v>
      </c>
      <c r="E308" s="11">
        <f>IF(D308="-",IF('Interpreted Data'!U308=-90,"-V",IF('Interpreted Data'!U308=90,"+V",'Interpreted Data'!U308)),'Interpreted Data'!U308)</f>
        <v>21.186176440399141</v>
      </c>
      <c r="F308" s="18" t="str">
        <f>IF('Interpreted Data'!P308="","",CONCATENATE(";",'Interpreted Data'!P308))</f>
        <v>;(sketch T-U-V-W)  New Grottoes</v>
      </c>
    </row>
    <row r="309" spans="1:6" x14ac:dyDescent="0.25">
      <c r="A309" t="str">
        <f>'Interpreted Data'!A309</f>
        <v>FV</v>
      </c>
      <c r="B309" t="str">
        <f>'Interpreted Data'!B309</f>
        <v>FW</v>
      </c>
      <c r="C309" s="2">
        <f>'Interpreted Data'!J309/$G$1</f>
        <v>6.1585365853658542</v>
      </c>
      <c r="D309" s="10">
        <f>'Interpreted Data'!T309</f>
        <v>75</v>
      </c>
      <c r="E309" s="11">
        <f>IF(D309="-",IF('Interpreted Data'!U309=-90,"-V",IF('Interpreted Data'!U309=90,"+V",'Interpreted Data'!U309)),'Interpreted Data'!U309)</f>
        <v>8.5408698328699355</v>
      </c>
      <c r="F309" s="18" t="str">
        <f>IF('Interpreted Data'!P309="","",CONCATENATE(";",'Interpreted Data'!P309))</f>
        <v/>
      </c>
    </row>
    <row r="310" spans="1:6" x14ac:dyDescent="0.25">
      <c r="A310" s="18" t="str">
        <f>CONCATENATE(";",'Interpreted Data'!A310)</f>
        <v>;FW</v>
      </c>
      <c r="B310" t="str">
        <f>'Interpreted Data'!B310</f>
        <v/>
      </c>
      <c r="C310" s="2"/>
      <c r="D310" s="10"/>
      <c r="E310" s="11"/>
      <c r="F310" s="18" t="str">
        <f>IF('Interpreted Data'!P310="","",CONCATENATE(";",'Interpreted Data'!P310))</f>
        <v>;Total = 6,448'</v>
      </c>
    </row>
    <row r="311" spans="1:6" x14ac:dyDescent="0.25">
      <c r="A311" t="str">
        <f>'Interpreted Data'!A311</f>
        <v/>
      </c>
      <c r="B311" t="str">
        <f>'Interpreted Data'!B311</f>
        <v/>
      </c>
      <c r="C311" s="2"/>
      <c r="D311" s="10"/>
      <c r="E311" s="11"/>
      <c r="F311" s="18" t="str">
        <f>IF('Interpreted Data'!P311="","",CONCATENATE(";",'Interpreted Data'!P311))</f>
        <v/>
      </c>
    </row>
    <row r="312" spans="1:6" x14ac:dyDescent="0.25">
      <c r="A312" s="18" t="str">
        <f>CONCATENATE("*flags surface","  ;",'Interpreted Data'!A312)</f>
        <v>*flags surface  ;16th May '53</v>
      </c>
      <c r="B312" t="str">
        <f>'Interpreted Data'!B312</f>
        <v xml:space="preserve">Luke </v>
      </c>
      <c r="C312" t="str">
        <f>'Interpreted Data'!C312</f>
        <v>(a little surface tie up)</v>
      </c>
      <c r="D312" s="10"/>
      <c r="E312" s="11"/>
      <c r="F312" s="18" t="str">
        <f>IF('Interpreted Data'!P312="","",CONCATENATE(";",'Interpreted Data'!P312))</f>
        <v/>
      </c>
    </row>
    <row r="313" spans="1:6" x14ac:dyDescent="0.25">
      <c r="A313" t="str">
        <f>'Interpreted Data'!A313</f>
        <v>EC</v>
      </c>
      <c r="B313" t="str">
        <f>'Interpreted Data'!B313</f>
        <v>ED</v>
      </c>
      <c r="C313" s="2">
        <f>'Interpreted Data'!J313/$G$1</f>
        <v>2.9878048780487809</v>
      </c>
      <c r="D313" s="10">
        <f>'Interpreted Data'!T313</f>
        <v>166</v>
      </c>
      <c r="E313" s="11">
        <f>IF(D313="-",IF('Interpreted Data'!U313=-90,"-V",IF('Interpreted Data'!U313=90,"+V",'Interpreted Data'!U313)),'Interpreted Data'!U313)</f>
        <v>45.25</v>
      </c>
      <c r="F313" s="18" t="str">
        <f>IF('Interpreted Data'!P313="","",CONCATENATE(";",'Interpreted Data'!P313))</f>
        <v>;ED is the obtuse angle in the grating (sketch of grating marking ED)</v>
      </c>
    </row>
    <row r="314" spans="1:6" x14ac:dyDescent="0.25">
      <c r="A314" t="str">
        <f>'Interpreted Data'!A314</f>
        <v>ED</v>
      </c>
      <c r="B314" t="str">
        <f>'Interpreted Data'!B314</f>
        <v>EE</v>
      </c>
      <c r="C314" s="2">
        <f>'Interpreted Data'!J314/$G$1</f>
        <v>11.615853658536587</v>
      </c>
      <c r="D314" s="10">
        <f>'Interpreted Data'!T314</f>
        <v>222</v>
      </c>
      <c r="E314" s="11">
        <f>IF(D314="-",IF('Interpreted Data'!U314=-90,"-V",IF('Interpreted Data'!U314=90,"+V",'Interpreted Data'!U314)),'Interpreted Data'!U314)</f>
        <v>19</v>
      </c>
      <c r="F314" s="18" t="str">
        <f>IF('Interpreted Data'!P314="","",CONCATENATE(";",'Interpreted Data'!P314))</f>
        <v>;Depth Sump II = 400.9' = 378' O.D.</v>
      </c>
    </row>
    <row r="315" spans="1:6" x14ac:dyDescent="0.25">
      <c r="A315" t="str">
        <f>'Interpreted Data'!A315</f>
        <v>EE</v>
      </c>
      <c r="B315" t="str">
        <f>'Interpreted Data'!B315</f>
        <v>EF</v>
      </c>
      <c r="C315" s="2">
        <f>'Interpreted Data'!J315/$G$1</f>
        <v>19.29878048780488</v>
      </c>
      <c r="D315" s="10">
        <f>'Interpreted Data'!T315</f>
        <v>190.5</v>
      </c>
      <c r="E315" s="11">
        <f>IF(D315="-",IF('Interpreted Data'!U315=-90,"-V",IF('Interpreted Data'!U315=90,"+V",'Interpreted Data'!U315)),'Interpreted Data'!U315)</f>
        <v>12.666666660000001</v>
      </c>
      <c r="F315" s="18" t="str">
        <f>IF('Interpreted Data'!P315="","",CONCATENATE(";",'Interpreted Data'!P315))</f>
        <v>;Alt entrance = 778.8 O.D. = 289' to fall to Cheddar (sketch of EE-EH with some surface features lines?)</v>
      </c>
    </row>
    <row r="316" spans="1:6" x14ac:dyDescent="0.25">
      <c r="A316" t="str">
        <f>'Interpreted Data'!A316</f>
        <v>EE</v>
      </c>
      <c r="B316" t="str">
        <f>'Interpreted Data'!B316</f>
        <v>EG</v>
      </c>
      <c r="C316" s="2">
        <f>'Interpreted Data'!J316/$G$1</f>
        <v>17.469512195121951</v>
      </c>
      <c r="D316" s="10">
        <f>'Interpreted Data'!T316</f>
        <v>229.66666666666666</v>
      </c>
      <c r="E316" s="11">
        <f>IF(D316="-",IF('Interpreted Data'!U316=-90,"-V",IF('Interpreted Data'!U316=90,"+V",'Interpreted Data'!U316)),'Interpreted Data'!U316)</f>
        <v>10</v>
      </c>
      <c r="F316" s="18" t="str">
        <f>IF('Interpreted Data'!P316="","",CONCATENATE(";",'Interpreted Data'!P316))</f>
        <v>;EF is 5' above ground level</v>
      </c>
    </row>
    <row r="317" spans="1:6" x14ac:dyDescent="0.25">
      <c r="A317" t="str">
        <f>'Interpreted Data'!A317</f>
        <v>EE</v>
      </c>
      <c r="B317" t="str">
        <f>'Interpreted Data'!B317</f>
        <v>EH</v>
      </c>
      <c r="C317" s="2">
        <f>'Interpreted Data'!J317/$G$1</f>
        <v>58.018292682926834</v>
      </c>
      <c r="D317" s="10">
        <f>'Interpreted Data'!T317</f>
        <v>328</v>
      </c>
      <c r="E317" s="11">
        <f>IF(D317="-",IF('Interpreted Data'!U317=-90,"-V",IF('Interpreted Data'!U317=90,"+V",'Interpreted Data'!U317)),'Interpreted Data'!U317)</f>
        <v>8</v>
      </c>
      <c r="F317" s="18" t="str">
        <f>IF('Interpreted Data'!P317="","",CONCATENATE(";",'Interpreted Data'!P317))</f>
        <v>;EG is 4.5' up; EH is 4' up.</v>
      </c>
    </row>
    <row r="318" spans="1:6" x14ac:dyDescent="0.25">
      <c r="A318" s="18" t="str">
        <f>CONCATENATE(";",'Interpreted Data'!A318)</f>
        <v>;EH</v>
      </c>
      <c r="B318" t="str">
        <f>'Interpreted Data'!B318</f>
        <v/>
      </c>
      <c r="C318" s="2"/>
      <c r="D318" s="10"/>
      <c r="E318" s="11"/>
      <c r="F318" s="18" t="str">
        <f>IF('Interpreted Data'!P318="","",CONCATENATE(";",'Interpreted Data'!P318))</f>
        <v/>
      </c>
    </row>
    <row r="319" spans="1:6" x14ac:dyDescent="0.25">
      <c r="A319" s="18" t="str">
        <f>CONCATENATE("*flags not surface"," ;",'Interpreted Data'!A319)</f>
        <v>*flags not surface ;</v>
      </c>
      <c r="B319" t="str">
        <f>'Interpreted Data'!B319</f>
        <v/>
      </c>
      <c r="C319" s="2"/>
      <c r="D319" s="10"/>
      <c r="E319" s="11"/>
      <c r="F319" s="18" t="str">
        <f>IF('Interpreted Data'!P319="","",CONCATENATE(";",'Interpreted Data'!P319))</f>
        <v/>
      </c>
    </row>
    <row r="320" spans="1:6" x14ac:dyDescent="0.25">
      <c r="A320" s="18" t="str">
        <f>CONCATENATE(";",'Interpreted Data'!A320)</f>
        <v>;24th May '53</v>
      </c>
      <c r="B320" t="str">
        <f>'Interpreted Data'!B320</f>
        <v>Oliver (+ Richard)</v>
      </c>
      <c r="C320" s="2"/>
      <c r="D320" s="10"/>
      <c r="E320" s="11"/>
      <c r="F320" s="18" t="str">
        <f>IF('Interpreted Data'!P320="","",CONCATENATE(";",'Interpreted Data'!P320))</f>
        <v/>
      </c>
    </row>
    <row r="321" spans="1:6" x14ac:dyDescent="0.25">
      <c r="A321" t="str">
        <f>'Interpreted Data'!A321</f>
        <v>FB</v>
      </c>
      <c r="B321" t="str">
        <f>'Interpreted Data'!B321</f>
        <v>FX</v>
      </c>
      <c r="C321" s="2">
        <f>'Interpreted Data'!J321/$G$1</f>
        <v>4.7560975609756095</v>
      </c>
      <c r="D321" s="10">
        <f>'Interpreted Data'!T321</f>
        <v>215</v>
      </c>
      <c r="E321" s="11">
        <f>IF(D321="-",IF('Interpreted Data'!U321=-90,"-V",IF('Interpreted Data'!U321=90,"+V",'Interpreted Data'!U321)),'Interpreted Data'!U321)</f>
        <v>22</v>
      </c>
      <c r="F321" s="18" t="str">
        <f>IF('Interpreted Data'!P321="","",CONCATENATE(";",'Interpreted Data'!P321))</f>
        <v>;See p.67 above</v>
      </c>
    </row>
    <row r="322" spans="1:6" x14ac:dyDescent="0.25">
      <c r="A322" t="str">
        <f>'Interpreted Data'!A322</f>
        <v>FX</v>
      </c>
      <c r="B322" t="str">
        <f>'Interpreted Data'!B322</f>
        <v>FY</v>
      </c>
      <c r="C322" s="2">
        <f>'Interpreted Data'!J322/$G$1</f>
        <v>4.6036585365853657</v>
      </c>
      <c r="D322" s="10">
        <f>'Interpreted Data'!T322</f>
        <v>173</v>
      </c>
      <c r="E322" s="11">
        <f>IF(D322="-",IF('Interpreted Data'!U322=-90,"-V",IF('Interpreted Data'!U322=90,"+V",'Interpreted Data'!U322)),'Interpreted Data'!U322)</f>
        <v>-33.5</v>
      </c>
      <c r="F322" s="18" t="str">
        <f>IF('Interpreted Data'!P322="","",CONCATENATE(";",'Interpreted Data'!P322))</f>
        <v>;(sketch FB,FX,FY,FZ,GA,GR,GB,GC,GD)</v>
      </c>
    </row>
    <row r="323" spans="1:6" x14ac:dyDescent="0.25">
      <c r="A323" t="str">
        <f>'Interpreted Data'!A323</f>
        <v>FY</v>
      </c>
      <c r="B323" t="str">
        <f>'Interpreted Data'!B323</f>
        <v>FZ</v>
      </c>
      <c r="C323" s="2">
        <f>'Interpreted Data'!J323/$G$1</f>
        <v>5</v>
      </c>
      <c r="D323" s="10">
        <f>'Interpreted Data'!T323</f>
        <v>259</v>
      </c>
      <c r="E323" s="11">
        <f>IF(D323="-",IF('Interpreted Data'!U323=-90,"-V",IF('Interpreted Data'!U323=90,"+V",'Interpreted Data'!U323)),'Interpreted Data'!U323)</f>
        <v>-25</v>
      </c>
      <c r="F323" s="18" t="str">
        <f>IF('Interpreted Data'!P323="","",CONCATENATE(";",'Interpreted Data'!P323))</f>
        <v/>
      </c>
    </row>
    <row r="324" spans="1:6" x14ac:dyDescent="0.25">
      <c r="A324" t="str">
        <f>'Interpreted Data'!A324</f>
        <v>FZ</v>
      </c>
      <c r="B324" t="str">
        <f>'Interpreted Data'!B324</f>
        <v>GA</v>
      </c>
      <c r="C324" s="2">
        <f>'Interpreted Data'!J324/$G$1</f>
        <v>3.0487804878048781</v>
      </c>
      <c r="D324" s="10">
        <f>'Interpreted Data'!T324</f>
        <v>204.5</v>
      </c>
      <c r="E324" s="11">
        <f>IF(D324="-",IF('Interpreted Data'!U324=-90,"-V",IF('Interpreted Data'!U324=90,"+V",'Interpreted Data'!U324)),'Interpreted Data'!U324)</f>
        <v>-3</v>
      </c>
      <c r="F324" s="18" t="str">
        <f>IF('Interpreted Data'!P324="","",CONCATENATE(";",'Interpreted Data'!P324))</f>
        <v/>
      </c>
    </row>
    <row r="325" spans="1:6" x14ac:dyDescent="0.25">
      <c r="A325" t="str">
        <f>'Interpreted Data'!A325</f>
        <v>GA</v>
      </c>
      <c r="B325" t="str">
        <f>'Interpreted Data'!B325</f>
        <v>GR</v>
      </c>
      <c r="C325" s="2">
        <f>'Interpreted Data'!J325/$G$1</f>
        <v>3.50609756097561</v>
      </c>
      <c r="D325" s="10">
        <f>'Interpreted Data'!T325</f>
        <v>229.16666666666666</v>
      </c>
      <c r="E325" s="11">
        <f>IF(D325="-",IF('Interpreted Data'!U325=-90,"-V",IF('Interpreted Data'!U325=90,"+V",'Interpreted Data'!U325)),'Interpreted Data'!U325)</f>
        <v>-12.25</v>
      </c>
      <c r="F325" s="18" t="str">
        <f>IF('Interpreted Data'!P325="","",CONCATENATE(";",'Interpreted Data'!P325))</f>
        <v/>
      </c>
    </row>
    <row r="326" spans="1:6" x14ac:dyDescent="0.25">
      <c r="A326" s="18" t="str">
        <f>CONCATENATE(";",'Interpreted Data'!A326)</f>
        <v>;GR</v>
      </c>
      <c r="B326" t="str">
        <f>'Interpreted Data'!B326</f>
        <v/>
      </c>
      <c r="C326" s="2"/>
      <c r="D326" s="10"/>
      <c r="E326" s="11"/>
      <c r="F326" s="18" t="str">
        <f>IF('Interpreted Data'!P326="","",CONCATENATE(";",'Interpreted Data'!P326))</f>
        <v/>
      </c>
    </row>
    <row r="327" spans="1:6" x14ac:dyDescent="0.25">
      <c r="A327" t="str">
        <f>'Interpreted Data'!A327</f>
        <v>GA</v>
      </c>
      <c r="B327" t="str">
        <f>'Interpreted Data'!B327</f>
        <v>GB</v>
      </c>
      <c r="C327" s="2">
        <f>'Interpreted Data'!J327/$G$1</f>
        <v>6.5853658536585371</v>
      </c>
      <c r="D327" s="10">
        <f>'Interpreted Data'!T327</f>
        <v>162</v>
      </c>
      <c r="E327" s="11">
        <f>IF(D327="-",IF('Interpreted Data'!U327=-90,"-V",IF('Interpreted Data'!U327=90,"+V",'Interpreted Data'!U327)),'Interpreted Data'!U327)</f>
        <v>7.6666666599999997</v>
      </c>
      <c r="F327" s="18" t="str">
        <f>IF('Interpreted Data'!P327="","",CONCATENATE(";",'Interpreted Data'!P327))</f>
        <v/>
      </c>
    </row>
    <row r="328" spans="1:6" x14ac:dyDescent="0.25">
      <c r="A328" t="str">
        <f>'Interpreted Data'!A328</f>
        <v>GB</v>
      </c>
      <c r="B328" t="str">
        <f>'Interpreted Data'!B328</f>
        <v>GC</v>
      </c>
      <c r="C328" s="2">
        <f>'Interpreted Data'!J328/$G$1</f>
        <v>5.4268292682926838</v>
      </c>
      <c r="D328" s="10">
        <f>'Interpreted Data'!T328</f>
        <v>87</v>
      </c>
      <c r="E328" s="11">
        <f>IF(D328="-",IF('Interpreted Data'!U328=-90,"-V",IF('Interpreted Data'!U328=90,"+V",'Interpreted Data'!U328)),'Interpreted Data'!U328)</f>
        <v>19</v>
      </c>
      <c r="F328" s="18" t="str">
        <f>IF('Interpreted Data'!P328="","",CONCATENATE(";",'Interpreted Data'!P328))</f>
        <v/>
      </c>
    </row>
    <row r="329" spans="1:6" x14ac:dyDescent="0.25">
      <c r="A329" t="str">
        <f>'Interpreted Data'!A329</f>
        <v>GC</v>
      </c>
      <c r="B329" t="str">
        <f>'Interpreted Data'!B329</f>
        <v>GD</v>
      </c>
      <c r="C329" s="2">
        <f>'Interpreted Data'!J329/$G$1</f>
        <v>4.9085365853658542</v>
      </c>
      <c r="D329" s="10">
        <f>'Interpreted Data'!T329</f>
        <v>113</v>
      </c>
      <c r="E329" s="11">
        <f>IF(D329="-",IF('Interpreted Data'!U329=-90,"-V",IF('Interpreted Data'!U329=90,"+V",'Interpreted Data'!U329)),'Interpreted Data'!U329)</f>
        <v>18.5</v>
      </c>
      <c r="F329" s="18" t="str">
        <f>IF('Interpreted Data'!P329="","",CONCATENATE(";",'Interpreted Data'!P329))</f>
        <v/>
      </c>
    </row>
    <row r="330" spans="1:6" x14ac:dyDescent="0.25">
      <c r="A330" t="str">
        <f>'Interpreted Data'!A330</f>
        <v>GD</v>
      </c>
      <c r="B330" t="str">
        <f>'Interpreted Data'!B330</f>
        <v>GE</v>
      </c>
      <c r="C330" s="2">
        <f>'Interpreted Data'!J330/$G$1</f>
        <v>4.725609756097561</v>
      </c>
      <c r="D330" s="10">
        <f>'Interpreted Data'!T330</f>
        <v>144.5</v>
      </c>
      <c r="E330" s="11">
        <f>IF(D330="-",IF('Interpreted Data'!U330=-90,"-V",IF('Interpreted Data'!U330=90,"+V",'Interpreted Data'!U330)),'Interpreted Data'!U330)</f>
        <v>15.5</v>
      </c>
      <c r="F330" s="18" t="str">
        <f>IF('Interpreted Data'!P330="","",CONCATENATE(";",'Interpreted Data'!P330))</f>
        <v>;(sketches of  GD-GG and GG-GF-EA))</v>
      </c>
    </row>
    <row r="331" spans="1:6" x14ac:dyDescent="0.25">
      <c r="A331" t="str">
        <f>'Interpreted Data'!A331</f>
        <v>GE</v>
      </c>
      <c r="B331" t="str">
        <f>'Interpreted Data'!B331</f>
        <v>GF</v>
      </c>
      <c r="C331" s="2">
        <f>'Interpreted Data'!J331/$G$1</f>
        <v>2.8353658536585371</v>
      </c>
      <c r="D331" s="10">
        <f>'Interpreted Data'!T331</f>
        <v>193</v>
      </c>
      <c r="E331" s="11">
        <f>IF(D331="-",IF('Interpreted Data'!U331=-90,"-V",IF('Interpreted Data'!U331=90,"+V",'Interpreted Data'!U331)),'Interpreted Data'!U331)</f>
        <v>29.5</v>
      </c>
      <c r="F331" s="18" t="str">
        <f>IF('Interpreted Data'!P331="","",CONCATENATE(";",'Interpreted Data'!P331))</f>
        <v/>
      </c>
    </row>
    <row r="332" spans="1:6" x14ac:dyDescent="0.25">
      <c r="A332" t="str">
        <f>'Interpreted Data'!A332</f>
        <v>GF</v>
      </c>
      <c r="B332" t="str">
        <f>'Interpreted Data'!B332</f>
        <v>GG</v>
      </c>
      <c r="C332" s="2">
        <f>'Interpreted Data'!J332/$G$1</f>
        <v>8.0792682926829276</v>
      </c>
      <c r="D332" s="10">
        <f>'Interpreted Data'!T332</f>
        <v>336.5</v>
      </c>
      <c r="E332" s="11">
        <f>IF(D332="-",IF('Interpreted Data'!U332=-90,"-V",IF('Interpreted Data'!U332=90,"+V",'Interpreted Data'!U332)),'Interpreted Data'!U332)</f>
        <v>18</v>
      </c>
      <c r="F332" s="18" t="str">
        <f>IF('Interpreted Data'!P332="","",CONCATENATE(";",'Interpreted Data'!P332))</f>
        <v/>
      </c>
    </row>
    <row r="333" spans="1:6" x14ac:dyDescent="0.25">
      <c r="A333" s="18" t="str">
        <f>CONCATENATE(";",'Interpreted Data'!A333)</f>
        <v>;GG</v>
      </c>
      <c r="B333" t="str">
        <f>'Interpreted Data'!B333</f>
        <v/>
      </c>
      <c r="C333" s="2"/>
      <c r="D333" s="10"/>
      <c r="E333" s="11"/>
      <c r="F333" s="18" t="str">
        <f>IF('Interpreted Data'!P333="","",CONCATENATE(";",'Interpreted Data'!P333))</f>
        <v/>
      </c>
    </row>
    <row r="334" spans="1:6" x14ac:dyDescent="0.25">
      <c r="A334" s="18" t="str">
        <f>CONCATENATE(";",'Interpreted Data'!A334)</f>
        <v>;p. 69-70</v>
      </c>
      <c r="B334" t="str">
        <f>'Interpreted Data'!B334</f>
        <v>(=PDF p.71-72)</v>
      </c>
      <c r="C334" s="2"/>
      <c r="D334" s="10"/>
      <c r="E334" s="11"/>
      <c r="F334" s="18" t="str">
        <f>IF('Interpreted Data'!P334="","",CONCATENATE(";",'Interpreted Data'!P334))</f>
        <v/>
      </c>
    </row>
    <row r="335" spans="1:6" x14ac:dyDescent="0.25">
      <c r="A335" t="str">
        <f>'Interpreted Data'!A335</f>
        <v>GG</v>
      </c>
      <c r="B335" t="str">
        <f>'Interpreted Data'!B335</f>
        <v>EA</v>
      </c>
      <c r="C335" s="2">
        <f>'Interpreted Data'!J335/$G$1</f>
        <v>4.9390243902439028</v>
      </c>
      <c r="D335" s="10">
        <f>'Interpreted Data'!T335</f>
        <v>93</v>
      </c>
      <c r="E335" s="11">
        <f>IF(D335="-",IF('Interpreted Data'!U335=-90,"-V",IF('Interpreted Data'!U335=90,"+V",'Interpreted Data'!U335)),'Interpreted Data'!U335)</f>
        <v>25.5</v>
      </c>
      <c r="F335" s="18" t="str">
        <f>IF('Interpreted Data'!P335="","",CONCATENATE(";",'Interpreted Data'!P335))</f>
        <v/>
      </c>
    </row>
    <row r="336" spans="1:6" x14ac:dyDescent="0.25">
      <c r="A336" s="18" t="str">
        <f>CONCATENATE(";",'Interpreted Data'!A336)</f>
        <v>;EA</v>
      </c>
      <c r="B336" t="str">
        <f>'Interpreted Data'!B336</f>
        <v/>
      </c>
      <c r="C336" s="2"/>
      <c r="D336" s="10"/>
      <c r="E336" s="11"/>
      <c r="F336" s="18" t="str">
        <f>IF('Interpreted Data'!P336="","",CONCATENATE(";",'Interpreted Data'!P336))</f>
        <v>;Vert error 0.7' in 298' = 0.23%</v>
      </c>
    </row>
    <row r="337" spans="1:6" x14ac:dyDescent="0.25">
      <c r="A337" t="str">
        <f>'Interpreted Data'!A337</f>
        <v>CS</v>
      </c>
      <c r="B337" t="str">
        <f>'Interpreted Data'!B337</f>
        <v>GH</v>
      </c>
      <c r="C337" s="2">
        <f>'Interpreted Data'!J337/$G$1</f>
        <v>8.0792682926829276</v>
      </c>
      <c r="D337" s="10">
        <f>'Interpreted Data'!T337</f>
        <v>111</v>
      </c>
      <c r="E337" s="11">
        <f>IF(D337="-",IF('Interpreted Data'!U337=-90,"-V",IF('Interpreted Data'!U337=90,"+V",'Interpreted Data'!U337)),'Interpreted Data'!U337)</f>
        <v>24</v>
      </c>
      <c r="F337" s="18" t="str">
        <f>IF('Interpreted Data'!P337="","",CONCATENATE(";",'Interpreted Data'!P337))</f>
        <v>;See p.56</v>
      </c>
    </row>
    <row r="338" spans="1:6" x14ac:dyDescent="0.25">
      <c r="A338" t="str">
        <f>'Interpreted Data'!A338</f>
        <v>GH</v>
      </c>
      <c r="B338" t="str">
        <f>'Interpreted Data'!B338</f>
        <v>GI</v>
      </c>
      <c r="C338" s="2">
        <f>'Interpreted Data'!J338/$G$1</f>
        <v>6.0975609756097562</v>
      </c>
      <c r="D338" s="10">
        <f>'Interpreted Data'!T338</f>
        <v>136.5</v>
      </c>
      <c r="E338" s="11">
        <f>IF(D338="-",IF('Interpreted Data'!U338=-90,"-V",IF('Interpreted Data'!U338=90,"+V",'Interpreted Data'!U338)),'Interpreted Data'!U338)</f>
        <v>3.5</v>
      </c>
      <c r="F338" s="18" t="str">
        <f>IF('Interpreted Data'!P338="","",CONCATENATE(";",'Interpreted Data'!P338))</f>
        <v/>
      </c>
    </row>
    <row r="339" spans="1:6" x14ac:dyDescent="0.25">
      <c r="A339" t="str">
        <f>'Interpreted Data'!A339</f>
        <v>GI</v>
      </c>
      <c r="B339" t="str">
        <f>'Interpreted Data'!B339</f>
        <v>GJ</v>
      </c>
      <c r="C339" s="2">
        <f>'Interpreted Data'!J339/$G$1</f>
        <v>16.128048780487806</v>
      </c>
      <c r="D339" s="10">
        <f>'Interpreted Data'!T339</f>
        <v>88.5</v>
      </c>
      <c r="E339" s="11">
        <f>IF(D339="-",IF('Interpreted Data'!U339=-90,"-V",IF('Interpreted Data'!U339=90,"+V",'Interpreted Data'!U339)),'Interpreted Data'!U339)</f>
        <v>9.5</v>
      </c>
      <c r="F339" s="18" t="str">
        <f>IF('Interpreted Data'!P339="","",CONCATENATE(";",'Interpreted Data'!P339))</f>
        <v/>
      </c>
    </row>
    <row r="340" spans="1:6" x14ac:dyDescent="0.25">
      <c r="A340" t="str">
        <f>'Interpreted Data'!A340</f>
        <v>GJ</v>
      </c>
      <c r="B340" t="str">
        <f>'Interpreted Data'!B340</f>
        <v>GK</v>
      </c>
      <c r="C340" s="2">
        <f>'Interpreted Data'!J340/$G$1</f>
        <v>1.2195121951219512</v>
      </c>
      <c r="D340" s="10">
        <f>'Interpreted Data'!T340</f>
        <v>108</v>
      </c>
      <c r="E340" s="11">
        <f>IF(D340="-",IF('Interpreted Data'!U340=-90,"-V",IF('Interpreted Data'!U340=90,"+V",'Interpreted Data'!U340)),'Interpreted Data'!U340)</f>
        <v>-53.5</v>
      </c>
      <c r="F340" s="18" t="str">
        <f>IF('Interpreted Data'!P340="","",CONCATENATE(";",'Interpreted Data'!P340))</f>
        <v/>
      </c>
    </row>
    <row r="341" spans="1:6" x14ac:dyDescent="0.25">
      <c r="A341" t="str">
        <f>'Interpreted Data'!A341</f>
        <v>GK</v>
      </c>
      <c r="B341" t="str">
        <f>'Interpreted Data'!B341</f>
        <v>GL</v>
      </c>
      <c r="C341" s="2">
        <f>'Interpreted Data'!J341/$G$1</f>
        <v>3.5670731707317072</v>
      </c>
      <c r="D341" s="10">
        <f>'Interpreted Data'!T341</f>
        <v>66</v>
      </c>
      <c r="E341" s="11">
        <f>IF(D341="-",IF('Interpreted Data'!U341=-90,"-V",IF('Interpreted Data'!U341=90,"+V",'Interpreted Data'!U341)),'Interpreted Data'!U341)</f>
        <v>26</v>
      </c>
      <c r="F341" s="18" t="str">
        <f>IF('Interpreted Data'!P341="","",CONCATENATE(";",'Interpreted Data'!P341))</f>
        <v/>
      </c>
    </row>
    <row r="342" spans="1:6" x14ac:dyDescent="0.25">
      <c r="A342" t="str">
        <f>'Interpreted Data'!A342</f>
        <v>GL</v>
      </c>
      <c r="B342" t="str">
        <f>'Interpreted Data'!B342</f>
        <v>GM</v>
      </c>
      <c r="C342" s="2">
        <f>'Interpreted Data'!J342/$G$1</f>
        <v>4.8170731707317076</v>
      </c>
      <c r="D342" s="10">
        <f>'Interpreted Data'!T342</f>
        <v>79</v>
      </c>
      <c r="E342" s="11">
        <f>IF(D342="-",IF('Interpreted Data'!U342=-90,"-V",IF('Interpreted Data'!U342=90,"+V",'Interpreted Data'!U342)),'Interpreted Data'!U342)</f>
        <v>26</v>
      </c>
      <c r="F342" s="18" t="str">
        <f>IF('Interpreted Data'!P342="","",CONCATENATE(";",'Interpreted Data'!P342))</f>
        <v/>
      </c>
    </row>
    <row r="343" spans="1:6" x14ac:dyDescent="0.25">
      <c r="A343" t="str">
        <f>'Interpreted Data'!A343</f>
        <v>GM</v>
      </c>
      <c r="B343" t="str">
        <f>'Interpreted Data'!B343</f>
        <v>GN</v>
      </c>
      <c r="C343" s="2">
        <f>'Interpreted Data'!J343/$G$1</f>
        <v>3.9024390243902443</v>
      </c>
      <c r="D343" s="10">
        <f>'Interpreted Data'!T343</f>
        <v>175.5</v>
      </c>
      <c r="E343" s="11">
        <f>IF(D343="-",IF('Interpreted Data'!U343=-90,"-V",IF('Interpreted Data'!U343=90,"+V",'Interpreted Data'!U343)),'Interpreted Data'!U343)</f>
        <v>26</v>
      </c>
      <c r="F343" s="18" t="str">
        <f>IF('Interpreted Data'!P343="","",CONCATENATE(";",'Interpreted Data'!P343))</f>
        <v/>
      </c>
    </row>
    <row r="344" spans="1:6" x14ac:dyDescent="0.25">
      <c r="A344" t="str">
        <f>'Interpreted Data'!A344</f>
        <v>GN</v>
      </c>
      <c r="B344" t="str">
        <f>'Interpreted Data'!B344</f>
        <v>GO</v>
      </c>
      <c r="C344" s="2">
        <f>'Interpreted Data'!J344/$G$1</f>
        <v>12.164634146341463</v>
      </c>
      <c r="D344" s="10">
        <f>'Interpreted Data'!T344</f>
        <v>148</v>
      </c>
      <c r="E344" s="11">
        <f>IF(D344="-",IF('Interpreted Data'!U344=-90,"-V",IF('Interpreted Data'!U344=90,"+V",'Interpreted Data'!U344)),'Interpreted Data'!U344)</f>
        <v>24.5</v>
      </c>
      <c r="F344" s="18" t="str">
        <f>IF('Interpreted Data'!P344="","",CONCATENATE(";",'Interpreted Data'!P344))</f>
        <v/>
      </c>
    </row>
    <row r="345" spans="1:6" x14ac:dyDescent="0.25">
      <c r="A345" t="str">
        <f>'Interpreted Data'!A345</f>
        <v>GO</v>
      </c>
      <c r="B345" t="str">
        <f>'Interpreted Data'!B345</f>
        <v>GP</v>
      </c>
      <c r="C345" s="2">
        <f>'Interpreted Data'!J345/$G$1</f>
        <v>2.7134146341463419</v>
      </c>
      <c r="D345" s="10">
        <f>'Interpreted Data'!T345</f>
        <v>93</v>
      </c>
      <c r="E345" s="11">
        <f>IF(D345="-",IF('Interpreted Data'!U345=-90,"-V",IF('Interpreted Data'!U345=90,"+V",'Interpreted Data'!U345)),'Interpreted Data'!U345)</f>
        <v>20</v>
      </c>
      <c r="F345" s="18" t="str">
        <f>IF('Interpreted Data'!P345="","",CONCATENATE(";",'Interpreted Data'!P345))</f>
        <v>;Sketch marks GP as 'stream on stalagmite'</v>
      </c>
    </row>
    <row r="346" spans="1:6" x14ac:dyDescent="0.25">
      <c r="A346" t="str">
        <f>'Interpreted Data'!A346</f>
        <v>GP</v>
      </c>
      <c r="B346" t="str">
        <f>'Interpreted Data'!B346</f>
        <v>GQ</v>
      </c>
      <c r="C346" s="2">
        <f>'Interpreted Data'!J346/$G$1</f>
        <v>8.4451219512195124</v>
      </c>
      <c r="D346" s="10">
        <f>'Interpreted Data'!T346</f>
        <v>121.16666666666667</v>
      </c>
      <c r="E346" s="11">
        <f>IF(D346="-",IF('Interpreted Data'!U346=-90,"-V",IF('Interpreted Data'!U346=90,"+V",'Interpreted Data'!U346)),'Interpreted Data'!U346)</f>
        <v>15</v>
      </c>
      <c r="F346" s="18" t="str">
        <f>IF('Interpreted Data'!P346="","",CONCATENATE(";",'Interpreted Data'!P346))</f>
        <v>;Sketch marks GQ as 'on boss'</v>
      </c>
    </row>
    <row r="347" spans="1:6" x14ac:dyDescent="0.25">
      <c r="A347" t="str">
        <f>'Interpreted Data'!A347</f>
        <v>GQ</v>
      </c>
      <c r="B347" t="str">
        <f>'Interpreted Data'!B347</f>
        <v>GR</v>
      </c>
      <c r="C347" s="2">
        <f>'Interpreted Data'!J347/$G$1</f>
        <v>2.9878048780487809</v>
      </c>
      <c r="D347" s="10">
        <f>'Interpreted Data'!T347</f>
        <v>92.5</v>
      </c>
      <c r="E347" s="11">
        <f>IF(D347="-",IF('Interpreted Data'!U347=-90,"-V",IF('Interpreted Data'!U347=90,"+V",'Interpreted Data'!U347)),'Interpreted Data'!U347)</f>
        <v>19.5</v>
      </c>
      <c r="F347" s="18" t="str">
        <f>IF('Interpreted Data'!P347="","",CONCATENATE(";",'Interpreted Data'!P347))</f>
        <v/>
      </c>
    </row>
    <row r="348" spans="1:6" x14ac:dyDescent="0.25">
      <c r="A348" s="18" t="str">
        <f>CONCATENATE(";",'Interpreted Data'!A348)</f>
        <v>;GR</v>
      </c>
      <c r="B348" t="str">
        <f>'Interpreted Data'!B348</f>
        <v/>
      </c>
      <c r="C348" s="2"/>
      <c r="D348" s="10"/>
      <c r="E348" s="11"/>
      <c r="F348" s="18" t="str">
        <f>IF('Interpreted Data'!P348="","",CONCATENATE(";",'Interpreted Data'!P348))</f>
        <v>;Vert error 0.1' in 670' = 0.015%!</v>
      </c>
    </row>
    <row r="349" spans="1:6" x14ac:dyDescent="0.25">
      <c r="A349" t="str">
        <f>'Interpreted Data'!A349</f>
        <v/>
      </c>
      <c r="B349" t="str">
        <f>'Interpreted Data'!B349</f>
        <v/>
      </c>
      <c r="C349" s="2"/>
      <c r="D349" s="10"/>
      <c r="E349" s="11"/>
      <c r="F349" s="18" t="str">
        <f>IF('Interpreted Data'!P349="","",CONCATENATE(";",'Interpreted Data'!P349))</f>
        <v>;Totals (unclear in scan)(7,005'?) then (7445'?)</v>
      </c>
    </row>
    <row r="350" spans="1:6" x14ac:dyDescent="0.25">
      <c r="A350" s="18" t="str">
        <f>CONCATENATE(";",'Interpreted Data'!A350)</f>
        <v>;August 30th 1953</v>
      </c>
      <c r="B350" t="str">
        <f>'Interpreted Data'!B350</f>
        <v/>
      </c>
      <c r="C350" s="2"/>
      <c r="D350" s="10"/>
      <c r="E350" s="11"/>
      <c r="F350" s="18" t="str">
        <f>IF('Interpreted Data'!P350="","",CONCATENATE(";",'Interpreted Data'!P350))</f>
        <v/>
      </c>
    </row>
    <row r="351" spans="1:6" x14ac:dyDescent="0.25">
      <c r="A351">
        <f>'Interpreted Data'!A351</f>
        <v>46</v>
      </c>
      <c r="B351">
        <f>'Interpreted Data'!B351</f>
        <v>60</v>
      </c>
      <c r="C351" s="2">
        <f>'Interpreted Data'!J351/$G$1</f>
        <v>10.457317073170731</v>
      </c>
      <c r="D351" s="10">
        <f>'Interpreted Data'!T351</f>
        <v>15</v>
      </c>
      <c r="E351" s="11">
        <f>IF(D351="-",IF('Interpreted Data'!U351=-90,"-V",IF('Interpreted Data'!U351=90,"+V",'Interpreted Data'!U351)),'Interpreted Data'!U351)</f>
        <v>13</v>
      </c>
      <c r="F351" s="18" t="str">
        <f>IF('Interpreted Data'!P351="","",CONCATENATE(";",'Interpreted Data'!P351))</f>
        <v/>
      </c>
    </row>
    <row r="352" spans="1:6" x14ac:dyDescent="0.25">
      <c r="A352">
        <f>'Interpreted Data'!A352</f>
        <v>60</v>
      </c>
      <c r="B352">
        <f>'Interpreted Data'!B352</f>
        <v>61</v>
      </c>
      <c r="C352" s="2">
        <f>'Interpreted Data'!J352/$G$1</f>
        <v>12.74390243902439</v>
      </c>
      <c r="D352" s="10">
        <f>'Interpreted Data'!T352</f>
        <v>133.5</v>
      </c>
      <c r="E352" s="11">
        <f>IF(D352="-",IF('Interpreted Data'!U352=-90,"-V",IF('Interpreted Data'!U352=90,"+V",'Interpreted Data'!U352)),'Interpreted Data'!U352)</f>
        <v>3.5</v>
      </c>
      <c r="F352" s="18" t="str">
        <f>IF('Interpreted Data'!P352="","",CONCATENATE(";",'Interpreted Data'!P352))</f>
        <v/>
      </c>
    </row>
    <row r="353" spans="1:6" x14ac:dyDescent="0.25">
      <c r="A353">
        <f>'Interpreted Data'!A353</f>
        <v>61</v>
      </c>
      <c r="B353">
        <f>'Interpreted Data'!B353</f>
        <v>62</v>
      </c>
      <c r="C353" s="2">
        <f>'Interpreted Data'!J353/$G$1</f>
        <v>6.9817073170731705</v>
      </c>
      <c r="D353" s="10">
        <f>'Interpreted Data'!T353</f>
        <v>12.5</v>
      </c>
      <c r="E353" s="11">
        <f>IF(D353="-",IF('Interpreted Data'!U353=-90,"-V",IF('Interpreted Data'!U353=90,"+V",'Interpreted Data'!U353)),'Interpreted Data'!U353)</f>
        <v>6</v>
      </c>
      <c r="F353" s="18" t="str">
        <f>IF('Interpreted Data'!P353="","",CONCATENATE(";",'Interpreted Data'!P353))</f>
        <v/>
      </c>
    </row>
    <row r="354" spans="1:6" x14ac:dyDescent="0.25">
      <c r="A354">
        <f>'Interpreted Data'!A354</f>
        <v>62</v>
      </c>
      <c r="B354">
        <f>'Interpreted Data'!B354</f>
        <v>63</v>
      </c>
      <c r="C354" s="2">
        <f>'Interpreted Data'!J354/$G$1</f>
        <v>9.2378048780487809</v>
      </c>
      <c r="D354" s="10">
        <f>'Interpreted Data'!T354</f>
        <v>357</v>
      </c>
      <c r="E354" s="11">
        <f>IF(D354="-",IF('Interpreted Data'!U354=-90,"-V",IF('Interpreted Data'!U354=90,"+V",'Interpreted Data'!U354)),'Interpreted Data'!U354)</f>
        <v>-5</v>
      </c>
      <c r="F354" s="18" t="str">
        <f>IF('Interpreted Data'!P354="","",CONCATENATE(";",'Interpreted Data'!P354))</f>
        <v/>
      </c>
    </row>
    <row r="355" spans="1:6" x14ac:dyDescent="0.25">
      <c r="A355">
        <f>'Interpreted Data'!A355</f>
        <v>63</v>
      </c>
      <c r="B355">
        <f>'Interpreted Data'!B355</f>
        <v>64</v>
      </c>
      <c r="C355" s="2">
        <f>'Interpreted Data'!J355/$G$1</f>
        <v>3.8109756097560976</v>
      </c>
      <c r="D355" s="10">
        <f>'Interpreted Data'!T355</f>
        <v>23</v>
      </c>
      <c r="E355" s="11">
        <f>IF(D355="-",IF('Interpreted Data'!U355=-90,"-V",IF('Interpreted Data'!U355=90,"+V",'Interpreted Data'!U355)),'Interpreted Data'!U355)</f>
        <v>12.5</v>
      </c>
      <c r="F355" s="18" t="str">
        <f>IF('Interpreted Data'!P355="","",CONCATENATE(";",'Interpreted Data'!P355))</f>
        <v/>
      </c>
    </row>
    <row r="356" spans="1:6" x14ac:dyDescent="0.25">
      <c r="A356">
        <f>'Interpreted Data'!A356</f>
        <v>64</v>
      </c>
      <c r="B356">
        <f>'Interpreted Data'!B356</f>
        <v>65</v>
      </c>
      <c r="C356" s="2">
        <f>'Interpreted Data'!J356/$G$1</f>
        <v>4.786585365853659</v>
      </c>
      <c r="D356" s="10">
        <f>'Interpreted Data'!T356</f>
        <v>345</v>
      </c>
      <c r="E356" s="11">
        <f>IF(D356="-",IF('Interpreted Data'!U356=-90,"-V",IF('Interpreted Data'!U356=90,"+V",'Interpreted Data'!U356)),'Interpreted Data'!U356)</f>
        <v>3.5</v>
      </c>
      <c r="F356" s="18" t="str">
        <f>IF('Interpreted Data'!P356="","",CONCATENATE(";",'Interpreted Data'!P356))</f>
        <v/>
      </c>
    </row>
    <row r="357" spans="1:6" x14ac:dyDescent="0.25">
      <c r="A357">
        <f>'Interpreted Data'!A357</f>
        <v>65</v>
      </c>
      <c r="B357">
        <f>'Interpreted Data'!B357</f>
        <v>66</v>
      </c>
      <c r="C357" s="2">
        <f>'Interpreted Data'!J357/$G$1</f>
        <v>5.8841463414634152</v>
      </c>
      <c r="D357" s="10">
        <f>'Interpreted Data'!T357</f>
        <v>6.5</v>
      </c>
      <c r="E357" s="11">
        <f>IF(D357="-",IF('Interpreted Data'!U357=-90,"-V",IF('Interpreted Data'!U357=90,"+V",'Interpreted Data'!U357)),'Interpreted Data'!U357)</f>
        <v>13.5</v>
      </c>
      <c r="F357" s="18" t="str">
        <f>IF('Interpreted Data'!P357="","",CONCATENATE(";",'Interpreted Data'!P357))</f>
        <v/>
      </c>
    </row>
    <row r="358" spans="1:6" x14ac:dyDescent="0.25">
      <c r="A358">
        <f>'Interpreted Data'!A358</f>
        <v>66</v>
      </c>
      <c r="B358">
        <f>'Interpreted Data'!B358</f>
        <v>67</v>
      </c>
      <c r="C358" s="2">
        <f>'Interpreted Data'!J358/$G$1</f>
        <v>9.2073170731707314</v>
      </c>
      <c r="D358" s="10">
        <f>'Interpreted Data'!T358</f>
        <v>0</v>
      </c>
      <c r="E358" s="11">
        <f>IF(D358="-",IF('Interpreted Data'!U358=-90,"-V",IF('Interpreted Data'!U358=90,"+V",'Interpreted Data'!U358)),'Interpreted Data'!U358)</f>
        <v>-1</v>
      </c>
      <c r="F358" s="18" t="str">
        <f>IF('Interpreted Data'!P358="","",CONCATENATE(";",'Interpreted Data'!P358))</f>
        <v/>
      </c>
    </row>
    <row r="359" spans="1:6" x14ac:dyDescent="0.25">
      <c r="A359">
        <f>'Interpreted Data'!A359</f>
        <v>67</v>
      </c>
      <c r="B359">
        <f>'Interpreted Data'!B359</f>
        <v>68</v>
      </c>
      <c r="C359" s="2">
        <f>'Interpreted Data'!J359/$G$1</f>
        <v>14.908536585365853</v>
      </c>
      <c r="D359" s="10">
        <f>'Interpreted Data'!T359</f>
        <v>348</v>
      </c>
      <c r="E359" s="11">
        <f>IF(D359="-",IF('Interpreted Data'!U359=-90,"-V",IF('Interpreted Data'!U359=90,"+V",'Interpreted Data'!U359)),'Interpreted Data'!U359)</f>
        <v>-4</v>
      </c>
      <c r="F359" s="18" t="str">
        <f>IF('Interpreted Data'!P359="","",CONCATENATE(";",'Interpreted Data'!P359))</f>
        <v/>
      </c>
    </row>
    <row r="360" spans="1:6" x14ac:dyDescent="0.25">
      <c r="A360">
        <f>'Interpreted Data'!A360</f>
        <v>68</v>
      </c>
      <c r="B360">
        <f>'Interpreted Data'!B360</f>
        <v>69</v>
      </c>
      <c r="C360" s="2">
        <f>'Interpreted Data'!J360/$G$1</f>
        <v>4.51219512195122</v>
      </c>
      <c r="D360" s="10">
        <f>'Interpreted Data'!T360</f>
        <v>41.5</v>
      </c>
      <c r="E360" s="11">
        <f>IF(D360="-",IF('Interpreted Data'!U360=-90,"-V",IF('Interpreted Data'!U360=90,"+V",'Interpreted Data'!U360)),'Interpreted Data'!U360)</f>
        <v>5.5</v>
      </c>
      <c r="F360" s="18" t="str">
        <f>IF('Interpreted Data'!P360="","",CONCATENATE(";",'Interpreted Data'!P360))</f>
        <v/>
      </c>
    </row>
    <row r="361" spans="1:6" x14ac:dyDescent="0.25">
      <c r="A361">
        <f>'Interpreted Data'!A361</f>
        <v>69</v>
      </c>
      <c r="B361">
        <f>'Interpreted Data'!B361</f>
        <v>70</v>
      </c>
      <c r="C361" s="2">
        <f>'Interpreted Data'!J361/$G$1</f>
        <v>6.4024390243902447</v>
      </c>
      <c r="D361" s="10">
        <f>'Interpreted Data'!T361</f>
        <v>5</v>
      </c>
      <c r="E361" s="11">
        <f>IF(D361="-",IF('Interpreted Data'!U361=-90,"-V",IF('Interpreted Data'!U361=90,"+V",'Interpreted Data'!U361)),'Interpreted Data'!U361)</f>
        <v>-6.5</v>
      </c>
      <c r="F361" s="18" t="str">
        <f>IF('Interpreted Data'!P361="","",CONCATENATE(";",'Interpreted Data'!P361))</f>
        <v/>
      </c>
    </row>
    <row r="362" spans="1:6" x14ac:dyDescent="0.25">
      <c r="A362">
        <f>'Interpreted Data'!A362</f>
        <v>70</v>
      </c>
      <c r="B362">
        <f>'Interpreted Data'!B362</f>
        <v>71</v>
      </c>
      <c r="C362" s="2">
        <f>'Interpreted Data'!J362/$G$1</f>
        <v>11.219512195121951</v>
      </c>
      <c r="D362" s="10">
        <f>'Interpreted Data'!T362</f>
        <v>103</v>
      </c>
      <c r="E362" s="11">
        <f>IF(D362="-",IF('Interpreted Data'!U362=-90,"-V",IF('Interpreted Data'!U362=90,"+V",'Interpreted Data'!U362)),'Interpreted Data'!U362)</f>
        <v>4.5</v>
      </c>
      <c r="F362" s="18" t="str">
        <f>IF('Interpreted Data'!P362="","",CONCATENATE(";",'Interpreted Data'!P362))</f>
        <v/>
      </c>
    </row>
    <row r="363" spans="1:6" x14ac:dyDescent="0.25">
      <c r="A363">
        <f>'Interpreted Data'!A363</f>
        <v>71</v>
      </c>
      <c r="B363">
        <f>'Interpreted Data'!B363</f>
        <v>72</v>
      </c>
      <c r="C363" s="2">
        <f>'Interpreted Data'!J363/$G$1</f>
        <v>11.646341463414636</v>
      </c>
      <c r="D363" s="10">
        <f>'Interpreted Data'!T363</f>
        <v>19</v>
      </c>
      <c r="E363" s="11">
        <f>IF(D363="-",IF('Interpreted Data'!U363=-90,"-V",IF('Interpreted Data'!U363=90,"+V",'Interpreted Data'!U363)),'Interpreted Data'!U363)</f>
        <v>5</v>
      </c>
      <c r="F363" s="18" t="str">
        <f>IF('Interpreted Data'!P363="","",CONCATENATE(";",'Interpreted Data'!P363))</f>
        <v/>
      </c>
    </row>
    <row r="364" spans="1:6" x14ac:dyDescent="0.25">
      <c r="A364">
        <f>'Interpreted Data'!A364</f>
        <v>72</v>
      </c>
      <c r="B364">
        <f>'Interpreted Data'!B364</f>
        <v>73</v>
      </c>
      <c r="C364" s="2">
        <f>'Interpreted Data'!J364/$G$1</f>
        <v>3.6280487804878052</v>
      </c>
      <c r="D364" s="10">
        <f>'Interpreted Data'!T364</f>
        <v>352</v>
      </c>
      <c r="E364" s="11">
        <f>IF(D364="-",IF('Interpreted Data'!U364=-90,"-V",IF('Interpreted Data'!U364=90,"+V",'Interpreted Data'!U364)),'Interpreted Data'!U364)</f>
        <v>-10</v>
      </c>
      <c r="F364" s="18" t="str">
        <f>IF('Interpreted Data'!P364="","",CONCATENATE(";",'Interpreted Data'!P364))</f>
        <v/>
      </c>
    </row>
    <row r="365" spans="1:6" x14ac:dyDescent="0.25">
      <c r="A365">
        <f>'Interpreted Data'!A365</f>
        <v>73</v>
      </c>
      <c r="B365">
        <f>'Interpreted Data'!B365</f>
        <v>74</v>
      </c>
      <c r="C365" s="2">
        <f>'Interpreted Data'!J365/$G$1</f>
        <v>10.426829268292684</v>
      </c>
      <c r="D365" s="10">
        <f>'Interpreted Data'!T365</f>
        <v>7</v>
      </c>
      <c r="E365" s="11">
        <f>IF(D365="-",IF('Interpreted Data'!U365=-90,"-V",IF('Interpreted Data'!U365=90,"+V",'Interpreted Data'!U365)),'Interpreted Data'!U365)</f>
        <v>-1.5</v>
      </c>
      <c r="F365" s="18" t="str">
        <f>IF('Interpreted Data'!P365="","",CONCATENATE(";",'Interpreted Data'!P365))</f>
        <v/>
      </c>
    </row>
    <row r="366" spans="1:6" x14ac:dyDescent="0.25">
      <c r="A366">
        <f>'Interpreted Data'!A366</f>
        <v>74</v>
      </c>
      <c r="B366">
        <f>'Interpreted Data'!B366</f>
        <v>75</v>
      </c>
      <c r="C366" s="2">
        <f>'Interpreted Data'!J366/$G$1</f>
        <v>2.774390243902439</v>
      </c>
      <c r="D366" s="10">
        <f>'Interpreted Data'!T366</f>
        <v>100</v>
      </c>
      <c r="E366" s="11">
        <f>IF(D366="-",IF('Interpreted Data'!U366=-90,"-V",IF('Interpreted Data'!U366=90,"+V",'Interpreted Data'!U366)),'Interpreted Data'!U366)</f>
        <v>0</v>
      </c>
      <c r="F366" s="18" t="str">
        <f>IF('Interpreted Data'!P366="","",CONCATENATE(";",'Interpreted Data'!P366))</f>
        <v/>
      </c>
    </row>
    <row r="367" spans="1:6" x14ac:dyDescent="0.25">
      <c r="A367">
        <f>'Interpreted Data'!A367</f>
        <v>75</v>
      </c>
      <c r="B367">
        <f>'Interpreted Data'!B367</f>
        <v>76</v>
      </c>
      <c r="C367" s="2">
        <f>'Interpreted Data'!J367/$G$1</f>
        <v>12.408536585365855</v>
      </c>
      <c r="D367" s="10">
        <f>'Interpreted Data'!T367</f>
        <v>130</v>
      </c>
      <c r="E367" s="11">
        <f>IF(D367="-",IF('Interpreted Data'!U367=-90,"-V",IF('Interpreted Data'!U367=90,"+V",'Interpreted Data'!U367)),'Interpreted Data'!U367)</f>
        <v>6.5</v>
      </c>
      <c r="F367" s="18" t="str">
        <f>IF('Interpreted Data'!P367="","",CONCATENATE(";",'Interpreted Data'!P367))</f>
        <v/>
      </c>
    </row>
    <row r="368" spans="1:6" x14ac:dyDescent="0.25">
      <c r="A368">
        <f>'Interpreted Data'!A368</f>
        <v>76</v>
      </c>
      <c r="B368">
        <f>'Interpreted Data'!B368</f>
        <v>77</v>
      </c>
      <c r="C368" s="2">
        <f>'Interpreted Data'!J368/$G$1</f>
        <v>5.3353658536585371</v>
      </c>
      <c r="D368" s="10">
        <f>'Interpreted Data'!T368</f>
        <v>161</v>
      </c>
      <c r="E368" s="11">
        <f>IF(D368="-",IF('Interpreted Data'!U368=-90,"-V",IF('Interpreted Data'!U368=90,"+V",'Interpreted Data'!U368)),'Interpreted Data'!U368)</f>
        <v>-1.5</v>
      </c>
      <c r="F368" s="18" t="str">
        <f>IF('Interpreted Data'!P368="","",CONCATENATE(";",'Interpreted Data'!P368))</f>
        <v/>
      </c>
    </row>
    <row r="369" spans="1:6" x14ac:dyDescent="0.25">
      <c r="A369">
        <f>'Interpreted Data'!A369</f>
        <v>77</v>
      </c>
      <c r="B369">
        <f>'Interpreted Data'!B369</f>
        <v>78</v>
      </c>
      <c r="C369" s="2">
        <f>'Interpreted Data'!J369/$G$1</f>
        <v>2.3170731707317072</v>
      </c>
      <c r="D369" s="10">
        <f>'Interpreted Data'!T369</f>
        <v>158</v>
      </c>
      <c r="E369" s="11">
        <f>IF(D369="-",IF('Interpreted Data'!U369=-90,"-V",IF('Interpreted Data'!U369=90,"+V",'Interpreted Data'!U369)),'Interpreted Data'!U369)</f>
        <v>25.5</v>
      </c>
      <c r="F369" s="18" t="str">
        <f>IF('Interpreted Data'!P369="","",CONCATENATE(";",'Interpreted Data'!P369))</f>
        <v/>
      </c>
    </row>
    <row r="370" spans="1:6" x14ac:dyDescent="0.25">
      <c r="A370">
        <f>'Interpreted Data'!A370</f>
        <v>78</v>
      </c>
      <c r="B370">
        <f>'Interpreted Data'!B370</f>
        <v>79</v>
      </c>
      <c r="C370" s="2">
        <f>'Interpreted Data'!J370/$G$1</f>
        <v>10.670731707317074</v>
      </c>
      <c r="D370" s="10">
        <f>'Interpreted Data'!T370</f>
        <v>176</v>
      </c>
      <c r="E370" s="11">
        <f>IF(D370="-",IF('Interpreted Data'!U370=-90,"-V",IF('Interpreted Data'!U370=90,"+V",'Interpreted Data'!U370)),'Interpreted Data'!U370)</f>
        <v>4</v>
      </c>
      <c r="F370" s="18" t="str">
        <f>IF('Interpreted Data'!P370="","",CONCATENATE(";",'Interpreted Data'!P370))</f>
        <v/>
      </c>
    </row>
    <row r="371" spans="1:6" x14ac:dyDescent="0.25">
      <c r="A371">
        <f>'Interpreted Data'!A371</f>
        <v>79</v>
      </c>
      <c r="B371">
        <f>'Interpreted Data'!B371</f>
        <v>80</v>
      </c>
      <c r="C371" s="2">
        <f>'Interpreted Data'!J371/$G$1</f>
        <v>13.932926829268295</v>
      </c>
      <c r="D371" s="10">
        <f>'Interpreted Data'!T371</f>
        <v>145</v>
      </c>
      <c r="E371" s="11">
        <f>IF(D371="-",IF('Interpreted Data'!U371=-90,"-V",IF('Interpreted Data'!U371=90,"+V",'Interpreted Data'!U371)),'Interpreted Data'!U371)</f>
        <v>0.5</v>
      </c>
      <c r="F371" s="18" t="str">
        <f>IF('Interpreted Data'!P371="","",CONCATENATE(";",'Interpreted Data'!P371))</f>
        <v/>
      </c>
    </row>
    <row r="372" spans="1:6" x14ac:dyDescent="0.25">
      <c r="A372">
        <f>'Interpreted Data'!A372</f>
        <v>80</v>
      </c>
      <c r="B372">
        <f>'Interpreted Data'!B372</f>
        <v>81</v>
      </c>
      <c r="C372" s="2">
        <f>'Interpreted Data'!J372/$G$1</f>
        <v>8.2926829268292686</v>
      </c>
      <c r="D372" s="10">
        <f>'Interpreted Data'!T372</f>
        <v>157.5</v>
      </c>
      <c r="E372" s="11">
        <f>IF(D372="-",IF('Interpreted Data'!U372=-90,"-V",IF('Interpreted Data'!U372=90,"+V",'Interpreted Data'!U372)),'Interpreted Data'!U372)</f>
        <v>0.5</v>
      </c>
      <c r="F372" s="18" t="str">
        <f>IF('Interpreted Data'!P372="","",CONCATENATE(";",'Interpreted Data'!P372))</f>
        <v/>
      </c>
    </row>
    <row r="373" spans="1:6" x14ac:dyDescent="0.25">
      <c r="A373">
        <f>'Interpreted Data'!A373</f>
        <v>81</v>
      </c>
      <c r="B373">
        <f>'Interpreted Data'!B373</f>
        <v>82</v>
      </c>
      <c r="C373" s="2">
        <f>'Interpreted Data'!J373/$G$1</f>
        <v>5.823170731707318</v>
      </c>
      <c r="D373" s="10">
        <f>'Interpreted Data'!T373</f>
        <v>103.5</v>
      </c>
      <c r="E373" s="11">
        <f>IF(D373="-",IF('Interpreted Data'!U373=-90,"-V",IF('Interpreted Data'!U373=90,"+V",'Interpreted Data'!U373)),'Interpreted Data'!U373)</f>
        <v>7</v>
      </c>
      <c r="F373" s="18" t="str">
        <f>IF('Interpreted Data'!P373="","",CONCATENATE(";",'Interpreted Data'!P373))</f>
        <v/>
      </c>
    </row>
    <row r="374" spans="1:6" x14ac:dyDescent="0.25">
      <c r="A374">
        <f>'Interpreted Data'!A374</f>
        <v>82</v>
      </c>
      <c r="B374">
        <f>'Interpreted Data'!B374</f>
        <v>83</v>
      </c>
      <c r="C374" s="2">
        <f>'Interpreted Data'!J374/$G$1</f>
        <v>12.103658536585368</v>
      </c>
      <c r="D374" s="10">
        <f>'Interpreted Data'!T374</f>
        <v>140</v>
      </c>
      <c r="E374" s="11">
        <f>IF(D374="-",IF('Interpreted Data'!U374=-90,"-V",IF('Interpreted Data'!U374=90,"+V",'Interpreted Data'!U374)),'Interpreted Data'!U374)</f>
        <v>3</v>
      </c>
      <c r="F374" s="18" t="str">
        <f>IF('Interpreted Data'!P374="","",CONCATENATE(";",'Interpreted Data'!P374))</f>
        <v/>
      </c>
    </row>
    <row r="375" spans="1:6" x14ac:dyDescent="0.25">
      <c r="A375">
        <f>'Interpreted Data'!A375</f>
        <v>83</v>
      </c>
      <c r="B375">
        <f>'Interpreted Data'!B375</f>
        <v>84</v>
      </c>
      <c r="C375" s="2">
        <f>'Interpreted Data'!J375/$G$1</f>
        <v>10.823170731707318</v>
      </c>
      <c r="D375" s="10">
        <f>'Interpreted Data'!T375</f>
        <v>139</v>
      </c>
      <c r="E375" s="11">
        <f>IF(D375="-",IF('Interpreted Data'!U375=-90,"-V",IF('Interpreted Data'!U375=90,"+V",'Interpreted Data'!U375)),'Interpreted Data'!U375)</f>
        <v>5.5</v>
      </c>
      <c r="F375" s="18" t="str">
        <f>IF('Interpreted Data'!P375="","",CONCATENATE(";",'Interpreted Data'!P375))</f>
        <v/>
      </c>
    </row>
    <row r="376" spans="1:6" x14ac:dyDescent="0.25">
      <c r="A376">
        <f>'Interpreted Data'!A376</f>
        <v>84</v>
      </c>
      <c r="B376">
        <f>'Interpreted Data'!B376</f>
        <v>85</v>
      </c>
      <c r="C376" s="2">
        <f>'Interpreted Data'!J376/$G$1</f>
        <v>8.8719512195121961</v>
      </c>
      <c r="D376" s="10">
        <f>'Interpreted Data'!T376</f>
        <v>74</v>
      </c>
      <c r="E376" s="11">
        <f>IF(D376="-",IF('Interpreted Data'!U376=-90,"-V",IF('Interpreted Data'!U376=90,"+V",'Interpreted Data'!U376)),'Interpreted Data'!U376)</f>
        <v>16</v>
      </c>
      <c r="F376" s="18" t="str">
        <f>IF('Interpreted Data'!P376="","",CONCATENATE(";",'Interpreted Data'!P376))</f>
        <v/>
      </c>
    </row>
    <row r="377" spans="1:6" x14ac:dyDescent="0.25">
      <c r="A377">
        <f>'Interpreted Data'!A377</f>
        <v>85</v>
      </c>
      <c r="B377">
        <f>'Interpreted Data'!B377</f>
        <v>86</v>
      </c>
      <c r="C377" s="2">
        <f>'Interpreted Data'!J377/$G$1</f>
        <v>7.7134146341463419</v>
      </c>
      <c r="D377" s="10">
        <f>'Interpreted Data'!T377</f>
        <v>13</v>
      </c>
      <c r="E377" s="11">
        <f>IF(D377="-",IF('Interpreted Data'!U377=-90,"-V",IF('Interpreted Data'!U377=90,"+V",'Interpreted Data'!U377)),'Interpreted Data'!U377)</f>
        <v>21</v>
      </c>
      <c r="F377" s="18" t="str">
        <f>IF('Interpreted Data'!P377="","",CONCATENATE(";",'Interpreted Data'!P377))</f>
        <v/>
      </c>
    </row>
    <row r="378" spans="1:6" x14ac:dyDescent="0.25">
      <c r="A378">
        <f>'Interpreted Data'!A378</f>
        <v>86</v>
      </c>
      <c r="B378">
        <f>'Interpreted Data'!B378</f>
        <v>87</v>
      </c>
      <c r="C378" s="2">
        <f>'Interpreted Data'!J378/$G$1</f>
        <v>7.0426829268292694</v>
      </c>
      <c r="D378" s="10">
        <f>'Interpreted Data'!T378</f>
        <v>353</v>
      </c>
      <c r="E378" s="11">
        <f>IF(D378="-",IF('Interpreted Data'!U378=-90,"-V",IF('Interpreted Data'!U378=90,"+V",'Interpreted Data'!U378)),'Interpreted Data'!U378)</f>
        <v>18.5</v>
      </c>
      <c r="F378" s="18" t="str">
        <f>IF('Interpreted Data'!P378="","",CONCATENATE(";",'Interpreted Data'!P378))</f>
        <v/>
      </c>
    </row>
    <row r="379" spans="1:6" x14ac:dyDescent="0.25">
      <c r="A379">
        <f>'Interpreted Data'!A379</f>
        <v>87</v>
      </c>
      <c r="B379">
        <f>'Interpreted Data'!B379</f>
        <v>88</v>
      </c>
      <c r="C379" s="2">
        <f>'Interpreted Data'!J379/$G$1</f>
        <v>15.640243902439025</v>
      </c>
      <c r="D379" s="10">
        <f>'Interpreted Data'!T379</f>
        <v>88</v>
      </c>
      <c r="E379" s="11">
        <f>IF(D379="-",IF('Interpreted Data'!U379=-90,"-V",IF('Interpreted Data'!U379=90,"+V",'Interpreted Data'!U379)),'Interpreted Data'!U379)</f>
        <v>12.5</v>
      </c>
      <c r="F379" s="18" t="str">
        <f>IF('Interpreted Data'!P379="","",CONCATENATE(";",'Interpreted Data'!P379))</f>
        <v/>
      </c>
    </row>
    <row r="380" spans="1:6" x14ac:dyDescent="0.25">
      <c r="A380">
        <f>'Interpreted Data'!A380</f>
        <v>88</v>
      </c>
      <c r="B380">
        <f>'Interpreted Data'!B380</f>
        <v>89</v>
      </c>
      <c r="C380" s="2">
        <f>'Interpreted Data'!J380/$G$1</f>
        <v>5.0304878048780495</v>
      </c>
      <c r="D380" s="10">
        <f>'Interpreted Data'!T380</f>
        <v>61</v>
      </c>
      <c r="E380" s="11">
        <f>IF(D380="-",IF('Interpreted Data'!U380=-90,"-V",IF('Interpreted Data'!U380=90,"+V",'Interpreted Data'!U380)),'Interpreted Data'!U380)</f>
        <v>22.5</v>
      </c>
      <c r="F380" s="18" t="str">
        <f>IF('Interpreted Data'!P380="","",CONCATENATE(";",'Interpreted Data'!P380))</f>
        <v/>
      </c>
    </row>
    <row r="381" spans="1:6" x14ac:dyDescent="0.25">
      <c r="A381">
        <f>'Interpreted Data'!A381</f>
        <v>89</v>
      </c>
      <c r="B381">
        <f>'Interpreted Data'!B381</f>
        <v>90</v>
      </c>
      <c r="C381" s="2">
        <f>'Interpreted Data'!J381/$G$1</f>
        <v>8.0487804878048781</v>
      </c>
      <c r="D381" s="10">
        <f>'Interpreted Data'!T381</f>
        <v>31</v>
      </c>
      <c r="E381" s="11">
        <f>IF(D381="-",IF('Interpreted Data'!U381=-90,"-V",IF('Interpreted Data'!U381=90,"+V",'Interpreted Data'!U381)),'Interpreted Data'!U381)</f>
        <v>14.5</v>
      </c>
      <c r="F381" s="18" t="str">
        <f>IF('Interpreted Data'!P381="","",CONCATENATE(";",'Interpreted Data'!P381))</f>
        <v/>
      </c>
    </row>
    <row r="382" spans="1:6" x14ac:dyDescent="0.25">
      <c r="A382" s="18" t="str">
        <f>CONCATENATE(";",'Interpreted Data'!A382)</f>
        <v>;p. 71-72</v>
      </c>
      <c r="B382" t="str">
        <f>'Interpreted Data'!B382</f>
        <v>(=PDF p.73-74)</v>
      </c>
      <c r="C382" s="2"/>
      <c r="D382" s="10"/>
      <c r="E382" s="11"/>
      <c r="F382" s="18" t="str">
        <f>IF('Interpreted Data'!P382="","",CONCATENATE(";",'Interpreted Data'!P382))</f>
        <v/>
      </c>
    </row>
    <row r="383" spans="1:6" x14ac:dyDescent="0.25">
      <c r="A383">
        <f>'Interpreted Data'!A383</f>
        <v>90</v>
      </c>
      <c r="B383">
        <f>'Interpreted Data'!B383</f>
        <v>91</v>
      </c>
      <c r="C383" s="2">
        <f>'Interpreted Data'!J383/$G$1</f>
        <v>14.939024390243903</v>
      </c>
      <c r="D383" s="10">
        <f>'Interpreted Data'!T383</f>
        <v>351</v>
      </c>
      <c r="E383" s="11">
        <f>IF(D383="-",IF('Interpreted Data'!U383=-90,"-V",IF('Interpreted Data'!U383=90,"+V",'Interpreted Data'!U383)),'Interpreted Data'!U383)</f>
        <v>3.5</v>
      </c>
      <c r="F383" s="18" t="str">
        <f>IF('Interpreted Data'!P383="","",CONCATENATE(";",'Interpreted Data'!P383))</f>
        <v/>
      </c>
    </row>
    <row r="384" spans="1:6" x14ac:dyDescent="0.25">
      <c r="A384">
        <f>'Interpreted Data'!A384</f>
        <v>91</v>
      </c>
      <c r="B384">
        <f>'Interpreted Data'!B384</f>
        <v>92</v>
      </c>
      <c r="C384" s="2">
        <f>'Interpreted Data'!J384/$G$1</f>
        <v>10.914634146341463</v>
      </c>
      <c r="D384" s="10">
        <f>'Interpreted Data'!T384</f>
        <v>35</v>
      </c>
      <c r="E384" s="11">
        <f>IF(D384="-",IF('Interpreted Data'!U384=-90,"-V",IF('Interpreted Data'!U384=90,"+V",'Interpreted Data'!U384)),'Interpreted Data'!U384)</f>
        <v>26.5</v>
      </c>
      <c r="F384" s="18" t="str">
        <f>IF('Interpreted Data'!P384="","",CONCATENATE(";",'Interpreted Data'!P384))</f>
        <v/>
      </c>
    </row>
    <row r="385" spans="1:6" x14ac:dyDescent="0.25">
      <c r="A385">
        <f>'Interpreted Data'!A385</f>
        <v>92</v>
      </c>
      <c r="B385">
        <f>'Interpreted Data'!B385</f>
        <v>93</v>
      </c>
      <c r="C385" s="2">
        <f>'Interpreted Data'!J385/$G$1</f>
        <v>14.695121951219514</v>
      </c>
      <c r="D385" s="10">
        <f>'Interpreted Data'!T385</f>
        <v>18</v>
      </c>
      <c r="E385" s="11">
        <f>IF(D385="-",IF('Interpreted Data'!U385=-90,"-V",IF('Interpreted Data'!U385=90,"+V",'Interpreted Data'!U385)),'Interpreted Data'!U385)</f>
        <v>8.5</v>
      </c>
      <c r="F385" s="18" t="str">
        <f>IF('Interpreted Data'!P385="","",CONCATENATE(";",'Interpreted Data'!P385))</f>
        <v/>
      </c>
    </row>
    <row r="386" spans="1:6" x14ac:dyDescent="0.25">
      <c r="A386">
        <f>'Interpreted Data'!A386</f>
        <v>93</v>
      </c>
      <c r="B386">
        <f>'Interpreted Data'!B386</f>
        <v>94</v>
      </c>
      <c r="C386" s="2">
        <f>'Interpreted Data'!J386/$G$1</f>
        <v>5.6402439024390247</v>
      </c>
      <c r="D386" s="10">
        <f>'Interpreted Data'!T386</f>
        <v>31</v>
      </c>
      <c r="E386" s="11">
        <f>IF(D386="-",IF('Interpreted Data'!U386=-90,"-V",IF('Interpreted Data'!U386=90,"+V",'Interpreted Data'!U386)),'Interpreted Data'!U386)</f>
        <v>-9</v>
      </c>
      <c r="F386" s="18" t="str">
        <f>IF('Interpreted Data'!P386="","",CONCATENATE(";",'Interpreted Data'!P386))</f>
        <v/>
      </c>
    </row>
    <row r="387" spans="1:6" x14ac:dyDescent="0.25">
      <c r="A387">
        <f>'Interpreted Data'!A387</f>
        <v>94</v>
      </c>
      <c r="B387">
        <f>'Interpreted Data'!B387</f>
        <v>95</v>
      </c>
      <c r="C387" s="2">
        <f>'Interpreted Data'!J387/$G$1</f>
        <v>7.9268292682926838</v>
      </c>
      <c r="D387" s="10">
        <f>'Interpreted Data'!T387</f>
        <v>3</v>
      </c>
      <c r="E387" s="11">
        <f>IF(D387="-",IF('Interpreted Data'!U387=-90,"-V",IF('Interpreted Data'!U387=90,"+V",'Interpreted Data'!U387)),'Interpreted Data'!U387)</f>
        <v>-4.5</v>
      </c>
      <c r="F387" s="18" t="str">
        <f>IF('Interpreted Data'!P387="","",CONCATENATE(";",'Interpreted Data'!P387))</f>
        <v/>
      </c>
    </row>
    <row r="388" spans="1:6" x14ac:dyDescent="0.25">
      <c r="A388" s="18" t="str">
        <f>CONCATENATE(";",'Interpreted Data'!A388)</f>
        <v>;95</v>
      </c>
      <c r="B388" t="str">
        <f>'Interpreted Data'!B388</f>
        <v/>
      </c>
      <c r="C388" s="2"/>
      <c r="D388" s="10"/>
      <c r="E388" s="11"/>
      <c r="F388" s="18" t="str">
        <f>IF('Interpreted Data'!P388="","",CONCATENATE(";",'Interpreted Data'!P388))</f>
        <v/>
      </c>
    </row>
    <row r="389" spans="1:6" x14ac:dyDescent="0.25">
      <c r="C389" s="2"/>
      <c r="D389" s="10"/>
      <c r="E389" s="11"/>
      <c r="F389" s="18" t="str">
        <f>IF('Interpreted Data'!P389="","",CONCATENATE(";",'Interpreted Data'!P389))</f>
        <v/>
      </c>
    </row>
    <row r="390" spans="1:6" x14ac:dyDescent="0.25">
      <c r="A390" s="18" t="str">
        <f>CONCATENATE(";",'Interpreted Data'!A390)</f>
        <v>;21-22nd April 1957</v>
      </c>
      <c r="B390" t="str">
        <f>'Interpreted Data'!B390</f>
        <v>Chris Hawkes</v>
      </c>
      <c r="C390" t="str">
        <f>'Interpreted Data'!C390</f>
        <v>Paradise Regained, Mud Sump to Blue Pencil Passage</v>
      </c>
      <c r="F390" s="18" t="str">
        <f>IF('Interpreted Data'!P390="","",CONCATENATE(";",'Interpreted Data'!P390))</f>
        <v/>
      </c>
    </row>
    <row r="391" spans="1:6" x14ac:dyDescent="0.25">
      <c r="A391" t="str">
        <f>CONCATENATE('Interpreted Data'!A391,"3")</f>
        <v>ag3</v>
      </c>
      <c r="B391">
        <f>'Interpreted Data'!B391</f>
        <v>98</v>
      </c>
      <c r="C391" s="2">
        <f>'Interpreted Data'!J391/$G$1</f>
        <v>1.0060975609756098</v>
      </c>
      <c r="D391" s="10">
        <f>'Interpreted Data'!T391</f>
        <v>144</v>
      </c>
      <c r="E391" s="11">
        <f>IF(D391="-",IF('Interpreted Data'!U391=-90,"-V",IF('Interpreted Data'!U391=90,"+V",'Interpreted Data'!U391)),'Interpreted Data'!U391)</f>
        <v>23</v>
      </c>
      <c r="F391" s="18" t="str">
        <f>IF('Interpreted Data'!P391="","",CONCATENATE(";",'Interpreted Data'!P391))</f>
        <v>;ag on page 65</v>
      </c>
    </row>
    <row r="392" spans="1:6" x14ac:dyDescent="0.25">
      <c r="A392">
        <f>'Interpreted Data'!A392</f>
        <v>98</v>
      </c>
      <c r="B392">
        <f>'Interpreted Data'!B392</f>
        <v>99</v>
      </c>
      <c r="C392" s="2">
        <f>'Interpreted Data'!J392/$G$1</f>
        <v>5.9451219512195124</v>
      </c>
      <c r="D392" s="10">
        <f>'Interpreted Data'!T392</f>
        <v>262.75</v>
      </c>
      <c r="E392" s="11">
        <f>IF(D392="-",IF('Interpreted Data'!U392=-90,"-V",IF('Interpreted Data'!U392=90,"+V",'Interpreted Data'!U392)),'Interpreted Data'!U392)</f>
        <v>-19.5</v>
      </c>
      <c r="F392" s="18" t="str">
        <f>IF('Interpreted Data'!P392="","",CONCATENATE(";",'Interpreted Data'!P392))</f>
        <v/>
      </c>
    </row>
    <row r="393" spans="1:6" x14ac:dyDescent="0.25">
      <c r="A393">
        <f>'Interpreted Data'!A393</f>
        <v>99</v>
      </c>
      <c r="B393">
        <f>'Interpreted Data'!B393</f>
        <v>100</v>
      </c>
      <c r="C393" s="2">
        <f>'Interpreted Data'!J393/$G$1</f>
        <v>2.225609756097561</v>
      </c>
      <c r="D393" s="10">
        <f>'Interpreted Data'!T393</f>
        <v>262</v>
      </c>
      <c r="E393" s="11">
        <f>IF(D393="-",IF('Interpreted Data'!U393=-90,"-V",IF('Interpreted Data'!U393=90,"+V",'Interpreted Data'!U393)),'Interpreted Data'!U393)</f>
        <v>1.5699438282612768</v>
      </c>
      <c r="F393" s="18" t="str">
        <f>IF('Interpreted Data'!P393="","",CONCATENATE(";",'Interpreted Data'!P393))</f>
        <v>;Near side of pool in Mud sump</v>
      </c>
    </row>
    <row r="394" spans="1:6" x14ac:dyDescent="0.25">
      <c r="A394">
        <f>'Interpreted Data'!A394</f>
        <v>100</v>
      </c>
      <c r="B394">
        <f>'Interpreted Data'!B394</f>
        <v>101</v>
      </c>
      <c r="C394" s="2">
        <f>'Interpreted Data'!J394/$G$1</f>
        <v>3.2012195121951224</v>
      </c>
      <c r="D394" s="10">
        <f>'Interpreted Data'!T394</f>
        <v>213.33333333333334</v>
      </c>
      <c r="E394" s="11">
        <f>IF(D394="-",IF('Interpreted Data'!U394=-90,"-V",IF('Interpreted Data'!U394=90,"+V",'Interpreted Data'!U394)),'Interpreted Data'!U394)</f>
        <v>38.333333330000002</v>
      </c>
      <c r="F394" s="18" t="str">
        <f>IF('Interpreted Data'!P394="","",CONCATENATE(";",'Interpreted Data'!P394))</f>
        <v>;Far side of pool in Mud sump</v>
      </c>
    </row>
    <row r="395" spans="1:6" x14ac:dyDescent="0.25">
      <c r="A395">
        <f>'Interpreted Data'!A395</f>
        <v>101</v>
      </c>
      <c r="B395">
        <f>'Interpreted Data'!B395</f>
        <v>102</v>
      </c>
      <c r="C395" s="2">
        <f>'Interpreted Data'!J395/$G$1</f>
        <v>4.725609756097561</v>
      </c>
      <c r="D395" s="10">
        <f>'Interpreted Data'!T395</f>
        <v>185.16666666666666</v>
      </c>
      <c r="E395" s="11">
        <f>IF(D395="-",IF('Interpreted Data'!U395=-90,"-V",IF('Interpreted Data'!U395=90,"+V",'Interpreted Data'!U395)),'Interpreted Data'!U395)</f>
        <v>-7</v>
      </c>
      <c r="F395" s="18" t="str">
        <f>IF('Interpreted Data'!P395="","",CONCATENATE(";",'Interpreted Data'!P395))</f>
        <v/>
      </c>
    </row>
    <row r="396" spans="1:6" x14ac:dyDescent="0.25">
      <c r="A396">
        <f>'Interpreted Data'!A396</f>
        <v>102</v>
      </c>
      <c r="B396">
        <f>'Interpreted Data'!B396</f>
        <v>103</v>
      </c>
      <c r="C396" s="2">
        <f>'Interpreted Data'!J396/$G$1</f>
        <v>8.8109756097560972</v>
      </c>
      <c r="D396" s="10">
        <f>'Interpreted Data'!T396</f>
        <v>143.33333333333334</v>
      </c>
      <c r="E396" s="11">
        <f>IF(D396="-",IF('Interpreted Data'!U396=-90,"-V",IF('Interpreted Data'!U396=90,"+V",'Interpreted Data'!U396)),'Interpreted Data'!U396)</f>
        <v>20.5</v>
      </c>
      <c r="F396" s="18" t="str">
        <f>IF('Interpreted Data'!P396="","",CONCATENATE(";",'Interpreted Data'!P396))</f>
        <v/>
      </c>
    </row>
    <row r="397" spans="1:6" x14ac:dyDescent="0.25">
      <c r="A397">
        <f>'Interpreted Data'!A397</f>
        <v>103</v>
      </c>
      <c r="B397">
        <f>'Interpreted Data'!B397</f>
        <v>104</v>
      </c>
      <c r="C397" s="2">
        <f>'Interpreted Data'!J397/$G$1</f>
        <v>2.2865853658536586</v>
      </c>
      <c r="D397" s="10">
        <f>'Interpreted Data'!T397</f>
        <v>161.5</v>
      </c>
      <c r="E397" s="11">
        <f>IF(D397="-",IF('Interpreted Data'!U397=-90,"-V",IF('Interpreted Data'!U397=90,"+V",'Interpreted Data'!U397)),'Interpreted Data'!U397)</f>
        <v>-12.5</v>
      </c>
      <c r="F397" s="18" t="str">
        <f>IF('Interpreted Data'!P397="","",CONCATENATE(";",'Interpreted Data'!P397))</f>
        <v/>
      </c>
    </row>
    <row r="398" spans="1:6" x14ac:dyDescent="0.25">
      <c r="A398">
        <f>'Interpreted Data'!A398</f>
        <v>104</v>
      </c>
      <c r="B398">
        <f>'Interpreted Data'!B398</f>
        <v>105</v>
      </c>
      <c r="C398" s="2">
        <f>'Interpreted Data'!J398/$G$1</f>
        <v>2.0426829268292686</v>
      </c>
      <c r="D398" s="10">
        <f>'Interpreted Data'!T398</f>
        <v>116.66666666666667</v>
      </c>
      <c r="E398" s="11">
        <f>IF(D398="-",IF('Interpreted Data'!U398=-90,"-V",IF('Interpreted Data'!U398=90,"+V",'Interpreted Data'!U398)),'Interpreted Data'!U398)</f>
        <v>10.5</v>
      </c>
      <c r="F398" s="18" t="str">
        <f>IF('Interpreted Data'!P398="","",CONCATENATE(";",'Interpreted Data'!P398))</f>
        <v/>
      </c>
    </row>
    <row r="399" spans="1:6" x14ac:dyDescent="0.25">
      <c r="A399">
        <f>'Interpreted Data'!A399</f>
        <v>105</v>
      </c>
      <c r="B399">
        <f>'Interpreted Data'!B399</f>
        <v>106</v>
      </c>
      <c r="C399" s="2">
        <f>'Interpreted Data'!J399/$G$1</f>
        <v>6.1585365853658542</v>
      </c>
      <c r="D399" s="10">
        <f>'Interpreted Data'!T399</f>
        <v>139.66666666666666</v>
      </c>
      <c r="E399" s="11">
        <f>IF(D399="-",IF('Interpreted Data'!U399=-90,"-V",IF('Interpreted Data'!U399=90,"+V",'Interpreted Data'!U399)),'Interpreted Data'!U399)</f>
        <v>8.5</v>
      </c>
      <c r="F399" s="18" t="str">
        <f>IF('Interpreted Data'!P399="","",CONCATENATE(";",'Interpreted Data'!P399))</f>
        <v/>
      </c>
    </row>
    <row r="400" spans="1:6" x14ac:dyDescent="0.25">
      <c r="A400">
        <f>'Interpreted Data'!A400</f>
        <v>106</v>
      </c>
      <c r="B400">
        <f>'Interpreted Data'!B400</f>
        <v>107</v>
      </c>
      <c r="C400" s="2">
        <f>'Interpreted Data'!J400/$G$1</f>
        <v>1.0060975609756098</v>
      </c>
      <c r="D400" s="10">
        <f>'Interpreted Data'!T400</f>
        <v>295</v>
      </c>
      <c r="E400" s="11">
        <f>IF(D400="-",IF('Interpreted Data'!U400=-90,"-V",IF('Interpreted Data'!U400=90,"+V",'Interpreted Data'!U400)),'Interpreted Data'!U400)</f>
        <v>6</v>
      </c>
      <c r="F400" s="18" t="str">
        <f>IF('Interpreted Data'!P400="","",CONCATENATE(";",'Interpreted Data'!P400))</f>
        <v/>
      </c>
    </row>
    <row r="401" spans="1:6" x14ac:dyDescent="0.25">
      <c r="A401">
        <f>'Interpreted Data'!A401</f>
        <v>107</v>
      </c>
      <c r="B401">
        <f>'Interpreted Data'!B401</f>
        <v>108</v>
      </c>
      <c r="C401" s="2">
        <f>'Interpreted Data'!J401/$G$1</f>
        <v>4.5731707317073171</v>
      </c>
      <c r="D401" s="10">
        <f>'Interpreted Data'!T401</f>
        <v>155</v>
      </c>
      <c r="E401" s="11">
        <f>IF(D401="-",IF('Interpreted Data'!U401=-90,"-V",IF('Interpreted Data'!U401=90,"+V",'Interpreted Data'!U401)),'Interpreted Data'!U401)</f>
        <v>-8.8333333300000003</v>
      </c>
      <c r="F401" s="18" t="str">
        <f>IF('Interpreted Data'!P401="","",CONCATENATE(";",'Interpreted Data'!P401))</f>
        <v/>
      </c>
    </row>
    <row r="402" spans="1:6" x14ac:dyDescent="0.25">
      <c r="A402">
        <f>'Interpreted Data'!A402</f>
        <v>108</v>
      </c>
      <c r="B402">
        <f>'Interpreted Data'!B402</f>
        <v>109</v>
      </c>
      <c r="C402" s="2">
        <f>'Interpreted Data'!J402/$G$1</f>
        <v>12.256097560975611</v>
      </c>
      <c r="D402" s="10">
        <f>'Interpreted Data'!T402</f>
        <v>236.66666666666666</v>
      </c>
      <c r="E402" s="11">
        <f>IF(D402="-",IF('Interpreted Data'!U402=-90,"-V",IF('Interpreted Data'!U402=90,"+V",'Interpreted Data'!U402)),'Interpreted Data'!U402)</f>
        <v>7.5</v>
      </c>
      <c r="F402" s="18" t="str">
        <f>IF('Interpreted Data'!P402="","",CONCATENATE(";",'Interpreted Data'!P402))</f>
        <v/>
      </c>
    </row>
    <row r="403" spans="1:6" x14ac:dyDescent="0.25">
      <c r="A403">
        <f>'Interpreted Data'!A403</f>
        <v>109</v>
      </c>
      <c r="B403">
        <f>'Interpreted Data'!B403</f>
        <v>110</v>
      </c>
      <c r="C403" s="2">
        <f>'Interpreted Data'!J403/$G$1</f>
        <v>6.2195121951219514</v>
      </c>
      <c r="D403" s="10">
        <f>'Interpreted Data'!T403</f>
        <v>247</v>
      </c>
      <c r="E403" s="11">
        <f>IF(D403="-",IF('Interpreted Data'!U403=-90,"-V",IF('Interpreted Data'!U403=90,"+V",'Interpreted Data'!U403)),'Interpreted Data'!U403)</f>
        <v>-24.5</v>
      </c>
      <c r="F403" s="18" t="str">
        <f>IF('Interpreted Data'!P403="","",CONCATENATE(";",'Interpreted Data'!P403))</f>
        <v/>
      </c>
    </row>
    <row r="404" spans="1:6" x14ac:dyDescent="0.25">
      <c r="A404">
        <f>'Interpreted Data'!A404</f>
        <v>110</v>
      </c>
      <c r="B404">
        <f>'Interpreted Data'!B404</f>
        <v>111</v>
      </c>
      <c r="C404" s="2">
        <f>'Interpreted Data'!J404/$G$1</f>
        <v>7.9268292682926838</v>
      </c>
      <c r="D404" s="10">
        <f>'Interpreted Data'!T404</f>
        <v>248.5</v>
      </c>
      <c r="E404" s="11">
        <f>IF(D404="-",IF('Interpreted Data'!U404=-90,"-V",IF('Interpreted Data'!U404=90,"+V",'Interpreted Data'!U404)),'Interpreted Data'!U404)</f>
        <v>20.5</v>
      </c>
      <c r="F404" s="18" t="str">
        <f>IF('Interpreted Data'!P404="","",CONCATENATE(";",'Interpreted Data'!P404))</f>
        <v/>
      </c>
    </row>
    <row r="405" spans="1:6" x14ac:dyDescent="0.25">
      <c r="A405">
        <f>'Interpreted Data'!A405</f>
        <v>111</v>
      </c>
      <c r="B405">
        <f>'Interpreted Data'!B405</f>
        <v>112</v>
      </c>
      <c r="C405" s="2">
        <f>'Interpreted Data'!J405/$G$1</f>
        <v>9.6036585365853657</v>
      </c>
      <c r="D405" s="10">
        <f>'Interpreted Data'!T405</f>
        <v>259.5</v>
      </c>
      <c r="E405" s="11">
        <f>IF(D405="-",IF('Interpreted Data'!U405=-90,"-V",IF('Interpreted Data'!U405=90,"+V",'Interpreted Data'!U405)),'Interpreted Data'!U405)</f>
        <v>-14.666666660000001</v>
      </c>
      <c r="F405" s="18" t="str">
        <f>IF('Interpreted Data'!P405="","",CONCATENATE(";",'Interpreted Data'!P405))</f>
        <v/>
      </c>
    </row>
    <row r="406" spans="1:6" x14ac:dyDescent="0.25">
      <c r="A406">
        <f>'Interpreted Data'!A406</f>
        <v>112</v>
      </c>
      <c r="B406">
        <f>'Interpreted Data'!B406</f>
        <v>113</v>
      </c>
      <c r="C406" s="2">
        <f>'Interpreted Data'!J406/$G$1</f>
        <v>4.2378048780487809</v>
      </c>
      <c r="D406" s="10">
        <f>'Interpreted Data'!T406</f>
        <v>231</v>
      </c>
      <c r="E406" s="11">
        <f>IF(D406="-",IF('Interpreted Data'!U406=-90,"-V",IF('Interpreted Data'!U406=90,"+V",'Interpreted Data'!U406)),'Interpreted Data'!U406)</f>
        <v>-12.5</v>
      </c>
      <c r="F406" s="18" t="str">
        <f>IF('Interpreted Data'!P406="","",CONCATENATE(";",'Interpreted Data'!P406))</f>
        <v/>
      </c>
    </row>
    <row r="407" spans="1:6" x14ac:dyDescent="0.25">
      <c r="A407">
        <f>'Interpreted Data'!A407</f>
        <v>113</v>
      </c>
      <c r="B407">
        <f>'Interpreted Data'!B407</f>
        <v>114</v>
      </c>
      <c r="C407" s="2">
        <f>'Interpreted Data'!J407/$G$1</f>
        <v>5.3963414634146343</v>
      </c>
      <c r="D407" s="10">
        <f>'Interpreted Data'!T407</f>
        <v>290</v>
      </c>
      <c r="E407" s="11">
        <f>IF(D407="-",IF('Interpreted Data'!U407=-90,"-V",IF('Interpreted Data'!U407=90,"+V",'Interpreted Data'!U407)),'Interpreted Data'!U407)</f>
        <v>49</v>
      </c>
      <c r="F407" s="18" t="str">
        <f>IF('Interpreted Data'!P407="","",CONCATENATE(";",'Interpreted Data'!P407))</f>
        <v>;Foot of Mud Shute</v>
      </c>
    </row>
    <row r="408" spans="1:6" x14ac:dyDescent="0.25">
      <c r="A408">
        <f>'Interpreted Data'!A408</f>
        <v>114</v>
      </c>
      <c r="B408">
        <f>'Interpreted Data'!B408</f>
        <v>115</v>
      </c>
      <c r="C408" s="2">
        <f>'Interpreted Data'!J408/$G$1</f>
        <v>2.3170731707317072</v>
      </c>
      <c r="D408" s="10">
        <f>'Interpreted Data'!T408</f>
        <v>312</v>
      </c>
      <c r="E408" s="11">
        <f>IF(D408="-",IF('Interpreted Data'!U408=-90,"-V",IF('Interpreted Data'!U408=90,"+V",'Interpreted Data'!U408)),'Interpreted Data'!U408)</f>
        <v>1</v>
      </c>
      <c r="F408" s="18" t="str">
        <f>IF('Interpreted Data'!P408="","",CONCATENATE(";",'Interpreted Data'!P408))</f>
        <v/>
      </c>
    </row>
    <row r="409" spans="1:6" x14ac:dyDescent="0.25">
      <c r="A409">
        <f>'Interpreted Data'!A409</f>
        <v>115</v>
      </c>
      <c r="B409">
        <f>'Interpreted Data'!B409</f>
        <v>116</v>
      </c>
      <c r="C409" s="2">
        <f>'Interpreted Data'!J409/$G$1</f>
        <v>3.0182926829268295</v>
      </c>
      <c r="D409" s="10">
        <f>'Interpreted Data'!T409</f>
        <v>256</v>
      </c>
      <c r="E409" s="11">
        <f>IF(D409="-",IF('Interpreted Data'!U409=-90,"-V",IF('Interpreted Data'!U409=90,"+V",'Interpreted Data'!U409)),'Interpreted Data'!U409)</f>
        <v>-14.5</v>
      </c>
      <c r="F409" s="18" t="str">
        <f>IF('Interpreted Data'!P409="","",CONCATENATE(";",'Interpreted Data'!P409))</f>
        <v/>
      </c>
    </row>
    <row r="410" spans="1:6" x14ac:dyDescent="0.25">
      <c r="A410">
        <f>'Interpreted Data'!A410</f>
        <v>116</v>
      </c>
      <c r="B410">
        <f>'Interpreted Data'!B410</f>
        <v>117</v>
      </c>
      <c r="C410" s="2">
        <f>'Interpreted Data'!J410/$G$1</f>
        <v>6.036585365853659</v>
      </c>
      <c r="D410" s="10">
        <f>'Interpreted Data'!T410</f>
        <v>304.66666666666669</v>
      </c>
      <c r="E410" s="11">
        <f>IF(D410="-",IF('Interpreted Data'!U410=-90,"-V",IF('Interpreted Data'!U410=90,"+V",'Interpreted Data'!U410)),'Interpreted Data'!U410)</f>
        <v>-6.0882760441169816</v>
      </c>
      <c r="F410" s="18" t="str">
        <f>IF('Interpreted Data'!P410="","",CONCATENATE(";",'Interpreted Data'!P410))</f>
        <v>;Over 12' Drop. Candle put 1.1' lower for clino</v>
      </c>
    </row>
    <row r="411" spans="1:6" x14ac:dyDescent="0.25">
      <c r="A411">
        <f>'Interpreted Data'!A411</f>
        <v>117</v>
      </c>
      <c r="B411">
        <f>'Interpreted Data'!B411</f>
        <v>118</v>
      </c>
      <c r="C411" s="2">
        <f>'Interpreted Data'!J411/$G$1</f>
        <v>5.5182926829268304</v>
      </c>
      <c r="D411" s="10">
        <f>'Interpreted Data'!T411</f>
        <v>294.5</v>
      </c>
      <c r="E411" s="11">
        <f>IF(D411="-",IF('Interpreted Data'!U411=-90,"-V",IF('Interpreted Data'!U411=90,"+V",'Interpreted Data'!U411)),'Interpreted Data'!U411)</f>
        <v>-11.166666660000001</v>
      </c>
      <c r="F411" s="18" t="str">
        <f>IF('Interpreted Data'!P411="","",CONCATENATE(";",'Interpreted Data'!P411))</f>
        <v>;Double passage 2' on</v>
      </c>
    </row>
    <row r="412" spans="1:6" x14ac:dyDescent="0.25">
      <c r="A412">
        <f>'Interpreted Data'!A412</f>
        <v>118</v>
      </c>
      <c r="B412">
        <f>'Interpreted Data'!B412</f>
        <v>119</v>
      </c>
      <c r="C412" s="2">
        <f>'Interpreted Data'!J412/$G$1</f>
        <v>1.3109756097560976</v>
      </c>
      <c r="D412" s="10">
        <f>'Interpreted Data'!T412</f>
        <v>314</v>
      </c>
      <c r="E412" s="11">
        <f>IF(D412="-",IF('Interpreted Data'!U412=-90,"-V",IF('Interpreted Data'!U412=90,"+V",'Interpreted Data'!U412)),'Interpreted Data'!U412)</f>
        <v>41</v>
      </c>
      <c r="F412" s="18" t="str">
        <f>IF('Interpreted Data'!P412="","",CONCATENATE(";",'Interpreted Data'!P412))</f>
        <v/>
      </c>
    </row>
    <row r="413" spans="1:6" x14ac:dyDescent="0.25">
      <c r="A413">
        <f>'Interpreted Data'!A413</f>
        <v>119</v>
      </c>
      <c r="B413">
        <f>'Interpreted Data'!B413</f>
        <v>120</v>
      </c>
      <c r="C413" s="2">
        <f>'Interpreted Data'!J413/$G$1</f>
        <v>1.8902439024390245</v>
      </c>
      <c r="D413" s="10">
        <f>'Interpreted Data'!T413</f>
        <v>254</v>
      </c>
      <c r="E413" s="11">
        <f>IF(D413="-",IF('Interpreted Data'!U413=-90,"-V",IF('Interpreted Data'!U413=90,"+V",'Interpreted Data'!U413)),'Interpreted Data'!U413)</f>
        <v>-23.5</v>
      </c>
      <c r="F413" s="18" t="str">
        <f>IF('Interpreted Data'!P413="","",CONCATENATE(";",'Interpreted Data'!P413))</f>
        <v>;On rock rib</v>
      </c>
    </row>
    <row r="414" spans="1:6" x14ac:dyDescent="0.25">
      <c r="A414">
        <f>'Interpreted Data'!A414</f>
        <v>120</v>
      </c>
      <c r="B414">
        <f>'Interpreted Data'!B414</f>
        <v>121</v>
      </c>
      <c r="C414" s="2">
        <f>'Interpreted Data'!J414/$G$1</f>
        <v>2.8048780487804876</v>
      </c>
      <c r="D414" s="10">
        <f>'Interpreted Data'!T414</f>
        <v>222</v>
      </c>
      <c r="E414" s="11">
        <f>IF(D414="-",IF('Interpreted Data'!U414=-90,"-V",IF('Interpreted Data'!U414=90,"+V",'Interpreted Data'!U414)),'Interpreted Data'!U414)</f>
        <v>0</v>
      </c>
      <c r="F414" s="18" t="str">
        <f>IF('Interpreted Data'!P414="","",CONCATENATE(";",'Interpreted Data'!P414))</f>
        <v/>
      </c>
    </row>
    <row r="415" spans="1:6" x14ac:dyDescent="0.25">
      <c r="A415">
        <f>'Interpreted Data'!A415</f>
        <v>121</v>
      </c>
      <c r="B415">
        <f>'Interpreted Data'!B415</f>
        <v>122</v>
      </c>
      <c r="C415" s="2">
        <f>'Interpreted Data'!J415/$G$1</f>
        <v>3.0487804878048781</v>
      </c>
      <c r="D415" s="10">
        <f>'Interpreted Data'!T415</f>
        <v>191.83333333333334</v>
      </c>
      <c r="E415" s="11">
        <f>IF(D415="-",IF('Interpreted Data'!U415=-90,"-V",IF('Interpreted Data'!U415=90,"+V",'Interpreted Data'!U415)),'Interpreted Data'!U415)</f>
        <v>24</v>
      </c>
      <c r="F415" s="18" t="str">
        <f>IF('Interpreted Data'!P415="","",CONCATENATE(";",'Interpreted Data'!P415))</f>
        <v/>
      </c>
    </row>
    <row r="416" spans="1:6" x14ac:dyDescent="0.25">
      <c r="A416">
        <f>'Interpreted Data'!A416</f>
        <v>122</v>
      </c>
      <c r="B416">
        <f>'Interpreted Data'!B416</f>
        <v>123</v>
      </c>
      <c r="C416" s="2">
        <f>'Interpreted Data'!J416/$G$1</f>
        <v>6.7073170731707323</v>
      </c>
      <c r="D416" s="10">
        <f>'Interpreted Data'!T416</f>
        <v>252.5</v>
      </c>
      <c r="E416" s="11">
        <f>IF(D416="-",IF('Interpreted Data'!U416=-90,"-V",IF('Interpreted Data'!U416=90,"+V",'Interpreted Data'!U416)),'Interpreted Data'!U416)</f>
        <v>-10</v>
      </c>
      <c r="F416" s="18" t="str">
        <f>IF('Interpreted Data'!P416="","",CONCATENATE(";",'Interpreted Data'!P416))</f>
        <v>;Passage (small) on left at 6'</v>
      </c>
    </row>
    <row r="417" spans="1:6" x14ac:dyDescent="0.25">
      <c r="A417">
        <f>'Interpreted Data'!A417</f>
        <v>123</v>
      </c>
      <c r="B417">
        <f>'Interpreted Data'!B417</f>
        <v>124</v>
      </c>
      <c r="C417" s="2">
        <f>'Interpreted Data'!J417/$G$1</f>
        <v>5.7012195121951219</v>
      </c>
      <c r="D417" s="10">
        <f>'Interpreted Data'!T417</f>
        <v>211</v>
      </c>
      <c r="E417" s="11">
        <f>IF(D417="-",IF('Interpreted Data'!U417=-90,"-V",IF('Interpreted Data'!U417=90,"+V",'Interpreted Data'!U417)),'Interpreted Data'!U417)</f>
        <v>16</v>
      </c>
      <c r="F417" s="18" t="str">
        <f>IF('Interpreted Data'!P417="","",CONCATENATE(";",'Interpreted Data'!P417))</f>
        <v/>
      </c>
    </row>
    <row r="418" spans="1:6" x14ac:dyDescent="0.25">
      <c r="A418">
        <f>'Interpreted Data'!A418</f>
        <v>124</v>
      </c>
      <c r="B418">
        <f>'Interpreted Data'!B418</f>
        <v>125</v>
      </c>
      <c r="C418" s="2">
        <f>'Interpreted Data'!J418/$G$1</f>
        <v>12.408536585365855</v>
      </c>
      <c r="D418" s="10">
        <f>'Interpreted Data'!T418</f>
        <v>281</v>
      </c>
      <c r="E418" s="11">
        <f>IF(D418="-",IF('Interpreted Data'!U418=-90,"-V",IF('Interpreted Data'!U418=90,"+V",'Interpreted Data'!U418)),'Interpreted Data'!U418)</f>
        <v>-14.25</v>
      </c>
      <c r="F418" s="18" t="str">
        <f>IF('Interpreted Data'!P418="","",CONCATENATE(";",'Interpreted Data'!P418))</f>
        <v>;Stn 124 marked by double ring on roof</v>
      </c>
    </row>
    <row r="419" spans="1:6" x14ac:dyDescent="0.25">
      <c r="A419">
        <f>'Interpreted Data'!A419</f>
        <v>125</v>
      </c>
      <c r="B419">
        <f>'Interpreted Data'!B419</f>
        <v>126</v>
      </c>
      <c r="C419" s="2">
        <f>'Interpreted Data'!J419/$G$1</f>
        <v>4.2073170731707323</v>
      </c>
      <c r="D419" s="10">
        <f>'Interpreted Data'!T419</f>
        <v>327.25</v>
      </c>
      <c r="E419" s="11">
        <f>IF(D419="-",IF('Interpreted Data'!U419=-90,"-V",IF('Interpreted Data'!U419=90,"+V",'Interpreted Data'!U419)),'Interpreted Data'!U419)</f>
        <v>5.5</v>
      </c>
      <c r="F419" s="18" t="str">
        <f>IF('Interpreted Data'!P419="","",CONCATENATE(";",'Interpreted Data'!P419))</f>
        <v/>
      </c>
    </row>
    <row r="420" spans="1:6" x14ac:dyDescent="0.25">
      <c r="A420">
        <f>'Interpreted Data'!A420</f>
        <v>126</v>
      </c>
      <c r="B420">
        <f>'Interpreted Data'!B420</f>
        <v>127</v>
      </c>
      <c r="C420" s="2">
        <f>'Interpreted Data'!J420/$G$1</f>
        <v>6.25</v>
      </c>
      <c r="D420" s="10">
        <f>'Interpreted Data'!T420</f>
        <v>266.33333333333331</v>
      </c>
      <c r="E420" s="11">
        <f>IF(D420="-",IF('Interpreted Data'!U420=-90,"-V",IF('Interpreted Data'!U420=90,"+V",'Interpreted Data'!U420)),'Interpreted Data'!U420)</f>
        <v>-9.25</v>
      </c>
      <c r="F420" s="18" t="str">
        <f>IF('Interpreted Data'!P420="","",CONCATENATE(";",'Interpreted Data'!P420))</f>
        <v/>
      </c>
    </row>
    <row r="421" spans="1:6" x14ac:dyDescent="0.25">
      <c r="A421">
        <f>'Interpreted Data'!A421</f>
        <v>127</v>
      </c>
      <c r="B421">
        <f>'Interpreted Data'!B421</f>
        <v>128</v>
      </c>
      <c r="C421" s="2">
        <f>'Interpreted Data'!J421/$G$1</f>
        <v>1.3109756097560976</v>
      </c>
      <c r="D421" s="10">
        <f>'Interpreted Data'!T421</f>
        <v>326</v>
      </c>
      <c r="E421" s="11">
        <f>IF(D421="-",IF('Interpreted Data'!U421=-90,"-V",IF('Interpreted Data'!U421=90,"+V",'Interpreted Data'!U421)),'Interpreted Data'!U421)</f>
        <v>17</v>
      </c>
      <c r="F421" s="18" t="str">
        <f>IF('Interpreted Data'!P421="","",CONCATENATE(";",'Interpreted Data'!P421))</f>
        <v/>
      </c>
    </row>
    <row r="422" spans="1:6" x14ac:dyDescent="0.25">
      <c r="A422">
        <f>'Interpreted Data'!A422</f>
        <v>128</v>
      </c>
      <c r="B422">
        <f>'Interpreted Data'!B422</f>
        <v>129</v>
      </c>
      <c r="C422" s="2">
        <f>'Interpreted Data'!J422/$G$1</f>
        <v>3.1402439024390247</v>
      </c>
      <c r="D422" s="10">
        <f>'Interpreted Data'!T422</f>
        <v>21.5</v>
      </c>
      <c r="E422" s="11">
        <f>IF(D422="-",IF('Interpreted Data'!U422=-90,"-V",IF('Interpreted Data'!U422=90,"+V",'Interpreted Data'!U422)),'Interpreted Data'!U422)</f>
        <v>8.3333333300000003</v>
      </c>
      <c r="F422" s="18" t="str">
        <f>IF('Interpreted Data'!P422="","",CONCATENATE(";",'Interpreted Data'!P422))</f>
        <v/>
      </c>
    </row>
    <row r="423" spans="1:6" x14ac:dyDescent="0.25">
      <c r="A423">
        <f>'Interpreted Data'!A423</f>
        <v>129</v>
      </c>
      <c r="B423">
        <f>'Interpreted Data'!B423</f>
        <v>130</v>
      </c>
      <c r="C423" s="2">
        <f>'Interpreted Data'!J423/$G$1</f>
        <v>13.170731707317074</v>
      </c>
      <c r="D423" s="10">
        <f>'Interpreted Data'!T423</f>
        <v>293.16666666666669</v>
      </c>
      <c r="E423" s="11">
        <f>IF(D423="-",IF('Interpreted Data'!U423=-90,"-V",IF('Interpreted Data'!U423=90,"+V",'Interpreted Data'!U423)),'Interpreted Data'!U423)</f>
        <v>-10.33333333</v>
      </c>
      <c r="F423" s="18" t="str">
        <f>IF('Interpreted Data'!P423="","",CONCATENATE(";",'Interpreted Data'!P423))</f>
        <v/>
      </c>
    </row>
    <row r="424" spans="1:6" x14ac:dyDescent="0.25">
      <c r="A424">
        <f>'Interpreted Data'!A424</f>
        <v>130</v>
      </c>
      <c r="B424">
        <f>'Interpreted Data'!B424</f>
        <v>131</v>
      </c>
      <c r="C424" s="2">
        <f>'Interpreted Data'!J424/$G$1</f>
        <v>11.524390243902438</v>
      </c>
      <c r="D424" s="10">
        <f>'Interpreted Data'!T424</f>
        <v>293.66666666666669</v>
      </c>
      <c r="E424" s="11">
        <f>IF(D424="-",IF('Interpreted Data'!U424=-90,"-V",IF('Interpreted Data'!U424=90,"+V",'Interpreted Data'!U424)),'Interpreted Data'!U424)</f>
        <v>-3</v>
      </c>
      <c r="F424" s="18" t="str">
        <f>IF('Interpreted Data'!P424="","",CONCATENATE(";",'Interpreted Data'!P424))</f>
        <v/>
      </c>
    </row>
    <row r="425" spans="1:6" x14ac:dyDescent="0.25">
      <c r="A425">
        <f>'Interpreted Data'!A425</f>
        <v>131</v>
      </c>
      <c r="B425">
        <f>'Interpreted Data'!B425</f>
        <v>132</v>
      </c>
      <c r="C425" s="2">
        <f>'Interpreted Data'!J425/$G$1</f>
        <v>2.8353658536585371</v>
      </c>
      <c r="D425" s="10">
        <f>'Interpreted Data'!T425</f>
        <v>347</v>
      </c>
      <c r="E425" s="11">
        <f>IF(D425="-",IF('Interpreted Data'!U425=-90,"-V",IF('Interpreted Data'!U425=90,"+V",'Interpreted Data'!U425)),'Interpreted Data'!U425)</f>
        <v>20.5</v>
      </c>
      <c r="F425" s="18" t="str">
        <f>IF('Interpreted Data'!P425="","",CONCATENATE(";",'Interpreted Data'!P425))</f>
        <v/>
      </c>
    </row>
    <row r="426" spans="1:6" x14ac:dyDescent="0.25">
      <c r="A426">
        <f>'Interpreted Data'!A426</f>
        <v>132</v>
      </c>
      <c r="B426">
        <f>'Interpreted Data'!B426</f>
        <v>133</v>
      </c>
      <c r="C426" s="2">
        <f>'Interpreted Data'!J426/$G$1</f>
        <v>4.4512195121951219</v>
      </c>
      <c r="D426" s="10">
        <f>'Interpreted Data'!T426</f>
        <v>271.5</v>
      </c>
      <c r="E426" s="11">
        <f>IF(D426="-",IF('Interpreted Data'!U426=-90,"-V",IF('Interpreted Data'!U426=90,"+V",'Interpreted Data'!U426)),'Interpreted Data'!U426)</f>
        <v>-11.5</v>
      </c>
      <c r="F426" s="18" t="str">
        <f>IF('Interpreted Data'!P426="","",CONCATENATE(";",'Interpreted Data'!P426))</f>
        <v/>
      </c>
    </row>
    <row r="427" spans="1:6" x14ac:dyDescent="0.25">
      <c r="A427">
        <f>'Interpreted Data'!A427</f>
        <v>133</v>
      </c>
      <c r="B427">
        <f>'Interpreted Data'!B427</f>
        <v>134</v>
      </c>
      <c r="C427" s="2">
        <f>'Interpreted Data'!J427/$G$1</f>
        <v>4.4817073170731705</v>
      </c>
      <c r="D427" s="10">
        <f>'Interpreted Data'!T427</f>
        <v>341</v>
      </c>
      <c r="E427" s="11">
        <f>IF(D427="-",IF('Interpreted Data'!U427=-90,"-V",IF('Interpreted Data'!U427=90,"+V",'Interpreted Data'!U427)),'Interpreted Data'!U427)</f>
        <v>20.666666660000001</v>
      </c>
      <c r="F427" s="18" t="str">
        <f>IF('Interpreted Data'!P427="","",CONCATENATE(";",'Interpreted Data'!P427))</f>
        <v/>
      </c>
    </row>
    <row r="428" spans="1:6" x14ac:dyDescent="0.25">
      <c r="A428">
        <f>'Interpreted Data'!A428</f>
        <v>134</v>
      </c>
      <c r="B428">
        <f>'Interpreted Data'!B428</f>
        <v>135</v>
      </c>
      <c r="C428" s="2">
        <f>'Interpreted Data'!J428/$G$1</f>
        <v>6.5548780487804885</v>
      </c>
      <c r="D428" s="10">
        <f>'Interpreted Data'!T428</f>
        <v>9.5</v>
      </c>
      <c r="E428" s="11">
        <f>IF(D428="-",IF('Interpreted Data'!U428=-90,"-V",IF('Interpreted Data'!U428=90,"+V",'Interpreted Data'!U428)),'Interpreted Data'!U428)</f>
        <v>-6.3333333300000003</v>
      </c>
      <c r="F428" s="18" t="str">
        <f>IF('Interpreted Data'!P428="","",CONCATENATE(";",'Interpreted Data'!P428))</f>
        <v/>
      </c>
    </row>
    <row r="429" spans="1:6" x14ac:dyDescent="0.25">
      <c r="A429" t="str">
        <f>'Interpreted Data'!A429</f>
        <v/>
      </c>
      <c r="B429" t="str">
        <f>'Interpreted Data'!B429</f>
        <v/>
      </c>
      <c r="C429" s="2"/>
      <c r="D429" s="10"/>
      <c r="E429" s="11"/>
      <c r="F429" s="18" t="str">
        <f>IF('Interpreted Data'!P429="","",CONCATENATE(";",'Interpreted Data'!P429))</f>
        <v/>
      </c>
    </row>
    <row r="430" spans="1:6" x14ac:dyDescent="0.25">
      <c r="A430" s="18" t="str">
        <f>CONCATENATE(";",'Interpreted Data'!A430)</f>
        <v>;p. 73-74</v>
      </c>
      <c r="B430" t="str">
        <f>'Interpreted Data'!B430</f>
        <v>(=PDF p.75-76)</v>
      </c>
      <c r="C430" s="2"/>
      <c r="D430" s="10"/>
      <c r="E430" s="11"/>
      <c r="F430" s="18" t="str">
        <f>IF('Interpreted Data'!P430="","",CONCATENATE(";",'Interpreted Data'!P430))</f>
        <v/>
      </c>
    </row>
    <row r="431" spans="1:6" x14ac:dyDescent="0.25">
      <c r="A431">
        <f>'Interpreted Data'!A431</f>
        <v>135</v>
      </c>
      <c r="B431">
        <f>'Interpreted Data'!B431</f>
        <v>136</v>
      </c>
      <c r="C431" s="2">
        <f>'Interpreted Data'!J431/$G$1</f>
        <v>17.439024390243905</v>
      </c>
      <c r="D431" s="10">
        <f>'Interpreted Data'!T431</f>
        <v>264.33333333333331</v>
      </c>
      <c r="E431" s="11">
        <f>IF(D431="-",IF('Interpreted Data'!U431=-90,"-V",IF('Interpreted Data'!U431=90,"+V",'Interpreted Data'!U431)),'Interpreted Data'!U431)</f>
        <v>-13.666666660000001</v>
      </c>
      <c r="F431" s="18" t="str">
        <f>IF('Interpreted Data'!P431="","",CONCATENATE(";",'Interpreted Data'!P431))</f>
        <v/>
      </c>
    </row>
    <row r="432" spans="1:6" x14ac:dyDescent="0.25">
      <c r="A432">
        <f>'Interpreted Data'!A432</f>
        <v>136</v>
      </c>
      <c r="B432">
        <f>'Interpreted Data'!B432</f>
        <v>137</v>
      </c>
      <c r="C432" s="2">
        <f>'Interpreted Data'!J432/$G$1</f>
        <v>5.6097560975609753</v>
      </c>
      <c r="D432" s="10">
        <f>'Interpreted Data'!T432</f>
        <v>7.5</v>
      </c>
      <c r="E432" s="11">
        <f>IF(D432="-",IF('Interpreted Data'!U432=-90,"-V",IF('Interpreted Data'!U432=90,"+V",'Interpreted Data'!U432)),'Interpreted Data'!U432)</f>
        <v>-6</v>
      </c>
      <c r="F432" s="18" t="str">
        <f>IF('Interpreted Data'!P432="","",CONCATENATE(";",'Interpreted Data'!P432))</f>
        <v/>
      </c>
    </row>
    <row r="433" spans="1:6" x14ac:dyDescent="0.25">
      <c r="A433">
        <f>'Interpreted Data'!A433</f>
        <v>137</v>
      </c>
      <c r="B433">
        <f>'Interpreted Data'!B433</f>
        <v>138</v>
      </c>
      <c r="C433" s="2">
        <f>'Interpreted Data'!J433/$G$1</f>
        <v>7.5609756097560981</v>
      </c>
      <c r="D433" s="10">
        <f>'Interpreted Data'!T433</f>
        <v>72.25</v>
      </c>
      <c r="E433" s="11">
        <f>IF(D433="-",IF('Interpreted Data'!U433=-90,"-V",IF('Interpreted Data'!U433=90,"+V",'Interpreted Data'!U433)),'Interpreted Data'!U433)</f>
        <v>33.333333330000002</v>
      </c>
      <c r="F433" s="18" t="str">
        <f>IF('Interpreted Data'!P433="","",CONCATENATE(";",'Interpreted Data'!P433))</f>
        <v/>
      </c>
    </row>
    <row r="434" spans="1:6" x14ac:dyDescent="0.25">
      <c r="A434">
        <f>'Interpreted Data'!A434</f>
        <v>138</v>
      </c>
      <c r="B434">
        <f>'Interpreted Data'!B434</f>
        <v>139</v>
      </c>
      <c r="C434" s="2">
        <f>'Interpreted Data'!J434/$G$1</f>
        <v>5.7926829268292686</v>
      </c>
      <c r="D434" s="10">
        <f>'Interpreted Data'!T434</f>
        <v>52</v>
      </c>
      <c r="E434" s="11">
        <f>IF(D434="-",IF('Interpreted Data'!U434=-90,"-V",IF('Interpreted Data'!U434=90,"+V",'Interpreted Data'!U434)),'Interpreted Data'!U434)</f>
        <v>16.5</v>
      </c>
      <c r="F434" s="18" t="str">
        <f>IF('Interpreted Data'!P434="","",CONCATENATE(";",'Interpreted Data'!P434))</f>
        <v/>
      </c>
    </row>
    <row r="435" spans="1:6" x14ac:dyDescent="0.25">
      <c r="A435">
        <f>'Interpreted Data'!A435</f>
        <v>139</v>
      </c>
      <c r="B435">
        <f>'Interpreted Data'!B435</f>
        <v>140</v>
      </c>
      <c r="C435" s="2">
        <f>'Interpreted Data'!J435/$G$1</f>
        <v>10.670731707317074</v>
      </c>
      <c r="D435" s="10">
        <f>'Interpreted Data'!T435</f>
        <v>274.16666666666669</v>
      </c>
      <c r="E435" s="11">
        <f>IF(D435="-",IF('Interpreted Data'!U435=-90,"-V",IF('Interpreted Data'!U435=90,"+V",'Interpreted Data'!U435)),'Interpreted Data'!U435)</f>
        <v>-19.333333329999999</v>
      </c>
      <c r="F435" s="18" t="str">
        <f>IF('Interpreted Data'!P435="","",CONCATENATE(";",'Interpreted Data'!P435))</f>
        <v/>
      </c>
    </row>
    <row r="436" spans="1:6" x14ac:dyDescent="0.25">
      <c r="A436">
        <f>'Interpreted Data'!A436</f>
        <v>140</v>
      </c>
      <c r="B436">
        <f>'Interpreted Data'!B436</f>
        <v>141</v>
      </c>
      <c r="C436" s="2">
        <f>'Interpreted Data'!J436/$G$1</f>
        <v>15.731707317073171</v>
      </c>
      <c r="D436" s="10">
        <f>'Interpreted Data'!T436</f>
        <v>265.83333333333331</v>
      </c>
      <c r="E436" s="11">
        <f>IF(D436="-",IF('Interpreted Data'!U436=-90,"-V",IF('Interpreted Data'!U436=90,"+V",'Interpreted Data'!U436)),'Interpreted Data'!U436)</f>
        <v>-19</v>
      </c>
      <c r="F436" s="18" t="str">
        <f>IF('Interpreted Data'!P436="","",CONCATENATE(";",'Interpreted Data'!P436))</f>
        <v/>
      </c>
    </row>
    <row r="437" spans="1:6" x14ac:dyDescent="0.25">
      <c r="A437">
        <f>'Interpreted Data'!A437</f>
        <v>141</v>
      </c>
      <c r="B437">
        <f>'Interpreted Data'!B437</f>
        <v>142</v>
      </c>
      <c r="C437" s="2">
        <f>'Interpreted Data'!J437/$G$1</f>
        <v>6.5853658536585371</v>
      </c>
      <c r="D437" s="10">
        <f>'Interpreted Data'!T437</f>
        <v>329.25</v>
      </c>
      <c r="E437" s="11">
        <f>IF(D437="-",IF('Interpreted Data'!U437=-90,"-V",IF('Interpreted Data'!U437=90,"+V",'Interpreted Data'!U437)),'Interpreted Data'!U437)</f>
        <v>11</v>
      </c>
      <c r="F437" s="18" t="str">
        <f>IF('Interpreted Data'!P437="","",CONCATENATE(";",'Interpreted Data'!P437))</f>
        <v/>
      </c>
    </row>
    <row r="438" spans="1:6" x14ac:dyDescent="0.25">
      <c r="A438">
        <f>'Interpreted Data'!A438</f>
        <v>142</v>
      </c>
      <c r="B438">
        <f>'Interpreted Data'!B438</f>
        <v>143</v>
      </c>
      <c r="C438" s="2">
        <f>'Interpreted Data'!J438/$G$1</f>
        <v>6.8292682926829267</v>
      </c>
      <c r="D438" s="10">
        <f>'Interpreted Data'!T438</f>
        <v>42.333333333333336</v>
      </c>
      <c r="E438" s="11">
        <f>IF(D438="-",IF('Interpreted Data'!U438=-90,"-V",IF('Interpreted Data'!U438=90,"+V",'Interpreted Data'!U438)),'Interpreted Data'!U438)</f>
        <v>28.5</v>
      </c>
      <c r="F438" s="18" t="str">
        <f>IF('Interpreted Data'!P438="","",CONCATENATE(";",'Interpreted Data'!P438))</f>
        <v/>
      </c>
    </row>
    <row r="439" spans="1:6" x14ac:dyDescent="0.25">
      <c r="A439" s="18" t="str">
        <f>CONCATENATE(";",'Interpreted Data'!A439)</f>
        <v>;143</v>
      </c>
      <c r="B439" t="str">
        <f>'Interpreted Data'!B439</f>
        <v/>
      </c>
      <c r="C439" s="2"/>
      <c r="D439" s="10"/>
      <c r="E439" s="11"/>
      <c r="F439" s="18" t="str">
        <f>IF('Interpreted Data'!P439="","",CONCATENATE(";",'Interpreted Data'!P439))</f>
        <v>;knob on roof 4 feet from entrance pit of Blue Pencil Passage</v>
      </c>
    </row>
    <row r="440" spans="1:6" x14ac:dyDescent="0.25">
      <c r="C440" s="2"/>
      <c r="D440" s="10"/>
      <c r="E440" s="11"/>
    </row>
    <row r="441" spans="1:6" x14ac:dyDescent="0.25">
      <c r="C441" s="2"/>
      <c r="D441" s="10"/>
      <c r="E441" s="11"/>
    </row>
    <row r="442" spans="1:6" x14ac:dyDescent="0.25">
      <c r="C442" s="2"/>
      <c r="D442" s="10"/>
      <c r="E442" s="11"/>
    </row>
    <row r="443" spans="1:6" x14ac:dyDescent="0.25">
      <c r="C443" s="2"/>
      <c r="D443" s="10"/>
      <c r="E443" s="11"/>
    </row>
    <row r="444" spans="1:6" x14ac:dyDescent="0.25">
      <c r="C444" s="2"/>
      <c r="D444" s="10"/>
      <c r="E444" s="11"/>
    </row>
    <row r="445" spans="1:6" x14ac:dyDescent="0.25">
      <c r="C445" s="2"/>
      <c r="D445" s="10"/>
      <c r="E445" s="11"/>
    </row>
    <row r="446" spans="1:6" x14ac:dyDescent="0.25">
      <c r="C446" s="2"/>
      <c r="D446" s="10"/>
      <c r="E446" s="11"/>
    </row>
    <row r="447" spans="1:6" x14ac:dyDescent="0.25">
      <c r="C447" s="2"/>
      <c r="D447" s="10"/>
      <c r="E447" s="11"/>
    </row>
    <row r="448" spans="1:6" x14ac:dyDescent="0.25">
      <c r="C448" s="2"/>
      <c r="D448" s="10"/>
      <c r="E448" s="11"/>
    </row>
    <row r="449" spans="3:5" x14ac:dyDescent="0.25">
      <c r="C449" s="2"/>
      <c r="D449" s="10"/>
      <c r="E449" s="11"/>
    </row>
    <row r="450" spans="3:5" x14ac:dyDescent="0.25">
      <c r="C450" s="2"/>
      <c r="D450" s="10"/>
      <c r="E450" s="11"/>
    </row>
    <row r="451" spans="3:5" x14ac:dyDescent="0.25">
      <c r="C451" s="2"/>
      <c r="D451" s="10"/>
      <c r="E451" s="11"/>
    </row>
    <row r="452" spans="3:5" x14ac:dyDescent="0.25">
      <c r="C452" s="2"/>
      <c r="D452" s="10"/>
      <c r="E452" s="11"/>
    </row>
    <row r="453" spans="3:5" x14ac:dyDescent="0.25">
      <c r="C453" s="2"/>
      <c r="D453" s="10"/>
      <c r="E453" s="11"/>
    </row>
    <row r="454" spans="3:5" x14ac:dyDescent="0.25">
      <c r="C454" s="2"/>
      <c r="D454" s="10"/>
      <c r="E454" s="11"/>
    </row>
    <row r="455" spans="3:5" x14ac:dyDescent="0.25">
      <c r="C455" s="2"/>
      <c r="D455" s="10"/>
      <c r="E455" s="11"/>
    </row>
    <row r="456" spans="3:5" x14ac:dyDescent="0.25">
      <c r="C456" s="2"/>
      <c r="D456" s="10"/>
      <c r="E456" s="11"/>
    </row>
    <row r="457" spans="3:5" x14ac:dyDescent="0.25">
      <c r="C457" s="2"/>
      <c r="D457" s="10"/>
      <c r="E457" s="11"/>
    </row>
    <row r="458" spans="3:5" x14ac:dyDescent="0.25">
      <c r="C458" s="2"/>
      <c r="D458" s="10"/>
      <c r="E458" s="11"/>
    </row>
  </sheetData>
  <mergeCells count="1">
    <mergeCell ref="D3: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2"/>
  <sheetViews>
    <sheetView workbookViewId="0">
      <pane xSplit="2" ySplit="3" topLeftCell="C471" activePane="bottomRight" state="frozen"/>
      <selection pane="topRight" activeCell="C1" sqref="C1"/>
      <selection pane="bottomLeft" activeCell="A4" sqref="A4"/>
      <selection pane="bottomRight" activeCell="J446" sqref="J446:Q497"/>
    </sheetView>
  </sheetViews>
  <sheetFormatPr defaultRowHeight="15" x14ac:dyDescent="0.25"/>
  <cols>
    <col min="6" max="6" width="13.85546875" bestFit="1" customWidth="1"/>
    <col min="8" max="8" width="42.42578125" customWidth="1"/>
  </cols>
  <sheetData>
    <row r="1" spans="1:16" x14ac:dyDescent="0.25">
      <c r="A1" s="1" t="s">
        <v>58</v>
      </c>
      <c r="I1" t="str">
        <f>" "</f>
        <v xml:space="preserve"> </v>
      </c>
      <c r="J1" s="3" t="s">
        <v>77</v>
      </c>
    </row>
    <row r="2" spans="1:16" x14ac:dyDescent="0.25">
      <c r="A2" s="8" t="s">
        <v>64</v>
      </c>
      <c r="I2" t="str">
        <f t="shared" ref="I2:I69" si="0">" "</f>
        <v xml:space="preserve"> </v>
      </c>
      <c r="J2" s="3" t="s">
        <v>78</v>
      </c>
    </row>
    <row r="3" spans="1:16" x14ac:dyDescent="0.25">
      <c r="A3" t="s">
        <v>61</v>
      </c>
      <c r="B3" t="s">
        <v>53</v>
      </c>
      <c r="C3" t="s">
        <v>54</v>
      </c>
      <c r="D3" t="s">
        <v>59</v>
      </c>
      <c r="E3" t="s">
        <v>60</v>
      </c>
      <c r="F3" t="s">
        <v>56</v>
      </c>
      <c r="G3" t="s">
        <v>62</v>
      </c>
      <c r="H3" t="s">
        <v>51</v>
      </c>
      <c r="I3" t="str">
        <f t="shared" si="0"/>
        <v xml:space="preserve"> </v>
      </c>
    </row>
    <row r="4" spans="1:16" x14ac:dyDescent="0.25">
      <c r="A4" t="str">
        <f>'Raw Data'!A1</f>
        <v>p. 45-46</v>
      </c>
      <c r="B4" t="str">
        <f>'Raw Data'!B1</f>
        <v>(=PDF p.49-50)</v>
      </c>
      <c r="C4">
        <f>'Raw Data'!C1</f>
        <v>0</v>
      </c>
      <c r="I4" t="str">
        <f t="shared" si="0"/>
        <v xml:space="preserve"> </v>
      </c>
      <c r="J4" t="str">
        <f>CONCATENATE("# ",A4)</f>
        <v># p. 45-46</v>
      </c>
      <c r="K4" t="str">
        <f t="shared" ref="K4" si="1">B4</f>
        <v>(=PDF p.49-50)</v>
      </c>
    </row>
    <row r="5" spans="1:16" x14ac:dyDescent="0.25">
      <c r="A5" t="str">
        <f>'Raw Data'!A2</f>
        <v>21st July 1951</v>
      </c>
      <c r="B5" t="str">
        <f>'Raw Data'!B2</f>
        <v>W.I.Stanton</v>
      </c>
      <c r="C5" t="str">
        <f>'Raw Data'!C2</f>
        <v>SWILDONS HOLE</v>
      </c>
      <c r="I5" t="str">
        <f t="shared" si="0"/>
        <v xml:space="preserve"> </v>
      </c>
      <c r="J5" t="str">
        <f>CONCATENATE("# ",A5)</f>
        <v># 21st July 1951</v>
      </c>
      <c r="K5" t="str">
        <f t="shared" ref="K5:L5" si="2">B5</f>
        <v>W.I.Stanton</v>
      </c>
      <c r="L5" t="str">
        <f t="shared" si="2"/>
        <v>SWILDONS HOLE</v>
      </c>
    </row>
    <row r="6" spans="1:16" x14ac:dyDescent="0.25">
      <c r="I6" t="str">
        <f t="shared" si="0"/>
        <v xml:space="preserve"> </v>
      </c>
      <c r="J6" t="str">
        <f>$J$1</f>
        <v>data normal from to tape compass backcompass clino ignoreall</v>
      </c>
    </row>
    <row r="7" spans="1:16" x14ac:dyDescent="0.25">
      <c r="A7" t="str">
        <f>'Raw Data'!A5</f>
        <v>A</v>
      </c>
      <c r="B7" t="str">
        <f>'Raw Data'!B5</f>
        <v>B</v>
      </c>
      <c r="C7">
        <f>'Raw Data'!J5</f>
        <v>21</v>
      </c>
      <c r="D7" t="str">
        <f>'Interpreted Data'!G5</f>
        <v>-</v>
      </c>
      <c r="E7" t="str">
        <f>'Interpreted Data'!H5</f>
        <v>103</v>
      </c>
      <c r="F7" t="str">
        <f>SUBSTITUTE('Raw Data'!K5," ",":",1)</f>
        <v>8:30</v>
      </c>
      <c r="G7">
        <f>'Interpreted Data'!N5</f>
        <v>3.1</v>
      </c>
      <c r="H7" t="str">
        <f>'Interpreted Data'!P5</f>
        <v>A is at the base of the cable spike on the downstream side of Sump I</v>
      </c>
      <c r="I7" t="str">
        <f t="shared" si="0"/>
        <v xml:space="preserve"> </v>
      </c>
      <c r="J7" t="str">
        <f t="shared" ref="J7:N8" si="3">A7</f>
        <v>A</v>
      </c>
      <c r="K7" t="str">
        <f t="shared" si="3"/>
        <v>B</v>
      </c>
      <c r="L7">
        <f t="shared" si="3"/>
        <v>21</v>
      </c>
      <c r="M7" t="str">
        <f t="shared" si="3"/>
        <v>-</v>
      </c>
      <c r="N7" t="str">
        <f t="shared" si="3"/>
        <v>103</v>
      </c>
      <c r="O7" t="str">
        <f t="shared" ref="O7:O8" si="4">IF(AND(D7="-",E7="-"),IF(1*F7=-90,"DOWN",IF(1*F7=90,"UP","no compass")),F7)</f>
        <v>8:30</v>
      </c>
      <c r="P7" t="str">
        <f>H7</f>
        <v>A is at the base of the cable spike on the downstream side of Sump I</v>
      </c>
    </row>
    <row r="8" spans="1:16" x14ac:dyDescent="0.25">
      <c r="A8" t="str">
        <f>'Raw Data'!A6</f>
        <v>B</v>
      </c>
      <c r="B8" t="str">
        <f>'Raw Data'!B6</f>
        <v>C</v>
      </c>
      <c r="C8">
        <f>'Raw Data'!J6</f>
        <v>27</v>
      </c>
      <c r="D8" t="str">
        <f>'Interpreted Data'!G6</f>
        <v>322:30</v>
      </c>
      <c r="E8" t="str">
        <f>'Interpreted Data'!H6</f>
        <v>-</v>
      </c>
      <c r="F8" t="str">
        <f>SUBSTITUTE('Raw Data'!K6," ",":",1)</f>
        <v>-9:30</v>
      </c>
      <c r="G8">
        <f>'Interpreted Data'!N6</f>
        <v>-4.5</v>
      </c>
      <c r="H8" t="str">
        <f>'Interpreted Data'!P6</f>
        <v>B is on a rock at upstream end of pool</v>
      </c>
      <c r="I8" t="str">
        <f t="shared" si="0"/>
        <v xml:space="preserve"> </v>
      </c>
      <c r="J8" t="str">
        <f t="shared" si="3"/>
        <v>B</v>
      </c>
      <c r="K8" t="str">
        <f t="shared" si="3"/>
        <v>C</v>
      </c>
      <c r="L8">
        <f t="shared" si="3"/>
        <v>27</v>
      </c>
      <c r="M8" t="str">
        <f t="shared" si="3"/>
        <v>322:30</v>
      </c>
      <c r="N8" t="str">
        <f t="shared" si="3"/>
        <v>-</v>
      </c>
      <c r="O8" t="str">
        <f t="shared" si="4"/>
        <v>-9:30</v>
      </c>
      <c r="P8" t="str">
        <f>H8</f>
        <v>B is on a rock at upstream end of pool</v>
      </c>
    </row>
    <row r="9" spans="1:16" x14ac:dyDescent="0.25">
      <c r="I9" t="str">
        <f t="shared" si="0"/>
        <v xml:space="preserve"> </v>
      </c>
      <c r="J9" t="str">
        <f>$J$2</f>
        <v>data diving from to tape compass backcompass depthchange ignoreall</v>
      </c>
    </row>
    <row r="10" spans="1:16" x14ac:dyDescent="0.25">
      <c r="A10" t="str">
        <f>'Raw Data'!A7</f>
        <v>C</v>
      </c>
      <c r="B10" t="str">
        <f>'Raw Data'!B7</f>
        <v>D</v>
      </c>
      <c r="C10">
        <f>'Raw Data'!J7</f>
        <v>37</v>
      </c>
      <c r="D10" t="str">
        <f>'Interpreted Data'!G7</f>
        <v>-</v>
      </c>
      <c r="E10" t="str">
        <f>'Interpreted Data'!H7</f>
        <v>83</v>
      </c>
      <c r="F10" t="str">
        <f>SUBSTITUTE('Raw Data'!K7," ",":",1)</f>
        <v>rise:of 1.5 feet</v>
      </c>
      <c r="G10">
        <f>'Interpreted Data'!N7</f>
        <v>1.5</v>
      </c>
      <c r="H10" t="str">
        <f>'Interpreted Data'!P7</f>
        <v>C is on edge of pool 10' before Duck I</v>
      </c>
      <c r="I10" t="str">
        <f t="shared" si="0"/>
        <v xml:space="preserve"> </v>
      </c>
      <c r="J10" t="str">
        <f>A10</f>
        <v>C</v>
      </c>
      <c r="K10" t="str">
        <f>B10</f>
        <v>D</v>
      </c>
      <c r="L10">
        <f>C10</f>
        <v>37</v>
      </c>
      <c r="M10" t="str">
        <f>D10</f>
        <v>-</v>
      </c>
      <c r="N10" t="str">
        <f>E10</f>
        <v>83</v>
      </c>
      <c r="O10">
        <f>G10</f>
        <v>1.5</v>
      </c>
      <c r="P10" t="str">
        <f>H10</f>
        <v>C is on edge of pool 10' before Duck I</v>
      </c>
    </row>
    <row r="11" spans="1:16" x14ac:dyDescent="0.25">
      <c r="I11" t="str">
        <f t="shared" si="0"/>
        <v xml:space="preserve"> </v>
      </c>
      <c r="J11" t="str">
        <f>$J$1</f>
        <v>data normal from to tape compass backcompass clino ignoreall</v>
      </c>
    </row>
    <row r="12" spans="1:16" x14ac:dyDescent="0.25">
      <c r="A12" t="str">
        <f>'Raw Data'!A8</f>
        <v>D</v>
      </c>
      <c r="B12" t="str">
        <f>'Raw Data'!B8</f>
        <v>E</v>
      </c>
      <c r="C12">
        <f>'Raw Data'!J8</f>
        <v>16.2</v>
      </c>
      <c r="D12" t="str">
        <f>'Interpreted Data'!G8</f>
        <v>192:30</v>
      </c>
      <c r="E12" t="str">
        <f>'Interpreted Data'!H8</f>
        <v>-</v>
      </c>
      <c r="F12" t="str">
        <f>SUBSTITUTE('Raw Data'!K8," ",":",1)</f>
        <v>4:30</v>
      </c>
      <c r="G12">
        <f>'Interpreted Data'!N8</f>
        <v>1.3</v>
      </c>
      <c r="H12" t="str">
        <f>'Interpreted Data'!P8</f>
        <v>D is in stream. Big rock (start of New Series survey) 10' away at 350 (deg). Big passage starts as continuation of Howards Dig.</v>
      </c>
      <c r="I12" t="str">
        <f t="shared" si="0"/>
        <v xml:space="preserve"> </v>
      </c>
      <c r="J12" t="str">
        <f t="shared" ref="J12:N13" si="5">A12</f>
        <v>D</v>
      </c>
      <c r="K12" t="str">
        <f t="shared" si="5"/>
        <v>E</v>
      </c>
      <c r="L12">
        <f t="shared" si="5"/>
        <v>16.2</v>
      </c>
      <c r="M12" t="str">
        <f t="shared" si="5"/>
        <v>192:30</v>
      </c>
      <c r="N12" t="str">
        <f t="shared" si="5"/>
        <v>-</v>
      </c>
      <c r="O12" t="str">
        <f>IF(AND(D12="-",E12="-"),IF(1*F12=-90,"DOWN",IF(1*F12=90,"UP","no compass")),F12)</f>
        <v>4:30</v>
      </c>
      <c r="P12" t="str">
        <f>H12</f>
        <v>D is in stream. Big rock (start of New Series survey) 10' away at 350 (deg). Big passage starts as continuation of Howards Dig.</v>
      </c>
    </row>
    <row r="13" spans="1:16" x14ac:dyDescent="0.25">
      <c r="A13" t="str">
        <f>'Raw Data'!A9</f>
        <v>E</v>
      </c>
      <c r="B13" t="str">
        <f>'Raw Data'!B9</f>
        <v>F</v>
      </c>
      <c r="C13">
        <f>'Raw Data'!J9</f>
        <v>47</v>
      </c>
      <c r="D13" t="str">
        <f>'Interpreted Data'!G9</f>
        <v>-</v>
      </c>
      <c r="E13" t="str">
        <f>'Interpreted Data'!H9</f>
        <v>78</v>
      </c>
      <c r="F13" t="str">
        <f>SUBSTITUTE('Raw Data'!K9," ",":",1)</f>
        <v>-5:30</v>
      </c>
      <c r="G13">
        <f>'Interpreted Data'!N9</f>
        <v>-4.5</v>
      </c>
      <c r="H13" t="str">
        <f>'Interpreted Data'!P9</f>
        <v/>
      </c>
      <c r="I13" t="str">
        <f t="shared" si="0"/>
        <v xml:space="preserve"> </v>
      </c>
      <c r="J13" t="str">
        <f t="shared" si="5"/>
        <v>E</v>
      </c>
      <c r="K13" t="str">
        <f t="shared" si="5"/>
        <v>F</v>
      </c>
      <c r="L13">
        <f t="shared" si="5"/>
        <v>47</v>
      </c>
      <c r="M13" t="str">
        <f t="shared" si="5"/>
        <v>-</v>
      </c>
      <c r="N13" t="str">
        <f t="shared" si="5"/>
        <v>78</v>
      </c>
      <c r="O13" t="str">
        <f>IF(AND(D13="-",E13="-"),IF(1*F13=-90,"DOWN",IF(1*F13=90,"UP","no compass")),F13)</f>
        <v>-5:30</v>
      </c>
      <c r="P13" t="str">
        <f>H13</f>
        <v/>
      </c>
    </row>
    <row r="14" spans="1:16" x14ac:dyDescent="0.25">
      <c r="I14" t="str">
        <f t="shared" si="0"/>
        <v xml:space="preserve"> </v>
      </c>
      <c r="J14" t="str">
        <f>$J$2</f>
        <v>data diving from to tape compass backcompass depthchange ignoreall</v>
      </c>
    </row>
    <row r="15" spans="1:16" x14ac:dyDescent="0.25">
      <c r="A15" t="str">
        <f>'Raw Data'!A10</f>
        <v>F</v>
      </c>
      <c r="B15" t="str">
        <f>'Raw Data'!B10</f>
        <v>G</v>
      </c>
      <c r="C15">
        <f>'Raw Data'!J10</f>
        <v>48</v>
      </c>
      <c r="D15" t="str">
        <f>'Interpreted Data'!G10</f>
        <v>292</v>
      </c>
      <c r="E15" t="str">
        <f>'Interpreted Data'!H10</f>
        <v>-</v>
      </c>
      <c r="F15" t="str">
        <f>SUBSTITUTE('Raw Data'!K10," ",":",1)</f>
        <v>fall:of 2.5 feet</v>
      </c>
      <c r="G15">
        <f>'Interpreted Data'!N10</f>
        <v>-2.5</v>
      </c>
      <c r="H15" t="str">
        <f>'Interpreted Data'!P10</f>
        <v>At 40' the roof lowers suddenly to Creep I. The big Bedding Plane passage comes in on the right, from -5' to 40'</v>
      </c>
      <c r="I15" t="str">
        <f t="shared" si="0"/>
        <v xml:space="preserve"> </v>
      </c>
      <c r="J15" t="str">
        <f t="shared" ref="J15:N16" si="6">A15</f>
        <v>F</v>
      </c>
      <c r="K15" t="str">
        <f t="shared" si="6"/>
        <v>G</v>
      </c>
      <c r="L15">
        <f t="shared" si="6"/>
        <v>48</v>
      </c>
      <c r="M15" t="str">
        <f t="shared" si="6"/>
        <v>292</v>
      </c>
      <c r="N15" t="str">
        <f t="shared" si="6"/>
        <v>-</v>
      </c>
      <c r="O15">
        <f>G15</f>
        <v>-2.5</v>
      </c>
      <c r="P15" t="str">
        <f>H15</f>
        <v>At 40' the roof lowers suddenly to Creep I. The big Bedding Plane passage comes in on the right, from -5' to 40'</v>
      </c>
    </row>
    <row r="16" spans="1:16" x14ac:dyDescent="0.25">
      <c r="A16" t="str">
        <f>'Raw Data'!A11</f>
        <v>G</v>
      </c>
      <c r="B16" t="str">
        <f>'Raw Data'!B11</f>
        <v>H</v>
      </c>
      <c r="C16">
        <f>'Raw Data'!J11</f>
        <v>36</v>
      </c>
      <c r="D16" t="str">
        <f>'Interpreted Data'!G11</f>
        <v>-</v>
      </c>
      <c r="E16" t="str">
        <f>'Interpreted Data'!H11</f>
        <v>159</v>
      </c>
      <c r="F16" t="str">
        <f>SUBSTITUTE('Raw Data'!K11," ",":",1)</f>
        <v>level</v>
      </c>
      <c r="G16">
        <f>'Interpreted Data'!N11</f>
        <v>0</v>
      </c>
      <c r="H16" t="str">
        <f>'Interpreted Data'!P11</f>
        <v/>
      </c>
      <c r="I16" t="str">
        <f t="shared" si="0"/>
        <v xml:space="preserve"> </v>
      </c>
      <c r="J16" t="str">
        <f t="shared" si="6"/>
        <v>G</v>
      </c>
      <c r="K16" t="str">
        <f t="shared" si="6"/>
        <v>H</v>
      </c>
      <c r="L16">
        <f t="shared" si="6"/>
        <v>36</v>
      </c>
      <c r="M16" t="str">
        <f t="shared" si="6"/>
        <v>-</v>
      </c>
      <c r="N16" t="str">
        <f t="shared" si="6"/>
        <v>159</v>
      </c>
      <c r="O16">
        <f>G16</f>
        <v>0</v>
      </c>
      <c r="P16" t="str">
        <f>H16</f>
        <v/>
      </c>
    </row>
    <row r="17" spans="1:16" x14ac:dyDescent="0.25">
      <c r="I17" t="str">
        <f t="shared" si="0"/>
        <v xml:space="preserve"> </v>
      </c>
      <c r="J17" t="str">
        <f>$J$1</f>
        <v>data normal from to tape compass backcompass clino ignoreall</v>
      </c>
    </row>
    <row r="18" spans="1:16" x14ac:dyDescent="0.25">
      <c r="A18" t="str">
        <f>'Raw Data'!A12</f>
        <v>H</v>
      </c>
      <c r="B18" t="str">
        <f>'Raw Data'!B12</f>
        <v>I</v>
      </c>
      <c r="C18">
        <f>'Raw Data'!J12</f>
        <v>31</v>
      </c>
      <c r="D18" t="str">
        <f>'Interpreted Data'!G12</f>
        <v>247</v>
      </c>
      <c r="E18" t="str">
        <f>'Interpreted Data'!H12</f>
        <v>-</v>
      </c>
      <c r="F18" t="str">
        <f>SUBSTITUTE('Raw Data'!K12," ",":",1)</f>
        <v>-2:30</v>
      </c>
      <c r="G18">
        <f>'Interpreted Data'!N12</f>
        <v>-1.3</v>
      </c>
      <c r="H18" t="str">
        <f>'Interpreted Data'!P12</f>
        <v/>
      </c>
      <c r="I18" t="str">
        <f t="shared" si="0"/>
        <v xml:space="preserve"> </v>
      </c>
      <c r="J18" t="str">
        <f t="shared" ref="J18:J26" si="7">A18</f>
        <v>H</v>
      </c>
      <c r="K18" t="str">
        <f t="shared" ref="K18:K26" si="8">B18</f>
        <v>I</v>
      </c>
      <c r="L18">
        <f t="shared" ref="L18:L26" si="9">C18</f>
        <v>31</v>
      </c>
      <c r="M18" t="str">
        <f t="shared" ref="M18:M26" si="10">D18</f>
        <v>247</v>
      </c>
      <c r="N18" t="str">
        <f t="shared" ref="N18:N26" si="11">E18</f>
        <v>-</v>
      </c>
      <c r="O18" t="str">
        <f t="shared" ref="O18:O26" si="12">IF(AND(D18="-",E18="-"),IF(1*F18=-90,"DOWN",IF(1*F18=90,"UP","no compass")),F18)</f>
        <v>-2:30</v>
      </c>
      <c r="P18" t="str">
        <f t="shared" ref="P18:P26" si="13">H18</f>
        <v/>
      </c>
    </row>
    <row r="19" spans="1:16" x14ac:dyDescent="0.25">
      <c r="A19" t="str">
        <f>'Raw Data'!A13</f>
        <v>I</v>
      </c>
      <c r="B19" t="str">
        <f>'Raw Data'!B13</f>
        <v>J</v>
      </c>
      <c r="C19">
        <f>'Raw Data'!J13</f>
        <v>26</v>
      </c>
      <c r="D19" t="str">
        <f>'Interpreted Data'!G13</f>
        <v>-</v>
      </c>
      <c r="E19" t="str">
        <f>'Interpreted Data'!H13</f>
        <v>95</v>
      </c>
      <c r="F19" t="str">
        <f>SUBSTITUTE('Raw Data'!K13," ",":",1)</f>
        <v>2</v>
      </c>
      <c r="G19">
        <f>'Interpreted Data'!N13</f>
        <v>0.9</v>
      </c>
      <c r="H19" t="str">
        <f>'Interpreted Data'!P13</f>
        <v/>
      </c>
      <c r="I19" t="str">
        <f t="shared" si="0"/>
        <v xml:space="preserve"> </v>
      </c>
      <c r="J19" t="str">
        <f t="shared" si="7"/>
        <v>I</v>
      </c>
      <c r="K19" t="str">
        <f t="shared" si="8"/>
        <v>J</v>
      </c>
      <c r="L19">
        <f t="shared" si="9"/>
        <v>26</v>
      </c>
      <c r="M19" t="str">
        <f t="shared" si="10"/>
        <v>-</v>
      </c>
      <c r="N19" t="str">
        <f t="shared" si="11"/>
        <v>95</v>
      </c>
      <c r="O19" t="str">
        <f t="shared" si="12"/>
        <v>2</v>
      </c>
      <c r="P19" t="str">
        <f t="shared" si="13"/>
        <v/>
      </c>
    </row>
    <row r="20" spans="1:16" x14ac:dyDescent="0.25">
      <c r="A20" t="str">
        <f>'Raw Data'!A14</f>
        <v>J</v>
      </c>
      <c r="B20" t="str">
        <f>'Raw Data'!B14</f>
        <v>K</v>
      </c>
      <c r="C20">
        <f>'Raw Data'!J14</f>
        <v>26.5</v>
      </c>
      <c r="D20" t="str">
        <f>'Interpreted Data'!G14</f>
        <v>320</v>
      </c>
      <c r="E20" t="str">
        <f>'Interpreted Data'!H14</f>
        <v>-</v>
      </c>
      <c r="F20" t="str">
        <f>SUBSTITUTE('Raw Data'!K14," ",":",1)</f>
        <v>1</v>
      </c>
      <c r="G20">
        <f>'Interpreted Data'!N14</f>
        <v>0.5</v>
      </c>
      <c r="H20" t="str">
        <f>'Interpreted Data'!P14</f>
        <v>Pots</v>
      </c>
      <c r="I20" t="str">
        <f t="shared" si="0"/>
        <v xml:space="preserve"> </v>
      </c>
      <c r="J20" t="str">
        <f t="shared" si="7"/>
        <v>J</v>
      </c>
      <c r="K20" t="str">
        <f t="shared" si="8"/>
        <v>K</v>
      </c>
      <c r="L20">
        <f t="shared" si="9"/>
        <v>26.5</v>
      </c>
      <c r="M20" t="str">
        <f t="shared" si="10"/>
        <v>320</v>
      </c>
      <c r="N20" t="str">
        <f t="shared" si="11"/>
        <v>-</v>
      </c>
      <c r="O20" t="str">
        <f t="shared" si="12"/>
        <v>1</v>
      </c>
      <c r="P20" t="str">
        <f t="shared" si="13"/>
        <v>Pots</v>
      </c>
    </row>
    <row r="21" spans="1:16" x14ac:dyDescent="0.25">
      <c r="A21" t="str">
        <f>'Raw Data'!A15</f>
        <v>K</v>
      </c>
      <c r="B21" t="str">
        <f>'Raw Data'!B15</f>
        <v>L</v>
      </c>
      <c r="C21">
        <f>'Raw Data'!J15</f>
        <v>17.5</v>
      </c>
      <c r="D21" t="str">
        <f>'Interpreted Data'!G15</f>
        <v>-</v>
      </c>
      <c r="E21" t="str">
        <f>'Interpreted Data'!H15</f>
        <v>193</v>
      </c>
      <c r="F21" t="str">
        <f>SUBSTITUTE('Raw Data'!K15," ",":",1)</f>
        <v>-9</v>
      </c>
      <c r="G21">
        <f>'Interpreted Data'!N15</f>
        <v>-2.7</v>
      </c>
      <c r="H21" t="str">
        <f>'Interpreted Data'!P15</f>
        <v>Pots</v>
      </c>
      <c r="I21" t="str">
        <f t="shared" si="0"/>
        <v xml:space="preserve"> </v>
      </c>
      <c r="J21" t="str">
        <f t="shared" si="7"/>
        <v>K</v>
      </c>
      <c r="K21" t="str">
        <f t="shared" si="8"/>
        <v>L</v>
      </c>
      <c r="L21">
        <f t="shared" si="9"/>
        <v>17.5</v>
      </c>
      <c r="M21" t="str">
        <f t="shared" si="10"/>
        <v>-</v>
      </c>
      <c r="N21" t="str">
        <f t="shared" si="11"/>
        <v>193</v>
      </c>
      <c r="O21" t="str">
        <f t="shared" si="12"/>
        <v>-9</v>
      </c>
      <c r="P21" t="str">
        <f t="shared" si="13"/>
        <v>Pots</v>
      </c>
    </row>
    <row r="22" spans="1:16" x14ac:dyDescent="0.25">
      <c r="A22" t="str">
        <f>'Raw Data'!A16</f>
        <v>L</v>
      </c>
      <c r="B22" t="str">
        <f>'Raw Data'!B16</f>
        <v>M</v>
      </c>
      <c r="C22">
        <f>'Raw Data'!J16</f>
        <v>33</v>
      </c>
      <c r="D22" t="str">
        <f>'Interpreted Data'!G16</f>
        <v>299</v>
      </c>
      <c r="E22" t="str">
        <f>'Interpreted Data'!H16</f>
        <v>-</v>
      </c>
      <c r="F22" t="str">
        <f>SUBSTITUTE('Raw Data'!K16," ",":",1)</f>
        <v>-3</v>
      </c>
      <c r="G22">
        <f>'Interpreted Data'!N16</f>
        <v>-1.7</v>
      </c>
      <c r="H22" t="str">
        <f>'Interpreted Data'!P16</f>
        <v>L is at foot of climb to Approach passage. Clay fill remains 6' up on left wall.</v>
      </c>
      <c r="I22" t="str">
        <f t="shared" si="0"/>
        <v xml:space="preserve"> </v>
      </c>
      <c r="J22" t="str">
        <f t="shared" si="7"/>
        <v>L</v>
      </c>
      <c r="K22" t="str">
        <f t="shared" si="8"/>
        <v>M</v>
      </c>
      <c r="L22">
        <f t="shared" si="9"/>
        <v>33</v>
      </c>
      <c r="M22" t="str">
        <f t="shared" si="10"/>
        <v>299</v>
      </c>
      <c r="N22" t="str">
        <f t="shared" si="11"/>
        <v>-</v>
      </c>
      <c r="O22" t="str">
        <f t="shared" si="12"/>
        <v>-3</v>
      </c>
      <c r="P22" t="str">
        <f t="shared" si="13"/>
        <v>L is at foot of climb to Approach passage. Clay fill remains 6' up on left wall.</v>
      </c>
    </row>
    <row r="23" spans="1:16" x14ac:dyDescent="0.25">
      <c r="A23" t="str">
        <f>'Raw Data'!A17</f>
        <v>M</v>
      </c>
      <c r="B23" t="str">
        <f>'Raw Data'!B17</f>
        <v>N</v>
      </c>
      <c r="C23">
        <f>'Raw Data'!J17</f>
        <v>43</v>
      </c>
      <c r="D23" t="str">
        <f>'Interpreted Data'!G17</f>
        <v>-</v>
      </c>
      <c r="E23" t="str">
        <f>'Interpreted Data'!H17</f>
        <v>142</v>
      </c>
      <c r="F23" t="str">
        <f>SUBSTITUTE('Raw Data'!K17," ",":",1)</f>
        <v>-7.3</v>
      </c>
      <c r="G23">
        <f>'Interpreted Data'!N17</f>
        <v>-5.6</v>
      </c>
      <c r="H23" t="str">
        <f>'Interpreted Data'!P17</f>
        <v>Pots</v>
      </c>
      <c r="I23" t="str">
        <f t="shared" si="0"/>
        <v xml:space="preserve"> </v>
      </c>
      <c r="J23" t="str">
        <f t="shared" si="7"/>
        <v>M</v>
      </c>
      <c r="K23" t="str">
        <f t="shared" si="8"/>
        <v>N</v>
      </c>
      <c r="L23">
        <f t="shared" si="9"/>
        <v>43</v>
      </c>
      <c r="M23" t="str">
        <f t="shared" si="10"/>
        <v>-</v>
      </c>
      <c r="N23" t="str">
        <f t="shared" si="11"/>
        <v>142</v>
      </c>
      <c r="O23" t="str">
        <f t="shared" si="12"/>
        <v>-7.3</v>
      </c>
      <c r="P23" t="str">
        <f t="shared" si="13"/>
        <v>Pots</v>
      </c>
    </row>
    <row r="24" spans="1:16" x14ac:dyDescent="0.25">
      <c r="A24" t="str">
        <f>'Raw Data'!A18</f>
        <v>N</v>
      </c>
      <c r="B24" t="str">
        <f>'Raw Data'!B18</f>
        <v>O</v>
      </c>
      <c r="C24">
        <f>'Raw Data'!J18</f>
        <v>15.5</v>
      </c>
      <c r="D24" t="str">
        <f>'Interpreted Data'!G18</f>
        <v>281</v>
      </c>
      <c r="E24" t="str">
        <f>'Interpreted Data'!H18</f>
        <v>-</v>
      </c>
      <c r="F24" t="str">
        <f>SUBSTITUTE('Raw Data'!K18," ",":",1)</f>
        <v>-2</v>
      </c>
      <c r="G24">
        <f>'Interpreted Data'!N18</f>
        <v>-0.5</v>
      </c>
      <c r="H24" t="str">
        <f>'Interpreted Data'!P18</f>
        <v>Pots</v>
      </c>
      <c r="I24" t="str">
        <f t="shared" si="0"/>
        <v xml:space="preserve"> </v>
      </c>
      <c r="J24" t="str">
        <f t="shared" si="7"/>
        <v>N</v>
      </c>
      <c r="K24" t="str">
        <f t="shared" si="8"/>
        <v>O</v>
      </c>
      <c r="L24">
        <f t="shared" si="9"/>
        <v>15.5</v>
      </c>
      <c r="M24" t="str">
        <f t="shared" si="10"/>
        <v>281</v>
      </c>
      <c r="N24" t="str">
        <f t="shared" si="11"/>
        <v>-</v>
      </c>
      <c r="O24" t="str">
        <f t="shared" si="12"/>
        <v>-2</v>
      </c>
      <c r="P24" t="str">
        <f t="shared" si="13"/>
        <v>Pots</v>
      </c>
    </row>
    <row r="25" spans="1:16" x14ac:dyDescent="0.25">
      <c r="A25" t="str">
        <f>'Raw Data'!A19</f>
        <v>O</v>
      </c>
      <c r="B25" t="str">
        <f>'Raw Data'!B19</f>
        <v>P</v>
      </c>
      <c r="C25">
        <f>'Raw Data'!J19</f>
        <v>56</v>
      </c>
      <c r="D25" t="str">
        <f>'Interpreted Data'!G19</f>
        <v>-</v>
      </c>
      <c r="E25" t="str">
        <f>'Interpreted Data'!H19</f>
        <v>127</v>
      </c>
      <c r="F25" t="str">
        <f>SUBSTITUTE('Raw Data'!K19," ",":",1)</f>
        <v>-5</v>
      </c>
      <c r="G25">
        <f>'Interpreted Data'!N19</f>
        <v>-4.9000000000000004</v>
      </c>
      <c r="H25" t="str">
        <f>'Interpreted Data'!P19</f>
        <v>Pots. Very pretty coral on left wall</v>
      </c>
      <c r="I25" t="str">
        <f t="shared" si="0"/>
        <v xml:space="preserve"> </v>
      </c>
      <c r="J25" t="str">
        <f t="shared" si="7"/>
        <v>O</v>
      </c>
      <c r="K25" t="str">
        <f t="shared" si="8"/>
        <v>P</v>
      </c>
      <c r="L25">
        <f t="shared" si="9"/>
        <v>56</v>
      </c>
      <c r="M25" t="str">
        <f t="shared" si="10"/>
        <v>-</v>
      </c>
      <c r="N25" t="str">
        <f t="shared" si="11"/>
        <v>127</v>
      </c>
      <c r="O25" t="str">
        <f t="shared" si="12"/>
        <v>-5</v>
      </c>
      <c r="P25" t="str">
        <f t="shared" si="13"/>
        <v>Pots. Very pretty coral on left wall</v>
      </c>
    </row>
    <row r="26" spans="1:16" x14ac:dyDescent="0.25">
      <c r="A26" t="str">
        <f>'Raw Data'!A20</f>
        <v>P</v>
      </c>
      <c r="B26" t="str">
        <f>'Raw Data'!B20</f>
        <v>Q</v>
      </c>
      <c r="C26">
        <f>'Raw Data'!J20</f>
        <v>15.8</v>
      </c>
      <c r="D26" t="str">
        <f>'Interpreted Data'!G20</f>
        <v>283</v>
      </c>
      <c r="E26" t="str">
        <f>'Interpreted Data'!H20</f>
        <v>-</v>
      </c>
      <c r="F26" t="str">
        <f>SUBSTITUTE('Raw Data'!K20," ",":",1)</f>
        <v>-0:15</v>
      </c>
      <c r="G26">
        <f>'Interpreted Data'!N20</f>
        <v>-0.1</v>
      </c>
      <c r="H26" t="str">
        <f>'Interpreted Data'!P20</f>
        <v/>
      </c>
      <c r="I26" t="str">
        <f t="shared" si="0"/>
        <v xml:space="preserve"> </v>
      </c>
      <c r="J26" t="str">
        <f t="shared" si="7"/>
        <v>P</v>
      </c>
      <c r="K26" t="str">
        <f t="shared" si="8"/>
        <v>Q</v>
      </c>
      <c r="L26">
        <f t="shared" si="9"/>
        <v>15.8</v>
      </c>
      <c r="M26" t="str">
        <f t="shared" si="10"/>
        <v>283</v>
      </c>
      <c r="N26" t="str">
        <f t="shared" si="11"/>
        <v>-</v>
      </c>
      <c r="O26" t="str">
        <f t="shared" si="12"/>
        <v>-0:15</v>
      </c>
      <c r="P26" t="str">
        <f t="shared" si="13"/>
        <v/>
      </c>
    </row>
    <row r="27" spans="1:16" x14ac:dyDescent="0.25">
      <c r="I27" t="str">
        <f t="shared" si="0"/>
        <v xml:space="preserve"> </v>
      </c>
      <c r="J27" t="str">
        <f>$J$2</f>
        <v>data diving from to tape compass backcompass depthchange ignoreall</v>
      </c>
    </row>
    <row r="28" spans="1:16" x14ac:dyDescent="0.25">
      <c r="A28" t="str">
        <f>'Raw Data'!A21</f>
        <v>Q</v>
      </c>
      <c r="B28" t="str">
        <f>'Raw Data'!B21</f>
        <v>R</v>
      </c>
      <c r="C28">
        <f>'Raw Data'!J21</f>
        <v>15.3</v>
      </c>
      <c r="D28" t="str">
        <f>'Interpreted Data'!G21</f>
        <v>-</v>
      </c>
      <c r="E28" t="str">
        <f>'Interpreted Data'!H21</f>
        <v>37</v>
      </c>
      <c r="F28" t="str">
        <f>SUBSTITUTE('Raw Data'!K21," ",":",1)</f>
        <v>fall:of 4 feet</v>
      </c>
      <c r="G28">
        <f>'Interpreted Data'!N21</f>
        <v>-4</v>
      </c>
      <c r="H28" t="str">
        <f>'Interpreted Data'!P21</f>
        <v>1.5 foot deep pool starts at P.</v>
      </c>
      <c r="I28" t="str">
        <f t="shared" si="0"/>
        <v xml:space="preserve"> </v>
      </c>
      <c r="J28" t="str">
        <f t="shared" ref="J28:N29" si="14">A28</f>
        <v>Q</v>
      </c>
      <c r="K28" t="str">
        <f t="shared" si="14"/>
        <v>R</v>
      </c>
      <c r="L28">
        <f t="shared" si="14"/>
        <v>15.3</v>
      </c>
      <c r="M28" t="str">
        <f t="shared" si="14"/>
        <v>-</v>
      </c>
      <c r="N28" t="str">
        <f t="shared" si="14"/>
        <v>37</v>
      </c>
      <c r="O28">
        <f>G28</f>
        <v>-4</v>
      </c>
      <c r="P28" t="str">
        <f>H28</f>
        <v>1.5 foot deep pool starts at P.</v>
      </c>
    </row>
    <row r="29" spans="1:16" x14ac:dyDescent="0.25">
      <c r="A29" t="str">
        <f>'Raw Data'!A22</f>
        <v>R</v>
      </c>
      <c r="B29" t="str">
        <f>'Raw Data'!B22</f>
        <v>S</v>
      </c>
      <c r="C29">
        <f>'Raw Data'!J22</f>
        <v>39.5</v>
      </c>
      <c r="D29" t="str">
        <f>'Interpreted Data'!G22</f>
        <v>310</v>
      </c>
      <c r="E29" t="str">
        <f>'Interpreted Data'!H22</f>
        <v>-</v>
      </c>
      <c r="F29" t="str">
        <f>SUBSTITUTE('Raw Data'!K22," ",":",1)</f>
        <v>rise:of 4 feet</v>
      </c>
      <c r="G29">
        <f>'Interpreted Data'!N22</f>
        <v>4</v>
      </c>
      <c r="H29" t="str">
        <f>'Interpreted Data'!P22</f>
        <v>Pool 2.5' deep at R, ends 15' on. Scalloping as in Goughs 1st Sandy Chamber.</v>
      </c>
      <c r="I29" t="str">
        <f t="shared" si="0"/>
        <v xml:space="preserve"> </v>
      </c>
      <c r="J29" t="str">
        <f t="shared" si="14"/>
        <v>R</v>
      </c>
      <c r="K29" t="str">
        <f t="shared" si="14"/>
        <v>S</v>
      </c>
      <c r="L29">
        <f t="shared" si="14"/>
        <v>39.5</v>
      </c>
      <c r="M29" t="str">
        <f t="shared" si="14"/>
        <v>310</v>
      </c>
      <c r="N29" t="str">
        <f t="shared" si="14"/>
        <v>-</v>
      </c>
      <c r="O29">
        <f>G29</f>
        <v>4</v>
      </c>
      <c r="P29" t="str">
        <f>H29</f>
        <v>Pool 2.5' deep at R, ends 15' on. Scalloping as in Goughs 1st Sandy Chamber.</v>
      </c>
    </row>
    <row r="30" spans="1:16" x14ac:dyDescent="0.25">
      <c r="I30" t="str">
        <f t="shared" si="0"/>
        <v xml:space="preserve"> </v>
      </c>
      <c r="J30" t="str">
        <f>$J$1</f>
        <v>data normal from to tape compass backcompass clino ignoreall</v>
      </c>
    </row>
    <row r="31" spans="1:16" x14ac:dyDescent="0.25">
      <c r="A31" t="str">
        <f>'Raw Data'!A23</f>
        <v>S</v>
      </c>
      <c r="B31" t="str">
        <f>'Raw Data'!B23</f>
        <v>T</v>
      </c>
      <c r="C31">
        <f>'Raw Data'!J23</f>
        <v>39.6</v>
      </c>
      <c r="D31" t="str">
        <f>'Interpreted Data'!G23</f>
        <v>-</v>
      </c>
      <c r="E31" t="str">
        <f>'Interpreted Data'!H23</f>
        <v>58</v>
      </c>
      <c r="F31" t="str">
        <f>SUBSTITUTE('Raw Data'!K23," ",":",1)</f>
        <v>-2:30</v>
      </c>
      <c r="G31">
        <f>'Interpreted Data'!N23</f>
        <v>-1.9</v>
      </c>
      <c r="H31" t="str">
        <f>'Interpreted Data'!P23</f>
        <v>S is marked on wall. At 20' there is a muddy chamber overhead.</v>
      </c>
      <c r="I31" t="str">
        <f t="shared" si="0"/>
        <v xml:space="preserve"> </v>
      </c>
      <c r="J31" t="str">
        <f>A31</f>
        <v>S</v>
      </c>
      <c r="K31" t="str">
        <f>B31</f>
        <v>T</v>
      </c>
      <c r="L31">
        <f>C31</f>
        <v>39.6</v>
      </c>
      <c r="M31" t="str">
        <f>D31</f>
        <v>-</v>
      </c>
      <c r="N31" t="str">
        <f>E31</f>
        <v>58</v>
      </c>
      <c r="O31" t="str">
        <f>IF(AND(D31="-",E31="-"),IF(1*F31=-90,"DOWN",IF(1*F31=90,"UP","no compass")),F31)</f>
        <v>-2:30</v>
      </c>
      <c r="P31" t="str">
        <f>H31</f>
        <v>S is marked on wall. At 20' there is a muddy chamber overhead.</v>
      </c>
    </row>
    <row r="32" spans="1:16" x14ac:dyDescent="0.25">
      <c r="I32" t="str">
        <f t="shared" si="0"/>
        <v xml:space="preserve"> </v>
      </c>
      <c r="J32" t="str">
        <f>$J$2</f>
        <v>data diving from to tape compass backcompass depthchange ignoreall</v>
      </c>
    </row>
    <row r="33" spans="1:16" x14ac:dyDescent="0.25">
      <c r="A33" t="str">
        <f>'Raw Data'!A24</f>
        <v>T</v>
      </c>
      <c r="B33" t="str">
        <f>'Raw Data'!B24</f>
        <v>U</v>
      </c>
      <c r="C33">
        <f>'Raw Data'!J24</f>
        <v>49</v>
      </c>
      <c r="D33" t="str">
        <f>'Interpreted Data'!G24</f>
        <v>148</v>
      </c>
      <c r="E33" t="str">
        <f>'Interpreted Data'!H24</f>
        <v>-</v>
      </c>
      <c r="F33" t="str">
        <f>SUBSTITUTE('Raw Data'!K24," ",":",1)</f>
        <v>fall:of 1.7 feet</v>
      </c>
      <c r="G33">
        <f>'Interpreted Data'!N24</f>
        <v>-1.7</v>
      </c>
      <c r="H33" t="str">
        <f>'Interpreted Data'!P24</f>
        <v/>
      </c>
      <c r="I33" t="str">
        <f t="shared" si="0"/>
        <v xml:space="preserve"> </v>
      </c>
      <c r="J33" t="str">
        <f>A33</f>
        <v>T</v>
      </c>
      <c r="K33" t="str">
        <f>B33</f>
        <v>U</v>
      </c>
      <c r="L33">
        <f>C33</f>
        <v>49</v>
      </c>
      <c r="M33" t="str">
        <f>D33</f>
        <v>148</v>
      </c>
      <c r="N33" t="str">
        <f>E33</f>
        <v>-</v>
      </c>
      <c r="O33">
        <f>G33</f>
        <v>-1.7</v>
      </c>
      <c r="P33" t="str">
        <f>H33</f>
        <v/>
      </c>
    </row>
    <row r="34" spans="1:16" x14ac:dyDescent="0.25">
      <c r="A34" t="str">
        <f>'Raw Data'!A25</f>
        <v>U</v>
      </c>
      <c r="B34">
        <f>'Raw Data'!B25</f>
        <v>0</v>
      </c>
      <c r="C34">
        <f>'Raw Data'!J25</f>
        <v>0</v>
      </c>
      <c r="D34" t="str">
        <f>'Interpreted Data'!G25</f>
        <v>-</v>
      </c>
      <c r="E34" t="str">
        <f>'Interpreted Data'!H25</f>
        <v>-</v>
      </c>
      <c r="F34" t="str">
        <f>SUBSTITUTE('Raw Data'!K25," ",":",1)</f>
        <v/>
      </c>
      <c r="G34" t="str">
        <f>'Interpreted Data'!N25</f>
        <v/>
      </c>
      <c r="H34" t="str">
        <f>'Interpreted Data'!P25</f>
        <v>Beasts (or Pearls? Not clear in scan) seen here.    Total = 650'</v>
      </c>
      <c r="I34" t="str">
        <f t="shared" si="0"/>
        <v xml:space="preserve"> </v>
      </c>
      <c r="J34" t="s">
        <v>76</v>
      </c>
      <c r="K34" t="s">
        <v>39</v>
      </c>
      <c r="P34" t="str">
        <f>H34</f>
        <v>Beasts (or Pearls? Not clear in scan) seen here.    Total = 650'</v>
      </c>
    </row>
    <row r="35" spans="1:16" x14ac:dyDescent="0.25">
      <c r="A35" t="str">
        <f>'Raw Data'!A26</f>
        <v>A1</v>
      </c>
      <c r="B35" t="str">
        <f>'Raw Data'!B26</f>
        <v>B1</v>
      </c>
      <c r="C35">
        <f>'Raw Data'!J26</f>
        <v>30.4</v>
      </c>
      <c r="D35" t="str">
        <f>'Interpreted Data'!G26</f>
        <v>-</v>
      </c>
      <c r="E35" t="str">
        <f>'Interpreted Data'!H26</f>
        <v>326</v>
      </c>
      <c r="F35" t="str">
        <f>SUBSTITUTE('Raw Data'!K26," ",":",1)</f>
        <v>level</v>
      </c>
      <c r="G35">
        <f>'Interpreted Data'!N26</f>
        <v>0</v>
      </c>
      <c r="H35" t="str">
        <f>'Interpreted Data'!P26</f>
        <v>A1 is far end of "Priddy Green" passage. At choke</v>
      </c>
      <c r="I35" t="str">
        <f t="shared" si="0"/>
        <v xml:space="preserve"> </v>
      </c>
      <c r="J35" t="str">
        <f>A35</f>
        <v>A1</v>
      </c>
      <c r="K35" t="str">
        <f>B35</f>
        <v>B1</v>
      </c>
      <c r="L35">
        <f>C35</f>
        <v>30.4</v>
      </c>
      <c r="M35" t="str">
        <f>D35</f>
        <v>-</v>
      </c>
      <c r="N35" t="str">
        <f>E35</f>
        <v>326</v>
      </c>
      <c r="O35">
        <f>G35</f>
        <v>0</v>
      </c>
      <c r="P35" t="str">
        <f>H35</f>
        <v>A1 is far end of "Priddy Green" passage. At choke</v>
      </c>
    </row>
    <row r="36" spans="1:16" x14ac:dyDescent="0.25">
      <c r="J36" t="str">
        <f>$J$1</f>
        <v>data normal from to tape compass backcompass clino ignoreall</v>
      </c>
    </row>
    <row r="37" spans="1:16" x14ac:dyDescent="0.25">
      <c r="A37" t="str">
        <f>'Raw Data'!A27</f>
        <v>B1</v>
      </c>
      <c r="B37" t="str">
        <f>'Raw Data'!B27</f>
        <v>C1</v>
      </c>
      <c r="C37">
        <f>'Raw Data'!J27</f>
        <v>37.5</v>
      </c>
      <c r="D37" t="str">
        <f>'Interpreted Data'!G27</f>
        <v>248</v>
      </c>
      <c r="E37" t="str">
        <f>'Interpreted Data'!H27</f>
        <v>-</v>
      </c>
      <c r="F37" t="str">
        <f>SUBSTITUTE('Raw Data'!K27," ",":",1)</f>
        <v>-6:00</v>
      </c>
      <c r="G37">
        <f>'Interpreted Data'!N27</f>
        <v>-3.9</v>
      </c>
      <c r="H37" t="str">
        <f>'Interpreted Data'!P27</f>
        <v>B1 is ent to P.G. pass, above stalagmite keloid (sp.?)</v>
      </c>
      <c r="I37" t="str">
        <f t="shared" si="0"/>
        <v xml:space="preserve"> </v>
      </c>
      <c r="J37" t="str">
        <f>A37</f>
        <v>B1</v>
      </c>
      <c r="K37" t="str">
        <f>B37</f>
        <v>C1</v>
      </c>
      <c r="L37">
        <f>C37</f>
        <v>37.5</v>
      </c>
      <c r="M37" t="str">
        <f>D37</f>
        <v>248</v>
      </c>
      <c r="N37" t="str">
        <f>E37</f>
        <v>-</v>
      </c>
      <c r="O37" t="str">
        <f>IF(AND(D37="-",E37="-"),IF(1*F37=-90,"DOWN",IF(1*F37=90,"UP","no compass")),F37)</f>
        <v>-6:00</v>
      </c>
      <c r="P37" t="str">
        <f>H37</f>
        <v>B1 is ent to P.G. pass, above stalagmite keloid (sp.?)</v>
      </c>
    </row>
    <row r="39" spans="1:16" x14ac:dyDescent="0.25">
      <c r="A39" t="str">
        <f>'Raw Data'!A28</f>
        <v>p. 47-50</v>
      </c>
      <c r="B39" t="str">
        <f>'Raw Data'!B28</f>
        <v>(=PDF p.51-54)</v>
      </c>
      <c r="I39" t="str">
        <f t="shared" si="0"/>
        <v xml:space="preserve"> </v>
      </c>
      <c r="J39" t="str">
        <f>CONCATENATE("# ",A39)</f>
        <v># p. 47-50</v>
      </c>
      <c r="K39" t="str">
        <f>B39</f>
        <v>(=PDF p.51-54)</v>
      </c>
    </row>
    <row r="40" spans="1:16" x14ac:dyDescent="0.25">
      <c r="A40" t="str">
        <f>'Raw Data'!A29</f>
        <v>5th August 1951</v>
      </c>
      <c r="B40" t="str">
        <f>'Raw Data'!B29</f>
        <v>SWILDONS HOLE SURVEY</v>
      </c>
      <c r="I40" t="str">
        <f t="shared" si="0"/>
        <v xml:space="preserve"> </v>
      </c>
      <c r="J40" t="str">
        <f>CONCATENATE("# ",A40)</f>
        <v># 5th August 1951</v>
      </c>
      <c r="K40" t="str">
        <f>B40</f>
        <v>SWILDONS HOLE SURVEY</v>
      </c>
    </row>
    <row r="41" spans="1:16" x14ac:dyDescent="0.25">
      <c r="I41" t="str">
        <f t="shared" si="0"/>
        <v xml:space="preserve"> </v>
      </c>
      <c r="J41" t="str">
        <f>$J$1</f>
        <v>data normal from to tape compass backcompass clino ignoreall</v>
      </c>
    </row>
    <row r="42" spans="1:16" x14ac:dyDescent="0.25">
      <c r="A42" t="str">
        <f>'Raw Data'!A30</f>
        <v>C1</v>
      </c>
      <c r="B42" t="str">
        <f>'Raw Data'!B30</f>
        <v>D1</v>
      </c>
      <c r="C42">
        <f>'Raw Data'!J30</f>
        <v>11.8</v>
      </c>
      <c r="D42" t="str">
        <f>'Interpreted Data'!G30</f>
        <v>-</v>
      </c>
      <c r="E42" t="str">
        <f>'Interpreted Data'!H30</f>
        <v>85</v>
      </c>
      <c r="F42" t="str">
        <f>SUBSTITUTE('Raw Data'!K30," ",":",1)</f>
        <v>-24</v>
      </c>
      <c r="G42">
        <f>'Interpreted Data'!N30</f>
        <v>-4.8</v>
      </c>
      <c r="H42" t="str">
        <f>'Interpreted Data'!P30</f>
        <v>On rocky bank.</v>
      </c>
      <c r="I42" t="str">
        <f t="shared" si="0"/>
        <v xml:space="preserve"> </v>
      </c>
      <c r="J42" t="str">
        <f t="shared" ref="J42:N46" si="15">A42</f>
        <v>C1</v>
      </c>
      <c r="K42" t="str">
        <f t="shared" si="15"/>
        <v>D1</v>
      </c>
      <c r="L42">
        <f t="shared" si="15"/>
        <v>11.8</v>
      </c>
      <c r="M42" t="str">
        <f t="shared" si="15"/>
        <v>-</v>
      </c>
      <c r="N42" t="str">
        <f t="shared" si="15"/>
        <v>85</v>
      </c>
      <c r="O42" t="str">
        <f>IF(AND(D42="-",E42="-"),IF(1*F42=-90,"DOWN",IF(1*F42=90,"UP","no compass")),F42)</f>
        <v>-24</v>
      </c>
      <c r="P42" t="str">
        <f>H42</f>
        <v>On rocky bank.</v>
      </c>
    </row>
    <row r="43" spans="1:16" x14ac:dyDescent="0.25">
      <c r="A43" t="str">
        <f>'Raw Data'!A31</f>
        <v>D1</v>
      </c>
      <c r="B43" t="str">
        <f>'Raw Data'!B31</f>
        <v>A</v>
      </c>
      <c r="C43">
        <f>'Raw Data'!J31</f>
        <v>36.799999999999997</v>
      </c>
      <c r="D43" t="str">
        <f>'Interpreted Data'!G31</f>
        <v>251</v>
      </c>
      <c r="E43" t="str">
        <f>'Interpreted Data'!H31</f>
        <v>-</v>
      </c>
      <c r="F43" t="str">
        <f>SUBSTITUTE('Raw Data'!K31," ",":",1)</f>
        <v>water:level</v>
      </c>
      <c r="G43">
        <f>'Interpreted Data'!N31</f>
        <v>-2.2999999999999998</v>
      </c>
      <c r="H43" t="str">
        <f>'Interpreted Data'!P31</f>
        <v>D1 to near side of Sump I 11.8'. D1 to far side of Sump I 18'. D1 is in pool at stake for cable.</v>
      </c>
      <c r="I43" t="str">
        <f t="shared" si="0"/>
        <v xml:space="preserve"> </v>
      </c>
      <c r="J43" t="str">
        <f t="shared" si="15"/>
        <v>D1</v>
      </c>
      <c r="K43" t="str">
        <f t="shared" si="15"/>
        <v>A</v>
      </c>
      <c r="L43">
        <f t="shared" si="15"/>
        <v>36.799999999999997</v>
      </c>
      <c r="M43" t="str">
        <f t="shared" si="15"/>
        <v>251</v>
      </c>
      <c r="N43" t="str">
        <f t="shared" si="15"/>
        <v>-</v>
      </c>
      <c r="O43">
        <v>0</v>
      </c>
      <c r="P43" t="str">
        <f>H43</f>
        <v>D1 to near side of Sump I 11.8'. D1 to far side of Sump I 18'. D1 is in pool at stake for cable.</v>
      </c>
    </row>
    <row r="44" spans="1:16" x14ac:dyDescent="0.25">
      <c r="A44" t="str">
        <f>'Raw Data'!A32</f>
        <v>U</v>
      </c>
      <c r="B44" t="str">
        <f>'Raw Data'!B32</f>
        <v>V</v>
      </c>
      <c r="C44">
        <f>'Raw Data'!J32</f>
        <v>29</v>
      </c>
      <c r="D44" t="str">
        <f>'Interpreted Data'!G32</f>
        <v>-</v>
      </c>
      <c r="E44" t="str">
        <f>'Interpreted Data'!H32</f>
        <v>6:30</v>
      </c>
      <c r="F44" t="str">
        <f>SUBSTITUTE('Raw Data'!K32," ",":",1)</f>
        <v>water:level</v>
      </c>
      <c r="G44">
        <f>'Interpreted Data'!N32</f>
        <v>0</v>
      </c>
      <c r="H44" t="str">
        <f>'Interpreted Data'!P32</f>
        <v>Lake begins as 10'. (Little sketch)</v>
      </c>
      <c r="I44" t="str">
        <f t="shared" si="0"/>
        <v xml:space="preserve"> </v>
      </c>
      <c r="J44" t="str">
        <f t="shared" si="15"/>
        <v>U</v>
      </c>
      <c r="K44" t="str">
        <f t="shared" si="15"/>
        <v>V</v>
      </c>
      <c r="L44">
        <f t="shared" si="15"/>
        <v>29</v>
      </c>
      <c r="M44" t="str">
        <f t="shared" si="15"/>
        <v>-</v>
      </c>
      <c r="N44" t="str">
        <f t="shared" si="15"/>
        <v>6:30</v>
      </c>
      <c r="O44">
        <f>G44</f>
        <v>0</v>
      </c>
      <c r="P44" t="str">
        <f>H44</f>
        <v>Lake begins as 10'. (Little sketch)</v>
      </c>
    </row>
    <row r="45" spans="1:16" x14ac:dyDescent="0.25">
      <c r="A45" t="str">
        <f>'Raw Data'!A33</f>
        <v>V</v>
      </c>
      <c r="B45" t="str">
        <f>'Raw Data'!B33</f>
        <v>W</v>
      </c>
      <c r="C45">
        <f>'Raw Data'!J33</f>
        <v>33.799999999999997</v>
      </c>
      <c r="D45" t="str">
        <f>'Interpreted Data'!G33</f>
        <v>141:30</v>
      </c>
      <c r="E45" t="str">
        <f>'Interpreted Data'!H33</f>
        <v>-</v>
      </c>
      <c r="F45" t="str">
        <f>SUBSTITUTE('Raw Data'!K33," ",":",1)</f>
        <v>water:level</v>
      </c>
      <c r="G45">
        <f>'Interpreted Data'!N33</f>
        <v>0</v>
      </c>
      <c r="H45" t="str">
        <f>'Interpreted Data'!P33</f>
        <v>Lake</v>
      </c>
      <c r="I45" t="str">
        <f t="shared" si="0"/>
        <v xml:space="preserve"> </v>
      </c>
      <c r="J45" t="str">
        <f t="shared" si="15"/>
        <v>V</v>
      </c>
      <c r="K45" t="str">
        <f t="shared" si="15"/>
        <v>W</v>
      </c>
      <c r="L45">
        <f t="shared" si="15"/>
        <v>33.799999999999997</v>
      </c>
      <c r="M45" t="str">
        <f t="shared" si="15"/>
        <v>141:30</v>
      </c>
      <c r="N45" t="str">
        <f t="shared" si="15"/>
        <v>-</v>
      </c>
      <c r="O45">
        <f>G45</f>
        <v>0</v>
      </c>
      <c r="P45" t="str">
        <f>H45</f>
        <v>Lake</v>
      </c>
    </row>
    <row r="46" spans="1:16" x14ac:dyDescent="0.25">
      <c r="A46" t="str">
        <f>'Raw Data'!A34</f>
        <v>W</v>
      </c>
      <c r="B46" t="str">
        <f>'Raw Data'!B34</f>
        <v>X</v>
      </c>
      <c r="C46">
        <f>'Raw Data'!J34</f>
        <v>47</v>
      </c>
      <c r="D46" t="str">
        <f>'Interpreted Data'!G34</f>
        <v>132:10</v>
      </c>
      <c r="E46" t="str">
        <f>'Interpreted Data'!H34</f>
        <v>-</v>
      </c>
      <c r="F46" t="str">
        <f>SUBSTITUTE('Raw Data'!K34," ",":",1)</f>
        <v>water:level</v>
      </c>
      <c r="G46">
        <f>'Interpreted Data'!N34</f>
        <v>0</v>
      </c>
      <c r="H46" t="str">
        <f>'Interpreted Data'!P34</f>
        <v>Bearing from 2' to right. W to near side Duck II = 3.5. W to far side Duck II = 20.4</v>
      </c>
      <c r="I46" t="str">
        <f t="shared" si="0"/>
        <v xml:space="preserve"> </v>
      </c>
      <c r="J46" t="str">
        <f t="shared" si="15"/>
        <v>W</v>
      </c>
      <c r="K46" t="str">
        <f t="shared" si="15"/>
        <v>X</v>
      </c>
      <c r="L46">
        <f t="shared" si="15"/>
        <v>47</v>
      </c>
      <c r="M46" t="str">
        <f t="shared" si="15"/>
        <v>132:10</v>
      </c>
      <c r="N46" t="str">
        <f t="shared" si="15"/>
        <v>-</v>
      </c>
      <c r="O46">
        <f>G46</f>
        <v>0</v>
      </c>
      <c r="P46" t="str">
        <f>H46</f>
        <v>Bearing from 2' to right. W to near side Duck II = 3.5. W to far side Duck II = 20.4</v>
      </c>
    </row>
    <row r="47" spans="1:16" x14ac:dyDescent="0.25">
      <c r="I47" t="str">
        <f t="shared" si="0"/>
        <v xml:space="preserve"> </v>
      </c>
      <c r="J47" t="str">
        <f>$J$2</f>
        <v>data diving from to tape compass backcompass depthchange ignoreall</v>
      </c>
    </row>
    <row r="48" spans="1:16" x14ac:dyDescent="0.25">
      <c r="A48" t="str">
        <f>'Raw Data'!A35</f>
        <v>X</v>
      </c>
      <c r="B48" t="str">
        <f>'Raw Data'!B35</f>
        <v>Y</v>
      </c>
      <c r="C48">
        <f>'Raw Data'!J35</f>
        <v>83.5</v>
      </c>
      <c r="D48" t="str">
        <f>'Interpreted Data'!G35</f>
        <v>-</v>
      </c>
      <c r="E48" t="str">
        <f>'Interpreted Data'!H35</f>
        <v>354</v>
      </c>
      <c r="F48" t="str">
        <f>SUBSTITUTE('Raw Data'!K35," ",":",1)</f>
        <v>fall:0.7'</v>
      </c>
      <c r="G48">
        <f>'Interpreted Data'!N35</f>
        <v>-0.7</v>
      </c>
      <c r="H48" t="str">
        <f>'Interpreted Data'!P35</f>
        <v>Y at lip of Sump II, 3" air space goes on 10 more</v>
      </c>
      <c r="I48" t="str">
        <f t="shared" si="0"/>
        <v xml:space="preserve"> </v>
      </c>
      <c r="J48" t="str">
        <f>A48</f>
        <v>X</v>
      </c>
      <c r="K48" t="str">
        <f>B48</f>
        <v>Y</v>
      </c>
      <c r="L48">
        <f>C48</f>
        <v>83.5</v>
      </c>
      <c r="M48" t="str">
        <f>D48</f>
        <v>-</v>
      </c>
      <c r="N48" t="str">
        <f>E48</f>
        <v>354</v>
      </c>
      <c r="O48">
        <f>G48</f>
        <v>-0.7</v>
      </c>
      <c r="P48" t="str">
        <f>H48</f>
        <v>Y at lip of Sump II, 3" air space goes on 10 more</v>
      </c>
    </row>
    <row r="49" spans="1:16" x14ac:dyDescent="0.25">
      <c r="I49" t="str">
        <f t="shared" si="0"/>
        <v xml:space="preserve"> </v>
      </c>
      <c r="J49" t="str">
        <f>$J$1</f>
        <v>data normal from to tape compass backcompass clino ignoreall</v>
      </c>
    </row>
    <row r="50" spans="1:16" x14ac:dyDescent="0.25">
      <c r="A50" t="str">
        <f>'Raw Data'!A36</f>
        <v>Y</v>
      </c>
      <c r="B50">
        <f>'Raw Data'!B36</f>
        <v>0</v>
      </c>
      <c r="C50">
        <f>'Raw Data'!J36</f>
        <v>0</v>
      </c>
      <c r="D50" t="str">
        <f>'Interpreted Data'!G36</f>
        <v>-</v>
      </c>
      <c r="E50" t="str">
        <f>'Interpreted Data'!H36</f>
        <v>-</v>
      </c>
      <c r="F50" t="str">
        <f>SUBSTITUTE('Raw Data'!K36," ",":",1)</f>
        <v/>
      </c>
      <c r="G50" t="str">
        <f>'Interpreted Data'!N36</f>
        <v/>
      </c>
      <c r="H50" t="str">
        <f>'Interpreted Data'!P36</f>
        <v>(Little sketch). Total 1010'</v>
      </c>
      <c r="I50" t="str">
        <f t="shared" si="0"/>
        <v xml:space="preserve"> </v>
      </c>
      <c r="J50" t="s">
        <v>76</v>
      </c>
      <c r="K50" t="str">
        <f>A50</f>
        <v>Y</v>
      </c>
      <c r="P50" t="str">
        <f>H50</f>
        <v>(Little sketch). Total 1010'</v>
      </c>
    </row>
    <row r="51" spans="1:16" x14ac:dyDescent="0.25">
      <c r="A51" t="str">
        <f>'Raw Data'!A37</f>
        <v>T</v>
      </c>
      <c r="B51" t="str">
        <f>'Raw Data'!B37</f>
        <v>Ri</v>
      </c>
      <c r="C51">
        <f>'Raw Data'!J37</f>
        <v>22.1</v>
      </c>
      <c r="D51" t="str">
        <f>'Interpreted Data'!G37</f>
        <v>19</v>
      </c>
      <c r="E51" t="str">
        <f>'Interpreted Data'!H37</f>
        <v>-</v>
      </c>
      <c r="F51" t="str">
        <f>SUBSTITUTE('Raw Data'!K37," ",":",1)</f>
        <v>20</v>
      </c>
      <c r="G51">
        <f>'Interpreted Data'!N37</f>
        <v>7.6</v>
      </c>
      <c r="H51" t="str">
        <f>'Interpreted Data'!P37</f>
        <v/>
      </c>
      <c r="I51" t="str">
        <f t="shared" si="0"/>
        <v xml:space="preserve"> </v>
      </c>
      <c r="J51" t="str">
        <f t="shared" ref="J51:N53" si="16">A51</f>
        <v>T</v>
      </c>
      <c r="K51" t="str">
        <f t="shared" si="16"/>
        <v>Ri</v>
      </c>
      <c r="L51">
        <f t="shared" si="16"/>
        <v>22.1</v>
      </c>
      <c r="M51" t="str">
        <f t="shared" si="16"/>
        <v>19</v>
      </c>
      <c r="N51" t="str">
        <f t="shared" si="16"/>
        <v>-</v>
      </c>
      <c r="O51" t="str">
        <f>IF(AND(D51="-",E51="-"),IF(1*F51=-90,"DOWN",IF(1*F51=90,"UP","no compass")),F51)</f>
        <v>20</v>
      </c>
      <c r="P51" t="str">
        <f>H51</f>
        <v/>
      </c>
    </row>
    <row r="52" spans="1:16" x14ac:dyDescent="0.25">
      <c r="A52" t="str">
        <f>'Raw Data'!A38</f>
        <v>Ri</v>
      </c>
      <c r="B52" t="str">
        <f>'Raw Data'!B38</f>
        <v>Rii</v>
      </c>
      <c r="C52">
        <f>'Raw Data'!J38</f>
        <v>46</v>
      </c>
      <c r="D52" t="str">
        <f>'Interpreted Data'!G38</f>
        <v>315</v>
      </c>
      <c r="E52" t="str">
        <f>'Interpreted Data'!H38</f>
        <v>-</v>
      </c>
      <c r="F52" t="str">
        <f>SUBSTITUTE('Raw Data'!K38," ",":",1)</f>
        <v>-3</v>
      </c>
      <c r="G52">
        <f>'Interpreted Data'!N38</f>
        <v>-2.4</v>
      </c>
      <c r="H52" t="str">
        <f>'Interpreted Data'!P38</f>
        <v>Sump on left at 41' feet</v>
      </c>
      <c r="I52" t="str">
        <f t="shared" si="0"/>
        <v xml:space="preserve"> </v>
      </c>
      <c r="J52" t="str">
        <f t="shared" si="16"/>
        <v>Ri</v>
      </c>
      <c r="K52" t="str">
        <f t="shared" si="16"/>
        <v>Rii</v>
      </c>
      <c r="L52">
        <f t="shared" si="16"/>
        <v>46</v>
      </c>
      <c r="M52" t="str">
        <f t="shared" si="16"/>
        <v>315</v>
      </c>
      <c r="N52" t="str">
        <f t="shared" si="16"/>
        <v>-</v>
      </c>
      <c r="O52" t="str">
        <f>IF(AND(D52="-",E52="-"),IF(1*F52=-90,"DOWN",IF(1*F52=90,"UP","no compass")),F52)</f>
        <v>-3</v>
      </c>
      <c r="P52" t="str">
        <f>H52</f>
        <v>Sump on left at 41' feet</v>
      </c>
    </row>
    <row r="53" spans="1:16" x14ac:dyDescent="0.25">
      <c r="A53" t="str">
        <f>'Raw Data'!A39</f>
        <v>Rii</v>
      </c>
      <c r="B53" t="str">
        <f>'Raw Data'!B39</f>
        <v>Riii</v>
      </c>
      <c r="C53">
        <f>'Raw Data'!J39</f>
        <v>32</v>
      </c>
      <c r="D53" t="str">
        <f>'Interpreted Data'!G39</f>
        <v>348</v>
      </c>
      <c r="E53" t="str">
        <f>'Interpreted Data'!H39</f>
        <v>-</v>
      </c>
      <c r="F53" t="str">
        <f>SUBSTITUTE('Raw Data'!K39," ",":",1)</f>
        <v>2</v>
      </c>
      <c r="G53">
        <f>'Interpreted Data'!N39</f>
        <v>1.1000000000000001</v>
      </c>
      <c r="H53" t="str">
        <f>'Interpreted Data'!P39</f>
        <v>Bearing from 3 feet to left</v>
      </c>
      <c r="I53" t="str">
        <f t="shared" si="0"/>
        <v xml:space="preserve"> </v>
      </c>
      <c r="J53" t="str">
        <f t="shared" si="16"/>
        <v>Rii</v>
      </c>
      <c r="K53" t="str">
        <f t="shared" si="16"/>
        <v>Riii</v>
      </c>
      <c r="L53">
        <f t="shared" si="16"/>
        <v>32</v>
      </c>
      <c r="M53" t="str">
        <f t="shared" si="16"/>
        <v>348</v>
      </c>
      <c r="N53" t="str">
        <f t="shared" si="16"/>
        <v>-</v>
      </c>
      <c r="O53" t="str">
        <f>IF(AND(D53="-",E53="-"),IF(1*F53=-90,"DOWN",IF(1*F53=90,"UP","no compass")),F53)</f>
        <v>2</v>
      </c>
      <c r="P53" t="str">
        <f>H53</f>
        <v>Bearing from 3 feet to left</v>
      </c>
    </row>
    <row r="54" spans="1:16" x14ac:dyDescent="0.25">
      <c r="I54" t="str">
        <f t="shared" si="0"/>
        <v xml:space="preserve"> </v>
      </c>
      <c r="J54" t="str">
        <f>$J$2</f>
        <v>data diving from to tape compass backcompass depthchange ignoreall</v>
      </c>
    </row>
    <row r="55" spans="1:16" x14ac:dyDescent="0.25">
      <c r="A55" t="str">
        <f>'Raw Data'!A40</f>
        <v>Riii</v>
      </c>
      <c r="B55" t="str">
        <f>'Raw Data'!B40</f>
        <v>Riv</v>
      </c>
      <c r="C55">
        <f>'Raw Data'!J40</f>
        <v>27.3</v>
      </c>
      <c r="D55" t="str">
        <f>'Interpreted Data'!G40</f>
        <v>284</v>
      </c>
      <c r="E55" t="str">
        <f>'Interpreted Data'!H40</f>
        <v>-</v>
      </c>
      <c r="F55" t="str">
        <f>SUBSTITUTE('Raw Data'!K40," ",":",1)</f>
        <v>fall:4 feet</v>
      </c>
      <c r="G55">
        <f>'Interpreted Data'!N40</f>
        <v>-4</v>
      </c>
      <c r="H55" t="str">
        <f>'Interpreted Data'!P40</f>
        <v>Bearing from 2' to left. Iv is Muddy Sump. Dp below Sump I is 20.6 feet. Total 1127'</v>
      </c>
      <c r="I55" t="str">
        <f t="shared" si="0"/>
        <v xml:space="preserve"> </v>
      </c>
      <c r="J55" t="str">
        <f>A55</f>
        <v>Riii</v>
      </c>
      <c r="K55" t="str">
        <f>B55</f>
        <v>Riv</v>
      </c>
      <c r="L55">
        <f>C55</f>
        <v>27.3</v>
      </c>
      <c r="M55" t="str">
        <f>D55</f>
        <v>284</v>
      </c>
      <c r="N55" t="str">
        <f>E55</f>
        <v>-</v>
      </c>
      <c r="O55">
        <f>G55</f>
        <v>-4</v>
      </c>
      <c r="P55" t="str">
        <f>H55</f>
        <v>Bearing from 2' to left. Iv is Muddy Sump. Dp below Sump I is 20.6 feet. Total 1127'</v>
      </c>
    </row>
    <row r="56" spans="1:16" x14ac:dyDescent="0.25">
      <c r="I56" t="str">
        <f t="shared" si="0"/>
        <v xml:space="preserve"> </v>
      </c>
      <c r="J56" t="str">
        <f>$J$1</f>
        <v>data normal from to tape compass backcompass clino ignoreall</v>
      </c>
    </row>
    <row r="57" spans="1:16" x14ac:dyDescent="0.25">
      <c r="A57" t="str">
        <f>'Raw Data'!A41</f>
        <v>a</v>
      </c>
      <c r="B57" t="str">
        <f>'Raw Data'!B41</f>
        <v>b</v>
      </c>
      <c r="C57">
        <f>'Raw Data'!J41</f>
        <v>43</v>
      </c>
      <c r="D57" t="str">
        <f>'Interpreted Data'!G41</f>
        <v>83</v>
      </c>
      <c r="E57" t="str">
        <f>'Interpreted Data'!H41</f>
        <v>-</v>
      </c>
      <c r="F57" t="str">
        <f>SUBSTITUTE('Raw Data'!K41," ",":",1)</f>
        <v>15</v>
      </c>
      <c r="G57">
        <f>'Interpreted Data'!N41</f>
        <v>11.1</v>
      </c>
      <c r="H57" t="str">
        <f>'Interpreted Data'!P41</f>
        <v>a is on N.Side of passage just before Creep I -&gt; (sketch)</v>
      </c>
      <c r="I57" t="str">
        <f t="shared" si="0"/>
        <v xml:space="preserve"> </v>
      </c>
      <c r="J57" t="str">
        <f t="shared" ref="J57:K64" si="17">CONCATENATE(A57,"2")</f>
        <v>a2</v>
      </c>
      <c r="K57" t="str">
        <f t="shared" si="17"/>
        <v>b2</v>
      </c>
      <c r="L57">
        <f t="shared" ref="L57:L76" si="18">C57</f>
        <v>43</v>
      </c>
      <c r="M57" t="str">
        <f t="shared" ref="M57:M76" si="19">D57</f>
        <v>83</v>
      </c>
      <c r="N57" t="str">
        <f t="shared" ref="N57:N76" si="20">E57</f>
        <v>-</v>
      </c>
      <c r="O57" t="str">
        <f>IF(AND(D57="-",E57="-"),IF(1*F57=-90,"DOWN",IF(1*F57=90,"UP","no compass")),F57)</f>
        <v>15</v>
      </c>
      <c r="P57" t="str">
        <f t="shared" ref="P57:P76" si="21">H57</f>
        <v>a is on N.Side of passage just before Creep I -&gt; (sketch)</v>
      </c>
    </row>
    <row r="58" spans="1:16" x14ac:dyDescent="0.25">
      <c r="A58" t="str">
        <f>'Raw Data'!A42</f>
        <v>b</v>
      </c>
      <c r="B58" t="str">
        <f>'Raw Data'!B42</f>
        <v>c</v>
      </c>
      <c r="C58">
        <f>'Raw Data'!J42</f>
        <v>20.7</v>
      </c>
      <c r="D58" t="str">
        <f>'Interpreted Data'!G42</f>
        <v>6</v>
      </c>
      <c r="E58" t="str">
        <f>'Interpreted Data'!H42</f>
        <v>-</v>
      </c>
      <c r="F58" t="str">
        <f>SUBSTITUTE('Raw Data'!K42," ",":",1)</f>
        <v>8</v>
      </c>
      <c r="G58">
        <f>'Interpreted Data'!N42</f>
        <v>2.9</v>
      </c>
      <c r="H58" t="str">
        <f>'Interpreted Data'!P42</f>
        <v/>
      </c>
      <c r="I58" t="str">
        <f t="shared" si="0"/>
        <v xml:space="preserve"> </v>
      </c>
      <c r="J58" t="str">
        <f t="shared" si="17"/>
        <v>b2</v>
      </c>
      <c r="K58" t="str">
        <f t="shared" si="17"/>
        <v>c2</v>
      </c>
      <c r="L58">
        <f t="shared" si="18"/>
        <v>20.7</v>
      </c>
      <c r="M58" t="str">
        <f t="shared" si="19"/>
        <v>6</v>
      </c>
      <c r="N58" t="str">
        <f t="shared" si="20"/>
        <v>-</v>
      </c>
      <c r="O58" t="str">
        <f>IF(AND(D58="-",E58="-"),IF(1*F58=-90,"DOWN",IF(1*F58=90,"UP","no compass")),F58)</f>
        <v>8</v>
      </c>
      <c r="P58" t="str">
        <f t="shared" si="21"/>
        <v/>
      </c>
    </row>
    <row r="59" spans="1:16" x14ac:dyDescent="0.25">
      <c r="A59" t="str">
        <f>'Raw Data'!A43</f>
        <v>c</v>
      </c>
      <c r="B59" t="str">
        <f>'Raw Data'!B43</f>
        <v>d</v>
      </c>
      <c r="C59">
        <f>'Raw Data'!J43</f>
        <v>11.3</v>
      </c>
      <c r="D59" t="str">
        <f>'Interpreted Data'!G43</f>
        <v>42</v>
      </c>
      <c r="E59" t="str">
        <f>'Interpreted Data'!H43</f>
        <v>-</v>
      </c>
      <c r="F59" t="str">
        <f>SUBSTITUTE('Raw Data'!K43," ",":",1)</f>
        <v>10</v>
      </c>
      <c r="G59">
        <f>'Interpreted Data'!N43</f>
        <v>2</v>
      </c>
      <c r="H59" t="str">
        <f>'Interpreted Data'!P43</f>
        <v/>
      </c>
      <c r="I59" t="str">
        <f t="shared" si="0"/>
        <v xml:space="preserve"> </v>
      </c>
      <c r="J59" t="str">
        <f t="shared" si="17"/>
        <v>c2</v>
      </c>
      <c r="K59" t="str">
        <f t="shared" si="17"/>
        <v>d2</v>
      </c>
      <c r="L59">
        <f t="shared" si="18"/>
        <v>11.3</v>
      </c>
      <c r="M59" t="str">
        <f t="shared" si="19"/>
        <v>42</v>
      </c>
      <c r="N59" t="str">
        <f t="shared" si="20"/>
        <v>-</v>
      </c>
      <c r="O59" t="str">
        <f>IF(AND(D59="-",E59="-"),IF(1*F59=-90,"DOWN",IF(1*F59=90,"UP","no compass")),F59)</f>
        <v>10</v>
      </c>
      <c r="P59" t="str">
        <f t="shared" si="21"/>
        <v/>
      </c>
    </row>
    <row r="60" spans="1:16" x14ac:dyDescent="0.25">
      <c r="A60" t="str">
        <f>'Raw Data'!A44</f>
        <v>d</v>
      </c>
      <c r="B60" t="str">
        <f>'Raw Data'!B44</f>
        <v>e</v>
      </c>
      <c r="C60">
        <f>'Raw Data'!J44</f>
        <v>18.899999999999999</v>
      </c>
      <c r="D60" t="str">
        <f>'Interpreted Data'!G44</f>
        <v>139</v>
      </c>
      <c r="E60" t="str">
        <f>'Interpreted Data'!H44</f>
        <v>-</v>
      </c>
      <c r="F60" t="str">
        <f>SUBSTITUTE('Raw Data'!K44," ",":",1)</f>
        <v>level</v>
      </c>
      <c r="G60">
        <f>'Interpreted Data'!N44</f>
        <v>0</v>
      </c>
      <c r="H60" t="str">
        <f>'Interpreted Data'!P44</f>
        <v>(e) is where passage rejoins streamway. Stn 35 (p.52)-(e) is F.S. 234 (TRUE), Dist 18', Clino +45 (deg), HD 12.7, VD +12.7</v>
      </c>
      <c r="I60" t="str">
        <f t="shared" si="0"/>
        <v xml:space="preserve"> </v>
      </c>
      <c r="J60" t="str">
        <f t="shared" si="17"/>
        <v>d2</v>
      </c>
      <c r="K60" t="str">
        <f t="shared" si="17"/>
        <v>e2</v>
      </c>
      <c r="L60">
        <f t="shared" si="18"/>
        <v>18.899999999999999</v>
      </c>
      <c r="M60" t="str">
        <f t="shared" si="19"/>
        <v>139</v>
      </c>
      <c r="N60" t="str">
        <f t="shared" si="20"/>
        <v>-</v>
      </c>
      <c r="O60">
        <f>G60</f>
        <v>0</v>
      </c>
      <c r="P60" t="str">
        <f t="shared" si="21"/>
        <v>(e) is where passage rejoins streamway. Stn 35 (p.52)-(e) is F.S. 234 (TRUE), Dist 18', Clino +45 (deg), HD 12.7, VD +12.7</v>
      </c>
    </row>
    <row r="61" spans="1:16" x14ac:dyDescent="0.25">
      <c r="A61" t="str">
        <f>'Raw Data'!A45</f>
        <v>d</v>
      </c>
      <c r="B61" t="str">
        <f>'Raw Data'!B45</f>
        <v>f</v>
      </c>
      <c r="C61">
        <f>'Raw Data'!J45</f>
        <v>10.3</v>
      </c>
      <c r="D61" t="str">
        <f>'Interpreted Data'!G45</f>
        <v>245</v>
      </c>
      <c r="E61" t="str">
        <f>'Interpreted Data'!H45</f>
        <v>-</v>
      </c>
      <c r="F61" t="str">
        <f>SUBSTITUTE('Raw Data'!K45," ",":",1)</f>
        <v>60</v>
      </c>
      <c r="G61">
        <f>'Interpreted Data'!N45</f>
        <v>8.9</v>
      </c>
      <c r="H61" t="str">
        <f>'Interpreted Data'!P45</f>
        <v/>
      </c>
      <c r="I61" t="str">
        <f t="shared" si="0"/>
        <v xml:space="preserve"> </v>
      </c>
      <c r="J61" t="str">
        <f t="shared" si="17"/>
        <v>d2</v>
      </c>
      <c r="K61" t="str">
        <f t="shared" si="17"/>
        <v>f2</v>
      </c>
      <c r="L61">
        <f t="shared" si="18"/>
        <v>10.3</v>
      </c>
      <c r="M61" t="str">
        <f t="shared" si="19"/>
        <v>245</v>
      </c>
      <c r="N61" t="str">
        <f t="shared" si="20"/>
        <v>-</v>
      </c>
      <c r="O61" t="str">
        <f>IF(AND(D61="-",E61="-"),IF(1*F61=-90,"DOWN",IF(1*F61=90,"UP","no compass")),F61)</f>
        <v>60</v>
      </c>
      <c r="P61" t="str">
        <f t="shared" si="21"/>
        <v/>
      </c>
    </row>
    <row r="62" spans="1:16" x14ac:dyDescent="0.25">
      <c r="A62" t="str">
        <f>'Raw Data'!A46</f>
        <v>f</v>
      </c>
      <c r="B62" t="str">
        <f>'Raw Data'!B46</f>
        <v>g</v>
      </c>
      <c r="C62">
        <f>'Raw Data'!J46</f>
        <v>6.2</v>
      </c>
      <c r="D62" t="str">
        <f>'Interpreted Data'!G46</f>
        <v>319</v>
      </c>
      <c r="E62" t="str">
        <f>'Interpreted Data'!H46</f>
        <v>-</v>
      </c>
      <c r="F62" t="str">
        <f>SUBSTITUTE('Raw Data'!K46," ",":",1)</f>
        <v>level</v>
      </c>
      <c r="G62">
        <f>'Interpreted Data'!N46</f>
        <v>0</v>
      </c>
      <c r="H62" t="str">
        <f>'Interpreted Data'!P46</f>
        <v/>
      </c>
      <c r="I62" t="str">
        <f t="shared" si="0"/>
        <v xml:space="preserve"> </v>
      </c>
      <c r="J62" t="str">
        <f t="shared" si="17"/>
        <v>f2</v>
      </c>
      <c r="K62" t="str">
        <f t="shared" si="17"/>
        <v>g2</v>
      </c>
      <c r="L62">
        <f t="shared" si="18"/>
        <v>6.2</v>
      </c>
      <c r="M62" t="str">
        <f t="shared" si="19"/>
        <v>319</v>
      </c>
      <c r="N62" t="str">
        <f t="shared" si="20"/>
        <v>-</v>
      </c>
      <c r="O62">
        <f>G62</f>
        <v>0</v>
      </c>
      <c r="P62" t="str">
        <f t="shared" si="21"/>
        <v/>
      </c>
    </row>
    <row r="63" spans="1:16" x14ac:dyDescent="0.25">
      <c r="A63" t="str">
        <f>'Raw Data'!A47</f>
        <v>g</v>
      </c>
      <c r="B63" t="str">
        <f>'Raw Data'!B47</f>
        <v>h</v>
      </c>
      <c r="C63">
        <f>'Raw Data'!J47</f>
        <v>16</v>
      </c>
      <c r="D63" t="str">
        <f>'Interpreted Data'!G47</f>
        <v>237</v>
      </c>
      <c r="E63" t="str">
        <f>'Interpreted Data'!H47</f>
        <v>-</v>
      </c>
      <c r="F63" t="str">
        <f>SUBSTITUTE('Raw Data'!K47," ",":",1)</f>
        <v>65</v>
      </c>
      <c r="G63">
        <f>'Interpreted Data'!N47</f>
        <v>14.5</v>
      </c>
      <c r="H63" t="str">
        <f>'Interpreted Data'!P47</f>
        <v/>
      </c>
      <c r="I63" t="str">
        <f t="shared" si="0"/>
        <v xml:space="preserve"> </v>
      </c>
      <c r="J63" t="str">
        <f t="shared" si="17"/>
        <v>g2</v>
      </c>
      <c r="K63" t="str">
        <f t="shared" si="17"/>
        <v>h2</v>
      </c>
      <c r="L63">
        <f t="shared" si="18"/>
        <v>16</v>
      </c>
      <c r="M63" t="str">
        <f t="shared" si="19"/>
        <v>237</v>
      </c>
      <c r="N63" t="str">
        <f t="shared" si="20"/>
        <v>-</v>
      </c>
      <c r="O63" t="str">
        <f>IF(AND(D63="-",E63="-"),IF(1*F63=-90,"DOWN",IF(1*F63=90,"UP","no compass")),F63)</f>
        <v>65</v>
      </c>
      <c r="P63" t="str">
        <f t="shared" si="21"/>
        <v/>
      </c>
    </row>
    <row r="64" spans="1:16" x14ac:dyDescent="0.25">
      <c r="A64" t="str">
        <f>'Raw Data'!A48</f>
        <v>h</v>
      </c>
      <c r="B64" t="str">
        <f>'Raw Data'!B48</f>
        <v>i</v>
      </c>
      <c r="C64">
        <f>'Raw Data'!J48</f>
        <v>46</v>
      </c>
      <c r="D64" t="str">
        <f>'Interpreted Data'!G48</f>
        <v>329</v>
      </c>
      <c r="E64" t="str">
        <f>'Interpreted Data'!H48</f>
        <v>-</v>
      </c>
      <c r="F64" t="str">
        <f>SUBSTITUTE('Raw Data'!K48," ",":",1)</f>
        <v>level</v>
      </c>
      <c r="G64">
        <f>'Interpreted Data'!N48</f>
        <v>0</v>
      </c>
      <c r="H64" t="str">
        <f>'Interpreted Data'!P48</f>
        <v>(i) is where passage gets too low. (some indistinct numbers follow. Too faint to read on logbook scan). Total 1207' (?)</v>
      </c>
      <c r="I64" t="str">
        <f t="shared" si="0"/>
        <v xml:space="preserve"> </v>
      </c>
      <c r="J64" t="str">
        <f t="shared" si="17"/>
        <v>h2</v>
      </c>
      <c r="K64" t="str">
        <f t="shared" si="17"/>
        <v>i2</v>
      </c>
      <c r="L64">
        <f t="shared" si="18"/>
        <v>46</v>
      </c>
      <c r="M64" t="str">
        <f t="shared" si="19"/>
        <v>329</v>
      </c>
      <c r="N64" t="str">
        <f t="shared" si="20"/>
        <v>-</v>
      </c>
      <c r="O64">
        <f>G64</f>
        <v>0</v>
      </c>
      <c r="P64" t="str">
        <f t="shared" si="21"/>
        <v>(i) is where passage gets too low. (some indistinct numbers follow. Too faint to read on logbook scan). Total 1207' (?)</v>
      </c>
    </row>
    <row r="65" spans="1:16" x14ac:dyDescent="0.25">
      <c r="A65" t="str">
        <f>'Raw Data'!A49</f>
        <v>M</v>
      </c>
      <c r="B65">
        <f>'Raw Data'!B49</f>
        <v>1</v>
      </c>
      <c r="C65">
        <f>'Raw Data'!J49</f>
        <v>11.7</v>
      </c>
      <c r="D65" t="str">
        <f>'Interpreted Data'!G49</f>
        <v>-</v>
      </c>
      <c r="E65" t="str">
        <f>'Interpreted Data'!H49</f>
        <v>145</v>
      </c>
      <c r="F65" t="str">
        <f>SUBSTITUTE('Raw Data'!K49," ",":",1)</f>
        <v>-20</v>
      </c>
      <c r="G65">
        <f>'Interpreted Data'!N49</f>
        <v>-4</v>
      </c>
      <c r="H65" t="str">
        <f>'Interpreted Data'!P49</f>
        <v/>
      </c>
      <c r="I65" t="str">
        <f t="shared" si="0"/>
        <v xml:space="preserve"> </v>
      </c>
      <c r="J65" t="str">
        <f t="shared" ref="J65:J76" si="22">A65</f>
        <v>M</v>
      </c>
      <c r="K65">
        <f t="shared" ref="K65:K76" si="23">B65</f>
        <v>1</v>
      </c>
      <c r="L65">
        <f t="shared" si="18"/>
        <v>11.7</v>
      </c>
      <c r="M65" t="str">
        <f t="shared" si="19"/>
        <v>-</v>
      </c>
      <c r="N65" t="str">
        <f t="shared" si="20"/>
        <v>145</v>
      </c>
      <c r="O65" t="str">
        <f t="shared" ref="O65:O76" si="24">IF(AND(D65="-",E65="-"),IF(1*F65=-90,"DOWN",IF(1*F65=90,"UP","no compass")),F65)</f>
        <v>-20</v>
      </c>
      <c r="P65" t="str">
        <f t="shared" si="21"/>
        <v/>
      </c>
    </row>
    <row r="66" spans="1:16" x14ac:dyDescent="0.25">
      <c r="A66">
        <f>'Raw Data'!A50</f>
        <v>1</v>
      </c>
      <c r="B66">
        <f>'Raw Data'!B50</f>
        <v>2</v>
      </c>
      <c r="C66">
        <f>'Raw Data'!J50</f>
        <v>28.5</v>
      </c>
      <c r="D66" t="str">
        <f>'Interpreted Data'!G50</f>
        <v>35</v>
      </c>
      <c r="E66" t="str">
        <f>'Interpreted Data'!H50</f>
        <v>-</v>
      </c>
      <c r="F66" t="str">
        <f>SUBSTITUTE('Raw Data'!K50," ",":",1)</f>
        <v>85</v>
      </c>
      <c r="G66">
        <f>'Interpreted Data'!N50</f>
        <v>28.4</v>
      </c>
      <c r="H66" t="str">
        <f>'Interpreted Data'!P50</f>
        <v/>
      </c>
      <c r="I66" t="str">
        <f t="shared" si="0"/>
        <v xml:space="preserve"> </v>
      </c>
      <c r="J66">
        <f t="shared" si="22"/>
        <v>1</v>
      </c>
      <c r="K66">
        <f t="shared" si="23"/>
        <v>2</v>
      </c>
      <c r="L66">
        <f t="shared" si="18"/>
        <v>28.5</v>
      </c>
      <c r="M66" t="str">
        <f t="shared" si="19"/>
        <v>35</v>
      </c>
      <c r="N66" t="str">
        <f t="shared" si="20"/>
        <v>-</v>
      </c>
      <c r="O66" t="str">
        <f t="shared" si="24"/>
        <v>85</v>
      </c>
      <c r="P66" t="str">
        <f t="shared" si="21"/>
        <v/>
      </c>
    </row>
    <row r="67" spans="1:16" x14ac:dyDescent="0.25">
      <c r="A67">
        <f>'Raw Data'!A51</f>
        <v>2</v>
      </c>
      <c r="B67">
        <f>'Raw Data'!B51</f>
        <v>3</v>
      </c>
      <c r="C67">
        <f>'Raw Data'!J51</f>
        <v>19.899999999999999</v>
      </c>
      <c r="D67" t="str">
        <f>'Interpreted Data'!G51</f>
        <v>-</v>
      </c>
      <c r="E67" t="str">
        <f>'Interpreted Data'!H51</f>
        <v>230</v>
      </c>
      <c r="F67" t="str">
        <f>SUBSTITUTE('Raw Data'!K51," ",":",1)</f>
        <v>16</v>
      </c>
      <c r="G67">
        <f>'Interpreted Data'!N51</f>
        <v>5.5</v>
      </c>
      <c r="H67" t="str">
        <f>'Interpreted Data'!P51</f>
        <v>2 is on lip of Approach passage. Little passage starts 15 back.</v>
      </c>
      <c r="I67" t="str">
        <f t="shared" si="0"/>
        <v xml:space="preserve"> </v>
      </c>
      <c r="J67">
        <f t="shared" si="22"/>
        <v>2</v>
      </c>
      <c r="K67">
        <f t="shared" si="23"/>
        <v>3</v>
      </c>
      <c r="L67">
        <f t="shared" si="18"/>
        <v>19.899999999999999</v>
      </c>
      <c r="M67" t="str">
        <f t="shared" si="19"/>
        <v>-</v>
      </c>
      <c r="N67" t="str">
        <f t="shared" si="20"/>
        <v>230</v>
      </c>
      <c r="O67" t="str">
        <f t="shared" si="24"/>
        <v>16</v>
      </c>
      <c r="P67" t="str">
        <f t="shared" si="21"/>
        <v>2 is on lip of Approach passage. Little passage starts 15 back.</v>
      </c>
    </row>
    <row r="68" spans="1:16" x14ac:dyDescent="0.25">
      <c r="A68">
        <f>'Raw Data'!A52</f>
        <v>3</v>
      </c>
      <c r="B68">
        <f>'Raw Data'!B52</f>
        <v>4</v>
      </c>
      <c r="C68">
        <f>'Raw Data'!J52</f>
        <v>16</v>
      </c>
      <c r="D68" t="str">
        <f>'Interpreted Data'!G52</f>
        <v>122</v>
      </c>
      <c r="E68" t="str">
        <f>'Interpreted Data'!H52</f>
        <v>-</v>
      </c>
      <c r="F68" t="str">
        <f>SUBSTITUTE('Raw Data'!K52," ",":",1)</f>
        <v>7</v>
      </c>
      <c r="G68">
        <f>'Interpreted Data'!N52</f>
        <v>1.9</v>
      </c>
      <c r="H68" t="str">
        <f>'Interpreted Data'!P52</f>
        <v>3 - 12 Trench up to 2 feet deep in floor of this passage</v>
      </c>
      <c r="I68" t="str">
        <f t="shared" si="0"/>
        <v xml:space="preserve"> </v>
      </c>
      <c r="J68">
        <f t="shared" si="22"/>
        <v>3</v>
      </c>
      <c r="K68">
        <f t="shared" si="23"/>
        <v>4</v>
      </c>
      <c r="L68">
        <f t="shared" si="18"/>
        <v>16</v>
      </c>
      <c r="M68" t="str">
        <f t="shared" si="19"/>
        <v>122</v>
      </c>
      <c r="N68" t="str">
        <f t="shared" si="20"/>
        <v>-</v>
      </c>
      <c r="O68" t="str">
        <f t="shared" si="24"/>
        <v>7</v>
      </c>
      <c r="P68" t="str">
        <f t="shared" si="21"/>
        <v>3 - 12 Trench up to 2 feet deep in floor of this passage</v>
      </c>
    </row>
    <row r="69" spans="1:16" x14ac:dyDescent="0.25">
      <c r="A69">
        <f>'Raw Data'!A53</f>
        <v>4</v>
      </c>
      <c r="B69">
        <f>'Raw Data'!B53</f>
        <v>5</v>
      </c>
      <c r="C69">
        <f>'Raw Data'!J53</f>
        <v>18</v>
      </c>
      <c r="D69" t="str">
        <f>'Interpreted Data'!G53</f>
        <v>59</v>
      </c>
      <c r="E69" t="str">
        <f>'Interpreted Data'!H53</f>
        <v>-</v>
      </c>
      <c r="F69" t="str">
        <f>SUBSTITUTE('Raw Data'!K53," ",":",1)</f>
        <v>15</v>
      </c>
      <c r="G69">
        <f>'Interpreted Data'!N53</f>
        <v>4.7</v>
      </c>
      <c r="H69" t="str">
        <f>'Interpreted Data'!P53</f>
        <v>Little passage off to South from 4</v>
      </c>
      <c r="I69" t="str">
        <f t="shared" si="0"/>
        <v xml:space="preserve"> </v>
      </c>
      <c r="J69">
        <f t="shared" si="22"/>
        <v>4</v>
      </c>
      <c r="K69">
        <f t="shared" si="23"/>
        <v>5</v>
      </c>
      <c r="L69">
        <f t="shared" si="18"/>
        <v>18</v>
      </c>
      <c r="M69" t="str">
        <f t="shared" si="19"/>
        <v>59</v>
      </c>
      <c r="N69" t="str">
        <f t="shared" si="20"/>
        <v>-</v>
      </c>
      <c r="O69" t="str">
        <f t="shared" si="24"/>
        <v>15</v>
      </c>
      <c r="P69" t="str">
        <f t="shared" si="21"/>
        <v>Little passage off to South from 4</v>
      </c>
    </row>
    <row r="70" spans="1:16" x14ac:dyDescent="0.25">
      <c r="A70">
        <f>'Raw Data'!A54</f>
        <v>5</v>
      </c>
      <c r="B70">
        <f>'Raw Data'!B54</f>
        <v>6</v>
      </c>
      <c r="C70">
        <f>'Raw Data'!J54</f>
        <v>9.5</v>
      </c>
      <c r="D70" t="str">
        <f>'Interpreted Data'!G54</f>
        <v>17</v>
      </c>
      <c r="E70" t="str">
        <f>'Interpreted Data'!H54</f>
        <v>-</v>
      </c>
      <c r="F70" t="str">
        <f>SUBSTITUTE('Raw Data'!K54," ",":",1)</f>
        <v>10</v>
      </c>
      <c r="G70">
        <f>'Interpreted Data'!N54</f>
        <v>1.6</v>
      </c>
      <c r="H70" t="str">
        <f>'Interpreted Data'!P54</f>
        <v/>
      </c>
      <c r="I70" t="str">
        <f t="shared" ref="I70:I136" si="25">" "</f>
        <v xml:space="preserve"> </v>
      </c>
      <c r="J70">
        <f t="shared" si="22"/>
        <v>5</v>
      </c>
      <c r="K70">
        <f t="shared" si="23"/>
        <v>6</v>
      </c>
      <c r="L70">
        <f t="shared" si="18"/>
        <v>9.5</v>
      </c>
      <c r="M70" t="str">
        <f t="shared" si="19"/>
        <v>17</v>
      </c>
      <c r="N70" t="str">
        <f t="shared" si="20"/>
        <v>-</v>
      </c>
      <c r="O70" t="str">
        <f t="shared" si="24"/>
        <v>10</v>
      </c>
      <c r="P70" t="str">
        <f t="shared" si="21"/>
        <v/>
      </c>
    </row>
    <row r="71" spans="1:16" x14ac:dyDescent="0.25">
      <c r="A71">
        <f>'Raw Data'!A55</f>
        <v>6</v>
      </c>
      <c r="B71">
        <f>'Raw Data'!B55</f>
        <v>7</v>
      </c>
      <c r="C71">
        <f>'Raw Data'!J55</f>
        <v>13.5</v>
      </c>
      <c r="D71" t="str">
        <f>'Interpreted Data'!G55</f>
        <v>46</v>
      </c>
      <c r="E71" t="str">
        <f>'Interpreted Data'!H55</f>
        <v>-</v>
      </c>
      <c r="F71" t="str">
        <f>SUBSTITUTE('Raw Data'!K55," ",":",1)</f>
        <v>17</v>
      </c>
      <c r="G71">
        <f>'Interpreted Data'!N55</f>
        <v>4</v>
      </c>
      <c r="H71" t="str">
        <f>'Interpreted Data'!P55</f>
        <v/>
      </c>
      <c r="I71" t="str">
        <f t="shared" si="25"/>
        <v xml:space="preserve"> </v>
      </c>
      <c r="J71">
        <f t="shared" si="22"/>
        <v>6</v>
      </c>
      <c r="K71">
        <f t="shared" si="23"/>
        <v>7</v>
      </c>
      <c r="L71">
        <f t="shared" si="18"/>
        <v>13.5</v>
      </c>
      <c r="M71" t="str">
        <f t="shared" si="19"/>
        <v>46</v>
      </c>
      <c r="N71" t="str">
        <f t="shared" si="20"/>
        <v>-</v>
      </c>
      <c r="O71" t="str">
        <f t="shared" si="24"/>
        <v>17</v>
      </c>
      <c r="P71" t="str">
        <f t="shared" si="21"/>
        <v/>
      </c>
    </row>
    <row r="72" spans="1:16" x14ac:dyDescent="0.25">
      <c r="A72">
        <f>'Raw Data'!A56</f>
        <v>7</v>
      </c>
      <c r="B72">
        <f>'Raw Data'!B56</f>
        <v>8</v>
      </c>
      <c r="C72">
        <f>'Raw Data'!J56</f>
        <v>24.2</v>
      </c>
      <c r="D72" t="str">
        <f>'Interpreted Data'!G56</f>
        <v>74</v>
      </c>
      <c r="E72" t="str">
        <f>'Interpreted Data'!H56</f>
        <v>-</v>
      </c>
      <c r="F72" t="str">
        <f>SUBSTITUTE('Raw Data'!K56," ",":",1)</f>
        <v>13</v>
      </c>
      <c r="G72">
        <f>'Interpreted Data'!N56</f>
        <v>5.4</v>
      </c>
      <c r="H72" t="str">
        <f>'Interpreted Data'!P56</f>
        <v/>
      </c>
      <c r="I72" t="str">
        <f t="shared" si="25"/>
        <v xml:space="preserve"> </v>
      </c>
      <c r="J72">
        <f t="shared" si="22"/>
        <v>7</v>
      </c>
      <c r="K72">
        <f t="shared" si="23"/>
        <v>8</v>
      </c>
      <c r="L72">
        <f t="shared" si="18"/>
        <v>24.2</v>
      </c>
      <c r="M72" t="str">
        <f t="shared" si="19"/>
        <v>74</v>
      </c>
      <c r="N72" t="str">
        <f t="shared" si="20"/>
        <v>-</v>
      </c>
      <c r="O72" t="str">
        <f t="shared" si="24"/>
        <v>13</v>
      </c>
      <c r="P72" t="str">
        <f t="shared" si="21"/>
        <v/>
      </c>
    </row>
    <row r="73" spans="1:16" x14ac:dyDescent="0.25">
      <c r="A73">
        <f>'Raw Data'!A57</f>
        <v>8</v>
      </c>
      <c r="B73">
        <f>'Raw Data'!B57</f>
        <v>9</v>
      </c>
      <c r="C73">
        <f>'Raw Data'!J57</f>
        <v>8.8000000000000007</v>
      </c>
      <c r="D73" t="str">
        <f>'Interpreted Data'!G57</f>
        <v>137</v>
      </c>
      <c r="E73" t="str">
        <f>'Interpreted Data'!H57</f>
        <v>-</v>
      </c>
      <c r="F73" t="str">
        <f>SUBSTITUTE('Raw Data'!K57," ",":",1)</f>
        <v>10</v>
      </c>
      <c r="G73">
        <f>'Interpreted Data'!N57</f>
        <v>1.5</v>
      </c>
      <c r="H73" t="str">
        <f>'Interpreted Data'!P57</f>
        <v/>
      </c>
      <c r="I73" t="str">
        <f t="shared" si="25"/>
        <v xml:space="preserve"> </v>
      </c>
      <c r="J73">
        <f t="shared" si="22"/>
        <v>8</v>
      </c>
      <c r="K73">
        <f t="shared" si="23"/>
        <v>9</v>
      </c>
      <c r="L73">
        <f t="shared" si="18"/>
        <v>8.8000000000000007</v>
      </c>
      <c r="M73" t="str">
        <f t="shared" si="19"/>
        <v>137</v>
      </c>
      <c r="N73" t="str">
        <f t="shared" si="20"/>
        <v>-</v>
      </c>
      <c r="O73" t="str">
        <f t="shared" si="24"/>
        <v>10</v>
      </c>
      <c r="P73" t="str">
        <f t="shared" si="21"/>
        <v/>
      </c>
    </row>
    <row r="74" spans="1:16" x14ac:dyDescent="0.25">
      <c r="A74">
        <f>'Raw Data'!A58</f>
        <v>9</v>
      </c>
      <c r="B74">
        <f>'Raw Data'!B58</f>
        <v>10</v>
      </c>
      <c r="C74">
        <f>'Raw Data'!J58</f>
        <v>19.8</v>
      </c>
      <c r="D74" t="str">
        <f>'Interpreted Data'!G58</f>
        <v>89</v>
      </c>
      <c r="E74" t="str">
        <f>'Interpreted Data'!H58</f>
        <v>-</v>
      </c>
      <c r="F74" t="str">
        <f>SUBSTITUTE('Raw Data'!K58," ",":",1)</f>
        <v>15</v>
      </c>
      <c r="G74">
        <f>'Interpreted Data'!N58</f>
        <v>5.0999999999999996</v>
      </c>
      <c r="H74" t="str">
        <f>'Interpreted Data'!P58</f>
        <v/>
      </c>
      <c r="I74" t="str">
        <f t="shared" si="25"/>
        <v xml:space="preserve"> </v>
      </c>
      <c r="J74">
        <f t="shared" si="22"/>
        <v>9</v>
      </c>
      <c r="K74">
        <f t="shared" si="23"/>
        <v>10</v>
      </c>
      <c r="L74">
        <f t="shared" si="18"/>
        <v>19.8</v>
      </c>
      <c r="M74" t="str">
        <f t="shared" si="19"/>
        <v>89</v>
      </c>
      <c r="N74" t="str">
        <f t="shared" si="20"/>
        <v>-</v>
      </c>
      <c r="O74" t="str">
        <f t="shared" si="24"/>
        <v>15</v>
      </c>
      <c r="P74" t="str">
        <f t="shared" si="21"/>
        <v/>
      </c>
    </row>
    <row r="75" spans="1:16" x14ac:dyDescent="0.25">
      <c r="A75">
        <f>'Raw Data'!A59</f>
        <v>10</v>
      </c>
      <c r="B75">
        <f>'Raw Data'!B59</f>
        <v>11</v>
      </c>
      <c r="C75">
        <f>'Raw Data'!J59</f>
        <v>9</v>
      </c>
      <c r="D75" t="str">
        <f>'Interpreted Data'!G59</f>
        <v>26</v>
      </c>
      <c r="E75" t="str">
        <f>'Interpreted Data'!H59</f>
        <v>-</v>
      </c>
      <c r="F75" t="str">
        <f>SUBSTITUTE('Raw Data'!K59," ",":",1)</f>
        <v>12</v>
      </c>
      <c r="G75">
        <f>'Interpreted Data'!N59</f>
        <v>1.9</v>
      </c>
      <c r="H75" t="str">
        <f>'Interpreted Data'!P59</f>
        <v/>
      </c>
      <c r="I75" t="str">
        <f t="shared" si="25"/>
        <v xml:space="preserve"> </v>
      </c>
      <c r="J75">
        <f t="shared" si="22"/>
        <v>10</v>
      </c>
      <c r="K75">
        <f t="shared" si="23"/>
        <v>11</v>
      </c>
      <c r="L75">
        <f t="shared" si="18"/>
        <v>9</v>
      </c>
      <c r="M75" t="str">
        <f t="shared" si="19"/>
        <v>26</v>
      </c>
      <c r="N75" t="str">
        <f t="shared" si="20"/>
        <v>-</v>
      </c>
      <c r="O75" t="str">
        <f t="shared" si="24"/>
        <v>12</v>
      </c>
      <c r="P75" t="str">
        <f t="shared" si="21"/>
        <v/>
      </c>
    </row>
    <row r="76" spans="1:16" x14ac:dyDescent="0.25">
      <c r="A76">
        <f>'Raw Data'!A60</f>
        <v>11</v>
      </c>
      <c r="B76">
        <f>'Raw Data'!B60</f>
        <v>12</v>
      </c>
      <c r="C76">
        <f>'Raw Data'!J60</f>
        <v>10.7</v>
      </c>
      <c r="D76" t="str">
        <f>'Interpreted Data'!G60</f>
        <v>78</v>
      </c>
      <c r="E76" t="str">
        <f>'Interpreted Data'!H60</f>
        <v>-</v>
      </c>
      <c r="F76" t="str">
        <f>SUBSTITUTE('Raw Data'!K60," ",":",1)</f>
        <v>10</v>
      </c>
      <c r="G76">
        <f>'Interpreted Data'!N60</f>
        <v>1.9</v>
      </c>
      <c r="H76" t="str">
        <f>'Interpreted Data'!P60</f>
        <v/>
      </c>
      <c r="I76" t="str">
        <f t="shared" si="25"/>
        <v xml:space="preserve"> </v>
      </c>
      <c r="J76">
        <f t="shared" si="22"/>
        <v>11</v>
      </c>
      <c r="K76">
        <f t="shared" si="23"/>
        <v>12</v>
      </c>
      <c r="L76">
        <f t="shared" si="18"/>
        <v>10.7</v>
      </c>
      <c r="M76" t="str">
        <f t="shared" si="19"/>
        <v>78</v>
      </c>
      <c r="N76" t="str">
        <f t="shared" si="20"/>
        <v>-</v>
      </c>
      <c r="O76" t="str">
        <f t="shared" si="24"/>
        <v>10</v>
      </c>
      <c r="P76" t="str">
        <f t="shared" si="21"/>
        <v/>
      </c>
    </row>
    <row r="77" spans="1:16" x14ac:dyDescent="0.25">
      <c r="I77" t="str">
        <f t="shared" si="25"/>
        <v xml:space="preserve"> </v>
      </c>
      <c r="J77" t="str">
        <f>$J$2</f>
        <v>data diving from to tape compass backcompass depthchange ignoreall</v>
      </c>
    </row>
    <row r="78" spans="1:16" x14ac:dyDescent="0.25">
      <c r="A78">
        <f>'Raw Data'!A61</f>
        <v>12</v>
      </c>
      <c r="B78">
        <f>'Raw Data'!B61</f>
        <v>13</v>
      </c>
      <c r="C78">
        <f>'Raw Data'!J61</f>
        <v>8.5</v>
      </c>
      <c r="D78" t="str">
        <f>'Interpreted Data'!G61</f>
        <v>25</v>
      </c>
      <c r="E78" t="str">
        <f>'Interpreted Data'!H61</f>
        <v>-</v>
      </c>
      <c r="F78" t="str">
        <f>SUBSTITUTE('Raw Data'!K61," ",":",1)</f>
        <v>fall:2 feet</v>
      </c>
      <c r="G78">
        <f>'Interpreted Data'!N61</f>
        <v>-2</v>
      </c>
      <c r="H78" t="str">
        <f>'Interpreted Data'!P61</f>
        <v>Little passage goes uphill straight on</v>
      </c>
      <c r="I78" t="str">
        <f t="shared" si="25"/>
        <v xml:space="preserve"> </v>
      </c>
      <c r="J78">
        <f>A78</f>
        <v>12</v>
      </c>
      <c r="K78">
        <f>B78</f>
        <v>13</v>
      </c>
      <c r="L78">
        <f>C78</f>
        <v>8.5</v>
      </c>
      <c r="M78" t="str">
        <f>D78</f>
        <v>25</v>
      </c>
      <c r="N78" t="str">
        <f>E78</f>
        <v>-</v>
      </c>
      <c r="O78">
        <f>G78</f>
        <v>-2</v>
      </c>
      <c r="P78" t="str">
        <f>H78</f>
        <v>Little passage goes uphill straight on</v>
      </c>
    </row>
    <row r="79" spans="1:16" x14ac:dyDescent="0.25">
      <c r="I79" t="str">
        <f t="shared" si="25"/>
        <v xml:space="preserve"> </v>
      </c>
      <c r="J79" t="str">
        <f>$J$1</f>
        <v>data normal from to tape compass backcompass clino ignoreall</v>
      </c>
    </row>
    <row r="80" spans="1:16" x14ac:dyDescent="0.25">
      <c r="A80">
        <f>'Raw Data'!A62</f>
        <v>13</v>
      </c>
      <c r="B80">
        <f>'Raw Data'!B62</f>
        <v>14</v>
      </c>
      <c r="C80">
        <f>'Raw Data'!J62</f>
        <v>12.3</v>
      </c>
      <c r="D80" t="str">
        <f>'Interpreted Data'!G62</f>
        <v>85</v>
      </c>
      <c r="E80" t="str">
        <f>'Interpreted Data'!H62</f>
        <v>-</v>
      </c>
      <c r="F80" t="str">
        <f>SUBSTITUTE('Raw Data'!K62," ",":",1)</f>
        <v>9</v>
      </c>
      <c r="G80">
        <f>'Interpreted Data'!N62</f>
        <v>1.9</v>
      </c>
      <c r="H80" t="str">
        <f>'Interpreted Data'!P62</f>
        <v/>
      </c>
      <c r="I80" t="str">
        <f t="shared" si="25"/>
        <v xml:space="preserve"> </v>
      </c>
      <c r="J80">
        <f t="shared" ref="J80:N81" si="26">A80</f>
        <v>13</v>
      </c>
      <c r="K80">
        <f t="shared" si="26"/>
        <v>14</v>
      </c>
      <c r="L80">
        <f t="shared" si="26"/>
        <v>12.3</v>
      </c>
      <c r="M80" t="str">
        <f t="shared" si="26"/>
        <v>85</v>
      </c>
      <c r="N80" t="str">
        <f t="shared" si="26"/>
        <v>-</v>
      </c>
      <c r="O80" t="str">
        <f>IF(AND(D80="-",E80="-"),IF(1*SUBSTITUTE(F80,":",".")=-90,"DOWN",IF(1*SUBSTITUTE(F80,":",".")=90,"UP","no compass")),F80)</f>
        <v>9</v>
      </c>
      <c r="P80" t="str">
        <f>H80</f>
        <v/>
      </c>
    </row>
    <row r="81" spans="1:16" x14ac:dyDescent="0.25">
      <c r="A81">
        <f>'Raw Data'!A63</f>
        <v>14</v>
      </c>
      <c r="B81">
        <f>'Raw Data'!B63</f>
        <v>15</v>
      </c>
      <c r="C81">
        <f>'Raw Data'!J63</f>
        <v>11.6</v>
      </c>
      <c r="D81" t="str">
        <f>'Interpreted Data'!G63</f>
        <v>63</v>
      </c>
      <c r="E81" t="str">
        <f>'Interpreted Data'!H63</f>
        <v>-</v>
      </c>
      <c r="F81" t="str">
        <f>SUBSTITUTE('Raw Data'!K63," ",":",1)</f>
        <v>10</v>
      </c>
      <c r="G81">
        <f>'Interpreted Data'!N63</f>
        <v>2</v>
      </c>
      <c r="H81" t="str">
        <f>'Interpreted Data'!P63</f>
        <v/>
      </c>
      <c r="I81" t="str">
        <f t="shared" si="25"/>
        <v xml:space="preserve"> </v>
      </c>
      <c r="J81">
        <f t="shared" si="26"/>
        <v>14</v>
      </c>
      <c r="K81">
        <f t="shared" si="26"/>
        <v>15</v>
      </c>
      <c r="L81">
        <f t="shared" si="26"/>
        <v>11.6</v>
      </c>
      <c r="M81" t="str">
        <f t="shared" si="26"/>
        <v>63</v>
      </c>
      <c r="N81" t="str">
        <f t="shared" si="26"/>
        <v>-</v>
      </c>
      <c r="O81" t="str">
        <f>IF(AND(D81="-",E81="-"),IF(1*SUBSTITUTE(F81,":",".")=-90,"DOWN",IF(1*SUBSTITUTE(F81,":",".")=90,"UP","no compass")),F81)</f>
        <v>10</v>
      </c>
      <c r="P81" t="str">
        <f>H81</f>
        <v/>
      </c>
    </row>
    <row r="82" spans="1:16" x14ac:dyDescent="0.25">
      <c r="I82" t="str">
        <f t="shared" si="25"/>
        <v xml:space="preserve"> </v>
      </c>
      <c r="J82" t="str">
        <f>$J$2</f>
        <v>data diving from to tape compass backcompass depthchange ignoreall</v>
      </c>
    </row>
    <row r="83" spans="1:16" x14ac:dyDescent="0.25">
      <c r="A83">
        <f>'Raw Data'!A64</f>
        <v>15</v>
      </c>
      <c r="B83">
        <f>'Raw Data'!B64</f>
        <v>16</v>
      </c>
      <c r="C83">
        <f>'Raw Data'!J64</f>
        <v>12</v>
      </c>
      <c r="D83" t="str">
        <f>'Interpreted Data'!G64</f>
        <v>125</v>
      </c>
      <c r="E83" t="str">
        <f>'Interpreted Data'!H64</f>
        <v>-</v>
      </c>
      <c r="F83" t="str">
        <f>SUBSTITUTE('Raw Data'!K64," ",":",1)</f>
        <v>fall:3.5 feet</v>
      </c>
      <c r="G83">
        <f>'Interpreted Data'!N64</f>
        <v>-3.5</v>
      </c>
      <c r="H83" t="str">
        <f>'Interpreted Data'!P64</f>
        <v>Low creep at 4-10 feet. Chamber goes 15' in same line</v>
      </c>
      <c r="I83" t="str">
        <f t="shared" si="25"/>
        <v xml:space="preserve"> </v>
      </c>
      <c r="J83">
        <f>A83</f>
        <v>15</v>
      </c>
      <c r="K83">
        <f>B83</f>
        <v>16</v>
      </c>
      <c r="L83">
        <f>C83</f>
        <v>12</v>
      </c>
      <c r="M83" t="str">
        <f>D83</f>
        <v>125</v>
      </c>
      <c r="N83" t="str">
        <f>E83</f>
        <v>-</v>
      </c>
      <c r="O83">
        <f>G83</f>
        <v>-3.5</v>
      </c>
      <c r="P83" t="str">
        <f>H83</f>
        <v>Low creep at 4-10 feet. Chamber goes 15' in same line</v>
      </c>
    </row>
    <row r="84" spans="1:16" x14ac:dyDescent="0.25">
      <c r="I84" t="str">
        <f t="shared" si="25"/>
        <v xml:space="preserve"> </v>
      </c>
      <c r="J84" t="str">
        <f>$J$1</f>
        <v>data normal from to tape compass backcompass clino ignoreall</v>
      </c>
    </row>
    <row r="85" spans="1:16" x14ac:dyDescent="0.25">
      <c r="A85">
        <f>'Raw Data'!A65</f>
        <v>16</v>
      </c>
      <c r="B85">
        <f>'Raw Data'!B65</f>
        <v>17</v>
      </c>
      <c r="C85">
        <f>'Raw Data'!J65</f>
        <v>14.5</v>
      </c>
      <c r="D85" t="str">
        <f>'Interpreted Data'!G65</f>
        <v>-</v>
      </c>
      <c r="E85" t="str">
        <f>'Interpreted Data'!H65</f>
        <v>265</v>
      </c>
      <c r="F85" t="str">
        <f>SUBSTITUTE('Raw Data'!K65," ",":",1)</f>
        <v>6</v>
      </c>
      <c r="G85">
        <f>'Interpreted Data'!N65</f>
        <v>1.5</v>
      </c>
      <c r="H85" t="str">
        <f>'Interpreted Data'!P65</f>
        <v/>
      </c>
      <c r="I85" t="str">
        <f t="shared" si="25"/>
        <v xml:space="preserve"> </v>
      </c>
      <c r="J85">
        <f t="shared" ref="J85:N86" si="27">A85</f>
        <v>16</v>
      </c>
      <c r="K85">
        <f t="shared" si="27"/>
        <v>17</v>
      </c>
      <c r="L85">
        <f t="shared" si="27"/>
        <v>14.5</v>
      </c>
      <c r="M85" t="str">
        <f t="shared" si="27"/>
        <v>-</v>
      </c>
      <c r="N85" t="str">
        <f t="shared" si="27"/>
        <v>265</v>
      </c>
      <c r="O85" t="str">
        <f>IF(AND(D85="-",E85="-"),IF(1*SUBSTITUTE(F85,":",".")=-90,"DOWN",IF(1*SUBSTITUTE(F85,":",".")=90,"UP","no compass")),F85)</f>
        <v>6</v>
      </c>
      <c r="P85" t="str">
        <f>H85</f>
        <v/>
      </c>
    </row>
    <row r="86" spans="1:16" x14ac:dyDescent="0.25">
      <c r="A86">
        <f>'Raw Data'!A66</f>
        <v>17</v>
      </c>
      <c r="B86">
        <f>'Raw Data'!B66</f>
        <v>18</v>
      </c>
      <c r="C86">
        <f>'Raw Data'!J66</f>
        <v>12.6</v>
      </c>
      <c r="D86" t="str">
        <f>'Interpreted Data'!G66</f>
        <v>22</v>
      </c>
      <c r="E86" t="str">
        <f>'Interpreted Data'!H66</f>
        <v>-</v>
      </c>
      <c r="F86" t="str">
        <f>SUBSTITUTE('Raw Data'!K66," ",":",1)</f>
        <v>6</v>
      </c>
      <c r="G86">
        <f>'Interpreted Data'!N66</f>
        <v>1.3</v>
      </c>
      <c r="H86" t="str">
        <f>'Interpreted Data'!P66</f>
        <v/>
      </c>
      <c r="I86" t="str">
        <f t="shared" si="25"/>
        <v xml:space="preserve"> </v>
      </c>
      <c r="J86">
        <f t="shared" si="27"/>
        <v>17</v>
      </c>
      <c r="K86">
        <f t="shared" si="27"/>
        <v>18</v>
      </c>
      <c r="L86">
        <f t="shared" si="27"/>
        <v>12.6</v>
      </c>
      <c r="M86" t="str">
        <f t="shared" si="27"/>
        <v>22</v>
      </c>
      <c r="N86" t="str">
        <f t="shared" si="27"/>
        <v>-</v>
      </c>
      <c r="O86" t="str">
        <f>IF(AND(D86="-",E86="-"),IF(1*SUBSTITUTE(F86,":",".")=-90,"DOWN",IF(1*SUBSTITUTE(F86,":",".")=90,"UP","no compass")),F86)</f>
        <v>6</v>
      </c>
      <c r="P86" t="str">
        <f>H86</f>
        <v/>
      </c>
    </row>
    <row r="87" spans="1:16" x14ac:dyDescent="0.25">
      <c r="A87">
        <f>'Raw Data'!A67</f>
        <v>18</v>
      </c>
      <c r="B87">
        <f>'Raw Data'!B67</f>
        <v>19</v>
      </c>
      <c r="C87">
        <f>'Raw Data'!J67</f>
        <v>11</v>
      </c>
      <c r="D87" t="str">
        <f>'Interpreted Data'!G67</f>
        <v>-</v>
      </c>
      <c r="E87" t="str">
        <f>'Interpreted Data'!H67</f>
        <v>-</v>
      </c>
      <c r="F87" t="str">
        <f>SUBSTITUTE('Raw Data'!K67," ",":",1)</f>
        <v>-90</v>
      </c>
      <c r="G87">
        <f>'Interpreted Data'!N67</f>
        <v>-11</v>
      </c>
      <c r="H87" t="str">
        <f>'Interpreted Data'!P67</f>
        <v>18 is in crack at top of "11 foot drop"</v>
      </c>
      <c r="I87" t="str">
        <f t="shared" si="25"/>
        <v xml:space="preserve"> </v>
      </c>
      <c r="J87" t="str">
        <f>CONCATENATE("# (duplicated in notes) ",A87)</f>
        <v># (duplicated in notes) 18</v>
      </c>
      <c r="K87">
        <f>B87</f>
        <v>19</v>
      </c>
      <c r="L87">
        <f>C87</f>
        <v>11</v>
      </c>
      <c r="M87" t="str">
        <f>D87</f>
        <v>-</v>
      </c>
      <c r="N87" t="str">
        <f>E87</f>
        <v>-</v>
      </c>
      <c r="O87" t="str">
        <f>IF(AND(D87="-",E87="-"),IF(1*SUBSTITUTE(F87,":",".")=-90,"DOWN",IF(1*SUBSTITUTE(F87,":",".")=90,"UP","no compass")),F87)</f>
        <v>DOWN</v>
      </c>
      <c r="P87" t="str">
        <f>H87</f>
        <v>18 is in crack at top of "11 foot drop"</v>
      </c>
    </row>
    <row r="89" spans="1:16" x14ac:dyDescent="0.25">
      <c r="A89" t="str">
        <f>'Raw Data'!A69</f>
        <v>p. 51-52</v>
      </c>
      <c r="B89" t="str">
        <f>'Raw Data'!B69</f>
        <v>(=PDF p.55-56)</v>
      </c>
      <c r="I89" t="str">
        <f t="shared" si="25"/>
        <v xml:space="preserve"> </v>
      </c>
      <c r="J89" t="str">
        <f>CONCATENATE("# ",A89)</f>
        <v># p. 51-52</v>
      </c>
      <c r="K89" t="str">
        <f>B89</f>
        <v>(=PDF p.55-56)</v>
      </c>
    </row>
    <row r="90" spans="1:16" x14ac:dyDescent="0.25">
      <c r="A90" t="str">
        <f>'Raw Data'!A70</f>
        <v>30th March 1952</v>
      </c>
      <c r="I90" t="str">
        <f t="shared" si="25"/>
        <v xml:space="preserve"> </v>
      </c>
      <c r="J90" t="str">
        <f>CONCATENATE("# ",A90)</f>
        <v># 30th March 1952</v>
      </c>
    </row>
    <row r="91" spans="1:16" x14ac:dyDescent="0.25">
      <c r="I91" t="str">
        <f t="shared" si="25"/>
        <v xml:space="preserve"> </v>
      </c>
      <c r="J91" t="str">
        <f>$J$1</f>
        <v>data normal from to tape compass backcompass clino ignoreall</v>
      </c>
    </row>
    <row r="92" spans="1:16" x14ac:dyDescent="0.25">
      <c r="A92" t="str">
        <f>'Raw Data'!A71</f>
        <v>B1</v>
      </c>
      <c r="B92" t="str">
        <f>'Raw Data'!B71</f>
        <v>AA</v>
      </c>
      <c r="C92">
        <f>'Raw Data'!J71</f>
        <v>78.099999999999994</v>
      </c>
      <c r="D92" t="str">
        <f>'Interpreted Data'!G71</f>
        <v>-</v>
      </c>
      <c r="E92" t="str">
        <f>'Interpreted Data'!H71</f>
        <v>293:40</v>
      </c>
      <c r="F92" t="str">
        <f>SUBSTITUTE('Raw Data'!K71," ",":",1)</f>
        <v>9:30</v>
      </c>
      <c r="G92">
        <f>'Interpreted Data'!N71</f>
        <v>12.9</v>
      </c>
      <c r="H92" t="str">
        <f>'Interpreted Data'!P71</f>
        <v>B1 ('beta' in original notes) is station B1 of page 45, at entrance to "P.G." passage</v>
      </c>
      <c r="J92" t="str">
        <f t="shared" ref="J92:J103" si="28">A92</f>
        <v>B1</v>
      </c>
      <c r="K92" t="str">
        <f t="shared" ref="K92:K103" si="29">B92</f>
        <v>AA</v>
      </c>
      <c r="L92">
        <f t="shared" ref="L92:L103" si="30">C92</f>
        <v>78.099999999999994</v>
      </c>
      <c r="M92" t="str">
        <f t="shared" ref="M92:M103" si="31">D92</f>
        <v>-</v>
      </c>
      <c r="N92" t="str">
        <f t="shared" ref="N92:N103" si="32">E92</f>
        <v>293:40</v>
      </c>
      <c r="O92" t="str">
        <f t="shared" ref="O92:O103" si="33">IF(AND(D92="-",E92="-"),IF(1*SUBSTITUTE(F92,":",".")=-90,"DOWN",IF(1*SUBSTITUTE(F92,":",".")=90,"UP","no compass")),F92)</f>
        <v>9:30</v>
      </c>
      <c r="P92" t="str">
        <f t="shared" ref="P92:P106" si="34">H92</f>
        <v>B1 ('beta' in original notes) is station B1 of page 45, at entrance to "P.G." passage</v>
      </c>
    </row>
    <row r="93" spans="1:16" x14ac:dyDescent="0.25">
      <c r="A93" t="str">
        <f>'Raw Data'!A72</f>
        <v>AA</v>
      </c>
      <c r="B93" t="str">
        <f>'Raw Data'!B72</f>
        <v>AB</v>
      </c>
      <c r="C93">
        <f>'Raw Data'!J72</f>
        <v>24.1</v>
      </c>
      <c r="D93" t="str">
        <f>'Interpreted Data'!G72</f>
        <v>115:30</v>
      </c>
      <c r="E93" t="str">
        <f>'Interpreted Data'!H72</f>
        <v>-</v>
      </c>
      <c r="F93" t="str">
        <f>SUBSTITUTE('Raw Data'!K72," ",":",1)</f>
        <v>-5:30</v>
      </c>
      <c r="G93">
        <f>'Interpreted Data'!N72</f>
        <v>-2.2999999999999998</v>
      </c>
      <c r="H93" t="str">
        <f>'Interpreted Data'!P72</f>
        <v>AA on a big high rock</v>
      </c>
      <c r="I93" t="str">
        <f t="shared" si="25"/>
        <v xml:space="preserve"> </v>
      </c>
      <c r="J93" t="str">
        <f t="shared" si="28"/>
        <v>AA</v>
      </c>
      <c r="K93" t="str">
        <f t="shared" si="29"/>
        <v>AB</v>
      </c>
      <c r="L93">
        <f t="shared" si="30"/>
        <v>24.1</v>
      </c>
      <c r="M93" t="str">
        <f t="shared" si="31"/>
        <v>115:30</v>
      </c>
      <c r="N93" t="str">
        <f t="shared" si="32"/>
        <v>-</v>
      </c>
      <c r="O93" t="str">
        <f t="shared" si="33"/>
        <v>-5:30</v>
      </c>
      <c r="P93" t="str">
        <f t="shared" si="34"/>
        <v>AA on a big high rock</v>
      </c>
    </row>
    <row r="94" spans="1:16" x14ac:dyDescent="0.25">
      <c r="A94" t="str">
        <f>'Raw Data'!A73</f>
        <v>AB</v>
      </c>
      <c r="B94" t="str">
        <f>'Raw Data'!B73</f>
        <v>AC</v>
      </c>
      <c r="C94">
        <f>'Raw Data'!J73</f>
        <v>29.2</v>
      </c>
      <c r="D94" t="str">
        <f>'Interpreted Data'!G73</f>
        <v>-</v>
      </c>
      <c r="E94" t="str">
        <f>'Interpreted Data'!H73</f>
        <v>277:50</v>
      </c>
      <c r="F94" t="str">
        <f>SUBSTITUTE('Raw Data'!K73," ",":",1)</f>
        <v>0:30</v>
      </c>
      <c r="G94">
        <f>'Interpreted Data'!N73</f>
        <v>0.3</v>
      </c>
      <c r="H94" t="str">
        <f>'Interpreted Data'!P73</f>
        <v>AB on big rock. Stream sinks below boulders.</v>
      </c>
      <c r="I94" t="str">
        <f t="shared" si="25"/>
        <v xml:space="preserve"> </v>
      </c>
      <c r="J94" t="str">
        <f t="shared" si="28"/>
        <v>AB</v>
      </c>
      <c r="K94" t="str">
        <f t="shared" si="29"/>
        <v>AC</v>
      </c>
      <c r="L94">
        <f t="shared" si="30"/>
        <v>29.2</v>
      </c>
      <c r="M94" t="str">
        <f t="shared" si="31"/>
        <v>-</v>
      </c>
      <c r="N94" t="str">
        <f t="shared" si="32"/>
        <v>277:50</v>
      </c>
      <c r="O94" t="str">
        <f t="shared" si="33"/>
        <v>0:30</v>
      </c>
      <c r="P94" t="str">
        <f t="shared" si="34"/>
        <v>AB on big rock. Stream sinks below boulders.</v>
      </c>
    </row>
    <row r="95" spans="1:16" x14ac:dyDescent="0.25">
      <c r="A95" t="str">
        <f>'Raw Data'!A74</f>
        <v>AC</v>
      </c>
      <c r="B95" t="str">
        <f>'Raw Data'!B74</f>
        <v>AD</v>
      </c>
      <c r="C95">
        <f>'Raw Data'!J74</f>
        <v>10.6</v>
      </c>
      <c r="D95" t="str">
        <f>'Interpreted Data'!G74</f>
        <v>121:00</v>
      </c>
      <c r="E95" t="str">
        <f>'Interpreted Data'!H74</f>
        <v>-</v>
      </c>
      <c r="F95" t="str">
        <f>SUBSTITUTE('Raw Data'!K74," ",":",1)</f>
        <v>22:30</v>
      </c>
      <c r="G95">
        <f>'Interpreted Data'!N74</f>
        <v>4.0999999999999996</v>
      </c>
      <c r="H95" t="str">
        <f>'Interpreted Data'!P74</f>
        <v>AC on dirty great big rock.</v>
      </c>
      <c r="I95" t="str">
        <f t="shared" si="25"/>
        <v xml:space="preserve"> </v>
      </c>
      <c r="J95" t="str">
        <f t="shared" si="28"/>
        <v>AC</v>
      </c>
      <c r="K95" t="str">
        <f t="shared" si="29"/>
        <v>AD</v>
      </c>
      <c r="L95">
        <f t="shared" si="30"/>
        <v>10.6</v>
      </c>
      <c r="M95" t="str">
        <f t="shared" si="31"/>
        <v>121:00</v>
      </c>
      <c r="N95" t="str">
        <f t="shared" si="32"/>
        <v>-</v>
      </c>
      <c r="O95" t="str">
        <f t="shared" si="33"/>
        <v>22:30</v>
      </c>
      <c r="P95" t="str">
        <f t="shared" si="34"/>
        <v>AC on dirty great big rock.</v>
      </c>
    </row>
    <row r="96" spans="1:16" x14ac:dyDescent="0.25">
      <c r="A96" t="str">
        <f>'Raw Data'!A75</f>
        <v>AD</v>
      </c>
      <c r="B96" t="str">
        <f>'Raw Data'!B75</f>
        <v>AE</v>
      </c>
      <c r="C96">
        <f>'Raw Data'!J75</f>
        <v>48.3</v>
      </c>
      <c r="D96" t="str">
        <f>'Interpreted Data'!G75</f>
        <v>-</v>
      </c>
      <c r="E96" t="str">
        <f>'Interpreted Data'!H75</f>
        <v>290:00</v>
      </c>
      <c r="F96" t="str">
        <f>SUBSTITUTE('Raw Data'!K75," ",":",1)</f>
        <v>9:40</v>
      </c>
      <c r="G96">
        <f>'Interpreted Data'!N75</f>
        <v>8.1</v>
      </c>
      <c r="H96" t="str">
        <f>'Interpreted Data'!P75</f>
        <v>Stream rises from boulders.</v>
      </c>
      <c r="I96" t="str">
        <f t="shared" si="25"/>
        <v xml:space="preserve"> </v>
      </c>
      <c r="J96" t="str">
        <f t="shared" si="28"/>
        <v>AD</v>
      </c>
      <c r="K96" t="str">
        <f t="shared" si="29"/>
        <v>AE</v>
      </c>
      <c r="L96">
        <f t="shared" si="30"/>
        <v>48.3</v>
      </c>
      <c r="M96" t="str">
        <f t="shared" si="31"/>
        <v>-</v>
      </c>
      <c r="N96" t="str">
        <f t="shared" si="32"/>
        <v>290:00</v>
      </c>
      <c r="O96" t="str">
        <f t="shared" si="33"/>
        <v>9:40</v>
      </c>
      <c r="P96" t="str">
        <f t="shared" si="34"/>
        <v>Stream rises from boulders.</v>
      </c>
    </row>
    <row r="97" spans="1:16" x14ac:dyDescent="0.25">
      <c r="A97" t="str">
        <f>'Raw Data'!A76</f>
        <v>AE</v>
      </c>
      <c r="B97" t="str">
        <f>'Raw Data'!B76</f>
        <v>AF</v>
      </c>
      <c r="C97">
        <f>'Raw Data'!J76</f>
        <v>17</v>
      </c>
      <c r="D97" t="str">
        <f>'Interpreted Data'!G76</f>
        <v>050:30</v>
      </c>
      <c r="E97" t="str">
        <f>'Interpreted Data'!H76</f>
        <v>-</v>
      </c>
      <c r="F97" t="str">
        <f>SUBSTITUTE('Raw Data'!K76," ",":",1)</f>
        <v>10:20</v>
      </c>
      <c r="G97">
        <f>'Interpreted Data'!N76</f>
        <v>3</v>
      </c>
      <c r="H97" t="str">
        <f>'Interpreted Data'!P76</f>
        <v>Stream sinks below boulders.</v>
      </c>
      <c r="I97" t="str">
        <f t="shared" si="25"/>
        <v xml:space="preserve"> </v>
      </c>
      <c r="J97" t="str">
        <f t="shared" si="28"/>
        <v>AE</v>
      </c>
      <c r="K97" t="str">
        <f t="shared" si="29"/>
        <v>AF</v>
      </c>
      <c r="L97">
        <f t="shared" si="30"/>
        <v>17</v>
      </c>
      <c r="M97" t="str">
        <f t="shared" si="31"/>
        <v>050:30</v>
      </c>
      <c r="N97" t="str">
        <f t="shared" si="32"/>
        <v>-</v>
      </c>
      <c r="O97" t="str">
        <f t="shared" si="33"/>
        <v>10:20</v>
      </c>
      <c r="P97" t="str">
        <f t="shared" si="34"/>
        <v>Stream sinks below boulders.</v>
      </c>
    </row>
    <row r="98" spans="1:16" x14ac:dyDescent="0.25">
      <c r="A98" t="str">
        <f>'Raw Data'!A77</f>
        <v>AF</v>
      </c>
      <c r="B98" t="str">
        <f>'Raw Data'!B77</f>
        <v>AG</v>
      </c>
      <c r="C98">
        <f>'Raw Data'!J77</f>
        <v>20.2</v>
      </c>
      <c r="D98" t="str">
        <f>'Interpreted Data'!G77</f>
        <v>-</v>
      </c>
      <c r="E98" t="str">
        <f>'Interpreted Data'!H77</f>
        <v>313:00</v>
      </c>
      <c r="F98" t="str">
        <f>SUBSTITUTE('Raw Data'!K77," ",":",1)</f>
        <v>3:00</v>
      </c>
      <c r="G98">
        <f>'Interpreted Data'!N77</f>
        <v>1.1000000000000001</v>
      </c>
      <c r="H98" t="str">
        <f>'Interpreted Data'!P77</f>
        <v>AF above waterfall.</v>
      </c>
      <c r="I98" t="str">
        <f t="shared" si="25"/>
        <v xml:space="preserve"> </v>
      </c>
      <c r="J98" t="str">
        <f t="shared" si="28"/>
        <v>AF</v>
      </c>
      <c r="K98" t="str">
        <f t="shared" si="29"/>
        <v>AG</v>
      </c>
      <c r="L98">
        <f t="shared" si="30"/>
        <v>20.2</v>
      </c>
      <c r="M98" t="str">
        <f t="shared" si="31"/>
        <v>-</v>
      </c>
      <c r="N98" t="str">
        <f t="shared" si="32"/>
        <v>313:00</v>
      </c>
      <c r="O98" t="str">
        <f t="shared" si="33"/>
        <v>3:00</v>
      </c>
      <c r="P98" t="str">
        <f t="shared" si="34"/>
        <v>AF above waterfall.</v>
      </c>
    </row>
    <row r="99" spans="1:16" x14ac:dyDescent="0.25">
      <c r="A99" t="str">
        <f>'Raw Data'!A78</f>
        <v>AG</v>
      </c>
      <c r="B99" t="str">
        <f>'Raw Data'!B78</f>
        <v>AH</v>
      </c>
      <c r="C99">
        <f>'Raw Data'!J78</f>
        <v>10.1</v>
      </c>
      <c r="D99" t="str">
        <f>'Interpreted Data'!G78</f>
        <v>195:50</v>
      </c>
      <c r="E99" t="str">
        <f>'Interpreted Data'!H78</f>
        <v>-</v>
      </c>
      <c r="F99" t="str">
        <f>SUBSTITUTE('Raw Data'!K78," ",":",1)</f>
        <v>11:20</v>
      </c>
      <c r="G99">
        <f>'Interpreted Data'!N78</f>
        <v>2</v>
      </c>
      <c r="H99" t="str">
        <f>'Interpreted Data'!P78</f>
        <v/>
      </c>
      <c r="I99" t="str">
        <f t="shared" si="25"/>
        <v xml:space="preserve"> </v>
      </c>
      <c r="J99" t="str">
        <f t="shared" si="28"/>
        <v>AG</v>
      </c>
      <c r="K99" t="str">
        <f t="shared" si="29"/>
        <v>AH</v>
      </c>
      <c r="L99">
        <f t="shared" si="30"/>
        <v>10.1</v>
      </c>
      <c r="M99" t="str">
        <f t="shared" si="31"/>
        <v>195:50</v>
      </c>
      <c r="N99" t="str">
        <f t="shared" si="32"/>
        <v>-</v>
      </c>
      <c r="O99" t="str">
        <f t="shared" si="33"/>
        <v>11:20</v>
      </c>
      <c r="P99" t="str">
        <f t="shared" si="34"/>
        <v/>
      </c>
    </row>
    <row r="100" spans="1:16" x14ac:dyDescent="0.25">
      <c r="A100" t="str">
        <f>'Raw Data'!A79</f>
        <v>AH</v>
      </c>
      <c r="B100" t="str">
        <f>'Raw Data'!B79</f>
        <v>AI</v>
      </c>
      <c r="C100">
        <f>'Raw Data'!J79</f>
        <v>41.6</v>
      </c>
      <c r="D100" t="str">
        <f>'Interpreted Data'!G79</f>
        <v>-</v>
      </c>
      <c r="E100" t="str">
        <f>'Interpreted Data'!H79</f>
        <v>292:10</v>
      </c>
      <c r="F100" t="str">
        <f>SUBSTITUTE('Raw Data'!K79," ",":",1)</f>
        <v>4:50</v>
      </c>
      <c r="G100">
        <f>'Interpreted Data'!N79</f>
        <v>3.5</v>
      </c>
      <c r="H100" t="str">
        <f>'Interpreted Data'!P79</f>
        <v/>
      </c>
      <c r="I100" t="str">
        <f t="shared" si="25"/>
        <v xml:space="preserve"> </v>
      </c>
      <c r="J100" t="str">
        <f t="shared" si="28"/>
        <v>AH</v>
      </c>
      <c r="K100" t="str">
        <f t="shared" si="29"/>
        <v>AI</v>
      </c>
      <c r="L100">
        <f t="shared" si="30"/>
        <v>41.6</v>
      </c>
      <c r="M100" t="str">
        <f t="shared" si="31"/>
        <v>-</v>
      </c>
      <c r="N100" t="str">
        <f t="shared" si="32"/>
        <v>292:10</v>
      </c>
      <c r="O100" t="str">
        <f t="shared" si="33"/>
        <v>4:50</v>
      </c>
      <c r="P100" t="str">
        <f t="shared" si="34"/>
        <v/>
      </c>
    </row>
    <row r="101" spans="1:16" x14ac:dyDescent="0.25">
      <c r="A101" t="str">
        <f>'Raw Data'!A80</f>
        <v>AI</v>
      </c>
      <c r="B101" t="str">
        <f>'Raw Data'!B80</f>
        <v>AJ</v>
      </c>
      <c r="C101">
        <f>'Raw Data'!J80</f>
        <v>34.200000000000003</v>
      </c>
      <c r="D101" t="str">
        <f>'Interpreted Data'!G80</f>
        <v>138:30</v>
      </c>
      <c r="E101" t="str">
        <f>'Interpreted Data'!H80</f>
        <v>-</v>
      </c>
      <c r="F101" t="str">
        <f>SUBSTITUTE('Raw Data'!K80," ",":",1)</f>
        <v>6:30</v>
      </c>
      <c r="G101">
        <f>'Interpreted Data'!N80</f>
        <v>3.9</v>
      </c>
      <c r="H101" t="str">
        <f>'Interpreted Data'!P80</f>
        <v/>
      </c>
      <c r="I101" t="str">
        <f t="shared" si="25"/>
        <v xml:space="preserve"> </v>
      </c>
      <c r="J101" t="str">
        <f t="shared" si="28"/>
        <v>AI</v>
      </c>
      <c r="K101" t="str">
        <f t="shared" si="29"/>
        <v>AJ</v>
      </c>
      <c r="L101">
        <f t="shared" si="30"/>
        <v>34.200000000000003</v>
      </c>
      <c r="M101" t="str">
        <f t="shared" si="31"/>
        <v>138:30</v>
      </c>
      <c r="N101" t="str">
        <f t="shared" si="32"/>
        <v>-</v>
      </c>
      <c r="O101" t="str">
        <f t="shared" si="33"/>
        <v>6:30</v>
      </c>
      <c r="P101" t="str">
        <f t="shared" si="34"/>
        <v/>
      </c>
    </row>
    <row r="102" spans="1:16" x14ac:dyDescent="0.25">
      <c r="A102" t="str">
        <f>'Raw Data'!A81</f>
        <v>AJ</v>
      </c>
      <c r="B102" t="str">
        <f>'Raw Data'!B81</f>
        <v>AK</v>
      </c>
      <c r="C102">
        <f>'Raw Data'!J81</f>
        <v>31.8</v>
      </c>
      <c r="D102" t="str">
        <f>'Interpreted Data'!G81</f>
        <v>-</v>
      </c>
      <c r="E102" t="str">
        <f>'Interpreted Data'!H81</f>
        <v>286:00</v>
      </c>
      <c r="F102" t="str">
        <f>SUBSTITUTE('Raw Data'!K81," ",":",1)</f>
        <v>14:30</v>
      </c>
      <c r="G102">
        <f>'Interpreted Data'!N81</f>
        <v>8</v>
      </c>
      <c r="H102" t="str">
        <f>'Interpreted Data'!P81</f>
        <v/>
      </c>
      <c r="I102" t="str">
        <f t="shared" si="25"/>
        <v xml:space="preserve"> </v>
      </c>
      <c r="J102" t="str">
        <f t="shared" si="28"/>
        <v>AJ</v>
      </c>
      <c r="K102" t="str">
        <f t="shared" si="29"/>
        <v>AK</v>
      </c>
      <c r="L102">
        <f t="shared" si="30"/>
        <v>31.8</v>
      </c>
      <c r="M102" t="str">
        <f t="shared" si="31"/>
        <v>-</v>
      </c>
      <c r="N102" t="str">
        <f t="shared" si="32"/>
        <v>286:00</v>
      </c>
      <c r="O102" t="str">
        <f t="shared" si="33"/>
        <v>14:30</v>
      </c>
      <c r="P102" t="str">
        <f t="shared" si="34"/>
        <v/>
      </c>
    </row>
    <row r="103" spans="1:16" x14ac:dyDescent="0.25">
      <c r="A103" t="str">
        <f>'Raw Data'!A82</f>
        <v>AK</v>
      </c>
      <c r="B103" t="str">
        <f>'Raw Data'!B82</f>
        <v>AL</v>
      </c>
      <c r="C103">
        <f>'Raw Data'!J82</f>
        <v>11.3</v>
      </c>
      <c r="D103" t="str">
        <f>'Interpreted Data'!G82</f>
        <v>044:00</v>
      </c>
      <c r="E103" t="str">
        <f>'Interpreted Data'!H82</f>
        <v>-</v>
      </c>
      <c r="F103" t="str">
        <f>SUBSTITUTE('Raw Data'!K82," ",":",1)</f>
        <v>-0:30</v>
      </c>
      <c r="G103">
        <f>'Interpreted Data'!N82</f>
        <v>-0.1</v>
      </c>
      <c r="H103" t="str">
        <f>'Interpreted Data'!P82</f>
        <v>AK is below hole into Upper Grottos. Asellus (sp?) present.</v>
      </c>
      <c r="I103" t="str">
        <f t="shared" si="25"/>
        <v xml:space="preserve"> </v>
      </c>
      <c r="J103" t="str">
        <f t="shared" si="28"/>
        <v>AK</v>
      </c>
      <c r="K103" t="str">
        <f t="shared" si="29"/>
        <v>AL</v>
      </c>
      <c r="L103">
        <f t="shared" si="30"/>
        <v>11.3</v>
      </c>
      <c r="M103" t="str">
        <f t="shared" si="31"/>
        <v>044:00</v>
      </c>
      <c r="N103" t="str">
        <f t="shared" si="32"/>
        <v>-</v>
      </c>
      <c r="O103" t="str">
        <f t="shared" si="33"/>
        <v>-0:30</v>
      </c>
      <c r="P103" t="str">
        <f t="shared" si="34"/>
        <v>AK is below hole into Upper Grottos. Asellus (sp?) present.</v>
      </c>
    </row>
    <row r="104" spans="1:16" x14ac:dyDescent="0.25">
      <c r="A104" t="str">
        <f>'Raw Data'!A83</f>
        <v>AL</v>
      </c>
      <c r="B104">
        <f>'Raw Data'!B83</f>
        <v>0</v>
      </c>
      <c r="C104">
        <f>'Raw Data'!J83</f>
        <v>0</v>
      </c>
      <c r="D104" t="str">
        <f>'Interpreted Data'!G83</f>
        <v>-</v>
      </c>
      <c r="E104" t="str">
        <f>'Interpreted Data'!H83</f>
        <v>-</v>
      </c>
      <c r="F104" t="str">
        <f>SUBSTITUTE('Raw Data'!K83," ",":",1)</f>
        <v/>
      </c>
      <c r="G104" t="str">
        <f>'Interpreted Data'!N83</f>
        <v/>
      </c>
      <c r="H104" t="str">
        <f>'Interpreted Data'!P83</f>
        <v>Total = 1,918'</v>
      </c>
      <c r="I104" t="str">
        <f t="shared" si="25"/>
        <v xml:space="preserve"> </v>
      </c>
      <c r="J104" t="s">
        <v>76</v>
      </c>
      <c r="K104" t="str">
        <f>A104</f>
        <v>AL</v>
      </c>
      <c r="P104" t="str">
        <f t="shared" si="34"/>
        <v>Total = 1,918'</v>
      </c>
    </row>
    <row r="106" spans="1:16" x14ac:dyDescent="0.25">
      <c r="A106" t="str">
        <f>'Raw Data'!A85</f>
        <v>2nd April 1952</v>
      </c>
      <c r="B106" t="str">
        <f>'Raw Data'!B85</f>
        <v>Cono &amp; Roy Blewett</v>
      </c>
      <c r="G106" t="str">
        <f>'Interpreted Data'!N85</f>
        <v/>
      </c>
      <c r="H106" t="str">
        <f>'Interpreted Data'!P85</f>
        <v/>
      </c>
      <c r="I106" t="str">
        <f t="shared" si="25"/>
        <v xml:space="preserve"> </v>
      </c>
      <c r="J106" t="str">
        <f>CONCATENATE("# ",A106)</f>
        <v># 2nd April 1952</v>
      </c>
      <c r="K106" t="str">
        <f>B106</f>
        <v>Cono &amp; Roy Blewett</v>
      </c>
      <c r="P106" t="str">
        <f t="shared" si="34"/>
        <v/>
      </c>
    </row>
    <row r="107" spans="1:16" x14ac:dyDescent="0.25">
      <c r="I107" t="str">
        <f t="shared" si="25"/>
        <v xml:space="preserve"> </v>
      </c>
      <c r="J107" t="str">
        <f>$J$1</f>
        <v>data normal from to tape compass backcompass clino ignoreall</v>
      </c>
    </row>
    <row r="108" spans="1:16" x14ac:dyDescent="0.25">
      <c r="A108" t="str">
        <f>'Raw Data'!A86</f>
        <v>AL</v>
      </c>
      <c r="B108" t="str">
        <f>'Raw Data'!B86</f>
        <v>AN</v>
      </c>
      <c r="C108">
        <f>'Raw Data'!J86</f>
        <v>12.8</v>
      </c>
      <c r="D108" t="str">
        <f>'Interpreted Data'!G86</f>
        <v>-</v>
      </c>
      <c r="E108" t="str">
        <f>'Interpreted Data'!H86</f>
        <v>126:40</v>
      </c>
      <c r="F108" t="str">
        <f>SUBSTITUTE('Raw Data'!K86," ",":",1)</f>
        <v>-4:30</v>
      </c>
      <c r="G108">
        <f>'Interpreted Data'!N86</f>
        <v>-1</v>
      </c>
      <c r="H108" t="str">
        <f>'Interpreted Data'!P86</f>
        <v>AL is start of St. Pauls survey</v>
      </c>
      <c r="J108" t="str">
        <f t="shared" ref="J108:J119" si="35">A108</f>
        <v>AL</v>
      </c>
      <c r="K108" t="str">
        <f t="shared" ref="K108:K119" si="36">B108</f>
        <v>AN</v>
      </c>
      <c r="L108">
        <f t="shared" ref="L108:L119" si="37">C108</f>
        <v>12.8</v>
      </c>
      <c r="M108" t="str">
        <f t="shared" ref="M108:M119" si="38">D108</f>
        <v>-</v>
      </c>
      <c r="N108" t="str">
        <f t="shared" ref="N108:N119" si="39">E108</f>
        <v>126:40</v>
      </c>
      <c r="O108" t="str">
        <f t="shared" ref="O108:O119" si="40">IF(AND(D108="-",E108="-"),IF(1*SUBSTITUTE(F108,":",".")=-90,"DOWN",IF(1*SUBSTITUTE(F108,":",".")=90,"UP","no compass")),F108)</f>
        <v>-4:30</v>
      </c>
      <c r="P108" t="str">
        <f t="shared" ref="P108:P120" si="41">H108</f>
        <v>AL is start of St. Pauls survey</v>
      </c>
    </row>
    <row r="109" spans="1:16" x14ac:dyDescent="0.25">
      <c r="A109" t="str">
        <f>'Raw Data'!A87</f>
        <v>AN</v>
      </c>
      <c r="B109" t="str">
        <f>'Raw Data'!B87</f>
        <v>AO</v>
      </c>
      <c r="C109">
        <f>'Raw Data'!J87</f>
        <v>16.8</v>
      </c>
      <c r="D109" t="str">
        <f>'Interpreted Data'!G87</f>
        <v>025:20</v>
      </c>
      <c r="E109" t="str">
        <f>'Interpreted Data'!H87</f>
        <v>-</v>
      </c>
      <c r="F109" t="str">
        <f>SUBSTITUTE('Raw Data'!K87," ",":",1)</f>
        <v>26:00</v>
      </c>
      <c r="G109">
        <f>'Interpreted Data'!N87</f>
        <v>7.4</v>
      </c>
      <c r="H109" t="str">
        <f>'Interpreted Data'!P87</f>
        <v>AN is at S. end of lower big pot.</v>
      </c>
      <c r="I109" t="str">
        <f t="shared" si="25"/>
        <v xml:space="preserve"> </v>
      </c>
      <c r="J109" t="str">
        <f t="shared" si="35"/>
        <v>AN</v>
      </c>
      <c r="K109" t="str">
        <f t="shared" si="36"/>
        <v>AO</v>
      </c>
      <c r="L109">
        <f t="shared" si="37"/>
        <v>16.8</v>
      </c>
      <c r="M109" t="str">
        <f t="shared" si="38"/>
        <v>025:20</v>
      </c>
      <c r="N109" t="str">
        <f t="shared" si="39"/>
        <v>-</v>
      </c>
      <c r="O109" t="str">
        <f t="shared" si="40"/>
        <v>26:00</v>
      </c>
      <c r="P109" t="str">
        <f t="shared" si="41"/>
        <v>AN is at S. end of lower big pot.</v>
      </c>
    </row>
    <row r="110" spans="1:16" x14ac:dyDescent="0.25">
      <c r="A110" t="str">
        <f>'Raw Data'!A88</f>
        <v>AO</v>
      </c>
      <c r="B110" t="str">
        <f>'Raw Data'!B88</f>
        <v>AP</v>
      </c>
      <c r="C110">
        <f>'Raw Data'!J88</f>
        <v>27.7</v>
      </c>
      <c r="D110" t="str">
        <f>'Interpreted Data'!G88</f>
        <v>-</v>
      </c>
      <c r="E110" t="str">
        <f>'Interpreted Data'!H88</f>
        <v>243:50</v>
      </c>
      <c r="F110" t="str">
        <f>SUBSTITUTE('Raw Data'!K88," ",":",1)</f>
        <v>12:00</v>
      </c>
      <c r="G110">
        <f>'Interpreted Data'!N88</f>
        <v>5.8</v>
      </c>
      <c r="H110" t="str">
        <f>'Interpreted Data'!P88</f>
        <v/>
      </c>
      <c r="I110" t="str">
        <f t="shared" si="25"/>
        <v xml:space="preserve"> </v>
      </c>
      <c r="J110" t="str">
        <f t="shared" si="35"/>
        <v>AO</v>
      </c>
      <c r="K110" t="str">
        <f t="shared" si="36"/>
        <v>AP</v>
      </c>
      <c r="L110">
        <f t="shared" si="37"/>
        <v>27.7</v>
      </c>
      <c r="M110" t="str">
        <f t="shared" si="38"/>
        <v>-</v>
      </c>
      <c r="N110" t="str">
        <f t="shared" si="39"/>
        <v>243:50</v>
      </c>
      <c r="O110" t="str">
        <f t="shared" si="40"/>
        <v>12:00</v>
      </c>
      <c r="P110" t="str">
        <f t="shared" si="41"/>
        <v/>
      </c>
    </row>
    <row r="111" spans="1:16" x14ac:dyDescent="0.25">
      <c r="A111" t="str">
        <f>'Raw Data'!A89</f>
        <v>AP</v>
      </c>
      <c r="B111" t="str">
        <f>'Raw Data'!B89</f>
        <v>AQ</v>
      </c>
      <c r="C111">
        <f>'Raw Data'!J89</f>
        <v>23.2</v>
      </c>
      <c r="D111" t="str">
        <f>'Interpreted Data'!G89</f>
        <v>094:00</v>
      </c>
      <c r="E111" t="str">
        <f>'Interpreted Data'!H89</f>
        <v>-</v>
      </c>
      <c r="F111" t="str">
        <f>SUBSTITUTE('Raw Data'!K89," ",":",1)</f>
        <v>10:30</v>
      </c>
      <c r="G111">
        <f>'Interpreted Data'!N89</f>
        <v>4.0999999999999996</v>
      </c>
      <c r="H111" t="str">
        <f>'Interpreted Data'!P89</f>
        <v/>
      </c>
      <c r="I111" t="str">
        <f t="shared" si="25"/>
        <v xml:space="preserve"> </v>
      </c>
      <c r="J111" t="str">
        <f t="shared" si="35"/>
        <v>AP</v>
      </c>
      <c r="K111" t="str">
        <f t="shared" si="36"/>
        <v>AQ</v>
      </c>
      <c r="L111">
        <f t="shared" si="37"/>
        <v>23.2</v>
      </c>
      <c r="M111" t="str">
        <f t="shared" si="38"/>
        <v>094:00</v>
      </c>
      <c r="N111" t="str">
        <f t="shared" si="39"/>
        <v>-</v>
      </c>
      <c r="O111" t="str">
        <f t="shared" si="40"/>
        <v>10:30</v>
      </c>
      <c r="P111" t="str">
        <f t="shared" si="41"/>
        <v/>
      </c>
    </row>
    <row r="112" spans="1:16" x14ac:dyDescent="0.25">
      <c r="A112" t="str">
        <f>'Raw Data'!A90</f>
        <v>AQ</v>
      </c>
      <c r="B112" t="str">
        <f>'Raw Data'!B90</f>
        <v>AR</v>
      </c>
      <c r="C112">
        <f>'Raw Data'!J90</f>
        <v>10.7</v>
      </c>
      <c r="D112" t="str">
        <f>'Interpreted Data'!G90</f>
        <v>-</v>
      </c>
      <c r="E112" t="str">
        <f>'Interpreted Data'!H90</f>
        <v>316:00</v>
      </c>
      <c r="F112" t="str">
        <f>SUBSTITUTE('Raw Data'!K90," ",":",1)</f>
        <v>-5:30</v>
      </c>
      <c r="G112">
        <f>'Interpreted Data'!N90</f>
        <v>-1</v>
      </c>
      <c r="H112" t="str">
        <f>'Interpreted Data'!P90</f>
        <v/>
      </c>
      <c r="I112" t="str">
        <f t="shared" si="25"/>
        <v xml:space="preserve"> </v>
      </c>
      <c r="J112" t="str">
        <f t="shared" si="35"/>
        <v>AQ</v>
      </c>
      <c r="K112" t="str">
        <f t="shared" si="36"/>
        <v>AR</v>
      </c>
      <c r="L112">
        <f t="shared" si="37"/>
        <v>10.7</v>
      </c>
      <c r="M112" t="str">
        <f t="shared" si="38"/>
        <v>-</v>
      </c>
      <c r="N112" t="str">
        <f t="shared" si="39"/>
        <v>316:00</v>
      </c>
      <c r="O112" t="str">
        <f t="shared" si="40"/>
        <v>-5:30</v>
      </c>
      <c r="P112" t="str">
        <f t="shared" si="41"/>
        <v/>
      </c>
    </row>
    <row r="113" spans="1:16" x14ac:dyDescent="0.25">
      <c r="A113" t="str">
        <f>'Raw Data'!A91</f>
        <v>AR</v>
      </c>
      <c r="B113" t="str">
        <f>'Raw Data'!B91</f>
        <v>AS</v>
      </c>
      <c r="C113">
        <f>'Raw Data'!J91</f>
        <v>26.5</v>
      </c>
      <c r="D113" t="str">
        <f>'Interpreted Data'!G91</f>
        <v>012:20</v>
      </c>
      <c r="E113" t="str">
        <f>'Interpreted Data'!H91</f>
        <v>-</v>
      </c>
      <c r="F113" t="str">
        <f>SUBSTITUTE('Raw Data'!K91," ",":",1)</f>
        <v>28:30</v>
      </c>
      <c r="G113">
        <f>'Interpreted Data'!N91</f>
        <v>12.6</v>
      </c>
      <c r="H113" t="str">
        <f>'Interpreted Data'!P91</f>
        <v/>
      </c>
      <c r="I113" t="str">
        <f t="shared" si="25"/>
        <v xml:space="preserve"> </v>
      </c>
      <c r="J113" t="str">
        <f t="shared" si="35"/>
        <v>AR</v>
      </c>
      <c r="K113" t="str">
        <f t="shared" si="36"/>
        <v>AS</v>
      </c>
      <c r="L113">
        <f t="shared" si="37"/>
        <v>26.5</v>
      </c>
      <c r="M113" t="str">
        <f t="shared" si="38"/>
        <v>012:20</v>
      </c>
      <c r="N113" t="str">
        <f t="shared" si="39"/>
        <v>-</v>
      </c>
      <c r="O113" t="str">
        <f t="shared" si="40"/>
        <v>28:30</v>
      </c>
      <c r="P113" t="str">
        <f t="shared" si="41"/>
        <v/>
      </c>
    </row>
    <row r="114" spans="1:16" x14ac:dyDescent="0.25">
      <c r="A114" t="str">
        <f>'Raw Data'!A92</f>
        <v>AS</v>
      </c>
      <c r="B114" t="str">
        <f>'Raw Data'!B92</f>
        <v>AT</v>
      </c>
      <c r="C114">
        <f>'Raw Data'!J92</f>
        <v>38.6</v>
      </c>
      <c r="D114" t="str">
        <f>'Interpreted Data'!G92</f>
        <v>-</v>
      </c>
      <c r="E114" t="str">
        <f>'Interpreted Data'!H92</f>
        <v>169:30</v>
      </c>
      <c r="F114" t="str">
        <f>SUBSTITUTE('Raw Data'!K92," ",":",1)</f>
        <v>10:30</v>
      </c>
      <c r="G114">
        <f>'Interpreted Data'!N92</f>
        <v>7</v>
      </c>
      <c r="H114" t="str">
        <f>'Interpreted Data'!P92</f>
        <v/>
      </c>
      <c r="I114" t="str">
        <f t="shared" si="25"/>
        <v xml:space="preserve"> </v>
      </c>
      <c r="J114" t="str">
        <f t="shared" si="35"/>
        <v>AS</v>
      </c>
      <c r="K114" t="str">
        <f t="shared" si="36"/>
        <v>AT</v>
      </c>
      <c r="L114">
        <f t="shared" si="37"/>
        <v>38.6</v>
      </c>
      <c r="M114" t="str">
        <f t="shared" si="38"/>
        <v>-</v>
      </c>
      <c r="N114" t="str">
        <f t="shared" si="39"/>
        <v>169:30</v>
      </c>
      <c r="O114" t="str">
        <f t="shared" si="40"/>
        <v>10:30</v>
      </c>
      <c r="P114" t="str">
        <f t="shared" si="41"/>
        <v/>
      </c>
    </row>
    <row r="115" spans="1:16" x14ac:dyDescent="0.25">
      <c r="A115" t="str">
        <f>'Raw Data'!A93</f>
        <v>AT</v>
      </c>
      <c r="B115" t="str">
        <f>'Raw Data'!B93</f>
        <v>AU</v>
      </c>
      <c r="C115">
        <f>'Raw Data'!J93</f>
        <v>23.3</v>
      </c>
      <c r="D115" t="str">
        <f>'Interpreted Data'!G93</f>
        <v>321:40</v>
      </c>
      <c r="E115" t="str">
        <f>'Interpreted Data'!H93</f>
        <v>-</v>
      </c>
      <c r="F115" t="str">
        <f>SUBSTITUTE('Raw Data'!K93," ",":",1)</f>
        <v>-4:00</v>
      </c>
      <c r="G115">
        <f>'Interpreted Data'!N93</f>
        <v>-1.6</v>
      </c>
      <c r="H115" t="str">
        <f>'Interpreted Data'!P93</f>
        <v/>
      </c>
      <c r="I115" t="str">
        <f t="shared" si="25"/>
        <v xml:space="preserve"> </v>
      </c>
      <c r="J115" t="str">
        <f t="shared" si="35"/>
        <v>AT</v>
      </c>
      <c r="K115" t="str">
        <f t="shared" si="36"/>
        <v>AU</v>
      </c>
      <c r="L115">
        <f t="shared" si="37"/>
        <v>23.3</v>
      </c>
      <c r="M115" t="str">
        <f t="shared" si="38"/>
        <v>321:40</v>
      </c>
      <c r="N115" t="str">
        <f t="shared" si="39"/>
        <v>-</v>
      </c>
      <c r="O115" t="str">
        <f t="shared" si="40"/>
        <v>-4:00</v>
      </c>
      <c r="P115" t="str">
        <f t="shared" si="41"/>
        <v/>
      </c>
    </row>
    <row r="116" spans="1:16" x14ac:dyDescent="0.25">
      <c r="A116" t="str">
        <f>'Raw Data'!A94</f>
        <v>AU</v>
      </c>
      <c r="B116" t="str">
        <f>'Raw Data'!B94</f>
        <v>AV</v>
      </c>
      <c r="C116">
        <f>'Raw Data'!J94</f>
        <v>23.3</v>
      </c>
      <c r="D116" t="str">
        <f>'Interpreted Data'!G94</f>
        <v>-</v>
      </c>
      <c r="E116" t="str">
        <f>'Interpreted Data'!H94</f>
        <v>245:30</v>
      </c>
      <c r="F116" t="str">
        <f>SUBSTITUTE('Raw Data'!K94," ",":",1)</f>
        <v>9:00</v>
      </c>
      <c r="G116">
        <f>'Interpreted Data'!N94</f>
        <v>3.6</v>
      </c>
      <c r="H116" t="str">
        <f>'Interpreted Data'!P94</f>
        <v/>
      </c>
      <c r="I116" t="str">
        <f t="shared" si="25"/>
        <v xml:space="preserve"> </v>
      </c>
      <c r="J116" t="str">
        <f t="shared" si="35"/>
        <v>AU</v>
      </c>
      <c r="K116" t="str">
        <f t="shared" si="36"/>
        <v>AV</v>
      </c>
      <c r="L116">
        <f t="shared" si="37"/>
        <v>23.3</v>
      </c>
      <c r="M116" t="str">
        <f t="shared" si="38"/>
        <v>-</v>
      </c>
      <c r="N116" t="str">
        <f t="shared" si="39"/>
        <v>245:30</v>
      </c>
      <c r="O116" t="str">
        <f t="shared" si="40"/>
        <v>9:00</v>
      </c>
      <c r="P116" t="str">
        <f t="shared" si="41"/>
        <v/>
      </c>
    </row>
    <row r="117" spans="1:16" x14ac:dyDescent="0.25">
      <c r="A117" t="str">
        <f>'Raw Data'!A95</f>
        <v>AV</v>
      </c>
      <c r="B117" t="str">
        <f>'Raw Data'!B95</f>
        <v>AW</v>
      </c>
      <c r="C117">
        <f>'Raw Data'!J95</f>
        <v>24.1</v>
      </c>
      <c r="D117" t="str">
        <f>'Interpreted Data'!G95</f>
        <v>108:30</v>
      </c>
      <c r="E117" t="str">
        <f>'Interpreted Data'!H95</f>
        <v>-</v>
      </c>
      <c r="F117" t="str">
        <f>SUBSTITUTE('Raw Data'!K95," ",":",1)</f>
        <v>27:30</v>
      </c>
      <c r="G117">
        <f>'Interpreted Data'!N95</f>
        <v>11.1</v>
      </c>
      <c r="H117" t="str">
        <f>'Interpreted Data'!P95</f>
        <v>AV is in middle of upper big pot.</v>
      </c>
      <c r="I117" t="str">
        <f t="shared" si="25"/>
        <v xml:space="preserve"> </v>
      </c>
      <c r="J117" t="str">
        <f t="shared" si="35"/>
        <v>AV</v>
      </c>
      <c r="K117" t="str">
        <f t="shared" si="36"/>
        <v>AW</v>
      </c>
      <c r="L117">
        <f t="shared" si="37"/>
        <v>24.1</v>
      </c>
      <c r="M117" t="str">
        <f t="shared" si="38"/>
        <v>108:30</v>
      </c>
      <c r="N117" t="str">
        <f t="shared" si="39"/>
        <v>-</v>
      </c>
      <c r="O117" t="str">
        <f t="shared" si="40"/>
        <v>27:30</v>
      </c>
      <c r="P117" t="str">
        <f t="shared" si="41"/>
        <v>AV is in middle of upper big pot.</v>
      </c>
    </row>
    <row r="118" spans="1:16" x14ac:dyDescent="0.25">
      <c r="A118" t="str">
        <f>'Raw Data'!A96</f>
        <v>AW</v>
      </c>
      <c r="B118" t="str">
        <f>'Raw Data'!B96</f>
        <v>AX</v>
      </c>
      <c r="C118">
        <f>'Raw Data'!J96</f>
        <v>14.6</v>
      </c>
      <c r="D118" t="str">
        <f>'Interpreted Data'!G96</f>
        <v>-</v>
      </c>
      <c r="E118" t="str">
        <f>'Interpreted Data'!H96</f>
        <v>259:40</v>
      </c>
      <c r="F118" t="str">
        <f>SUBSTITUTE('Raw Data'!K96," ",":",1)</f>
        <v>23:30</v>
      </c>
      <c r="G118">
        <f>'Interpreted Data'!N96</f>
        <v>5.8</v>
      </c>
      <c r="H118" t="str">
        <f>'Interpreted Data'!P96</f>
        <v/>
      </c>
      <c r="I118" t="str">
        <f t="shared" si="25"/>
        <v xml:space="preserve"> </v>
      </c>
      <c r="J118" t="str">
        <f t="shared" si="35"/>
        <v>AW</v>
      </c>
      <c r="K118" t="str">
        <f t="shared" si="36"/>
        <v>AX</v>
      </c>
      <c r="L118">
        <f t="shared" si="37"/>
        <v>14.6</v>
      </c>
      <c r="M118" t="str">
        <f t="shared" si="38"/>
        <v>-</v>
      </c>
      <c r="N118" t="str">
        <f t="shared" si="39"/>
        <v>259:40</v>
      </c>
      <c r="O118" t="str">
        <f t="shared" si="40"/>
        <v>23:30</v>
      </c>
      <c r="P118" t="str">
        <f t="shared" si="41"/>
        <v/>
      </c>
    </row>
    <row r="119" spans="1:16" x14ac:dyDescent="0.25">
      <c r="A119" t="str">
        <f>'Raw Data'!A97</f>
        <v>AX</v>
      </c>
      <c r="B119" t="str">
        <f>'Raw Data'!B97</f>
        <v>AY</v>
      </c>
      <c r="C119">
        <f>'Raw Data'!J97</f>
        <v>15</v>
      </c>
      <c r="D119" t="str">
        <f>'Interpreted Data'!G97</f>
        <v>128:00</v>
      </c>
      <c r="E119" t="str">
        <f>'Interpreted Data'!H97</f>
        <v>-</v>
      </c>
      <c r="F119" t="str">
        <f>SUBSTITUTE('Raw Data'!K97," ",":",1)</f>
        <v>13:30</v>
      </c>
      <c r="G119">
        <f>'Interpreted Data'!N97</f>
        <v>3.5</v>
      </c>
      <c r="H119" t="str">
        <f>'Interpreted Data'!P97</f>
        <v>AY is on stumpy stalagmite on cascade on E side of passage.</v>
      </c>
      <c r="I119" t="str">
        <f t="shared" si="25"/>
        <v xml:space="preserve"> </v>
      </c>
      <c r="J119" t="str">
        <f t="shared" si="35"/>
        <v>AX</v>
      </c>
      <c r="K119" t="str">
        <f t="shared" si="36"/>
        <v>AY</v>
      </c>
      <c r="L119">
        <f t="shared" si="37"/>
        <v>15</v>
      </c>
      <c r="M119" t="str">
        <f t="shared" si="38"/>
        <v>128:00</v>
      </c>
      <c r="N119" t="str">
        <f t="shared" si="39"/>
        <v>-</v>
      </c>
      <c r="O119" t="str">
        <f t="shared" si="40"/>
        <v>13:30</v>
      </c>
      <c r="P119" t="str">
        <f t="shared" si="41"/>
        <v>AY is on stumpy stalagmite on cascade on E side of passage.</v>
      </c>
    </row>
    <row r="120" spans="1:16" x14ac:dyDescent="0.25">
      <c r="A120" t="str">
        <f>'Raw Data'!A98</f>
        <v>AY</v>
      </c>
      <c r="B120">
        <f>'Raw Data'!B98</f>
        <v>0</v>
      </c>
      <c r="C120">
        <f>'Raw Data'!J98</f>
        <v>0</v>
      </c>
      <c r="D120" t="str">
        <f>'Interpreted Data'!G98</f>
        <v>-</v>
      </c>
      <c r="E120" t="str">
        <f>'Interpreted Data'!H98</f>
        <v>-</v>
      </c>
      <c r="F120" t="str">
        <f>SUBSTITUTE('Raw Data'!K98," ",":",1)</f>
        <v/>
      </c>
      <c r="G120" t="str">
        <f>'Interpreted Data'!N98</f>
        <v/>
      </c>
      <c r="H120" t="str">
        <f>'Interpreted Data'!P98</f>
        <v>Total = 2,188'</v>
      </c>
      <c r="I120" t="str">
        <f t="shared" si="25"/>
        <v xml:space="preserve"> </v>
      </c>
      <c r="J120" t="s">
        <v>76</v>
      </c>
      <c r="K120" t="str">
        <f>A120</f>
        <v>AY</v>
      </c>
      <c r="O120" t="str">
        <f t="shared" ref="O120" si="42">F120</f>
        <v/>
      </c>
      <c r="P120" t="str">
        <f t="shared" si="41"/>
        <v>Total = 2,188'</v>
      </c>
    </row>
    <row r="122" spans="1:16" x14ac:dyDescent="0.25">
      <c r="A122" t="str">
        <f>'Raw Data'!A100</f>
        <v>14th August '52</v>
      </c>
      <c r="B122" t="str">
        <f>'Raw Data'!B100</f>
        <v>Colin</v>
      </c>
      <c r="C122" t="str">
        <f>'Raw Data'!C100</f>
        <v>Contd from P.49. Upper Mud Series</v>
      </c>
      <c r="E122" t="str">
        <f>'Interpreted Data'!H100</f>
        <v>-</v>
      </c>
      <c r="F122" t="str">
        <f>SUBSTITUTE('Raw Data'!K100," ",":",1)</f>
        <v/>
      </c>
      <c r="G122" t="str">
        <f>'Interpreted Data'!N100</f>
        <v/>
      </c>
      <c r="H122" t="str">
        <f>'Interpreted Data'!P100</f>
        <v/>
      </c>
      <c r="I122" t="str">
        <f t="shared" si="25"/>
        <v xml:space="preserve"> </v>
      </c>
      <c r="J122" t="str">
        <f>CONCATENATE("# ",A122)</f>
        <v># 14th August '52</v>
      </c>
      <c r="K122" t="str">
        <f>B122</f>
        <v>Colin</v>
      </c>
      <c r="L122" t="str">
        <f>C122</f>
        <v>Contd from P.49. Upper Mud Series</v>
      </c>
    </row>
    <row r="123" spans="1:16" x14ac:dyDescent="0.25">
      <c r="I123" t="str">
        <f t="shared" si="25"/>
        <v xml:space="preserve"> </v>
      </c>
      <c r="J123" t="str">
        <f>$J$1</f>
        <v>data normal from to tape compass backcompass clino ignoreall</v>
      </c>
    </row>
    <row r="124" spans="1:16" x14ac:dyDescent="0.25">
      <c r="A124">
        <f>'Raw Data'!A101</f>
        <v>18</v>
      </c>
      <c r="B124">
        <f>'Raw Data'!B101</f>
        <v>19</v>
      </c>
      <c r="C124">
        <f>'Raw Data'!J101</f>
        <v>10.1</v>
      </c>
      <c r="D124" t="str">
        <f>'Interpreted Data'!G101</f>
        <v>-</v>
      </c>
      <c r="E124" t="str">
        <f>'Interpreted Data'!H101</f>
        <v>-</v>
      </c>
      <c r="F124" t="str">
        <f>SUBSTITUTE('Raw Data'!K101," ",":",1)</f>
        <v>-90:00</v>
      </c>
      <c r="G124">
        <f>'Interpreted Data'!N101</f>
        <v>-10.1</v>
      </c>
      <c r="H124" t="str">
        <f>'Interpreted Data'!P101</f>
        <v>18 is in crack at top of 11 Foot Drop.</v>
      </c>
      <c r="J124">
        <f t="shared" ref="J124:J136" si="43">A124</f>
        <v>18</v>
      </c>
      <c r="K124">
        <f t="shared" ref="K124:K136" si="44">B124</f>
        <v>19</v>
      </c>
      <c r="L124">
        <f t="shared" ref="L124:L136" si="45">C124</f>
        <v>10.1</v>
      </c>
      <c r="M124" t="str">
        <f t="shared" ref="M124:M136" si="46">D124</f>
        <v>-</v>
      </c>
      <c r="N124" t="str">
        <f t="shared" ref="N124:N136" si="47">E124</f>
        <v>-</v>
      </c>
      <c r="O124" t="str">
        <f>IF(AND(D124="-",E124="-"),IF(1*SUBSTITUTE(F124,":",".")=-90,"DOWN",IF(1*SUBSTITUTE(F124,":",".")=90,"UP","no compass")),F124)</f>
        <v>DOWN</v>
      </c>
      <c r="P124" t="str">
        <f t="shared" ref="P124:P136" si="48">H124</f>
        <v>18 is in crack at top of 11 Foot Drop.</v>
      </c>
    </row>
    <row r="125" spans="1:16" x14ac:dyDescent="0.25">
      <c r="A125">
        <f>'Raw Data'!A102</f>
        <v>19</v>
      </c>
      <c r="B125">
        <f>'Raw Data'!B102</f>
        <v>20</v>
      </c>
      <c r="C125">
        <f>'Raw Data'!J102</f>
        <v>8</v>
      </c>
      <c r="D125" t="str">
        <f>'Interpreted Data'!G102</f>
        <v>-</v>
      </c>
      <c r="E125" t="str">
        <f>'Interpreted Data'!H102</f>
        <v>355:00</v>
      </c>
      <c r="F125" t="str">
        <f>SUBSTITUTE('Raw Data'!K102," ",":",1)</f>
        <v>1:00</v>
      </c>
      <c r="G125">
        <f>'Interpreted Data'!N102</f>
        <v>0.1</v>
      </c>
      <c r="H125" t="str">
        <f>'Interpreted Data'!P102</f>
        <v>(sketch of 18 - 24)</v>
      </c>
      <c r="I125" t="str">
        <f t="shared" si="25"/>
        <v xml:space="preserve"> </v>
      </c>
      <c r="J125">
        <f t="shared" si="43"/>
        <v>19</v>
      </c>
      <c r="K125">
        <f t="shared" si="44"/>
        <v>20</v>
      </c>
      <c r="L125">
        <f t="shared" si="45"/>
        <v>8</v>
      </c>
      <c r="M125" t="str">
        <f t="shared" si="46"/>
        <v>-</v>
      </c>
      <c r="N125" t="str">
        <f t="shared" si="47"/>
        <v>355:00</v>
      </c>
      <c r="O125" t="str">
        <f t="shared" ref="O125:O146" si="49">IF(AND(D125="-",E125="-"),IF(1*SUBSTITUTE(F125,":",".")=-90,"DOWN",IF(1*SUBSTITUTE(F125,":",".")=90,"UP","no compass")),F125)</f>
        <v>1:00</v>
      </c>
      <c r="P125" t="str">
        <f t="shared" si="48"/>
        <v>(sketch of 18 - 24)</v>
      </c>
    </row>
    <row r="126" spans="1:16" x14ac:dyDescent="0.25">
      <c r="A126">
        <f>'Raw Data'!A103</f>
        <v>20</v>
      </c>
      <c r="B126">
        <f>'Raw Data'!B103</f>
        <v>21</v>
      </c>
      <c r="C126">
        <f>'Raw Data'!J103</f>
        <v>24.8</v>
      </c>
      <c r="D126" t="str">
        <f>'Interpreted Data'!G103</f>
        <v>091:00</v>
      </c>
      <c r="E126" t="str">
        <f>'Interpreted Data'!H103</f>
        <v>-</v>
      </c>
      <c r="F126" t="str">
        <f>SUBSTITUTE('Raw Data'!K103," ",":",1)</f>
        <v>23:00</v>
      </c>
      <c r="G126">
        <f>'Interpreted Data'!N103</f>
        <v>9.6999999999999993</v>
      </c>
      <c r="H126" t="str">
        <f>'Interpreted Data'!P103</f>
        <v/>
      </c>
      <c r="I126" t="str">
        <f t="shared" si="25"/>
        <v xml:space="preserve"> </v>
      </c>
      <c r="J126">
        <f t="shared" si="43"/>
        <v>20</v>
      </c>
      <c r="K126">
        <f t="shared" si="44"/>
        <v>21</v>
      </c>
      <c r="L126">
        <f t="shared" si="45"/>
        <v>24.8</v>
      </c>
      <c r="M126" t="str">
        <f t="shared" si="46"/>
        <v>091:00</v>
      </c>
      <c r="N126" t="str">
        <f t="shared" si="47"/>
        <v>-</v>
      </c>
      <c r="O126" t="str">
        <f t="shared" si="49"/>
        <v>23:00</v>
      </c>
      <c r="P126" t="str">
        <f t="shared" si="48"/>
        <v/>
      </c>
    </row>
    <row r="127" spans="1:16" x14ac:dyDescent="0.25">
      <c r="A127">
        <f>'Raw Data'!A104</f>
        <v>21</v>
      </c>
      <c r="B127">
        <f>'Raw Data'!B104</f>
        <v>22</v>
      </c>
      <c r="C127">
        <f>'Raw Data'!J104</f>
        <v>11.2</v>
      </c>
      <c r="D127" t="str">
        <f>'Interpreted Data'!G104</f>
        <v>-</v>
      </c>
      <c r="E127" t="str">
        <f>'Interpreted Data'!H104</f>
        <v>302:00</v>
      </c>
      <c r="F127" t="str">
        <f>SUBSTITUTE('Raw Data'!K104," ",":",1)</f>
        <v>10:00</v>
      </c>
      <c r="G127">
        <f>'Interpreted Data'!N104</f>
        <v>1.9</v>
      </c>
      <c r="H127" t="str">
        <f>'Interpreted Data'!P104</f>
        <v/>
      </c>
      <c r="I127" t="str">
        <f t="shared" si="25"/>
        <v xml:space="preserve"> </v>
      </c>
      <c r="J127">
        <f t="shared" si="43"/>
        <v>21</v>
      </c>
      <c r="K127">
        <f t="shared" si="44"/>
        <v>22</v>
      </c>
      <c r="L127">
        <f t="shared" si="45"/>
        <v>11.2</v>
      </c>
      <c r="M127" t="str">
        <f t="shared" si="46"/>
        <v>-</v>
      </c>
      <c r="N127" t="str">
        <f t="shared" si="47"/>
        <v>302:00</v>
      </c>
      <c r="O127" t="str">
        <f t="shared" si="49"/>
        <v>10:00</v>
      </c>
      <c r="P127" t="str">
        <f t="shared" si="48"/>
        <v/>
      </c>
    </row>
    <row r="128" spans="1:16" x14ac:dyDescent="0.25">
      <c r="A128">
        <f>'Raw Data'!A105</f>
        <v>22</v>
      </c>
      <c r="B128">
        <f>'Raw Data'!B105</f>
        <v>23</v>
      </c>
      <c r="C128">
        <f>'Raw Data'!J105</f>
        <v>25.5</v>
      </c>
      <c r="D128" t="str">
        <f>'Interpreted Data'!G105</f>
        <v>172:40</v>
      </c>
      <c r="E128" t="str">
        <f>'Interpreted Data'!H105</f>
        <v>-</v>
      </c>
      <c r="F128" t="str">
        <f>SUBSTITUTE('Raw Data'!K105," ",":",1)</f>
        <v>-9:00</v>
      </c>
      <c r="G128">
        <f>'Interpreted Data'!N105</f>
        <v>-4</v>
      </c>
      <c r="H128" t="str">
        <f>'Interpreted Data'!P105</f>
        <v/>
      </c>
      <c r="I128" t="str">
        <f t="shared" si="25"/>
        <v xml:space="preserve"> </v>
      </c>
      <c r="J128">
        <f t="shared" si="43"/>
        <v>22</v>
      </c>
      <c r="K128">
        <f t="shared" si="44"/>
        <v>23</v>
      </c>
      <c r="L128">
        <f t="shared" si="45"/>
        <v>25.5</v>
      </c>
      <c r="M128" t="str">
        <f t="shared" si="46"/>
        <v>172:40</v>
      </c>
      <c r="N128" t="str">
        <f t="shared" si="47"/>
        <v>-</v>
      </c>
      <c r="O128" t="str">
        <f t="shared" si="49"/>
        <v>-9:00</v>
      </c>
      <c r="P128" t="str">
        <f t="shared" si="48"/>
        <v/>
      </c>
    </row>
    <row r="129" spans="1:16" x14ac:dyDescent="0.25">
      <c r="A129">
        <f>'Raw Data'!A106</f>
        <v>23</v>
      </c>
      <c r="B129">
        <f>'Raw Data'!B106</f>
        <v>24</v>
      </c>
      <c r="C129">
        <f>'Raw Data'!J106</f>
        <v>50.7</v>
      </c>
      <c r="D129" t="str">
        <f>'Interpreted Data'!G106</f>
        <v>-</v>
      </c>
      <c r="E129" t="str">
        <f>'Interpreted Data'!H106</f>
        <v>248:00</v>
      </c>
      <c r="F129" t="str">
        <f>SUBSTITUTE('Raw Data'!K106," ",":",1)</f>
        <v>18:00</v>
      </c>
      <c r="G129">
        <f>'Interpreted Data'!N106</f>
        <v>15.6</v>
      </c>
      <c r="H129" t="str">
        <f>'Interpreted Data'!P106</f>
        <v/>
      </c>
      <c r="I129" t="str">
        <f t="shared" si="25"/>
        <v xml:space="preserve"> </v>
      </c>
      <c r="J129">
        <f t="shared" si="43"/>
        <v>23</v>
      </c>
      <c r="K129">
        <f t="shared" si="44"/>
        <v>24</v>
      </c>
      <c r="L129">
        <f t="shared" si="45"/>
        <v>50.7</v>
      </c>
      <c r="M129" t="str">
        <f t="shared" si="46"/>
        <v>-</v>
      </c>
      <c r="N129" t="str">
        <f t="shared" si="47"/>
        <v>248:00</v>
      </c>
      <c r="O129" t="str">
        <f t="shared" si="49"/>
        <v>18:00</v>
      </c>
      <c r="P129" t="str">
        <f t="shared" si="48"/>
        <v/>
      </c>
    </row>
    <row r="130" spans="1:16" x14ac:dyDescent="0.25">
      <c r="A130">
        <f>'Raw Data'!A107</f>
        <v>24</v>
      </c>
      <c r="B130">
        <f>'Raw Data'!B107</f>
        <v>25</v>
      </c>
      <c r="C130">
        <f>'Raw Data'!J107</f>
        <v>14</v>
      </c>
      <c r="D130" t="str">
        <f>'Interpreted Data'!G107</f>
        <v>046:00</v>
      </c>
      <c r="E130" t="str">
        <f>'Interpreted Data'!H107</f>
        <v>-</v>
      </c>
      <c r="F130" t="str">
        <f>SUBSTITUTE('Raw Data'!K107," ",":",1)</f>
        <v>-46:00</v>
      </c>
      <c r="G130">
        <f>'Interpreted Data'!N107</f>
        <v>-10.1</v>
      </c>
      <c r="H130" t="str">
        <f>'Interpreted Data'!P107</f>
        <v>(sketch of 24 - 35)</v>
      </c>
      <c r="I130" t="str">
        <f t="shared" si="25"/>
        <v xml:space="preserve"> </v>
      </c>
      <c r="J130">
        <f t="shared" si="43"/>
        <v>24</v>
      </c>
      <c r="K130">
        <f t="shared" si="44"/>
        <v>25</v>
      </c>
      <c r="L130">
        <f t="shared" si="45"/>
        <v>14</v>
      </c>
      <c r="M130" t="str">
        <f t="shared" si="46"/>
        <v>046:00</v>
      </c>
      <c r="N130" t="str">
        <f t="shared" si="47"/>
        <v>-</v>
      </c>
      <c r="O130" t="str">
        <f t="shared" si="49"/>
        <v>-46:00</v>
      </c>
      <c r="P130" t="str">
        <f t="shared" si="48"/>
        <v>(sketch of 24 - 35)</v>
      </c>
    </row>
    <row r="131" spans="1:16" x14ac:dyDescent="0.25">
      <c r="A131">
        <f>'Raw Data'!A108</f>
        <v>25</v>
      </c>
      <c r="B131">
        <f>'Raw Data'!B108</f>
        <v>26</v>
      </c>
      <c r="C131">
        <f>'Raw Data'!J108</f>
        <v>15.3</v>
      </c>
      <c r="D131" t="str">
        <f>'Interpreted Data'!G108</f>
        <v>-</v>
      </c>
      <c r="E131" t="str">
        <f>'Interpreted Data'!H108</f>
        <v>293:00</v>
      </c>
      <c r="F131" t="str">
        <f>SUBSTITUTE('Raw Data'!K108," ",":",1)</f>
        <v>-43:00</v>
      </c>
      <c r="G131">
        <f>'Interpreted Data'!N108</f>
        <v>-10.4</v>
      </c>
      <c r="H131" t="str">
        <f>'Interpreted Data'!P108</f>
        <v/>
      </c>
      <c r="I131" t="str">
        <f t="shared" si="25"/>
        <v xml:space="preserve"> </v>
      </c>
      <c r="J131">
        <f t="shared" si="43"/>
        <v>25</v>
      </c>
      <c r="K131">
        <f t="shared" si="44"/>
        <v>26</v>
      </c>
      <c r="L131">
        <f t="shared" si="45"/>
        <v>15.3</v>
      </c>
      <c r="M131" t="str">
        <f t="shared" si="46"/>
        <v>-</v>
      </c>
      <c r="N131" t="str">
        <f t="shared" si="47"/>
        <v>293:00</v>
      </c>
      <c r="O131" t="str">
        <f t="shared" si="49"/>
        <v>-43:00</v>
      </c>
      <c r="P131" t="str">
        <f t="shared" si="48"/>
        <v/>
      </c>
    </row>
    <row r="132" spans="1:16" x14ac:dyDescent="0.25">
      <c r="A132">
        <f>'Raw Data'!A109</f>
        <v>26</v>
      </c>
      <c r="B132">
        <f>'Raw Data'!B109</f>
        <v>27</v>
      </c>
      <c r="C132">
        <f>'Raw Data'!J109</f>
        <v>23.2</v>
      </c>
      <c r="D132" t="str">
        <f>'Interpreted Data'!G109</f>
        <v>061:00</v>
      </c>
      <c r="E132" t="str">
        <f>'Interpreted Data'!H109</f>
        <v>-</v>
      </c>
      <c r="F132" t="str">
        <f>SUBSTITUTE('Raw Data'!K109," ",":",1)</f>
        <v>-55:00</v>
      </c>
      <c r="G132">
        <f>'Interpreted Data'!N109</f>
        <v>-19</v>
      </c>
      <c r="H132" t="str">
        <f>'Interpreted Data'!P109</f>
        <v/>
      </c>
      <c r="I132" t="str">
        <f t="shared" si="25"/>
        <v xml:space="preserve"> </v>
      </c>
      <c r="J132">
        <f t="shared" si="43"/>
        <v>26</v>
      </c>
      <c r="K132">
        <f t="shared" si="44"/>
        <v>27</v>
      </c>
      <c r="L132">
        <f t="shared" si="45"/>
        <v>23.2</v>
      </c>
      <c r="M132" t="str">
        <f t="shared" si="46"/>
        <v>061:00</v>
      </c>
      <c r="N132" t="str">
        <f t="shared" si="47"/>
        <v>-</v>
      </c>
      <c r="O132" t="str">
        <f t="shared" si="49"/>
        <v>-55:00</v>
      </c>
      <c r="P132" t="str">
        <f t="shared" si="48"/>
        <v/>
      </c>
    </row>
    <row r="133" spans="1:16" x14ac:dyDescent="0.25">
      <c r="A133">
        <f>'Raw Data'!A110</f>
        <v>27</v>
      </c>
      <c r="B133">
        <f>'Raw Data'!B110</f>
        <v>28</v>
      </c>
      <c r="C133">
        <f>'Raw Data'!J110</f>
        <v>25.3</v>
      </c>
      <c r="D133" t="str">
        <f>'Interpreted Data'!G110</f>
        <v>-</v>
      </c>
      <c r="E133" t="str">
        <f>'Interpreted Data'!H110</f>
        <v>015:30</v>
      </c>
      <c r="F133" t="str">
        <f>SUBSTITUTE('Raw Data'!K110," ",":",1)</f>
        <v>-24:30</v>
      </c>
      <c r="G133">
        <f>'Interpreted Data'!N110</f>
        <v>-10.5</v>
      </c>
      <c r="H133" t="str">
        <f>'Interpreted Data'!P110</f>
        <v/>
      </c>
      <c r="I133" t="str">
        <f t="shared" si="25"/>
        <v xml:space="preserve"> </v>
      </c>
      <c r="J133">
        <f t="shared" si="43"/>
        <v>27</v>
      </c>
      <c r="K133">
        <f t="shared" si="44"/>
        <v>28</v>
      </c>
      <c r="L133">
        <f t="shared" si="45"/>
        <v>25.3</v>
      </c>
      <c r="M133" t="str">
        <f t="shared" si="46"/>
        <v>-</v>
      </c>
      <c r="N133" t="str">
        <f t="shared" si="47"/>
        <v>015:30</v>
      </c>
      <c r="O133" t="str">
        <f t="shared" si="49"/>
        <v>-24:30</v>
      </c>
      <c r="P133" t="str">
        <f t="shared" si="48"/>
        <v/>
      </c>
    </row>
    <row r="134" spans="1:16" x14ac:dyDescent="0.25">
      <c r="A134">
        <f>'Raw Data'!A111</f>
        <v>28</v>
      </c>
      <c r="B134">
        <f>'Raw Data'!B111</f>
        <v>29</v>
      </c>
      <c r="C134">
        <f>'Raw Data'!J111</f>
        <v>51</v>
      </c>
      <c r="D134" t="str">
        <f>'Interpreted Data'!G111</f>
        <v>242:00</v>
      </c>
      <c r="E134" t="str">
        <f>'Interpreted Data'!H111</f>
        <v>-</v>
      </c>
      <c r="F134" t="str">
        <f>SUBSTITUTE('Raw Data'!K111," ",":",1)</f>
        <v>-23:30</v>
      </c>
      <c r="G134">
        <f>'Interpreted Data'!N111</f>
        <v>-20.3</v>
      </c>
      <c r="H134" t="str">
        <f>'Interpreted Data'!P111</f>
        <v/>
      </c>
      <c r="I134" t="str">
        <f t="shared" si="25"/>
        <v xml:space="preserve"> </v>
      </c>
      <c r="J134">
        <f t="shared" si="43"/>
        <v>28</v>
      </c>
      <c r="K134">
        <f t="shared" si="44"/>
        <v>29</v>
      </c>
      <c r="L134">
        <f t="shared" si="45"/>
        <v>51</v>
      </c>
      <c r="M134" t="str">
        <f t="shared" si="46"/>
        <v>242:00</v>
      </c>
      <c r="N134" t="str">
        <f t="shared" si="47"/>
        <v>-</v>
      </c>
      <c r="O134" t="str">
        <f t="shared" si="49"/>
        <v>-23:30</v>
      </c>
      <c r="P134" t="str">
        <f t="shared" si="48"/>
        <v/>
      </c>
    </row>
    <row r="135" spans="1:16" x14ac:dyDescent="0.25">
      <c r="A135">
        <f>'Raw Data'!A112</f>
        <v>29</v>
      </c>
      <c r="B135">
        <f>'Raw Data'!B112</f>
        <v>30</v>
      </c>
      <c r="C135">
        <f>'Raw Data'!J112</f>
        <v>13.7</v>
      </c>
      <c r="D135" t="str">
        <f>'Interpreted Data'!G112</f>
        <v>-</v>
      </c>
      <c r="E135" t="str">
        <f>'Interpreted Data'!H112</f>
        <v>340:00</v>
      </c>
      <c r="F135" t="str">
        <f>SUBSTITUTE('Raw Data'!K112," ",":",1)</f>
        <v>-3:00</v>
      </c>
      <c r="G135">
        <f>'Interpreted Data'!N112</f>
        <v>-0.7</v>
      </c>
      <c r="H135" t="str">
        <f>'Interpreted Data'!P112</f>
        <v/>
      </c>
      <c r="I135" t="str">
        <f t="shared" si="25"/>
        <v xml:space="preserve"> </v>
      </c>
      <c r="J135">
        <f t="shared" si="43"/>
        <v>29</v>
      </c>
      <c r="K135">
        <f t="shared" si="44"/>
        <v>30</v>
      </c>
      <c r="L135">
        <f t="shared" si="45"/>
        <v>13.7</v>
      </c>
      <c r="M135" t="str">
        <f t="shared" si="46"/>
        <v>-</v>
      </c>
      <c r="N135" t="str">
        <f t="shared" si="47"/>
        <v>340:00</v>
      </c>
      <c r="O135" t="str">
        <f t="shared" si="49"/>
        <v>-3:00</v>
      </c>
      <c r="P135" t="str">
        <f t="shared" si="48"/>
        <v/>
      </c>
    </row>
    <row r="136" spans="1:16" x14ac:dyDescent="0.25">
      <c r="A136">
        <f>'Raw Data'!A113</f>
        <v>30</v>
      </c>
      <c r="B136">
        <f>'Raw Data'!B113</f>
        <v>31</v>
      </c>
      <c r="C136">
        <f>'Raw Data'!J113</f>
        <v>25.4</v>
      </c>
      <c r="D136" t="str">
        <f>'Interpreted Data'!G113</f>
        <v>239:00</v>
      </c>
      <c r="E136" t="str">
        <f>'Interpreted Data'!H113</f>
        <v>-</v>
      </c>
      <c r="F136" t="str">
        <f>SUBSTITUTE('Raw Data'!K113," ",":",1)</f>
        <v>-19:00</v>
      </c>
      <c r="G136">
        <f>'Interpreted Data'!N113</f>
        <v>-8.3000000000000007</v>
      </c>
      <c r="H136" t="str">
        <f>'Interpreted Data'!P113</f>
        <v/>
      </c>
      <c r="I136" t="str">
        <f t="shared" si="25"/>
        <v xml:space="preserve"> </v>
      </c>
      <c r="J136">
        <f t="shared" si="43"/>
        <v>30</v>
      </c>
      <c r="K136">
        <f t="shared" si="44"/>
        <v>31</v>
      </c>
      <c r="L136">
        <f t="shared" si="45"/>
        <v>25.4</v>
      </c>
      <c r="M136" t="str">
        <f t="shared" si="46"/>
        <v>239:00</v>
      </c>
      <c r="N136" t="str">
        <f t="shared" si="47"/>
        <v>-</v>
      </c>
      <c r="O136" t="str">
        <f t="shared" si="49"/>
        <v>-19:00</v>
      </c>
      <c r="P136" t="str">
        <f t="shared" si="48"/>
        <v/>
      </c>
    </row>
    <row r="137" spans="1:16" x14ac:dyDescent="0.25">
      <c r="J137" t="str">
        <f>$J$2</f>
        <v>data diving from to tape compass backcompass depthchange ignoreall</v>
      </c>
    </row>
    <row r="138" spans="1:16" x14ac:dyDescent="0.25">
      <c r="A138">
        <f>'Raw Data'!A114</f>
        <v>31</v>
      </c>
      <c r="B138">
        <f>'Raw Data'!B114</f>
        <v>32</v>
      </c>
      <c r="C138">
        <f>'Raw Data'!J114</f>
        <v>11.2</v>
      </c>
      <c r="D138" t="str">
        <f>'Interpreted Data'!G114</f>
        <v>-</v>
      </c>
      <c r="E138" t="str">
        <f>'Interpreted Data'!H114</f>
        <v>106:00</v>
      </c>
      <c r="F138" t="str">
        <f>SUBSTITUTE('Raw Data'!K114," ",":",1)</f>
        <v>fall:1 foot</v>
      </c>
      <c r="G138">
        <f>'Interpreted Data'!N114</f>
        <v>-1</v>
      </c>
      <c r="H138" t="str">
        <f>'Interpreted Data'!P114</f>
        <v/>
      </c>
      <c r="I138" t="str">
        <f t="shared" ref="I138:I204" si="50">" "</f>
        <v xml:space="preserve"> </v>
      </c>
      <c r="J138">
        <f>A138</f>
        <v>31</v>
      </c>
      <c r="K138">
        <f>B138</f>
        <v>32</v>
      </c>
      <c r="L138">
        <f>C138</f>
        <v>11.2</v>
      </c>
      <c r="M138" t="str">
        <f>D138</f>
        <v>-</v>
      </c>
      <c r="N138" t="str">
        <f>E138</f>
        <v>106:00</v>
      </c>
      <c r="O138">
        <f>G138</f>
        <v>-1</v>
      </c>
      <c r="P138" t="str">
        <f>H138</f>
        <v/>
      </c>
    </row>
    <row r="139" spans="1:16" x14ac:dyDescent="0.25">
      <c r="J139" t="str">
        <f>$J$1</f>
        <v>data normal from to tape compass backcompass clino ignoreall</v>
      </c>
    </row>
    <row r="140" spans="1:16" x14ac:dyDescent="0.25">
      <c r="A140">
        <f>'Raw Data'!A115</f>
        <v>32</v>
      </c>
      <c r="B140">
        <f>'Raw Data'!B115</f>
        <v>33</v>
      </c>
      <c r="C140">
        <f>'Raw Data'!J115</f>
        <v>14.1</v>
      </c>
      <c r="D140" t="str">
        <f>'Interpreted Data'!G115</f>
        <v>182:00</v>
      </c>
      <c r="E140" t="str">
        <f>'Interpreted Data'!H115</f>
        <v>-</v>
      </c>
      <c r="F140" t="str">
        <f>SUBSTITUTE('Raw Data'!K115," ",":",1)</f>
        <v>-9:00</v>
      </c>
      <c r="G140">
        <f>'Interpreted Data'!N115</f>
        <v>-2.2000000000000002</v>
      </c>
      <c r="H140" t="str">
        <f>'Interpreted Data'!P115</f>
        <v/>
      </c>
      <c r="I140" t="str">
        <f t="shared" si="50"/>
        <v xml:space="preserve"> </v>
      </c>
      <c r="J140">
        <f>A140</f>
        <v>32</v>
      </c>
      <c r="K140">
        <f>B140</f>
        <v>33</v>
      </c>
      <c r="L140">
        <f>C140</f>
        <v>14.1</v>
      </c>
      <c r="M140" t="str">
        <f>D140</f>
        <v>182:00</v>
      </c>
      <c r="N140" t="str">
        <f>E140</f>
        <v>-</v>
      </c>
      <c r="O140" t="str">
        <f t="shared" si="49"/>
        <v>-9:00</v>
      </c>
      <c r="P140" t="str">
        <f>H140</f>
        <v/>
      </c>
    </row>
    <row r="141" spans="1:16" x14ac:dyDescent="0.25">
      <c r="J141" t="str">
        <f>$J$2</f>
        <v>data diving from to tape compass backcompass depthchange ignoreall</v>
      </c>
    </row>
    <row r="142" spans="1:16" x14ac:dyDescent="0.25">
      <c r="A142">
        <f>'Raw Data'!A116</f>
        <v>33</v>
      </c>
      <c r="B142">
        <f>'Raw Data'!B116</f>
        <v>34</v>
      </c>
      <c r="C142">
        <f>'Raw Data'!J116</f>
        <v>17</v>
      </c>
      <c r="D142" t="str">
        <f>'Interpreted Data'!G116</f>
        <v>-</v>
      </c>
      <c r="E142" t="str">
        <f>'Interpreted Data'!H116</f>
        <v>339:00</v>
      </c>
      <c r="F142" t="str">
        <f>SUBSTITUTE('Raw Data'!K116," ",":",1)</f>
        <v>rise:1 foot</v>
      </c>
      <c r="G142">
        <f>'Interpreted Data'!N116</f>
        <v>1</v>
      </c>
      <c r="H142" t="str">
        <f>'Interpreted Data'!P116</f>
        <v/>
      </c>
      <c r="I142" t="str">
        <f t="shared" si="50"/>
        <v xml:space="preserve"> </v>
      </c>
      <c r="J142">
        <f>A142</f>
        <v>33</v>
      </c>
      <c r="K142">
        <f>B142</f>
        <v>34</v>
      </c>
      <c r="L142">
        <f>C142</f>
        <v>17</v>
      </c>
      <c r="M142" t="str">
        <f>D142</f>
        <v>-</v>
      </c>
      <c r="N142" t="str">
        <f>E142</f>
        <v>339:00</v>
      </c>
      <c r="O142">
        <f>G142</f>
        <v>1</v>
      </c>
      <c r="P142" t="str">
        <f>H142</f>
        <v/>
      </c>
    </row>
    <row r="143" spans="1:16" x14ac:dyDescent="0.25">
      <c r="J143" t="str">
        <f>$J$1</f>
        <v>data normal from to tape compass backcompass clino ignoreall</v>
      </c>
    </row>
    <row r="144" spans="1:16" x14ac:dyDescent="0.25">
      <c r="A144">
        <f>'Raw Data'!A117</f>
        <v>34</v>
      </c>
      <c r="B144">
        <f>'Raw Data'!B117</f>
        <v>35</v>
      </c>
      <c r="C144">
        <f>'Raw Data'!J117</f>
        <v>13.9</v>
      </c>
      <c r="D144" t="str">
        <f>'Interpreted Data'!G117</f>
        <v>-</v>
      </c>
      <c r="E144" t="str">
        <f>'Interpreted Data'!H117</f>
        <v>341:00</v>
      </c>
      <c r="F144" t="str">
        <f>SUBSTITUTE('Raw Data'!K117," ",":",1)</f>
        <v>-12:30</v>
      </c>
      <c r="G144">
        <f>'Interpreted Data'!N117</f>
        <v>-3</v>
      </c>
      <c r="H144" t="str">
        <f>'Interpreted Data'!P117</f>
        <v>35 = A on p.25 = Big rock by D on p.46 (Top of)</v>
      </c>
      <c r="I144" t="str">
        <f t="shared" si="50"/>
        <v xml:space="preserve"> </v>
      </c>
      <c r="J144">
        <f>A144</f>
        <v>34</v>
      </c>
      <c r="K144">
        <f>B144</f>
        <v>35</v>
      </c>
      <c r="L144">
        <f>C144</f>
        <v>13.9</v>
      </c>
      <c r="M144" t="str">
        <f>D144</f>
        <v>-</v>
      </c>
      <c r="N144" t="str">
        <f>E144</f>
        <v>341:00</v>
      </c>
      <c r="O144" t="str">
        <f t="shared" si="49"/>
        <v>-12:30</v>
      </c>
      <c r="P144" t="str">
        <f>H144</f>
        <v>35 = A on p.25 = Big rock by D on p.46 (Top of)</v>
      </c>
    </row>
    <row r="145" spans="1:16" x14ac:dyDescent="0.25">
      <c r="A145">
        <f>'Raw Data'!A118</f>
        <v>35</v>
      </c>
      <c r="B145">
        <f>'Raw Data'!B118</f>
        <v>0</v>
      </c>
      <c r="C145">
        <f>'Raw Data'!J118</f>
        <v>0</v>
      </c>
      <c r="D145" t="str">
        <f>'Interpreted Data'!G118</f>
        <v>-</v>
      </c>
      <c r="E145" t="str">
        <f>'Interpreted Data'!H118</f>
        <v>-</v>
      </c>
      <c r="F145" t="str">
        <f>SUBSTITUTE('Raw Data'!K118," ",":",1)</f>
        <v/>
      </c>
      <c r="G145" t="str">
        <f>'Interpreted Data'!N118</f>
        <v/>
      </c>
      <c r="H145" t="str">
        <f>'Interpreted Data'!P118</f>
        <v>Total = 2,642'</v>
      </c>
      <c r="I145" t="str">
        <f t="shared" si="50"/>
        <v xml:space="preserve"> </v>
      </c>
      <c r="J145" t="s">
        <v>76</v>
      </c>
      <c r="K145">
        <f>A145</f>
        <v>35</v>
      </c>
      <c r="P145" t="str">
        <f>H145</f>
        <v>Total = 2,642'</v>
      </c>
    </row>
    <row r="146" spans="1:16" x14ac:dyDescent="0.25">
      <c r="A146">
        <f>'Raw Data'!A119</f>
        <v>35</v>
      </c>
      <c r="B146" t="str">
        <f>'Raw Data'!B119</f>
        <v>e</v>
      </c>
      <c r="C146">
        <f>'Raw Data'!J119</f>
        <v>18</v>
      </c>
      <c r="D146" t="str">
        <f>'Interpreted Data'!G119</f>
        <v>234</v>
      </c>
      <c r="E146" t="str">
        <f>'Interpreted Data'!H119</f>
        <v>-</v>
      </c>
      <c r="F146" t="str">
        <f>SUBSTITUTE('Raw Data'!K119," ",":",1)</f>
        <v>45</v>
      </c>
      <c r="G146">
        <f>'Interpreted Data'!N119</f>
        <v>12.7</v>
      </c>
      <c r="H146" t="str">
        <f>'Interpreted Data'!P119</f>
        <v>(e) is where passage rejoins streamway. Stn 35 (p.52)-(e) is F.S. 234 (TRUE), Dist 18', Clino +45 (deg), HD 12.7, VD +12.7</v>
      </c>
      <c r="I146" t="str">
        <f t="shared" si="50"/>
        <v xml:space="preserve"> </v>
      </c>
      <c r="J146">
        <f>A146</f>
        <v>35</v>
      </c>
      <c r="K146" t="str">
        <f>CONCATENATE(B146,"2")</f>
        <v>e2</v>
      </c>
      <c r="L146">
        <f>C146</f>
        <v>18</v>
      </c>
      <c r="M146" t="str">
        <f t="shared" ref="M146:N147" si="51">D146</f>
        <v>234</v>
      </c>
      <c r="N146" t="str">
        <f t="shared" si="51"/>
        <v>-</v>
      </c>
      <c r="O146" t="str">
        <f t="shared" si="49"/>
        <v>45</v>
      </c>
      <c r="P146" t="str">
        <f>H146</f>
        <v>(e) is where passage rejoins streamway. Stn 35 (p.52)-(e) is F.S. 234 (TRUE), Dist 18', Clino +45 (deg), HD 12.7, VD +12.7</v>
      </c>
    </row>
    <row r="147" spans="1:16" x14ac:dyDescent="0.25">
      <c r="A147">
        <f>'Raw Data'!A120</f>
        <v>35</v>
      </c>
      <c r="B147" t="str">
        <f>'Raw Data'!B120</f>
        <v>D</v>
      </c>
      <c r="C147">
        <f>'Raw Data'!J120</f>
        <v>10</v>
      </c>
      <c r="D147" t="str">
        <f>'Interpreted Data'!G120</f>
        <v>-</v>
      </c>
      <c r="E147" t="str">
        <f>'Interpreted Data'!H120</f>
        <v>350</v>
      </c>
      <c r="F147" t="str">
        <f>SUBSTITUTE('Raw Data'!K120," ",":",1)</f>
        <v>0</v>
      </c>
      <c r="G147">
        <f>'Interpreted Data'!N120</f>
        <v>0</v>
      </c>
      <c r="H147" t="str">
        <f>'Interpreted Data'!P120</f>
        <v>D is in stream. Big rock (start of New Series survey) 10' away at 350 (deg). Big passage starts as continuation of Howards Dig.</v>
      </c>
      <c r="I147" t="str">
        <f t="shared" si="50"/>
        <v xml:space="preserve"> </v>
      </c>
      <c r="J147">
        <f>A147</f>
        <v>35</v>
      </c>
      <c r="K147" t="str">
        <f>B147</f>
        <v>D</v>
      </c>
      <c r="L147">
        <f>C147</f>
        <v>10</v>
      </c>
      <c r="M147" t="str">
        <f t="shared" si="51"/>
        <v>-</v>
      </c>
      <c r="N147" t="str">
        <f t="shared" si="51"/>
        <v>350</v>
      </c>
      <c r="O147" t="str">
        <f t="shared" ref="O147" si="52">IF(AND(D147="-",E147="-"),IF(1*SUBSTITUTE(F147,":",".")=-90,"DOWN",IF(1*SUBSTITUTE(F147,":",".")=90,"UP","no compass")),F147)</f>
        <v>0</v>
      </c>
      <c r="P147" t="str">
        <f>H147</f>
        <v>D is in stream. Big rock (start of New Series survey) 10' away at 350 (deg). Big passage starts as continuation of Howards Dig.</v>
      </c>
    </row>
    <row r="149" spans="1:16" x14ac:dyDescent="0.25">
      <c r="A149" t="str">
        <f>'Raw Data'!A122</f>
        <v>p. 53-56</v>
      </c>
      <c r="B149" t="str">
        <f>'Raw Data'!B122</f>
        <v>(=PDF p.57-60)</v>
      </c>
      <c r="C149">
        <f>'Raw Data'!J122</f>
        <v>0</v>
      </c>
      <c r="D149" t="str">
        <f>'Interpreted Data'!G122</f>
        <v>-</v>
      </c>
      <c r="E149" t="str">
        <f>'Interpreted Data'!H122</f>
        <v>-</v>
      </c>
      <c r="F149" t="str">
        <f>SUBSTITUTE('Raw Data'!K122," ",":",1)</f>
        <v/>
      </c>
      <c r="G149">
        <f>'Interpreted Data'!N122</f>
        <v>0</v>
      </c>
      <c r="H149">
        <f>'Interpreted Data'!P122</f>
        <v>0</v>
      </c>
      <c r="I149" t="str">
        <f t="shared" si="50"/>
        <v xml:space="preserve"> </v>
      </c>
      <c r="J149" t="str">
        <f>CONCATENATE("# ",A149)</f>
        <v># p. 53-56</v>
      </c>
      <c r="K149" t="str">
        <f t="shared" ref="K149:K150" si="53">B149</f>
        <v>(=PDF p.57-60)</v>
      </c>
    </row>
    <row r="150" spans="1:16" x14ac:dyDescent="0.25">
      <c r="A150">
        <f>'Raw Data'!A123</f>
        <v>27</v>
      </c>
      <c r="B150">
        <f>'Raw Data'!B123</f>
        <v>36</v>
      </c>
      <c r="C150">
        <f>'Raw Data'!J123</f>
        <v>6</v>
      </c>
      <c r="D150" t="str">
        <f>'Interpreted Data'!G123</f>
        <v>-</v>
      </c>
      <c r="E150" t="str">
        <f>'Interpreted Data'!H123</f>
        <v>-</v>
      </c>
      <c r="F150" t="str">
        <f>SUBSTITUTE('Raw Data'!K123," ",":",1)</f>
        <v>90:00</v>
      </c>
      <c r="G150">
        <f>'Interpreted Data'!N123</f>
        <v>6</v>
      </c>
      <c r="H150" t="str">
        <f>'Interpreted Data'!P123</f>
        <v>27 = 27 of p.52</v>
      </c>
      <c r="I150" t="str">
        <f t="shared" si="50"/>
        <v xml:space="preserve"> </v>
      </c>
      <c r="J150">
        <f t="shared" ref="J150" si="54">A150</f>
        <v>27</v>
      </c>
      <c r="K150">
        <f t="shared" si="53"/>
        <v>36</v>
      </c>
      <c r="L150">
        <f t="shared" ref="L150" si="55">C150</f>
        <v>6</v>
      </c>
      <c r="M150" t="str">
        <f t="shared" ref="M150" si="56">D150</f>
        <v>-</v>
      </c>
      <c r="N150" t="str">
        <f t="shared" ref="N150" si="57">E150</f>
        <v>-</v>
      </c>
      <c r="O150" t="str">
        <f t="shared" ref="O150" si="58">IF(AND(D150="-",E150="-"),IF(1*SUBSTITUTE(F150,":",".")=-90,"DOWN",IF(1*SUBSTITUTE(F150,":",".")=90,"UP","no compass")),F150)</f>
        <v>UP</v>
      </c>
      <c r="P150" t="str">
        <f t="shared" ref="P150" si="59">H150</f>
        <v>27 = 27 of p.52</v>
      </c>
    </row>
    <row r="151" spans="1:16" x14ac:dyDescent="0.25">
      <c r="A151">
        <f>'Raw Data'!A124</f>
        <v>36</v>
      </c>
      <c r="B151">
        <f>'Raw Data'!B124</f>
        <v>37</v>
      </c>
      <c r="C151">
        <f>'Raw Data'!J124</f>
        <v>29.4</v>
      </c>
      <c r="D151" t="str">
        <f>'Interpreted Data'!G124</f>
        <v>-</v>
      </c>
      <c r="E151" t="str">
        <f>'Interpreted Data'!H124</f>
        <v>158:00</v>
      </c>
      <c r="F151" t="str">
        <f>SUBSTITUTE('Raw Data'!K124," ",":",1)</f>
        <v>12:30</v>
      </c>
      <c r="G151">
        <f>'Interpreted Data'!N124</f>
        <v>6.4</v>
      </c>
      <c r="H151" t="str">
        <f>'Interpreted Data'!P124</f>
        <v/>
      </c>
      <c r="I151" t="str">
        <f t="shared" si="50"/>
        <v xml:space="preserve"> </v>
      </c>
      <c r="J151">
        <f t="shared" ref="J151:J157" si="60">A151</f>
        <v>36</v>
      </c>
      <c r="K151">
        <f t="shared" ref="K151:K157" si="61">B151</f>
        <v>37</v>
      </c>
      <c r="L151">
        <f t="shared" ref="L151:L157" si="62">C151</f>
        <v>29.4</v>
      </c>
      <c r="M151" t="str">
        <f t="shared" ref="M151:M157" si="63">D151</f>
        <v>-</v>
      </c>
      <c r="N151" t="str">
        <f t="shared" ref="N151:N157" si="64">E151</f>
        <v>158:00</v>
      </c>
      <c r="O151" t="str">
        <f t="shared" ref="O151:O157" si="65">IF(AND(D151="-",E151="-"),IF(1*SUBSTITUTE(F151,":",".")=-90,"DOWN",IF(1*SUBSTITUTE(F151,":",".")=90,"UP","no compass")),F151)</f>
        <v>12:30</v>
      </c>
      <c r="P151" t="str">
        <f t="shared" ref="P151:P157" si="66">H151</f>
        <v/>
      </c>
    </row>
    <row r="152" spans="1:16" x14ac:dyDescent="0.25">
      <c r="A152">
        <f>'Raw Data'!A125</f>
        <v>37</v>
      </c>
      <c r="B152">
        <f>'Raw Data'!B125</f>
        <v>38</v>
      </c>
      <c r="C152">
        <f>'Raw Data'!J125</f>
        <v>12.1</v>
      </c>
      <c r="D152" t="str">
        <f>'Interpreted Data'!G125</f>
        <v>011:00</v>
      </c>
      <c r="E152" t="str">
        <f>'Interpreted Data'!H125</f>
        <v>-</v>
      </c>
      <c r="F152" t="str">
        <f>SUBSTITUTE('Raw Data'!K125," ",":",1)</f>
        <v>-38:00</v>
      </c>
      <c r="G152">
        <f>'Interpreted Data'!N125</f>
        <v>-7.4</v>
      </c>
      <c r="H152" t="str">
        <f>'Interpreted Data'!P125</f>
        <v>(sketch of 36-54)</v>
      </c>
      <c r="I152" t="str">
        <f t="shared" si="50"/>
        <v xml:space="preserve"> </v>
      </c>
      <c r="J152">
        <f t="shared" si="60"/>
        <v>37</v>
      </c>
      <c r="K152">
        <f t="shared" si="61"/>
        <v>38</v>
      </c>
      <c r="L152">
        <f t="shared" si="62"/>
        <v>12.1</v>
      </c>
      <c r="M152" t="str">
        <f t="shared" si="63"/>
        <v>011:00</v>
      </c>
      <c r="N152" t="str">
        <f t="shared" si="64"/>
        <v>-</v>
      </c>
      <c r="O152" t="str">
        <f t="shared" si="65"/>
        <v>-38:00</v>
      </c>
      <c r="P152" t="str">
        <f t="shared" si="66"/>
        <v>(sketch of 36-54)</v>
      </c>
    </row>
    <row r="153" spans="1:16" x14ac:dyDescent="0.25">
      <c r="A153">
        <f>'Raw Data'!A126</f>
        <v>38</v>
      </c>
      <c r="B153">
        <f>'Raw Data'!B126</f>
        <v>39</v>
      </c>
      <c r="C153">
        <f>'Raw Data'!J126</f>
        <v>30.2</v>
      </c>
      <c r="D153" t="str">
        <f>'Interpreted Data'!G126</f>
        <v>-</v>
      </c>
      <c r="E153" t="str">
        <f>'Interpreted Data'!H126</f>
        <v>282:00</v>
      </c>
      <c r="F153" t="str">
        <f>SUBSTITUTE('Raw Data'!K126," ",":",1)</f>
        <v>16:30</v>
      </c>
      <c r="G153">
        <f>'Interpreted Data'!N126</f>
        <v>8.6</v>
      </c>
      <c r="H153" t="str">
        <f>'Interpreted Data'!P126</f>
        <v/>
      </c>
      <c r="I153" t="str">
        <f t="shared" si="50"/>
        <v xml:space="preserve"> </v>
      </c>
      <c r="J153">
        <f t="shared" si="60"/>
        <v>38</v>
      </c>
      <c r="K153">
        <f t="shared" si="61"/>
        <v>39</v>
      </c>
      <c r="L153">
        <f t="shared" si="62"/>
        <v>30.2</v>
      </c>
      <c r="M153" t="str">
        <f t="shared" si="63"/>
        <v>-</v>
      </c>
      <c r="N153" t="str">
        <f t="shared" si="64"/>
        <v>282:00</v>
      </c>
      <c r="O153" t="str">
        <f t="shared" si="65"/>
        <v>16:30</v>
      </c>
      <c r="P153" t="str">
        <f t="shared" si="66"/>
        <v/>
      </c>
    </row>
    <row r="154" spans="1:16" x14ac:dyDescent="0.25">
      <c r="A154">
        <f>'Raw Data'!A127</f>
        <v>39</v>
      </c>
      <c r="B154">
        <f>'Raw Data'!B127</f>
        <v>40</v>
      </c>
      <c r="C154">
        <f>'Raw Data'!J127</f>
        <v>15</v>
      </c>
      <c r="D154" t="str">
        <f>'Interpreted Data'!G127</f>
        <v>063:30</v>
      </c>
      <c r="E154" t="str">
        <f>'Interpreted Data'!H127</f>
        <v>-</v>
      </c>
      <c r="F154" t="str">
        <f>SUBSTITUTE('Raw Data'!K127," ",":",1)</f>
        <v>27:00</v>
      </c>
      <c r="G154">
        <f>'Interpreted Data'!N127</f>
        <v>6.8</v>
      </c>
      <c r="H154" t="str">
        <f>'Interpreted Data'!P127</f>
        <v/>
      </c>
      <c r="I154" t="str">
        <f t="shared" si="50"/>
        <v xml:space="preserve"> </v>
      </c>
      <c r="J154">
        <f t="shared" si="60"/>
        <v>39</v>
      </c>
      <c r="K154">
        <f t="shared" si="61"/>
        <v>40</v>
      </c>
      <c r="L154">
        <f t="shared" si="62"/>
        <v>15</v>
      </c>
      <c r="M154" t="str">
        <f t="shared" si="63"/>
        <v>063:30</v>
      </c>
      <c r="N154" t="str">
        <f t="shared" si="64"/>
        <v>-</v>
      </c>
      <c r="O154" t="str">
        <f t="shared" si="65"/>
        <v>27:00</v>
      </c>
      <c r="P154" t="str">
        <f t="shared" si="66"/>
        <v/>
      </c>
    </row>
    <row r="155" spans="1:16" x14ac:dyDescent="0.25">
      <c r="A155">
        <f>'Raw Data'!A128</f>
        <v>40</v>
      </c>
      <c r="B155">
        <f>'Raw Data'!B128</f>
        <v>41</v>
      </c>
      <c r="C155">
        <f>'Raw Data'!J128</f>
        <v>24.4</v>
      </c>
      <c r="D155" t="str">
        <f>'Interpreted Data'!G128</f>
        <v>-</v>
      </c>
      <c r="E155" t="str">
        <f>'Interpreted Data'!H128</f>
        <v>284:00</v>
      </c>
      <c r="F155" t="str">
        <f>SUBSTITUTE('Raw Data'!K128," ",":",1)</f>
        <v>13:30</v>
      </c>
      <c r="G155">
        <f>'Interpreted Data'!N128</f>
        <v>5.7</v>
      </c>
      <c r="H155" t="str">
        <f>'Interpreted Data'!P128</f>
        <v/>
      </c>
      <c r="I155" t="str">
        <f t="shared" si="50"/>
        <v xml:space="preserve"> </v>
      </c>
      <c r="J155">
        <f t="shared" si="60"/>
        <v>40</v>
      </c>
      <c r="K155">
        <f t="shared" si="61"/>
        <v>41</v>
      </c>
      <c r="L155">
        <f t="shared" si="62"/>
        <v>24.4</v>
      </c>
      <c r="M155" t="str">
        <f t="shared" si="63"/>
        <v>-</v>
      </c>
      <c r="N155" t="str">
        <f t="shared" si="64"/>
        <v>284:00</v>
      </c>
      <c r="O155" t="str">
        <f t="shared" si="65"/>
        <v>13:30</v>
      </c>
      <c r="P155" t="str">
        <f t="shared" si="66"/>
        <v/>
      </c>
    </row>
    <row r="156" spans="1:16" x14ac:dyDescent="0.25">
      <c r="A156">
        <f>'Raw Data'!A129</f>
        <v>41</v>
      </c>
      <c r="B156">
        <f>'Raw Data'!B129</f>
        <v>42</v>
      </c>
      <c r="C156">
        <f>'Raw Data'!J129</f>
        <v>19.5</v>
      </c>
      <c r="D156" t="str">
        <f>'Interpreted Data'!G129</f>
        <v>083:00</v>
      </c>
      <c r="E156" t="str">
        <f>'Interpreted Data'!H129</f>
        <v>-</v>
      </c>
      <c r="F156" t="str">
        <f>SUBSTITUTE('Raw Data'!K129," ",":",1)</f>
        <v>10:30</v>
      </c>
      <c r="G156">
        <f>'Interpreted Data'!N129</f>
        <v>3.5</v>
      </c>
      <c r="H156" t="str">
        <f>'Interpreted Data'!P129</f>
        <v/>
      </c>
      <c r="I156" t="str">
        <f t="shared" si="50"/>
        <v xml:space="preserve"> </v>
      </c>
      <c r="J156">
        <f t="shared" si="60"/>
        <v>41</v>
      </c>
      <c r="K156">
        <f t="shared" si="61"/>
        <v>42</v>
      </c>
      <c r="L156">
        <f t="shared" si="62"/>
        <v>19.5</v>
      </c>
      <c r="M156" t="str">
        <f t="shared" si="63"/>
        <v>083:00</v>
      </c>
      <c r="N156" t="str">
        <f t="shared" si="64"/>
        <v>-</v>
      </c>
      <c r="O156" t="str">
        <f t="shared" si="65"/>
        <v>10:30</v>
      </c>
      <c r="P156" t="str">
        <f t="shared" si="66"/>
        <v/>
      </c>
    </row>
    <row r="157" spans="1:16" x14ac:dyDescent="0.25">
      <c r="A157">
        <f>'Raw Data'!A130</f>
        <v>42</v>
      </c>
      <c r="B157">
        <f>'Raw Data'!B130</f>
        <v>43</v>
      </c>
      <c r="C157">
        <f>'Raw Data'!J130</f>
        <v>14.8</v>
      </c>
      <c r="D157" t="str">
        <f>'Interpreted Data'!G130</f>
        <v>-</v>
      </c>
      <c r="E157" t="str">
        <f>'Interpreted Data'!H130</f>
        <v>296:30</v>
      </c>
      <c r="F157" t="str">
        <f>SUBSTITUTE('Raw Data'!K130," ",":",1)</f>
        <v>14:30</v>
      </c>
      <c r="G157">
        <f>'Interpreted Data'!N130</f>
        <v>3.7</v>
      </c>
      <c r="H157" t="str">
        <f>'Interpreted Data'!P130</f>
        <v/>
      </c>
      <c r="I157" t="str">
        <f t="shared" si="50"/>
        <v xml:space="preserve"> </v>
      </c>
      <c r="J157">
        <f t="shared" si="60"/>
        <v>42</v>
      </c>
      <c r="K157">
        <f t="shared" si="61"/>
        <v>43</v>
      </c>
      <c r="L157">
        <f t="shared" si="62"/>
        <v>14.8</v>
      </c>
      <c r="M157" t="str">
        <f t="shared" si="63"/>
        <v>-</v>
      </c>
      <c r="N157" t="str">
        <f t="shared" si="64"/>
        <v>296:30</v>
      </c>
      <c r="O157" t="str">
        <f t="shared" si="65"/>
        <v>14:30</v>
      </c>
      <c r="P157" t="str">
        <f t="shared" si="66"/>
        <v/>
      </c>
    </row>
    <row r="158" spans="1:16" x14ac:dyDescent="0.25">
      <c r="A158">
        <f>'Raw Data'!A131</f>
        <v>43</v>
      </c>
      <c r="B158">
        <f>'Raw Data'!B131</f>
        <v>44</v>
      </c>
      <c r="C158">
        <f>'Raw Data'!J131</f>
        <v>49.3</v>
      </c>
      <c r="D158" t="str">
        <f>'Interpreted Data'!G131</f>
        <v>074:30</v>
      </c>
      <c r="E158" t="str">
        <f>'Interpreted Data'!H131</f>
        <v>-</v>
      </c>
      <c r="F158" t="str">
        <f>SUBSTITUTE('Raw Data'!K131," ",":",1)</f>
        <v>23:00</v>
      </c>
      <c r="G158">
        <f>'Interpreted Data'!N131</f>
        <v>19.2</v>
      </c>
      <c r="H158" t="str">
        <f>'Interpreted Data'!P131</f>
        <v/>
      </c>
      <c r="I158" t="str">
        <f t="shared" si="50"/>
        <v xml:space="preserve"> </v>
      </c>
      <c r="J158">
        <f t="shared" ref="J158:J190" si="67">A158</f>
        <v>43</v>
      </c>
      <c r="K158">
        <f t="shared" ref="K158:K193" si="68">B158</f>
        <v>44</v>
      </c>
      <c r="L158">
        <f t="shared" ref="L158:L193" si="69">C158</f>
        <v>49.3</v>
      </c>
      <c r="M158" t="str">
        <f t="shared" ref="M158:M190" si="70">D158</f>
        <v>074:30</v>
      </c>
      <c r="N158" t="str">
        <f t="shared" ref="N158:N190" si="71">E158</f>
        <v>-</v>
      </c>
      <c r="O158" t="str">
        <f t="shared" ref="O158:O190" si="72">IF(AND(D158="-",E158="-"),IF(1*SUBSTITUTE(F158,":",".")=-90,"DOWN",IF(1*SUBSTITUTE(F158,":",".")=90,"UP","no compass")),F158)</f>
        <v>23:00</v>
      </c>
      <c r="P158" t="str">
        <f t="shared" ref="P158:P193" si="73">H158</f>
        <v/>
      </c>
    </row>
    <row r="159" spans="1:16" x14ac:dyDescent="0.25">
      <c r="A159">
        <f>'Raw Data'!A132</f>
        <v>44</v>
      </c>
      <c r="B159">
        <f>'Raw Data'!B132</f>
        <v>45</v>
      </c>
      <c r="C159">
        <f>'Raw Data'!J132</f>
        <v>7.3</v>
      </c>
      <c r="D159" t="str">
        <f>'Interpreted Data'!G132</f>
        <v>-</v>
      </c>
      <c r="E159" t="str">
        <f>'Interpreted Data'!H132</f>
        <v>337:00</v>
      </c>
      <c r="F159" t="str">
        <f>SUBSTITUTE('Raw Data'!K132," ",":",1)</f>
        <v>5:00</v>
      </c>
      <c r="G159">
        <f>'Interpreted Data'!N132</f>
        <v>0.8</v>
      </c>
      <c r="H159" t="str">
        <f>'Interpreted Data'!P132</f>
        <v/>
      </c>
      <c r="I159" t="str">
        <f t="shared" si="50"/>
        <v xml:space="preserve"> </v>
      </c>
      <c r="J159">
        <f t="shared" si="67"/>
        <v>44</v>
      </c>
      <c r="K159">
        <f t="shared" si="68"/>
        <v>45</v>
      </c>
      <c r="L159">
        <f t="shared" si="69"/>
        <v>7.3</v>
      </c>
      <c r="M159" t="str">
        <f t="shared" si="70"/>
        <v>-</v>
      </c>
      <c r="N159" t="str">
        <f t="shared" si="71"/>
        <v>337:00</v>
      </c>
      <c r="O159" t="str">
        <f t="shared" si="72"/>
        <v>5:00</v>
      </c>
      <c r="P159" t="str">
        <f t="shared" si="73"/>
        <v/>
      </c>
    </row>
    <row r="160" spans="1:16" x14ac:dyDescent="0.25">
      <c r="A160">
        <f>'Raw Data'!A133</f>
        <v>45</v>
      </c>
      <c r="B160">
        <f>'Raw Data'!B133</f>
        <v>46</v>
      </c>
      <c r="C160">
        <f>'Raw Data'!J133</f>
        <v>16.2</v>
      </c>
      <c r="D160" t="str">
        <f>'Interpreted Data'!G133</f>
        <v>117:00</v>
      </c>
      <c r="E160" t="str">
        <f>'Interpreted Data'!H133</f>
        <v>-</v>
      </c>
      <c r="F160" t="str">
        <f>SUBSTITUTE('Raw Data'!K133," ",":",1)</f>
        <v>-31:00</v>
      </c>
      <c r="G160">
        <f>'Interpreted Data'!N133</f>
        <v>-8.3000000000000007</v>
      </c>
      <c r="H160" t="str">
        <f>'Interpreted Data'!P133</f>
        <v/>
      </c>
      <c r="I160" t="str">
        <f t="shared" si="50"/>
        <v xml:space="preserve"> </v>
      </c>
      <c r="J160">
        <f t="shared" si="67"/>
        <v>45</v>
      </c>
      <c r="K160">
        <f t="shared" si="68"/>
        <v>46</v>
      </c>
      <c r="L160">
        <f t="shared" si="69"/>
        <v>16.2</v>
      </c>
      <c r="M160" t="str">
        <f t="shared" si="70"/>
        <v>117:00</v>
      </c>
      <c r="N160" t="str">
        <f t="shared" si="71"/>
        <v>-</v>
      </c>
      <c r="O160" t="str">
        <f t="shared" si="72"/>
        <v>-31:00</v>
      </c>
      <c r="P160" t="str">
        <f t="shared" si="73"/>
        <v/>
      </c>
    </row>
    <row r="161" spans="1:16" x14ac:dyDescent="0.25">
      <c r="A161">
        <f>'Raw Data'!A134</f>
        <v>46</v>
      </c>
      <c r="B161">
        <f>'Raw Data'!B134</f>
        <v>47</v>
      </c>
      <c r="C161">
        <f>'Raw Data'!J134</f>
        <v>35</v>
      </c>
      <c r="D161" t="str">
        <f>'Interpreted Data'!G134</f>
        <v>-</v>
      </c>
      <c r="E161" t="str">
        <f>'Interpreted Data'!H134</f>
        <v>-</v>
      </c>
      <c r="F161" t="str">
        <f>SUBSTITUTE('Raw Data'!K134," ",":",1)</f>
        <v>-90:00</v>
      </c>
      <c r="G161">
        <f>'Interpreted Data'!N134</f>
        <v>-35</v>
      </c>
      <c r="H161" t="str">
        <f>'Interpreted Data'!P134</f>
        <v>46 marked by candle 4' beyond lip of Black Hole</v>
      </c>
      <c r="I161" t="str">
        <f t="shared" si="50"/>
        <v xml:space="preserve"> </v>
      </c>
      <c r="J161">
        <f t="shared" si="67"/>
        <v>46</v>
      </c>
      <c r="K161">
        <f t="shared" si="68"/>
        <v>47</v>
      </c>
      <c r="L161">
        <f t="shared" si="69"/>
        <v>35</v>
      </c>
      <c r="M161" t="str">
        <f t="shared" si="70"/>
        <v>-</v>
      </c>
      <c r="N161" t="str">
        <f t="shared" si="71"/>
        <v>-</v>
      </c>
      <c r="O161" t="str">
        <f t="shared" si="72"/>
        <v>DOWN</v>
      </c>
      <c r="P161" t="str">
        <f t="shared" si="73"/>
        <v>46 marked by candle 4' beyond lip of Black Hole</v>
      </c>
    </row>
    <row r="162" spans="1:16" x14ac:dyDescent="0.25">
      <c r="A162">
        <f>'Raw Data'!A135</f>
        <v>47</v>
      </c>
      <c r="B162">
        <f>'Raw Data'!B135</f>
        <v>48</v>
      </c>
      <c r="C162">
        <f>'Raw Data'!J135</f>
        <v>23.6</v>
      </c>
      <c r="D162" t="str">
        <f>'Interpreted Data'!G135</f>
        <v>-</v>
      </c>
      <c r="E162" t="str">
        <f>'Interpreted Data'!H135</f>
        <v>308:00</v>
      </c>
      <c r="F162" t="str">
        <f>SUBSTITUTE('Raw Data'!K135," ",":",1)</f>
        <v>8:00</v>
      </c>
      <c r="G162">
        <f>'Interpreted Data'!N135</f>
        <v>3.3</v>
      </c>
      <c r="H162" t="str">
        <f>'Interpreted Data'!P135</f>
        <v/>
      </c>
      <c r="I162" t="str">
        <f t="shared" si="50"/>
        <v xml:space="preserve"> </v>
      </c>
      <c r="J162">
        <f t="shared" si="67"/>
        <v>47</v>
      </c>
      <c r="K162">
        <f t="shared" si="68"/>
        <v>48</v>
      </c>
      <c r="L162">
        <f t="shared" si="69"/>
        <v>23.6</v>
      </c>
      <c r="M162" t="str">
        <f t="shared" si="70"/>
        <v>-</v>
      </c>
      <c r="N162" t="str">
        <f t="shared" si="71"/>
        <v>308:00</v>
      </c>
      <c r="O162" t="str">
        <f t="shared" si="72"/>
        <v>8:00</v>
      </c>
      <c r="P162" t="str">
        <f t="shared" si="73"/>
        <v/>
      </c>
    </row>
    <row r="163" spans="1:16" x14ac:dyDescent="0.25">
      <c r="A163">
        <f>'Raw Data'!A136</f>
        <v>48</v>
      </c>
      <c r="B163">
        <f>'Raw Data'!B136</f>
        <v>49</v>
      </c>
      <c r="C163">
        <f>'Raw Data'!J136</f>
        <v>27.5</v>
      </c>
      <c r="D163" t="str">
        <f>'Interpreted Data'!G136</f>
        <v>163:30</v>
      </c>
      <c r="E163" t="str">
        <f>'Interpreted Data'!H136</f>
        <v>-</v>
      </c>
      <c r="F163" t="str">
        <f>SUBSTITUTE('Raw Data'!K136," ",":",1)</f>
        <v>-34:30</v>
      </c>
      <c r="G163">
        <f>'Interpreted Data'!N136</f>
        <v>-15.6</v>
      </c>
      <c r="H163" t="str">
        <f>'Interpreted Data'!P136</f>
        <v/>
      </c>
      <c r="I163" t="str">
        <f t="shared" si="50"/>
        <v xml:space="preserve"> </v>
      </c>
      <c r="J163">
        <f t="shared" si="67"/>
        <v>48</v>
      </c>
      <c r="K163">
        <f t="shared" si="68"/>
        <v>49</v>
      </c>
      <c r="L163">
        <f t="shared" si="69"/>
        <v>27.5</v>
      </c>
      <c r="M163" t="str">
        <f t="shared" si="70"/>
        <v>163:30</v>
      </c>
      <c r="N163" t="str">
        <f t="shared" si="71"/>
        <v>-</v>
      </c>
      <c r="O163" t="str">
        <f t="shared" si="72"/>
        <v>-34:30</v>
      </c>
      <c r="P163" t="str">
        <f t="shared" si="73"/>
        <v/>
      </c>
    </row>
    <row r="164" spans="1:16" x14ac:dyDescent="0.25">
      <c r="A164">
        <f>'Raw Data'!A137</f>
        <v>49</v>
      </c>
      <c r="B164">
        <f>'Raw Data'!B137</f>
        <v>50</v>
      </c>
      <c r="C164">
        <f>'Raw Data'!J137</f>
        <v>23.5</v>
      </c>
      <c r="D164" t="str">
        <f>'Interpreted Data'!G137</f>
        <v>-</v>
      </c>
      <c r="E164" t="str">
        <f>'Interpreted Data'!H137</f>
        <v>020:00</v>
      </c>
      <c r="F164" t="str">
        <f>SUBSTITUTE('Raw Data'!K137," ",":",1)</f>
        <v>-5:00</v>
      </c>
      <c r="G164">
        <f>'Interpreted Data'!N137</f>
        <v>-2.7</v>
      </c>
      <c r="H164" t="str">
        <f>'Interpreted Data'!P137</f>
        <v/>
      </c>
      <c r="I164" t="str">
        <f t="shared" si="50"/>
        <v xml:space="preserve"> </v>
      </c>
      <c r="J164">
        <f t="shared" si="67"/>
        <v>49</v>
      </c>
      <c r="K164">
        <f t="shared" si="68"/>
        <v>50</v>
      </c>
      <c r="L164">
        <f t="shared" si="69"/>
        <v>23.5</v>
      </c>
      <c r="M164" t="str">
        <f t="shared" si="70"/>
        <v>-</v>
      </c>
      <c r="N164" t="str">
        <f t="shared" si="71"/>
        <v>020:00</v>
      </c>
      <c r="O164" t="str">
        <f t="shared" si="72"/>
        <v>-5:00</v>
      </c>
      <c r="P164" t="str">
        <f t="shared" si="73"/>
        <v/>
      </c>
    </row>
    <row r="165" spans="1:16" x14ac:dyDescent="0.25">
      <c r="A165">
        <f>'Raw Data'!A138</f>
        <v>50</v>
      </c>
      <c r="B165">
        <f>'Raw Data'!B138</f>
        <v>51</v>
      </c>
      <c r="C165">
        <f>'Raw Data'!J138</f>
        <v>16.899999999999999</v>
      </c>
      <c r="D165" t="str">
        <f>'Interpreted Data'!G138</f>
        <v>186:00</v>
      </c>
      <c r="E165" t="str">
        <f>'Interpreted Data'!H138</f>
        <v>-</v>
      </c>
      <c r="F165" t="str">
        <f>SUBSTITUTE('Raw Data'!K138," ",":",1)</f>
        <v>-17:30</v>
      </c>
      <c r="G165">
        <f>'Interpreted Data'!N138</f>
        <v>-5.0999999999999996</v>
      </c>
      <c r="H165" t="str">
        <f>'Interpreted Data'!P138</f>
        <v>"Dry" passage starts 3' back.</v>
      </c>
      <c r="I165" t="str">
        <f t="shared" si="50"/>
        <v xml:space="preserve"> </v>
      </c>
      <c r="J165">
        <f t="shared" si="67"/>
        <v>50</v>
      </c>
      <c r="K165">
        <f t="shared" si="68"/>
        <v>51</v>
      </c>
      <c r="L165">
        <f t="shared" si="69"/>
        <v>16.899999999999999</v>
      </c>
      <c r="M165" t="str">
        <f t="shared" si="70"/>
        <v>186:00</v>
      </c>
      <c r="N165" t="str">
        <f t="shared" si="71"/>
        <v>-</v>
      </c>
      <c r="O165" t="str">
        <f t="shared" si="72"/>
        <v>-17:30</v>
      </c>
      <c r="P165" t="str">
        <f t="shared" si="73"/>
        <v>"Dry" passage starts 3' back.</v>
      </c>
    </row>
    <row r="166" spans="1:16" x14ac:dyDescent="0.25">
      <c r="A166">
        <f>'Raw Data'!A139</f>
        <v>51</v>
      </c>
      <c r="B166">
        <f>'Raw Data'!B139</f>
        <v>52</v>
      </c>
      <c r="C166">
        <f>'Raw Data'!J139</f>
        <v>49.5</v>
      </c>
      <c r="D166" t="str">
        <f>'Interpreted Data'!G139</f>
        <v>-</v>
      </c>
      <c r="E166" t="str">
        <f>'Interpreted Data'!H139</f>
        <v>102:30</v>
      </c>
      <c r="F166" t="str">
        <f>SUBSTITUTE('Raw Data'!K139," ",":",1)</f>
        <v>-20:30</v>
      </c>
      <c r="G166">
        <f>'Interpreted Data'!N139</f>
        <v>-17.3</v>
      </c>
      <c r="H166" t="str">
        <f>'Interpreted Data'!P139</f>
        <v/>
      </c>
      <c r="I166" t="str">
        <f t="shared" si="50"/>
        <v xml:space="preserve"> </v>
      </c>
      <c r="J166">
        <f t="shared" si="67"/>
        <v>51</v>
      </c>
      <c r="K166">
        <f t="shared" si="68"/>
        <v>52</v>
      </c>
      <c r="L166">
        <f t="shared" si="69"/>
        <v>49.5</v>
      </c>
      <c r="M166" t="str">
        <f t="shared" si="70"/>
        <v>-</v>
      </c>
      <c r="N166" t="str">
        <f t="shared" si="71"/>
        <v>102:30</v>
      </c>
      <c r="O166" t="str">
        <f t="shared" si="72"/>
        <v>-20:30</v>
      </c>
      <c r="P166" t="str">
        <f t="shared" si="73"/>
        <v/>
      </c>
    </row>
    <row r="167" spans="1:16" x14ac:dyDescent="0.25">
      <c r="A167">
        <f>'Raw Data'!A140</f>
        <v>52</v>
      </c>
      <c r="B167">
        <f>'Raw Data'!B140</f>
        <v>53</v>
      </c>
      <c r="C167">
        <f>'Raw Data'!J140</f>
        <v>51.2</v>
      </c>
      <c r="D167" t="str">
        <f>'Interpreted Data'!G140</f>
        <v>264:00</v>
      </c>
      <c r="E167" t="str">
        <f>'Interpreted Data'!H140</f>
        <v>-</v>
      </c>
      <c r="F167" t="str">
        <f>SUBSTITUTE('Raw Data'!K140," ",":",1)</f>
        <v>-12:30</v>
      </c>
      <c r="G167">
        <f>'Interpreted Data'!N140</f>
        <v>-11.1</v>
      </c>
      <c r="H167" t="str">
        <f>'Interpreted Data'!P140</f>
        <v/>
      </c>
      <c r="I167" t="str">
        <f t="shared" si="50"/>
        <v xml:space="preserve"> </v>
      </c>
      <c r="J167">
        <f t="shared" si="67"/>
        <v>52</v>
      </c>
      <c r="K167">
        <f t="shared" si="68"/>
        <v>53</v>
      </c>
      <c r="L167">
        <f t="shared" si="69"/>
        <v>51.2</v>
      </c>
      <c r="M167" t="str">
        <f t="shared" si="70"/>
        <v>264:00</v>
      </c>
      <c r="N167" t="str">
        <f t="shared" si="71"/>
        <v>-</v>
      </c>
      <c r="O167" t="str">
        <f t="shared" si="72"/>
        <v>-12:30</v>
      </c>
      <c r="P167" t="str">
        <f t="shared" si="73"/>
        <v/>
      </c>
    </row>
    <row r="168" spans="1:16" x14ac:dyDescent="0.25">
      <c r="J168" t="str">
        <f>$J$2</f>
        <v>data diving from to tape compass backcompass depthchange ignoreall</v>
      </c>
    </row>
    <row r="169" spans="1:16" x14ac:dyDescent="0.25">
      <c r="A169">
        <f>'Raw Data'!A141</f>
        <v>53</v>
      </c>
      <c r="B169">
        <f>'Raw Data'!B141</f>
        <v>54</v>
      </c>
      <c r="C169">
        <f>'Raw Data'!J141</f>
        <v>14.2</v>
      </c>
      <c r="D169" t="str">
        <f>'Interpreted Data'!G141</f>
        <v>175:00</v>
      </c>
      <c r="E169" t="str">
        <f>'Interpreted Data'!H141</f>
        <v>-</v>
      </c>
      <c r="F169" t="str">
        <f>SUBSTITUTE('Raw Data'!K141," ",":",1)</f>
        <v>fall:3.5 feet</v>
      </c>
      <c r="G169">
        <f>'Interpreted Data'!N141</f>
        <v>-3.5</v>
      </c>
      <c r="H169" t="str">
        <f>'Interpreted Data'!P141</f>
        <v>Dry passage enters 2' on North. 53 is marked by a candle 1' below (.) on roof. 54 is H2O level in sump.</v>
      </c>
      <c r="I169" t="str">
        <f t="shared" si="50"/>
        <v xml:space="preserve"> </v>
      </c>
      <c r="J169">
        <f t="shared" si="67"/>
        <v>53</v>
      </c>
      <c r="K169">
        <f t="shared" si="68"/>
        <v>54</v>
      </c>
      <c r="L169">
        <f t="shared" si="69"/>
        <v>14.2</v>
      </c>
      <c r="M169" t="str">
        <f t="shared" si="70"/>
        <v>175:00</v>
      </c>
      <c r="N169" t="str">
        <f t="shared" si="71"/>
        <v>-</v>
      </c>
      <c r="O169">
        <f>G169</f>
        <v>-3.5</v>
      </c>
      <c r="P169" t="str">
        <f t="shared" si="73"/>
        <v>Dry passage enters 2' on North. 53 is marked by a candle 1' below (.) on roof. 54 is H2O level in sump.</v>
      </c>
    </row>
    <row r="170" spans="1:16" x14ac:dyDescent="0.25">
      <c r="A170">
        <f>'Raw Data'!A142</f>
        <v>54</v>
      </c>
      <c r="B170">
        <f>'Raw Data'!B142</f>
        <v>0</v>
      </c>
      <c r="C170">
        <f>'Raw Data'!J142</f>
        <v>0</v>
      </c>
      <c r="D170" t="str">
        <f>'Interpreted Data'!G142</f>
        <v>-</v>
      </c>
      <c r="E170" t="str">
        <f>'Interpreted Data'!H142</f>
        <v>-</v>
      </c>
      <c r="F170" t="str">
        <f>SUBSTITUTE('Raw Data'!K142," ",":",1)</f>
        <v/>
      </c>
      <c r="G170" t="str">
        <f>'Interpreted Data'!N142</f>
        <v/>
      </c>
      <c r="H170" t="str">
        <f>'Interpreted Data'!P142</f>
        <v>Closed on levels to 1.9 feet.  Not bad! Total 2,208 (? faint)</v>
      </c>
      <c r="I170" t="str">
        <f t="shared" si="50"/>
        <v xml:space="preserve"> </v>
      </c>
      <c r="J170" t="s">
        <v>76</v>
      </c>
      <c r="K170">
        <f>A170</f>
        <v>54</v>
      </c>
      <c r="P170" t="str">
        <f t="shared" si="73"/>
        <v>Closed on levels to 1.9 feet.  Not bad! Total 2,208 (? faint)</v>
      </c>
    </row>
    <row r="172" spans="1:16" x14ac:dyDescent="0.25">
      <c r="A172" t="str">
        <f>'Raw Data'!A144</f>
        <v>Nov. 23rd '52</v>
      </c>
      <c r="B172" t="str">
        <f>'Raw Data'!B144</f>
        <v>Jack Broadley</v>
      </c>
      <c r="C172" t="str">
        <f>'Raw Data'!C144</f>
        <v>Short Dry Way - Entrance</v>
      </c>
      <c r="D172" t="str">
        <f>'Interpreted Data'!G144</f>
        <v>-</v>
      </c>
      <c r="E172" t="str">
        <f>'Interpreted Data'!H144</f>
        <v>-</v>
      </c>
      <c r="F172" t="str">
        <f>SUBSTITUTE('Raw Data'!K144," ",":",1)</f>
        <v/>
      </c>
      <c r="G172" t="str">
        <f>'Interpreted Data'!N144</f>
        <v/>
      </c>
      <c r="H172" t="str">
        <f>'Interpreted Data'!P144</f>
        <v/>
      </c>
      <c r="I172" t="str">
        <f t="shared" si="50"/>
        <v xml:space="preserve"> </v>
      </c>
      <c r="J172" t="str">
        <f>CONCATENATE("# ",A172)</f>
        <v># Nov. 23rd '52</v>
      </c>
      <c r="K172" t="str">
        <f t="shared" si="68"/>
        <v>Jack Broadley</v>
      </c>
      <c r="L172" t="str">
        <f t="shared" si="69"/>
        <v>Short Dry Way - Entrance</v>
      </c>
      <c r="P172" t="str">
        <f t="shared" si="73"/>
        <v/>
      </c>
    </row>
    <row r="173" spans="1:16" x14ac:dyDescent="0.25">
      <c r="J173" t="str">
        <f>$J$1</f>
        <v>data normal from to tape compass backcompass clino ignoreall</v>
      </c>
    </row>
    <row r="174" spans="1:16" x14ac:dyDescent="0.25">
      <c r="A174" t="str">
        <f>'Raw Data'!A145</f>
        <v>EC</v>
      </c>
      <c r="B174" t="str">
        <f>'Raw Data'!B145</f>
        <v>EB</v>
      </c>
      <c r="C174">
        <f>'Raw Data'!J145</f>
        <v>12</v>
      </c>
      <c r="D174" t="str">
        <f>'Interpreted Data'!G145</f>
        <v>-</v>
      </c>
      <c r="E174" t="str">
        <f>'Interpreted Data'!H145</f>
        <v>103:00</v>
      </c>
      <c r="F174" t="str">
        <f>SUBSTITUTE('Raw Data'!K145," ",":",1)</f>
        <v>-6:00</v>
      </c>
      <c r="G174">
        <f>'Interpreted Data'!N145</f>
        <v>-1.3</v>
      </c>
      <c r="H174" t="str">
        <f>'Interpreted Data'!P145</f>
        <v>EC is on dimple in projecting rock 10' below entrance on E.</v>
      </c>
      <c r="I174" t="str">
        <f t="shared" si="50"/>
        <v xml:space="preserve"> </v>
      </c>
      <c r="J174" t="str">
        <f t="shared" si="67"/>
        <v>EC</v>
      </c>
      <c r="K174" t="str">
        <f t="shared" si="68"/>
        <v>EB</v>
      </c>
      <c r="L174">
        <f t="shared" si="69"/>
        <v>12</v>
      </c>
      <c r="M174" t="str">
        <f t="shared" si="70"/>
        <v>-</v>
      </c>
      <c r="N174" t="str">
        <f t="shared" si="71"/>
        <v>103:00</v>
      </c>
      <c r="O174" t="str">
        <f t="shared" si="72"/>
        <v>-6:00</v>
      </c>
      <c r="P174" t="str">
        <f t="shared" si="73"/>
        <v>EC is on dimple in projecting rock 10' below entrance on E.</v>
      </c>
    </row>
    <row r="175" spans="1:16" x14ac:dyDescent="0.25">
      <c r="A175" t="str">
        <f>'Raw Data'!A146</f>
        <v>EB</v>
      </c>
      <c r="B175" t="str">
        <f>'Raw Data'!B146</f>
        <v>EA</v>
      </c>
      <c r="C175">
        <f>'Raw Data'!J146</f>
        <v>3</v>
      </c>
      <c r="D175" t="str">
        <f>'Interpreted Data'!G146</f>
        <v>011:00</v>
      </c>
      <c r="E175" t="str">
        <f>'Interpreted Data'!H146</f>
        <v>-</v>
      </c>
      <c r="F175" t="str">
        <f>SUBSTITUTE('Raw Data'!K146," ",":",1)</f>
        <v>-6:00</v>
      </c>
      <c r="G175">
        <f>'Interpreted Data'!N146</f>
        <v>-0.3</v>
      </c>
      <c r="H175" t="str">
        <f>'Interpreted Data'!P146</f>
        <v/>
      </c>
      <c r="I175" t="str">
        <f t="shared" si="50"/>
        <v xml:space="preserve"> </v>
      </c>
      <c r="J175" t="str">
        <f t="shared" si="67"/>
        <v>EB</v>
      </c>
      <c r="K175" t="str">
        <f t="shared" si="68"/>
        <v>EA</v>
      </c>
      <c r="L175">
        <f t="shared" si="69"/>
        <v>3</v>
      </c>
      <c r="M175" t="str">
        <f t="shared" si="70"/>
        <v>011:00</v>
      </c>
      <c r="N175" t="str">
        <f t="shared" si="71"/>
        <v>-</v>
      </c>
      <c r="O175" t="str">
        <f t="shared" si="72"/>
        <v>-6:00</v>
      </c>
      <c r="P175" t="str">
        <f t="shared" si="73"/>
        <v/>
      </c>
    </row>
    <row r="176" spans="1:16" x14ac:dyDescent="0.25">
      <c r="A176" t="str">
        <f>'Raw Data'!A147</f>
        <v>EA</v>
      </c>
      <c r="B176" t="str">
        <f>'Raw Data'!B147</f>
        <v>DZ</v>
      </c>
      <c r="C176">
        <f>'Raw Data'!J147</f>
        <v>6</v>
      </c>
      <c r="D176" t="str">
        <f>'Interpreted Data'!G147</f>
        <v>-</v>
      </c>
      <c r="E176" t="str">
        <f>'Interpreted Data'!H147</f>
        <v>-</v>
      </c>
      <c r="F176" t="str">
        <f>SUBSTITUTE('Raw Data'!K147," ",":",1)</f>
        <v>-90:00</v>
      </c>
      <c r="G176">
        <f>'Interpreted Data'!N147</f>
        <v>-6</v>
      </c>
      <c r="H176" t="str">
        <f>'Interpreted Data'!P147</f>
        <v>(sketch from Ent. EC-DO)</v>
      </c>
      <c r="I176" t="str">
        <f t="shared" si="50"/>
        <v xml:space="preserve"> </v>
      </c>
      <c r="J176" t="str">
        <f t="shared" si="67"/>
        <v>EA</v>
      </c>
      <c r="K176" t="str">
        <f t="shared" si="68"/>
        <v>DZ</v>
      </c>
      <c r="L176">
        <f t="shared" si="69"/>
        <v>6</v>
      </c>
      <c r="M176" t="str">
        <f t="shared" si="70"/>
        <v>-</v>
      </c>
      <c r="N176" t="str">
        <f t="shared" si="71"/>
        <v>-</v>
      </c>
      <c r="O176" t="str">
        <f t="shared" si="72"/>
        <v>DOWN</v>
      </c>
      <c r="P176" t="str">
        <f t="shared" si="73"/>
        <v>(sketch from Ent. EC-DO)</v>
      </c>
    </row>
    <row r="177" spans="1:16" x14ac:dyDescent="0.25">
      <c r="A177" t="str">
        <f>'Raw Data'!A148</f>
        <v>DZ</v>
      </c>
      <c r="B177" t="str">
        <f>'Raw Data'!B148</f>
        <v>DY</v>
      </c>
      <c r="C177">
        <f>'Raw Data'!J148</f>
        <v>17.5</v>
      </c>
      <c r="D177" t="str">
        <f>'Interpreted Data'!G148</f>
        <v>-</v>
      </c>
      <c r="E177" t="str">
        <f>'Interpreted Data'!H148</f>
        <v>216:00</v>
      </c>
      <c r="F177" t="str">
        <f>SUBSTITUTE('Raw Data'!K148," ",":",1)</f>
        <v>8:00</v>
      </c>
      <c r="G177">
        <f>'Interpreted Data'!N148</f>
        <v>2.4</v>
      </c>
      <c r="H177" t="str">
        <f>'Interpreted Data'!P148</f>
        <v/>
      </c>
      <c r="I177" t="str">
        <f t="shared" si="50"/>
        <v xml:space="preserve"> </v>
      </c>
      <c r="J177" t="str">
        <f t="shared" si="67"/>
        <v>DZ</v>
      </c>
      <c r="K177" t="str">
        <f t="shared" si="68"/>
        <v>DY</v>
      </c>
      <c r="L177">
        <f t="shared" si="69"/>
        <v>17.5</v>
      </c>
      <c r="M177" t="str">
        <f t="shared" si="70"/>
        <v>-</v>
      </c>
      <c r="N177" t="str">
        <f t="shared" si="71"/>
        <v>216:00</v>
      </c>
      <c r="O177" t="str">
        <f t="shared" si="72"/>
        <v>8:00</v>
      </c>
      <c r="P177" t="str">
        <f t="shared" si="73"/>
        <v/>
      </c>
    </row>
    <row r="178" spans="1:16" x14ac:dyDescent="0.25">
      <c r="A178" t="str">
        <f>'Raw Data'!A149</f>
        <v>DY</v>
      </c>
      <c r="B178" t="str">
        <f>'Raw Data'!B149</f>
        <v>DX</v>
      </c>
      <c r="C178">
        <f>'Raw Data'!J149</f>
        <v>4.9000000000000004</v>
      </c>
      <c r="D178" t="str">
        <f>'Interpreted Data'!G149</f>
        <v>344:30</v>
      </c>
      <c r="E178" t="str">
        <f>'Interpreted Data'!H149</f>
        <v>-</v>
      </c>
      <c r="F178" t="str">
        <f>SUBSTITUTE('Raw Data'!K149," ",":",1)</f>
        <v>6:00</v>
      </c>
      <c r="G178">
        <f>'Interpreted Data'!N149</f>
        <v>0.5</v>
      </c>
      <c r="H178" t="str">
        <f>'Interpreted Data'!P149</f>
        <v/>
      </c>
      <c r="I178" t="str">
        <f t="shared" si="50"/>
        <v xml:space="preserve"> </v>
      </c>
      <c r="J178" t="str">
        <f t="shared" si="67"/>
        <v>DY</v>
      </c>
      <c r="K178" t="str">
        <f t="shared" si="68"/>
        <v>DX</v>
      </c>
      <c r="L178">
        <f t="shared" si="69"/>
        <v>4.9000000000000004</v>
      </c>
      <c r="M178" t="str">
        <f t="shared" si="70"/>
        <v>344:30</v>
      </c>
      <c r="N178" t="str">
        <f t="shared" si="71"/>
        <v>-</v>
      </c>
      <c r="O178" t="str">
        <f t="shared" si="72"/>
        <v>6:00</v>
      </c>
      <c r="P178" t="str">
        <f t="shared" si="73"/>
        <v/>
      </c>
    </row>
    <row r="179" spans="1:16" x14ac:dyDescent="0.25">
      <c r="A179" t="str">
        <f>'Raw Data'!A150</f>
        <v>DX</v>
      </c>
      <c r="B179" t="str">
        <f>'Raw Data'!B150</f>
        <v>DW</v>
      </c>
      <c r="C179">
        <f>'Raw Data'!J150</f>
        <v>23.5</v>
      </c>
      <c r="D179" t="str">
        <f>'Interpreted Data'!G150</f>
        <v>-</v>
      </c>
      <c r="E179" t="str">
        <f>'Interpreted Data'!H150</f>
        <v>162:00</v>
      </c>
      <c r="F179" t="str">
        <f>SUBSTITUTE('Raw Data'!K150," ",":",1)</f>
        <v>-12:00</v>
      </c>
      <c r="G179">
        <f>'Interpreted Data'!N150</f>
        <v>-4.9000000000000004</v>
      </c>
      <c r="H179" t="str">
        <f>'Interpreted Data'!P150</f>
        <v/>
      </c>
      <c r="I179" t="str">
        <f t="shared" si="50"/>
        <v xml:space="preserve"> </v>
      </c>
      <c r="J179" t="str">
        <f t="shared" si="67"/>
        <v>DX</v>
      </c>
      <c r="K179" t="str">
        <f t="shared" si="68"/>
        <v>DW</v>
      </c>
      <c r="L179">
        <f t="shared" si="69"/>
        <v>23.5</v>
      </c>
      <c r="M179" t="str">
        <f t="shared" si="70"/>
        <v>-</v>
      </c>
      <c r="N179" t="str">
        <f t="shared" si="71"/>
        <v>162:00</v>
      </c>
      <c r="O179" t="str">
        <f t="shared" si="72"/>
        <v>-12:00</v>
      </c>
      <c r="P179" t="str">
        <f t="shared" si="73"/>
        <v/>
      </c>
    </row>
    <row r="180" spans="1:16" x14ac:dyDescent="0.25">
      <c r="A180" t="str">
        <f>'Raw Data'!A151</f>
        <v>DW</v>
      </c>
      <c r="B180" t="str">
        <f>'Raw Data'!B151</f>
        <v>DV</v>
      </c>
      <c r="C180">
        <f>'Raw Data'!J151</f>
        <v>8.1999999999999993</v>
      </c>
      <c r="D180" t="str">
        <f>'Interpreted Data'!G151</f>
        <v>259:00</v>
      </c>
      <c r="E180" t="str">
        <f>'Interpreted Data'!H151</f>
        <v>-</v>
      </c>
      <c r="F180" t="str">
        <f>SUBSTITUTE('Raw Data'!K151," ",":",1)</f>
        <v>-21:00</v>
      </c>
      <c r="G180">
        <f>'Interpreted Data'!N151</f>
        <v>-3</v>
      </c>
      <c r="H180" t="str">
        <f>'Interpreted Data'!P151</f>
        <v/>
      </c>
      <c r="I180" t="str">
        <f t="shared" si="50"/>
        <v xml:space="preserve"> </v>
      </c>
      <c r="J180" t="str">
        <f t="shared" si="67"/>
        <v>DW</v>
      </c>
      <c r="K180" t="str">
        <f t="shared" si="68"/>
        <v>DV</v>
      </c>
      <c r="L180">
        <f t="shared" si="69"/>
        <v>8.1999999999999993</v>
      </c>
      <c r="M180" t="str">
        <f t="shared" si="70"/>
        <v>259:00</v>
      </c>
      <c r="N180" t="str">
        <f t="shared" si="71"/>
        <v>-</v>
      </c>
      <c r="O180" t="str">
        <f t="shared" si="72"/>
        <v>-21:00</v>
      </c>
      <c r="P180" t="str">
        <f t="shared" si="73"/>
        <v/>
      </c>
    </row>
    <row r="181" spans="1:16" x14ac:dyDescent="0.25">
      <c r="A181" t="str">
        <f>'Raw Data'!A152</f>
        <v>DV</v>
      </c>
      <c r="B181" t="str">
        <f>'Raw Data'!B152</f>
        <v>DQ</v>
      </c>
      <c r="C181">
        <f>'Raw Data'!J152</f>
        <v>9</v>
      </c>
      <c r="D181" t="str">
        <f>'Interpreted Data'!G152</f>
        <v>-</v>
      </c>
      <c r="E181" t="str">
        <f>'Interpreted Data'!H152</f>
        <v>119:00</v>
      </c>
      <c r="F181" t="str">
        <f>SUBSTITUTE('Raw Data'!K152," ",":",1)</f>
        <v>-17:00</v>
      </c>
      <c r="G181">
        <f>'Interpreted Data'!N152</f>
        <v>-2.6</v>
      </c>
      <c r="H181" t="str">
        <f>'Interpreted Data'!P152</f>
        <v>(sketch of Short Dry Way DN-DH)</v>
      </c>
      <c r="I181" t="str">
        <f t="shared" si="50"/>
        <v xml:space="preserve"> </v>
      </c>
      <c r="J181" t="str">
        <f t="shared" si="67"/>
        <v>DV</v>
      </c>
      <c r="K181" t="str">
        <f t="shared" si="68"/>
        <v>DQ</v>
      </c>
      <c r="L181">
        <f t="shared" si="69"/>
        <v>9</v>
      </c>
      <c r="M181" t="str">
        <f t="shared" si="70"/>
        <v>-</v>
      </c>
      <c r="N181" t="str">
        <f t="shared" si="71"/>
        <v>119:00</v>
      </c>
      <c r="O181" t="str">
        <f t="shared" si="72"/>
        <v>-17:00</v>
      </c>
      <c r="P181" t="str">
        <f t="shared" si="73"/>
        <v>(sketch of Short Dry Way DN-DH)</v>
      </c>
    </row>
    <row r="182" spans="1:16" x14ac:dyDescent="0.25">
      <c r="A182" t="str">
        <f>'Raw Data'!A153</f>
        <v>DQ</v>
      </c>
      <c r="B182" t="str">
        <f>'Raw Data'!B153</f>
        <v>DP</v>
      </c>
      <c r="C182">
        <f>'Raw Data'!J153</f>
        <v>0.5</v>
      </c>
      <c r="D182" t="str">
        <f>'Interpreted Data'!G153</f>
        <v>-</v>
      </c>
      <c r="E182" t="str">
        <f>'Interpreted Data'!H153</f>
        <v>-</v>
      </c>
      <c r="F182" t="str">
        <f>SUBSTITUTE('Raw Data'!K153," ",":",1)</f>
        <v>-90:00</v>
      </c>
      <c r="G182">
        <f>'Interpreted Data'!N153</f>
        <v>-0.5</v>
      </c>
      <c r="H182" t="str">
        <f>'Interpreted Data'!P153</f>
        <v/>
      </c>
      <c r="I182" t="str">
        <f t="shared" si="50"/>
        <v xml:space="preserve"> </v>
      </c>
      <c r="J182" t="str">
        <f t="shared" si="67"/>
        <v>DQ</v>
      </c>
      <c r="K182" t="str">
        <f t="shared" si="68"/>
        <v>DP</v>
      </c>
      <c r="L182">
        <f t="shared" si="69"/>
        <v>0.5</v>
      </c>
      <c r="M182" t="str">
        <f t="shared" si="70"/>
        <v>-</v>
      </c>
      <c r="N182" t="str">
        <f t="shared" si="71"/>
        <v>-</v>
      </c>
      <c r="O182" t="str">
        <f t="shared" si="72"/>
        <v>DOWN</v>
      </c>
      <c r="P182" t="str">
        <f t="shared" si="73"/>
        <v/>
      </c>
    </row>
    <row r="183" spans="1:16" x14ac:dyDescent="0.25">
      <c r="A183" t="str">
        <f>'Raw Data'!A154</f>
        <v>DP</v>
      </c>
      <c r="B183" t="str">
        <f>'Raw Data'!B154</f>
        <v>DO</v>
      </c>
      <c r="C183">
        <f>'Raw Data'!J154</f>
        <v>14.8</v>
      </c>
      <c r="D183" t="str">
        <f>'Interpreted Data'!G154</f>
        <v>277:00</v>
      </c>
      <c r="E183" t="str">
        <f>'Interpreted Data'!H154</f>
        <v>-</v>
      </c>
      <c r="F183" t="str">
        <f>SUBSTITUTE('Raw Data'!K154," ",":",1)</f>
        <v>-53:00</v>
      </c>
      <c r="G183">
        <f>'Interpreted Data'!N154</f>
        <v>-11.8</v>
      </c>
      <c r="H183" t="str">
        <f>'Interpreted Data'!P154</f>
        <v/>
      </c>
      <c r="I183" t="str">
        <f t="shared" si="50"/>
        <v xml:space="preserve"> </v>
      </c>
      <c r="J183" t="str">
        <f t="shared" si="67"/>
        <v>DP</v>
      </c>
      <c r="K183" t="str">
        <f t="shared" si="68"/>
        <v>DO</v>
      </c>
      <c r="L183">
        <f t="shared" si="69"/>
        <v>14.8</v>
      </c>
      <c r="M183" t="str">
        <f t="shared" si="70"/>
        <v>277:00</v>
      </c>
      <c r="N183" t="str">
        <f t="shared" si="71"/>
        <v>-</v>
      </c>
      <c r="O183" t="str">
        <f t="shared" si="72"/>
        <v>-53:00</v>
      </c>
      <c r="P183" t="str">
        <f t="shared" si="73"/>
        <v/>
      </c>
    </row>
    <row r="184" spans="1:16" x14ac:dyDescent="0.25">
      <c r="A184" t="str">
        <f>'Raw Data'!A155</f>
        <v>DO</v>
      </c>
      <c r="B184" t="str">
        <f>'Raw Data'!B155</f>
        <v>DN</v>
      </c>
      <c r="C184">
        <f>'Raw Data'!J155</f>
        <v>13.3</v>
      </c>
      <c r="D184" t="str">
        <f>'Interpreted Data'!G155</f>
        <v>-</v>
      </c>
      <c r="E184" t="str">
        <f>'Interpreted Data'!H155</f>
        <v>261:00</v>
      </c>
      <c r="F184" t="str">
        <f>SUBSTITUTE('Raw Data'!K155," ",":",1)</f>
        <v>-47:00</v>
      </c>
      <c r="G184">
        <f>'Interpreted Data'!N155</f>
        <v>-9.6999999999999993</v>
      </c>
      <c r="H184" t="str">
        <f>'Interpreted Data'!P155</f>
        <v/>
      </c>
      <c r="I184" t="str">
        <f t="shared" si="50"/>
        <v xml:space="preserve"> </v>
      </c>
      <c r="J184" t="str">
        <f t="shared" si="67"/>
        <v>DO</v>
      </c>
      <c r="K184" t="str">
        <f t="shared" si="68"/>
        <v>DN</v>
      </c>
      <c r="L184">
        <f t="shared" si="69"/>
        <v>13.3</v>
      </c>
      <c r="M184" t="str">
        <f t="shared" si="70"/>
        <v>-</v>
      </c>
      <c r="N184" t="str">
        <f t="shared" si="71"/>
        <v>261:00</v>
      </c>
      <c r="O184" t="str">
        <f t="shared" si="72"/>
        <v>-47:00</v>
      </c>
      <c r="P184" t="str">
        <f t="shared" si="73"/>
        <v/>
      </c>
    </row>
    <row r="185" spans="1:16" x14ac:dyDescent="0.25">
      <c r="A185" t="str">
        <f>'Raw Data'!A156</f>
        <v>DN</v>
      </c>
      <c r="B185" t="str">
        <f>'Raw Data'!B156</f>
        <v>DM</v>
      </c>
      <c r="C185">
        <f>'Raw Data'!J156</f>
        <v>0.5</v>
      </c>
      <c r="D185" t="str">
        <f>'Interpreted Data'!G156</f>
        <v>-</v>
      </c>
      <c r="E185" t="str">
        <f>'Interpreted Data'!H156</f>
        <v>-</v>
      </c>
      <c r="F185" t="str">
        <f>SUBSTITUTE('Raw Data'!K156," ",":",1)</f>
        <v>90:00</v>
      </c>
      <c r="G185">
        <f>'Interpreted Data'!N156</f>
        <v>0.5</v>
      </c>
      <c r="H185" t="str">
        <f>'Interpreted Data'!P156</f>
        <v/>
      </c>
      <c r="I185" t="str">
        <f t="shared" si="50"/>
        <v xml:space="preserve"> </v>
      </c>
      <c r="J185" t="str">
        <f t="shared" si="67"/>
        <v>DN</v>
      </c>
      <c r="K185" t="str">
        <f t="shared" si="68"/>
        <v>DM</v>
      </c>
      <c r="L185">
        <f t="shared" si="69"/>
        <v>0.5</v>
      </c>
      <c r="M185" t="str">
        <f t="shared" si="70"/>
        <v>-</v>
      </c>
      <c r="N185" t="str">
        <f t="shared" si="71"/>
        <v>-</v>
      </c>
      <c r="O185" t="str">
        <f t="shared" si="72"/>
        <v>UP</v>
      </c>
      <c r="P185" t="str">
        <f t="shared" si="73"/>
        <v/>
      </c>
    </row>
    <row r="186" spans="1:16" x14ac:dyDescent="0.25">
      <c r="A186" t="str">
        <f>'Raw Data'!A157</f>
        <v>DM</v>
      </c>
      <c r="B186" t="str">
        <f>'Raw Data'!B157</f>
        <v>DL</v>
      </c>
      <c r="C186">
        <f>'Raw Data'!J157</f>
        <v>14.5</v>
      </c>
      <c r="D186" t="str">
        <f>'Interpreted Data'!G157</f>
        <v>348:30</v>
      </c>
      <c r="E186" t="str">
        <f>'Interpreted Data'!H157</f>
        <v>-</v>
      </c>
      <c r="F186" t="str">
        <f>SUBSTITUTE('Raw Data'!K157," ",":",1)</f>
        <v>-6:00</v>
      </c>
      <c r="G186">
        <f>'Interpreted Data'!N157</f>
        <v>-1.5</v>
      </c>
      <c r="H186" t="str">
        <f>'Interpreted Data'!P157</f>
        <v/>
      </c>
      <c r="I186" t="str">
        <f t="shared" si="50"/>
        <v xml:space="preserve"> </v>
      </c>
      <c r="J186" t="str">
        <f t="shared" si="67"/>
        <v>DM</v>
      </c>
      <c r="K186" t="str">
        <f t="shared" si="68"/>
        <v>DL</v>
      </c>
      <c r="L186">
        <f t="shared" si="69"/>
        <v>14.5</v>
      </c>
      <c r="M186" t="str">
        <f t="shared" si="70"/>
        <v>348:30</v>
      </c>
      <c r="N186" t="str">
        <f t="shared" si="71"/>
        <v>-</v>
      </c>
      <c r="O186" t="str">
        <f t="shared" si="72"/>
        <v>-6:00</v>
      </c>
      <c r="P186" t="str">
        <f t="shared" si="73"/>
        <v/>
      </c>
    </row>
    <row r="187" spans="1:16" x14ac:dyDescent="0.25">
      <c r="A187" t="str">
        <f>'Raw Data'!A158</f>
        <v>DL</v>
      </c>
      <c r="B187" t="str">
        <f>'Raw Data'!B158</f>
        <v>DK</v>
      </c>
      <c r="C187">
        <f>'Raw Data'!J158</f>
        <v>17.3</v>
      </c>
      <c r="D187" t="str">
        <f>'Interpreted Data'!G158</f>
        <v>-</v>
      </c>
      <c r="E187" t="str">
        <f>'Interpreted Data'!H158</f>
        <v>112:00</v>
      </c>
      <c r="F187" t="str">
        <f>SUBSTITUTE('Raw Data'!K158," ",":",1)</f>
        <v>-20:00</v>
      </c>
      <c r="G187">
        <f>'Interpreted Data'!N158</f>
        <v>-5.9</v>
      </c>
      <c r="H187" t="str">
        <f>'Interpreted Data'!P158</f>
        <v/>
      </c>
      <c r="I187" t="str">
        <f t="shared" si="50"/>
        <v xml:space="preserve"> </v>
      </c>
      <c r="J187" t="str">
        <f t="shared" si="67"/>
        <v>DL</v>
      </c>
      <c r="K187" t="str">
        <f t="shared" si="68"/>
        <v>DK</v>
      </c>
      <c r="L187">
        <f t="shared" si="69"/>
        <v>17.3</v>
      </c>
      <c r="M187" t="str">
        <f t="shared" si="70"/>
        <v>-</v>
      </c>
      <c r="N187" t="str">
        <f t="shared" si="71"/>
        <v>112:00</v>
      </c>
      <c r="O187" t="str">
        <f t="shared" si="72"/>
        <v>-20:00</v>
      </c>
      <c r="P187" t="str">
        <f t="shared" si="73"/>
        <v/>
      </c>
    </row>
    <row r="188" spans="1:16" x14ac:dyDescent="0.25">
      <c r="A188" t="str">
        <f>'Raw Data'!A159</f>
        <v>DK</v>
      </c>
      <c r="B188" t="str">
        <f>'Raw Data'!B159</f>
        <v>DJ</v>
      </c>
      <c r="C188">
        <f>'Raw Data'!J159</f>
        <v>17.2</v>
      </c>
      <c r="D188" t="str">
        <f>'Interpreted Data'!G159</f>
        <v>346:00</v>
      </c>
      <c r="E188" t="str">
        <f>'Interpreted Data'!H159</f>
        <v>-</v>
      </c>
      <c r="F188" t="str">
        <f>SUBSTITUTE('Raw Data'!K159," ",":",1)</f>
        <v>-22:00</v>
      </c>
      <c r="G188">
        <f>'Interpreted Data'!N159</f>
        <v>-6.4</v>
      </c>
      <c r="H188" t="str">
        <f>'Interpreted Data'!P159</f>
        <v/>
      </c>
      <c r="I188" t="str">
        <f t="shared" si="50"/>
        <v xml:space="preserve"> </v>
      </c>
      <c r="J188" t="str">
        <f t="shared" si="67"/>
        <v>DK</v>
      </c>
      <c r="K188" t="str">
        <f t="shared" si="68"/>
        <v>DJ</v>
      </c>
      <c r="L188">
        <f t="shared" si="69"/>
        <v>17.2</v>
      </c>
      <c r="M188" t="str">
        <f t="shared" si="70"/>
        <v>346:00</v>
      </c>
      <c r="N188" t="str">
        <f t="shared" si="71"/>
        <v>-</v>
      </c>
      <c r="O188" t="str">
        <f t="shared" si="72"/>
        <v>-22:00</v>
      </c>
      <c r="P188" t="str">
        <f t="shared" si="73"/>
        <v/>
      </c>
    </row>
    <row r="189" spans="1:16" x14ac:dyDescent="0.25">
      <c r="A189" t="str">
        <f>'Raw Data'!A160</f>
        <v>DJ</v>
      </c>
      <c r="B189" t="str">
        <f>'Raw Data'!B160</f>
        <v>DI</v>
      </c>
      <c r="C189">
        <f>'Raw Data'!J160</f>
        <v>8.9</v>
      </c>
      <c r="D189" t="str">
        <f>'Interpreted Data'!G160</f>
        <v>-</v>
      </c>
      <c r="E189" t="str">
        <f>'Interpreted Data'!H160</f>
        <v>138:00</v>
      </c>
      <c r="F189" t="str">
        <f>SUBSTITUTE('Raw Data'!K160," ",":",1)</f>
        <v>-13:30</v>
      </c>
      <c r="G189">
        <f>'Interpreted Data'!N160</f>
        <v>-2.1</v>
      </c>
      <c r="H189" t="str">
        <f>'Interpreted Data'!P160</f>
        <v/>
      </c>
      <c r="I189" t="str">
        <f t="shared" si="50"/>
        <v xml:space="preserve"> </v>
      </c>
      <c r="J189" t="str">
        <f t="shared" si="67"/>
        <v>DJ</v>
      </c>
      <c r="K189" t="str">
        <f t="shared" si="68"/>
        <v>DI</v>
      </c>
      <c r="L189">
        <f t="shared" si="69"/>
        <v>8.9</v>
      </c>
      <c r="M189" t="str">
        <f t="shared" si="70"/>
        <v>-</v>
      </c>
      <c r="N189" t="str">
        <f t="shared" si="71"/>
        <v>138:00</v>
      </c>
      <c r="O189" t="str">
        <f t="shared" si="72"/>
        <v>-13:30</v>
      </c>
      <c r="P189" t="str">
        <f t="shared" si="73"/>
        <v/>
      </c>
    </row>
    <row r="190" spans="1:16" x14ac:dyDescent="0.25">
      <c r="A190" t="str">
        <f>'Raw Data'!A161</f>
        <v>DI</v>
      </c>
      <c r="B190" t="str">
        <f>'Raw Data'!B161</f>
        <v>DH</v>
      </c>
      <c r="C190">
        <f>'Raw Data'!J161</f>
        <v>32</v>
      </c>
      <c r="D190" t="str">
        <f>'Interpreted Data'!G161</f>
        <v>304:00</v>
      </c>
      <c r="E190" t="str">
        <f>'Interpreted Data'!H161</f>
        <v>-</v>
      </c>
      <c r="F190" t="str">
        <f>SUBSTITUTE('Raw Data'!K161," ",":",1)</f>
        <v>-17:00</v>
      </c>
      <c r="G190">
        <f>'Interpreted Data'!N161</f>
        <v>-9.4</v>
      </c>
      <c r="H190" t="str">
        <f>'Interpreted Data'!P161</f>
        <v/>
      </c>
      <c r="I190" t="str">
        <f t="shared" si="50"/>
        <v xml:space="preserve"> </v>
      </c>
      <c r="J190" t="str">
        <f t="shared" si="67"/>
        <v>DI</v>
      </c>
      <c r="K190" t="str">
        <f t="shared" si="68"/>
        <v>DH</v>
      </c>
      <c r="L190">
        <f t="shared" si="69"/>
        <v>32</v>
      </c>
      <c r="M190" t="str">
        <f t="shared" si="70"/>
        <v>304:00</v>
      </c>
      <c r="N190" t="str">
        <f t="shared" si="71"/>
        <v>-</v>
      </c>
      <c r="O190" t="str">
        <f t="shared" si="72"/>
        <v>-17:00</v>
      </c>
      <c r="P190" t="str">
        <f t="shared" si="73"/>
        <v/>
      </c>
    </row>
    <row r="191" spans="1:16" x14ac:dyDescent="0.25">
      <c r="A191" t="str">
        <f>'Raw Data'!A162</f>
        <v>DH</v>
      </c>
      <c r="B191">
        <f>'Raw Data'!B162</f>
        <v>0</v>
      </c>
      <c r="C191">
        <f>'Raw Data'!J162</f>
        <v>0</v>
      </c>
      <c r="D191" t="str">
        <f>'Interpreted Data'!G162</f>
        <v>-</v>
      </c>
      <c r="E191" t="str">
        <f>'Interpreted Data'!H162</f>
        <v>-</v>
      </c>
      <c r="F191" t="str">
        <f>SUBSTITUTE('Raw Data'!K162," ",":",1)</f>
        <v/>
      </c>
      <c r="G191" t="str">
        <f>'Interpreted Data'!N162</f>
        <v/>
      </c>
      <c r="H191" t="str">
        <f>'Interpreted Data'!P162</f>
        <v>is 2" candle on smoke BM below smoke (.)</v>
      </c>
      <c r="I191" t="str">
        <f t="shared" si="50"/>
        <v xml:space="preserve"> </v>
      </c>
      <c r="J191" t="s">
        <v>76</v>
      </c>
      <c r="K191" t="str">
        <f>A191</f>
        <v>DH</v>
      </c>
      <c r="P191" t="str">
        <f t="shared" si="73"/>
        <v>is 2" candle on smoke BM below smoke (.)</v>
      </c>
    </row>
    <row r="193" spans="1:16" x14ac:dyDescent="0.25">
      <c r="A193" t="str">
        <f>'Raw Data'!A164</f>
        <v>21st Dec '52</v>
      </c>
      <c r="B193" t="str">
        <f>'Raw Data'!B164</f>
        <v>Howard &amp; Jock.</v>
      </c>
      <c r="C193" t="str">
        <f>'Raw Data'!C164</f>
        <v>Short Dry Way to 40' Pot</v>
      </c>
      <c r="D193" t="str">
        <f>'Interpreted Data'!G164</f>
        <v>-</v>
      </c>
      <c r="E193" t="str">
        <f>'Interpreted Data'!H164</f>
        <v>-</v>
      </c>
      <c r="F193" t="str">
        <f>SUBSTITUTE('Raw Data'!K164," ",":",1)</f>
        <v/>
      </c>
      <c r="G193" t="str">
        <f>'Interpreted Data'!N164</f>
        <v/>
      </c>
      <c r="H193" t="str">
        <f>'Interpreted Data'!P164</f>
        <v/>
      </c>
      <c r="I193" t="str">
        <f t="shared" si="50"/>
        <v xml:space="preserve"> </v>
      </c>
      <c r="J193" t="str">
        <f>CONCATENATE("# ",A193)</f>
        <v># 21st Dec '52</v>
      </c>
      <c r="K193" t="str">
        <f t="shared" si="68"/>
        <v>Howard &amp; Jock.</v>
      </c>
      <c r="L193" t="str">
        <f t="shared" si="69"/>
        <v>Short Dry Way to 40' Pot</v>
      </c>
      <c r="P193" t="str">
        <f t="shared" si="73"/>
        <v/>
      </c>
    </row>
    <row r="194" spans="1:16" x14ac:dyDescent="0.25">
      <c r="J194" t="str">
        <f>$J$1</f>
        <v>data normal from to tape compass backcompass clino ignoreall</v>
      </c>
    </row>
    <row r="195" spans="1:16" x14ac:dyDescent="0.25">
      <c r="A195" t="str">
        <f>'Raw Data'!A165</f>
        <v>DH</v>
      </c>
      <c r="B195" t="str">
        <f>'Raw Data'!B165</f>
        <v>DG</v>
      </c>
      <c r="C195">
        <f>'Raw Data'!J165</f>
        <v>5.6</v>
      </c>
      <c r="D195" t="str">
        <f>'Interpreted Data'!G165</f>
        <v>-</v>
      </c>
      <c r="E195" t="str">
        <f>'Interpreted Data'!H165</f>
        <v>175:00</v>
      </c>
      <c r="F195" t="str">
        <f>SUBSTITUTE('Raw Data'!K165," ",":",1)</f>
        <v>30:00</v>
      </c>
      <c r="G195">
        <f>'Interpreted Data'!N165</f>
        <v>2.8</v>
      </c>
      <c r="H195" t="str">
        <f>'Interpreted Data'!P165</f>
        <v/>
      </c>
      <c r="I195" t="str">
        <f t="shared" si="50"/>
        <v xml:space="preserve"> </v>
      </c>
      <c r="J195" t="str">
        <f t="shared" ref="J195:J215" si="74">A195</f>
        <v>DH</v>
      </c>
      <c r="K195" t="str">
        <f t="shared" ref="K195:K215" si="75">B195</f>
        <v>DG</v>
      </c>
      <c r="L195">
        <f t="shared" ref="L195:L215" si="76">C195</f>
        <v>5.6</v>
      </c>
      <c r="M195" t="str">
        <f t="shared" ref="M195:M215" si="77">D195</f>
        <v>-</v>
      </c>
      <c r="N195" t="str">
        <f t="shared" ref="N195:N215" si="78">E195</f>
        <v>175:00</v>
      </c>
      <c r="O195" t="str">
        <f t="shared" ref="O195:O215" si="79">IF(AND(D195="-",E195="-"),IF(1*SUBSTITUTE(F195,":",".")=-90,"DOWN",IF(1*SUBSTITUTE(F195,":",".")=90,"UP","no compass")),F195)</f>
        <v>30:00</v>
      </c>
      <c r="P195" t="str">
        <f t="shared" ref="P195:P215" si="80">H195</f>
        <v/>
      </c>
    </row>
    <row r="196" spans="1:16" x14ac:dyDescent="0.25">
      <c r="A196" t="str">
        <f>'Raw Data'!A166</f>
        <v>DG</v>
      </c>
      <c r="B196" t="str">
        <f>'Raw Data'!B166</f>
        <v>DF</v>
      </c>
      <c r="C196">
        <f>'Raw Data'!J166</f>
        <v>8.6999999999999993</v>
      </c>
      <c r="D196" t="str">
        <f>'Interpreted Data'!G166</f>
        <v>317:00</v>
      </c>
      <c r="E196" t="str">
        <f>'Interpreted Data'!H166</f>
        <v>-</v>
      </c>
      <c r="F196" t="str">
        <f>SUBSTITUTE('Raw Data'!K166," ",":",1)</f>
        <v>2:00</v>
      </c>
      <c r="G196">
        <f>'Interpreted Data'!N166</f>
        <v>0.3</v>
      </c>
      <c r="H196" t="str">
        <f>'Interpreted Data'!P166</f>
        <v/>
      </c>
      <c r="I196" t="str">
        <f t="shared" si="50"/>
        <v xml:space="preserve"> </v>
      </c>
      <c r="J196" t="str">
        <f t="shared" si="74"/>
        <v>DG</v>
      </c>
      <c r="K196" t="str">
        <f t="shared" si="75"/>
        <v>DF</v>
      </c>
      <c r="L196">
        <f t="shared" si="76"/>
        <v>8.6999999999999993</v>
      </c>
      <c r="M196" t="str">
        <f t="shared" si="77"/>
        <v>317:00</v>
      </c>
      <c r="N196" t="str">
        <f t="shared" si="78"/>
        <v>-</v>
      </c>
      <c r="O196" t="str">
        <f t="shared" si="79"/>
        <v>2:00</v>
      </c>
      <c r="P196" t="str">
        <f t="shared" si="80"/>
        <v/>
      </c>
    </row>
    <row r="197" spans="1:16" x14ac:dyDescent="0.25">
      <c r="A197" t="str">
        <f>'Raw Data'!A167</f>
        <v>DF</v>
      </c>
      <c r="B197" t="str">
        <f>'Raw Data'!B167</f>
        <v>DE</v>
      </c>
      <c r="C197">
        <f>'Raw Data'!J167</f>
        <v>3.1</v>
      </c>
      <c r="D197" t="str">
        <f>'Interpreted Data'!G167</f>
        <v>-</v>
      </c>
      <c r="E197" t="str">
        <f>'Interpreted Data'!H167</f>
        <v>087:00</v>
      </c>
      <c r="F197" t="str">
        <f>SUBSTITUTE('Raw Data'!K167," ",":",1)</f>
        <v>21:00</v>
      </c>
      <c r="G197">
        <f>'Interpreted Data'!N167</f>
        <v>0.7</v>
      </c>
      <c r="H197" t="str">
        <f>'Interpreted Data'!P167</f>
        <v/>
      </c>
      <c r="I197" t="str">
        <f t="shared" si="50"/>
        <v xml:space="preserve"> </v>
      </c>
      <c r="J197" t="str">
        <f t="shared" si="74"/>
        <v>DF</v>
      </c>
      <c r="K197" t="str">
        <f t="shared" si="75"/>
        <v>DE</v>
      </c>
      <c r="L197">
        <f t="shared" si="76"/>
        <v>3.1</v>
      </c>
      <c r="M197" t="str">
        <f t="shared" si="77"/>
        <v>-</v>
      </c>
      <c r="N197" t="str">
        <f t="shared" si="78"/>
        <v>087:00</v>
      </c>
      <c r="O197" t="str">
        <f t="shared" si="79"/>
        <v>21:00</v>
      </c>
      <c r="P197" t="str">
        <f t="shared" si="80"/>
        <v/>
      </c>
    </row>
    <row r="198" spans="1:16" x14ac:dyDescent="0.25">
      <c r="A198" t="str">
        <f>'Raw Data'!A168</f>
        <v>DE</v>
      </c>
      <c r="B198" t="str">
        <f>'Raw Data'!B168</f>
        <v>DD</v>
      </c>
      <c r="C198">
        <f>'Raw Data'!J168</f>
        <v>13.4</v>
      </c>
      <c r="D198" t="str">
        <f>'Interpreted Data'!G168</f>
        <v>299:00</v>
      </c>
      <c r="E198" t="str">
        <f>'Interpreted Data'!H168</f>
        <v>-</v>
      </c>
      <c r="F198" t="str">
        <f>SUBSTITUTE('Raw Data'!K168," ",":",1)</f>
        <v>-15:00</v>
      </c>
      <c r="G198">
        <f>'Interpreted Data'!N168</f>
        <v>-3.5</v>
      </c>
      <c r="H198" t="str">
        <f>'Interpreted Data'!P168</f>
        <v/>
      </c>
      <c r="I198" t="str">
        <f t="shared" si="50"/>
        <v xml:space="preserve"> </v>
      </c>
      <c r="J198" t="str">
        <f t="shared" si="74"/>
        <v>DE</v>
      </c>
      <c r="K198" t="str">
        <f t="shared" si="75"/>
        <v>DD</v>
      </c>
      <c r="L198">
        <f t="shared" si="76"/>
        <v>13.4</v>
      </c>
      <c r="M198" t="str">
        <f t="shared" si="77"/>
        <v>299:00</v>
      </c>
      <c r="N198" t="str">
        <f t="shared" si="78"/>
        <v>-</v>
      </c>
      <c r="O198" t="str">
        <f t="shared" si="79"/>
        <v>-15:00</v>
      </c>
      <c r="P198" t="str">
        <f t="shared" si="80"/>
        <v/>
      </c>
    </row>
    <row r="199" spans="1:16" x14ac:dyDescent="0.25">
      <c r="A199" t="str">
        <f>'Raw Data'!A169</f>
        <v>DD</v>
      </c>
      <c r="B199" t="str">
        <f>'Raw Data'!B169</f>
        <v>DC</v>
      </c>
      <c r="C199">
        <f>'Raw Data'!J169</f>
        <v>19.2</v>
      </c>
      <c r="D199" t="str">
        <f>'Interpreted Data'!G169</f>
        <v>-</v>
      </c>
      <c r="E199" t="str">
        <f>'Interpreted Data'!H169</f>
        <v>145:30</v>
      </c>
      <c r="F199" t="str">
        <f>SUBSTITUTE('Raw Data'!K169," ",":",1)</f>
        <v>-2:30</v>
      </c>
      <c r="G199">
        <f>'Interpreted Data'!N169</f>
        <v>-0.8</v>
      </c>
      <c r="H199" t="str">
        <f>'Interpreted Data'!P169</f>
        <v/>
      </c>
      <c r="I199" t="str">
        <f t="shared" si="50"/>
        <v xml:space="preserve"> </v>
      </c>
      <c r="J199" t="str">
        <f t="shared" si="74"/>
        <v>DD</v>
      </c>
      <c r="K199" t="str">
        <f t="shared" si="75"/>
        <v>DC</v>
      </c>
      <c r="L199">
        <f t="shared" si="76"/>
        <v>19.2</v>
      </c>
      <c r="M199" t="str">
        <f t="shared" si="77"/>
        <v>-</v>
      </c>
      <c r="N199" t="str">
        <f t="shared" si="78"/>
        <v>145:30</v>
      </c>
      <c r="O199" t="str">
        <f t="shared" si="79"/>
        <v>-2:30</v>
      </c>
      <c r="P199" t="str">
        <f t="shared" si="80"/>
        <v/>
      </c>
    </row>
    <row r="200" spans="1:16" x14ac:dyDescent="0.25">
      <c r="A200" t="str">
        <f>'Raw Data'!A170</f>
        <v>DC</v>
      </c>
      <c r="B200" t="str">
        <f>'Raw Data'!B170</f>
        <v>DB</v>
      </c>
      <c r="C200">
        <f>'Raw Data'!J170</f>
        <v>20.100000000000001</v>
      </c>
      <c r="D200" t="str">
        <f>'Interpreted Data'!G170</f>
        <v>319:30</v>
      </c>
      <c r="E200" t="str">
        <f>'Interpreted Data'!H170</f>
        <v>-</v>
      </c>
      <c r="F200" t="str">
        <f>SUBSTITUTE('Raw Data'!K170," ",":",1)</f>
        <v>-13:00</v>
      </c>
      <c r="G200">
        <f>'Interpreted Data'!N170</f>
        <v>-4.5</v>
      </c>
      <c r="H200" t="str">
        <f>'Interpreted Data'!P170</f>
        <v/>
      </c>
      <c r="I200" t="str">
        <f t="shared" si="50"/>
        <v xml:space="preserve"> </v>
      </c>
      <c r="J200" t="str">
        <f t="shared" si="74"/>
        <v>DC</v>
      </c>
      <c r="K200" t="str">
        <f t="shared" si="75"/>
        <v>DB</v>
      </c>
      <c r="L200">
        <f t="shared" si="76"/>
        <v>20.100000000000001</v>
      </c>
      <c r="M200" t="str">
        <f t="shared" si="77"/>
        <v>319:30</v>
      </c>
      <c r="N200" t="str">
        <f t="shared" si="78"/>
        <v>-</v>
      </c>
      <c r="O200" t="str">
        <f t="shared" si="79"/>
        <v>-13:00</v>
      </c>
      <c r="P200" t="str">
        <f t="shared" si="80"/>
        <v/>
      </c>
    </row>
    <row r="201" spans="1:16" x14ac:dyDescent="0.25">
      <c r="A201" t="str">
        <f>'Raw Data'!A171</f>
        <v>DB</v>
      </c>
      <c r="B201" t="str">
        <f>'Raw Data'!B171</f>
        <v>DA</v>
      </c>
      <c r="C201">
        <f>'Raw Data'!J171</f>
        <v>23.2</v>
      </c>
      <c r="D201" t="str">
        <f>'Interpreted Data'!G171</f>
        <v>-</v>
      </c>
      <c r="E201" t="str">
        <f>'Interpreted Data'!H171</f>
        <v>089:00</v>
      </c>
      <c r="F201" t="str">
        <f>SUBSTITUTE('Raw Data'!K171," ",":",1)</f>
        <v>-15:00</v>
      </c>
      <c r="G201">
        <f>'Interpreted Data'!N171</f>
        <v>-6</v>
      </c>
      <c r="H201" t="str">
        <f>'Interpreted Data'!P171</f>
        <v>Entrance to Old Grotto.</v>
      </c>
      <c r="I201" t="str">
        <f t="shared" si="50"/>
        <v xml:space="preserve"> </v>
      </c>
      <c r="J201" t="str">
        <f t="shared" si="74"/>
        <v>DB</v>
      </c>
      <c r="K201" t="str">
        <f t="shared" si="75"/>
        <v>DA</v>
      </c>
      <c r="L201">
        <f t="shared" si="76"/>
        <v>23.2</v>
      </c>
      <c r="M201" t="str">
        <f t="shared" si="77"/>
        <v>-</v>
      </c>
      <c r="N201" t="str">
        <f t="shared" si="78"/>
        <v>089:00</v>
      </c>
      <c r="O201" t="str">
        <f t="shared" si="79"/>
        <v>-15:00</v>
      </c>
      <c r="P201" t="str">
        <f t="shared" si="80"/>
        <v>Entrance to Old Grotto.</v>
      </c>
    </row>
    <row r="202" spans="1:16" x14ac:dyDescent="0.25">
      <c r="A202" t="str">
        <f>'Raw Data'!A172</f>
        <v>DA</v>
      </c>
      <c r="B202" t="str">
        <f>'Raw Data'!B172</f>
        <v>CZ</v>
      </c>
      <c r="C202">
        <f>'Raw Data'!J172</f>
        <v>27.9</v>
      </c>
      <c r="D202" t="str">
        <f>'Interpreted Data'!G172</f>
        <v>202:20</v>
      </c>
      <c r="E202" t="str">
        <f>'Interpreted Data'!H172</f>
        <v>-</v>
      </c>
      <c r="F202" t="str">
        <f>SUBSTITUTE('Raw Data'!K172," ",":",1)</f>
        <v>-41:30</v>
      </c>
      <c r="G202">
        <f>'Interpreted Data'!N172</f>
        <v>-18.5</v>
      </c>
      <c r="H202" t="str">
        <f>'Interpreted Data'!P172</f>
        <v/>
      </c>
      <c r="I202" t="str">
        <f t="shared" si="50"/>
        <v xml:space="preserve"> </v>
      </c>
      <c r="J202" t="str">
        <f t="shared" si="74"/>
        <v>DA</v>
      </c>
      <c r="K202" t="str">
        <f t="shared" si="75"/>
        <v>CZ</v>
      </c>
      <c r="L202">
        <f t="shared" si="76"/>
        <v>27.9</v>
      </c>
      <c r="M202" t="str">
        <f t="shared" si="77"/>
        <v>202:20</v>
      </c>
      <c r="N202" t="str">
        <f t="shared" si="78"/>
        <v>-</v>
      </c>
      <c r="O202" t="str">
        <f t="shared" si="79"/>
        <v>-41:30</v>
      </c>
      <c r="P202" t="str">
        <f t="shared" si="80"/>
        <v/>
      </c>
    </row>
    <row r="203" spans="1:16" x14ac:dyDescent="0.25">
      <c r="A203" t="str">
        <f>'Raw Data'!A173</f>
        <v>CZ</v>
      </c>
      <c r="B203" t="str">
        <f>'Raw Data'!B173</f>
        <v>CY</v>
      </c>
      <c r="C203">
        <f>'Raw Data'!J173</f>
        <v>22.6</v>
      </c>
      <c r="D203" t="str">
        <f>'Interpreted Data'!G173</f>
        <v>-</v>
      </c>
      <c r="E203" t="str">
        <f>'Interpreted Data'!H173</f>
        <v>069:00</v>
      </c>
      <c r="F203" t="str">
        <f>SUBSTITUTE('Raw Data'!K173," ",":",1)</f>
        <v>-17:00</v>
      </c>
      <c r="G203">
        <f>'Interpreted Data'!N173</f>
        <v>-6.6</v>
      </c>
      <c r="H203" t="str">
        <f>'Interpreted Data'!P173</f>
        <v/>
      </c>
      <c r="I203" t="str">
        <f t="shared" si="50"/>
        <v xml:space="preserve"> </v>
      </c>
      <c r="J203" t="str">
        <f t="shared" si="74"/>
        <v>CZ</v>
      </c>
      <c r="K203" t="str">
        <f t="shared" si="75"/>
        <v>CY</v>
      </c>
      <c r="L203">
        <f t="shared" si="76"/>
        <v>22.6</v>
      </c>
      <c r="M203" t="str">
        <f t="shared" si="77"/>
        <v>-</v>
      </c>
      <c r="N203" t="str">
        <f t="shared" si="78"/>
        <v>069:00</v>
      </c>
      <c r="O203" t="str">
        <f t="shared" si="79"/>
        <v>-17:00</v>
      </c>
      <c r="P203" t="str">
        <f t="shared" si="80"/>
        <v/>
      </c>
    </row>
    <row r="204" spans="1:16" x14ac:dyDescent="0.25">
      <c r="A204" t="str">
        <f>'Raw Data'!A174</f>
        <v>CY</v>
      </c>
      <c r="B204" t="str">
        <f>'Raw Data'!B174</f>
        <v>CX</v>
      </c>
      <c r="C204">
        <f>'Raw Data'!J174</f>
        <v>27.4</v>
      </c>
      <c r="D204" t="str">
        <f>'Interpreted Data'!G174</f>
        <v>292:00</v>
      </c>
      <c r="E204" t="str">
        <f>'Interpreted Data'!H174</f>
        <v>-</v>
      </c>
      <c r="F204" t="str">
        <f>SUBSTITUTE('Raw Data'!K174," ",":",1)</f>
        <v>-6:40</v>
      </c>
      <c r="G204">
        <f>'Interpreted Data'!N174</f>
        <v>-3.2</v>
      </c>
      <c r="H204" t="str">
        <f>'Interpreted Data'!P174</f>
        <v/>
      </c>
      <c r="I204" t="str">
        <f t="shared" si="50"/>
        <v xml:space="preserve"> </v>
      </c>
      <c r="J204" t="str">
        <f t="shared" si="74"/>
        <v>CY</v>
      </c>
      <c r="K204" t="str">
        <f t="shared" si="75"/>
        <v>CX</v>
      </c>
      <c r="L204">
        <f t="shared" si="76"/>
        <v>27.4</v>
      </c>
      <c r="M204" t="str">
        <f t="shared" si="77"/>
        <v>292:00</v>
      </c>
      <c r="N204" t="str">
        <f t="shared" si="78"/>
        <v>-</v>
      </c>
      <c r="O204" t="str">
        <f t="shared" si="79"/>
        <v>-6:40</v>
      </c>
      <c r="P204" t="str">
        <f t="shared" si="80"/>
        <v/>
      </c>
    </row>
    <row r="205" spans="1:16" x14ac:dyDescent="0.25">
      <c r="A205" t="str">
        <f>'Raw Data'!A175</f>
        <v>CX</v>
      </c>
      <c r="B205" t="str">
        <f>'Raw Data'!B175</f>
        <v>CW</v>
      </c>
      <c r="C205">
        <f>'Raw Data'!J175</f>
        <v>22.2</v>
      </c>
      <c r="D205" t="str">
        <f>'Interpreted Data'!G175</f>
        <v>-</v>
      </c>
      <c r="E205" t="str">
        <f>'Interpreted Data'!H175</f>
        <v>030:00</v>
      </c>
      <c r="F205" t="str">
        <f>SUBSTITUTE('Raw Data'!K175," ",":",1)</f>
        <v>-1:40</v>
      </c>
      <c r="G205">
        <f>'Interpreted Data'!N175</f>
        <v>-0.6</v>
      </c>
      <c r="H205" t="str">
        <f>'Interpreted Data'!P175</f>
        <v/>
      </c>
      <c r="I205" t="str">
        <f t="shared" ref="I205:I277" si="81">" "</f>
        <v xml:space="preserve"> </v>
      </c>
      <c r="J205" t="str">
        <f t="shared" si="74"/>
        <v>CX</v>
      </c>
      <c r="K205" t="str">
        <f t="shared" si="75"/>
        <v>CW</v>
      </c>
      <c r="L205">
        <f t="shared" si="76"/>
        <v>22.2</v>
      </c>
      <c r="M205" t="str">
        <f t="shared" si="77"/>
        <v>-</v>
      </c>
      <c r="N205" t="str">
        <f t="shared" si="78"/>
        <v>030:00</v>
      </c>
      <c r="O205" t="str">
        <f t="shared" si="79"/>
        <v>-1:40</v>
      </c>
      <c r="P205" t="str">
        <f t="shared" si="80"/>
        <v/>
      </c>
    </row>
    <row r="206" spans="1:16" x14ac:dyDescent="0.25">
      <c r="A206" t="str">
        <f>'Raw Data'!A176</f>
        <v>CW</v>
      </c>
      <c r="B206" t="str">
        <f>'Raw Data'!B176</f>
        <v>CV</v>
      </c>
      <c r="C206">
        <f>'Raw Data'!J176</f>
        <v>16.3</v>
      </c>
      <c r="D206" t="str">
        <f>'Interpreted Data'!G176</f>
        <v>192:00</v>
      </c>
      <c r="E206" t="str">
        <f>'Interpreted Data'!H176</f>
        <v>-</v>
      </c>
      <c r="F206" t="str">
        <f>SUBSTITUTE('Raw Data'!K176," ",":",1)</f>
        <v>6:30</v>
      </c>
      <c r="G206">
        <f>'Interpreted Data'!N176</f>
        <v>1.8</v>
      </c>
      <c r="H206" t="str">
        <f>'Interpreted Data'!P176</f>
        <v/>
      </c>
      <c r="I206" t="str">
        <f t="shared" si="81"/>
        <v xml:space="preserve"> </v>
      </c>
      <c r="J206" t="str">
        <f t="shared" si="74"/>
        <v>CW</v>
      </c>
      <c r="K206" t="str">
        <f t="shared" si="75"/>
        <v>CV</v>
      </c>
      <c r="L206">
        <f t="shared" si="76"/>
        <v>16.3</v>
      </c>
      <c r="M206" t="str">
        <f t="shared" si="77"/>
        <v>192:00</v>
      </c>
      <c r="N206" t="str">
        <f t="shared" si="78"/>
        <v>-</v>
      </c>
      <c r="O206" t="str">
        <f t="shared" si="79"/>
        <v>6:30</v>
      </c>
      <c r="P206" t="str">
        <f t="shared" si="80"/>
        <v/>
      </c>
    </row>
    <row r="207" spans="1:16" x14ac:dyDescent="0.25">
      <c r="A207" t="str">
        <f>'Raw Data'!A177</f>
        <v>CV</v>
      </c>
      <c r="B207" t="str">
        <f>'Raw Data'!B177</f>
        <v>CU</v>
      </c>
      <c r="C207">
        <f>'Raw Data'!J177</f>
        <v>13.6</v>
      </c>
      <c r="D207" t="str">
        <f>'Interpreted Data'!G177</f>
        <v>-</v>
      </c>
      <c r="E207" t="str">
        <f>'Interpreted Data'!H177</f>
        <v>073:00</v>
      </c>
      <c r="F207" t="str">
        <f>SUBSTITUTE('Raw Data'!K177," ",":",1)</f>
        <v>6:00</v>
      </c>
      <c r="G207">
        <f>'Interpreted Data'!N177</f>
        <v>1.4</v>
      </c>
      <c r="H207" t="str">
        <f>'Interpreted Data'!P177</f>
        <v/>
      </c>
      <c r="I207" t="str">
        <f t="shared" si="81"/>
        <v xml:space="preserve"> </v>
      </c>
      <c r="J207" t="str">
        <f t="shared" si="74"/>
        <v>CV</v>
      </c>
      <c r="K207" t="str">
        <f t="shared" si="75"/>
        <v>CU</v>
      </c>
      <c r="L207">
        <f t="shared" si="76"/>
        <v>13.6</v>
      </c>
      <c r="M207" t="str">
        <f t="shared" si="77"/>
        <v>-</v>
      </c>
      <c r="N207" t="str">
        <f t="shared" si="78"/>
        <v>073:00</v>
      </c>
      <c r="O207" t="str">
        <f t="shared" si="79"/>
        <v>6:00</v>
      </c>
      <c r="P207" t="str">
        <f t="shared" si="80"/>
        <v/>
      </c>
    </row>
    <row r="208" spans="1:16" x14ac:dyDescent="0.25">
      <c r="A208" t="str">
        <f>'Raw Data'!A178</f>
        <v>CU</v>
      </c>
      <c r="B208" t="str">
        <f>'Raw Data'!B178</f>
        <v>CT</v>
      </c>
      <c r="C208">
        <f>'Raw Data'!J178</f>
        <v>20.100000000000001</v>
      </c>
      <c r="D208" t="str">
        <f>'Interpreted Data'!G178</f>
        <v>259:30</v>
      </c>
      <c r="E208" t="str">
        <f>'Interpreted Data'!H178</f>
        <v>-</v>
      </c>
      <c r="F208" t="str">
        <f>SUBSTITUTE('Raw Data'!K178," ",":",1)</f>
        <v>-28:00</v>
      </c>
      <c r="G208">
        <f>'Interpreted Data'!N178</f>
        <v>-9.4</v>
      </c>
      <c r="H208" t="str">
        <f>'Interpreted Data'!P178</f>
        <v/>
      </c>
      <c r="I208" t="str">
        <f t="shared" si="81"/>
        <v xml:space="preserve"> </v>
      </c>
      <c r="J208" t="str">
        <f t="shared" si="74"/>
        <v>CU</v>
      </c>
      <c r="K208" t="str">
        <f t="shared" si="75"/>
        <v>CT</v>
      </c>
      <c r="L208">
        <f t="shared" si="76"/>
        <v>20.100000000000001</v>
      </c>
      <c r="M208" t="str">
        <f t="shared" si="77"/>
        <v>259:30</v>
      </c>
      <c r="N208" t="str">
        <f t="shared" si="78"/>
        <v>-</v>
      </c>
      <c r="O208" t="str">
        <f t="shared" si="79"/>
        <v>-28:00</v>
      </c>
      <c r="P208" t="str">
        <f t="shared" si="80"/>
        <v/>
      </c>
    </row>
    <row r="209" spans="1:16" x14ac:dyDescent="0.25">
      <c r="A209" t="str">
        <f>'Raw Data'!A179</f>
        <v>CT</v>
      </c>
      <c r="B209" t="str">
        <f>'Raw Data'!B179</f>
        <v>CS</v>
      </c>
      <c r="C209">
        <f>'Raw Data'!J179</f>
        <v>1.8</v>
      </c>
      <c r="D209" t="str">
        <f>'Interpreted Data'!G179</f>
        <v>-</v>
      </c>
      <c r="E209" t="str">
        <f>'Interpreted Data'!H179</f>
        <v>-</v>
      </c>
      <c r="F209" t="str">
        <f>SUBSTITUTE('Raw Data'!K179," ",":",1)</f>
        <v>90:00</v>
      </c>
      <c r="G209">
        <f>'Interpreted Data'!N179</f>
        <v>1.8</v>
      </c>
      <c r="H209" t="str">
        <f>'Interpreted Data'!P179</f>
        <v>(sketch of CR-CZ-DA-DH)</v>
      </c>
      <c r="I209" t="str">
        <f t="shared" si="81"/>
        <v xml:space="preserve"> </v>
      </c>
      <c r="J209" t="str">
        <f t="shared" si="74"/>
        <v>CT</v>
      </c>
      <c r="K209" t="str">
        <f t="shared" si="75"/>
        <v>CS</v>
      </c>
      <c r="L209">
        <f t="shared" si="76"/>
        <v>1.8</v>
      </c>
      <c r="M209" t="str">
        <f t="shared" si="77"/>
        <v>-</v>
      </c>
      <c r="N209" t="str">
        <f t="shared" si="78"/>
        <v>-</v>
      </c>
      <c r="O209" t="str">
        <f t="shared" si="79"/>
        <v>UP</v>
      </c>
      <c r="P209" t="str">
        <f t="shared" si="80"/>
        <v>(sketch of CR-CZ-DA-DH)</v>
      </c>
    </row>
    <row r="210" spans="1:16" x14ac:dyDescent="0.25">
      <c r="A210" t="str">
        <f>'Raw Data'!A180</f>
        <v>CS</v>
      </c>
      <c r="B210" t="str">
        <f>'Raw Data'!B180</f>
        <v>CR</v>
      </c>
      <c r="C210">
        <f>'Raw Data'!J180</f>
        <v>15.8</v>
      </c>
      <c r="D210" t="str">
        <f>'Interpreted Data'!G180</f>
        <v>321:00</v>
      </c>
      <c r="E210" t="str">
        <f>'Interpreted Data'!H180</f>
        <v>-</v>
      </c>
      <c r="F210" t="str">
        <f>SUBSTITUTE('Raw Data'!K180," ",":",1)</f>
        <v>-1:00</v>
      </c>
      <c r="G210">
        <f>'Interpreted Data'!N180</f>
        <v>-0.3</v>
      </c>
      <c r="H210" t="str">
        <f>'Interpreted Data'!P180</f>
        <v/>
      </c>
      <c r="I210" t="str">
        <f t="shared" si="81"/>
        <v xml:space="preserve"> </v>
      </c>
      <c r="J210" t="str">
        <f t="shared" si="74"/>
        <v>CS</v>
      </c>
      <c r="K210" t="str">
        <f t="shared" si="75"/>
        <v>CR</v>
      </c>
      <c r="L210">
        <f t="shared" si="76"/>
        <v>15.8</v>
      </c>
      <c r="M210" t="str">
        <f t="shared" si="77"/>
        <v>321:00</v>
      </c>
      <c r="N210" t="str">
        <f t="shared" si="78"/>
        <v>-</v>
      </c>
      <c r="O210" t="str">
        <f t="shared" si="79"/>
        <v>-1:00</v>
      </c>
      <c r="P210" t="str">
        <f t="shared" si="80"/>
        <v/>
      </c>
    </row>
    <row r="211" spans="1:16" x14ac:dyDescent="0.25">
      <c r="A211" t="str">
        <f>'Raw Data'!A181</f>
        <v>CR</v>
      </c>
      <c r="B211" t="str">
        <f>'Raw Data'!B181</f>
        <v>CQ</v>
      </c>
      <c r="C211">
        <f>'Raw Data'!J181</f>
        <v>16.7</v>
      </c>
      <c r="D211" t="str">
        <f>'Interpreted Data'!G181</f>
        <v>-</v>
      </c>
      <c r="E211" t="str">
        <f>'Interpreted Data'!H181</f>
        <v>144:00</v>
      </c>
      <c r="F211" t="str">
        <f>SUBSTITUTE('Raw Data'!K181," ",":",1)</f>
        <v>-5:00</v>
      </c>
      <c r="G211">
        <f>'Interpreted Data'!N181</f>
        <v>-1.5</v>
      </c>
      <c r="H211" t="str">
        <f>'Interpreted Data'!P181</f>
        <v/>
      </c>
      <c r="I211" t="str">
        <f t="shared" si="81"/>
        <v xml:space="preserve"> </v>
      </c>
      <c r="J211" t="str">
        <f t="shared" si="74"/>
        <v>CR</v>
      </c>
      <c r="K211" t="str">
        <f t="shared" si="75"/>
        <v>CQ</v>
      </c>
      <c r="L211">
        <f t="shared" si="76"/>
        <v>16.7</v>
      </c>
      <c r="M211" t="str">
        <f t="shared" si="77"/>
        <v>-</v>
      </c>
      <c r="N211" t="str">
        <f t="shared" si="78"/>
        <v>144:00</v>
      </c>
      <c r="O211" t="str">
        <f t="shared" si="79"/>
        <v>-5:00</v>
      </c>
      <c r="P211" t="str">
        <f t="shared" si="80"/>
        <v/>
      </c>
    </row>
    <row r="212" spans="1:16" x14ac:dyDescent="0.25">
      <c r="A212" t="str">
        <f>'Raw Data'!A182</f>
        <v>CQ</v>
      </c>
      <c r="B212" t="str">
        <f>'Raw Data'!B182</f>
        <v>CP</v>
      </c>
      <c r="C212">
        <f>'Raw Data'!J182</f>
        <v>14.5</v>
      </c>
      <c r="D212" t="str">
        <f>'Interpreted Data'!G182</f>
        <v>325:30</v>
      </c>
      <c r="E212" t="str">
        <f>'Interpreted Data'!H182</f>
        <v>-</v>
      </c>
      <c r="F212" t="str">
        <f>SUBSTITUTE('Raw Data'!K182," ",":",1)</f>
        <v>3:00</v>
      </c>
      <c r="G212">
        <f>'Interpreted Data'!N182</f>
        <v>0.8</v>
      </c>
      <c r="H212" t="str">
        <f>'Interpreted Data'!P182</f>
        <v/>
      </c>
      <c r="I212" t="str">
        <f t="shared" si="81"/>
        <v xml:space="preserve"> </v>
      </c>
      <c r="J212" t="str">
        <f t="shared" si="74"/>
        <v>CQ</v>
      </c>
      <c r="K212" t="str">
        <f t="shared" si="75"/>
        <v>CP</v>
      </c>
      <c r="L212">
        <f t="shared" si="76"/>
        <v>14.5</v>
      </c>
      <c r="M212" t="str">
        <f t="shared" si="77"/>
        <v>325:30</v>
      </c>
      <c r="N212" t="str">
        <f t="shared" si="78"/>
        <v>-</v>
      </c>
      <c r="O212" t="str">
        <f t="shared" si="79"/>
        <v>3:00</v>
      </c>
      <c r="P212" t="str">
        <f t="shared" si="80"/>
        <v/>
      </c>
    </row>
    <row r="213" spans="1:16" x14ac:dyDescent="0.25">
      <c r="A213" t="str">
        <f>'Raw Data'!A183</f>
        <v>CP</v>
      </c>
      <c r="B213" t="str">
        <f>'Raw Data'!B183</f>
        <v>CO</v>
      </c>
      <c r="C213">
        <f>'Raw Data'!J183</f>
        <v>4.0999999999999996</v>
      </c>
      <c r="D213" t="str">
        <f>'Interpreted Data'!G183</f>
        <v>-</v>
      </c>
      <c r="E213" t="str">
        <f>'Interpreted Data'!H183</f>
        <v>171:00</v>
      </c>
      <c r="F213" t="str">
        <f>SUBSTITUTE('Raw Data'!K183," ",":",1)</f>
        <v>level</v>
      </c>
      <c r="G213">
        <f>'Interpreted Data'!N183</f>
        <v>0</v>
      </c>
      <c r="H213" t="str">
        <f>'Interpreted Data'!P183</f>
        <v/>
      </c>
      <c r="I213" t="str">
        <f t="shared" si="81"/>
        <v xml:space="preserve"> </v>
      </c>
      <c r="J213" t="str">
        <f t="shared" si="74"/>
        <v>CP</v>
      </c>
      <c r="K213" t="str">
        <f t="shared" si="75"/>
        <v>CO</v>
      </c>
      <c r="L213">
        <f t="shared" si="76"/>
        <v>4.0999999999999996</v>
      </c>
      <c r="M213" t="str">
        <f t="shared" si="77"/>
        <v>-</v>
      </c>
      <c r="N213" t="str">
        <f t="shared" si="78"/>
        <v>171:00</v>
      </c>
      <c r="O213">
        <f>G213</f>
        <v>0</v>
      </c>
      <c r="P213" t="str">
        <f t="shared" si="80"/>
        <v/>
      </c>
    </row>
    <row r="214" spans="1:16" x14ac:dyDescent="0.25">
      <c r="A214" t="str">
        <f>'Raw Data'!A184</f>
        <v>CO</v>
      </c>
      <c r="B214" t="str">
        <f>'Raw Data'!B184</f>
        <v>CN</v>
      </c>
      <c r="C214">
        <f>'Raw Data'!J184</f>
        <v>9.5</v>
      </c>
      <c r="D214" t="str">
        <f>'Interpreted Data'!G184</f>
        <v>-</v>
      </c>
      <c r="E214" t="str">
        <f>'Interpreted Data'!H184</f>
        <v>168:00</v>
      </c>
      <c r="F214" t="str">
        <f>SUBSTITUTE('Raw Data'!K184," ",":",1)</f>
        <v>4:30</v>
      </c>
      <c r="G214">
        <f>'Interpreted Data'!N184</f>
        <v>0.7</v>
      </c>
      <c r="H214" t="str">
        <f>'Interpreted Data'!P184</f>
        <v/>
      </c>
      <c r="I214" t="str">
        <f t="shared" si="81"/>
        <v xml:space="preserve"> </v>
      </c>
      <c r="J214" t="str">
        <f t="shared" si="74"/>
        <v>CO</v>
      </c>
      <c r="K214" t="str">
        <f t="shared" si="75"/>
        <v>CN</v>
      </c>
      <c r="L214">
        <f t="shared" si="76"/>
        <v>9.5</v>
      </c>
      <c r="M214" t="str">
        <f t="shared" si="77"/>
        <v>-</v>
      </c>
      <c r="N214" t="str">
        <f t="shared" si="78"/>
        <v>168:00</v>
      </c>
      <c r="O214" t="str">
        <f t="shared" si="79"/>
        <v>4:30</v>
      </c>
      <c r="P214" t="str">
        <f t="shared" si="80"/>
        <v/>
      </c>
    </row>
    <row r="215" spans="1:16" x14ac:dyDescent="0.25">
      <c r="A215" t="str">
        <f>'Raw Data'!A185</f>
        <v>CN</v>
      </c>
      <c r="B215" t="str">
        <f>'Raw Data'!B185</f>
        <v>CM</v>
      </c>
      <c r="C215">
        <f>'Raw Data'!J185</f>
        <v>25.5</v>
      </c>
      <c r="D215" t="str">
        <f>'Interpreted Data'!G185</f>
        <v>335:00</v>
      </c>
      <c r="E215" t="str">
        <f>'Interpreted Data'!H185</f>
        <v>-</v>
      </c>
      <c r="F215" t="str">
        <f>SUBSTITUTE('Raw Data'!K185," ",":",1)</f>
        <v>-21:30</v>
      </c>
      <c r="G215">
        <f>'Interpreted Data'!N185</f>
        <v>-9.3000000000000007</v>
      </c>
      <c r="H215" t="str">
        <f>'Interpreted Data'!P185</f>
        <v>CM = On stalagmite projection over 40 ft pt.</v>
      </c>
      <c r="I215" t="str">
        <f t="shared" si="81"/>
        <v xml:space="preserve"> </v>
      </c>
      <c r="J215" t="str">
        <f t="shared" si="74"/>
        <v>CN</v>
      </c>
      <c r="K215" t="str">
        <f t="shared" si="75"/>
        <v>CM</v>
      </c>
      <c r="L215">
        <f t="shared" si="76"/>
        <v>25.5</v>
      </c>
      <c r="M215" t="str">
        <f t="shared" si="77"/>
        <v>335:00</v>
      </c>
      <c r="N215" t="str">
        <f t="shared" si="78"/>
        <v>-</v>
      </c>
      <c r="O215" t="str">
        <f t="shared" si="79"/>
        <v>-21:30</v>
      </c>
      <c r="P215" t="str">
        <f t="shared" si="80"/>
        <v>CM = On stalagmite projection over 40 ft pt.</v>
      </c>
    </row>
    <row r="216" spans="1:16" x14ac:dyDescent="0.25">
      <c r="A216" t="str">
        <f>'Raw Data'!A186</f>
        <v>CM</v>
      </c>
      <c r="B216">
        <f>'Raw Data'!B186</f>
        <v>0</v>
      </c>
      <c r="C216">
        <f>'Raw Data'!J186</f>
        <v>0</v>
      </c>
      <c r="D216" t="str">
        <f>'Interpreted Data'!G186</f>
        <v>-</v>
      </c>
      <c r="E216" t="str">
        <f>'Interpreted Data'!H186</f>
        <v>-</v>
      </c>
      <c r="F216" t="str">
        <f>SUBSTITUTE('Raw Data'!K186," ",":",1)</f>
        <v>-</v>
      </c>
      <c r="G216" t="str">
        <f>'Interpreted Data'!N186</f>
        <v/>
      </c>
      <c r="H216" t="str">
        <f>'Interpreted Data'!P186</f>
        <v/>
      </c>
      <c r="I216" t="str">
        <f t="shared" si="81"/>
        <v xml:space="preserve"> </v>
      </c>
      <c r="J216" t="s">
        <v>76</v>
      </c>
      <c r="K216" t="str">
        <f>A216</f>
        <v>CM</v>
      </c>
      <c r="P216" t="str">
        <f t="shared" ref="P216:P292" si="82">H216</f>
        <v/>
      </c>
    </row>
    <row r="218" spans="1:16" x14ac:dyDescent="0.25">
      <c r="A218" t="str">
        <f>'Raw Data'!A188</f>
        <v>p. 61-64</v>
      </c>
      <c r="B218" t="str">
        <f>'Raw Data'!B188</f>
        <v>(=PDF p.65-68)</v>
      </c>
      <c r="C218">
        <f>'Raw Data'!J188</f>
        <v>0</v>
      </c>
      <c r="D218" t="str">
        <f>'Interpreted Data'!G188</f>
        <v>-</v>
      </c>
      <c r="E218" t="str">
        <f>'Interpreted Data'!H188</f>
        <v>-</v>
      </c>
      <c r="F218" t="str">
        <f>SUBSTITUTE('Raw Data'!K188," ",":",1)</f>
        <v/>
      </c>
      <c r="G218" t="str">
        <f>'Interpreted Data'!N188</f>
        <v/>
      </c>
      <c r="H218" t="str">
        <f>'Interpreted Data'!P188</f>
        <v/>
      </c>
      <c r="I218" t="str">
        <f t="shared" si="81"/>
        <v xml:space="preserve"> </v>
      </c>
      <c r="J218" t="str">
        <f>CONCATENATE("# ",A218)</f>
        <v># p. 61-64</v>
      </c>
      <c r="K218" t="str">
        <f t="shared" ref="K218:K292" si="83">B218</f>
        <v>(=PDF p.65-68)</v>
      </c>
      <c r="P218" t="str">
        <f t="shared" si="82"/>
        <v/>
      </c>
    </row>
    <row r="219" spans="1:16" x14ac:dyDescent="0.25">
      <c r="A219" t="str">
        <f>'Raw Data'!A189</f>
        <v>8th Feb '53</v>
      </c>
      <c r="B219">
        <f>'Raw Data'!B189</f>
        <v>0</v>
      </c>
      <c r="C219" t="str">
        <f>'Raw Data'!C189</f>
        <v>Barnes' Loop to Forty</v>
      </c>
      <c r="D219" t="str">
        <f>'Interpreted Data'!G189</f>
        <v>-</v>
      </c>
      <c r="E219" t="str">
        <f>'Interpreted Data'!H189</f>
        <v>-</v>
      </c>
      <c r="F219" t="str">
        <f>SUBSTITUTE('Raw Data'!K189," ",":",1)</f>
        <v/>
      </c>
      <c r="G219" t="str">
        <f>'Interpreted Data'!N189</f>
        <v/>
      </c>
      <c r="H219" t="str">
        <f>'Interpreted Data'!P189</f>
        <v/>
      </c>
      <c r="I219" t="str">
        <f t="shared" si="81"/>
        <v xml:space="preserve"> </v>
      </c>
      <c r="J219" t="str">
        <f>CONCATENATE("# ",A219)</f>
        <v># 8th Feb '53</v>
      </c>
      <c r="L219" t="str">
        <f t="shared" ref="L219:L292" si="84">C219</f>
        <v>Barnes' Loop to Forty</v>
      </c>
      <c r="P219" t="str">
        <f t="shared" si="82"/>
        <v/>
      </c>
    </row>
    <row r="220" spans="1:16" x14ac:dyDescent="0.25">
      <c r="J220" t="str">
        <f>$J$1</f>
        <v>data normal from to tape compass backcompass clino ignoreall</v>
      </c>
    </row>
    <row r="221" spans="1:16" x14ac:dyDescent="0.25">
      <c r="A221" t="str">
        <f>'Raw Data'!A190</f>
        <v>AY</v>
      </c>
      <c r="B221" t="str">
        <f>'Raw Data'!B190</f>
        <v>AZ</v>
      </c>
      <c r="C221">
        <f>'Raw Data'!J190</f>
        <v>17.600000000000001</v>
      </c>
      <c r="D221" t="str">
        <f>'Interpreted Data'!G190</f>
        <v>-</v>
      </c>
      <c r="E221" t="str">
        <f>'Interpreted Data'!H190</f>
        <v>259:20</v>
      </c>
      <c r="F221" t="str">
        <f>SUBSTITUTE('Raw Data'!K190," ",":",1)</f>
        <v>30:30</v>
      </c>
      <c r="G221">
        <f>'Interpreted Data'!N190</f>
        <v>8.9</v>
      </c>
      <c r="H221" t="str">
        <f>'Interpreted Data'!P190</f>
        <v/>
      </c>
      <c r="I221" t="str">
        <f t="shared" si="81"/>
        <v xml:space="preserve"> </v>
      </c>
      <c r="J221" t="str">
        <f t="shared" ref="J221:J292" si="85">A221</f>
        <v>AY</v>
      </c>
      <c r="K221" t="str">
        <f t="shared" si="83"/>
        <v>AZ</v>
      </c>
      <c r="L221">
        <f t="shared" si="84"/>
        <v>17.600000000000001</v>
      </c>
      <c r="M221" t="str">
        <f t="shared" ref="M221:M292" si="86">D221</f>
        <v>-</v>
      </c>
      <c r="N221" t="str">
        <f t="shared" ref="N221:N292" si="87">E221</f>
        <v>259:20</v>
      </c>
      <c r="O221" t="str">
        <f t="shared" ref="O221:O292" si="88">IF(AND(D221="-",E221="-"),IF(1*SUBSTITUTE(F221,":",".")=-90,"DOWN",IF(1*SUBSTITUTE(F221,":",".")=90,"UP","no compass")),F221)</f>
        <v>30:30</v>
      </c>
      <c r="P221" t="str">
        <f t="shared" si="82"/>
        <v/>
      </c>
    </row>
    <row r="222" spans="1:16" x14ac:dyDescent="0.25">
      <c r="A222" t="str">
        <f>'Raw Data'!A191</f>
        <v>AZ</v>
      </c>
      <c r="B222" t="str">
        <f>'Raw Data'!B191</f>
        <v>BA</v>
      </c>
      <c r="C222">
        <f>'Raw Data'!J191</f>
        <v>36.6</v>
      </c>
      <c r="D222" t="str">
        <f>'Interpreted Data'!G191</f>
        <v>113:30</v>
      </c>
      <c r="E222" t="str">
        <f>'Interpreted Data'!H191</f>
        <v>-</v>
      </c>
      <c r="F222" t="str">
        <f>SUBSTITUTE('Raw Data'!K191," ",":",1)</f>
        <v>21:20</v>
      </c>
      <c r="G222">
        <f>'Interpreted Data'!N191</f>
        <v>13.3</v>
      </c>
      <c r="H222" t="str">
        <f>'Interpreted Data'!P191</f>
        <v/>
      </c>
      <c r="I222" t="str">
        <f t="shared" si="81"/>
        <v xml:space="preserve"> </v>
      </c>
      <c r="J222" t="str">
        <f t="shared" si="85"/>
        <v>AZ</v>
      </c>
      <c r="K222" t="str">
        <f t="shared" si="83"/>
        <v>BA</v>
      </c>
      <c r="L222">
        <f t="shared" si="84"/>
        <v>36.6</v>
      </c>
      <c r="M222" t="str">
        <f t="shared" si="86"/>
        <v>113:30</v>
      </c>
      <c r="N222" t="str">
        <f t="shared" si="87"/>
        <v>-</v>
      </c>
      <c r="O222" t="str">
        <f t="shared" si="88"/>
        <v>21:20</v>
      </c>
      <c r="P222" t="str">
        <f t="shared" si="82"/>
        <v/>
      </c>
    </row>
    <row r="223" spans="1:16" x14ac:dyDescent="0.25">
      <c r="A223" t="str">
        <f>'Raw Data'!A192</f>
        <v>BA</v>
      </c>
      <c r="B223" t="str">
        <f>'Raw Data'!B192</f>
        <v>BB</v>
      </c>
      <c r="C223">
        <f>'Raw Data'!J192</f>
        <v>10.8</v>
      </c>
      <c r="D223" t="str">
        <f>'Interpreted Data'!G192</f>
        <v>-</v>
      </c>
      <c r="E223" t="str">
        <f>'Interpreted Data'!H192</f>
        <v>179:30</v>
      </c>
      <c r="F223" t="str">
        <f>SUBSTITUTE('Raw Data'!K192," ",":",1)</f>
        <v>-38:20</v>
      </c>
      <c r="G223">
        <f>'Interpreted Data'!N192</f>
        <v>-6.7</v>
      </c>
      <c r="H223" t="str">
        <f>'Interpreted Data'!P192</f>
        <v/>
      </c>
      <c r="I223" t="str">
        <f t="shared" si="81"/>
        <v xml:space="preserve"> </v>
      </c>
      <c r="J223" t="str">
        <f t="shared" si="85"/>
        <v>BA</v>
      </c>
      <c r="K223" t="str">
        <f t="shared" si="83"/>
        <v>BB</v>
      </c>
      <c r="L223">
        <f t="shared" si="84"/>
        <v>10.8</v>
      </c>
      <c r="M223" t="str">
        <f t="shared" si="86"/>
        <v>-</v>
      </c>
      <c r="N223" t="str">
        <f t="shared" si="87"/>
        <v>179:30</v>
      </c>
      <c r="O223" t="str">
        <f t="shared" si="88"/>
        <v>-38:20</v>
      </c>
      <c r="P223" t="str">
        <f t="shared" si="82"/>
        <v/>
      </c>
    </row>
    <row r="224" spans="1:16" x14ac:dyDescent="0.25">
      <c r="A224" t="str">
        <f>'Raw Data'!A193</f>
        <v>BB</v>
      </c>
      <c r="B224" t="str">
        <f>'Raw Data'!B193</f>
        <v>BC</v>
      </c>
      <c r="C224">
        <f>'Raw Data'!J193</f>
        <v>20.399999999999999</v>
      </c>
      <c r="D224" t="str">
        <f>'Interpreted Data'!G193</f>
        <v>011:50</v>
      </c>
      <c r="E224" t="str">
        <f>'Interpreted Data'!H193</f>
        <v>-</v>
      </c>
      <c r="F224" t="str">
        <f>SUBSTITUTE('Raw Data'!K193," ",":",1)</f>
        <v>1:00</v>
      </c>
      <c r="G224">
        <f>'Interpreted Data'!N193</f>
        <v>0.35</v>
      </c>
      <c r="H224" t="str">
        <f>'Interpreted Data'!P193</f>
        <v>3' before little portal</v>
      </c>
      <c r="I224" t="str">
        <f t="shared" si="81"/>
        <v xml:space="preserve"> </v>
      </c>
      <c r="J224" t="str">
        <f t="shared" si="85"/>
        <v>BB</v>
      </c>
      <c r="K224" t="str">
        <f t="shared" si="83"/>
        <v>BC</v>
      </c>
      <c r="L224">
        <f t="shared" si="84"/>
        <v>20.399999999999999</v>
      </c>
      <c r="M224" t="str">
        <f t="shared" si="86"/>
        <v>011:50</v>
      </c>
      <c r="N224" t="str">
        <f t="shared" si="87"/>
        <v>-</v>
      </c>
      <c r="O224" t="str">
        <f t="shared" si="88"/>
        <v>1:00</v>
      </c>
      <c r="P224" t="str">
        <f t="shared" si="82"/>
        <v>3' before little portal</v>
      </c>
    </row>
    <row r="225" spans="1:16" x14ac:dyDescent="0.25">
      <c r="A225" t="str">
        <f>'Raw Data'!A194</f>
        <v>BC</v>
      </c>
      <c r="B225" t="str">
        <f>'Raw Data'!B194</f>
        <v>BD</v>
      </c>
      <c r="C225">
        <f>'Raw Data'!J194</f>
        <v>49.6</v>
      </c>
      <c r="D225" t="str">
        <f>'Interpreted Data'!G194</f>
        <v>-</v>
      </c>
      <c r="E225" t="str">
        <f>'Interpreted Data'!H194</f>
        <v>160:00</v>
      </c>
      <c r="F225" t="str">
        <f>SUBSTITUTE('Raw Data'!K194," ",":",1)</f>
        <v>17:40</v>
      </c>
      <c r="G225">
        <f>'Interpreted Data'!N194</f>
        <v>15</v>
      </c>
      <c r="H225" t="str">
        <f>'Interpreted Data'!P194</f>
        <v/>
      </c>
      <c r="I225" t="str">
        <f t="shared" si="81"/>
        <v xml:space="preserve"> </v>
      </c>
      <c r="J225" t="str">
        <f t="shared" si="85"/>
        <v>BC</v>
      </c>
      <c r="K225" t="str">
        <f t="shared" si="83"/>
        <v>BD</v>
      </c>
      <c r="L225">
        <f t="shared" si="84"/>
        <v>49.6</v>
      </c>
      <c r="M225" t="str">
        <f t="shared" si="86"/>
        <v>-</v>
      </c>
      <c r="N225" t="str">
        <f t="shared" si="87"/>
        <v>160:00</v>
      </c>
      <c r="O225" t="str">
        <f t="shared" si="88"/>
        <v>17:40</v>
      </c>
      <c r="P225" t="str">
        <f t="shared" si="82"/>
        <v/>
      </c>
    </row>
    <row r="226" spans="1:16" x14ac:dyDescent="0.25">
      <c r="A226" t="str">
        <f>'Raw Data'!A195</f>
        <v>BD</v>
      </c>
      <c r="B226" t="str">
        <f>'Raw Data'!B195</f>
        <v>BE</v>
      </c>
      <c r="C226">
        <f>'Raw Data'!J195</f>
        <v>24.7</v>
      </c>
      <c r="D226" t="str">
        <f>'Interpreted Data'!G195</f>
        <v>333:00</v>
      </c>
      <c r="E226" t="str">
        <f>'Interpreted Data'!H195</f>
        <v>-</v>
      </c>
      <c r="F226" t="str">
        <f>SUBSTITUTE('Raw Data'!K195," ",":",1)</f>
        <v>-26:00</v>
      </c>
      <c r="G226">
        <f>'Interpreted Data'!N195</f>
        <v>-10.8</v>
      </c>
      <c r="H226" t="str">
        <f>'Interpreted Data'!P195</f>
        <v>6' before junction with rift</v>
      </c>
      <c r="I226" t="str">
        <f t="shared" si="81"/>
        <v xml:space="preserve"> </v>
      </c>
      <c r="J226" t="str">
        <f t="shared" si="85"/>
        <v>BD</v>
      </c>
      <c r="K226" t="str">
        <f t="shared" si="83"/>
        <v>BE</v>
      </c>
      <c r="L226">
        <f t="shared" si="84"/>
        <v>24.7</v>
      </c>
      <c r="M226" t="str">
        <f t="shared" si="86"/>
        <v>333:00</v>
      </c>
      <c r="N226" t="str">
        <f t="shared" si="87"/>
        <v>-</v>
      </c>
      <c r="O226" t="str">
        <f t="shared" si="88"/>
        <v>-26:00</v>
      </c>
      <c r="P226" t="str">
        <f t="shared" si="82"/>
        <v>6' before junction with rift</v>
      </c>
    </row>
    <row r="227" spans="1:16" x14ac:dyDescent="0.25">
      <c r="A227" t="str">
        <f>'Raw Data'!A196</f>
        <v>BE</v>
      </c>
      <c r="B227" t="str">
        <f>'Raw Data'!B196</f>
        <v>BF</v>
      </c>
      <c r="C227">
        <f>'Raw Data'!J196</f>
        <v>13.3</v>
      </c>
      <c r="D227" t="str">
        <f>'Interpreted Data'!G196</f>
        <v>-</v>
      </c>
      <c r="E227" t="str">
        <f>'Interpreted Data'!H196</f>
        <v>203:30</v>
      </c>
      <c r="F227" t="str">
        <f>SUBSTITUTE('Raw Data'!K196," ",":",1)</f>
        <v>14:00</v>
      </c>
      <c r="G227">
        <f>'Interpreted Data'!N196</f>
        <v>3.2</v>
      </c>
      <c r="H227" t="str">
        <f>'Interpreted Data'!P196</f>
        <v>over dark rift</v>
      </c>
      <c r="I227" t="str">
        <f t="shared" si="81"/>
        <v xml:space="preserve"> </v>
      </c>
      <c r="J227" t="str">
        <f t="shared" si="85"/>
        <v>BE</v>
      </c>
      <c r="K227" t="str">
        <f t="shared" si="83"/>
        <v>BF</v>
      </c>
      <c r="L227">
        <f t="shared" si="84"/>
        <v>13.3</v>
      </c>
      <c r="M227" t="str">
        <f t="shared" si="86"/>
        <v>-</v>
      </c>
      <c r="N227" t="str">
        <f t="shared" si="87"/>
        <v>203:30</v>
      </c>
      <c r="O227" t="str">
        <f t="shared" si="88"/>
        <v>14:00</v>
      </c>
      <c r="P227" t="str">
        <f t="shared" si="82"/>
        <v>over dark rift</v>
      </c>
    </row>
    <row r="228" spans="1:16" x14ac:dyDescent="0.25">
      <c r="A228" t="str">
        <f>'Raw Data'!A197</f>
        <v>BF</v>
      </c>
      <c r="B228" t="str">
        <f>'Raw Data'!B197</f>
        <v>BG</v>
      </c>
      <c r="C228">
        <f>'Raw Data'!J197</f>
        <v>15.7</v>
      </c>
      <c r="D228" t="str">
        <f>'Interpreted Data'!G197</f>
        <v>091:50</v>
      </c>
      <c r="E228" t="str">
        <f>'Interpreted Data'!H197</f>
        <v>-</v>
      </c>
      <c r="F228" t="str">
        <f>SUBSTITUTE('Raw Data'!K197," ",":",1)</f>
        <v>15:00</v>
      </c>
      <c r="G228">
        <f>'Interpreted Data'!N197</f>
        <v>4.0999999999999996</v>
      </c>
      <c r="H228" t="str">
        <f>'Interpreted Data'!P197</f>
        <v>corner</v>
      </c>
      <c r="I228" t="str">
        <f t="shared" si="81"/>
        <v xml:space="preserve"> </v>
      </c>
      <c r="J228" t="str">
        <f t="shared" si="85"/>
        <v>BF</v>
      </c>
      <c r="K228" t="str">
        <f t="shared" si="83"/>
        <v>BG</v>
      </c>
      <c r="L228">
        <f t="shared" si="84"/>
        <v>15.7</v>
      </c>
      <c r="M228" t="str">
        <f t="shared" si="86"/>
        <v>091:50</v>
      </c>
      <c r="N228" t="str">
        <f t="shared" si="87"/>
        <v>-</v>
      </c>
      <c r="O228" t="str">
        <f t="shared" si="88"/>
        <v>15:00</v>
      </c>
      <c r="P228" t="str">
        <f t="shared" si="82"/>
        <v>corner</v>
      </c>
    </row>
    <row r="229" spans="1:16" x14ac:dyDescent="0.25">
      <c r="A229" t="str">
        <f>'Raw Data'!A198</f>
        <v>BG</v>
      </c>
      <c r="B229" t="str">
        <f>'Raw Data'!B198</f>
        <v>BH</v>
      </c>
      <c r="C229">
        <f>'Raw Data'!J198</f>
        <v>36.9</v>
      </c>
      <c r="D229" t="str">
        <f>'Interpreted Data'!G198</f>
        <v>-</v>
      </c>
      <c r="E229" t="str">
        <f>'Interpreted Data'!H198</f>
        <v>324:20</v>
      </c>
      <c r="F229" t="str">
        <f>SUBSTITUTE('Raw Data'!K198," ",":",1)</f>
        <v>11:30</v>
      </c>
      <c r="G229">
        <f>'Interpreted Data'!N198</f>
        <v>7.3</v>
      </c>
      <c r="H229" t="str">
        <f>'Interpreted Data'!P198</f>
        <v/>
      </c>
      <c r="I229" t="str">
        <f t="shared" si="81"/>
        <v xml:space="preserve"> </v>
      </c>
      <c r="J229" t="str">
        <f t="shared" si="85"/>
        <v>BG</v>
      </c>
      <c r="K229" t="str">
        <f t="shared" si="83"/>
        <v>BH</v>
      </c>
      <c r="L229">
        <f t="shared" si="84"/>
        <v>36.9</v>
      </c>
      <c r="M229" t="str">
        <f t="shared" si="86"/>
        <v>-</v>
      </c>
      <c r="N229" t="str">
        <f t="shared" si="87"/>
        <v>324:20</v>
      </c>
      <c r="O229" t="str">
        <f t="shared" si="88"/>
        <v>11:30</v>
      </c>
      <c r="P229" t="str">
        <f t="shared" si="82"/>
        <v/>
      </c>
    </row>
    <row r="230" spans="1:16" x14ac:dyDescent="0.25">
      <c r="A230" t="str">
        <f>'Raw Data'!A199</f>
        <v>BH</v>
      </c>
      <c r="B230" t="str">
        <f>'Raw Data'!B199</f>
        <v>BI</v>
      </c>
      <c r="C230">
        <f>'Raw Data'!J199</f>
        <v>24.2</v>
      </c>
      <c r="D230" t="str">
        <f>'Interpreted Data'!G199</f>
        <v>104:10</v>
      </c>
      <c r="E230" t="str">
        <f>'Interpreted Data'!H199</f>
        <v>-</v>
      </c>
      <c r="F230" t="str">
        <f>SUBSTITUTE('Raw Data'!K199," ",":",1)</f>
        <v>-0:30</v>
      </c>
      <c r="G230">
        <f>'Interpreted Data'!N199</f>
        <v>-0.2</v>
      </c>
      <c r="H230" t="str">
        <f>'Interpreted Data'!P199</f>
        <v/>
      </c>
      <c r="I230" t="str">
        <f t="shared" si="81"/>
        <v xml:space="preserve"> </v>
      </c>
      <c r="J230" t="str">
        <f t="shared" si="85"/>
        <v>BH</v>
      </c>
      <c r="K230" t="str">
        <f t="shared" si="83"/>
        <v>BI</v>
      </c>
      <c r="L230">
        <f t="shared" si="84"/>
        <v>24.2</v>
      </c>
      <c r="M230" t="str">
        <f t="shared" si="86"/>
        <v>104:10</v>
      </c>
      <c r="N230" t="str">
        <f t="shared" si="87"/>
        <v>-</v>
      </c>
      <c r="O230" t="str">
        <f t="shared" si="88"/>
        <v>-0:30</v>
      </c>
      <c r="P230" t="str">
        <f t="shared" si="82"/>
        <v/>
      </c>
    </row>
    <row r="231" spans="1:16" x14ac:dyDescent="0.25">
      <c r="A231" t="str">
        <f>'Raw Data'!A200</f>
        <v>BI</v>
      </c>
      <c r="B231" t="str">
        <f>'Raw Data'!B200</f>
        <v>BJ</v>
      </c>
      <c r="C231">
        <f>'Raw Data'!J200</f>
        <v>17.5</v>
      </c>
      <c r="D231" t="str">
        <f>'Interpreted Data'!G200</f>
        <v>-</v>
      </c>
      <c r="E231" t="str">
        <f>'Interpreted Data'!H200</f>
        <v>212:20</v>
      </c>
      <c r="F231" t="str">
        <f>SUBSTITUTE('Raw Data'!K200," ",":",1)</f>
        <v>39:00</v>
      </c>
      <c r="G231">
        <f>'Interpreted Data'!N200</f>
        <v>11</v>
      </c>
      <c r="H231" t="str">
        <f>'Interpreted Data'!P200</f>
        <v>W.R. At stream level nil(?)</v>
      </c>
      <c r="I231" t="str">
        <f t="shared" si="81"/>
        <v xml:space="preserve"> </v>
      </c>
      <c r="J231" t="str">
        <f t="shared" si="85"/>
        <v>BI</v>
      </c>
      <c r="K231" t="str">
        <f t="shared" si="83"/>
        <v>BJ</v>
      </c>
      <c r="L231">
        <f t="shared" si="84"/>
        <v>17.5</v>
      </c>
      <c r="M231" t="str">
        <f t="shared" si="86"/>
        <v>-</v>
      </c>
      <c r="N231" t="str">
        <f t="shared" si="87"/>
        <v>212:20</v>
      </c>
      <c r="O231" t="str">
        <f t="shared" si="88"/>
        <v>39:00</v>
      </c>
      <c r="P231" t="str">
        <f t="shared" si="82"/>
        <v>W.R. At stream level nil(?)</v>
      </c>
    </row>
    <row r="232" spans="1:16" x14ac:dyDescent="0.25">
      <c r="A232" t="str">
        <f>'Raw Data'!A201</f>
        <v>BJ</v>
      </c>
      <c r="B232" t="str">
        <f>'Raw Data'!B201</f>
        <v>BK</v>
      </c>
      <c r="C232">
        <f>'Raw Data'!J201</f>
        <v>24.8</v>
      </c>
      <c r="D232" t="str">
        <f>'Interpreted Data'!G201</f>
        <v>121:00</v>
      </c>
      <c r="E232" t="str">
        <f>'Interpreted Data'!H201</f>
        <v>-</v>
      </c>
      <c r="F232" t="str">
        <f>SUBSTITUTE('Raw Data'!K201," ",":",1)</f>
        <v>9:00</v>
      </c>
      <c r="G232">
        <f>'Interpreted Data'!N201</f>
        <v>3.9</v>
      </c>
      <c r="H232" t="str">
        <f>'Interpreted Data'!P201</f>
        <v>above lower double pot</v>
      </c>
      <c r="I232" t="str">
        <f t="shared" si="81"/>
        <v xml:space="preserve"> </v>
      </c>
      <c r="J232" t="str">
        <f t="shared" si="85"/>
        <v>BJ</v>
      </c>
      <c r="K232" t="str">
        <f t="shared" si="83"/>
        <v>BK</v>
      </c>
      <c r="L232">
        <f t="shared" si="84"/>
        <v>24.8</v>
      </c>
      <c r="M232" t="str">
        <f t="shared" si="86"/>
        <v>121:00</v>
      </c>
      <c r="N232" t="str">
        <f t="shared" si="87"/>
        <v>-</v>
      </c>
      <c r="O232" t="str">
        <f t="shared" si="88"/>
        <v>9:00</v>
      </c>
      <c r="P232" t="str">
        <f t="shared" si="82"/>
        <v>above lower double pot</v>
      </c>
    </row>
    <row r="233" spans="1:16" x14ac:dyDescent="0.25">
      <c r="A233" t="str">
        <f>'Raw Data'!A202</f>
        <v>BK</v>
      </c>
      <c r="B233" t="str">
        <f>'Raw Data'!B202</f>
        <v>BL</v>
      </c>
      <c r="C233">
        <f>'Raw Data'!J202</f>
        <v>22.1</v>
      </c>
      <c r="D233" t="str">
        <f>'Interpreted Data'!G202</f>
        <v>-</v>
      </c>
      <c r="E233" t="str">
        <f>'Interpreted Data'!H202</f>
        <v>277:30</v>
      </c>
      <c r="F233" t="str">
        <f>SUBSTITUTE('Raw Data'!K202," ",":",1)</f>
        <v>-0:30</v>
      </c>
      <c r="G233">
        <f>'Interpreted Data'!N202</f>
        <v>-0.2</v>
      </c>
      <c r="H233" t="str">
        <f>'Interpreted Data'!P202</f>
        <v>low height due to stalagmite choke in high aven</v>
      </c>
      <c r="I233" t="str">
        <f t="shared" si="81"/>
        <v xml:space="preserve"> </v>
      </c>
      <c r="J233" t="str">
        <f t="shared" si="85"/>
        <v>BK</v>
      </c>
      <c r="K233" t="str">
        <f t="shared" si="83"/>
        <v>BL</v>
      </c>
      <c r="L233">
        <f t="shared" si="84"/>
        <v>22.1</v>
      </c>
      <c r="M233" t="str">
        <f t="shared" si="86"/>
        <v>-</v>
      </c>
      <c r="N233" t="str">
        <f t="shared" si="87"/>
        <v>277:30</v>
      </c>
      <c r="O233" t="str">
        <f t="shared" si="88"/>
        <v>-0:30</v>
      </c>
      <c r="P233" t="str">
        <f t="shared" si="82"/>
        <v>low height due to stalagmite choke in high aven</v>
      </c>
    </row>
    <row r="234" spans="1:16" x14ac:dyDescent="0.25">
      <c r="A234" t="str">
        <f>'Raw Data'!A203</f>
        <v>BL</v>
      </c>
      <c r="B234" t="str">
        <f>'Raw Data'!B203</f>
        <v>BM</v>
      </c>
      <c r="C234">
        <f>'Raw Data'!J203</f>
        <v>35.700000000000003</v>
      </c>
      <c r="D234" t="str">
        <f>'Interpreted Data'!G203</f>
        <v>133:00</v>
      </c>
      <c r="E234" t="str">
        <f>'Interpreted Data'!H203</f>
        <v>-</v>
      </c>
      <c r="F234" t="str">
        <f>SUBSTITUTE('Raw Data'!K203," ",":",1)</f>
        <v>7:00</v>
      </c>
      <c r="G234">
        <f>'Interpreted Data'!N203</f>
        <v>4.3</v>
      </c>
      <c r="H234" t="str">
        <f>'Interpreted Data'!P203</f>
        <v/>
      </c>
      <c r="I234" t="str">
        <f t="shared" si="81"/>
        <v xml:space="preserve"> </v>
      </c>
      <c r="J234" t="str">
        <f t="shared" si="85"/>
        <v>BL</v>
      </c>
      <c r="K234" t="str">
        <f t="shared" si="83"/>
        <v>BM</v>
      </c>
      <c r="L234">
        <f t="shared" si="84"/>
        <v>35.700000000000003</v>
      </c>
      <c r="M234" t="str">
        <f t="shared" si="86"/>
        <v>133:00</v>
      </c>
      <c r="N234" t="str">
        <f t="shared" si="87"/>
        <v>-</v>
      </c>
      <c r="O234" t="str">
        <f t="shared" si="88"/>
        <v>7:00</v>
      </c>
      <c r="P234" t="str">
        <f t="shared" si="82"/>
        <v/>
      </c>
    </row>
    <row r="235" spans="1:16" x14ac:dyDescent="0.25">
      <c r="A235" t="str">
        <f>'Raw Data'!A204</f>
        <v>BM</v>
      </c>
      <c r="B235" t="str">
        <f>'Raw Data'!B204</f>
        <v>BN</v>
      </c>
      <c r="C235">
        <f>'Raw Data'!J204</f>
        <v>9.9</v>
      </c>
      <c r="D235" t="str">
        <f>'Interpreted Data'!G204</f>
        <v>-</v>
      </c>
      <c r="E235" t="str">
        <f>'Interpreted Data'!H204</f>
        <v>351:20</v>
      </c>
      <c r="F235" t="str">
        <f>SUBSTITUTE('Raw Data'!K204," ",":",1)</f>
        <v>-23:30</v>
      </c>
      <c r="G235">
        <f>'Interpreted Data'!N204</f>
        <v>-4</v>
      </c>
      <c r="H235" t="str">
        <f>'Interpreted Data'!P204</f>
        <v/>
      </c>
      <c r="I235" t="str">
        <f t="shared" si="81"/>
        <v xml:space="preserve"> </v>
      </c>
      <c r="J235" t="str">
        <f t="shared" si="85"/>
        <v>BM</v>
      </c>
      <c r="K235" t="str">
        <f t="shared" si="83"/>
        <v>BN</v>
      </c>
      <c r="L235">
        <f t="shared" si="84"/>
        <v>9.9</v>
      </c>
      <c r="M235" t="str">
        <f t="shared" si="86"/>
        <v>-</v>
      </c>
      <c r="N235" t="str">
        <f t="shared" si="87"/>
        <v>351:20</v>
      </c>
      <c r="O235" t="str">
        <f t="shared" si="88"/>
        <v>-23:30</v>
      </c>
      <c r="P235" t="str">
        <f t="shared" si="82"/>
        <v/>
      </c>
    </row>
    <row r="236" spans="1:16" x14ac:dyDescent="0.25">
      <c r="A236" t="str">
        <f>'Raw Data'!A205</f>
        <v>BN</v>
      </c>
      <c r="B236" t="str">
        <f>'Raw Data'!B205</f>
        <v>BO</v>
      </c>
      <c r="C236">
        <f>'Raw Data'!J205</f>
        <v>7.7</v>
      </c>
      <c r="D236" t="str">
        <f>'Interpreted Data'!G205</f>
        <v>102:20</v>
      </c>
      <c r="E236" t="str">
        <f>'Interpreted Data'!H205</f>
        <v>-</v>
      </c>
      <c r="F236" t="str">
        <f>SUBSTITUTE('Raw Data'!K205," ",":",1)</f>
        <v>15:00</v>
      </c>
      <c r="G236">
        <f>'Interpreted Data'!N205</f>
        <v>2</v>
      </c>
      <c r="H236" t="str">
        <f>'Interpreted Data'!P205</f>
        <v/>
      </c>
      <c r="I236" t="str">
        <f t="shared" si="81"/>
        <v xml:space="preserve"> </v>
      </c>
      <c r="J236" t="str">
        <f t="shared" si="85"/>
        <v>BN</v>
      </c>
      <c r="K236" t="str">
        <f t="shared" si="83"/>
        <v>BO</v>
      </c>
      <c r="L236">
        <f t="shared" si="84"/>
        <v>7.7</v>
      </c>
      <c r="M236" t="str">
        <f t="shared" si="86"/>
        <v>102:20</v>
      </c>
      <c r="N236" t="str">
        <f t="shared" si="87"/>
        <v>-</v>
      </c>
      <c r="O236" t="str">
        <f t="shared" si="88"/>
        <v>15:00</v>
      </c>
      <c r="P236" t="str">
        <f t="shared" si="82"/>
        <v/>
      </c>
    </row>
    <row r="237" spans="1:16" x14ac:dyDescent="0.25">
      <c r="A237" t="str">
        <f>'Raw Data'!A206</f>
        <v>BO</v>
      </c>
      <c r="B237" t="str">
        <f>'Raw Data'!B206</f>
        <v>BP</v>
      </c>
      <c r="C237">
        <f>'Raw Data'!J206</f>
        <v>21.2</v>
      </c>
      <c r="D237" t="str">
        <f>'Interpreted Data'!G206</f>
        <v>-</v>
      </c>
      <c r="E237" t="str">
        <f>'Interpreted Data'!H206</f>
        <v>317:00</v>
      </c>
      <c r="F237" t="str">
        <f>SUBSTITUTE('Raw Data'!K206," ",":",1)</f>
        <v>6:50</v>
      </c>
      <c r="G237">
        <f>'Interpreted Data'!N206</f>
        <v>2.5</v>
      </c>
      <c r="H237" t="str">
        <f>'Interpreted Data'!P206</f>
        <v/>
      </c>
      <c r="I237" t="str">
        <f t="shared" si="81"/>
        <v xml:space="preserve"> </v>
      </c>
      <c r="J237" t="str">
        <f t="shared" si="85"/>
        <v>BO</v>
      </c>
      <c r="K237" t="str">
        <f t="shared" si="83"/>
        <v>BP</v>
      </c>
      <c r="L237">
        <f t="shared" si="84"/>
        <v>21.2</v>
      </c>
      <c r="M237" t="str">
        <f t="shared" si="86"/>
        <v>-</v>
      </c>
      <c r="N237" t="str">
        <f t="shared" si="87"/>
        <v>317:00</v>
      </c>
      <c r="O237" t="str">
        <f t="shared" si="88"/>
        <v>6:50</v>
      </c>
      <c r="P237" t="str">
        <f t="shared" si="82"/>
        <v/>
      </c>
    </row>
    <row r="238" spans="1:16" x14ac:dyDescent="0.25">
      <c r="A238" t="str">
        <f>'Raw Data'!A207</f>
        <v>BP</v>
      </c>
      <c r="B238" t="str">
        <f>'Raw Data'!B207</f>
        <v>BQ</v>
      </c>
      <c r="C238">
        <f>'Raw Data'!J207</f>
        <v>28.5</v>
      </c>
      <c r="D238" t="str">
        <f>'Interpreted Data'!G207</f>
        <v>152:30</v>
      </c>
      <c r="E238" t="str">
        <f>'Interpreted Data'!H207</f>
        <v>-</v>
      </c>
      <c r="F238" t="str">
        <f>SUBSTITUTE('Raw Data'!K207," ",":",1)</f>
        <v>9:40</v>
      </c>
      <c r="G238">
        <f>'Interpreted Data'!N207</f>
        <v>4.8</v>
      </c>
      <c r="H238" t="str">
        <f>'Interpreted Data'!P207</f>
        <v/>
      </c>
      <c r="I238" t="str">
        <f t="shared" si="81"/>
        <v xml:space="preserve"> </v>
      </c>
      <c r="J238" t="str">
        <f t="shared" si="85"/>
        <v>BP</v>
      </c>
      <c r="K238" t="str">
        <f t="shared" si="83"/>
        <v>BQ</v>
      </c>
      <c r="L238">
        <f t="shared" si="84"/>
        <v>28.5</v>
      </c>
      <c r="M238" t="str">
        <f t="shared" si="86"/>
        <v>152:30</v>
      </c>
      <c r="N238" t="str">
        <f t="shared" si="87"/>
        <v>-</v>
      </c>
      <c r="O238" t="str">
        <f t="shared" si="88"/>
        <v>9:40</v>
      </c>
      <c r="P238" t="str">
        <f t="shared" si="82"/>
        <v/>
      </c>
    </row>
    <row r="239" spans="1:16" x14ac:dyDescent="0.25">
      <c r="A239" t="str">
        <f>'Raw Data'!A208</f>
        <v>BQ</v>
      </c>
      <c r="B239" t="str">
        <f>'Raw Data'!B208</f>
        <v>BR</v>
      </c>
      <c r="C239">
        <f>'Raw Data'!J208</f>
        <v>29.6</v>
      </c>
      <c r="D239" t="str">
        <f>'Interpreted Data'!G208</f>
        <v>-</v>
      </c>
      <c r="E239" t="str">
        <f>'Interpreted Data'!H208</f>
        <v>313:10</v>
      </c>
      <c r="F239" t="str">
        <f>SUBSTITUTE('Raw Data'!K208," ",":",1)</f>
        <v>1:30</v>
      </c>
      <c r="G239">
        <f>'Interpreted Data'!N208</f>
        <v>0.8</v>
      </c>
      <c r="H239" t="str">
        <f>'Interpreted Data'!P208</f>
        <v/>
      </c>
      <c r="I239" t="str">
        <f t="shared" si="81"/>
        <v xml:space="preserve"> </v>
      </c>
      <c r="J239" t="str">
        <f t="shared" si="85"/>
        <v>BQ</v>
      </c>
      <c r="K239" t="str">
        <f t="shared" si="83"/>
        <v>BR</v>
      </c>
      <c r="L239">
        <f t="shared" si="84"/>
        <v>29.6</v>
      </c>
      <c r="M239" t="str">
        <f t="shared" si="86"/>
        <v>-</v>
      </c>
      <c r="N239" t="str">
        <f t="shared" si="87"/>
        <v>313:10</v>
      </c>
      <c r="O239" t="str">
        <f t="shared" si="88"/>
        <v>1:30</v>
      </c>
      <c r="P239" t="str">
        <f t="shared" si="82"/>
        <v/>
      </c>
    </row>
    <row r="240" spans="1:16" x14ac:dyDescent="0.25">
      <c r="A240" t="str">
        <f>'Raw Data'!A209</f>
        <v>BR</v>
      </c>
      <c r="B240" t="str">
        <f>'Raw Data'!B209</f>
        <v>BS</v>
      </c>
      <c r="C240">
        <f>'Raw Data'!J209</f>
        <v>20.399999999999999</v>
      </c>
      <c r="D240" t="str">
        <f>'Interpreted Data'!G209</f>
        <v>137:30</v>
      </c>
      <c r="E240" t="str">
        <f>'Interpreted Data'!H209</f>
        <v>-</v>
      </c>
      <c r="F240" t="str">
        <f>SUBSTITUTE('Raw Data'!K209," ",":",1)</f>
        <v>-4:30</v>
      </c>
      <c r="G240">
        <f>'Interpreted Data'!N209</f>
        <v>-1.6</v>
      </c>
      <c r="H240" t="str">
        <f>'Interpreted Data'!P209</f>
        <v>below boss in Shrine</v>
      </c>
      <c r="I240" t="str">
        <f t="shared" si="81"/>
        <v xml:space="preserve"> </v>
      </c>
      <c r="J240" t="str">
        <f t="shared" si="85"/>
        <v>BR</v>
      </c>
      <c r="K240" t="str">
        <f t="shared" si="83"/>
        <v>BS</v>
      </c>
      <c r="L240">
        <f t="shared" si="84"/>
        <v>20.399999999999999</v>
      </c>
      <c r="M240" t="str">
        <f t="shared" si="86"/>
        <v>137:30</v>
      </c>
      <c r="N240" t="str">
        <f t="shared" si="87"/>
        <v>-</v>
      </c>
      <c r="O240" t="str">
        <f t="shared" si="88"/>
        <v>-4:30</v>
      </c>
      <c r="P240" t="str">
        <f t="shared" si="82"/>
        <v>below boss in Shrine</v>
      </c>
    </row>
    <row r="241" spans="1:16" x14ac:dyDescent="0.25">
      <c r="J241" t="str">
        <f>$J$2</f>
        <v>data diving from to tape compass backcompass depthchange ignoreall</v>
      </c>
    </row>
    <row r="242" spans="1:16" x14ac:dyDescent="0.25">
      <c r="A242" t="str">
        <f>'Raw Data'!A210</f>
        <v>BS</v>
      </c>
      <c r="B242" t="str">
        <f>'Raw Data'!B210</f>
        <v>BT</v>
      </c>
      <c r="C242">
        <f>'Raw Data'!J210</f>
        <v>1.5</v>
      </c>
      <c r="D242" t="str">
        <f>'Interpreted Data'!G210</f>
        <v>149:00</v>
      </c>
      <c r="E242" t="str">
        <f>'Interpreted Data'!H210</f>
        <v>-</v>
      </c>
      <c r="F242" t="str">
        <f>SUBSTITUTE('Raw Data'!K210," ",":",1)</f>
        <v>-one:inch</v>
      </c>
      <c r="G242">
        <f>'Interpreted Data'!N210</f>
        <v>-0.1</v>
      </c>
      <c r="H242" t="str">
        <f>'Interpreted Data'!P210</f>
        <v>bloody horrible</v>
      </c>
      <c r="I242" t="str">
        <f t="shared" si="81"/>
        <v xml:space="preserve"> </v>
      </c>
      <c r="J242" t="str">
        <f t="shared" si="85"/>
        <v>BS</v>
      </c>
      <c r="K242" t="str">
        <f t="shared" si="83"/>
        <v>BT</v>
      </c>
      <c r="L242">
        <f t="shared" si="84"/>
        <v>1.5</v>
      </c>
      <c r="M242" t="str">
        <f t="shared" si="86"/>
        <v>149:00</v>
      </c>
      <c r="N242" t="str">
        <f t="shared" si="87"/>
        <v>-</v>
      </c>
      <c r="O242">
        <f>G242</f>
        <v>-0.1</v>
      </c>
      <c r="P242" t="str">
        <f t="shared" si="82"/>
        <v>bloody horrible</v>
      </c>
    </row>
    <row r="243" spans="1:16" x14ac:dyDescent="0.25">
      <c r="J243" t="str">
        <f>$J$1</f>
        <v>data normal from to tape compass backcompass clino ignoreall</v>
      </c>
    </row>
    <row r="244" spans="1:16" x14ac:dyDescent="0.25">
      <c r="A244" t="str">
        <f>'Raw Data'!A211</f>
        <v>BT</v>
      </c>
      <c r="B244" t="str">
        <f>'Raw Data'!B211</f>
        <v>BU</v>
      </c>
      <c r="C244">
        <f>'Raw Data'!J211</f>
        <v>21.6</v>
      </c>
      <c r="D244" t="str">
        <f>'Interpreted Data'!G211</f>
        <v>-</v>
      </c>
      <c r="E244" t="str">
        <f>'Interpreted Data'!H211</f>
        <v>265:50</v>
      </c>
      <c r="F244" t="str">
        <f>SUBSTITUTE('Raw Data'!K211," ",":",1)</f>
        <v>14:20</v>
      </c>
      <c r="G244">
        <f>'Interpreted Data'!N211</f>
        <v>5.4</v>
      </c>
      <c r="H244" t="str">
        <f>'Interpreted Data'!P211</f>
        <v/>
      </c>
      <c r="I244" t="str">
        <f t="shared" si="81"/>
        <v xml:space="preserve"> </v>
      </c>
      <c r="J244" t="str">
        <f t="shared" si="85"/>
        <v>BT</v>
      </c>
      <c r="K244" t="str">
        <f t="shared" si="83"/>
        <v>BU</v>
      </c>
      <c r="L244">
        <f t="shared" si="84"/>
        <v>21.6</v>
      </c>
      <c r="M244" t="str">
        <f t="shared" si="86"/>
        <v>-</v>
      </c>
      <c r="N244" t="str">
        <f t="shared" si="87"/>
        <v>265:50</v>
      </c>
      <c r="O244" t="str">
        <f t="shared" si="88"/>
        <v>14:20</v>
      </c>
      <c r="P244" t="str">
        <f t="shared" si="82"/>
        <v/>
      </c>
    </row>
    <row r="245" spans="1:16" x14ac:dyDescent="0.25">
      <c r="A245" t="str">
        <f>'Raw Data'!A212</f>
        <v>BU</v>
      </c>
      <c r="B245" t="str">
        <f>'Raw Data'!B212</f>
        <v>BV</v>
      </c>
      <c r="C245">
        <f>'Raw Data'!J212</f>
        <v>8.5</v>
      </c>
      <c r="D245" t="str">
        <f>'Interpreted Data'!G212</f>
        <v>116:00</v>
      </c>
      <c r="E245" t="str">
        <f>'Interpreted Data'!H212</f>
        <v>-</v>
      </c>
      <c r="F245" t="str">
        <f>SUBSTITUTE('Raw Data'!K212," ",":",1)</f>
        <v>-6:30</v>
      </c>
      <c r="G245">
        <f>'Interpreted Data'!N212</f>
        <v>-1</v>
      </c>
      <c r="H245" t="str">
        <f>'Interpreted Data'!P212</f>
        <v/>
      </c>
      <c r="I245" t="str">
        <f t="shared" si="81"/>
        <v xml:space="preserve"> </v>
      </c>
      <c r="J245" t="str">
        <f t="shared" si="85"/>
        <v>BU</v>
      </c>
      <c r="K245" t="str">
        <f t="shared" si="83"/>
        <v>BV</v>
      </c>
      <c r="L245">
        <f t="shared" si="84"/>
        <v>8.5</v>
      </c>
      <c r="M245" t="str">
        <f t="shared" si="86"/>
        <v>116:00</v>
      </c>
      <c r="N245" t="str">
        <f t="shared" si="87"/>
        <v>-</v>
      </c>
      <c r="O245" t="str">
        <f t="shared" si="88"/>
        <v>-6:30</v>
      </c>
      <c r="P245" t="str">
        <f t="shared" si="82"/>
        <v/>
      </c>
    </row>
    <row r="246" spans="1:16" x14ac:dyDescent="0.25">
      <c r="A246" t="str">
        <f>'Raw Data'!A213</f>
        <v>BV</v>
      </c>
      <c r="B246" t="str">
        <f>'Raw Data'!B213</f>
        <v>BW</v>
      </c>
      <c r="C246">
        <f>'Raw Data'!J213</f>
        <v>15.7</v>
      </c>
      <c r="D246" t="str">
        <f>'Interpreted Data'!G213</f>
        <v>-</v>
      </c>
      <c r="E246" t="str">
        <f>'Interpreted Data'!H213</f>
        <v>266:20</v>
      </c>
      <c r="F246" t="str">
        <f>SUBSTITUTE('Raw Data'!K213," ",":",1)</f>
        <v>11:30</v>
      </c>
      <c r="G246">
        <f>'Interpreted Data'!N213</f>
        <v>3.1</v>
      </c>
      <c r="H246" t="str">
        <f>'Interpreted Data'!P213</f>
        <v/>
      </c>
      <c r="I246" t="str">
        <f t="shared" si="81"/>
        <v xml:space="preserve"> </v>
      </c>
      <c r="J246" t="str">
        <f t="shared" si="85"/>
        <v>BV</v>
      </c>
      <c r="K246" t="str">
        <f t="shared" si="83"/>
        <v>BW</v>
      </c>
      <c r="L246">
        <f t="shared" si="84"/>
        <v>15.7</v>
      </c>
      <c r="M246" t="str">
        <f t="shared" si="86"/>
        <v>-</v>
      </c>
      <c r="N246" t="str">
        <f t="shared" si="87"/>
        <v>266:20</v>
      </c>
      <c r="O246" t="str">
        <f t="shared" si="88"/>
        <v>11:30</v>
      </c>
      <c r="P246" t="str">
        <f t="shared" si="82"/>
        <v/>
      </c>
    </row>
    <row r="247" spans="1:16" x14ac:dyDescent="0.25">
      <c r="A247" t="str">
        <f>'Raw Data'!A214</f>
        <v>BW</v>
      </c>
      <c r="B247" t="str">
        <f>'Raw Data'!B214</f>
        <v>BX</v>
      </c>
      <c r="C247">
        <f>'Raw Data'!J214</f>
        <v>28.5</v>
      </c>
      <c r="D247" t="str">
        <f>'Interpreted Data'!G214</f>
        <v>117:00</v>
      </c>
      <c r="E247" t="str">
        <f>'Interpreted Data'!H214</f>
        <v>-</v>
      </c>
      <c r="F247" t="str">
        <f>SUBSTITUTE('Raw Data'!K214," ",":",1)</f>
        <v>32:30</v>
      </c>
      <c r="G247">
        <f>'Interpreted Data'!N214</f>
        <v>15.3</v>
      </c>
      <c r="H247" t="str">
        <f>'Interpreted Data'!P214</f>
        <v/>
      </c>
      <c r="I247" t="str">
        <f t="shared" si="81"/>
        <v xml:space="preserve"> </v>
      </c>
      <c r="J247" t="str">
        <f t="shared" si="85"/>
        <v>BW</v>
      </c>
      <c r="K247" t="str">
        <f t="shared" si="83"/>
        <v>BX</v>
      </c>
      <c r="L247">
        <f t="shared" si="84"/>
        <v>28.5</v>
      </c>
      <c r="M247" t="str">
        <f t="shared" si="86"/>
        <v>117:00</v>
      </c>
      <c r="N247" t="str">
        <f t="shared" si="87"/>
        <v>-</v>
      </c>
      <c r="O247" t="str">
        <f t="shared" si="88"/>
        <v>32:30</v>
      </c>
      <c r="P247" t="str">
        <f t="shared" si="82"/>
        <v/>
      </c>
    </row>
    <row r="248" spans="1:16" x14ac:dyDescent="0.25">
      <c r="A248" t="str">
        <f>'Raw Data'!A215</f>
        <v>BX</v>
      </c>
      <c r="B248" t="str">
        <f>'Raw Data'!B215</f>
        <v>BY</v>
      </c>
      <c r="C248">
        <f>'Raw Data'!J215</f>
        <v>6.9</v>
      </c>
      <c r="D248" t="str">
        <f>'Interpreted Data'!G215</f>
        <v>-</v>
      </c>
      <c r="E248" t="str">
        <f>'Interpreted Data'!H215</f>
        <v>326:00</v>
      </c>
      <c r="F248" t="str">
        <f>SUBSTITUTE('Raw Data'!K215," ",":",1)</f>
        <v>24:30</v>
      </c>
      <c r="G248">
        <f>'Interpreted Data'!N215</f>
        <v>2.9</v>
      </c>
      <c r="H248" t="str">
        <f>'Interpreted Data'!P215</f>
        <v>beside hook at top of 20' Drop. W.L. as sta 1'</v>
      </c>
      <c r="I248" t="str">
        <f t="shared" si="81"/>
        <v xml:space="preserve"> </v>
      </c>
      <c r="J248" t="str">
        <f t="shared" si="85"/>
        <v>BX</v>
      </c>
      <c r="K248" t="str">
        <f t="shared" si="83"/>
        <v>BY</v>
      </c>
      <c r="L248">
        <f t="shared" si="84"/>
        <v>6.9</v>
      </c>
      <c r="M248" t="str">
        <f t="shared" si="86"/>
        <v>-</v>
      </c>
      <c r="N248" t="str">
        <f t="shared" si="87"/>
        <v>326:00</v>
      </c>
      <c r="O248" t="str">
        <f t="shared" si="88"/>
        <v>24:30</v>
      </c>
      <c r="P248" t="str">
        <f t="shared" si="82"/>
        <v>beside hook at top of 20' Drop. W.L. as sta 1'</v>
      </c>
    </row>
    <row r="249" spans="1:16" x14ac:dyDescent="0.25">
      <c r="A249" t="str">
        <f>'Raw Data'!A216</f>
        <v>BY</v>
      </c>
      <c r="B249" t="str">
        <f>'Raw Data'!B216</f>
        <v>BZ</v>
      </c>
      <c r="C249">
        <f>'Raw Data'!J216</f>
        <v>13.8</v>
      </c>
      <c r="D249" t="str">
        <f>'Interpreted Data'!G216</f>
        <v>125:20</v>
      </c>
      <c r="E249" t="str">
        <f>'Interpreted Data'!H216</f>
        <v>-</v>
      </c>
      <c r="F249" t="str">
        <f>SUBSTITUTE('Raw Data'!K216," ",":",1)</f>
        <v>-4:30</v>
      </c>
      <c r="G249">
        <f>'Interpreted Data'!N216</f>
        <v>-1.1000000000000001</v>
      </c>
      <c r="H249" t="str">
        <f>'Interpreted Data'!P216</f>
        <v/>
      </c>
      <c r="I249" t="str">
        <f t="shared" si="81"/>
        <v xml:space="preserve"> </v>
      </c>
      <c r="J249" t="str">
        <f t="shared" si="85"/>
        <v>BY</v>
      </c>
      <c r="K249" t="str">
        <f t="shared" si="83"/>
        <v>BZ</v>
      </c>
      <c r="L249">
        <f t="shared" si="84"/>
        <v>13.8</v>
      </c>
      <c r="M249" t="str">
        <f t="shared" si="86"/>
        <v>125:20</v>
      </c>
      <c r="N249" t="str">
        <f t="shared" si="87"/>
        <v>-</v>
      </c>
      <c r="O249" t="str">
        <f t="shared" si="88"/>
        <v>-4:30</v>
      </c>
      <c r="P249" t="str">
        <f t="shared" si="82"/>
        <v/>
      </c>
    </row>
    <row r="250" spans="1:16" x14ac:dyDescent="0.25">
      <c r="A250" t="str">
        <f>'Raw Data'!A217</f>
        <v>BZ</v>
      </c>
      <c r="B250" t="str">
        <f>'Raw Data'!B217</f>
        <v>CA</v>
      </c>
      <c r="C250">
        <f>'Raw Data'!J217</f>
        <v>18.5</v>
      </c>
      <c r="D250" t="str">
        <f>'Interpreted Data'!G217</f>
        <v>-</v>
      </c>
      <c r="E250" t="str">
        <f>'Interpreted Data'!H217</f>
        <v>352:00</v>
      </c>
      <c r="F250" t="str">
        <f>SUBSTITUTE('Raw Data'!K217," ",":",1)</f>
        <v>2:15</v>
      </c>
      <c r="G250">
        <f>'Interpreted Data'!N217</f>
        <v>0.7</v>
      </c>
      <c r="H250" t="str">
        <f>'Interpreted Data'!P217</f>
        <v/>
      </c>
      <c r="I250" t="str">
        <f t="shared" si="81"/>
        <v xml:space="preserve"> </v>
      </c>
      <c r="J250" t="str">
        <f t="shared" si="85"/>
        <v>BZ</v>
      </c>
      <c r="K250" t="str">
        <f t="shared" si="83"/>
        <v>CA</v>
      </c>
      <c r="L250">
        <f t="shared" si="84"/>
        <v>18.5</v>
      </c>
      <c r="M250" t="str">
        <f t="shared" si="86"/>
        <v>-</v>
      </c>
      <c r="N250" t="str">
        <f t="shared" si="87"/>
        <v>352:00</v>
      </c>
      <c r="O250" t="str">
        <f t="shared" si="88"/>
        <v>2:15</v>
      </c>
      <c r="P250" t="str">
        <f t="shared" si="82"/>
        <v/>
      </c>
    </row>
    <row r="251" spans="1:16" x14ac:dyDescent="0.25">
      <c r="A251" t="str">
        <f>'Raw Data'!A218</f>
        <v>CA</v>
      </c>
      <c r="B251" t="str">
        <f>'Raw Data'!B218</f>
        <v>CB</v>
      </c>
      <c r="C251">
        <f>'Raw Data'!J218</f>
        <v>8</v>
      </c>
      <c r="D251" t="str">
        <f>'Interpreted Data'!G218</f>
        <v>125:00</v>
      </c>
      <c r="E251" t="str">
        <f>'Interpreted Data'!H218</f>
        <v>-</v>
      </c>
      <c r="F251" t="str">
        <f>SUBSTITUTE('Raw Data'!K218," ",":",1)</f>
        <v>4:00</v>
      </c>
      <c r="G251">
        <f>'Interpreted Data'!N218</f>
        <v>0.6</v>
      </c>
      <c r="H251" t="str">
        <f>'Interpreted Data'!P218</f>
        <v>W.L. at sta 1'</v>
      </c>
      <c r="I251" t="str">
        <f t="shared" si="81"/>
        <v xml:space="preserve"> </v>
      </c>
      <c r="J251" t="str">
        <f t="shared" si="85"/>
        <v>CA</v>
      </c>
      <c r="K251" t="str">
        <f t="shared" si="83"/>
        <v>CB</v>
      </c>
      <c r="L251">
        <f t="shared" si="84"/>
        <v>8</v>
      </c>
      <c r="M251" t="str">
        <f t="shared" si="86"/>
        <v>125:00</v>
      </c>
      <c r="N251" t="str">
        <f t="shared" si="87"/>
        <v>-</v>
      </c>
      <c r="O251" t="str">
        <f t="shared" si="88"/>
        <v>4:00</v>
      </c>
      <c r="P251" t="str">
        <f t="shared" si="82"/>
        <v>W.L. at sta 1'</v>
      </c>
    </row>
    <row r="252" spans="1:16" x14ac:dyDescent="0.25">
      <c r="A252" t="str">
        <f>'Raw Data'!A219</f>
        <v>CB</v>
      </c>
      <c r="B252" t="str">
        <f>'Raw Data'!B219</f>
        <v>CC</v>
      </c>
      <c r="C252">
        <f>'Raw Data'!J219</f>
        <v>17.399999999999999</v>
      </c>
      <c r="D252" t="str">
        <f>'Interpreted Data'!G219</f>
        <v>-</v>
      </c>
      <c r="E252" t="str">
        <f>'Interpreted Data'!H219</f>
        <v>284:10</v>
      </c>
      <c r="F252" t="str">
        <f>SUBSTITUTE('Raw Data'!K219," ",":",1)</f>
        <v>16:00</v>
      </c>
      <c r="G252">
        <f>'Interpreted Data'!N219</f>
        <v>4.8</v>
      </c>
      <c r="H252" t="str">
        <f>'Interpreted Data'!P219</f>
        <v/>
      </c>
      <c r="I252" t="str">
        <f t="shared" si="81"/>
        <v xml:space="preserve"> </v>
      </c>
      <c r="J252" t="str">
        <f t="shared" si="85"/>
        <v>CB</v>
      </c>
      <c r="K252" t="str">
        <f t="shared" si="83"/>
        <v>CC</v>
      </c>
      <c r="L252">
        <f t="shared" si="84"/>
        <v>17.399999999999999</v>
      </c>
      <c r="M252" t="str">
        <f t="shared" si="86"/>
        <v>-</v>
      </c>
      <c r="N252" t="str">
        <f t="shared" si="87"/>
        <v>284:10</v>
      </c>
      <c r="O252" t="str">
        <f t="shared" si="88"/>
        <v>16:00</v>
      </c>
      <c r="P252" t="str">
        <f t="shared" si="82"/>
        <v/>
      </c>
    </row>
    <row r="253" spans="1:16" x14ac:dyDescent="0.25">
      <c r="A253" t="str">
        <f>'Raw Data'!A220</f>
        <v>CC</v>
      </c>
      <c r="B253" t="str">
        <f>'Raw Data'!B220</f>
        <v>CD</v>
      </c>
      <c r="C253">
        <f>'Raw Data'!J220</f>
        <v>74.599999999999994</v>
      </c>
      <c r="D253" t="str">
        <f>'Interpreted Data'!G220</f>
        <v>137:10</v>
      </c>
      <c r="E253" t="str">
        <f>'Interpreted Data'!H220</f>
        <v>-</v>
      </c>
      <c r="F253" t="str">
        <f>SUBSTITUTE('Raw Data'!K220," ",":",1)</f>
        <v>7:10</v>
      </c>
      <c r="G253">
        <f>'Interpreted Data'!N220</f>
        <v>9.3000000000000007</v>
      </c>
      <c r="H253" t="str">
        <f>'Interpreted Data'!P220</f>
        <v/>
      </c>
      <c r="I253" t="str">
        <f t="shared" si="81"/>
        <v xml:space="preserve"> </v>
      </c>
      <c r="J253" t="str">
        <f t="shared" si="85"/>
        <v>CC</v>
      </c>
      <c r="K253" t="str">
        <f t="shared" si="83"/>
        <v>CD</v>
      </c>
      <c r="L253">
        <f t="shared" si="84"/>
        <v>74.599999999999994</v>
      </c>
      <c r="M253" t="str">
        <f t="shared" si="86"/>
        <v>137:10</v>
      </c>
      <c r="N253" t="str">
        <f t="shared" si="87"/>
        <v>-</v>
      </c>
      <c r="O253" t="str">
        <f t="shared" si="88"/>
        <v>7:10</v>
      </c>
      <c r="P253" t="str">
        <f t="shared" si="82"/>
        <v/>
      </c>
    </row>
    <row r="254" spans="1:16" x14ac:dyDescent="0.25">
      <c r="A254" t="str">
        <f>'Raw Data'!A221</f>
        <v>CD</v>
      </c>
      <c r="B254" t="str">
        <f>'Raw Data'!B221</f>
        <v>CE</v>
      </c>
      <c r="C254">
        <f>'Raw Data'!J221</f>
        <v>35</v>
      </c>
      <c r="D254" t="str">
        <f>'Interpreted Data'!G221</f>
        <v>-</v>
      </c>
      <c r="E254" t="str">
        <f>'Interpreted Data'!H221</f>
        <v>304:00</v>
      </c>
      <c r="F254" t="str">
        <f>SUBSTITUTE('Raw Data'!K221," ",":",1)</f>
        <v>19:00</v>
      </c>
      <c r="G254">
        <f>'Interpreted Data'!N221</f>
        <v>11.4</v>
      </c>
      <c r="H254" t="str">
        <f>'Interpreted Data'!P221</f>
        <v/>
      </c>
      <c r="I254" t="str">
        <f t="shared" si="81"/>
        <v xml:space="preserve"> </v>
      </c>
      <c r="J254" t="str">
        <f t="shared" si="85"/>
        <v>CD</v>
      </c>
      <c r="K254" t="str">
        <f t="shared" si="83"/>
        <v>CE</v>
      </c>
      <c r="L254">
        <f t="shared" si="84"/>
        <v>35</v>
      </c>
      <c r="M254" t="str">
        <f t="shared" si="86"/>
        <v>-</v>
      </c>
      <c r="N254" t="str">
        <f t="shared" si="87"/>
        <v>304:00</v>
      </c>
      <c r="O254" t="str">
        <f t="shared" si="88"/>
        <v>19:00</v>
      </c>
      <c r="P254" t="str">
        <f t="shared" si="82"/>
        <v/>
      </c>
    </row>
    <row r="255" spans="1:16" x14ac:dyDescent="0.25">
      <c r="A255" t="str">
        <f>'Raw Data'!A222</f>
        <v>CE</v>
      </c>
      <c r="B255" t="str">
        <f>'Raw Data'!B222</f>
        <v>CF</v>
      </c>
      <c r="C255">
        <f>'Raw Data'!J222</f>
        <v>28.3</v>
      </c>
      <c r="D255" t="str">
        <f>'Interpreted Data'!G222</f>
        <v>091:40</v>
      </c>
      <c r="E255" t="str">
        <f>'Interpreted Data'!H222</f>
        <v>-</v>
      </c>
      <c r="F255" t="str">
        <f>SUBSTITUTE('Raw Data'!K222," ",":",1)</f>
        <v>-13:30</v>
      </c>
      <c r="G255">
        <f>'Interpreted Data'!N222</f>
        <v>-6.6</v>
      </c>
      <c r="H255" t="str">
        <f>'Interpreted Data'!P222</f>
        <v/>
      </c>
      <c r="I255" t="str">
        <f t="shared" si="81"/>
        <v xml:space="preserve"> </v>
      </c>
      <c r="J255" t="str">
        <f t="shared" si="85"/>
        <v>CE</v>
      </c>
      <c r="K255" t="str">
        <f t="shared" si="83"/>
        <v>CF</v>
      </c>
      <c r="L255">
        <f t="shared" si="84"/>
        <v>28.3</v>
      </c>
      <c r="M255" t="str">
        <f t="shared" si="86"/>
        <v>091:40</v>
      </c>
      <c r="N255" t="str">
        <f t="shared" si="87"/>
        <v>-</v>
      </c>
      <c r="O255" t="str">
        <f t="shared" si="88"/>
        <v>-13:30</v>
      </c>
      <c r="P255" t="str">
        <f t="shared" si="82"/>
        <v/>
      </c>
    </row>
    <row r="256" spans="1:16" x14ac:dyDescent="0.25">
      <c r="A256" t="str">
        <f>'Raw Data'!A223</f>
        <v>CF</v>
      </c>
      <c r="B256" t="str">
        <f>'Raw Data'!B223</f>
        <v>CG</v>
      </c>
      <c r="C256">
        <f>'Raw Data'!J223</f>
        <v>10.6</v>
      </c>
      <c r="D256" t="str">
        <f>'Interpreted Data'!G223</f>
        <v>-</v>
      </c>
      <c r="E256" t="str">
        <f>'Interpreted Data'!H223</f>
        <v>294:30</v>
      </c>
      <c r="F256" t="str">
        <f>SUBSTITUTE('Raw Data'!K223," ",":",1)</f>
        <v>16:30</v>
      </c>
      <c r="G256">
        <f>'Interpreted Data'!N223</f>
        <v>3</v>
      </c>
      <c r="H256" t="str">
        <f>'Interpreted Data'!P223</f>
        <v/>
      </c>
      <c r="I256" t="str">
        <f t="shared" si="81"/>
        <v xml:space="preserve"> </v>
      </c>
      <c r="J256" t="str">
        <f t="shared" si="85"/>
        <v>CF</v>
      </c>
      <c r="K256" t="str">
        <f t="shared" si="83"/>
        <v>CG</v>
      </c>
      <c r="L256">
        <f t="shared" si="84"/>
        <v>10.6</v>
      </c>
      <c r="M256" t="str">
        <f t="shared" si="86"/>
        <v>-</v>
      </c>
      <c r="N256" t="str">
        <f t="shared" si="87"/>
        <v>294:30</v>
      </c>
      <c r="O256" t="str">
        <f t="shared" si="88"/>
        <v>16:30</v>
      </c>
      <c r="P256" t="str">
        <f t="shared" si="82"/>
        <v/>
      </c>
    </row>
    <row r="257" spans="1:16" x14ac:dyDescent="0.25">
      <c r="A257" t="str">
        <f>'Raw Data'!A224</f>
        <v>CG</v>
      </c>
      <c r="B257" t="str">
        <f>'Raw Data'!B224</f>
        <v>CH</v>
      </c>
      <c r="C257">
        <f>'Raw Data'!J224</f>
        <v>31.4</v>
      </c>
      <c r="D257" t="str">
        <f>'Interpreted Data'!G224</f>
        <v>014:20</v>
      </c>
      <c r="E257" t="str">
        <f>'Interpreted Data'!H224</f>
        <v>-</v>
      </c>
      <c r="F257" t="str">
        <f>SUBSTITUTE('Raw Data'!K224," ",":",1)</f>
        <v>-3:30</v>
      </c>
      <c r="G257">
        <f>'Interpreted Data'!N224</f>
        <v>-1.9</v>
      </c>
      <c r="H257" t="str">
        <f>'Interpreted Data'!P224</f>
        <v/>
      </c>
      <c r="I257" t="str">
        <f t="shared" si="81"/>
        <v xml:space="preserve"> </v>
      </c>
      <c r="J257" t="str">
        <f t="shared" si="85"/>
        <v>CG</v>
      </c>
      <c r="K257" t="str">
        <f t="shared" si="83"/>
        <v>CH</v>
      </c>
      <c r="L257">
        <f t="shared" si="84"/>
        <v>31.4</v>
      </c>
      <c r="M257" t="str">
        <f t="shared" si="86"/>
        <v>014:20</v>
      </c>
      <c r="N257" t="str">
        <f t="shared" si="87"/>
        <v>-</v>
      </c>
      <c r="O257" t="str">
        <f t="shared" si="88"/>
        <v>-3:30</v>
      </c>
      <c r="P257" t="str">
        <f t="shared" si="82"/>
        <v/>
      </c>
    </row>
    <row r="258" spans="1:16" x14ac:dyDescent="0.25">
      <c r="A258" t="str">
        <f>'Raw Data'!A225</f>
        <v>CH</v>
      </c>
      <c r="B258" t="str">
        <f>'Raw Data'!B225</f>
        <v>CI</v>
      </c>
      <c r="C258">
        <f>'Raw Data'!J225</f>
        <v>15.9</v>
      </c>
      <c r="D258" t="str">
        <f>'Interpreted Data'!G225</f>
        <v>-</v>
      </c>
      <c r="E258" t="str">
        <f>'Interpreted Data'!H225</f>
        <v>169:00</v>
      </c>
      <c r="F258" t="str">
        <f>SUBSTITUTE('Raw Data'!K225," ",":",1)</f>
        <v>4:30</v>
      </c>
      <c r="G258">
        <f>'Interpreted Data'!N225</f>
        <v>1.2</v>
      </c>
      <c r="H258" t="str">
        <f>'Interpreted Data'!P225</f>
        <v/>
      </c>
      <c r="I258" t="str">
        <f t="shared" si="81"/>
        <v xml:space="preserve"> </v>
      </c>
      <c r="J258" t="str">
        <f t="shared" si="85"/>
        <v>CH</v>
      </c>
      <c r="K258" t="str">
        <f t="shared" si="83"/>
        <v>CI</v>
      </c>
      <c r="L258">
        <f t="shared" si="84"/>
        <v>15.9</v>
      </c>
      <c r="M258" t="str">
        <f t="shared" si="86"/>
        <v>-</v>
      </c>
      <c r="N258" t="str">
        <f t="shared" si="87"/>
        <v>169:00</v>
      </c>
      <c r="O258" t="str">
        <f t="shared" si="88"/>
        <v>4:30</v>
      </c>
      <c r="P258" t="str">
        <f t="shared" si="82"/>
        <v/>
      </c>
    </row>
    <row r="259" spans="1:16" x14ac:dyDescent="0.25">
      <c r="A259" t="str">
        <f>'Raw Data'!A226</f>
        <v>CI</v>
      </c>
      <c r="B259" t="str">
        <f>'Raw Data'!B226</f>
        <v>CJ</v>
      </c>
      <c r="C259">
        <f>'Raw Data'!J226</f>
        <v>35.200000000000003</v>
      </c>
      <c r="D259" t="str">
        <f>'Interpreted Data'!G226</f>
        <v>023:00</v>
      </c>
      <c r="E259" t="str">
        <f>'Interpreted Data'!H226</f>
        <v>-</v>
      </c>
      <c r="F259" t="str">
        <f>SUBSTITUTE('Raw Data'!K226," ",":",1)</f>
        <v>-3:50</v>
      </c>
      <c r="G259">
        <f>'Interpreted Data'!N226</f>
        <v>-2.4</v>
      </c>
      <c r="H259" t="str">
        <f>'Interpreted Data'!P226</f>
        <v/>
      </c>
      <c r="I259" t="str">
        <f t="shared" si="81"/>
        <v xml:space="preserve"> </v>
      </c>
      <c r="J259" t="str">
        <f t="shared" si="85"/>
        <v>CI</v>
      </c>
      <c r="K259" t="str">
        <f t="shared" si="83"/>
        <v>CJ</v>
      </c>
      <c r="L259">
        <f t="shared" si="84"/>
        <v>35.200000000000003</v>
      </c>
      <c r="M259" t="str">
        <f t="shared" si="86"/>
        <v>023:00</v>
      </c>
      <c r="N259" t="str">
        <f t="shared" si="87"/>
        <v>-</v>
      </c>
      <c r="O259" t="str">
        <f t="shared" si="88"/>
        <v>-3:50</v>
      </c>
      <c r="P259" t="str">
        <f t="shared" si="82"/>
        <v/>
      </c>
    </row>
    <row r="260" spans="1:16" x14ac:dyDescent="0.25">
      <c r="J260" t="str">
        <f>$J$2</f>
        <v>data diving from to tape compass backcompass depthchange ignoreall</v>
      </c>
    </row>
    <row r="261" spans="1:16" x14ac:dyDescent="0.25">
      <c r="A261" t="str">
        <f>'Raw Data'!A227</f>
        <v>CJ</v>
      </c>
      <c r="B261" t="str">
        <f>'Raw Data'!B227</f>
        <v>CK</v>
      </c>
      <c r="C261">
        <f>'Raw Data'!J227</f>
        <v>12.3</v>
      </c>
      <c r="D261" t="str">
        <f>'Interpreted Data'!G227</f>
        <v>328:00</v>
      </c>
      <c r="E261" t="str">
        <f>'Interpreted Data'!H227</f>
        <v>-</v>
      </c>
      <c r="F261" t="str">
        <f>SUBSTITUTE('Raw Data'!K227," ",":",1)</f>
        <v>-one:foot</v>
      </c>
      <c r="G261">
        <f>'Interpreted Data'!N227</f>
        <v>-1</v>
      </c>
      <c r="H261" t="str">
        <f>'Interpreted Data'!P227</f>
        <v>side of pot at entrance of passage</v>
      </c>
      <c r="I261" t="str">
        <f t="shared" si="81"/>
        <v xml:space="preserve"> </v>
      </c>
      <c r="J261" t="str">
        <f t="shared" si="85"/>
        <v>CJ</v>
      </c>
      <c r="K261" t="str">
        <f t="shared" si="83"/>
        <v>CK</v>
      </c>
      <c r="L261">
        <f t="shared" si="84"/>
        <v>12.3</v>
      </c>
      <c r="M261" t="str">
        <f t="shared" si="86"/>
        <v>328:00</v>
      </c>
      <c r="N261" t="str">
        <f t="shared" si="87"/>
        <v>-</v>
      </c>
      <c r="O261">
        <f>G261</f>
        <v>-1</v>
      </c>
      <c r="P261" t="str">
        <f t="shared" si="82"/>
        <v>side of pot at entrance of passage</v>
      </c>
    </row>
    <row r="262" spans="1:16" x14ac:dyDescent="0.25">
      <c r="J262" t="str">
        <f>$J$1</f>
        <v>data normal from to tape compass backcompass clino ignoreall</v>
      </c>
    </row>
    <row r="263" spans="1:16" x14ac:dyDescent="0.25">
      <c r="A263" t="str">
        <f>'Raw Data'!A228</f>
        <v>CK</v>
      </c>
      <c r="B263" t="str">
        <f>'Raw Data'!B228</f>
        <v>CL</v>
      </c>
      <c r="C263">
        <f>'Raw Data'!J228</f>
        <v>35.700000000000003</v>
      </c>
      <c r="D263" t="str">
        <f>'Interpreted Data'!G228</f>
        <v>-</v>
      </c>
      <c r="E263" t="str">
        <f>'Interpreted Data'!H228</f>
        <v>272:00</v>
      </c>
      <c r="F263" t="str">
        <f>SUBSTITUTE('Raw Data'!K228," ",":",1)</f>
        <v>71:00</v>
      </c>
      <c r="G263">
        <f>'Interpreted Data'!N228</f>
        <v>33.799999999999997</v>
      </c>
      <c r="H263" t="str">
        <f>'Interpreted Data'!P228</f>
        <v>side of pot</v>
      </c>
      <c r="I263" t="str">
        <f t="shared" si="81"/>
        <v xml:space="preserve"> </v>
      </c>
      <c r="J263" t="str">
        <f t="shared" si="85"/>
        <v>CK</v>
      </c>
      <c r="K263" t="str">
        <f t="shared" si="83"/>
        <v>CL</v>
      </c>
      <c r="L263">
        <f t="shared" si="84"/>
        <v>35.700000000000003</v>
      </c>
      <c r="M263" t="str">
        <f t="shared" si="86"/>
        <v>-</v>
      </c>
      <c r="N263" t="str">
        <f t="shared" si="87"/>
        <v>272:00</v>
      </c>
      <c r="O263" t="str">
        <f t="shared" si="88"/>
        <v>71:00</v>
      </c>
      <c r="P263" t="str">
        <f t="shared" si="82"/>
        <v>side of pot</v>
      </c>
    </row>
    <row r="264" spans="1:16" x14ac:dyDescent="0.25">
      <c r="J264" t="str">
        <f>$J$2</f>
        <v>data diving from to tape compass backcompass depthchange ignoreall</v>
      </c>
    </row>
    <row r="265" spans="1:16" x14ac:dyDescent="0.25">
      <c r="A265" t="str">
        <f>'Raw Data'!A229</f>
        <v>CL</v>
      </c>
      <c r="B265" t="str">
        <f>'Raw Data'!B229</f>
        <v>CN</v>
      </c>
      <c r="C265">
        <f>'Raw Data'!J229</f>
        <v>3</v>
      </c>
      <c r="D265" t="str">
        <f>'Interpreted Data'!G229</f>
        <v>100:00</v>
      </c>
      <c r="E265" t="str">
        <f>'Interpreted Data'!H229</f>
        <v>-</v>
      </c>
      <c r="F265" t="str">
        <f>SUBSTITUTE('Raw Data'!K229," ",":",1)</f>
        <v>+two:feet</v>
      </c>
      <c r="G265">
        <f>'Interpreted Data'!N229</f>
        <v>2</v>
      </c>
      <c r="H265" t="str">
        <f>'Interpreted Data'!P229</f>
        <v>lip of pot</v>
      </c>
      <c r="I265" t="str">
        <f t="shared" si="81"/>
        <v xml:space="preserve"> </v>
      </c>
      <c r="J265" t="str">
        <f t="shared" si="85"/>
        <v>CL</v>
      </c>
      <c r="K265" t="str">
        <f t="shared" si="83"/>
        <v>CN</v>
      </c>
      <c r="L265">
        <f t="shared" si="84"/>
        <v>3</v>
      </c>
      <c r="M265" t="str">
        <f t="shared" si="86"/>
        <v>100:00</v>
      </c>
      <c r="N265" t="str">
        <f t="shared" si="87"/>
        <v>-</v>
      </c>
      <c r="O265">
        <f>G265</f>
        <v>2</v>
      </c>
      <c r="P265" t="str">
        <f t="shared" si="82"/>
        <v>lip of pot</v>
      </c>
    </row>
    <row r="266" spans="1:16" x14ac:dyDescent="0.25">
      <c r="A266" t="str">
        <f>'Raw Data'!A230</f>
        <v>CN</v>
      </c>
      <c r="B266">
        <f>'Raw Data'!B230</f>
        <v>0</v>
      </c>
      <c r="C266">
        <f>'Raw Data'!J230</f>
        <v>0</v>
      </c>
      <c r="D266" t="str">
        <f>'Interpreted Data'!G230</f>
        <v>-</v>
      </c>
      <c r="E266" t="str">
        <f>'Interpreted Data'!H230</f>
        <v>-</v>
      </c>
      <c r="F266" t="str">
        <f>SUBSTITUTE('Raw Data'!K230," ",":",1)</f>
        <v/>
      </c>
      <c r="G266" t="str">
        <f>'Interpreted Data'!N230</f>
        <v/>
      </c>
      <c r="H266" t="str">
        <f>'Interpreted Data'!P230</f>
        <v>see p.55</v>
      </c>
      <c r="I266" t="str">
        <f t="shared" si="81"/>
        <v xml:space="preserve"> </v>
      </c>
      <c r="J266" t="s">
        <v>76</v>
      </c>
      <c r="K266" t="str">
        <f>A266</f>
        <v>CN</v>
      </c>
      <c r="P266" t="str">
        <f t="shared" si="82"/>
        <v>see p.55</v>
      </c>
    </row>
    <row r="268" spans="1:16" x14ac:dyDescent="0.25">
      <c r="A268" t="str">
        <f>'Raw Data'!A231</f>
        <v>1st March 1953</v>
      </c>
      <c r="B268" t="str">
        <f>'Raw Data'!B231</f>
        <v>Phil, Don, Oliver, Colin</v>
      </c>
      <c r="C268" t="str">
        <f>'Raw Data'!C231</f>
        <v>Trats Grotto into St Pauls System</v>
      </c>
      <c r="D268" t="str">
        <f>'Interpreted Data'!G231</f>
        <v>-</v>
      </c>
      <c r="E268" t="str">
        <f>'Interpreted Data'!H231</f>
        <v>-</v>
      </c>
      <c r="F268" t="str">
        <f>SUBSTITUTE('Raw Data'!K231," ",":",1)</f>
        <v/>
      </c>
      <c r="G268" t="str">
        <f>'Interpreted Data'!N231</f>
        <v/>
      </c>
      <c r="H268" t="str">
        <f>'Interpreted Data'!P231</f>
        <v/>
      </c>
      <c r="I268" t="str">
        <f t="shared" si="81"/>
        <v xml:space="preserve"> </v>
      </c>
      <c r="J268" t="str">
        <f>CONCATENATE("# ",A268)</f>
        <v># 1st March 1953</v>
      </c>
      <c r="K268" t="str">
        <f t="shared" si="83"/>
        <v>Phil, Don, Oliver, Colin</v>
      </c>
      <c r="L268" t="str">
        <f t="shared" si="84"/>
        <v>Trats Grotto into St Pauls System</v>
      </c>
      <c r="P268" t="str">
        <f t="shared" si="82"/>
        <v/>
      </c>
    </row>
    <row r="269" spans="1:16" x14ac:dyDescent="0.25">
      <c r="J269" t="str">
        <f>$J$2</f>
        <v>data diving from to tape compass backcompass depthchange ignoreall</v>
      </c>
    </row>
    <row r="270" spans="1:16" x14ac:dyDescent="0.25">
      <c r="A270" t="str">
        <f>'Raw Data'!A232</f>
        <v>AL</v>
      </c>
      <c r="B270" t="str">
        <f>'Raw Data'!B232</f>
        <v>a</v>
      </c>
      <c r="C270">
        <f>'Raw Data'!J232</f>
        <v>3.4</v>
      </c>
      <c r="D270" t="str">
        <f>'Interpreted Data'!G232</f>
        <v>-</v>
      </c>
      <c r="E270" t="str">
        <f>'Interpreted Data'!H232</f>
        <v>048:00</v>
      </c>
      <c r="F270" t="str">
        <f>SUBSTITUTE('Raw Data'!K232," ",":",1)</f>
        <v>-one:foot</v>
      </c>
      <c r="G270">
        <f>'Interpreted Data'!N232</f>
        <v>-1</v>
      </c>
      <c r="H270" t="str">
        <f>'Interpreted Data'!P232</f>
        <v>See p.51 Below Trats Grotto</v>
      </c>
      <c r="I270" t="str">
        <f t="shared" si="81"/>
        <v xml:space="preserve"> </v>
      </c>
      <c r="J270" t="str">
        <f t="shared" si="85"/>
        <v>AL</v>
      </c>
      <c r="K270" t="str">
        <f t="shared" si="83"/>
        <v>a</v>
      </c>
      <c r="L270">
        <f t="shared" si="84"/>
        <v>3.4</v>
      </c>
      <c r="M270" t="str">
        <f t="shared" si="86"/>
        <v>-</v>
      </c>
      <c r="N270" t="str">
        <f t="shared" si="87"/>
        <v>048:00</v>
      </c>
      <c r="O270">
        <f>G270</f>
        <v>-1</v>
      </c>
      <c r="P270" t="str">
        <f t="shared" si="82"/>
        <v>See p.51 Below Trats Grotto</v>
      </c>
    </row>
    <row r="271" spans="1:16" x14ac:dyDescent="0.25">
      <c r="J271" t="str">
        <f>$J$1</f>
        <v>data normal from to tape compass backcompass clino ignoreall</v>
      </c>
    </row>
    <row r="272" spans="1:16" x14ac:dyDescent="0.25">
      <c r="A272" t="str">
        <f>'Raw Data'!A233</f>
        <v>a</v>
      </c>
      <c r="B272" t="str">
        <f>'Raw Data'!B233</f>
        <v>b</v>
      </c>
      <c r="C272">
        <f>'Raw Data'!J233</f>
        <v>19.399999999999999</v>
      </c>
      <c r="D272" t="str">
        <f>'Interpreted Data'!G233</f>
        <v>184:00</v>
      </c>
      <c r="E272" t="str">
        <f>'Interpreted Data'!H233</f>
        <v>-</v>
      </c>
      <c r="F272" t="str">
        <f>SUBSTITUTE('Raw Data'!K233," ",":",1)</f>
        <v>56:30</v>
      </c>
      <c r="G272">
        <f>'Interpreted Data'!N233</f>
        <v>16.2</v>
      </c>
      <c r="H272" t="str">
        <f>'Interpreted Data'!P233</f>
        <v/>
      </c>
      <c r="I272" t="str">
        <f t="shared" si="81"/>
        <v xml:space="preserve"> </v>
      </c>
      <c r="J272" t="str">
        <f t="shared" si="85"/>
        <v>a</v>
      </c>
      <c r="K272" t="str">
        <f t="shared" si="83"/>
        <v>b</v>
      </c>
      <c r="L272">
        <f t="shared" si="84"/>
        <v>19.399999999999999</v>
      </c>
      <c r="M272" t="str">
        <f t="shared" si="86"/>
        <v>184:00</v>
      </c>
      <c r="N272" t="str">
        <f t="shared" si="87"/>
        <v>-</v>
      </c>
      <c r="O272" t="str">
        <f t="shared" si="88"/>
        <v>56:30</v>
      </c>
      <c r="P272" t="str">
        <f t="shared" si="82"/>
        <v/>
      </c>
    </row>
    <row r="273" spans="1:16" x14ac:dyDescent="0.25">
      <c r="A273" t="str">
        <f>'Raw Data'!A234</f>
        <v>b</v>
      </c>
      <c r="B273" t="str">
        <f>'Raw Data'!B234</f>
        <v>c</v>
      </c>
      <c r="C273">
        <f>'Raw Data'!J234</f>
        <v>10.8</v>
      </c>
      <c r="D273" t="str">
        <f>'Interpreted Data'!G234</f>
        <v>-</v>
      </c>
      <c r="E273" t="str">
        <f>'Interpreted Data'!H234</f>
        <v>229:40</v>
      </c>
      <c r="F273" t="str">
        <f>SUBSTITUTE('Raw Data'!K234," ",":",1)</f>
        <v>30:15</v>
      </c>
      <c r="G273">
        <f>'Interpreted Data'!N234</f>
        <v>5.4</v>
      </c>
      <c r="H273" t="str">
        <f>'Interpreted Data'!P234</f>
        <v>Top of pit</v>
      </c>
      <c r="I273" t="str">
        <f t="shared" si="81"/>
        <v xml:space="preserve"> </v>
      </c>
      <c r="J273" t="str">
        <f t="shared" si="85"/>
        <v>b</v>
      </c>
      <c r="K273" t="str">
        <f t="shared" si="83"/>
        <v>c</v>
      </c>
      <c r="L273">
        <f t="shared" si="84"/>
        <v>10.8</v>
      </c>
      <c r="M273" t="str">
        <f t="shared" si="86"/>
        <v>-</v>
      </c>
      <c r="N273" t="str">
        <f t="shared" si="87"/>
        <v>229:40</v>
      </c>
      <c r="O273" t="str">
        <f t="shared" si="88"/>
        <v>30:15</v>
      </c>
      <c r="P273" t="str">
        <f t="shared" si="82"/>
        <v>Top of pit</v>
      </c>
    </row>
    <row r="274" spans="1:16" x14ac:dyDescent="0.25">
      <c r="A274" t="str">
        <f>'Raw Data'!A235</f>
        <v>c</v>
      </c>
      <c r="B274" t="str">
        <f>'Raw Data'!B235</f>
        <v>d</v>
      </c>
      <c r="C274">
        <f>'Raw Data'!J235</f>
        <v>23.8</v>
      </c>
      <c r="D274" t="str">
        <f>'Interpreted Data'!G235</f>
        <v>203:40</v>
      </c>
      <c r="E274" t="str">
        <f>'Interpreted Data'!H235</f>
        <v>-</v>
      </c>
      <c r="F274" t="str">
        <f>SUBSTITUTE('Raw Data'!K235," ",":",1)</f>
        <v>19:40</v>
      </c>
      <c r="G274">
        <f>'Interpreted Data'!N235</f>
        <v>8</v>
      </c>
      <c r="H274" t="str">
        <f>'Interpreted Data'!P235</f>
        <v>Foot of cascade</v>
      </c>
      <c r="I274" t="str">
        <f t="shared" si="81"/>
        <v xml:space="preserve"> </v>
      </c>
      <c r="J274" t="str">
        <f t="shared" si="85"/>
        <v>c</v>
      </c>
      <c r="K274" t="str">
        <f t="shared" si="83"/>
        <v>d</v>
      </c>
      <c r="L274">
        <f t="shared" si="84"/>
        <v>23.8</v>
      </c>
      <c r="M274" t="str">
        <f t="shared" si="86"/>
        <v>203:40</v>
      </c>
      <c r="N274" t="str">
        <f t="shared" si="87"/>
        <v>-</v>
      </c>
      <c r="O274" t="str">
        <f t="shared" si="88"/>
        <v>19:40</v>
      </c>
      <c r="P274" t="str">
        <f t="shared" si="82"/>
        <v>Foot of cascade</v>
      </c>
    </row>
    <row r="275" spans="1:16" x14ac:dyDescent="0.25">
      <c r="A275" t="str">
        <f>'Raw Data'!A236</f>
        <v>d</v>
      </c>
      <c r="B275" t="str">
        <f>'Raw Data'!B236</f>
        <v>e</v>
      </c>
      <c r="C275">
        <f>'Raw Data'!J236</f>
        <v>52</v>
      </c>
      <c r="D275" t="str">
        <f>'Interpreted Data'!G236</f>
        <v>-</v>
      </c>
      <c r="E275" t="str">
        <f>'Interpreted Data'!H236</f>
        <v>305:10</v>
      </c>
      <c r="F275" t="str">
        <f>SUBSTITUTE('Raw Data'!K236," ",":",1)</f>
        <v>2:30</v>
      </c>
      <c r="G275">
        <f>'Interpreted Data'!N236</f>
        <v>2.2999999999999998</v>
      </c>
      <c r="H275" t="str">
        <f>'Interpreted Data'!P236</f>
        <v>(small sketch a-e)</v>
      </c>
      <c r="I275" t="str">
        <f t="shared" si="81"/>
        <v xml:space="preserve"> </v>
      </c>
      <c r="J275" t="str">
        <f t="shared" si="85"/>
        <v>d</v>
      </c>
      <c r="K275" t="str">
        <f t="shared" si="83"/>
        <v>e</v>
      </c>
      <c r="L275">
        <f t="shared" si="84"/>
        <v>52</v>
      </c>
      <c r="M275" t="str">
        <f t="shared" si="86"/>
        <v>-</v>
      </c>
      <c r="N275" t="str">
        <f t="shared" si="87"/>
        <v>305:10</v>
      </c>
      <c r="O275" t="str">
        <f t="shared" si="88"/>
        <v>2:30</v>
      </c>
      <c r="P275" t="str">
        <f t="shared" si="82"/>
        <v>(small sketch a-e)</v>
      </c>
    </row>
    <row r="276" spans="1:16" x14ac:dyDescent="0.25">
      <c r="A276" t="str">
        <f>'Raw Data'!A237</f>
        <v>e</v>
      </c>
      <c r="B276" t="str">
        <f>'Raw Data'!B237</f>
        <v>f</v>
      </c>
      <c r="C276">
        <f>'Raw Data'!J237</f>
        <v>23.5</v>
      </c>
      <c r="D276" t="str">
        <f>'Interpreted Data'!G237</f>
        <v>125:00</v>
      </c>
      <c r="E276" t="str">
        <f>'Interpreted Data'!H237</f>
        <v>-</v>
      </c>
      <c r="F276" t="str">
        <f>SUBSTITUTE('Raw Data'!K237," ",":",1)</f>
        <v>8:45</v>
      </c>
      <c r="G276">
        <f>'Interpreted Data'!N237</f>
        <v>3.6</v>
      </c>
      <c r="H276" t="str">
        <f>'Interpreted Data'!P237</f>
        <v>(sketch e-i)</v>
      </c>
      <c r="I276" t="str">
        <f t="shared" si="81"/>
        <v xml:space="preserve"> </v>
      </c>
      <c r="J276" t="str">
        <f t="shared" si="85"/>
        <v>e</v>
      </c>
      <c r="K276" t="str">
        <f t="shared" si="83"/>
        <v>f</v>
      </c>
      <c r="L276">
        <f t="shared" si="84"/>
        <v>23.5</v>
      </c>
      <c r="M276" t="str">
        <f t="shared" si="86"/>
        <v>125:00</v>
      </c>
      <c r="N276" t="str">
        <f t="shared" si="87"/>
        <v>-</v>
      </c>
      <c r="O276" t="str">
        <f t="shared" si="88"/>
        <v>8:45</v>
      </c>
      <c r="P276" t="str">
        <f t="shared" si="82"/>
        <v>(sketch e-i)</v>
      </c>
    </row>
    <row r="277" spans="1:16" x14ac:dyDescent="0.25">
      <c r="A277" t="str">
        <f>'Raw Data'!A238</f>
        <v>f</v>
      </c>
      <c r="B277" t="str">
        <f>'Raw Data'!B238</f>
        <v>g</v>
      </c>
      <c r="C277">
        <f>'Raw Data'!J238</f>
        <v>16.899999999999999</v>
      </c>
      <c r="D277" t="str">
        <f>'Interpreted Data'!G238</f>
        <v>-</v>
      </c>
      <c r="E277" t="str">
        <f>'Interpreted Data'!H238</f>
        <v>342:00</v>
      </c>
      <c r="F277" t="str">
        <f>SUBSTITUTE('Raw Data'!K238," ",":",1)</f>
        <v>-5:00</v>
      </c>
      <c r="G277">
        <f>'Interpreted Data'!N238</f>
        <v>-1.5</v>
      </c>
      <c r="H277" t="str">
        <f>'Interpreted Data'!P238</f>
        <v/>
      </c>
      <c r="I277" t="str">
        <f t="shared" si="81"/>
        <v xml:space="preserve"> </v>
      </c>
      <c r="J277" t="str">
        <f t="shared" si="85"/>
        <v>f</v>
      </c>
      <c r="K277" t="str">
        <f t="shared" si="83"/>
        <v>g</v>
      </c>
      <c r="L277">
        <f t="shared" si="84"/>
        <v>16.899999999999999</v>
      </c>
      <c r="M277" t="str">
        <f t="shared" si="86"/>
        <v>-</v>
      </c>
      <c r="N277" t="str">
        <f t="shared" si="87"/>
        <v>342:00</v>
      </c>
      <c r="O277" t="str">
        <f t="shared" si="88"/>
        <v>-5:00</v>
      </c>
      <c r="P277" t="str">
        <f t="shared" si="82"/>
        <v/>
      </c>
    </row>
    <row r="278" spans="1:16" x14ac:dyDescent="0.25">
      <c r="J278" t="str">
        <f>$J$2</f>
        <v>data diving from to tape compass backcompass depthchange ignoreall</v>
      </c>
    </row>
    <row r="279" spans="1:16" x14ac:dyDescent="0.25">
      <c r="A279" t="str">
        <f>'Raw Data'!A239</f>
        <v>g</v>
      </c>
      <c r="B279" t="str">
        <f>'Raw Data'!B239</f>
        <v>h</v>
      </c>
      <c r="C279">
        <f>'Raw Data'!J239</f>
        <v>7.6</v>
      </c>
      <c r="D279" t="str">
        <f>'Interpreted Data'!G239</f>
        <v>-</v>
      </c>
      <c r="E279" t="str">
        <f>'Interpreted Data'!H239</f>
        <v>013:00</v>
      </c>
      <c r="F279" t="str">
        <f>SUBSTITUTE('Raw Data'!K239," ",":",1)</f>
        <v>+0.5:feet</v>
      </c>
      <c r="G279">
        <f>'Interpreted Data'!N239</f>
        <v>0.5</v>
      </c>
      <c r="H279" t="str">
        <f>'Interpreted Data'!P239</f>
        <v/>
      </c>
      <c r="I279" t="str">
        <f t="shared" ref="I279:I330" si="89">" "</f>
        <v xml:space="preserve"> </v>
      </c>
      <c r="J279" t="str">
        <f t="shared" si="85"/>
        <v>g</v>
      </c>
      <c r="K279" t="str">
        <f t="shared" si="83"/>
        <v>h</v>
      </c>
      <c r="L279">
        <f t="shared" si="84"/>
        <v>7.6</v>
      </c>
      <c r="M279" t="str">
        <f t="shared" si="86"/>
        <v>-</v>
      </c>
      <c r="N279" t="str">
        <f t="shared" si="87"/>
        <v>013:00</v>
      </c>
      <c r="O279">
        <f>G279</f>
        <v>0.5</v>
      </c>
      <c r="P279" t="str">
        <f t="shared" si="82"/>
        <v/>
      </c>
    </row>
    <row r="280" spans="1:16" x14ac:dyDescent="0.25">
      <c r="J280" t="str">
        <f>$J$1</f>
        <v>data normal from to tape compass backcompass clino ignoreall</v>
      </c>
    </row>
    <row r="281" spans="1:16" x14ac:dyDescent="0.25">
      <c r="A281" t="str">
        <f>'Raw Data'!A240</f>
        <v>h</v>
      </c>
      <c r="B281" t="str">
        <f>'Raw Data'!B240</f>
        <v>i</v>
      </c>
      <c r="C281">
        <f>'Raw Data'!J240</f>
        <v>18.2</v>
      </c>
      <c r="D281" t="str">
        <f>'Interpreted Data'!G240</f>
        <v>-</v>
      </c>
      <c r="E281" t="str">
        <f>'Interpreted Data'!H240</f>
        <v>002:00</v>
      </c>
      <c r="F281" t="str">
        <f>SUBSTITUTE('Raw Data'!K240," ",":",1)</f>
        <v>5:30</v>
      </c>
      <c r="G281">
        <f>'Interpreted Data'!N240</f>
        <v>1.7</v>
      </c>
      <c r="H281" t="str">
        <f>'Interpreted Data'!P240</f>
        <v/>
      </c>
      <c r="I281" t="str">
        <f t="shared" si="89"/>
        <v xml:space="preserve"> </v>
      </c>
      <c r="J281" t="str">
        <f t="shared" si="85"/>
        <v>h</v>
      </c>
      <c r="K281" t="str">
        <f t="shared" si="83"/>
        <v>i</v>
      </c>
      <c r="L281">
        <f t="shared" si="84"/>
        <v>18.2</v>
      </c>
      <c r="M281" t="str">
        <f t="shared" si="86"/>
        <v>-</v>
      </c>
      <c r="N281" t="str">
        <f t="shared" si="87"/>
        <v>002:00</v>
      </c>
      <c r="O281" t="str">
        <f t="shared" si="88"/>
        <v>5:30</v>
      </c>
      <c r="P281" t="str">
        <f t="shared" si="82"/>
        <v/>
      </c>
    </row>
    <row r="282" spans="1:16" x14ac:dyDescent="0.25">
      <c r="A282" t="str">
        <f>'Raw Data'!A241</f>
        <v>i</v>
      </c>
      <c r="B282" t="str">
        <f>'Raw Data'!B241</f>
        <v>j</v>
      </c>
      <c r="C282">
        <f>'Raw Data'!J241</f>
        <v>7.8</v>
      </c>
      <c r="D282" t="str">
        <f>'Interpreted Data'!G241</f>
        <v>-</v>
      </c>
      <c r="E282" t="str">
        <f>'Interpreted Data'!H241</f>
        <v>007:00</v>
      </c>
      <c r="F282" t="str">
        <f>SUBSTITUTE('Raw Data'!K241," ",":",1)</f>
        <v>-7:00</v>
      </c>
      <c r="G282">
        <f>'Interpreted Data'!N241</f>
        <v>-0.9</v>
      </c>
      <c r="H282" t="str">
        <f>'Interpreted Data'!P241</f>
        <v>(sketch j-o)</v>
      </c>
      <c r="I282" t="str">
        <f t="shared" si="89"/>
        <v xml:space="preserve"> </v>
      </c>
      <c r="J282" t="str">
        <f t="shared" si="85"/>
        <v>i</v>
      </c>
      <c r="K282" t="str">
        <f t="shared" si="83"/>
        <v>j</v>
      </c>
      <c r="L282">
        <f t="shared" si="84"/>
        <v>7.8</v>
      </c>
      <c r="M282" t="str">
        <f t="shared" si="86"/>
        <v>-</v>
      </c>
      <c r="N282" t="str">
        <f t="shared" si="87"/>
        <v>007:00</v>
      </c>
      <c r="O282" t="str">
        <f t="shared" si="88"/>
        <v>-7:00</v>
      </c>
      <c r="P282" t="str">
        <f t="shared" si="82"/>
        <v>(sketch j-o)</v>
      </c>
    </row>
    <row r="283" spans="1:16" x14ac:dyDescent="0.25">
      <c r="A283" t="str">
        <f>'Raw Data'!A242</f>
        <v>j</v>
      </c>
      <c r="B283" t="str">
        <f>'Raw Data'!B242</f>
        <v>k</v>
      </c>
      <c r="C283">
        <f>'Raw Data'!J242</f>
        <v>28.9</v>
      </c>
      <c r="D283" t="str">
        <f>'Interpreted Data'!G242</f>
        <v>194:00</v>
      </c>
      <c r="E283" t="str">
        <f>'Interpreted Data'!H242</f>
        <v>-</v>
      </c>
      <c r="F283" t="str">
        <f>SUBSTITUTE('Raw Data'!K242," ",":",1)</f>
        <v>-17:30</v>
      </c>
      <c r="G283">
        <f>'Interpreted Data'!N242</f>
        <v>-8.6999999999999993</v>
      </c>
      <c r="H283" t="str">
        <f>'Interpreted Data'!P242</f>
        <v/>
      </c>
      <c r="I283" t="str">
        <f t="shared" si="89"/>
        <v xml:space="preserve"> </v>
      </c>
      <c r="J283" t="str">
        <f t="shared" si="85"/>
        <v>j</v>
      </c>
      <c r="K283" t="str">
        <f t="shared" si="83"/>
        <v>k</v>
      </c>
      <c r="L283">
        <f t="shared" si="84"/>
        <v>28.9</v>
      </c>
      <c r="M283" t="str">
        <f t="shared" si="86"/>
        <v>194:00</v>
      </c>
      <c r="N283" t="str">
        <f t="shared" si="87"/>
        <v>-</v>
      </c>
      <c r="O283" t="str">
        <f t="shared" si="88"/>
        <v>-17:30</v>
      </c>
      <c r="P283" t="str">
        <f t="shared" si="82"/>
        <v/>
      </c>
    </row>
    <row r="284" spans="1:16" x14ac:dyDescent="0.25">
      <c r="A284" t="str">
        <f>'Raw Data'!A243</f>
        <v>k</v>
      </c>
      <c r="B284" t="str">
        <f>'Raw Data'!B243</f>
        <v>l</v>
      </c>
      <c r="C284">
        <f>'Raw Data'!J243</f>
        <v>22.3</v>
      </c>
      <c r="D284" t="str">
        <f>'Interpreted Data'!G243</f>
        <v>-</v>
      </c>
      <c r="E284" t="str">
        <f>'Interpreted Data'!H243</f>
        <v>027:30</v>
      </c>
      <c r="F284" t="str">
        <f>SUBSTITUTE('Raw Data'!K243," ",":",1)</f>
        <v>4:00</v>
      </c>
      <c r="G284">
        <f>'Interpreted Data'!N243</f>
        <v>1.6</v>
      </c>
      <c r="H284" t="str">
        <f>'Interpreted Data'!P243</f>
        <v/>
      </c>
      <c r="I284" t="str">
        <f t="shared" si="89"/>
        <v xml:space="preserve"> </v>
      </c>
      <c r="J284" t="str">
        <f t="shared" si="85"/>
        <v>k</v>
      </c>
      <c r="K284" t="str">
        <f t="shared" si="83"/>
        <v>l</v>
      </c>
      <c r="L284">
        <f t="shared" si="84"/>
        <v>22.3</v>
      </c>
      <c r="M284" t="str">
        <f t="shared" si="86"/>
        <v>-</v>
      </c>
      <c r="N284" t="str">
        <f t="shared" si="87"/>
        <v>027:30</v>
      </c>
      <c r="O284" t="str">
        <f t="shared" si="88"/>
        <v>4:00</v>
      </c>
      <c r="P284" t="str">
        <f t="shared" si="82"/>
        <v/>
      </c>
    </row>
    <row r="285" spans="1:16" x14ac:dyDescent="0.25">
      <c r="A285" t="str">
        <f>'Raw Data'!A244</f>
        <v>l</v>
      </c>
      <c r="B285" t="str">
        <f>'Raw Data'!B244</f>
        <v>m</v>
      </c>
      <c r="C285">
        <f>'Raw Data'!J244</f>
        <v>22.9</v>
      </c>
      <c r="D285" t="str">
        <f>'Interpreted Data'!G244</f>
        <v>187:00</v>
      </c>
      <c r="E285" t="str">
        <f>'Interpreted Data'!H244</f>
        <v>-</v>
      </c>
      <c r="F285" t="str">
        <f>SUBSTITUTE('Raw Data'!K244," ",":",1)</f>
        <v>0:40</v>
      </c>
      <c r="G285">
        <f>'Interpreted Data'!N244</f>
        <v>0.3</v>
      </c>
      <c r="H285" t="str">
        <f>'Interpreted Data'!P244</f>
        <v/>
      </c>
      <c r="I285" t="str">
        <f t="shared" si="89"/>
        <v xml:space="preserve"> </v>
      </c>
      <c r="J285" t="str">
        <f t="shared" si="85"/>
        <v>l</v>
      </c>
      <c r="K285" t="str">
        <f t="shared" si="83"/>
        <v>m</v>
      </c>
      <c r="L285">
        <f t="shared" si="84"/>
        <v>22.9</v>
      </c>
      <c r="M285" t="str">
        <f t="shared" si="86"/>
        <v>187:00</v>
      </c>
      <c r="N285" t="str">
        <f t="shared" si="87"/>
        <v>-</v>
      </c>
      <c r="O285" t="str">
        <f t="shared" si="88"/>
        <v>0:40</v>
      </c>
      <c r="P285" t="str">
        <f t="shared" si="82"/>
        <v/>
      </c>
    </row>
    <row r="286" spans="1:16" x14ac:dyDescent="0.25">
      <c r="A286" t="str">
        <f>'Raw Data'!A245</f>
        <v>m</v>
      </c>
      <c r="B286" t="str">
        <f>'Raw Data'!B245</f>
        <v>n</v>
      </c>
      <c r="C286">
        <f>'Raw Data'!J245</f>
        <v>18.8</v>
      </c>
      <c r="D286" t="str">
        <f>'Interpreted Data'!G245</f>
        <v>-</v>
      </c>
      <c r="E286" t="str">
        <f>'Interpreted Data'!H245</f>
        <v>044:00</v>
      </c>
      <c r="F286" t="str">
        <f>SUBSTITUTE('Raw Data'!K245," ",":",1)</f>
        <v>-5:30</v>
      </c>
      <c r="G286">
        <f>'Interpreted Data'!N245</f>
        <v>-1.8</v>
      </c>
      <c r="H286" t="str">
        <f>'Interpreted Data'!P245</f>
        <v/>
      </c>
      <c r="I286" t="str">
        <f t="shared" si="89"/>
        <v xml:space="preserve"> </v>
      </c>
      <c r="J286" t="str">
        <f t="shared" si="85"/>
        <v>m</v>
      </c>
      <c r="K286" t="str">
        <f t="shared" si="83"/>
        <v>n</v>
      </c>
      <c r="L286">
        <f t="shared" si="84"/>
        <v>18.8</v>
      </c>
      <c r="M286" t="str">
        <f t="shared" si="86"/>
        <v>-</v>
      </c>
      <c r="N286" t="str">
        <f t="shared" si="87"/>
        <v>044:00</v>
      </c>
      <c r="O286" t="str">
        <f t="shared" si="88"/>
        <v>-5:30</v>
      </c>
      <c r="P286" t="str">
        <f t="shared" si="82"/>
        <v/>
      </c>
    </row>
    <row r="287" spans="1:16" x14ac:dyDescent="0.25">
      <c r="A287" t="str">
        <f>'Raw Data'!A246</f>
        <v>n</v>
      </c>
      <c r="B287" t="str">
        <f>'Raw Data'!B246</f>
        <v>o</v>
      </c>
      <c r="C287">
        <f>'Raw Data'!J246</f>
        <v>47.1</v>
      </c>
      <c r="D287" t="str">
        <f>'Interpreted Data'!G246</f>
        <v>251:00</v>
      </c>
      <c r="E287" t="str">
        <f>'Interpreted Data'!H246</f>
        <v>-</v>
      </c>
      <c r="F287" t="str">
        <f>SUBSTITUTE('Raw Data'!K246," ",":",1)</f>
        <v>-11:30</v>
      </c>
      <c r="G287">
        <f>'Interpreted Data'!N246</f>
        <v>-9.4</v>
      </c>
      <c r="H287" t="str">
        <f>'Interpreted Data'!P246</f>
        <v>On Olivers boulder</v>
      </c>
      <c r="I287" t="str">
        <f t="shared" si="89"/>
        <v xml:space="preserve"> </v>
      </c>
      <c r="J287" t="str">
        <f t="shared" si="85"/>
        <v>n</v>
      </c>
      <c r="K287" t="str">
        <f t="shared" si="83"/>
        <v>o</v>
      </c>
      <c r="L287">
        <f t="shared" si="84"/>
        <v>47.1</v>
      </c>
      <c r="M287" t="str">
        <f t="shared" si="86"/>
        <v>251:00</v>
      </c>
      <c r="N287" t="str">
        <f t="shared" si="87"/>
        <v>-</v>
      </c>
      <c r="O287" t="str">
        <f t="shared" si="88"/>
        <v>-11:30</v>
      </c>
      <c r="P287" t="str">
        <f t="shared" si="82"/>
        <v>On Olivers boulder</v>
      </c>
    </row>
    <row r="288" spans="1:16" x14ac:dyDescent="0.25">
      <c r="A288" t="str">
        <f>'Raw Data'!A247</f>
        <v>o</v>
      </c>
      <c r="B288">
        <f>'Raw Data'!B247</f>
        <v>0</v>
      </c>
      <c r="C288">
        <f>'Raw Data'!J247</f>
        <v>0</v>
      </c>
      <c r="D288" t="str">
        <f>'Interpreted Data'!G247</f>
        <v>-</v>
      </c>
      <c r="E288" t="str">
        <f>'Interpreted Data'!H247</f>
        <v>-</v>
      </c>
      <c r="F288" t="str">
        <f>SUBSTITUTE('Raw Data'!K247," ",":",1)</f>
        <v/>
      </c>
      <c r="G288" t="str">
        <f>'Interpreted Data'!N247</f>
        <v/>
      </c>
      <c r="H288" t="str">
        <f>'Interpreted Data'!P247</f>
        <v/>
      </c>
      <c r="I288" t="str">
        <f t="shared" si="89"/>
        <v xml:space="preserve"> </v>
      </c>
      <c r="J288" t="s">
        <v>76</v>
      </c>
      <c r="K288" t="str">
        <f>A288</f>
        <v>o</v>
      </c>
      <c r="P288" t="str">
        <f t="shared" si="82"/>
        <v/>
      </c>
    </row>
    <row r="290" spans="1:16" x14ac:dyDescent="0.25">
      <c r="A290" t="str">
        <f>'Raw Data'!A248</f>
        <v>14th March 1953</v>
      </c>
      <c r="B290" t="str">
        <f>'Raw Data'!B248</f>
        <v>Howard</v>
      </c>
      <c r="C290" t="str">
        <f>'Raw Data'!C248</f>
        <v>Damascus</v>
      </c>
      <c r="D290" t="str">
        <f>'Interpreted Data'!G248</f>
        <v>-</v>
      </c>
      <c r="E290" t="str">
        <f>'Interpreted Data'!H248</f>
        <v>-</v>
      </c>
      <c r="F290" t="str">
        <f>SUBSTITUTE('Raw Data'!K248," ",":",1)</f>
        <v/>
      </c>
      <c r="G290" t="str">
        <f>'Interpreted Data'!N248</f>
        <v/>
      </c>
      <c r="H290" t="str">
        <f>'Interpreted Data'!P248</f>
        <v/>
      </c>
      <c r="I290" t="str">
        <f t="shared" si="89"/>
        <v xml:space="preserve"> </v>
      </c>
      <c r="J290" t="str">
        <f>CONCATENATE("# ",A290)</f>
        <v># 14th March 1953</v>
      </c>
      <c r="K290" t="str">
        <f t="shared" si="83"/>
        <v>Howard</v>
      </c>
      <c r="L290" t="str">
        <f t="shared" si="84"/>
        <v>Damascus</v>
      </c>
      <c r="P290" t="str">
        <f t="shared" si="82"/>
        <v/>
      </c>
    </row>
    <row r="291" spans="1:16" x14ac:dyDescent="0.25">
      <c r="J291" t="str">
        <f>$J$1</f>
        <v>data normal from to tape compass backcompass clino ignoreall</v>
      </c>
    </row>
    <row r="292" spans="1:16" x14ac:dyDescent="0.25">
      <c r="A292" t="str">
        <f>'Raw Data'!A249</f>
        <v>o</v>
      </c>
      <c r="B292" t="str">
        <f>'Raw Data'!B249</f>
        <v>p</v>
      </c>
      <c r="C292">
        <f>'Raw Data'!J249</f>
        <v>24</v>
      </c>
      <c r="D292" t="str">
        <f>'Interpreted Data'!G249</f>
        <v>-</v>
      </c>
      <c r="E292" t="str">
        <f>'Interpreted Data'!H249</f>
        <v>102:00</v>
      </c>
      <c r="F292" t="str">
        <f>SUBSTITUTE('Raw Data'!K249," ",":",1)</f>
        <v>-9:15</v>
      </c>
      <c r="G292">
        <f>'Interpreted Data'!N249</f>
        <v>-3.9</v>
      </c>
      <c r="H292" t="str">
        <f>'Interpreted Data'!P249</f>
        <v>(sketch o-t)</v>
      </c>
      <c r="I292" t="str">
        <f t="shared" si="89"/>
        <v xml:space="preserve"> </v>
      </c>
      <c r="J292" t="str">
        <f t="shared" si="85"/>
        <v>o</v>
      </c>
      <c r="K292" t="str">
        <f t="shared" si="83"/>
        <v>p</v>
      </c>
      <c r="L292">
        <f t="shared" si="84"/>
        <v>24</v>
      </c>
      <c r="M292" t="str">
        <f t="shared" si="86"/>
        <v>-</v>
      </c>
      <c r="N292" t="str">
        <f t="shared" si="87"/>
        <v>102:00</v>
      </c>
      <c r="O292" t="str">
        <f t="shared" si="88"/>
        <v>-9:15</v>
      </c>
      <c r="P292" t="str">
        <f t="shared" si="82"/>
        <v>(sketch o-t)</v>
      </c>
    </row>
    <row r="293" spans="1:16" x14ac:dyDescent="0.25">
      <c r="A293" t="str">
        <f>'Raw Data'!A250</f>
        <v>p</v>
      </c>
      <c r="B293" t="str">
        <f>'Raw Data'!B250</f>
        <v>q</v>
      </c>
      <c r="C293">
        <f>'Raw Data'!J250</f>
        <v>34.4</v>
      </c>
      <c r="D293" t="str">
        <f>'Interpreted Data'!G250</f>
        <v>250:00</v>
      </c>
      <c r="E293" t="str">
        <f>'Interpreted Data'!H250</f>
        <v>-</v>
      </c>
      <c r="F293" t="str">
        <f>SUBSTITUTE('Raw Data'!K250," ",":",1)</f>
        <v>-14:30</v>
      </c>
      <c r="G293">
        <f>'Interpreted Data'!N250</f>
        <v>-8.6</v>
      </c>
      <c r="H293" t="str">
        <f>'Interpreted Data'!P250</f>
        <v/>
      </c>
      <c r="I293" t="str">
        <f t="shared" si="89"/>
        <v xml:space="preserve"> </v>
      </c>
      <c r="J293" t="str">
        <f t="shared" ref="J293:J330" si="90">A293</f>
        <v>p</v>
      </c>
      <c r="K293" t="str">
        <f t="shared" ref="K293:K332" si="91">B293</f>
        <v>q</v>
      </c>
      <c r="L293">
        <f t="shared" ref="L293:L330" si="92">C293</f>
        <v>34.4</v>
      </c>
      <c r="M293" t="str">
        <f t="shared" ref="M293:M330" si="93">D293</f>
        <v>250:00</v>
      </c>
      <c r="N293" t="str">
        <f t="shared" ref="N293:N330" si="94">E293</f>
        <v>-</v>
      </c>
      <c r="O293" t="str">
        <f t="shared" ref="O293:O325" si="95">IF(AND(D293="-",E293="-"),IF(1*SUBSTITUTE(F293,":",".")=-90,"DOWN",IF(1*SUBSTITUTE(F293,":",".")=90,"UP","no compass")),F293)</f>
        <v>-14:30</v>
      </c>
      <c r="P293" t="str">
        <f t="shared" ref="P293:P332" si="96">H293</f>
        <v/>
      </c>
    </row>
    <row r="294" spans="1:16" x14ac:dyDescent="0.25">
      <c r="J294" t="str">
        <f>$J$2</f>
        <v>data diving from to tape compass backcompass depthchange ignoreall</v>
      </c>
    </row>
    <row r="295" spans="1:16" x14ac:dyDescent="0.25">
      <c r="A295" t="str">
        <f>'Raw Data'!A251</f>
        <v>q</v>
      </c>
      <c r="B295" t="str">
        <f>'Raw Data'!B251</f>
        <v>r</v>
      </c>
      <c r="C295">
        <f>'Raw Data'!J251</f>
        <v>23.1</v>
      </c>
      <c r="D295" t="str">
        <f>'Interpreted Data'!G251</f>
        <v>320:00</v>
      </c>
      <c r="E295" t="str">
        <f>'Interpreted Data'!H251</f>
        <v>-</v>
      </c>
      <c r="F295" t="str">
        <f>SUBSTITUTE('Raw Data'!K251," ",":",1)</f>
        <v>-3.5:feet</v>
      </c>
      <c r="G295">
        <f>'Interpreted Data'!N251</f>
        <v>-3.5</v>
      </c>
      <c r="H295" t="str">
        <f>'Interpreted Data'!P251</f>
        <v>Sump 15' on at 280deg true WL 5 WR 4</v>
      </c>
      <c r="I295" t="str">
        <f t="shared" si="89"/>
        <v xml:space="preserve"> </v>
      </c>
      <c r="J295" t="str">
        <f t="shared" si="90"/>
        <v>q</v>
      </c>
      <c r="K295" t="str">
        <f t="shared" si="91"/>
        <v>r</v>
      </c>
      <c r="L295">
        <f t="shared" si="92"/>
        <v>23.1</v>
      </c>
      <c r="M295" t="str">
        <f t="shared" si="93"/>
        <v>320:00</v>
      </c>
      <c r="N295" t="str">
        <f t="shared" si="94"/>
        <v>-</v>
      </c>
      <c r="O295">
        <f>G295</f>
        <v>-3.5</v>
      </c>
      <c r="P295" t="str">
        <f t="shared" si="96"/>
        <v>Sump 15' on at 280deg true WL 5 WR 4</v>
      </c>
    </row>
    <row r="296" spans="1:16" x14ac:dyDescent="0.25">
      <c r="J296" t="str">
        <f>$J$1</f>
        <v>data normal from to tape compass backcompass clino ignoreall</v>
      </c>
    </row>
    <row r="297" spans="1:16" x14ac:dyDescent="0.25">
      <c r="A297" t="str">
        <f>'Raw Data'!A252</f>
        <v>q</v>
      </c>
      <c r="B297" t="str">
        <f>'Raw Data'!B252</f>
        <v>s</v>
      </c>
      <c r="C297">
        <f>'Raw Data'!J252</f>
        <v>21.6</v>
      </c>
      <c r="D297" t="str">
        <f>'Interpreted Data'!G252</f>
        <v>-</v>
      </c>
      <c r="E297" t="str">
        <f>'Interpreted Data'!H252</f>
        <v>330:00</v>
      </c>
      <c r="F297" t="str">
        <f>SUBSTITUTE('Raw Data'!K252," ",":",1)</f>
        <v>20:30</v>
      </c>
      <c r="G297">
        <f>'Interpreted Data'!N252</f>
        <v>7.6</v>
      </c>
      <c r="H297" t="str">
        <f>'Interpreted Data'!P252</f>
        <v/>
      </c>
      <c r="I297" t="str">
        <f t="shared" si="89"/>
        <v xml:space="preserve"> </v>
      </c>
      <c r="J297" t="str">
        <f t="shared" si="90"/>
        <v>q</v>
      </c>
      <c r="K297" t="str">
        <f t="shared" si="91"/>
        <v>s</v>
      </c>
      <c r="L297">
        <f t="shared" si="92"/>
        <v>21.6</v>
      </c>
      <c r="M297" t="str">
        <f t="shared" si="93"/>
        <v>-</v>
      </c>
      <c r="N297" t="str">
        <f t="shared" si="94"/>
        <v>330:00</v>
      </c>
      <c r="O297" t="str">
        <f t="shared" si="95"/>
        <v>20:30</v>
      </c>
      <c r="P297" t="str">
        <f t="shared" si="96"/>
        <v/>
      </c>
    </row>
    <row r="298" spans="1:16" x14ac:dyDescent="0.25">
      <c r="A298" t="str">
        <f>'Raw Data'!A253</f>
        <v>s</v>
      </c>
      <c r="B298" t="str">
        <f>'Raw Data'!B253</f>
        <v>t</v>
      </c>
      <c r="C298">
        <f>'Raw Data'!J253</f>
        <v>17.399999999999999</v>
      </c>
      <c r="D298" t="str">
        <f>'Interpreted Data'!G253</f>
        <v>246:00</v>
      </c>
      <c r="E298" t="str">
        <f>'Interpreted Data'!H253</f>
        <v>-</v>
      </c>
      <c r="F298" t="str">
        <f>SUBSTITUTE('Raw Data'!K253," ",":",1)</f>
        <v>-7:30</v>
      </c>
      <c r="G298">
        <f>'Interpreted Data'!N253</f>
        <v>-2.2999999999999998</v>
      </c>
      <c r="H298" t="str">
        <f>'Interpreted Data'!P253</f>
        <v/>
      </c>
      <c r="I298" t="str">
        <f t="shared" si="89"/>
        <v xml:space="preserve"> </v>
      </c>
      <c r="J298" t="str">
        <f t="shared" si="90"/>
        <v>s</v>
      </c>
      <c r="K298" t="str">
        <f t="shared" si="91"/>
        <v>t</v>
      </c>
      <c r="L298">
        <f t="shared" si="92"/>
        <v>17.399999999999999</v>
      </c>
      <c r="M298" t="str">
        <f t="shared" si="93"/>
        <v>246:00</v>
      </c>
      <c r="N298" t="str">
        <f t="shared" si="94"/>
        <v>-</v>
      </c>
      <c r="O298" t="str">
        <f t="shared" si="95"/>
        <v>-7:30</v>
      </c>
      <c r="P298" t="str">
        <f t="shared" si="96"/>
        <v/>
      </c>
    </row>
    <row r="299" spans="1:16" x14ac:dyDescent="0.25">
      <c r="J299" t="str">
        <f>$J$2</f>
        <v>data diving from to tape compass backcompass depthchange ignoreall</v>
      </c>
    </row>
    <row r="300" spans="1:16" x14ac:dyDescent="0.25">
      <c r="A300" t="str">
        <f>'Raw Data'!A254</f>
        <v>t</v>
      </c>
      <c r="B300" t="str">
        <f>'Raw Data'!B254</f>
        <v>u</v>
      </c>
      <c r="C300">
        <f>'Raw Data'!J254</f>
        <v>18.2</v>
      </c>
      <c r="D300" t="str">
        <f>'Interpreted Data'!G254</f>
        <v>255:00</v>
      </c>
      <c r="E300" t="str">
        <f>'Interpreted Data'!H254</f>
        <v>-</v>
      </c>
      <c r="F300" t="str">
        <f>SUBSTITUTE('Raw Data'!K254," ",":",1)</f>
        <v>-4:feet</v>
      </c>
      <c r="G300">
        <f>'Interpreted Data'!N254</f>
        <v>-4</v>
      </c>
      <c r="H300" t="str">
        <f>'Interpreted Data'!P254</f>
        <v>(sketch t-u) u-&gt; Howards Loop</v>
      </c>
      <c r="I300" t="str">
        <f t="shared" si="89"/>
        <v xml:space="preserve"> </v>
      </c>
      <c r="J300" t="str">
        <f t="shared" si="90"/>
        <v>t</v>
      </c>
      <c r="K300" t="str">
        <f t="shared" si="91"/>
        <v>u</v>
      </c>
      <c r="L300">
        <f t="shared" si="92"/>
        <v>18.2</v>
      </c>
      <c r="M300" t="str">
        <f t="shared" si="93"/>
        <v>255:00</v>
      </c>
      <c r="N300" t="str">
        <f t="shared" si="94"/>
        <v>-</v>
      </c>
      <c r="O300">
        <f>G300</f>
        <v>-4</v>
      </c>
      <c r="P300" t="str">
        <f t="shared" si="96"/>
        <v>(sketch t-u) u-&gt; Howards Loop</v>
      </c>
    </row>
    <row r="301" spans="1:16" x14ac:dyDescent="0.25">
      <c r="J301" t="str">
        <f>$J$1</f>
        <v>data normal from to tape compass backcompass clino ignoreall</v>
      </c>
    </row>
    <row r="302" spans="1:16" x14ac:dyDescent="0.25">
      <c r="A302" t="str">
        <f>'Raw Data'!A255</f>
        <v>t</v>
      </c>
      <c r="B302" t="str">
        <f>'Raw Data'!B255</f>
        <v>v</v>
      </c>
      <c r="C302">
        <f>'Raw Data'!J255</f>
        <v>17.3</v>
      </c>
      <c r="D302" t="str">
        <f>'Interpreted Data'!G255</f>
        <v>-</v>
      </c>
      <c r="E302" t="str">
        <f>'Interpreted Data'!H255</f>
        <v>346:00</v>
      </c>
      <c r="F302" t="str">
        <f>SUBSTITUTE('Raw Data'!K255," ",":",1)</f>
        <v>20:30</v>
      </c>
      <c r="G302">
        <f>'Interpreted Data'!N255</f>
        <v>6</v>
      </c>
      <c r="H302" t="str">
        <f>'Interpreted Data'!P255</f>
        <v>v in a cross rift 4' from Pearly Gate</v>
      </c>
      <c r="I302" t="str">
        <f t="shared" si="89"/>
        <v xml:space="preserve"> </v>
      </c>
      <c r="J302" t="str">
        <f t="shared" si="90"/>
        <v>t</v>
      </c>
      <c r="K302" t="str">
        <f t="shared" si="91"/>
        <v>v</v>
      </c>
      <c r="L302">
        <f t="shared" si="92"/>
        <v>17.3</v>
      </c>
      <c r="M302" t="str">
        <f t="shared" si="93"/>
        <v>-</v>
      </c>
      <c r="N302" t="str">
        <f t="shared" si="94"/>
        <v>346:00</v>
      </c>
      <c r="O302" t="str">
        <f t="shared" si="95"/>
        <v>20:30</v>
      </c>
      <c r="P302" t="str">
        <f t="shared" si="96"/>
        <v>v in a cross rift 4' from Pearly Gate</v>
      </c>
    </row>
    <row r="303" spans="1:16" x14ac:dyDescent="0.25">
      <c r="A303" t="str">
        <f>'Raw Data'!A256</f>
        <v>v</v>
      </c>
      <c r="B303" t="str">
        <f>'Raw Data'!B256</f>
        <v>w</v>
      </c>
      <c r="C303">
        <f>'Raw Data'!J256</f>
        <v>16.2</v>
      </c>
      <c r="D303" t="str">
        <f>'Interpreted Data'!G256</f>
        <v>165:40</v>
      </c>
      <c r="E303" t="str">
        <f>'Interpreted Data'!H256</f>
        <v>-</v>
      </c>
      <c r="F303" t="str">
        <f>SUBSTITUTE('Raw Data'!K256," ",":",1)</f>
        <v>-2:45</v>
      </c>
      <c r="G303">
        <f>'Interpreted Data'!N256</f>
        <v>-0.8</v>
      </c>
      <c r="H303" t="str">
        <f>'Interpreted Data'!P256</f>
        <v/>
      </c>
      <c r="I303" t="str">
        <f t="shared" si="89"/>
        <v xml:space="preserve"> </v>
      </c>
      <c r="J303" t="str">
        <f t="shared" si="90"/>
        <v>v</v>
      </c>
      <c r="K303" t="str">
        <f t="shared" si="91"/>
        <v>w</v>
      </c>
      <c r="L303">
        <f t="shared" si="92"/>
        <v>16.2</v>
      </c>
      <c r="M303" t="str">
        <f t="shared" si="93"/>
        <v>165:40</v>
      </c>
      <c r="N303" t="str">
        <f t="shared" si="94"/>
        <v>-</v>
      </c>
      <c r="O303" t="str">
        <f t="shared" si="95"/>
        <v>-2:45</v>
      </c>
      <c r="P303" t="str">
        <f t="shared" si="96"/>
        <v/>
      </c>
    </row>
    <row r="304" spans="1:16" x14ac:dyDescent="0.25">
      <c r="A304" t="str">
        <f>'Raw Data'!A257</f>
        <v>w</v>
      </c>
      <c r="B304" t="str">
        <f>'Raw Data'!B257</f>
        <v>x</v>
      </c>
      <c r="C304">
        <f>'Raw Data'!J257</f>
        <v>17.8</v>
      </c>
      <c r="D304" t="str">
        <f>'Interpreted Data'!G257</f>
        <v>-</v>
      </c>
      <c r="E304" t="str">
        <f>'Interpreted Data'!H257</f>
        <v>272:30</v>
      </c>
      <c r="F304" t="str">
        <f>SUBSTITUTE('Raw Data'!K257," ",":",1)</f>
        <v>19:40</v>
      </c>
      <c r="G304">
        <f>'Interpreted Data'!N257</f>
        <v>6</v>
      </c>
      <c r="H304" t="str">
        <f>'Interpreted Data'!P257</f>
        <v>(sketch w-x)</v>
      </c>
      <c r="I304" t="str">
        <f t="shared" si="89"/>
        <v xml:space="preserve"> </v>
      </c>
      <c r="J304" t="str">
        <f t="shared" si="90"/>
        <v>w</v>
      </c>
      <c r="K304" t="str">
        <f t="shared" si="91"/>
        <v>x</v>
      </c>
      <c r="L304">
        <f t="shared" si="92"/>
        <v>17.8</v>
      </c>
      <c r="M304" t="str">
        <f t="shared" si="93"/>
        <v>-</v>
      </c>
      <c r="N304" t="str">
        <f t="shared" si="94"/>
        <v>272:30</v>
      </c>
      <c r="O304" t="str">
        <f t="shared" si="95"/>
        <v>19:40</v>
      </c>
      <c r="P304" t="str">
        <f t="shared" si="96"/>
        <v>(sketch w-x)</v>
      </c>
    </row>
    <row r="305" spans="1:16" x14ac:dyDescent="0.25">
      <c r="A305" t="str">
        <f>'Raw Data'!A258</f>
        <v>x</v>
      </c>
      <c r="B305" t="str">
        <f>'Raw Data'!B258</f>
        <v>y</v>
      </c>
      <c r="C305">
        <f>'Raw Data'!J258</f>
        <v>24.3</v>
      </c>
      <c r="D305" t="str">
        <f>'Interpreted Data'!G258</f>
        <v>147:00</v>
      </c>
      <c r="E305" t="str">
        <f>'Interpreted Data'!H258</f>
        <v>-</v>
      </c>
      <c r="F305" t="str">
        <f>SUBSTITUTE('Raw Data'!K258," ",":",1)</f>
        <v>10:00</v>
      </c>
      <c r="G305">
        <f>'Interpreted Data'!N258</f>
        <v>4.2</v>
      </c>
      <c r="H305" t="str">
        <f>'Interpreted Data'!P258</f>
        <v/>
      </c>
      <c r="I305" t="str">
        <f t="shared" si="89"/>
        <v xml:space="preserve"> </v>
      </c>
      <c r="J305" t="str">
        <f t="shared" si="90"/>
        <v>x</v>
      </c>
      <c r="K305" t="str">
        <f t="shared" si="91"/>
        <v>y</v>
      </c>
      <c r="L305">
        <f t="shared" si="92"/>
        <v>24.3</v>
      </c>
      <c r="M305" t="str">
        <f t="shared" si="93"/>
        <v>147:00</v>
      </c>
      <c r="N305" t="str">
        <f t="shared" si="94"/>
        <v>-</v>
      </c>
      <c r="O305" t="str">
        <f t="shared" si="95"/>
        <v>10:00</v>
      </c>
      <c r="P305" t="str">
        <f t="shared" si="96"/>
        <v/>
      </c>
    </row>
    <row r="306" spans="1:16" x14ac:dyDescent="0.25">
      <c r="A306" t="str">
        <f>'Raw Data'!A259</f>
        <v>y</v>
      </c>
      <c r="B306" t="str">
        <f>'Raw Data'!B259</f>
        <v>z</v>
      </c>
      <c r="C306">
        <f>'Raw Data'!J259</f>
        <v>6</v>
      </c>
      <c r="D306" t="str">
        <f>'Interpreted Data'!G259</f>
        <v>-</v>
      </c>
      <c r="E306" t="str">
        <f>'Interpreted Data'!H259</f>
        <v>-</v>
      </c>
      <c r="F306" t="str">
        <f>SUBSTITUTE('Raw Data'!K259," ",":",1)</f>
        <v>-90:00</v>
      </c>
      <c r="G306">
        <f>'Interpreted Data'!N259</f>
        <v>-6</v>
      </c>
      <c r="H306" t="str">
        <f>'Interpreted Data'!P259</f>
        <v/>
      </c>
      <c r="I306" t="str">
        <f t="shared" si="89"/>
        <v xml:space="preserve"> </v>
      </c>
      <c r="J306" t="str">
        <f t="shared" si="90"/>
        <v>y</v>
      </c>
      <c r="K306" t="str">
        <f t="shared" si="91"/>
        <v>z</v>
      </c>
      <c r="L306">
        <f t="shared" si="92"/>
        <v>6</v>
      </c>
      <c r="M306" t="str">
        <f t="shared" si="93"/>
        <v>-</v>
      </c>
      <c r="N306" t="str">
        <f t="shared" si="94"/>
        <v>-</v>
      </c>
      <c r="O306" t="str">
        <f t="shared" si="95"/>
        <v>DOWN</v>
      </c>
      <c r="P306" t="str">
        <f t="shared" si="96"/>
        <v/>
      </c>
    </row>
    <row r="307" spans="1:16" x14ac:dyDescent="0.25">
      <c r="A307" t="str">
        <f>'Raw Data'!A260</f>
        <v>z</v>
      </c>
      <c r="B307" t="str">
        <f>'Raw Data'!B260</f>
        <v>aa</v>
      </c>
      <c r="C307">
        <f>'Raw Data'!J260</f>
        <v>12.5</v>
      </c>
      <c r="D307" t="str">
        <f>'Interpreted Data'!G260</f>
        <v>-</v>
      </c>
      <c r="E307" t="str">
        <f>'Interpreted Data'!H260</f>
        <v>327:00</v>
      </c>
      <c r="F307" t="str">
        <f>SUBSTITUTE('Raw Data'!K260," ",":",1)</f>
        <v>-2:40</v>
      </c>
      <c r="G307">
        <f>'Interpreted Data'!N260</f>
        <v>-0.6</v>
      </c>
      <c r="H307" t="str">
        <f>'Interpreted Data'!P260</f>
        <v>Bottom of drop. View into Damascus</v>
      </c>
      <c r="I307" t="str">
        <f t="shared" si="89"/>
        <v xml:space="preserve"> </v>
      </c>
      <c r="J307" t="str">
        <f t="shared" si="90"/>
        <v>z</v>
      </c>
      <c r="K307" t="str">
        <f t="shared" si="91"/>
        <v>aa</v>
      </c>
      <c r="L307">
        <f t="shared" si="92"/>
        <v>12.5</v>
      </c>
      <c r="M307" t="str">
        <f t="shared" si="93"/>
        <v>-</v>
      </c>
      <c r="N307" t="str">
        <f t="shared" si="94"/>
        <v>327:00</v>
      </c>
      <c r="O307" t="str">
        <f t="shared" si="95"/>
        <v>-2:40</v>
      </c>
      <c r="P307" t="str">
        <f t="shared" si="96"/>
        <v>Bottom of drop. View into Damascus</v>
      </c>
    </row>
    <row r="308" spans="1:16" x14ac:dyDescent="0.25">
      <c r="A308" t="str">
        <f>'Raw Data'!A261</f>
        <v>aa</v>
      </c>
      <c r="B308" t="str">
        <f>'Raw Data'!B261</f>
        <v>ab</v>
      </c>
      <c r="C308">
        <f>'Raw Data'!J261</f>
        <v>11.2</v>
      </c>
      <c r="D308" t="str">
        <f>'Interpreted Data'!G261</f>
        <v>212:30</v>
      </c>
      <c r="E308" t="str">
        <f>'Interpreted Data'!H261</f>
        <v>-</v>
      </c>
      <c r="F308" t="str">
        <f>SUBSTITUTE('Raw Data'!K261," ",":",1)</f>
        <v>-22:30</v>
      </c>
      <c r="G308">
        <f>'Interpreted Data'!N261</f>
        <v>-4.3</v>
      </c>
      <c r="H308" t="str">
        <f>'Interpreted Data'!P261</f>
        <v>Above pool</v>
      </c>
      <c r="I308" t="str">
        <f t="shared" si="89"/>
        <v xml:space="preserve"> </v>
      </c>
      <c r="J308" t="str">
        <f t="shared" si="90"/>
        <v>aa</v>
      </c>
      <c r="K308" t="str">
        <f t="shared" si="91"/>
        <v>ab</v>
      </c>
      <c r="L308">
        <f t="shared" si="92"/>
        <v>11.2</v>
      </c>
      <c r="M308" t="str">
        <f t="shared" si="93"/>
        <v>212:30</v>
      </c>
      <c r="N308" t="str">
        <f t="shared" si="94"/>
        <v>-</v>
      </c>
      <c r="O308" t="str">
        <f t="shared" si="95"/>
        <v>-22:30</v>
      </c>
      <c r="P308" t="str">
        <f t="shared" si="96"/>
        <v>Above pool</v>
      </c>
    </row>
    <row r="309" spans="1:16" x14ac:dyDescent="0.25">
      <c r="A309" t="str">
        <f>'Raw Data'!A262</f>
        <v>ab</v>
      </c>
      <c r="B309" t="str">
        <f>'Raw Data'!B262</f>
        <v>ac</v>
      </c>
      <c r="C309">
        <f>'Raw Data'!J262</f>
        <v>8</v>
      </c>
      <c r="D309" t="str">
        <f>'Interpreted Data'!G262</f>
        <v>-</v>
      </c>
      <c r="E309" t="str">
        <f>'Interpreted Data'!H262</f>
        <v>353:00</v>
      </c>
      <c r="F309" t="str">
        <f>SUBSTITUTE('Raw Data'!K262," ",":",1)</f>
        <v>11:30</v>
      </c>
      <c r="G309">
        <f>'Interpreted Data'!N262</f>
        <v>1.6</v>
      </c>
      <c r="H309" t="str">
        <f>'Interpreted Data'!P262</f>
        <v>Bearing 238 true into Howards Loop</v>
      </c>
      <c r="I309" t="str">
        <f t="shared" si="89"/>
        <v xml:space="preserve"> </v>
      </c>
      <c r="J309" t="str">
        <f t="shared" si="90"/>
        <v>ab</v>
      </c>
      <c r="K309" t="str">
        <f t="shared" si="91"/>
        <v>ac</v>
      </c>
      <c r="L309">
        <f t="shared" si="92"/>
        <v>8</v>
      </c>
      <c r="M309" t="str">
        <f t="shared" si="93"/>
        <v>-</v>
      </c>
      <c r="N309" t="str">
        <f t="shared" si="94"/>
        <v>353:00</v>
      </c>
      <c r="O309" t="str">
        <f t="shared" si="95"/>
        <v>11:30</v>
      </c>
      <c r="P309" t="str">
        <f t="shared" si="96"/>
        <v>Bearing 238 true into Howards Loop</v>
      </c>
    </row>
    <row r="310" spans="1:16" x14ac:dyDescent="0.25">
      <c r="A310" t="str">
        <f>'Raw Data'!A263</f>
        <v>ac</v>
      </c>
      <c r="B310" t="str">
        <f>'Raw Data'!B263</f>
        <v>ad</v>
      </c>
      <c r="C310">
        <f>'Raw Data'!J263</f>
        <v>14.3</v>
      </c>
      <c r="D310" t="str">
        <f>'Interpreted Data'!G263</f>
        <v>202:00</v>
      </c>
      <c r="E310" t="str">
        <f>'Interpreted Data'!H263</f>
        <v>-</v>
      </c>
      <c r="F310" t="str">
        <f>SUBSTITUTE('Raw Data'!K263," ",":",1)</f>
        <v>-12:00</v>
      </c>
      <c r="G310">
        <f>'Interpreted Data'!N263</f>
        <v>-3</v>
      </c>
      <c r="H310" t="str">
        <f>'Interpreted Data'!P263</f>
        <v>(sketch ab-ac)</v>
      </c>
      <c r="I310" t="str">
        <f t="shared" si="89"/>
        <v xml:space="preserve"> </v>
      </c>
      <c r="J310" t="str">
        <f t="shared" si="90"/>
        <v>ac</v>
      </c>
      <c r="K310" t="str">
        <f t="shared" si="91"/>
        <v>ad</v>
      </c>
      <c r="L310">
        <f t="shared" si="92"/>
        <v>14.3</v>
      </c>
      <c r="M310" t="str">
        <f t="shared" si="93"/>
        <v>202:00</v>
      </c>
      <c r="N310" t="str">
        <f t="shared" si="94"/>
        <v>-</v>
      </c>
      <c r="O310" t="str">
        <f t="shared" si="95"/>
        <v>-12:00</v>
      </c>
      <c r="P310" t="str">
        <f t="shared" si="96"/>
        <v>(sketch ab-ac)</v>
      </c>
    </row>
    <row r="311" spans="1:16" x14ac:dyDescent="0.25">
      <c r="A311" t="str">
        <f>'Raw Data'!A264</f>
        <v>ad</v>
      </c>
      <c r="B311" t="str">
        <f>'Raw Data'!B264</f>
        <v>ae</v>
      </c>
      <c r="C311">
        <f>'Raw Data'!J264</f>
        <v>12.7</v>
      </c>
      <c r="D311" t="str">
        <f>'Interpreted Data'!G264</f>
        <v>-</v>
      </c>
      <c r="E311" t="str">
        <f>'Interpreted Data'!H264</f>
        <v>026:00</v>
      </c>
      <c r="F311" t="str">
        <f>SUBSTITUTE('Raw Data'!K264," ",":",1)</f>
        <v>6:00</v>
      </c>
      <c r="G311">
        <f>'Interpreted Data'!N264</f>
        <v>1.3</v>
      </c>
      <c r="H311" t="str">
        <f>'Interpreted Data'!P264</f>
        <v/>
      </c>
      <c r="I311" t="str">
        <f t="shared" si="89"/>
        <v xml:space="preserve"> </v>
      </c>
      <c r="J311" t="str">
        <f t="shared" si="90"/>
        <v>ad</v>
      </c>
      <c r="K311" t="str">
        <f t="shared" si="91"/>
        <v>ae</v>
      </c>
      <c r="L311">
        <f t="shared" si="92"/>
        <v>12.7</v>
      </c>
      <c r="M311" t="str">
        <f t="shared" si="93"/>
        <v>-</v>
      </c>
      <c r="N311" t="str">
        <f t="shared" si="94"/>
        <v>026:00</v>
      </c>
      <c r="O311" t="str">
        <f t="shared" si="95"/>
        <v>6:00</v>
      </c>
      <c r="P311" t="str">
        <f t="shared" si="96"/>
        <v/>
      </c>
    </row>
    <row r="312" spans="1:16" x14ac:dyDescent="0.25">
      <c r="A312" t="str">
        <f>'Raw Data'!A265</f>
        <v>ae</v>
      </c>
      <c r="B312" t="str">
        <f>'Raw Data'!B265</f>
        <v>af</v>
      </c>
      <c r="C312">
        <f>'Raw Data'!J265</f>
        <v>30.5</v>
      </c>
      <c r="D312" t="str">
        <f>'Interpreted Data'!G265</f>
        <v>263:00</v>
      </c>
      <c r="E312" t="str">
        <f>'Interpreted Data'!H265</f>
        <v>-</v>
      </c>
      <c r="F312" t="str">
        <f>SUBSTITUTE('Raw Data'!K265," ",":",1)</f>
        <v>-8:40</v>
      </c>
      <c r="G312">
        <f>'Interpreted Data'!N265</f>
        <v>-4.5999999999999996</v>
      </c>
      <c r="H312" t="str">
        <f>'Interpreted Data'!P265</f>
        <v>15' aven explored by Oliver just before station</v>
      </c>
      <c r="I312" t="str">
        <f t="shared" si="89"/>
        <v xml:space="preserve"> </v>
      </c>
      <c r="J312" t="str">
        <f t="shared" si="90"/>
        <v>ae</v>
      </c>
      <c r="K312" t="str">
        <f t="shared" si="91"/>
        <v>af</v>
      </c>
      <c r="L312">
        <f t="shared" si="92"/>
        <v>30.5</v>
      </c>
      <c r="M312" t="str">
        <f t="shared" si="93"/>
        <v>263:00</v>
      </c>
      <c r="N312" t="str">
        <f t="shared" si="94"/>
        <v>-</v>
      </c>
      <c r="O312" t="str">
        <f t="shared" si="95"/>
        <v>-8:40</v>
      </c>
      <c r="P312" t="str">
        <f t="shared" si="96"/>
        <v>15' aven explored by Oliver just before station</v>
      </c>
    </row>
    <row r="313" spans="1:16" x14ac:dyDescent="0.25">
      <c r="A313" t="str">
        <f>'Raw Data'!A266</f>
        <v>af</v>
      </c>
      <c r="B313" t="str">
        <f>'Raw Data'!B266</f>
        <v>ag</v>
      </c>
      <c r="C313">
        <f>'Raw Data'!J266</f>
        <v>27.4</v>
      </c>
      <c r="D313" t="str">
        <f>'Interpreted Data'!G266</f>
        <v>-</v>
      </c>
      <c r="E313" t="str">
        <f>'Interpreted Data'!H266</f>
        <v>112:15</v>
      </c>
      <c r="F313" t="str">
        <f>SUBSTITUTE('Raw Data'!K266," ",":",1)</f>
        <v>0:15</v>
      </c>
      <c r="G313">
        <f>'Interpreted Data'!N266</f>
        <v>0</v>
      </c>
      <c r="H313" t="str">
        <f>'Interpreted Data'!P266</f>
        <v/>
      </c>
      <c r="I313" t="str">
        <f t="shared" si="89"/>
        <v xml:space="preserve"> </v>
      </c>
      <c r="J313" t="str">
        <f t="shared" si="90"/>
        <v>af</v>
      </c>
      <c r="K313" t="str">
        <f t="shared" si="91"/>
        <v>ag</v>
      </c>
      <c r="L313">
        <f t="shared" si="92"/>
        <v>27.4</v>
      </c>
      <c r="M313" t="str">
        <f t="shared" si="93"/>
        <v>-</v>
      </c>
      <c r="N313" t="str">
        <f t="shared" si="94"/>
        <v>112:15</v>
      </c>
      <c r="O313" t="str">
        <f t="shared" si="95"/>
        <v>0:15</v>
      </c>
      <c r="P313" t="str">
        <f t="shared" si="96"/>
        <v/>
      </c>
    </row>
    <row r="314" spans="1:16" x14ac:dyDescent="0.25">
      <c r="A314" t="str">
        <f>'Raw Data'!A267</f>
        <v>ag</v>
      </c>
      <c r="B314" t="str">
        <f>'Raw Data'!B267</f>
        <v>ah</v>
      </c>
      <c r="C314">
        <f>'Raw Data'!J267</f>
        <v>13.7</v>
      </c>
      <c r="D314" t="str">
        <f>'Interpreted Data'!G267</f>
        <v>253:30</v>
      </c>
      <c r="E314" t="str">
        <f>'Interpreted Data'!H267</f>
        <v>-</v>
      </c>
      <c r="F314" t="str">
        <f>SUBSTITUTE('Raw Data'!K267," ",":",1)</f>
        <v>-20:20</v>
      </c>
      <c r="G314">
        <f>'Interpreted Data'!N267</f>
        <v>-4.8</v>
      </c>
      <c r="H314" t="str">
        <f>'Interpreted Data'!P267</f>
        <v>(sketch ag) 6" above water. Sump level 60.1</v>
      </c>
      <c r="I314" t="str">
        <f t="shared" si="89"/>
        <v xml:space="preserve"> </v>
      </c>
      <c r="J314" t="str">
        <f t="shared" si="90"/>
        <v>ag</v>
      </c>
      <c r="K314" t="str">
        <f t="shared" si="91"/>
        <v>ah</v>
      </c>
      <c r="L314">
        <f t="shared" si="92"/>
        <v>13.7</v>
      </c>
      <c r="M314" t="str">
        <f t="shared" si="93"/>
        <v>253:30</v>
      </c>
      <c r="N314" t="str">
        <f t="shared" si="94"/>
        <v>-</v>
      </c>
      <c r="O314" t="str">
        <f t="shared" si="95"/>
        <v>-20:20</v>
      </c>
      <c r="P314" t="str">
        <f t="shared" si="96"/>
        <v>(sketch ag) 6" above water. Sump level 60.1</v>
      </c>
    </row>
    <row r="315" spans="1:16" x14ac:dyDescent="0.25">
      <c r="A315" t="str">
        <f>'Raw Data'!A268</f>
        <v>z</v>
      </c>
      <c r="B315" t="str">
        <f>'Raw Data'!B268</f>
        <v>ai</v>
      </c>
      <c r="C315">
        <f>'Raw Data'!J268</f>
        <v>19.2</v>
      </c>
      <c r="D315" t="str">
        <f>'Interpreted Data'!G268</f>
        <v>-</v>
      </c>
      <c r="E315" t="str">
        <f>'Interpreted Data'!H268</f>
        <v>322:00</v>
      </c>
      <c r="F315" t="str">
        <f>SUBSTITUTE('Raw Data'!K268," ",":",1)</f>
        <v>22:00</v>
      </c>
      <c r="G315">
        <f>'Interpreted Data'!N268</f>
        <v>7.2</v>
      </c>
      <c r="H315" t="str">
        <f>'Interpreted Data'!P268</f>
        <v/>
      </c>
      <c r="I315" t="str">
        <f t="shared" si="89"/>
        <v xml:space="preserve"> </v>
      </c>
      <c r="J315" t="str">
        <f t="shared" si="90"/>
        <v>z</v>
      </c>
      <c r="K315" t="str">
        <f t="shared" si="91"/>
        <v>ai</v>
      </c>
      <c r="L315">
        <f t="shared" si="92"/>
        <v>19.2</v>
      </c>
      <c r="M315" t="str">
        <f t="shared" si="93"/>
        <v>-</v>
      </c>
      <c r="N315" t="str">
        <f t="shared" si="94"/>
        <v>322:00</v>
      </c>
      <c r="O315" t="str">
        <f t="shared" si="95"/>
        <v>22:00</v>
      </c>
      <c r="P315" t="str">
        <f t="shared" si="96"/>
        <v/>
      </c>
    </row>
    <row r="316" spans="1:16" x14ac:dyDescent="0.25">
      <c r="A316" t="str">
        <f>'Raw Data'!A269</f>
        <v>ai</v>
      </c>
      <c r="B316" t="str">
        <f>'Raw Data'!B269</f>
        <v>aj</v>
      </c>
      <c r="C316">
        <f>'Raw Data'!J269</f>
        <v>7.2</v>
      </c>
      <c r="D316" t="str">
        <f>'Interpreted Data'!G269</f>
        <v>097:00</v>
      </c>
      <c r="E316" t="str">
        <f>'Interpreted Data'!H269</f>
        <v>-</v>
      </c>
      <c r="F316" t="str">
        <f>SUBSTITUTE('Raw Data'!K269," ",":",1)</f>
        <v>55:00</v>
      </c>
      <c r="G316">
        <f>'Interpreted Data'!N269</f>
        <v>5.9</v>
      </c>
      <c r="H316" t="str">
        <f>'Interpreted Data'!P269</f>
        <v/>
      </c>
      <c r="I316" t="str">
        <f t="shared" si="89"/>
        <v xml:space="preserve"> </v>
      </c>
      <c r="J316" t="str">
        <f t="shared" si="90"/>
        <v>ai</v>
      </c>
      <c r="K316" t="str">
        <f t="shared" si="91"/>
        <v>aj</v>
      </c>
      <c r="L316">
        <f t="shared" si="92"/>
        <v>7.2</v>
      </c>
      <c r="M316" t="str">
        <f t="shared" si="93"/>
        <v>097:00</v>
      </c>
      <c r="N316" t="str">
        <f t="shared" si="94"/>
        <v>-</v>
      </c>
      <c r="O316" t="str">
        <f t="shared" si="95"/>
        <v>55:00</v>
      </c>
      <c r="P316" t="str">
        <f t="shared" si="96"/>
        <v/>
      </c>
    </row>
    <row r="317" spans="1:16" x14ac:dyDescent="0.25">
      <c r="A317" t="str">
        <f>'Raw Data'!A270</f>
        <v>aj</v>
      </c>
      <c r="B317" t="str">
        <f>'Raw Data'!B270</f>
        <v>ak</v>
      </c>
      <c r="C317">
        <f>'Raw Data'!J270</f>
        <v>19.7</v>
      </c>
      <c r="D317" t="str">
        <f>'Interpreted Data'!G270</f>
        <v>099:00</v>
      </c>
      <c r="E317" t="str">
        <f>'Interpreted Data'!H270</f>
        <v>-</v>
      </c>
      <c r="F317" t="str">
        <f>SUBSTITUTE('Raw Data'!K270," ",":",1)</f>
        <v>18:00</v>
      </c>
      <c r="G317">
        <f>'Interpreted Data'!N270</f>
        <v>6.1</v>
      </c>
      <c r="H317" t="str">
        <f>'Interpreted Data'!P270</f>
        <v/>
      </c>
      <c r="I317" t="str">
        <f t="shared" si="89"/>
        <v xml:space="preserve"> </v>
      </c>
      <c r="J317" t="str">
        <f t="shared" si="90"/>
        <v>aj</v>
      </c>
      <c r="K317" t="str">
        <f t="shared" si="91"/>
        <v>ak</v>
      </c>
      <c r="L317">
        <f t="shared" si="92"/>
        <v>19.7</v>
      </c>
      <c r="M317" t="str">
        <f t="shared" si="93"/>
        <v>099:00</v>
      </c>
      <c r="N317" t="str">
        <f t="shared" si="94"/>
        <v>-</v>
      </c>
      <c r="O317" t="str">
        <f t="shared" si="95"/>
        <v>18:00</v>
      </c>
      <c r="P317" t="str">
        <f t="shared" si="96"/>
        <v/>
      </c>
    </row>
    <row r="318" spans="1:16" x14ac:dyDescent="0.25">
      <c r="A318" t="str">
        <f>'Raw Data'!A271</f>
        <v>ak</v>
      </c>
      <c r="B318" t="str">
        <f>'Raw Data'!B271</f>
        <v>al</v>
      </c>
      <c r="C318">
        <f>'Raw Data'!J271</f>
        <v>9.1999999999999993</v>
      </c>
      <c r="D318" t="str">
        <f>'Interpreted Data'!G271</f>
        <v>106:00</v>
      </c>
      <c r="E318" t="str">
        <f>'Interpreted Data'!H271</f>
        <v>-</v>
      </c>
      <c r="F318" t="str">
        <f>SUBSTITUTE('Raw Data'!K271," ",":",1)</f>
        <v>-22:00</v>
      </c>
      <c r="G318">
        <f>'Interpreted Data'!N271</f>
        <v>-3.4</v>
      </c>
      <c r="H318" t="str">
        <f>'Interpreted Data'!P271</f>
        <v/>
      </c>
      <c r="I318" t="str">
        <f t="shared" si="89"/>
        <v xml:space="preserve"> </v>
      </c>
      <c r="J318" t="str">
        <f t="shared" si="90"/>
        <v>ak</v>
      </c>
      <c r="K318" t="str">
        <f t="shared" si="91"/>
        <v>al</v>
      </c>
      <c r="L318">
        <f t="shared" si="92"/>
        <v>9.1999999999999993</v>
      </c>
      <c r="M318" t="str">
        <f t="shared" si="93"/>
        <v>106:00</v>
      </c>
      <c r="N318" t="str">
        <f t="shared" si="94"/>
        <v>-</v>
      </c>
      <c r="O318" t="str">
        <f t="shared" si="95"/>
        <v>-22:00</v>
      </c>
      <c r="P318" t="str">
        <f t="shared" si="96"/>
        <v/>
      </c>
    </row>
    <row r="319" spans="1:16" x14ac:dyDescent="0.25">
      <c r="J319" t="str">
        <f>$J$2</f>
        <v>data diving from to tape compass backcompass depthchange ignoreall</v>
      </c>
    </row>
    <row r="320" spans="1:16" x14ac:dyDescent="0.25">
      <c r="A320" t="str">
        <f>'Raw Data'!A272</f>
        <v>al</v>
      </c>
      <c r="B320" t="str">
        <f>'Raw Data'!B272</f>
        <v>am</v>
      </c>
      <c r="C320">
        <f>'Raw Data'!J272</f>
        <v>15.8</v>
      </c>
      <c r="D320" t="str">
        <f>'Interpreted Data'!G272</f>
        <v>101:00</v>
      </c>
      <c r="E320" t="str">
        <f>'Interpreted Data'!H272</f>
        <v>-</v>
      </c>
      <c r="F320" t="str">
        <f>SUBSTITUTE('Raw Data'!K272," ",":",1)</f>
        <v>+:2 feet</v>
      </c>
      <c r="G320">
        <f>'Interpreted Data'!N272</f>
        <v>2</v>
      </c>
      <c r="H320" t="str">
        <f>'Interpreted Data'!P272</f>
        <v>Near side of duck (in dry weather)</v>
      </c>
      <c r="I320" t="str">
        <f t="shared" si="89"/>
        <v xml:space="preserve"> </v>
      </c>
      <c r="J320" t="str">
        <f t="shared" si="90"/>
        <v>al</v>
      </c>
      <c r="K320" t="str">
        <f t="shared" si="91"/>
        <v>am</v>
      </c>
      <c r="L320">
        <f t="shared" si="92"/>
        <v>15.8</v>
      </c>
      <c r="M320" t="str">
        <f t="shared" si="93"/>
        <v>101:00</v>
      </c>
      <c r="N320" t="str">
        <f t="shared" si="94"/>
        <v>-</v>
      </c>
      <c r="O320">
        <f>G320</f>
        <v>2</v>
      </c>
      <c r="P320" t="str">
        <f t="shared" si="96"/>
        <v>Near side of duck (in dry weather)</v>
      </c>
    </row>
    <row r="321" spans="1:16" x14ac:dyDescent="0.25">
      <c r="J321" t="str">
        <f>$J$1</f>
        <v>data normal from to tape compass backcompass clino ignoreall</v>
      </c>
    </row>
    <row r="322" spans="1:16" x14ac:dyDescent="0.25">
      <c r="A322" t="str">
        <f>'Raw Data'!A273</f>
        <v>am</v>
      </c>
      <c r="B322" t="str">
        <f>'Raw Data'!B273</f>
        <v>an</v>
      </c>
      <c r="C322">
        <f>'Raw Data'!J273</f>
        <v>12.3</v>
      </c>
      <c r="D322" t="str">
        <f>'Interpreted Data'!G273</f>
        <v>080:00</v>
      </c>
      <c r="E322" t="str">
        <f>'Interpreted Data'!H273</f>
        <v>-</v>
      </c>
      <c r="F322" t="str">
        <f>SUBSTITUTE('Raw Data'!K273," ",":",1)</f>
        <v>22:00</v>
      </c>
      <c r="G322">
        <f>'Interpreted Data'!N273</f>
        <v>4.5999999999999996</v>
      </c>
      <c r="H322" t="str">
        <f>'Interpreted Data'!P273</f>
        <v>Far side of duck (in dry weather)</v>
      </c>
      <c r="I322" t="str">
        <f t="shared" si="89"/>
        <v xml:space="preserve"> </v>
      </c>
      <c r="J322" t="str">
        <f t="shared" si="90"/>
        <v>am</v>
      </c>
      <c r="K322" t="str">
        <f t="shared" si="91"/>
        <v>an</v>
      </c>
      <c r="L322">
        <f t="shared" si="92"/>
        <v>12.3</v>
      </c>
      <c r="M322" t="str">
        <f t="shared" si="93"/>
        <v>080:00</v>
      </c>
      <c r="N322" t="str">
        <f t="shared" si="94"/>
        <v>-</v>
      </c>
      <c r="O322" t="str">
        <f t="shared" si="95"/>
        <v>22:00</v>
      </c>
      <c r="P322" t="str">
        <f t="shared" si="96"/>
        <v>Far side of duck (in dry weather)</v>
      </c>
    </row>
    <row r="323" spans="1:16" x14ac:dyDescent="0.25">
      <c r="A323" t="str">
        <f>'Raw Data'!A274</f>
        <v>an</v>
      </c>
      <c r="B323" t="str">
        <f>'Raw Data'!B274</f>
        <v>ao</v>
      </c>
      <c r="C323">
        <f>'Raw Data'!J274</f>
        <v>14.5</v>
      </c>
      <c r="D323" t="str">
        <f>'Interpreted Data'!G274</f>
        <v>114:00</v>
      </c>
      <c r="E323" t="str">
        <f>'Interpreted Data'!H274</f>
        <v>-</v>
      </c>
      <c r="F323" t="str">
        <f>SUBSTITUTE('Raw Data'!K274," ",":",1)</f>
        <v>50:00</v>
      </c>
      <c r="G323">
        <f>'Interpreted Data'!N274</f>
        <v>11.1</v>
      </c>
      <c r="H323" t="str">
        <f>'Interpreted Data'!P274</f>
        <v/>
      </c>
      <c r="I323" t="str">
        <f t="shared" si="89"/>
        <v xml:space="preserve"> </v>
      </c>
      <c r="J323" t="str">
        <f t="shared" si="90"/>
        <v>an</v>
      </c>
      <c r="K323" t="str">
        <f t="shared" si="91"/>
        <v>ao</v>
      </c>
      <c r="L323">
        <f t="shared" si="92"/>
        <v>14.5</v>
      </c>
      <c r="M323" t="str">
        <f t="shared" si="93"/>
        <v>114:00</v>
      </c>
      <c r="N323" t="str">
        <f t="shared" si="94"/>
        <v>-</v>
      </c>
      <c r="O323" t="str">
        <f t="shared" si="95"/>
        <v>50:00</v>
      </c>
      <c r="P323" t="str">
        <f t="shared" si="96"/>
        <v/>
      </c>
    </row>
    <row r="324" spans="1:16" x14ac:dyDescent="0.25">
      <c r="A324" t="str">
        <f>'Raw Data'!A275</f>
        <v>ao</v>
      </c>
      <c r="B324" t="str">
        <f>'Raw Data'!B275</f>
        <v>ap</v>
      </c>
      <c r="C324">
        <f>'Raw Data'!J275</f>
        <v>17.8</v>
      </c>
      <c r="D324" t="str">
        <f>'Interpreted Data'!G275</f>
        <v>103:00</v>
      </c>
      <c r="E324" t="str">
        <f>'Interpreted Data'!H275</f>
        <v>-</v>
      </c>
      <c r="F324" t="str">
        <f>SUBSTITUTE('Raw Data'!K275," ",":",1)</f>
        <v>-6:30</v>
      </c>
      <c r="G324">
        <f>'Interpreted Data'!N275</f>
        <v>-2</v>
      </c>
      <c r="H324" t="str">
        <f>'Interpreted Data'!P275</f>
        <v/>
      </c>
      <c r="I324" t="str">
        <f t="shared" si="89"/>
        <v xml:space="preserve"> </v>
      </c>
      <c r="J324" t="str">
        <f t="shared" si="90"/>
        <v>ao</v>
      </c>
      <c r="K324" t="str">
        <f t="shared" si="91"/>
        <v>ap</v>
      </c>
      <c r="L324">
        <f t="shared" si="92"/>
        <v>17.8</v>
      </c>
      <c r="M324" t="str">
        <f t="shared" si="93"/>
        <v>103:00</v>
      </c>
      <c r="N324" t="str">
        <f t="shared" si="94"/>
        <v>-</v>
      </c>
      <c r="O324" t="str">
        <f t="shared" si="95"/>
        <v>-6:30</v>
      </c>
      <c r="P324" t="str">
        <f t="shared" si="96"/>
        <v/>
      </c>
    </row>
    <row r="325" spans="1:16" x14ac:dyDescent="0.25">
      <c r="A325" t="str">
        <f>'Raw Data'!A276</f>
        <v>ap</v>
      </c>
      <c r="B325" t="str">
        <f>'Raw Data'!B276</f>
        <v>aq</v>
      </c>
      <c r="C325">
        <f>'Raw Data'!J276</f>
        <v>7.7</v>
      </c>
      <c r="D325" t="str">
        <f>'Interpreted Data'!G276</f>
        <v>026:00</v>
      </c>
      <c r="E325" t="str">
        <f>'Interpreted Data'!H276</f>
        <v>-</v>
      </c>
      <c r="F325" t="str">
        <f>SUBSTITUTE('Raw Data'!K276," ",":",1)</f>
        <v>-53:00</v>
      </c>
      <c r="G325">
        <f>'Interpreted Data'!N276</f>
        <v>-6.1</v>
      </c>
      <c r="H325" t="str">
        <f>'Interpreted Data'!P276</f>
        <v/>
      </c>
      <c r="I325" t="str">
        <f t="shared" si="89"/>
        <v xml:space="preserve"> </v>
      </c>
      <c r="J325" t="str">
        <f t="shared" si="90"/>
        <v>ap</v>
      </c>
      <c r="K325" t="str">
        <f t="shared" si="91"/>
        <v>aq</v>
      </c>
      <c r="L325">
        <f t="shared" si="92"/>
        <v>7.7</v>
      </c>
      <c r="M325" t="str">
        <f t="shared" si="93"/>
        <v>026:00</v>
      </c>
      <c r="N325" t="str">
        <f t="shared" si="94"/>
        <v>-</v>
      </c>
      <c r="O325" t="str">
        <f t="shared" si="95"/>
        <v>-53:00</v>
      </c>
      <c r="P325" t="str">
        <f t="shared" si="96"/>
        <v/>
      </c>
    </row>
    <row r="326" spans="1:16" x14ac:dyDescent="0.25">
      <c r="A326" t="str">
        <f>'Raw Data'!A277</f>
        <v>aq</v>
      </c>
      <c r="B326" t="str">
        <f>'Raw Data'!B277</f>
        <v>ar</v>
      </c>
      <c r="C326">
        <f>'Raw Data'!J277</f>
        <v>8.5</v>
      </c>
      <c r="D326" t="str">
        <f>'Interpreted Data'!G277</f>
        <v>003:00</v>
      </c>
      <c r="E326" t="str">
        <f>'Interpreted Data'!H277</f>
        <v>-</v>
      </c>
      <c r="F326" t="str">
        <f>SUBSTITUTE('Raw Data'!K277," ",":",1)</f>
        <v>level</v>
      </c>
      <c r="G326">
        <f>'Interpreted Data'!N277</f>
        <v>0</v>
      </c>
      <c r="H326" t="str">
        <f>'Interpreted Data'!P277</f>
        <v/>
      </c>
      <c r="I326" t="str">
        <f t="shared" si="89"/>
        <v xml:space="preserve"> </v>
      </c>
      <c r="J326" t="str">
        <f t="shared" si="90"/>
        <v>aq</v>
      </c>
      <c r="K326" t="str">
        <f t="shared" si="91"/>
        <v>ar</v>
      </c>
      <c r="L326">
        <f t="shared" si="92"/>
        <v>8.5</v>
      </c>
      <c r="M326" t="str">
        <f t="shared" si="93"/>
        <v>003:00</v>
      </c>
      <c r="N326" t="str">
        <f t="shared" si="94"/>
        <v>-</v>
      </c>
      <c r="O326">
        <f>G326</f>
        <v>0</v>
      </c>
      <c r="P326" t="str">
        <f t="shared" si="96"/>
        <v/>
      </c>
    </row>
    <row r="327" spans="1:16" x14ac:dyDescent="0.25">
      <c r="A327" t="str">
        <f>'Raw Data'!A278</f>
        <v>ar</v>
      </c>
      <c r="B327" t="str">
        <f>'Raw Data'!B278</f>
        <v>as</v>
      </c>
      <c r="C327">
        <f>'Raw Data'!J278</f>
        <v>10.8</v>
      </c>
      <c r="D327" t="str">
        <f>'Interpreted Data'!G278</f>
        <v>022:00</v>
      </c>
      <c r="E327" t="str">
        <f>'Interpreted Data'!H278</f>
        <v>-</v>
      </c>
      <c r="F327" t="str">
        <f>SUBSTITUTE('Raw Data'!K278," ",":",1)</f>
        <v>level</v>
      </c>
      <c r="G327">
        <f>'Interpreted Data'!N278</f>
        <v>0</v>
      </c>
      <c r="H327" t="str">
        <f>'Interpreted Data'!P278</f>
        <v>(sketch at-au) descends at 15 or 20 degrees. i.e. -9 feet vertical. Sump?</v>
      </c>
      <c r="I327" t="str">
        <f t="shared" si="89"/>
        <v xml:space="preserve"> </v>
      </c>
      <c r="J327" t="str">
        <f t="shared" si="90"/>
        <v>ar</v>
      </c>
      <c r="K327" t="str">
        <f t="shared" si="91"/>
        <v>as</v>
      </c>
      <c r="L327">
        <f t="shared" si="92"/>
        <v>10.8</v>
      </c>
      <c r="M327" t="str">
        <f t="shared" si="93"/>
        <v>022:00</v>
      </c>
      <c r="N327" t="str">
        <f t="shared" si="94"/>
        <v>-</v>
      </c>
      <c r="O327">
        <f>G327</f>
        <v>0</v>
      </c>
      <c r="P327" t="str">
        <f t="shared" si="96"/>
        <v>(sketch at-au) descends at 15 or 20 degrees. i.e. -9 feet vertical. Sump?</v>
      </c>
    </row>
    <row r="328" spans="1:16" x14ac:dyDescent="0.25">
      <c r="J328" t="str">
        <f>$J$2</f>
        <v>data diving from to tape compass backcompass depthchange ignoreall</v>
      </c>
    </row>
    <row r="329" spans="1:16" x14ac:dyDescent="0.25">
      <c r="A329" t="str">
        <f>'Raw Data'!A279</f>
        <v>as</v>
      </c>
      <c r="B329" t="str">
        <f>'Raw Data'!B279</f>
        <v>at</v>
      </c>
      <c r="C329">
        <f>'Raw Data'!J279</f>
        <v>18.399999999999999</v>
      </c>
      <c r="D329" t="str">
        <f>'Interpreted Data'!G279</f>
        <v>003:00</v>
      </c>
      <c r="E329" t="str">
        <f>'Interpreted Data'!H279</f>
        <v>-</v>
      </c>
      <c r="F329" t="str">
        <f>SUBSTITUTE('Raw Data'!K279," ",":",1)</f>
        <v>-2.5:feet</v>
      </c>
      <c r="G329">
        <f>'Interpreted Data'!N279</f>
        <v>-2.5</v>
      </c>
      <c r="H329" t="str">
        <f>'Interpreted Data'!P279</f>
        <v/>
      </c>
      <c r="I329" t="str">
        <f t="shared" si="89"/>
        <v xml:space="preserve"> </v>
      </c>
      <c r="J329" t="str">
        <f t="shared" si="90"/>
        <v>as</v>
      </c>
      <c r="K329" t="str">
        <f t="shared" si="91"/>
        <v>at</v>
      </c>
      <c r="L329">
        <f t="shared" si="92"/>
        <v>18.399999999999999</v>
      </c>
      <c r="M329" t="str">
        <f t="shared" si="93"/>
        <v>003:00</v>
      </c>
      <c r="N329" t="str">
        <f t="shared" si="94"/>
        <v>-</v>
      </c>
      <c r="O329">
        <f>G329</f>
        <v>-2.5</v>
      </c>
      <c r="P329" t="str">
        <f t="shared" si="96"/>
        <v/>
      </c>
    </row>
    <row r="330" spans="1:16" x14ac:dyDescent="0.25">
      <c r="A330" t="str">
        <f>'Raw Data'!A280</f>
        <v>at</v>
      </c>
      <c r="B330" t="str">
        <f>'Raw Data'!B280</f>
        <v>au</v>
      </c>
      <c r="C330">
        <f>'Raw Data'!J280</f>
        <v>11</v>
      </c>
      <c r="D330" t="str">
        <f>'Interpreted Data'!G280</f>
        <v>355:00</v>
      </c>
      <c r="E330" t="str">
        <f>'Interpreted Data'!H280</f>
        <v>-</v>
      </c>
      <c r="F330" t="str">
        <f>SUBSTITUTE('Raw Data'!K280," ",":",1)</f>
        <v>up:&amp; down 2'</v>
      </c>
      <c r="G330">
        <f>'Interpreted Data'!N280</f>
        <v>0</v>
      </c>
      <c r="H330" t="str">
        <f>'Interpreted Data'!P280</f>
        <v/>
      </c>
      <c r="I330" t="str">
        <f t="shared" si="89"/>
        <v xml:space="preserve"> </v>
      </c>
      <c r="J330" t="str">
        <f t="shared" si="90"/>
        <v>at</v>
      </c>
      <c r="K330" t="str">
        <f t="shared" si="91"/>
        <v>au</v>
      </c>
      <c r="L330">
        <f t="shared" si="92"/>
        <v>11</v>
      </c>
      <c r="M330" t="str">
        <f t="shared" si="93"/>
        <v>355:00</v>
      </c>
      <c r="N330" t="str">
        <f t="shared" si="94"/>
        <v>-</v>
      </c>
      <c r="O330">
        <f>G330</f>
        <v>0</v>
      </c>
      <c r="P330" t="str">
        <f t="shared" si="96"/>
        <v/>
      </c>
    </row>
    <row r="332" spans="1:16" x14ac:dyDescent="0.25">
      <c r="A332" t="str">
        <f>'Raw Data'!A283</f>
        <v>p. 65-69</v>
      </c>
      <c r="B332" t="str">
        <f>'Raw Data'!B283</f>
        <v>(=PDF p.69-72)</v>
      </c>
      <c r="C332">
        <f>'Raw Data'!J283</f>
        <v>0</v>
      </c>
      <c r="D332" t="str">
        <f>'Interpreted Data'!G283</f>
        <v>-</v>
      </c>
      <c r="E332" t="str">
        <f>'Interpreted Data'!H283</f>
        <v>-</v>
      </c>
      <c r="F332" t="str">
        <f>SUBSTITUTE('Raw Data'!K283," ",":",1)</f>
        <v/>
      </c>
      <c r="G332" t="str">
        <f>'Interpreted Data'!N283</f>
        <v/>
      </c>
      <c r="H332" t="str">
        <f>'Interpreted Data'!P283</f>
        <v/>
      </c>
      <c r="J332" t="str">
        <f>CONCATENATE("# ",A332)</f>
        <v># p. 65-69</v>
      </c>
      <c r="K332" t="str">
        <f t="shared" si="91"/>
        <v>(=PDF p.69-72)</v>
      </c>
      <c r="P332" t="str">
        <f t="shared" si="96"/>
        <v/>
      </c>
    </row>
    <row r="333" spans="1:16" x14ac:dyDescent="0.25">
      <c r="A333" t="str">
        <f>'Raw Data'!A284</f>
        <v>2nd May 1953</v>
      </c>
      <c r="B333" t="str">
        <f>'Raw Data'!B284</f>
        <v>Oliver</v>
      </c>
      <c r="C333" t="str">
        <f>'Raw Data'!C284</f>
        <v>Pretty Way</v>
      </c>
      <c r="D333">
        <f>'Raw Data'!D284</f>
        <v>0</v>
      </c>
      <c r="E333">
        <f>'Raw Data'!E284</f>
        <v>0</v>
      </c>
      <c r="F333" t="str">
        <f>SUBSTITUTE('Raw Data'!K284," ",":",1)</f>
        <v/>
      </c>
      <c r="G333" t="str">
        <f>'Interpreted Data'!N284</f>
        <v/>
      </c>
      <c r="H333" t="str">
        <f>'Interpreted Data'!P284</f>
        <v/>
      </c>
      <c r="J333" t="str">
        <f>CONCATENATE("# ",A333)</f>
        <v># 2nd May 1953</v>
      </c>
      <c r="K333" t="str">
        <f t="shared" ref="K333:L333" si="97">B333</f>
        <v>Oliver</v>
      </c>
      <c r="L333" t="str">
        <f t="shared" si="97"/>
        <v>Pretty Way</v>
      </c>
      <c r="P333" t="str">
        <f t="shared" ref="P333" si="98">H333</f>
        <v/>
      </c>
    </row>
    <row r="334" spans="1:16" x14ac:dyDescent="0.25">
      <c r="J334" t="str">
        <f>$J$1</f>
        <v>data normal from to tape compass backcompass clino ignoreall</v>
      </c>
    </row>
    <row r="335" spans="1:16" x14ac:dyDescent="0.25">
      <c r="A335" t="str">
        <f>'Raw Data'!A285</f>
        <v>DO</v>
      </c>
      <c r="B335" t="str">
        <f>'Raw Data'!B285</f>
        <v>FA</v>
      </c>
      <c r="C335">
        <f>'Raw Data'!J285</f>
        <v>17.5</v>
      </c>
      <c r="D335" t="str">
        <f>'Interpreted Data'!G285</f>
        <v>-</v>
      </c>
      <c r="E335" t="str">
        <f>'Interpreted Data'!H285</f>
        <v>171:30</v>
      </c>
      <c r="F335" t="str">
        <f>SUBSTITUTE('Raw Data'!K285," ",":",1)</f>
        <v>-0:30</v>
      </c>
      <c r="G335">
        <f>'Interpreted Data'!N285</f>
        <v>-0.2</v>
      </c>
      <c r="H335" t="str">
        <f>'Interpreted Data'!P285</f>
        <v>DO within one foot of DO on p.53</v>
      </c>
      <c r="J335" t="str">
        <f t="shared" ref="J335" si="99">A335</f>
        <v>DO</v>
      </c>
      <c r="K335" t="str">
        <f t="shared" ref="K335" si="100">B335</f>
        <v>FA</v>
      </c>
      <c r="L335">
        <f t="shared" ref="L335" si="101">C335</f>
        <v>17.5</v>
      </c>
      <c r="M335" t="str">
        <f t="shared" ref="M335" si="102">D335</f>
        <v>-</v>
      </c>
      <c r="N335" t="str">
        <f t="shared" ref="N335" si="103">E335</f>
        <v>171:30</v>
      </c>
      <c r="O335" t="str">
        <f t="shared" ref="O335" si="104">IF(AND(D335="-",E335="-"),IF(1*SUBSTITUTE(F335,":",".")=-90,"DOWN",IF(1*SUBSTITUTE(F335,":",".")=90,"UP","no compass")),F335)</f>
        <v>-0:30</v>
      </c>
      <c r="P335" t="str">
        <f t="shared" ref="P335" si="105">H335</f>
        <v>DO within one foot of DO on p.53</v>
      </c>
    </row>
    <row r="336" spans="1:16" x14ac:dyDescent="0.25">
      <c r="A336" t="str">
        <f>'Raw Data'!A286</f>
        <v>FA</v>
      </c>
      <c r="B336" t="str">
        <f>'Raw Data'!B286</f>
        <v>FB</v>
      </c>
      <c r="C336">
        <f>'Raw Data'!J286</f>
        <v>4.8</v>
      </c>
      <c r="D336" t="str">
        <f>'Interpreted Data'!G286</f>
        <v>358:10</v>
      </c>
      <c r="E336" t="str">
        <f>'Interpreted Data'!H286</f>
        <v>-</v>
      </c>
      <c r="F336" t="str">
        <f>SUBSTITUTE('Raw Data'!K286," ",":",1)</f>
        <v>-18:30</v>
      </c>
      <c r="G336">
        <f>'Interpreted Data'!N286</f>
        <v>-1.5</v>
      </c>
      <c r="H336" t="str">
        <f>'Interpreted Data'!P286</f>
        <v>Corner of Kenneys dig passage 0 - 0.7</v>
      </c>
      <c r="J336" t="str">
        <f t="shared" ref="J336:J355" si="106">A336</f>
        <v>FA</v>
      </c>
      <c r="K336" t="str">
        <f t="shared" ref="K336:K355" si="107">B336</f>
        <v>FB</v>
      </c>
      <c r="L336">
        <f t="shared" ref="L336:L355" si="108">C336</f>
        <v>4.8</v>
      </c>
      <c r="M336" t="str">
        <f t="shared" ref="M336:M355" si="109">D336</f>
        <v>358:10</v>
      </c>
      <c r="N336" t="str">
        <f t="shared" ref="N336:N355" si="110">E336</f>
        <v>-</v>
      </c>
      <c r="O336" t="str">
        <f t="shared" ref="O336:O355" si="111">IF(AND(D336="-",E336="-"),IF(1*SUBSTITUTE(F336,":",".")=-90,"DOWN",IF(1*SUBSTITUTE(F336,":",".")=90,"UP","no compass")),F336)</f>
        <v>-18:30</v>
      </c>
      <c r="P336" t="str">
        <f t="shared" ref="P336:P355" si="112">H336</f>
        <v>Corner of Kenneys dig passage 0 - 0.7</v>
      </c>
    </row>
    <row r="337" spans="1:16" x14ac:dyDescent="0.25">
      <c r="A337" t="str">
        <f>'Raw Data'!A287</f>
        <v>FB</v>
      </c>
      <c r="B337" t="str">
        <f>'Raw Data'!B287</f>
        <v>FC</v>
      </c>
      <c r="C337">
        <f>'Raw Data'!J287</f>
        <v>9.8000000000000007</v>
      </c>
      <c r="D337" t="str">
        <f>'Interpreted Data'!G287</f>
        <v>-</v>
      </c>
      <c r="E337" t="str">
        <f>'Interpreted Data'!H287</f>
        <v>144:10</v>
      </c>
      <c r="F337" t="str">
        <f>SUBSTITUTE('Raw Data'!K287," ",":",1)</f>
        <v>29:30</v>
      </c>
      <c r="G337">
        <f>'Interpreted Data'!N287</f>
        <v>4.8</v>
      </c>
      <c r="H337" t="str">
        <f>'Interpreted Data'!P287</f>
        <v>3" candle on wee stalagmite</v>
      </c>
      <c r="J337" t="str">
        <f t="shared" si="106"/>
        <v>FB</v>
      </c>
      <c r="K337" t="str">
        <f t="shared" si="107"/>
        <v>FC</v>
      </c>
      <c r="L337">
        <f t="shared" si="108"/>
        <v>9.8000000000000007</v>
      </c>
      <c r="M337" t="str">
        <f t="shared" si="109"/>
        <v>-</v>
      </c>
      <c r="N337" t="str">
        <f t="shared" si="110"/>
        <v>144:10</v>
      </c>
      <c r="O337" t="str">
        <f t="shared" si="111"/>
        <v>29:30</v>
      </c>
      <c r="P337" t="str">
        <f t="shared" si="112"/>
        <v>3" candle on wee stalagmite</v>
      </c>
    </row>
    <row r="338" spans="1:16" x14ac:dyDescent="0.25">
      <c r="A338" t="str">
        <f>'Raw Data'!A288</f>
        <v>FC</v>
      </c>
      <c r="B338" t="str">
        <f>'Raw Data'!B288</f>
        <v>FD</v>
      </c>
      <c r="C338">
        <f>'Raw Data'!J288</f>
        <v>13.3</v>
      </c>
      <c r="D338" t="str">
        <f>'Interpreted Data'!G288</f>
        <v>358:00</v>
      </c>
      <c r="E338" t="str">
        <f>'Interpreted Data'!H288</f>
        <v>-</v>
      </c>
      <c r="F338" t="str">
        <f>SUBSTITUTE('Raw Data'!K288," ",":",1)</f>
        <v>1:30</v>
      </c>
      <c r="G338">
        <f>'Interpreted Data'!N288</f>
        <v>0.3</v>
      </c>
      <c r="H338" t="str">
        <f>'Interpreted Data'!P288</f>
        <v/>
      </c>
      <c r="J338" t="str">
        <f t="shared" si="106"/>
        <v>FC</v>
      </c>
      <c r="K338" t="str">
        <f t="shared" si="107"/>
        <v>FD</v>
      </c>
      <c r="L338">
        <f t="shared" si="108"/>
        <v>13.3</v>
      </c>
      <c r="M338" t="str">
        <f t="shared" si="109"/>
        <v>358:00</v>
      </c>
      <c r="N338" t="str">
        <f t="shared" si="110"/>
        <v>-</v>
      </c>
      <c r="O338" t="str">
        <f t="shared" si="111"/>
        <v>1:30</v>
      </c>
      <c r="P338" t="str">
        <f t="shared" si="112"/>
        <v/>
      </c>
    </row>
    <row r="339" spans="1:16" x14ac:dyDescent="0.25">
      <c r="A339" t="str">
        <f>'Raw Data'!A289</f>
        <v>FD</v>
      </c>
      <c r="B339" t="str">
        <f>'Raw Data'!B289</f>
        <v>FE</v>
      </c>
      <c r="C339">
        <f>'Raw Data'!J289</f>
        <v>8.9</v>
      </c>
      <c r="D339" t="str">
        <f>'Interpreted Data'!G289</f>
        <v>-</v>
      </c>
      <c r="E339" t="str">
        <f>'Interpreted Data'!H289</f>
        <v>188:00</v>
      </c>
      <c r="F339" t="str">
        <f>SUBSTITUTE('Raw Data'!K289," ",":",1)</f>
        <v>13:30</v>
      </c>
      <c r="G339">
        <f>'Interpreted Data'!N289</f>
        <v>2.1</v>
      </c>
      <c r="H339" t="str">
        <f>'Interpreted Data'!P289</f>
        <v>Under chock stones on angular rock</v>
      </c>
      <c r="J339" t="str">
        <f t="shared" si="106"/>
        <v>FD</v>
      </c>
      <c r="K339" t="str">
        <f t="shared" si="107"/>
        <v>FE</v>
      </c>
      <c r="L339">
        <f t="shared" si="108"/>
        <v>8.9</v>
      </c>
      <c r="M339" t="str">
        <f t="shared" si="109"/>
        <v>-</v>
      </c>
      <c r="N339" t="str">
        <f t="shared" si="110"/>
        <v>188:00</v>
      </c>
      <c r="O339" t="str">
        <f t="shared" si="111"/>
        <v>13:30</v>
      </c>
      <c r="P339" t="str">
        <f t="shared" si="112"/>
        <v>Under chock stones on angular rock</v>
      </c>
    </row>
    <row r="340" spans="1:16" x14ac:dyDescent="0.25">
      <c r="A340" t="str">
        <f>'Raw Data'!A290</f>
        <v>FE</v>
      </c>
      <c r="B340" t="str">
        <f>'Raw Data'!B290</f>
        <v>FF</v>
      </c>
      <c r="C340">
        <f>'Raw Data'!J290</f>
        <v>13.4</v>
      </c>
      <c r="D340" t="str">
        <f>'Interpreted Data'!G290</f>
        <v>-</v>
      </c>
      <c r="E340" t="str">
        <f>'Interpreted Data'!H290</f>
        <v>232:10</v>
      </c>
      <c r="F340" t="str">
        <f>SUBSTITUTE('Raw Data'!K290," ",":",1)</f>
        <v>13:30</v>
      </c>
      <c r="G340">
        <f>'Interpreted Data'!N290</f>
        <v>3.1</v>
      </c>
      <c r="H340" t="str">
        <f>'Interpreted Data'!P290</f>
        <v>On 8" stalagmite at corner</v>
      </c>
      <c r="J340" t="str">
        <f t="shared" si="106"/>
        <v>FE</v>
      </c>
      <c r="K340" t="str">
        <f t="shared" si="107"/>
        <v>FF</v>
      </c>
      <c r="L340">
        <f t="shared" si="108"/>
        <v>13.4</v>
      </c>
      <c r="M340" t="str">
        <f t="shared" si="109"/>
        <v>-</v>
      </c>
      <c r="N340" t="str">
        <f t="shared" si="110"/>
        <v>232:10</v>
      </c>
      <c r="O340" t="str">
        <f t="shared" si="111"/>
        <v>13:30</v>
      </c>
      <c r="P340" t="str">
        <f t="shared" si="112"/>
        <v>On 8" stalagmite at corner</v>
      </c>
    </row>
    <row r="341" spans="1:16" x14ac:dyDescent="0.25">
      <c r="A341" t="str">
        <f>'Raw Data'!A291</f>
        <v>FF</v>
      </c>
      <c r="B341" t="str">
        <f>'Raw Data'!B291</f>
        <v>FG</v>
      </c>
      <c r="C341">
        <f>'Raw Data'!J291</f>
        <v>8.6999999999999993</v>
      </c>
      <c r="D341" t="str">
        <f>'Interpreted Data'!G291</f>
        <v>026:00</v>
      </c>
      <c r="E341" t="str">
        <f>'Interpreted Data'!H291</f>
        <v>-</v>
      </c>
      <c r="F341" t="str">
        <f>SUBSTITUTE('Raw Data'!K291," ",":",1)</f>
        <v>-22:30</v>
      </c>
      <c r="G341">
        <f>'Interpreted Data'!N291</f>
        <v>-3.3</v>
      </c>
      <c r="H341" t="str">
        <f>'Interpreted Data'!P291</f>
        <v>On top of bloody great rock</v>
      </c>
      <c r="J341" t="str">
        <f t="shared" si="106"/>
        <v>FF</v>
      </c>
      <c r="K341" t="str">
        <f t="shared" si="107"/>
        <v>FG</v>
      </c>
      <c r="L341">
        <f t="shared" si="108"/>
        <v>8.6999999999999993</v>
      </c>
      <c r="M341" t="str">
        <f t="shared" si="109"/>
        <v>026:00</v>
      </c>
      <c r="N341" t="str">
        <f t="shared" si="110"/>
        <v>-</v>
      </c>
      <c r="O341" t="str">
        <f t="shared" si="111"/>
        <v>-22:30</v>
      </c>
      <c r="P341" t="str">
        <f t="shared" si="112"/>
        <v>On top of bloody great rock</v>
      </c>
    </row>
    <row r="342" spans="1:16" x14ac:dyDescent="0.25">
      <c r="A342" t="str">
        <f>'Raw Data'!A292</f>
        <v>FG</v>
      </c>
      <c r="B342" t="str">
        <f>'Raw Data'!B292</f>
        <v>FH</v>
      </c>
      <c r="C342">
        <f>'Raw Data'!J292</f>
        <v>21.3</v>
      </c>
      <c r="D342" t="str">
        <f>'Interpreted Data'!G292</f>
        <v>-</v>
      </c>
      <c r="E342" t="str">
        <f>'Interpreted Data'!H292</f>
        <v>310:00</v>
      </c>
      <c r="F342" t="str">
        <f>SUBSTITUTE('Raw Data'!K292," ",":",1)</f>
        <v>13:00</v>
      </c>
      <c r="G342">
        <f>'Interpreted Data'!N292</f>
        <v>4.8</v>
      </c>
      <c r="H342" t="str">
        <f>'Interpreted Data'!P292</f>
        <v/>
      </c>
      <c r="J342" t="str">
        <f t="shared" si="106"/>
        <v>FG</v>
      </c>
      <c r="K342" t="str">
        <f t="shared" si="107"/>
        <v>FH</v>
      </c>
      <c r="L342">
        <f t="shared" si="108"/>
        <v>21.3</v>
      </c>
      <c r="M342" t="str">
        <f t="shared" si="109"/>
        <v>-</v>
      </c>
      <c r="N342" t="str">
        <f t="shared" si="110"/>
        <v>310:00</v>
      </c>
      <c r="O342" t="str">
        <f t="shared" si="111"/>
        <v>13:00</v>
      </c>
      <c r="P342" t="str">
        <f t="shared" si="112"/>
        <v/>
      </c>
    </row>
    <row r="343" spans="1:16" x14ac:dyDescent="0.25">
      <c r="A343" t="str">
        <f>'Raw Data'!A293</f>
        <v>FH</v>
      </c>
      <c r="B343" t="str">
        <f>'Raw Data'!B293</f>
        <v>FI</v>
      </c>
      <c r="C343">
        <f>'Raw Data'!J293</f>
        <v>12.8</v>
      </c>
      <c r="D343" t="str">
        <f>'Interpreted Data'!G293</f>
        <v>155:30</v>
      </c>
      <c r="E343" t="str">
        <f>'Interpreted Data'!H293</f>
        <v>-</v>
      </c>
      <c r="F343" t="str">
        <f>SUBSTITUTE('Raw Data'!K293," ",":",1)</f>
        <v>10:30</v>
      </c>
      <c r="G343">
        <f>'Interpreted Data'!N293</f>
        <v>2.2999999999999998</v>
      </c>
      <c r="H343" t="str">
        <f>'Interpreted Data'!P293</f>
        <v/>
      </c>
      <c r="J343" t="str">
        <f t="shared" si="106"/>
        <v>FH</v>
      </c>
      <c r="K343" t="str">
        <f t="shared" si="107"/>
        <v>FI</v>
      </c>
      <c r="L343">
        <f t="shared" si="108"/>
        <v>12.8</v>
      </c>
      <c r="M343" t="str">
        <f t="shared" si="109"/>
        <v>155:30</v>
      </c>
      <c r="N343" t="str">
        <f t="shared" si="110"/>
        <v>-</v>
      </c>
      <c r="O343" t="str">
        <f t="shared" si="111"/>
        <v>10:30</v>
      </c>
      <c r="P343" t="str">
        <f t="shared" si="112"/>
        <v/>
      </c>
    </row>
    <row r="344" spans="1:16" x14ac:dyDescent="0.25">
      <c r="A344" t="str">
        <f>'Raw Data'!A294</f>
        <v>FI</v>
      </c>
      <c r="B344" t="str">
        <f>'Raw Data'!B294</f>
        <v>FJ</v>
      </c>
      <c r="C344">
        <f>'Raw Data'!J294</f>
        <v>14.1</v>
      </c>
      <c r="D344" t="str">
        <f>'Interpreted Data'!G294</f>
        <v>-</v>
      </c>
      <c r="E344" t="str">
        <f>'Interpreted Data'!H294</f>
        <v>240:00</v>
      </c>
      <c r="F344" t="str">
        <f>SUBSTITUTE('Raw Data'!K294," ",":",1)</f>
        <v>-44:00</v>
      </c>
      <c r="G344">
        <f>'Interpreted Data'!N294</f>
        <v>-9.8000000000000007</v>
      </c>
      <c r="H344" t="str">
        <f>'Interpreted Data'!P294</f>
        <v>Entrance to 2nd Boulder Ch. (sketch of FI-FK)</v>
      </c>
      <c r="J344" t="str">
        <f t="shared" si="106"/>
        <v>FI</v>
      </c>
      <c r="K344" t="str">
        <f t="shared" si="107"/>
        <v>FJ</v>
      </c>
      <c r="L344">
        <f t="shared" si="108"/>
        <v>14.1</v>
      </c>
      <c r="M344" t="str">
        <f t="shared" si="109"/>
        <v>-</v>
      </c>
      <c r="N344" t="str">
        <f t="shared" si="110"/>
        <v>240:00</v>
      </c>
      <c r="O344" t="str">
        <f t="shared" si="111"/>
        <v>-44:00</v>
      </c>
      <c r="P344" t="str">
        <f t="shared" si="112"/>
        <v>Entrance to 2nd Boulder Ch. (sketch of FI-FK)</v>
      </c>
    </row>
    <row r="345" spans="1:16" x14ac:dyDescent="0.25">
      <c r="A345" t="str">
        <f>'Raw Data'!A295</f>
        <v>FJ</v>
      </c>
      <c r="B345" t="str">
        <f>'Raw Data'!B295</f>
        <v>FK</v>
      </c>
      <c r="C345">
        <f>'Raw Data'!J295</f>
        <v>35.799999999999997</v>
      </c>
      <c r="D345" t="str">
        <f>'Interpreted Data'!G295</f>
        <v>324:00</v>
      </c>
      <c r="E345" t="str">
        <f>'Interpreted Data'!H295</f>
        <v>-</v>
      </c>
      <c r="F345" t="str">
        <f>SUBSTITUTE('Raw Data'!K295," ",":",1)</f>
        <v>-18:30</v>
      </c>
      <c r="G345">
        <f>'Interpreted Data'!N295</f>
        <v>-11.4</v>
      </c>
      <c r="H345" t="str">
        <f>'Interpreted Data'!P295</f>
        <v>Side pass at 20', enters BC 12' from FK</v>
      </c>
      <c r="J345" t="str">
        <f t="shared" si="106"/>
        <v>FJ</v>
      </c>
      <c r="K345" t="str">
        <f t="shared" si="107"/>
        <v>FK</v>
      </c>
      <c r="L345">
        <f t="shared" si="108"/>
        <v>35.799999999999997</v>
      </c>
      <c r="M345" t="str">
        <f t="shared" si="109"/>
        <v>324:00</v>
      </c>
      <c r="N345" t="str">
        <f t="shared" si="110"/>
        <v>-</v>
      </c>
      <c r="O345" t="str">
        <f t="shared" si="111"/>
        <v>-18:30</v>
      </c>
      <c r="P345" t="str">
        <f t="shared" si="112"/>
        <v>Side pass at 20', enters BC 12' from FK</v>
      </c>
    </row>
    <row r="346" spans="1:16" x14ac:dyDescent="0.25">
      <c r="A346" t="str">
        <f>'Raw Data'!A296</f>
        <v>FK</v>
      </c>
      <c r="B346" t="str">
        <f>'Raw Data'!B296</f>
        <v>FL</v>
      </c>
      <c r="C346">
        <f>'Raw Data'!J296</f>
        <v>11.2</v>
      </c>
      <c r="D346" t="str">
        <f>'Interpreted Data'!G296</f>
        <v>-</v>
      </c>
      <c r="E346" t="str">
        <f>'Interpreted Data'!H296</f>
        <v>238:00</v>
      </c>
      <c r="F346" t="str">
        <f>SUBSTITUTE('Raw Data'!K296," ",":",1)</f>
        <v>-15:00</v>
      </c>
      <c r="G346">
        <f>'Interpreted Data'!N296</f>
        <v>-2.9</v>
      </c>
      <c r="H346" t="str">
        <f>'Interpreted Data'!P296</f>
        <v>On wee stalagmite in S. corner 1st BC</v>
      </c>
      <c r="J346" t="str">
        <f t="shared" si="106"/>
        <v>FK</v>
      </c>
      <c r="K346" t="str">
        <f t="shared" si="107"/>
        <v>FL</v>
      </c>
      <c r="L346">
        <f t="shared" si="108"/>
        <v>11.2</v>
      </c>
      <c r="M346" t="str">
        <f t="shared" si="109"/>
        <v>-</v>
      </c>
      <c r="N346" t="str">
        <f t="shared" si="110"/>
        <v>238:00</v>
      </c>
      <c r="O346" t="str">
        <f t="shared" si="111"/>
        <v>-15:00</v>
      </c>
      <c r="P346" t="str">
        <f t="shared" si="112"/>
        <v>On wee stalagmite in S. corner 1st BC</v>
      </c>
    </row>
    <row r="347" spans="1:16" x14ac:dyDescent="0.25">
      <c r="A347" t="str">
        <f>'Raw Data'!A297</f>
        <v>FL</v>
      </c>
      <c r="B347" t="str">
        <f>'Raw Data'!B297</f>
        <v>FM</v>
      </c>
      <c r="C347">
        <f>'Raw Data'!J297</f>
        <v>44.5</v>
      </c>
      <c r="D347" t="str">
        <f>'Interpreted Data'!G297</f>
        <v>287:10</v>
      </c>
      <c r="E347" t="str">
        <f>'Interpreted Data'!H297</f>
        <v>-</v>
      </c>
      <c r="F347" t="str">
        <f>SUBSTITUTE('Raw Data'!K297," ",":",1)</f>
        <v>-11:00</v>
      </c>
      <c r="G347">
        <f>'Interpreted Data'!N297</f>
        <v>-8.5</v>
      </c>
      <c r="H347" t="str">
        <f>'Interpreted Data'!P297</f>
        <v>In BC. Side passage (wet) at 39'. 20' long at 155deg. Passage splits at 24'</v>
      </c>
      <c r="J347" t="str">
        <f t="shared" si="106"/>
        <v>FL</v>
      </c>
      <c r="K347" t="str">
        <f t="shared" si="107"/>
        <v>FM</v>
      </c>
      <c r="L347">
        <f t="shared" si="108"/>
        <v>44.5</v>
      </c>
      <c r="M347" t="str">
        <f t="shared" si="109"/>
        <v>287:10</v>
      </c>
      <c r="N347" t="str">
        <f t="shared" si="110"/>
        <v>-</v>
      </c>
      <c r="O347" t="str">
        <f t="shared" si="111"/>
        <v>-11:00</v>
      </c>
      <c r="P347" t="str">
        <f t="shared" si="112"/>
        <v>In BC. Side passage (wet) at 39'. 20' long at 155deg. Passage splits at 24'</v>
      </c>
    </row>
    <row r="348" spans="1:16" x14ac:dyDescent="0.25">
      <c r="A348" t="str">
        <f>'Raw Data'!A298</f>
        <v>FM</v>
      </c>
      <c r="B348" t="str">
        <f>'Raw Data'!B298</f>
        <v>FN</v>
      </c>
      <c r="C348">
        <f>'Raw Data'!J298</f>
        <v>14.3</v>
      </c>
      <c r="D348" t="str">
        <f>'Interpreted Data'!G298</f>
        <v>-</v>
      </c>
      <c r="E348" t="str">
        <f>'Interpreted Data'!H298</f>
        <v>112:15</v>
      </c>
      <c r="F348" t="str">
        <f>SUBSTITUTE('Raw Data'!K298," ",":",1)</f>
        <v>18:30</v>
      </c>
      <c r="G348">
        <f>'Interpreted Data'!N298</f>
        <v>4.5</v>
      </c>
      <c r="H348" t="str">
        <f>'Interpreted Data'!P298</f>
        <v>On stal boss in roof passage</v>
      </c>
      <c r="J348" t="str">
        <f t="shared" si="106"/>
        <v>FM</v>
      </c>
      <c r="K348" t="str">
        <f t="shared" si="107"/>
        <v>FN</v>
      </c>
      <c r="L348">
        <f t="shared" si="108"/>
        <v>14.3</v>
      </c>
      <c r="M348" t="str">
        <f t="shared" si="109"/>
        <v>-</v>
      </c>
      <c r="N348" t="str">
        <f t="shared" si="110"/>
        <v>112:15</v>
      </c>
      <c r="O348" t="str">
        <f t="shared" si="111"/>
        <v>18:30</v>
      </c>
      <c r="P348" t="str">
        <f t="shared" si="112"/>
        <v>On stal boss in roof passage</v>
      </c>
    </row>
    <row r="349" spans="1:16" x14ac:dyDescent="0.25">
      <c r="A349" t="str">
        <f>'Raw Data'!A299</f>
        <v>FN</v>
      </c>
      <c r="B349" t="str">
        <f>'Raw Data'!B299</f>
        <v>FO</v>
      </c>
      <c r="C349">
        <f>'Raw Data'!J299</f>
        <v>16</v>
      </c>
      <c r="D349" t="str">
        <f>'Interpreted Data'!G299</f>
        <v>340:30</v>
      </c>
      <c r="E349" t="str">
        <f>'Interpreted Data'!H299</f>
        <v>-</v>
      </c>
      <c r="F349" t="str">
        <f>SUBSTITUTE('Raw Data'!K299," ",":",1)</f>
        <v>4:00</v>
      </c>
      <c r="G349">
        <f>'Interpreted Data'!N299</f>
        <v>1.1000000000000001</v>
      </c>
      <c r="H349" t="str">
        <f>'Interpreted Data'!P299</f>
        <v/>
      </c>
      <c r="J349" t="str">
        <f t="shared" si="106"/>
        <v>FN</v>
      </c>
      <c r="K349" t="str">
        <f t="shared" si="107"/>
        <v>FO</v>
      </c>
      <c r="L349">
        <f t="shared" si="108"/>
        <v>16</v>
      </c>
      <c r="M349" t="str">
        <f t="shared" si="109"/>
        <v>340:30</v>
      </c>
      <c r="N349" t="str">
        <f t="shared" si="110"/>
        <v>-</v>
      </c>
      <c r="O349" t="str">
        <f t="shared" si="111"/>
        <v>4:00</v>
      </c>
      <c r="P349" t="str">
        <f t="shared" si="112"/>
        <v/>
      </c>
    </row>
    <row r="350" spans="1:16" x14ac:dyDescent="0.25">
      <c r="A350" t="str">
        <f>'Raw Data'!A300</f>
        <v>FO</v>
      </c>
      <c r="B350" t="str">
        <f>'Raw Data'!B300</f>
        <v>FP</v>
      </c>
      <c r="C350">
        <f>'Raw Data'!J300</f>
        <v>15.4</v>
      </c>
      <c r="D350" t="str">
        <f>'Interpreted Data'!G300</f>
        <v>-</v>
      </c>
      <c r="E350" t="str">
        <f>'Interpreted Data'!H300</f>
        <v>068:00</v>
      </c>
      <c r="F350" t="str">
        <f>SUBSTITUTE('Raw Data'!K300," ",":",1)</f>
        <v>-58:00</v>
      </c>
      <c r="G350">
        <f>'Interpreted Data'!N300</f>
        <v>-13</v>
      </c>
      <c r="H350" t="str">
        <f>'Interpreted Data'!P300</f>
        <v>Mousehole passage 33' at 087deg from FO</v>
      </c>
      <c r="J350" t="str">
        <f t="shared" si="106"/>
        <v>FO</v>
      </c>
      <c r="K350" t="str">
        <f t="shared" si="107"/>
        <v>FP</v>
      </c>
      <c r="L350">
        <f t="shared" si="108"/>
        <v>15.4</v>
      </c>
      <c r="M350" t="str">
        <f t="shared" si="109"/>
        <v>-</v>
      </c>
      <c r="N350" t="str">
        <f t="shared" si="110"/>
        <v>068:00</v>
      </c>
      <c r="O350" t="str">
        <f t="shared" si="111"/>
        <v>-58:00</v>
      </c>
      <c r="P350" t="str">
        <f t="shared" si="112"/>
        <v>Mousehole passage 33' at 087deg from FO</v>
      </c>
    </row>
    <row r="351" spans="1:16" x14ac:dyDescent="0.25">
      <c r="A351" t="str">
        <f>'Raw Data'!A301</f>
        <v>FP</v>
      </c>
      <c r="B351" t="str">
        <f>'Raw Data'!B301</f>
        <v>FQ</v>
      </c>
      <c r="C351">
        <f>'Raw Data'!J301</f>
        <v>12</v>
      </c>
      <c r="D351" t="str">
        <f>'Interpreted Data'!G301</f>
        <v>319:00</v>
      </c>
      <c r="E351" t="str">
        <f>'Interpreted Data'!H301</f>
        <v>-</v>
      </c>
      <c r="F351" t="str">
        <f>SUBSTITUTE('Raw Data'!K301," ",":",1)</f>
        <v>-11:00</v>
      </c>
      <c r="G351">
        <f>'Interpreted Data'!N301</f>
        <v>-2.2999999999999998</v>
      </c>
      <c r="H351" t="str">
        <f>'Interpreted Data'!P301</f>
        <v/>
      </c>
      <c r="J351" t="str">
        <f t="shared" si="106"/>
        <v>FP</v>
      </c>
      <c r="K351" t="str">
        <f t="shared" si="107"/>
        <v>FQ</v>
      </c>
      <c r="L351">
        <f t="shared" si="108"/>
        <v>12</v>
      </c>
      <c r="M351" t="str">
        <f t="shared" si="109"/>
        <v>319:00</v>
      </c>
      <c r="N351" t="str">
        <f t="shared" si="110"/>
        <v>-</v>
      </c>
      <c r="O351" t="str">
        <f t="shared" si="111"/>
        <v>-11:00</v>
      </c>
      <c r="P351" t="str">
        <f t="shared" si="112"/>
        <v/>
      </c>
    </row>
    <row r="352" spans="1:16" x14ac:dyDescent="0.25">
      <c r="A352" t="str">
        <f>'Raw Data'!A302</f>
        <v>FQ</v>
      </c>
      <c r="B352" t="str">
        <f>'Raw Data'!B302</f>
        <v>FR</v>
      </c>
      <c r="C352">
        <f>'Raw Data'!J302</f>
        <v>39</v>
      </c>
      <c r="D352" t="str">
        <f>'Interpreted Data'!G302</f>
        <v>-</v>
      </c>
      <c r="E352" t="str">
        <f>'Interpreted Data'!H302</f>
        <v>088:00</v>
      </c>
      <c r="F352" t="str">
        <f>SUBSTITUTE('Raw Data'!K302," ",":",1)</f>
        <v>-6:30</v>
      </c>
      <c r="G352">
        <f>'Interpreted Data'!N302</f>
        <v>-4.4000000000000004</v>
      </c>
      <c r="H352" t="str">
        <f>'Interpreted Data'!P302</f>
        <v/>
      </c>
      <c r="J352" t="str">
        <f t="shared" si="106"/>
        <v>FQ</v>
      </c>
      <c r="K352" t="str">
        <f t="shared" si="107"/>
        <v>FR</v>
      </c>
      <c r="L352">
        <f t="shared" si="108"/>
        <v>39</v>
      </c>
      <c r="M352" t="str">
        <f t="shared" si="109"/>
        <v>-</v>
      </c>
      <c r="N352" t="str">
        <f t="shared" si="110"/>
        <v>088:00</v>
      </c>
      <c r="O352" t="str">
        <f t="shared" si="111"/>
        <v>-6:30</v>
      </c>
      <c r="P352" t="str">
        <f t="shared" si="112"/>
        <v/>
      </c>
    </row>
    <row r="353" spans="1:16" x14ac:dyDescent="0.25">
      <c r="A353" t="str">
        <f>'Raw Data'!A303</f>
        <v>FR</v>
      </c>
      <c r="B353" t="str">
        <f>'Raw Data'!B303</f>
        <v>DA</v>
      </c>
      <c r="C353">
        <f>'Raw Data'!J303</f>
        <v>29.2</v>
      </c>
      <c r="D353" t="str">
        <f>'Interpreted Data'!G303</f>
        <v>252:30</v>
      </c>
      <c r="E353" t="str">
        <f>'Interpreted Data'!H303</f>
        <v>-</v>
      </c>
      <c r="F353" t="str">
        <f>SUBSTITUTE('Raw Data'!K303," ",":",1)</f>
        <v>-24:30</v>
      </c>
      <c r="G353">
        <f>'Interpreted Data'!N303</f>
        <v>-12.1</v>
      </c>
      <c r="H353" t="str">
        <f>'Interpreted Data'!P303</f>
        <v>Ent to Old Grot on bridge</v>
      </c>
      <c r="J353" t="str">
        <f t="shared" si="106"/>
        <v>FR</v>
      </c>
      <c r="K353" t="str">
        <f t="shared" si="107"/>
        <v>DA</v>
      </c>
      <c r="L353">
        <f t="shared" si="108"/>
        <v>29.2</v>
      </c>
      <c r="M353" t="str">
        <f t="shared" si="109"/>
        <v>252:30</v>
      </c>
      <c r="N353" t="str">
        <f t="shared" si="110"/>
        <v>-</v>
      </c>
      <c r="O353" t="str">
        <f t="shared" si="111"/>
        <v>-24:30</v>
      </c>
      <c r="P353" t="str">
        <f t="shared" si="112"/>
        <v>Ent to Old Grot on bridge</v>
      </c>
    </row>
    <row r="354" spans="1:16" x14ac:dyDescent="0.25">
      <c r="A354" t="str">
        <f>'Raw Data'!A304</f>
        <v>DA</v>
      </c>
      <c r="B354">
        <f>'Raw Data'!B304</f>
        <v>0</v>
      </c>
      <c r="C354">
        <f>'Raw Data'!J304</f>
        <v>0</v>
      </c>
      <c r="D354" t="str">
        <f>'Interpreted Data'!G304</f>
        <v>-</v>
      </c>
      <c r="E354" t="str">
        <f>'Interpreted Data'!H304</f>
        <v>-</v>
      </c>
      <c r="F354" t="str">
        <f>SUBSTITUTE('Raw Data'!K304," ",":",1)</f>
        <v/>
      </c>
      <c r="G354" t="str">
        <f>'Interpreted Data'!N304</f>
        <v/>
      </c>
      <c r="H354" t="str">
        <f>'Interpreted Data'!P304</f>
        <v>1' further on at 45deg to right of last sta. (sketch of this DA relative to "DA boss")</v>
      </c>
      <c r="J354" t="str">
        <f>CONCATENATE("# ",A354)</f>
        <v># DA</v>
      </c>
      <c r="P354" t="str">
        <f t="shared" si="112"/>
        <v>1' further on at 45deg to right of last sta. (sketch of this DA relative to "DA boss")</v>
      </c>
    </row>
    <row r="355" spans="1:16" x14ac:dyDescent="0.25">
      <c r="A355" t="str">
        <f>'Raw Data'!A305</f>
        <v>FK</v>
      </c>
      <c r="B355" t="str">
        <f>'Raw Data'!B305</f>
        <v>FS</v>
      </c>
      <c r="C355">
        <f>'Raw Data'!J305</f>
        <v>31.3</v>
      </c>
      <c r="D355" t="str">
        <f>'Interpreted Data'!G305</f>
        <v>-</v>
      </c>
      <c r="E355" t="str">
        <f>'Interpreted Data'!H305</f>
        <v>271:40</v>
      </c>
      <c r="F355" t="str">
        <f>SUBSTITUTE('Raw Data'!K305," ",":",1)</f>
        <v>11:00</v>
      </c>
      <c r="G355">
        <f>'Interpreted Data'!N305</f>
        <v>6</v>
      </c>
      <c r="H355" t="str">
        <f>'Interpreted Data'!P305</f>
        <v/>
      </c>
      <c r="J355" t="str">
        <f t="shared" si="106"/>
        <v>FK</v>
      </c>
      <c r="K355" t="str">
        <f t="shared" si="107"/>
        <v>FS</v>
      </c>
      <c r="L355">
        <f t="shared" si="108"/>
        <v>31.3</v>
      </c>
      <c r="M355" t="str">
        <f t="shared" si="109"/>
        <v>-</v>
      </c>
      <c r="N355" t="str">
        <f t="shared" si="110"/>
        <v>271:40</v>
      </c>
      <c r="O355" t="str">
        <f t="shared" si="111"/>
        <v>11:00</v>
      </c>
      <c r="P355" t="str">
        <f t="shared" si="112"/>
        <v/>
      </c>
    </row>
    <row r="356" spans="1:16" x14ac:dyDescent="0.25">
      <c r="A356" t="str">
        <f>'Raw Data'!A306</f>
        <v>FS</v>
      </c>
      <c r="B356" t="str">
        <f>'Raw Data'!B306</f>
        <v>FT</v>
      </c>
      <c r="C356">
        <f>'Raw Data'!J306</f>
        <v>38.1</v>
      </c>
      <c r="D356" t="str">
        <f>'Interpreted Data'!G306</f>
        <v>162:00</v>
      </c>
      <c r="E356" t="str">
        <f>'Interpreted Data'!H306</f>
        <v>-</v>
      </c>
      <c r="F356" t="str">
        <f>SUBSTITUTE('Raw Data'!K306," ",":",1)</f>
        <v>17:00</v>
      </c>
      <c r="G356">
        <f>'Interpreted Data'!N306</f>
        <v>11.2</v>
      </c>
      <c r="H356" t="str">
        <f>'Interpreted Data'!P306</f>
        <v/>
      </c>
      <c r="J356" t="str">
        <f t="shared" ref="J356:J424" si="113">A356</f>
        <v>FS</v>
      </c>
      <c r="K356" t="str">
        <f t="shared" ref="K356:L424" si="114">B356</f>
        <v>FT</v>
      </c>
      <c r="L356">
        <f t="shared" ref="L356:L424" si="115">C356</f>
        <v>38.1</v>
      </c>
      <c r="M356" t="str">
        <f t="shared" ref="M356:M424" si="116">D356</f>
        <v>162:00</v>
      </c>
      <c r="N356" t="str">
        <f t="shared" ref="N356:N424" si="117">E356</f>
        <v>-</v>
      </c>
      <c r="O356" t="str">
        <f t="shared" ref="O356:O424" si="118">IF(AND(D356="-",E356="-"),IF(1*SUBSTITUTE(F356,":",".")=-90,"DOWN",IF(1*SUBSTITUTE(F356,":",".")=90,"UP","no compass")),F356)</f>
        <v>17:00</v>
      </c>
      <c r="P356" t="str">
        <f t="shared" ref="P356:P424" si="119">H356</f>
        <v/>
      </c>
    </row>
    <row r="357" spans="1:16" x14ac:dyDescent="0.25">
      <c r="J357" t="str">
        <f>$J$2</f>
        <v>data diving from to tape compass backcompass depthchange ignoreall</v>
      </c>
    </row>
    <row r="358" spans="1:16" x14ac:dyDescent="0.25">
      <c r="A358" t="str">
        <f>'Raw Data'!A307</f>
        <v>FT</v>
      </c>
      <c r="B358" t="str">
        <f>'Raw Data'!B307</f>
        <v>FU</v>
      </c>
      <c r="C358">
        <f>'Raw Data'!J307</f>
        <v>18.399999999999999</v>
      </c>
      <c r="D358" t="str">
        <f>'Interpreted Data'!G307</f>
        <v>008:00</v>
      </c>
      <c r="E358" t="str">
        <f>'Interpreted Data'!H307</f>
        <v>-</v>
      </c>
      <c r="F358" t="str">
        <f>SUBSTITUTE('Raw Data'!K307," ",":",1)</f>
        <v>+7:feet</v>
      </c>
      <c r="G358">
        <f>'Interpreted Data'!N307</f>
        <v>7</v>
      </c>
      <c r="H358" t="str">
        <f>'Interpreted Data'!P307</f>
        <v>Boss opposite squeeze. Passage to choke 15' at 160deg</v>
      </c>
      <c r="J358" t="str">
        <f t="shared" ref="J358:J360" si="120">A358</f>
        <v>FT</v>
      </c>
      <c r="K358" t="str">
        <f t="shared" ref="K358:K360" si="121">B358</f>
        <v>FU</v>
      </c>
      <c r="L358">
        <f t="shared" ref="L358:L360" si="122">C358</f>
        <v>18.399999999999999</v>
      </c>
      <c r="M358" t="str">
        <f t="shared" ref="M358:M360" si="123">D358</f>
        <v>008:00</v>
      </c>
      <c r="N358" t="str">
        <f t="shared" ref="N358:N360" si="124">E358</f>
        <v>-</v>
      </c>
      <c r="O358">
        <f t="shared" ref="O358:O360" si="125">G358</f>
        <v>7</v>
      </c>
      <c r="P358" t="str">
        <f t="shared" si="119"/>
        <v>Boss opposite squeeze. Passage to choke 15' at 160deg</v>
      </c>
    </row>
    <row r="359" spans="1:16" x14ac:dyDescent="0.25">
      <c r="A359" t="str">
        <f>'Raw Data'!A308</f>
        <v>FU</v>
      </c>
      <c r="B359" t="str">
        <f>'Raw Data'!B308</f>
        <v>FV</v>
      </c>
      <c r="C359">
        <f>'Raw Data'!J308</f>
        <v>13.3</v>
      </c>
      <c r="D359" t="str">
        <f>'Interpreted Data'!G308</f>
        <v>46</v>
      </c>
      <c r="E359" t="str">
        <f>'Interpreted Data'!H308</f>
        <v>-</v>
      </c>
      <c r="F359" t="str">
        <f>SUBSTITUTE('Raw Data'!K308," ",":",1)</f>
        <v>+5:feet</v>
      </c>
      <c r="G359">
        <f>'Interpreted Data'!N308</f>
        <v>5</v>
      </c>
      <c r="H359" t="str">
        <f>'Interpreted Data'!P308</f>
        <v>(sketch T-U-V-W)  New Grottoes</v>
      </c>
      <c r="J359" t="str">
        <f t="shared" si="120"/>
        <v>FU</v>
      </c>
      <c r="K359" t="str">
        <f t="shared" si="121"/>
        <v>FV</v>
      </c>
      <c r="L359">
        <f t="shared" si="122"/>
        <v>13.3</v>
      </c>
      <c r="M359" t="str">
        <f t="shared" si="123"/>
        <v>46</v>
      </c>
      <c r="N359" t="str">
        <f t="shared" si="124"/>
        <v>-</v>
      </c>
      <c r="O359">
        <f t="shared" si="125"/>
        <v>5</v>
      </c>
      <c r="P359" t="str">
        <f t="shared" si="119"/>
        <v>(sketch T-U-V-W)  New Grottoes</v>
      </c>
    </row>
    <row r="360" spans="1:16" x14ac:dyDescent="0.25">
      <c r="A360" t="str">
        <f>'Raw Data'!A309</f>
        <v>FV</v>
      </c>
      <c r="B360" t="str">
        <f>'Raw Data'!B309</f>
        <v>FW</v>
      </c>
      <c r="C360">
        <f>'Raw Data'!J309</f>
        <v>20.2</v>
      </c>
      <c r="D360" t="str">
        <f>'Interpreted Data'!G309</f>
        <v>75</v>
      </c>
      <c r="E360" t="str">
        <f>'Interpreted Data'!H309</f>
        <v>-</v>
      </c>
      <c r="F360" t="str">
        <f>SUBSTITUTE('Raw Data'!K309," ",":",1)</f>
        <v>+3:feet</v>
      </c>
      <c r="G360">
        <f>'Interpreted Data'!N309</f>
        <v>3</v>
      </c>
      <c r="H360" t="str">
        <f>'Interpreted Data'!P309</f>
        <v/>
      </c>
      <c r="J360" t="str">
        <f t="shared" si="120"/>
        <v>FV</v>
      </c>
      <c r="K360" t="str">
        <f t="shared" si="121"/>
        <v>FW</v>
      </c>
      <c r="L360">
        <f t="shared" si="122"/>
        <v>20.2</v>
      </c>
      <c r="M360" t="str">
        <f t="shared" si="123"/>
        <v>75</v>
      </c>
      <c r="N360" t="str">
        <f t="shared" si="124"/>
        <v>-</v>
      </c>
      <c r="O360">
        <f t="shared" si="125"/>
        <v>3</v>
      </c>
      <c r="P360" t="str">
        <f t="shared" si="119"/>
        <v/>
      </c>
    </row>
    <row r="361" spans="1:16" x14ac:dyDescent="0.25">
      <c r="A361" t="str">
        <f>'Raw Data'!A310</f>
        <v>FW</v>
      </c>
      <c r="B361">
        <f>'Raw Data'!B310</f>
        <v>0</v>
      </c>
      <c r="C361">
        <f>'Raw Data'!J310</f>
        <v>0</v>
      </c>
      <c r="D361" t="str">
        <f>'Interpreted Data'!G310</f>
        <v>-</v>
      </c>
      <c r="E361" t="str">
        <f>'Interpreted Data'!H310</f>
        <v>-</v>
      </c>
      <c r="F361" t="str">
        <f>SUBSTITUTE('Raw Data'!K310," ",":",1)</f>
        <v/>
      </c>
      <c r="G361" t="str">
        <f>'Interpreted Data'!N310</f>
        <v/>
      </c>
      <c r="H361" t="str">
        <f>'Interpreted Data'!P310</f>
        <v>Total = 6,448'</v>
      </c>
      <c r="J361" t="str">
        <f>CONCATENATE("# ",A361)</f>
        <v># FW</v>
      </c>
      <c r="P361" t="str">
        <f t="shared" si="119"/>
        <v>Total = 6,448'</v>
      </c>
    </row>
    <row r="363" spans="1:16" x14ac:dyDescent="0.25">
      <c r="A363" t="str">
        <f>'Raw Data'!A312</f>
        <v>16th May '53</v>
      </c>
      <c r="B363" t="str">
        <f>'Raw Data'!B312</f>
        <v xml:space="preserve">Luke </v>
      </c>
      <c r="C363" t="str">
        <f>'Raw Data'!C312</f>
        <v>(a little surface tie up)</v>
      </c>
      <c r="D363">
        <f>'Raw Data'!D312</f>
        <v>0</v>
      </c>
      <c r="E363">
        <f>'Raw Data'!E312</f>
        <v>0</v>
      </c>
      <c r="F363" t="str">
        <f>SUBSTITUTE('Raw Data'!K312," ",":",1)</f>
        <v/>
      </c>
      <c r="G363" t="str">
        <f>'Interpreted Data'!N312</f>
        <v/>
      </c>
      <c r="H363" t="str">
        <f>'Interpreted Data'!P312</f>
        <v/>
      </c>
      <c r="J363" t="str">
        <f>CONCATENATE("# ",A363)</f>
        <v># 16th May '53</v>
      </c>
      <c r="K363" t="str">
        <f t="shared" si="114"/>
        <v xml:space="preserve">Luke </v>
      </c>
      <c r="L363" t="str">
        <f t="shared" si="114"/>
        <v>(a little surface tie up)</v>
      </c>
      <c r="P363" t="str">
        <f t="shared" si="119"/>
        <v/>
      </c>
    </row>
    <row r="364" spans="1:16" x14ac:dyDescent="0.25">
      <c r="J364" t="str">
        <f>$J$1</f>
        <v>data normal from to tape compass backcompass clino ignoreall</v>
      </c>
    </row>
    <row r="365" spans="1:16" x14ac:dyDescent="0.25">
      <c r="A365" t="str">
        <f>'Raw Data'!A313</f>
        <v>EC</v>
      </c>
      <c r="B365" t="str">
        <f>'Raw Data'!B313</f>
        <v>ED</v>
      </c>
      <c r="C365">
        <f>'Raw Data'!J313</f>
        <v>9.8000000000000007</v>
      </c>
      <c r="D365" t="str">
        <f>'Interpreted Data'!G313</f>
        <v>-</v>
      </c>
      <c r="E365" t="str">
        <f>'Interpreted Data'!H313</f>
        <v>346:00</v>
      </c>
      <c r="F365" t="str">
        <f>SUBSTITUTE('Raw Data'!K313," ",":",1)</f>
        <v>45:15</v>
      </c>
      <c r="G365">
        <f>'Interpreted Data'!N313</f>
        <v>7</v>
      </c>
      <c r="H365" t="str">
        <f>'Interpreted Data'!P313</f>
        <v>ED is the obtuse angle in the grating (sketch of grating marking ED)</v>
      </c>
      <c r="J365" t="str">
        <f t="shared" si="113"/>
        <v>EC</v>
      </c>
      <c r="K365" t="str">
        <f t="shared" si="114"/>
        <v>ED</v>
      </c>
      <c r="L365">
        <f t="shared" si="115"/>
        <v>9.8000000000000007</v>
      </c>
      <c r="M365" t="str">
        <f t="shared" si="116"/>
        <v>-</v>
      </c>
      <c r="N365" t="str">
        <f t="shared" si="117"/>
        <v>346:00</v>
      </c>
      <c r="O365" t="str">
        <f t="shared" si="118"/>
        <v>45:15</v>
      </c>
      <c r="P365" t="str">
        <f t="shared" si="119"/>
        <v>ED is the obtuse angle in the grating (sketch of grating marking ED)</v>
      </c>
    </row>
    <row r="366" spans="1:16" x14ac:dyDescent="0.25">
      <c r="A366" t="str">
        <f>'Raw Data'!A314</f>
        <v>ED</v>
      </c>
      <c r="B366" t="str">
        <f>'Raw Data'!B314</f>
        <v>EE</v>
      </c>
      <c r="C366">
        <f>'Raw Data'!J314</f>
        <v>38.1</v>
      </c>
      <c r="D366" t="str">
        <f>'Interpreted Data'!G314</f>
        <v>-</v>
      </c>
      <c r="E366" t="str">
        <f>'Interpreted Data'!H314</f>
        <v>042:00</v>
      </c>
      <c r="F366" t="str">
        <f>SUBSTITUTE('Raw Data'!K314," ",":",1)</f>
        <v>19:00</v>
      </c>
      <c r="G366">
        <f>'Interpreted Data'!N314</f>
        <v>12.4</v>
      </c>
      <c r="H366" t="str">
        <f>'Interpreted Data'!P314</f>
        <v>Depth Sump II = 400.9' = 378' O.D.</v>
      </c>
      <c r="J366" t="str">
        <f t="shared" si="113"/>
        <v>ED</v>
      </c>
      <c r="K366" t="str">
        <f t="shared" si="114"/>
        <v>EE</v>
      </c>
      <c r="L366">
        <f t="shared" si="115"/>
        <v>38.1</v>
      </c>
      <c r="M366" t="str">
        <f t="shared" si="116"/>
        <v>-</v>
      </c>
      <c r="N366" t="str">
        <f t="shared" si="117"/>
        <v>042:00</v>
      </c>
      <c r="O366" t="str">
        <f t="shared" si="118"/>
        <v>19:00</v>
      </c>
      <c r="P366" t="str">
        <f t="shared" si="119"/>
        <v>Depth Sump II = 400.9' = 378' O.D.</v>
      </c>
    </row>
    <row r="367" spans="1:16" x14ac:dyDescent="0.25">
      <c r="A367" t="str">
        <f>'Raw Data'!A315</f>
        <v>EE</v>
      </c>
      <c r="B367" t="str">
        <f>'Raw Data'!B315</f>
        <v>EF</v>
      </c>
      <c r="C367">
        <f>'Raw Data'!J315</f>
        <v>63.3</v>
      </c>
      <c r="D367" t="str">
        <f>'Interpreted Data'!G315</f>
        <v>190:30</v>
      </c>
      <c r="E367" t="str">
        <f>'Interpreted Data'!H315</f>
        <v>-</v>
      </c>
      <c r="F367" t="str">
        <f>SUBSTITUTE('Raw Data'!K315," ",":",1)</f>
        <v>12:40</v>
      </c>
      <c r="G367">
        <f>'Interpreted Data'!N315</f>
        <v>13.8</v>
      </c>
      <c r="H367" t="str">
        <f>'Interpreted Data'!P315</f>
        <v>Alt entrance = 778.8 O.D. = 289' to fall to Cheddar (sketch of EE-EH with some surface features lines?)</v>
      </c>
      <c r="J367" t="str">
        <f t="shared" si="113"/>
        <v>EE</v>
      </c>
      <c r="K367" t="str">
        <f t="shared" si="114"/>
        <v>EF</v>
      </c>
      <c r="L367">
        <f t="shared" si="115"/>
        <v>63.3</v>
      </c>
      <c r="M367" t="str">
        <f t="shared" si="116"/>
        <v>190:30</v>
      </c>
      <c r="N367" t="str">
        <f t="shared" si="117"/>
        <v>-</v>
      </c>
      <c r="O367" t="str">
        <f t="shared" si="118"/>
        <v>12:40</v>
      </c>
      <c r="P367" t="str">
        <f t="shared" si="119"/>
        <v>Alt entrance = 778.8 O.D. = 289' to fall to Cheddar (sketch of EE-EH with some surface features lines?)</v>
      </c>
    </row>
    <row r="368" spans="1:16" x14ac:dyDescent="0.25">
      <c r="A368" t="str">
        <f>'Raw Data'!A316</f>
        <v>EE</v>
      </c>
      <c r="B368" t="str">
        <f>'Raw Data'!B316</f>
        <v>EG</v>
      </c>
      <c r="C368">
        <f>'Raw Data'!J316</f>
        <v>57.3</v>
      </c>
      <c r="D368" t="str">
        <f>'Interpreted Data'!G316</f>
        <v>229:40</v>
      </c>
      <c r="E368" t="str">
        <f>'Interpreted Data'!H316</f>
        <v>-</v>
      </c>
      <c r="F368" t="str">
        <f>SUBSTITUTE('Raw Data'!K316," ",":",1)</f>
        <v>10:00</v>
      </c>
      <c r="G368">
        <f>'Interpreted Data'!N316</f>
        <v>9.9</v>
      </c>
      <c r="H368" t="str">
        <f>'Interpreted Data'!P316</f>
        <v>EF is 5' above ground level</v>
      </c>
      <c r="J368" t="str">
        <f t="shared" si="113"/>
        <v>EE</v>
      </c>
      <c r="K368" t="str">
        <f t="shared" si="114"/>
        <v>EG</v>
      </c>
      <c r="L368">
        <f t="shared" si="115"/>
        <v>57.3</v>
      </c>
      <c r="M368" t="str">
        <f t="shared" si="116"/>
        <v>229:40</v>
      </c>
      <c r="N368" t="str">
        <f t="shared" si="117"/>
        <v>-</v>
      </c>
      <c r="O368" t="str">
        <f t="shared" si="118"/>
        <v>10:00</v>
      </c>
      <c r="P368" t="str">
        <f t="shared" si="119"/>
        <v>EF is 5' above ground level</v>
      </c>
    </row>
    <row r="369" spans="1:16" x14ac:dyDescent="0.25">
      <c r="A369" t="str">
        <f>'Raw Data'!A317</f>
        <v>EE</v>
      </c>
      <c r="B369" t="str">
        <f>'Raw Data'!B317</f>
        <v>EH</v>
      </c>
      <c r="C369">
        <f>'Raw Data'!J317</f>
        <v>190.3</v>
      </c>
      <c r="D369" t="str">
        <f>'Interpreted Data'!G317</f>
        <v>328:00</v>
      </c>
      <c r="E369" t="str">
        <f>'Interpreted Data'!H317</f>
        <v>-</v>
      </c>
      <c r="F369" t="str">
        <f>SUBSTITUTE('Raw Data'!K317," ",":",1)</f>
        <v>8:00</v>
      </c>
      <c r="G369">
        <f>'Interpreted Data'!N317</f>
        <v>26.5</v>
      </c>
      <c r="H369" t="str">
        <f>'Interpreted Data'!P317</f>
        <v>EG is 4.5' up; EH is 4' up.</v>
      </c>
      <c r="J369" t="str">
        <f t="shared" si="113"/>
        <v>EE</v>
      </c>
      <c r="K369" t="str">
        <f t="shared" si="114"/>
        <v>EH</v>
      </c>
      <c r="L369">
        <f t="shared" si="115"/>
        <v>190.3</v>
      </c>
      <c r="M369" t="str">
        <f t="shared" si="116"/>
        <v>328:00</v>
      </c>
      <c r="N369" t="str">
        <f t="shared" si="117"/>
        <v>-</v>
      </c>
      <c r="O369" t="str">
        <f t="shared" si="118"/>
        <v>8:00</v>
      </c>
      <c r="P369" t="str">
        <f t="shared" si="119"/>
        <v>EG is 4.5' up; EH is 4' up.</v>
      </c>
    </row>
    <row r="370" spans="1:16" x14ac:dyDescent="0.25">
      <c r="A370" t="str">
        <f>'Raw Data'!A318</f>
        <v>EH</v>
      </c>
      <c r="B370">
        <f>'Raw Data'!B318</f>
        <v>0</v>
      </c>
      <c r="C370">
        <f>'Raw Data'!J318</f>
        <v>0</v>
      </c>
      <c r="D370" t="str">
        <f>'Interpreted Data'!G318</f>
        <v>-</v>
      </c>
      <c r="E370" t="str">
        <f>'Interpreted Data'!H318</f>
        <v>-</v>
      </c>
      <c r="F370" t="str">
        <f>SUBSTITUTE('Raw Data'!K318," ",":",1)</f>
        <v/>
      </c>
      <c r="G370" t="str">
        <f>'Interpreted Data'!N318</f>
        <v/>
      </c>
      <c r="H370" t="str">
        <f>'Interpreted Data'!P318</f>
        <v/>
      </c>
      <c r="J370" t="str">
        <f>CONCATENATE("# ",A370)</f>
        <v># EH</v>
      </c>
      <c r="P370" t="str">
        <f t="shared" si="119"/>
        <v/>
      </c>
    </row>
    <row r="372" spans="1:16" x14ac:dyDescent="0.25">
      <c r="A372" t="str">
        <f>'Raw Data'!A320</f>
        <v>24th May '53</v>
      </c>
      <c r="B372" t="str">
        <f>'Raw Data'!B320</f>
        <v>Oliver (+ Richard)</v>
      </c>
      <c r="C372" t="str">
        <f>'Raw Data'!C320</f>
        <v>Wet Way</v>
      </c>
      <c r="G372" t="str">
        <f>'Interpreted Data'!N320</f>
        <v/>
      </c>
      <c r="H372" t="str">
        <f>'Interpreted Data'!P320</f>
        <v/>
      </c>
      <c r="J372" t="str">
        <f>CONCATENATE("# ",A372)</f>
        <v># 24th May '53</v>
      </c>
      <c r="K372" t="str">
        <f t="shared" si="114"/>
        <v>Oliver (+ Richard)</v>
      </c>
      <c r="L372" t="str">
        <f t="shared" si="114"/>
        <v>Wet Way</v>
      </c>
      <c r="P372" t="str">
        <f t="shared" si="119"/>
        <v/>
      </c>
    </row>
    <row r="373" spans="1:16" x14ac:dyDescent="0.25">
      <c r="J373" t="str">
        <f>$J$1</f>
        <v>data normal from to tape compass backcompass clino ignoreall</v>
      </c>
    </row>
    <row r="374" spans="1:16" x14ac:dyDescent="0.25">
      <c r="A374" t="str">
        <f>'Raw Data'!A321</f>
        <v>FB</v>
      </c>
      <c r="B374" t="str">
        <f>'Raw Data'!B321</f>
        <v>FX</v>
      </c>
      <c r="C374">
        <f>'Raw Data'!J321</f>
        <v>15.6</v>
      </c>
      <c r="D374" t="str">
        <f>'Interpreted Data'!G321</f>
        <v>-</v>
      </c>
      <c r="E374" t="str">
        <f>'Interpreted Data'!H321</f>
        <v>035:00</v>
      </c>
      <c r="F374" t="str">
        <f>SUBSTITUTE('Raw Data'!K321," ",":",1)</f>
        <v>22:00</v>
      </c>
      <c r="G374">
        <f>'Interpreted Data'!N321</f>
        <v>5.9</v>
      </c>
      <c r="H374" t="str">
        <f>'Interpreted Data'!P321</f>
        <v>See p.67 above</v>
      </c>
      <c r="J374" t="str">
        <f t="shared" si="113"/>
        <v>FB</v>
      </c>
      <c r="K374" t="str">
        <f t="shared" si="114"/>
        <v>FX</v>
      </c>
      <c r="L374">
        <f t="shared" si="115"/>
        <v>15.6</v>
      </c>
      <c r="M374" t="str">
        <f t="shared" si="116"/>
        <v>-</v>
      </c>
      <c r="N374" t="str">
        <f t="shared" si="117"/>
        <v>035:00</v>
      </c>
      <c r="O374" t="str">
        <f t="shared" si="118"/>
        <v>22:00</v>
      </c>
      <c r="P374" t="str">
        <f t="shared" si="119"/>
        <v>See p.67 above</v>
      </c>
    </row>
    <row r="375" spans="1:16" x14ac:dyDescent="0.25">
      <c r="A375" t="str">
        <f>'Raw Data'!A322</f>
        <v>FX</v>
      </c>
      <c r="B375" t="str">
        <f>'Raw Data'!B322</f>
        <v>FY</v>
      </c>
      <c r="C375">
        <f>'Raw Data'!J322</f>
        <v>15.1</v>
      </c>
      <c r="D375" t="str">
        <f>'Interpreted Data'!G322</f>
        <v>173:00</v>
      </c>
      <c r="E375" t="str">
        <f>'Interpreted Data'!H322</f>
        <v>-</v>
      </c>
      <c r="F375" t="str">
        <f>SUBSTITUTE('Raw Data'!K322," ",":",1)</f>
        <v>-33:30</v>
      </c>
      <c r="G375">
        <f>'Interpreted Data'!N322</f>
        <v>-8.3000000000000007</v>
      </c>
      <c r="H375" t="str">
        <f>'Interpreted Data'!P322</f>
        <v>(sketch FB,FX,FY,FZ,GA,GR,GB,GC,GD)</v>
      </c>
      <c r="J375" t="str">
        <f t="shared" si="113"/>
        <v>FX</v>
      </c>
      <c r="K375" t="str">
        <f t="shared" si="114"/>
        <v>FY</v>
      </c>
      <c r="L375">
        <f t="shared" si="115"/>
        <v>15.1</v>
      </c>
      <c r="M375" t="str">
        <f t="shared" si="116"/>
        <v>173:00</v>
      </c>
      <c r="N375" t="str">
        <f t="shared" si="117"/>
        <v>-</v>
      </c>
      <c r="O375" t="str">
        <f t="shared" si="118"/>
        <v>-33:30</v>
      </c>
      <c r="P375" t="str">
        <f t="shared" si="119"/>
        <v>(sketch FB,FX,FY,FZ,GA,GR,GB,GC,GD)</v>
      </c>
    </row>
    <row r="376" spans="1:16" x14ac:dyDescent="0.25">
      <c r="A376" t="str">
        <f>'Raw Data'!A323</f>
        <v>FY</v>
      </c>
      <c r="B376" t="str">
        <f>'Raw Data'!B323</f>
        <v>FZ</v>
      </c>
      <c r="C376">
        <f>'Raw Data'!J323</f>
        <v>16.399999999999999</v>
      </c>
      <c r="D376" t="str">
        <f>'Interpreted Data'!G323</f>
        <v>-</v>
      </c>
      <c r="E376" t="str">
        <f>'Interpreted Data'!H323</f>
        <v>079:00</v>
      </c>
      <c r="F376" t="str">
        <f>SUBSTITUTE('Raw Data'!K323," ",":",1)</f>
        <v>-25:00</v>
      </c>
      <c r="G376">
        <f>'Interpreted Data'!N323</f>
        <v>-6.9</v>
      </c>
      <c r="H376" t="str">
        <f>'Interpreted Data'!P323</f>
        <v/>
      </c>
      <c r="J376" t="str">
        <f t="shared" si="113"/>
        <v>FY</v>
      </c>
      <c r="K376" t="str">
        <f t="shared" si="114"/>
        <v>FZ</v>
      </c>
      <c r="L376">
        <f t="shared" si="115"/>
        <v>16.399999999999999</v>
      </c>
      <c r="M376" t="str">
        <f t="shared" si="116"/>
        <v>-</v>
      </c>
      <c r="N376" t="str">
        <f t="shared" si="117"/>
        <v>079:00</v>
      </c>
      <c r="O376" t="str">
        <f t="shared" si="118"/>
        <v>-25:00</v>
      </c>
      <c r="P376" t="str">
        <f t="shared" si="119"/>
        <v/>
      </c>
    </row>
    <row r="377" spans="1:16" x14ac:dyDescent="0.25">
      <c r="A377" t="str">
        <f>'Raw Data'!A324</f>
        <v>FZ</v>
      </c>
      <c r="B377" t="str">
        <f>'Raw Data'!B324</f>
        <v>GA</v>
      </c>
      <c r="C377">
        <f>'Raw Data'!J324</f>
        <v>10</v>
      </c>
      <c r="D377" t="str">
        <f>'Interpreted Data'!G324</f>
        <v>-</v>
      </c>
      <c r="E377" t="str">
        <f>'Interpreted Data'!H324</f>
        <v>024:30</v>
      </c>
      <c r="F377" t="str">
        <f>SUBSTITUTE('Raw Data'!K324," ",":",1)</f>
        <v>-3:00</v>
      </c>
      <c r="G377">
        <f>'Interpreted Data'!N324</f>
        <v>-0.5</v>
      </c>
      <c r="H377" t="str">
        <f>'Interpreted Data'!P324</f>
        <v/>
      </c>
      <c r="J377" t="str">
        <f t="shared" si="113"/>
        <v>FZ</v>
      </c>
      <c r="K377" t="str">
        <f t="shared" si="114"/>
        <v>GA</v>
      </c>
      <c r="L377">
        <f t="shared" si="115"/>
        <v>10</v>
      </c>
      <c r="M377" t="str">
        <f t="shared" si="116"/>
        <v>-</v>
      </c>
      <c r="N377" t="str">
        <f t="shared" si="117"/>
        <v>024:30</v>
      </c>
      <c r="O377" t="str">
        <f t="shared" si="118"/>
        <v>-3:00</v>
      </c>
      <c r="P377" t="str">
        <f t="shared" si="119"/>
        <v/>
      </c>
    </row>
    <row r="378" spans="1:16" x14ac:dyDescent="0.25">
      <c r="A378" t="str">
        <f>'Raw Data'!A325</f>
        <v>GA</v>
      </c>
      <c r="B378" t="str">
        <f>'Raw Data'!B325</f>
        <v>GR</v>
      </c>
      <c r="C378">
        <f>'Raw Data'!J325</f>
        <v>11.5</v>
      </c>
      <c r="D378" t="str">
        <f>'Interpreted Data'!G325</f>
        <v>229:10</v>
      </c>
      <c r="E378" t="str">
        <f>'Interpreted Data'!H325</f>
        <v>-</v>
      </c>
      <c r="F378" t="str">
        <f>SUBSTITUTE('Raw Data'!K325," ",":",1)</f>
        <v>-12:15</v>
      </c>
      <c r="G378">
        <f>'Interpreted Data'!N325</f>
        <v>-2.4</v>
      </c>
      <c r="H378" t="str">
        <f>'Interpreted Data'!P325</f>
        <v/>
      </c>
      <c r="J378" t="str">
        <f t="shared" si="113"/>
        <v>GA</v>
      </c>
      <c r="K378" t="str">
        <f t="shared" si="114"/>
        <v>GR</v>
      </c>
      <c r="L378">
        <f t="shared" si="115"/>
        <v>11.5</v>
      </c>
      <c r="M378" t="str">
        <f t="shared" si="116"/>
        <v>229:10</v>
      </c>
      <c r="N378" t="str">
        <f t="shared" si="117"/>
        <v>-</v>
      </c>
      <c r="O378" t="str">
        <f t="shared" si="118"/>
        <v>-12:15</v>
      </c>
      <c r="P378" t="str">
        <f t="shared" si="119"/>
        <v/>
      </c>
    </row>
    <row r="379" spans="1:16" x14ac:dyDescent="0.25">
      <c r="A379" t="str">
        <f>'Raw Data'!A326</f>
        <v>GR</v>
      </c>
      <c r="B379">
        <f>'Raw Data'!B326</f>
        <v>0</v>
      </c>
      <c r="C379" t="str">
        <f>'Raw Data'!J326</f>
        <v>-</v>
      </c>
      <c r="D379" t="str">
        <f>'Interpreted Data'!G326</f>
        <v>-</v>
      </c>
      <c r="E379" t="str">
        <f>'Interpreted Data'!H326</f>
        <v>-</v>
      </c>
      <c r="F379" t="str">
        <f>SUBSTITUTE('Raw Data'!K326," ",":",1)</f>
        <v>-</v>
      </c>
      <c r="G379">
        <f>'Interpreted Data'!N326</f>
        <v>0</v>
      </c>
      <c r="H379" t="str">
        <f>'Interpreted Data'!P326</f>
        <v/>
      </c>
      <c r="J379" t="str">
        <f>CONCATENATE("# ",A379)</f>
        <v># GR</v>
      </c>
      <c r="P379" t="str">
        <f t="shared" si="119"/>
        <v/>
      </c>
    </row>
    <row r="380" spans="1:16" x14ac:dyDescent="0.25">
      <c r="A380" t="str">
        <f>'Raw Data'!A327</f>
        <v>GA</v>
      </c>
      <c r="B380" t="str">
        <f>'Raw Data'!B327</f>
        <v>GB</v>
      </c>
      <c r="C380">
        <f>'Raw Data'!J327</f>
        <v>21.6</v>
      </c>
      <c r="D380" t="str">
        <f>'Interpreted Data'!G327</f>
        <v>162:00</v>
      </c>
      <c r="E380" t="str">
        <f>'Interpreted Data'!H327</f>
        <v>-</v>
      </c>
      <c r="F380" t="str">
        <f>SUBSTITUTE('Raw Data'!K327," ",":",1)</f>
        <v>7:40</v>
      </c>
      <c r="G380">
        <f>'Interpreted Data'!N327</f>
        <v>2.9</v>
      </c>
      <c r="H380" t="str">
        <f>'Interpreted Data'!P327</f>
        <v/>
      </c>
      <c r="J380" t="str">
        <f t="shared" si="113"/>
        <v>GA</v>
      </c>
      <c r="K380" t="str">
        <f t="shared" si="114"/>
        <v>GB</v>
      </c>
      <c r="L380">
        <f t="shared" si="115"/>
        <v>21.6</v>
      </c>
      <c r="M380" t="str">
        <f t="shared" si="116"/>
        <v>162:00</v>
      </c>
      <c r="N380" t="str">
        <f t="shared" si="117"/>
        <v>-</v>
      </c>
      <c r="O380" t="str">
        <f t="shared" si="118"/>
        <v>7:40</v>
      </c>
      <c r="P380" t="str">
        <f t="shared" si="119"/>
        <v/>
      </c>
    </row>
    <row r="381" spans="1:16" x14ac:dyDescent="0.25">
      <c r="A381" t="str">
        <f>'Raw Data'!A328</f>
        <v>GB</v>
      </c>
      <c r="B381" t="str">
        <f>'Raw Data'!B328</f>
        <v>GC</v>
      </c>
      <c r="C381">
        <f>'Raw Data'!J328</f>
        <v>17.8</v>
      </c>
      <c r="D381" t="str">
        <f>'Interpreted Data'!G328</f>
        <v>-</v>
      </c>
      <c r="E381" t="str">
        <f>'Interpreted Data'!H328</f>
        <v>267:00</v>
      </c>
      <c r="F381" t="str">
        <f>SUBSTITUTE('Raw Data'!K328," ",":",1)</f>
        <v>19:00</v>
      </c>
      <c r="G381">
        <f>'Interpreted Data'!N328</f>
        <v>5.8</v>
      </c>
      <c r="H381" t="str">
        <f>'Interpreted Data'!P328</f>
        <v/>
      </c>
      <c r="J381" t="str">
        <f t="shared" si="113"/>
        <v>GB</v>
      </c>
      <c r="K381" t="str">
        <f t="shared" si="114"/>
        <v>GC</v>
      </c>
      <c r="L381">
        <f t="shared" si="115"/>
        <v>17.8</v>
      </c>
      <c r="M381" t="str">
        <f t="shared" si="116"/>
        <v>-</v>
      </c>
      <c r="N381" t="str">
        <f t="shared" si="117"/>
        <v>267:00</v>
      </c>
      <c r="O381" t="str">
        <f t="shared" si="118"/>
        <v>19:00</v>
      </c>
      <c r="P381" t="str">
        <f t="shared" si="119"/>
        <v/>
      </c>
    </row>
    <row r="382" spans="1:16" x14ac:dyDescent="0.25">
      <c r="A382" t="str">
        <f>'Raw Data'!A329</f>
        <v>GC</v>
      </c>
      <c r="B382" t="str">
        <f>'Raw Data'!B329</f>
        <v>GD</v>
      </c>
      <c r="C382">
        <f>'Raw Data'!J329</f>
        <v>16.100000000000001</v>
      </c>
      <c r="D382" t="str">
        <f>'Interpreted Data'!G329</f>
        <v>113:00</v>
      </c>
      <c r="E382" t="str">
        <f>'Interpreted Data'!H329</f>
        <v>-</v>
      </c>
      <c r="F382" t="str">
        <f>SUBSTITUTE('Raw Data'!K329," ",":",1)</f>
        <v>18:30</v>
      </c>
      <c r="G382">
        <f>'Interpreted Data'!N329</f>
        <v>5.0999999999999996</v>
      </c>
      <c r="H382" t="str">
        <f>'Interpreted Data'!P329</f>
        <v/>
      </c>
      <c r="J382" t="str">
        <f t="shared" si="113"/>
        <v>GC</v>
      </c>
      <c r="K382" t="str">
        <f t="shared" si="114"/>
        <v>GD</v>
      </c>
      <c r="L382">
        <f t="shared" si="115"/>
        <v>16.100000000000001</v>
      </c>
      <c r="M382" t="str">
        <f t="shared" si="116"/>
        <v>113:00</v>
      </c>
      <c r="N382" t="str">
        <f t="shared" si="117"/>
        <v>-</v>
      </c>
      <c r="O382" t="str">
        <f t="shared" si="118"/>
        <v>18:30</v>
      </c>
      <c r="P382" t="str">
        <f t="shared" si="119"/>
        <v/>
      </c>
    </row>
    <row r="383" spans="1:16" x14ac:dyDescent="0.25">
      <c r="A383" t="str">
        <f>'Raw Data'!A330</f>
        <v>GD</v>
      </c>
      <c r="B383" t="str">
        <f>'Raw Data'!B330</f>
        <v>GE</v>
      </c>
      <c r="C383">
        <f>'Raw Data'!J330</f>
        <v>15.5</v>
      </c>
      <c r="D383" t="str">
        <f>'Interpreted Data'!G330</f>
        <v>-</v>
      </c>
      <c r="E383" t="str">
        <f>'Interpreted Data'!H330</f>
        <v>324:30</v>
      </c>
      <c r="F383" t="str">
        <f>SUBSTITUTE('Raw Data'!K330," ",":",1)</f>
        <v>15:30</v>
      </c>
      <c r="G383">
        <f>'Interpreted Data'!N330</f>
        <v>4.0999999999999996</v>
      </c>
      <c r="H383" t="str">
        <f>'Interpreted Data'!P330</f>
        <v>(sketches of  GD-GG and GG-GF-EA))</v>
      </c>
      <c r="J383" t="str">
        <f t="shared" si="113"/>
        <v>GD</v>
      </c>
      <c r="K383" t="str">
        <f t="shared" si="114"/>
        <v>GE</v>
      </c>
      <c r="L383">
        <f t="shared" si="115"/>
        <v>15.5</v>
      </c>
      <c r="M383" t="str">
        <f t="shared" si="116"/>
        <v>-</v>
      </c>
      <c r="N383" t="str">
        <f t="shared" si="117"/>
        <v>324:30</v>
      </c>
      <c r="O383" t="str">
        <f t="shared" si="118"/>
        <v>15:30</v>
      </c>
      <c r="P383" t="str">
        <f t="shared" si="119"/>
        <v>(sketches of  GD-GG and GG-GF-EA))</v>
      </c>
    </row>
    <row r="384" spans="1:16" x14ac:dyDescent="0.25">
      <c r="A384" t="str">
        <f>'Raw Data'!A331</f>
        <v>GE</v>
      </c>
      <c r="B384" t="str">
        <f>'Raw Data'!B331</f>
        <v>GF</v>
      </c>
      <c r="C384">
        <f>'Raw Data'!J331</f>
        <v>9.3000000000000007</v>
      </c>
      <c r="D384" t="str">
        <f>'Interpreted Data'!G331</f>
        <v>193:00</v>
      </c>
      <c r="E384" t="str">
        <f>'Interpreted Data'!H331</f>
        <v>-</v>
      </c>
      <c r="F384" t="str">
        <f>SUBSTITUTE('Raw Data'!K331," ",":",1)</f>
        <v>29:30</v>
      </c>
      <c r="G384">
        <f>'Interpreted Data'!N331</f>
        <v>4.5999999999999996</v>
      </c>
      <c r="H384" t="str">
        <f>'Interpreted Data'!P331</f>
        <v/>
      </c>
      <c r="J384" t="str">
        <f t="shared" si="113"/>
        <v>GE</v>
      </c>
      <c r="K384" t="str">
        <f t="shared" si="114"/>
        <v>GF</v>
      </c>
      <c r="L384">
        <f t="shared" si="115"/>
        <v>9.3000000000000007</v>
      </c>
      <c r="M384" t="str">
        <f t="shared" si="116"/>
        <v>193:00</v>
      </c>
      <c r="N384" t="str">
        <f t="shared" si="117"/>
        <v>-</v>
      </c>
      <c r="O384" t="str">
        <f t="shared" si="118"/>
        <v>29:30</v>
      </c>
      <c r="P384" t="str">
        <f t="shared" si="119"/>
        <v/>
      </c>
    </row>
    <row r="385" spans="1:16" x14ac:dyDescent="0.25">
      <c r="A385" t="str">
        <f>'Raw Data'!A332</f>
        <v>GF</v>
      </c>
      <c r="B385" t="str">
        <f>'Raw Data'!B332</f>
        <v>GG</v>
      </c>
      <c r="C385">
        <f>'Raw Data'!J332</f>
        <v>26.5</v>
      </c>
      <c r="D385" t="str">
        <f>'Interpreted Data'!G332</f>
        <v>-</v>
      </c>
      <c r="E385" t="str">
        <f>'Interpreted Data'!H332</f>
        <v>156:30</v>
      </c>
      <c r="F385" t="str">
        <f>SUBSTITUTE('Raw Data'!K332," ",":",1)</f>
        <v>18:00</v>
      </c>
      <c r="G385">
        <f>'Interpreted Data'!N332</f>
        <v>8.1999999999999993</v>
      </c>
      <c r="H385" t="str">
        <f>'Interpreted Data'!P332</f>
        <v/>
      </c>
      <c r="J385" t="str">
        <f t="shared" si="113"/>
        <v>GF</v>
      </c>
      <c r="K385" t="str">
        <f t="shared" si="114"/>
        <v>GG</v>
      </c>
      <c r="L385">
        <f t="shared" si="115"/>
        <v>26.5</v>
      </c>
      <c r="M385" t="str">
        <f t="shared" si="116"/>
        <v>-</v>
      </c>
      <c r="N385" t="str">
        <f t="shared" si="117"/>
        <v>156:30</v>
      </c>
      <c r="O385" t="str">
        <f t="shared" si="118"/>
        <v>18:00</v>
      </c>
      <c r="P385" t="str">
        <f t="shared" si="119"/>
        <v/>
      </c>
    </row>
    <row r="386" spans="1:16" x14ac:dyDescent="0.25">
      <c r="A386" t="str">
        <f>'Raw Data'!A333</f>
        <v>GG</v>
      </c>
      <c r="B386">
        <f>'Raw Data'!B333</f>
        <v>0</v>
      </c>
      <c r="C386">
        <f>'Raw Data'!J333</f>
        <v>0</v>
      </c>
      <c r="D386" t="str">
        <f>'Interpreted Data'!G333</f>
        <v>-</v>
      </c>
      <c r="E386" t="str">
        <f>'Interpreted Data'!H333</f>
        <v>-</v>
      </c>
      <c r="F386" t="str">
        <f>SUBSTITUTE('Raw Data'!K333," ",":",1)</f>
        <v/>
      </c>
      <c r="G386" t="str">
        <f>'Interpreted Data'!N333</f>
        <v/>
      </c>
      <c r="H386" t="str">
        <f>'Interpreted Data'!P333</f>
        <v/>
      </c>
      <c r="J386" t="str">
        <f>CONCATENATE("# ",A386)</f>
        <v># GG</v>
      </c>
      <c r="P386" t="str">
        <f t="shared" si="119"/>
        <v/>
      </c>
    </row>
    <row r="387" spans="1:16" x14ac:dyDescent="0.25">
      <c r="A387" t="str">
        <f>'Raw Data'!A334</f>
        <v>p. 69-70</v>
      </c>
      <c r="B387" t="str">
        <f>'Raw Data'!B334</f>
        <v>(=PDF p.71-72)</v>
      </c>
      <c r="C387">
        <f>'Raw Data'!J334</f>
        <v>0</v>
      </c>
      <c r="D387" t="str">
        <f>'Interpreted Data'!G334</f>
        <v>-</v>
      </c>
      <c r="E387" t="str">
        <f>'Interpreted Data'!H334</f>
        <v>-</v>
      </c>
      <c r="F387" t="str">
        <f>SUBSTITUTE('Raw Data'!K334," ",":",1)</f>
        <v/>
      </c>
      <c r="G387" t="str">
        <f>'Interpreted Data'!N334</f>
        <v/>
      </c>
      <c r="H387" t="str">
        <f>'Interpreted Data'!P334</f>
        <v/>
      </c>
      <c r="J387" t="str">
        <f>CONCATENATE("# ",A387)</f>
        <v># p. 69-70</v>
      </c>
      <c r="K387" t="str">
        <f t="shared" si="114"/>
        <v>(=PDF p.71-72)</v>
      </c>
      <c r="P387" t="str">
        <f t="shared" si="119"/>
        <v/>
      </c>
    </row>
    <row r="388" spans="1:16" x14ac:dyDescent="0.25">
      <c r="A388" t="str">
        <f>'Raw Data'!A335</f>
        <v>GG</v>
      </c>
      <c r="B388" t="str">
        <f>'Raw Data'!B335</f>
        <v>EA</v>
      </c>
      <c r="C388">
        <f>'Raw Data'!J335</f>
        <v>16.2</v>
      </c>
      <c r="D388" t="str">
        <f>'Interpreted Data'!G335</f>
        <v>093:30</v>
      </c>
      <c r="E388" t="str">
        <f>'Interpreted Data'!H335</f>
        <v>-</v>
      </c>
      <c r="F388" t="str">
        <f>SUBSTITUTE('Raw Data'!K335," ",":",1)</f>
        <v>25:30</v>
      </c>
      <c r="G388">
        <f>'Interpreted Data'!N335</f>
        <v>7</v>
      </c>
      <c r="H388" t="str">
        <f>'Interpreted Data'!P335</f>
        <v/>
      </c>
      <c r="J388" t="str">
        <f t="shared" si="113"/>
        <v>GG</v>
      </c>
      <c r="K388" t="str">
        <f t="shared" si="114"/>
        <v>EA</v>
      </c>
      <c r="L388">
        <f t="shared" si="115"/>
        <v>16.2</v>
      </c>
      <c r="M388" t="str">
        <f t="shared" si="116"/>
        <v>093:30</v>
      </c>
      <c r="N388" t="str">
        <f t="shared" si="117"/>
        <v>-</v>
      </c>
      <c r="O388" t="str">
        <f t="shared" si="118"/>
        <v>25:30</v>
      </c>
      <c r="P388" t="str">
        <f t="shared" si="119"/>
        <v/>
      </c>
    </row>
    <row r="389" spans="1:16" x14ac:dyDescent="0.25">
      <c r="A389" t="str">
        <f>'Raw Data'!A336</f>
        <v>EA</v>
      </c>
      <c r="B389">
        <f>'Raw Data'!B336</f>
        <v>0</v>
      </c>
      <c r="C389" t="str">
        <f>'Raw Data'!J336</f>
        <v>-</v>
      </c>
      <c r="D389" t="str">
        <f>'Interpreted Data'!G336</f>
        <v>-</v>
      </c>
      <c r="E389" t="str">
        <f>'Interpreted Data'!H336</f>
        <v>-</v>
      </c>
      <c r="F389" t="str">
        <f>SUBSTITUTE('Raw Data'!K336," ",":",1)</f>
        <v>-</v>
      </c>
      <c r="G389" t="str">
        <f>'Interpreted Data'!N336</f>
        <v/>
      </c>
      <c r="H389" t="str">
        <f>'Interpreted Data'!P336</f>
        <v>Vert error 0.7' in 298' = 0.23%</v>
      </c>
      <c r="J389" t="str">
        <f>CONCATENATE("# ",A389)</f>
        <v># EA</v>
      </c>
      <c r="P389" t="str">
        <f t="shared" si="119"/>
        <v>Vert error 0.7' in 298' = 0.23%</v>
      </c>
    </row>
    <row r="390" spans="1:16" x14ac:dyDescent="0.25">
      <c r="A390" t="str">
        <f>'Raw Data'!A337</f>
        <v>CS</v>
      </c>
      <c r="B390" t="str">
        <f>'Raw Data'!B337</f>
        <v>GH</v>
      </c>
      <c r="C390">
        <f>'Raw Data'!J337</f>
        <v>26.5</v>
      </c>
      <c r="D390" t="str">
        <f>'Interpreted Data'!G337</f>
        <v>111:00</v>
      </c>
      <c r="E390" t="str">
        <f>'Interpreted Data'!H337</f>
        <v>-</v>
      </c>
      <c r="F390" t="str">
        <f>SUBSTITUTE('Raw Data'!K337," ",":",1)</f>
        <v>24:00</v>
      </c>
      <c r="G390">
        <f>'Interpreted Data'!N337</f>
        <v>10.8</v>
      </c>
      <c r="H390" t="str">
        <f>'Interpreted Data'!P337</f>
        <v>See p.56</v>
      </c>
      <c r="J390" t="str">
        <f t="shared" si="113"/>
        <v>CS</v>
      </c>
      <c r="K390" t="str">
        <f t="shared" si="114"/>
        <v>GH</v>
      </c>
      <c r="L390">
        <f t="shared" si="115"/>
        <v>26.5</v>
      </c>
      <c r="M390" t="str">
        <f t="shared" si="116"/>
        <v>111:00</v>
      </c>
      <c r="N390" t="str">
        <f t="shared" si="117"/>
        <v>-</v>
      </c>
      <c r="O390" t="str">
        <f t="shared" si="118"/>
        <v>24:00</v>
      </c>
      <c r="P390" t="str">
        <f t="shared" si="119"/>
        <v>See p.56</v>
      </c>
    </row>
    <row r="391" spans="1:16" x14ac:dyDescent="0.25">
      <c r="A391" t="str">
        <f>'Raw Data'!A338</f>
        <v>GH</v>
      </c>
      <c r="B391" t="str">
        <f>'Raw Data'!B338</f>
        <v>GI</v>
      </c>
      <c r="C391">
        <f>'Raw Data'!J338</f>
        <v>20</v>
      </c>
      <c r="D391" t="str">
        <f>'Interpreted Data'!G338</f>
        <v>-</v>
      </c>
      <c r="E391" t="str">
        <f>'Interpreted Data'!H338</f>
        <v>316:30</v>
      </c>
      <c r="F391" t="str">
        <f>SUBSTITUTE('Raw Data'!K338," ",":",1)</f>
        <v>3:30</v>
      </c>
      <c r="G391">
        <f>'Interpreted Data'!N338</f>
        <v>1.2</v>
      </c>
      <c r="H391" t="str">
        <f>'Interpreted Data'!P338</f>
        <v/>
      </c>
      <c r="J391" t="str">
        <f t="shared" si="113"/>
        <v>GH</v>
      </c>
      <c r="K391" t="str">
        <f t="shared" si="114"/>
        <v>GI</v>
      </c>
      <c r="L391">
        <f t="shared" si="115"/>
        <v>20</v>
      </c>
      <c r="M391" t="str">
        <f t="shared" si="116"/>
        <v>-</v>
      </c>
      <c r="N391" t="str">
        <f t="shared" si="117"/>
        <v>316:30</v>
      </c>
      <c r="O391" t="str">
        <f t="shared" si="118"/>
        <v>3:30</v>
      </c>
      <c r="P391" t="str">
        <f t="shared" si="119"/>
        <v/>
      </c>
    </row>
    <row r="392" spans="1:16" x14ac:dyDescent="0.25">
      <c r="A392" t="str">
        <f>'Raw Data'!A339</f>
        <v>GI</v>
      </c>
      <c r="B392" t="str">
        <f>'Raw Data'!B339</f>
        <v>GJ</v>
      </c>
      <c r="C392">
        <f>'Raw Data'!J339</f>
        <v>52.9</v>
      </c>
      <c r="D392" t="str">
        <f>'Interpreted Data'!G339</f>
        <v>088:30</v>
      </c>
      <c r="E392" t="str">
        <f>'Interpreted Data'!H339</f>
        <v>-</v>
      </c>
      <c r="F392" t="str">
        <f>SUBSTITUTE('Raw Data'!K339," ",":",1)</f>
        <v>9:30</v>
      </c>
      <c r="G392">
        <f>'Interpreted Data'!N339</f>
        <v>8.6999999999999993</v>
      </c>
      <c r="H392" t="str">
        <f>'Interpreted Data'!P339</f>
        <v/>
      </c>
      <c r="J392" t="str">
        <f t="shared" si="113"/>
        <v>GI</v>
      </c>
      <c r="K392" t="str">
        <f t="shared" si="114"/>
        <v>GJ</v>
      </c>
      <c r="L392">
        <f t="shared" si="115"/>
        <v>52.9</v>
      </c>
      <c r="M392" t="str">
        <f t="shared" si="116"/>
        <v>088:30</v>
      </c>
      <c r="N392" t="str">
        <f t="shared" si="117"/>
        <v>-</v>
      </c>
      <c r="O392" t="str">
        <f t="shared" si="118"/>
        <v>9:30</v>
      </c>
      <c r="P392" t="str">
        <f t="shared" si="119"/>
        <v/>
      </c>
    </row>
    <row r="393" spans="1:16" x14ac:dyDescent="0.25">
      <c r="A393" t="str">
        <f>'Raw Data'!A340</f>
        <v>GJ</v>
      </c>
      <c r="B393" t="str">
        <f>'Raw Data'!B340</f>
        <v>GK</v>
      </c>
      <c r="C393">
        <f>'Raw Data'!J340</f>
        <v>4</v>
      </c>
      <c r="D393" t="str">
        <f>'Interpreted Data'!G340</f>
        <v>108:00</v>
      </c>
      <c r="E393" t="str">
        <f>'Interpreted Data'!H340</f>
        <v>-</v>
      </c>
      <c r="F393" t="str">
        <f>SUBSTITUTE('Raw Data'!K340," ",":",1)</f>
        <v>-53:30</v>
      </c>
      <c r="G393">
        <f>'Interpreted Data'!N340</f>
        <v>-3.2</v>
      </c>
      <c r="H393" t="str">
        <f>'Interpreted Data'!P340</f>
        <v/>
      </c>
      <c r="J393" t="str">
        <f t="shared" si="113"/>
        <v>GJ</v>
      </c>
      <c r="K393" t="str">
        <f t="shared" si="114"/>
        <v>GK</v>
      </c>
      <c r="L393">
        <f t="shared" si="115"/>
        <v>4</v>
      </c>
      <c r="M393" t="str">
        <f t="shared" si="116"/>
        <v>108:00</v>
      </c>
      <c r="N393" t="str">
        <f t="shared" si="117"/>
        <v>-</v>
      </c>
      <c r="O393" t="str">
        <f t="shared" si="118"/>
        <v>-53:30</v>
      </c>
      <c r="P393" t="str">
        <f t="shared" si="119"/>
        <v/>
      </c>
    </row>
    <row r="394" spans="1:16" x14ac:dyDescent="0.25">
      <c r="A394" t="str">
        <f>'Raw Data'!A341</f>
        <v>GK</v>
      </c>
      <c r="B394" t="str">
        <f>'Raw Data'!B341</f>
        <v>GL</v>
      </c>
      <c r="C394">
        <f>'Raw Data'!J341</f>
        <v>11.7</v>
      </c>
      <c r="D394" t="str">
        <f>'Interpreted Data'!G341</f>
        <v>-</v>
      </c>
      <c r="E394" t="str">
        <f>'Interpreted Data'!H341</f>
        <v>246:00</v>
      </c>
      <c r="F394" t="str">
        <f>SUBSTITUTE('Raw Data'!K341," ",":",1)</f>
        <v>26:00</v>
      </c>
      <c r="G394">
        <f>'Interpreted Data'!N341</f>
        <v>5.0999999999999996</v>
      </c>
      <c r="H394" t="str">
        <f>'Interpreted Data'!P341</f>
        <v/>
      </c>
      <c r="J394" t="str">
        <f t="shared" si="113"/>
        <v>GK</v>
      </c>
      <c r="K394" t="str">
        <f t="shared" si="114"/>
        <v>GL</v>
      </c>
      <c r="L394">
        <f t="shared" si="115"/>
        <v>11.7</v>
      </c>
      <c r="M394" t="str">
        <f t="shared" si="116"/>
        <v>-</v>
      </c>
      <c r="N394" t="str">
        <f t="shared" si="117"/>
        <v>246:00</v>
      </c>
      <c r="O394" t="str">
        <f t="shared" si="118"/>
        <v>26:00</v>
      </c>
      <c r="P394" t="str">
        <f t="shared" si="119"/>
        <v/>
      </c>
    </row>
    <row r="395" spans="1:16" x14ac:dyDescent="0.25">
      <c r="A395" t="str">
        <f>'Raw Data'!A342</f>
        <v>GL</v>
      </c>
      <c r="B395" t="str">
        <f>'Raw Data'!B342</f>
        <v>GM</v>
      </c>
      <c r="C395">
        <f>'Raw Data'!J342</f>
        <v>15.8</v>
      </c>
      <c r="D395" t="str">
        <f>'Interpreted Data'!G342</f>
        <v>079:00</v>
      </c>
      <c r="E395" t="str">
        <f>'Interpreted Data'!H342</f>
        <v>-</v>
      </c>
      <c r="F395" t="str">
        <f>SUBSTITUTE('Raw Data'!K342," ",":",1)</f>
        <v>26:00</v>
      </c>
      <c r="G395">
        <f>'Interpreted Data'!N342</f>
        <v>6.9</v>
      </c>
      <c r="H395" t="str">
        <f>'Interpreted Data'!P342</f>
        <v/>
      </c>
      <c r="J395" t="str">
        <f t="shared" si="113"/>
        <v>GL</v>
      </c>
      <c r="K395" t="str">
        <f t="shared" si="114"/>
        <v>GM</v>
      </c>
      <c r="L395">
        <f t="shared" si="115"/>
        <v>15.8</v>
      </c>
      <c r="M395" t="str">
        <f t="shared" si="116"/>
        <v>079:00</v>
      </c>
      <c r="N395" t="str">
        <f t="shared" si="117"/>
        <v>-</v>
      </c>
      <c r="O395" t="str">
        <f t="shared" si="118"/>
        <v>26:00</v>
      </c>
      <c r="P395" t="str">
        <f t="shared" si="119"/>
        <v/>
      </c>
    </row>
    <row r="396" spans="1:16" x14ac:dyDescent="0.25">
      <c r="A396" t="str">
        <f>'Raw Data'!A343</f>
        <v>GM</v>
      </c>
      <c r="B396" t="str">
        <f>'Raw Data'!B343</f>
        <v>GN</v>
      </c>
      <c r="C396">
        <f>'Raw Data'!J343</f>
        <v>12.8</v>
      </c>
      <c r="D396" t="str">
        <f>'Interpreted Data'!G343</f>
        <v>-</v>
      </c>
      <c r="E396" t="str">
        <f>'Interpreted Data'!H343</f>
        <v>355:30</v>
      </c>
      <c r="F396" t="str">
        <f>SUBSTITUTE('Raw Data'!K343," ",":",1)</f>
        <v>26:00</v>
      </c>
      <c r="G396">
        <f>'Interpreted Data'!N343</f>
        <v>5.6</v>
      </c>
      <c r="H396" t="str">
        <f>'Interpreted Data'!P343</f>
        <v/>
      </c>
      <c r="J396" t="str">
        <f t="shared" si="113"/>
        <v>GM</v>
      </c>
      <c r="K396" t="str">
        <f t="shared" si="114"/>
        <v>GN</v>
      </c>
      <c r="L396">
        <f t="shared" si="115"/>
        <v>12.8</v>
      </c>
      <c r="M396" t="str">
        <f t="shared" si="116"/>
        <v>-</v>
      </c>
      <c r="N396" t="str">
        <f t="shared" si="117"/>
        <v>355:30</v>
      </c>
      <c r="O396" t="str">
        <f t="shared" si="118"/>
        <v>26:00</v>
      </c>
      <c r="P396" t="str">
        <f t="shared" si="119"/>
        <v/>
      </c>
    </row>
    <row r="397" spans="1:16" x14ac:dyDescent="0.25">
      <c r="A397" t="str">
        <f>'Raw Data'!A344</f>
        <v>GN</v>
      </c>
      <c r="B397" t="str">
        <f>'Raw Data'!B344</f>
        <v>GO</v>
      </c>
      <c r="C397">
        <f>'Raw Data'!J344</f>
        <v>39.9</v>
      </c>
      <c r="D397" t="str">
        <f>'Interpreted Data'!G344</f>
        <v>148:00</v>
      </c>
      <c r="E397" t="str">
        <f>'Interpreted Data'!H344</f>
        <v>-</v>
      </c>
      <c r="F397" t="str">
        <f>SUBSTITUTE('Raw Data'!K344," ",":",1)</f>
        <v>24:30</v>
      </c>
      <c r="G397">
        <f>'Interpreted Data'!N344</f>
        <v>16.600000000000001</v>
      </c>
      <c r="H397" t="str">
        <f>'Interpreted Data'!P344</f>
        <v/>
      </c>
      <c r="J397" t="str">
        <f t="shared" si="113"/>
        <v>GN</v>
      </c>
      <c r="K397" t="str">
        <f t="shared" si="114"/>
        <v>GO</v>
      </c>
      <c r="L397">
        <f t="shared" si="115"/>
        <v>39.9</v>
      </c>
      <c r="M397" t="str">
        <f t="shared" si="116"/>
        <v>148:00</v>
      </c>
      <c r="N397" t="str">
        <f t="shared" si="117"/>
        <v>-</v>
      </c>
      <c r="O397" t="str">
        <f t="shared" si="118"/>
        <v>24:30</v>
      </c>
      <c r="P397" t="str">
        <f t="shared" si="119"/>
        <v/>
      </c>
    </row>
    <row r="398" spans="1:16" x14ac:dyDescent="0.25">
      <c r="A398" t="str">
        <f>'Raw Data'!A345</f>
        <v>GO</v>
      </c>
      <c r="B398" t="str">
        <f>'Raw Data'!B345</f>
        <v>GP</v>
      </c>
      <c r="C398">
        <f>'Raw Data'!J345</f>
        <v>8.9</v>
      </c>
      <c r="D398" t="str">
        <f>'Interpreted Data'!G345</f>
        <v>-</v>
      </c>
      <c r="E398" t="str">
        <f>'Interpreted Data'!H345</f>
        <v>273:00</v>
      </c>
      <c r="F398" t="str">
        <f>SUBSTITUTE('Raw Data'!K345," ",":",1)</f>
        <v>20:00</v>
      </c>
      <c r="G398">
        <f>'Interpreted Data'!N345</f>
        <v>3</v>
      </c>
      <c r="H398" t="str">
        <f>'Interpreted Data'!P345</f>
        <v>Sketch marks GP as 'stream on stalagmite'</v>
      </c>
      <c r="J398" t="str">
        <f t="shared" si="113"/>
        <v>GO</v>
      </c>
      <c r="K398" t="str">
        <f t="shared" si="114"/>
        <v>GP</v>
      </c>
      <c r="L398">
        <f t="shared" si="115"/>
        <v>8.9</v>
      </c>
      <c r="M398" t="str">
        <f t="shared" si="116"/>
        <v>-</v>
      </c>
      <c r="N398" t="str">
        <f t="shared" si="117"/>
        <v>273:00</v>
      </c>
      <c r="O398" t="str">
        <f t="shared" si="118"/>
        <v>20:00</v>
      </c>
      <c r="P398" t="str">
        <f t="shared" si="119"/>
        <v>Sketch marks GP as 'stream on stalagmite'</v>
      </c>
    </row>
    <row r="399" spans="1:16" x14ac:dyDescent="0.25">
      <c r="A399" t="str">
        <f>'Raw Data'!A346</f>
        <v>GP</v>
      </c>
      <c r="B399" t="str">
        <f>'Raw Data'!B346</f>
        <v>GQ</v>
      </c>
      <c r="C399">
        <f>'Raw Data'!J346</f>
        <v>27.7</v>
      </c>
      <c r="D399" t="str">
        <f>'Interpreted Data'!G346</f>
        <v>121:10</v>
      </c>
      <c r="E399" t="str">
        <f>'Interpreted Data'!H346</f>
        <v>-</v>
      </c>
      <c r="F399" t="str">
        <f>SUBSTITUTE('Raw Data'!K346," ",":",1)</f>
        <v>15:00</v>
      </c>
      <c r="G399">
        <f>'Interpreted Data'!N346</f>
        <v>7.2</v>
      </c>
      <c r="H399" t="str">
        <f>'Interpreted Data'!P346</f>
        <v>Sketch marks GQ as 'on boss'</v>
      </c>
      <c r="J399" t="str">
        <f t="shared" si="113"/>
        <v>GP</v>
      </c>
      <c r="K399" t="str">
        <f t="shared" si="114"/>
        <v>GQ</v>
      </c>
      <c r="L399">
        <f t="shared" si="115"/>
        <v>27.7</v>
      </c>
      <c r="M399" t="str">
        <f t="shared" si="116"/>
        <v>121:10</v>
      </c>
      <c r="N399" t="str">
        <f t="shared" si="117"/>
        <v>-</v>
      </c>
      <c r="O399" t="str">
        <f t="shared" si="118"/>
        <v>15:00</v>
      </c>
      <c r="P399" t="str">
        <f t="shared" si="119"/>
        <v>Sketch marks GQ as 'on boss'</v>
      </c>
    </row>
    <row r="400" spans="1:16" x14ac:dyDescent="0.25">
      <c r="A400" t="str">
        <f>'Raw Data'!A347</f>
        <v>GQ</v>
      </c>
      <c r="B400" t="str">
        <f>'Raw Data'!B347</f>
        <v>GR</v>
      </c>
      <c r="C400">
        <f>'Raw Data'!J347</f>
        <v>9.8000000000000007</v>
      </c>
      <c r="D400" t="str">
        <f>'Interpreted Data'!G347</f>
        <v>092:30</v>
      </c>
      <c r="E400" t="str">
        <f>'Interpreted Data'!H347</f>
        <v>-</v>
      </c>
      <c r="F400" t="str">
        <f>SUBSTITUTE('Raw Data'!K347," ",":",1)</f>
        <v>19:30</v>
      </c>
      <c r="G400">
        <f>'Interpreted Data'!N347</f>
        <v>3.3</v>
      </c>
      <c r="H400" t="str">
        <f>'Interpreted Data'!P347</f>
        <v/>
      </c>
      <c r="J400" t="str">
        <f t="shared" si="113"/>
        <v>GQ</v>
      </c>
      <c r="K400" t="str">
        <f t="shared" si="114"/>
        <v>GR</v>
      </c>
      <c r="L400">
        <f t="shared" si="115"/>
        <v>9.8000000000000007</v>
      </c>
      <c r="M400" t="str">
        <f t="shared" si="116"/>
        <v>092:30</v>
      </c>
      <c r="N400" t="str">
        <f t="shared" si="117"/>
        <v>-</v>
      </c>
      <c r="O400" t="str">
        <f t="shared" si="118"/>
        <v>19:30</v>
      </c>
      <c r="P400" t="str">
        <f t="shared" si="119"/>
        <v/>
      </c>
    </row>
    <row r="401" spans="1:16" x14ac:dyDescent="0.25">
      <c r="A401" t="str">
        <f>'Raw Data'!A348</f>
        <v>GR</v>
      </c>
      <c r="B401">
        <f>'Raw Data'!B348</f>
        <v>0</v>
      </c>
      <c r="C401">
        <f>'Raw Data'!J348</f>
        <v>0</v>
      </c>
      <c r="D401" t="str">
        <f>'Interpreted Data'!G348</f>
        <v>-</v>
      </c>
      <c r="E401" t="str">
        <f>'Interpreted Data'!H348</f>
        <v>-</v>
      </c>
      <c r="F401" t="str">
        <f>SUBSTITUTE('Raw Data'!K348," ",":",1)</f>
        <v/>
      </c>
      <c r="G401" t="str">
        <f>'Interpreted Data'!N348</f>
        <v/>
      </c>
      <c r="H401" t="str">
        <f>'Interpreted Data'!P348</f>
        <v>Vert error 0.1' in 670' = 0.015%!</v>
      </c>
      <c r="J401" t="str">
        <f>CONCATENATE("# ",A401)</f>
        <v># GR</v>
      </c>
      <c r="P401" t="str">
        <f t="shared" si="119"/>
        <v>Vert error 0.1' in 670' = 0.015%!</v>
      </c>
    </row>
    <row r="402" spans="1:16" x14ac:dyDescent="0.25">
      <c r="A402">
        <f>'Raw Data'!A349</f>
        <v>0</v>
      </c>
      <c r="B402">
        <f>'Raw Data'!B349</f>
        <v>0</v>
      </c>
      <c r="C402">
        <f>'Raw Data'!J349</f>
        <v>0</v>
      </c>
      <c r="D402" t="str">
        <f>'Interpreted Data'!G349</f>
        <v>-</v>
      </c>
      <c r="E402" t="str">
        <f>'Interpreted Data'!H349</f>
        <v>-</v>
      </c>
      <c r="F402" t="str">
        <f>SUBSTITUTE('Raw Data'!K349," ",":",1)</f>
        <v/>
      </c>
      <c r="G402" t="str">
        <f>'Interpreted Data'!N349</f>
        <v/>
      </c>
      <c r="H402" t="str">
        <f>'Interpreted Data'!P349</f>
        <v>Totals (unclear in scan)(7,005'?) then (7445'?)</v>
      </c>
      <c r="J402" t="s">
        <v>76</v>
      </c>
      <c r="P402" t="str">
        <f t="shared" si="119"/>
        <v>Totals (unclear in scan)(7,005'?) then (7445'?)</v>
      </c>
    </row>
    <row r="404" spans="1:16" x14ac:dyDescent="0.25">
      <c r="A404" t="str">
        <f>'Raw Data'!A350</f>
        <v>August 30th 1953</v>
      </c>
      <c r="B404">
        <f>'Raw Data'!B350</f>
        <v>0</v>
      </c>
      <c r="C404" t="str">
        <f>'Raw Data'!C350</f>
        <v>Name Too faint to read. 'Black?' hole to 'Paradise?'. Sketch contains 'Calcutta' at  start and 'Sore Knees Creep' near the end.</v>
      </c>
      <c r="D404">
        <f>'Raw Data'!D350</f>
        <v>0</v>
      </c>
      <c r="E404">
        <f>'Raw Data'!E350</f>
        <v>0</v>
      </c>
      <c r="F404" t="str">
        <f>SUBSTITUTE('Raw Data'!K350," ",":",1)</f>
        <v/>
      </c>
      <c r="G404" t="str">
        <f>'Interpreted Data'!N350</f>
        <v/>
      </c>
      <c r="H404" t="str">
        <f>'Interpreted Data'!P350</f>
        <v/>
      </c>
      <c r="J404" t="str">
        <f>CONCATENATE("# ",A404)</f>
        <v># August 30th 1953</v>
      </c>
      <c r="L404" t="str">
        <f t="shared" si="114"/>
        <v>Name Too faint to read. 'Black?' hole to 'Paradise?'. Sketch contains 'Calcutta' at  start and 'Sore Knees Creep' near the end.</v>
      </c>
      <c r="P404" t="str">
        <f t="shared" si="119"/>
        <v/>
      </c>
    </row>
    <row r="405" spans="1:16" x14ac:dyDescent="0.25">
      <c r="J405" t="str">
        <f>$J$1</f>
        <v>data normal from to tape compass backcompass clino ignoreall</v>
      </c>
    </row>
    <row r="406" spans="1:16" x14ac:dyDescent="0.25">
      <c r="A406">
        <f>'Raw Data'!A351</f>
        <v>46</v>
      </c>
      <c r="B406">
        <f>'Raw Data'!B351</f>
        <v>60</v>
      </c>
      <c r="C406">
        <f>'Raw Data'!J351</f>
        <v>34.299999999999997</v>
      </c>
      <c r="D406" t="str">
        <f>'Interpreted Data'!G351</f>
        <v>-</v>
      </c>
      <c r="E406" t="str">
        <f>'Interpreted Data'!H351</f>
        <v>195:00</v>
      </c>
      <c r="F406" t="str">
        <f>SUBSTITUTE('Raw Data'!K351," ",":",1)</f>
        <v>13:00</v>
      </c>
      <c r="G406">
        <f>'Interpreted Data'!N351</f>
        <v>7.7</v>
      </c>
      <c r="H406" t="str">
        <f>'Interpreted Data'!P351</f>
        <v/>
      </c>
      <c r="J406">
        <f t="shared" si="113"/>
        <v>46</v>
      </c>
      <c r="K406">
        <f t="shared" si="114"/>
        <v>60</v>
      </c>
      <c r="L406">
        <f t="shared" si="115"/>
        <v>34.299999999999997</v>
      </c>
      <c r="M406" t="str">
        <f t="shared" si="116"/>
        <v>-</v>
      </c>
      <c r="N406" t="str">
        <f t="shared" si="117"/>
        <v>195:00</v>
      </c>
      <c r="O406" t="str">
        <f t="shared" si="118"/>
        <v>13:00</v>
      </c>
      <c r="P406" t="str">
        <f t="shared" si="119"/>
        <v/>
      </c>
    </row>
    <row r="407" spans="1:16" x14ac:dyDescent="0.25">
      <c r="A407">
        <f>'Raw Data'!A352</f>
        <v>60</v>
      </c>
      <c r="B407">
        <f>'Raw Data'!B352</f>
        <v>61</v>
      </c>
      <c r="C407">
        <f>'Raw Data'!J352</f>
        <v>41.8</v>
      </c>
      <c r="D407" t="str">
        <f>'Interpreted Data'!G352</f>
        <v>133:30</v>
      </c>
      <c r="E407" t="str">
        <f>'Interpreted Data'!H352</f>
        <v>-</v>
      </c>
      <c r="F407" t="str">
        <f>SUBSTITUTE('Raw Data'!K352," ",":",1)</f>
        <v>3:30</v>
      </c>
      <c r="G407">
        <f>'Interpreted Data'!N352</f>
        <v>2.6</v>
      </c>
      <c r="H407" t="str">
        <f>'Interpreted Data'!P352</f>
        <v/>
      </c>
      <c r="J407">
        <f t="shared" si="113"/>
        <v>60</v>
      </c>
      <c r="K407">
        <f t="shared" si="114"/>
        <v>61</v>
      </c>
      <c r="L407">
        <f t="shared" si="115"/>
        <v>41.8</v>
      </c>
      <c r="M407" t="str">
        <f t="shared" si="116"/>
        <v>133:30</v>
      </c>
      <c r="N407" t="str">
        <f t="shared" si="117"/>
        <v>-</v>
      </c>
      <c r="O407" t="str">
        <f t="shared" si="118"/>
        <v>3:30</v>
      </c>
      <c r="P407" t="str">
        <f t="shared" si="119"/>
        <v/>
      </c>
    </row>
    <row r="408" spans="1:16" x14ac:dyDescent="0.25">
      <c r="A408">
        <f>'Raw Data'!A353</f>
        <v>61</v>
      </c>
      <c r="B408">
        <f>'Raw Data'!B353</f>
        <v>62</v>
      </c>
      <c r="C408">
        <f>'Raw Data'!J353</f>
        <v>22.9</v>
      </c>
      <c r="D408" t="str">
        <f>'Interpreted Data'!G353</f>
        <v>-</v>
      </c>
      <c r="E408" t="str">
        <f>'Interpreted Data'!H353</f>
        <v>192:30</v>
      </c>
      <c r="F408" t="str">
        <f>SUBSTITUTE('Raw Data'!K353," ",":",1)</f>
        <v>6:00</v>
      </c>
      <c r="G408">
        <f>'Interpreted Data'!N353</f>
        <v>2.4</v>
      </c>
      <c r="H408" t="str">
        <f>'Interpreted Data'!P353</f>
        <v/>
      </c>
      <c r="J408">
        <f t="shared" si="113"/>
        <v>61</v>
      </c>
      <c r="K408">
        <f t="shared" si="114"/>
        <v>62</v>
      </c>
      <c r="L408">
        <f t="shared" si="115"/>
        <v>22.9</v>
      </c>
      <c r="M408" t="str">
        <f t="shared" si="116"/>
        <v>-</v>
      </c>
      <c r="N408" t="str">
        <f t="shared" si="117"/>
        <v>192:30</v>
      </c>
      <c r="O408" t="str">
        <f t="shared" si="118"/>
        <v>6:00</v>
      </c>
      <c r="P408" t="str">
        <f t="shared" si="119"/>
        <v/>
      </c>
    </row>
    <row r="409" spans="1:16" x14ac:dyDescent="0.25">
      <c r="A409">
        <f>'Raw Data'!A354</f>
        <v>62</v>
      </c>
      <c r="B409">
        <f>'Raw Data'!B354</f>
        <v>63</v>
      </c>
      <c r="C409">
        <f>'Raw Data'!J354</f>
        <v>30.3</v>
      </c>
      <c r="D409" t="str">
        <f>'Interpreted Data'!G354</f>
        <v>357:00</v>
      </c>
      <c r="E409" t="str">
        <f>'Interpreted Data'!H354</f>
        <v>-</v>
      </c>
      <c r="F409" t="str">
        <f>SUBSTITUTE('Raw Data'!K354," ",":",1)</f>
        <v>-5:00</v>
      </c>
      <c r="G409">
        <f>'Interpreted Data'!N354</f>
        <v>-2.6</v>
      </c>
      <c r="H409" t="str">
        <f>'Interpreted Data'!P354</f>
        <v/>
      </c>
      <c r="J409">
        <f t="shared" si="113"/>
        <v>62</v>
      </c>
      <c r="K409">
        <f t="shared" si="114"/>
        <v>63</v>
      </c>
      <c r="L409">
        <f t="shared" si="115"/>
        <v>30.3</v>
      </c>
      <c r="M409" t="str">
        <f t="shared" si="116"/>
        <v>357:00</v>
      </c>
      <c r="N409" t="str">
        <f t="shared" si="117"/>
        <v>-</v>
      </c>
      <c r="O409" t="str">
        <f t="shared" si="118"/>
        <v>-5:00</v>
      </c>
      <c r="P409" t="str">
        <f t="shared" si="119"/>
        <v/>
      </c>
    </row>
    <row r="410" spans="1:16" x14ac:dyDescent="0.25">
      <c r="A410">
        <f>'Raw Data'!A355</f>
        <v>63</v>
      </c>
      <c r="B410">
        <f>'Raw Data'!B355</f>
        <v>64</v>
      </c>
      <c r="C410">
        <f>'Raw Data'!J355</f>
        <v>12.5</v>
      </c>
      <c r="D410" t="str">
        <f>'Interpreted Data'!G355</f>
        <v>-</v>
      </c>
      <c r="E410" t="str">
        <f>'Interpreted Data'!H355</f>
        <v>203:00</v>
      </c>
      <c r="F410" t="str">
        <f>SUBSTITUTE('Raw Data'!K355," ",":",1)</f>
        <v>12:30</v>
      </c>
      <c r="G410">
        <f>'Interpreted Data'!N355</f>
        <v>2.7</v>
      </c>
      <c r="H410" t="str">
        <f>'Interpreted Data'!P355</f>
        <v/>
      </c>
      <c r="J410">
        <f t="shared" si="113"/>
        <v>63</v>
      </c>
      <c r="K410">
        <f t="shared" si="114"/>
        <v>64</v>
      </c>
      <c r="L410">
        <f t="shared" si="115"/>
        <v>12.5</v>
      </c>
      <c r="M410" t="str">
        <f t="shared" si="116"/>
        <v>-</v>
      </c>
      <c r="N410" t="str">
        <f t="shared" si="117"/>
        <v>203:00</v>
      </c>
      <c r="O410" t="str">
        <f t="shared" si="118"/>
        <v>12:30</v>
      </c>
      <c r="P410" t="str">
        <f t="shared" si="119"/>
        <v/>
      </c>
    </row>
    <row r="411" spans="1:16" x14ac:dyDescent="0.25">
      <c r="A411">
        <f>'Raw Data'!A356</f>
        <v>64</v>
      </c>
      <c r="B411">
        <f>'Raw Data'!B356</f>
        <v>65</v>
      </c>
      <c r="C411">
        <f>'Raw Data'!J356</f>
        <v>15.7</v>
      </c>
      <c r="D411" t="str">
        <f>'Interpreted Data'!G356</f>
        <v>-</v>
      </c>
      <c r="E411" t="str">
        <f>'Interpreted Data'!H356</f>
        <v>165:00</v>
      </c>
      <c r="F411" t="str">
        <f>SUBSTITUTE('Raw Data'!K356," ",":",1)</f>
        <v>3:30</v>
      </c>
      <c r="G411">
        <f>'Interpreted Data'!N356</f>
        <v>1</v>
      </c>
      <c r="H411" t="str">
        <f>'Interpreted Data'!P356</f>
        <v/>
      </c>
      <c r="J411">
        <f t="shared" si="113"/>
        <v>64</v>
      </c>
      <c r="K411">
        <f t="shared" si="114"/>
        <v>65</v>
      </c>
      <c r="L411">
        <f t="shared" si="115"/>
        <v>15.7</v>
      </c>
      <c r="M411" t="str">
        <f t="shared" si="116"/>
        <v>-</v>
      </c>
      <c r="N411" t="str">
        <f t="shared" si="117"/>
        <v>165:00</v>
      </c>
      <c r="O411" t="str">
        <f t="shared" si="118"/>
        <v>3:30</v>
      </c>
      <c r="P411" t="str">
        <f t="shared" si="119"/>
        <v/>
      </c>
    </row>
    <row r="412" spans="1:16" x14ac:dyDescent="0.25">
      <c r="A412">
        <f>'Raw Data'!A357</f>
        <v>65</v>
      </c>
      <c r="B412">
        <f>'Raw Data'!B357</f>
        <v>66</v>
      </c>
      <c r="C412">
        <f>'Raw Data'!J357</f>
        <v>19.3</v>
      </c>
      <c r="D412" t="str">
        <f>'Interpreted Data'!G357</f>
        <v>006:30</v>
      </c>
      <c r="E412" t="str">
        <f>'Interpreted Data'!H357</f>
        <v>-</v>
      </c>
      <c r="F412" t="str">
        <f>SUBSTITUTE('Raw Data'!K357," ",":",1)</f>
        <v>13:30</v>
      </c>
      <c r="G412">
        <f>'Interpreted Data'!N357</f>
        <v>4.5</v>
      </c>
      <c r="H412" t="str">
        <f>'Interpreted Data'!P357</f>
        <v/>
      </c>
      <c r="J412">
        <f t="shared" si="113"/>
        <v>65</v>
      </c>
      <c r="K412">
        <f t="shared" si="114"/>
        <v>66</v>
      </c>
      <c r="L412">
        <f t="shared" si="115"/>
        <v>19.3</v>
      </c>
      <c r="M412" t="str">
        <f t="shared" si="116"/>
        <v>006:30</v>
      </c>
      <c r="N412" t="str">
        <f t="shared" si="117"/>
        <v>-</v>
      </c>
      <c r="O412" t="str">
        <f t="shared" si="118"/>
        <v>13:30</v>
      </c>
      <c r="P412" t="str">
        <f t="shared" si="119"/>
        <v/>
      </c>
    </row>
    <row r="413" spans="1:16" x14ac:dyDescent="0.25">
      <c r="A413">
        <f>'Raw Data'!A358</f>
        <v>66</v>
      </c>
      <c r="B413">
        <f>'Raw Data'!B358</f>
        <v>67</v>
      </c>
      <c r="C413">
        <f>'Raw Data'!J358</f>
        <v>30.2</v>
      </c>
      <c r="D413" t="str">
        <f>'Interpreted Data'!G358</f>
        <v>-</v>
      </c>
      <c r="E413" t="str">
        <f>'Interpreted Data'!H358</f>
        <v>180:00</v>
      </c>
      <c r="F413" t="str">
        <f>SUBSTITUTE('Raw Data'!K358," ",":",1)</f>
        <v>-1:00</v>
      </c>
      <c r="G413">
        <f>'Interpreted Data'!N358</f>
        <v>-0.5</v>
      </c>
      <c r="H413" t="str">
        <f>'Interpreted Data'!P358</f>
        <v/>
      </c>
      <c r="J413">
        <f t="shared" si="113"/>
        <v>66</v>
      </c>
      <c r="K413">
        <f t="shared" si="114"/>
        <v>67</v>
      </c>
      <c r="L413">
        <f t="shared" si="115"/>
        <v>30.2</v>
      </c>
      <c r="M413" t="str">
        <f t="shared" si="116"/>
        <v>-</v>
      </c>
      <c r="N413" t="str">
        <f t="shared" si="117"/>
        <v>180:00</v>
      </c>
      <c r="O413" t="str">
        <f t="shared" si="118"/>
        <v>-1:00</v>
      </c>
      <c r="P413" t="str">
        <f t="shared" si="119"/>
        <v/>
      </c>
    </row>
    <row r="414" spans="1:16" x14ac:dyDescent="0.25">
      <c r="A414">
        <f>'Raw Data'!A359</f>
        <v>67</v>
      </c>
      <c r="B414">
        <f>'Raw Data'!B359</f>
        <v>68</v>
      </c>
      <c r="C414">
        <f>'Raw Data'!J359</f>
        <v>48.9</v>
      </c>
      <c r="D414" t="str">
        <f>'Interpreted Data'!G359</f>
        <v>348:00</v>
      </c>
      <c r="E414" t="str">
        <f>'Interpreted Data'!H359</f>
        <v>-</v>
      </c>
      <c r="F414" t="str">
        <f>SUBSTITUTE('Raw Data'!K359," ",":",1)</f>
        <v>-4:00</v>
      </c>
      <c r="G414">
        <f>'Interpreted Data'!N359</f>
        <v>-3.4</v>
      </c>
      <c r="H414" t="str">
        <f>'Interpreted Data'!P359</f>
        <v/>
      </c>
      <c r="J414">
        <f t="shared" si="113"/>
        <v>67</v>
      </c>
      <c r="K414">
        <f t="shared" si="114"/>
        <v>68</v>
      </c>
      <c r="L414">
        <f t="shared" si="115"/>
        <v>48.9</v>
      </c>
      <c r="M414" t="str">
        <f t="shared" si="116"/>
        <v>348:00</v>
      </c>
      <c r="N414" t="str">
        <f t="shared" si="117"/>
        <v>-</v>
      </c>
      <c r="O414" t="str">
        <f t="shared" si="118"/>
        <v>-4:00</v>
      </c>
      <c r="P414" t="str">
        <f t="shared" si="119"/>
        <v/>
      </c>
    </row>
    <row r="415" spans="1:16" x14ac:dyDescent="0.25">
      <c r="A415">
        <f>'Raw Data'!A360</f>
        <v>68</v>
      </c>
      <c r="B415">
        <f>'Raw Data'!B360</f>
        <v>69</v>
      </c>
      <c r="C415">
        <f>'Raw Data'!J360</f>
        <v>14.8</v>
      </c>
      <c r="D415" t="str">
        <f>'Interpreted Data'!G360</f>
        <v>-</v>
      </c>
      <c r="E415" t="str">
        <f>'Interpreted Data'!H360</f>
        <v>221:30</v>
      </c>
      <c r="F415" t="str">
        <f>SUBSTITUTE('Raw Data'!K360," ",":",1)</f>
        <v>5:30</v>
      </c>
      <c r="G415">
        <f>'Interpreted Data'!N360</f>
        <v>1.4</v>
      </c>
      <c r="H415" t="str">
        <f>'Interpreted Data'!P360</f>
        <v/>
      </c>
      <c r="J415">
        <f t="shared" si="113"/>
        <v>68</v>
      </c>
      <c r="K415">
        <f t="shared" si="114"/>
        <v>69</v>
      </c>
      <c r="L415">
        <f t="shared" si="115"/>
        <v>14.8</v>
      </c>
      <c r="M415" t="str">
        <f t="shared" si="116"/>
        <v>-</v>
      </c>
      <c r="N415" t="str">
        <f t="shared" si="117"/>
        <v>221:30</v>
      </c>
      <c r="O415" t="str">
        <f t="shared" si="118"/>
        <v>5:30</v>
      </c>
      <c r="P415" t="str">
        <f t="shared" si="119"/>
        <v/>
      </c>
    </row>
    <row r="416" spans="1:16" x14ac:dyDescent="0.25">
      <c r="A416">
        <f>'Raw Data'!A361</f>
        <v>69</v>
      </c>
      <c r="B416">
        <f>'Raw Data'!B361</f>
        <v>70</v>
      </c>
      <c r="C416">
        <f>'Raw Data'!J361</f>
        <v>21</v>
      </c>
      <c r="D416" t="str">
        <f>'Interpreted Data'!G361</f>
        <v>005:00</v>
      </c>
      <c r="E416" t="str">
        <f>'Interpreted Data'!H361</f>
        <v>-</v>
      </c>
      <c r="F416" t="str">
        <f>SUBSTITUTE('Raw Data'!K361," ",":",1)</f>
        <v>-6:30</v>
      </c>
      <c r="G416">
        <f>'Interpreted Data'!N361</f>
        <v>-2.4</v>
      </c>
      <c r="H416" t="str">
        <f>'Interpreted Data'!P361</f>
        <v/>
      </c>
      <c r="J416">
        <f t="shared" si="113"/>
        <v>69</v>
      </c>
      <c r="K416">
        <f t="shared" si="114"/>
        <v>70</v>
      </c>
      <c r="L416">
        <f t="shared" si="115"/>
        <v>21</v>
      </c>
      <c r="M416" t="str">
        <f t="shared" si="116"/>
        <v>005:00</v>
      </c>
      <c r="N416" t="str">
        <f t="shared" si="117"/>
        <v>-</v>
      </c>
      <c r="O416" t="str">
        <f t="shared" si="118"/>
        <v>-6:30</v>
      </c>
      <c r="P416" t="str">
        <f t="shared" si="119"/>
        <v/>
      </c>
    </row>
    <row r="417" spans="1:16" x14ac:dyDescent="0.25">
      <c r="A417">
        <f>'Raw Data'!A362</f>
        <v>70</v>
      </c>
      <c r="B417">
        <f>'Raw Data'!B362</f>
        <v>71</v>
      </c>
      <c r="C417">
        <f>'Raw Data'!J362</f>
        <v>36.799999999999997</v>
      </c>
      <c r="D417" t="str">
        <f>'Interpreted Data'!G362</f>
        <v>-</v>
      </c>
      <c r="E417" t="str">
        <f>'Interpreted Data'!H362</f>
        <v>283:00</v>
      </c>
      <c r="F417" t="str">
        <f>SUBSTITUTE('Raw Data'!K362," ",":",1)</f>
        <v>4:30</v>
      </c>
      <c r="G417">
        <f>'Interpreted Data'!N362</f>
        <v>2.9</v>
      </c>
      <c r="H417" t="str">
        <f>'Interpreted Data'!P362</f>
        <v/>
      </c>
      <c r="J417">
        <f t="shared" si="113"/>
        <v>70</v>
      </c>
      <c r="K417">
        <f t="shared" si="114"/>
        <v>71</v>
      </c>
      <c r="L417">
        <f t="shared" si="115"/>
        <v>36.799999999999997</v>
      </c>
      <c r="M417" t="str">
        <f t="shared" si="116"/>
        <v>-</v>
      </c>
      <c r="N417" t="str">
        <f t="shared" si="117"/>
        <v>283:00</v>
      </c>
      <c r="O417" t="str">
        <f t="shared" si="118"/>
        <v>4:30</v>
      </c>
      <c r="P417" t="str">
        <f t="shared" si="119"/>
        <v/>
      </c>
    </row>
    <row r="418" spans="1:16" x14ac:dyDescent="0.25">
      <c r="A418">
        <f>'Raw Data'!A363</f>
        <v>71</v>
      </c>
      <c r="B418">
        <f>'Raw Data'!B363</f>
        <v>72</v>
      </c>
      <c r="C418">
        <f>'Raw Data'!J363</f>
        <v>38.200000000000003</v>
      </c>
      <c r="D418" t="str">
        <f>'Interpreted Data'!G363</f>
        <v>019:00</v>
      </c>
      <c r="E418" t="str">
        <f>'Interpreted Data'!H363</f>
        <v>-</v>
      </c>
      <c r="F418" t="str">
        <f>SUBSTITUTE('Raw Data'!K363," ",":",1)</f>
        <v>5:00</v>
      </c>
      <c r="G418">
        <f>'Interpreted Data'!N363</f>
        <v>3.3</v>
      </c>
      <c r="H418" t="str">
        <f>'Interpreted Data'!P363</f>
        <v/>
      </c>
      <c r="J418">
        <f t="shared" si="113"/>
        <v>71</v>
      </c>
      <c r="K418">
        <f t="shared" si="114"/>
        <v>72</v>
      </c>
      <c r="L418">
        <f t="shared" si="115"/>
        <v>38.200000000000003</v>
      </c>
      <c r="M418" t="str">
        <f t="shared" si="116"/>
        <v>019:00</v>
      </c>
      <c r="N418" t="str">
        <f t="shared" si="117"/>
        <v>-</v>
      </c>
      <c r="O418" t="str">
        <f t="shared" si="118"/>
        <v>5:00</v>
      </c>
      <c r="P418" t="str">
        <f t="shared" si="119"/>
        <v/>
      </c>
    </row>
    <row r="419" spans="1:16" x14ac:dyDescent="0.25">
      <c r="A419">
        <f>'Raw Data'!A364</f>
        <v>72</v>
      </c>
      <c r="B419">
        <f>'Raw Data'!B364</f>
        <v>73</v>
      </c>
      <c r="C419">
        <f>'Raw Data'!J364</f>
        <v>11.9</v>
      </c>
      <c r="D419" t="str">
        <f>'Interpreted Data'!G364</f>
        <v>-</v>
      </c>
      <c r="E419" t="str">
        <f>'Interpreted Data'!H364</f>
        <v>172:00</v>
      </c>
      <c r="F419" t="str">
        <f>SUBSTITUTE('Raw Data'!K364," ",":",1)</f>
        <v>-10:00</v>
      </c>
      <c r="G419">
        <f>'Interpreted Data'!N364</f>
        <v>-2.1</v>
      </c>
      <c r="H419" t="str">
        <f>'Interpreted Data'!P364</f>
        <v/>
      </c>
      <c r="J419">
        <f t="shared" si="113"/>
        <v>72</v>
      </c>
      <c r="K419">
        <f t="shared" si="114"/>
        <v>73</v>
      </c>
      <c r="L419">
        <f t="shared" si="115"/>
        <v>11.9</v>
      </c>
      <c r="M419" t="str">
        <f t="shared" si="116"/>
        <v>-</v>
      </c>
      <c r="N419" t="str">
        <f t="shared" si="117"/>
        <v>172:00</v>
      </c>
      <c r="O419" t="str">
        <f t="shared" si="118"/>
        <v>-10:00</v>
      </c>
      <c r="P419" t="str">
        <f t="shared" si="119"/>
        <v/>
      </c>
    </row>
    <row r="420" spans="1:16" x14ac:dyDescent="0.25">
      <c r="A420">
        <f>'Raw Data'!A365</f>
        <v>73</v>
      </c>
      <c r="B420">
        <f>'Raw Data'!B365</f>
        <v>74</v>
      </c>
      <c r="C420">
        <f>'Raw Data'!J365</f>
        <v>34.200000000000003</v>
      </c>
      <c r="D420" t="str">
        <f>'Interpreted Data'!G365</f>
        <v>007:00</v>
      </c>
      <c r="E420" t="str">
        <f>'Interpreted Data'!H365</f>
        <v>-</v>
      </c>
      <c r="F420" t="str">
        <f>SUBSTITUTE('Raw Data'!K365," ",":",1)</f>
        <v>-1:30</v>
      </c>
      <c r="G420">
        <f>'Interpreted Data'!N365</f>
        <v>-0.9</v>
      </c>
      <c r="H420" t="str">
        <f>'Interpreted Data'!P365</f>
        <v/>
      </c>
      <c r="J420">
        <f t="shared" si="113"/>
        <v>73</v>
      </c>
      <c r="K420">
        <f t="shared" si="114"/>
        <v>74</v>
      </c>
      <c r="L420">
        <f t="shared" si="115"/>
        <v>34.200000000000003</v>
      </c>
      <c r="M420" t="str">
        <f t="shared" si="116"/>
        <v>007:00</v>
      </c>
      <c r="N420" t="str">
        <f t="shared" si="117"/>
        <v>-</v>
      </c>
      <c r="O420" t="str">
        <f t="shared" si="118"/>
        <v>-1:30</v>
      </c>
      <c r="P420" t="str">
        <f t="shared" si="119"/>
        <v/>
      </c>
    </row>
    <row r="421" spans="1:16" x14ac:dyDescent="0.25">
      <c r="A421">
        <f>'Raw Data'!A366</f>
        <v>74</v>
      </c>
      <c r="B421">
        <f>'Raw Data'!B366</f>
        <v>75</v>
      </c>
      <c r="C421">
        <f>'Raw Data'!J366</f>
        <v>9.1</v>
      </c>
      <c r="D421" t="str">
        <f>'Interpreted Data'!G366</f>
        <v>-</v>
      </c>
      <c r="E421" t="str">
        <f>'Interpreted Data'!H366</f>
        <v>280:00</v>
      </c>
      <c r="F421" t="str">
        <f>SUBSTITUTE('Raw Data'!K366," ",":",1)</f>
        <v>level</v>
      </c>
      <c r="G421">
        <f>'Interpreted Data'!N366</f>
        <v>0</v>
      </c>
      <c r="H421" t="str">
        <f>'Interpreted Data'!P366</f>
        <v/>
      </c>
      <c r="J421">
        <f t="shared" si="113"/>
        <v>74</v>
      </c>
      <c r="K421">
        <f t="shared" si="114"/>
        <v>75</v>
      </c>
      <c r="L421">
        <f t="shared" si="115"/>
        <v>9.1</v>
      </c>
      <c r="M421" t="str">
        <f t="shared" si="116"/>
        <v>-</v>
      </c>
      <c r="N421" t="str">
        <f t="shared" si="117"/>
        <v>280:00</v>
      </c>
      <c r="O421">
        <f>G421</f>
        <v>0</v>
      </c>
      <c r="P421" t="str">
        <f t="shared" si="119"/>
        <v/>
      </c>
    </row>
    <row r="422" spans="1:16" x14ac:dyDescent="0.25">
      <c r="A422">
        <f>'Raw Data'!A367</f>
        <v>75</v>
      </c>
      <c r="B422">
        <f>'Raw Data'!B367</f>
        <v>76</v>
      </c>
      <c r="C422">
        <f>'Raw Data'!J367</f>
        <v>40.700000000000003</v>
      </c>
      <c r="D422" t="str">
        <f>'Interpreted Data'!G367</f>
        <v>-</v>
      </c>
      <c r="E422" t="str">
        <f>'Interpreted Data'!H367</f>
        <v>310:00</v>
      </c>
      <c r="F422" t="str">
        <f>SUBSTITUTE('Raw Data'!K367," ",":",1)</f>
        <v>6:30</v>
      </c>
      <c r="G422">
        <f>'Interpreted Data'!N367</f>
        <v>4.5999999999999996</v>
      </c>
      <c r="H422" t="str">
        <f>'Interpreted Data'!P367</f>
        <v/>
      </c>
      <c r="J422">
        <f t="shared" si="113"/>
        <v>75</v>
      </c>
      <c r="K422">
        <f t="shared" si="114"/>
        <v>76</v>
      </c>
      <c r="L422">
        <f t="shared" si="115"/>
        <v>40.700000000000003</v>
      </c>
      <c r="M422" t="str">
        <f t="shared" si="116"/>
        <v>-</v>
      </c>
      <c r="N422" t="str">
        <f t="shared" si="117"/>
        <v>310:00</v>
      </c>
      <c r="O422" t="str">
        <f t="shared" si="118"/>
        <v>6:30</v>
      </c>
      <c r="P422" t="str">
        <f t="shared" si="119"/>
        <v/>
      </c>
    </row>
    <row r="423" spans="1:16" x14ac:dyDescent="0.25">
      <c r="A423">
        <f>'Raw Data'!A368</f>
        <v>76</v>
      </c>
      <c r="B423">
        <f>'Raw Data'!B368</f>
        <v>77</v>
      </c>
      <c r="C423">
        <f>'Raw Data'!J368</f>
        <v>17.5</v>
      </c>
      <c r="D423" t="str">
        <f>'Interpreted Data'!G368</f>
        <v>161:00</v>
      </c>
      <c r="E423" t="str">
        <f>'Interpreted Data'!H368</f>
        <v>-</v>
      </c>
      <c r="F423" t="str">
        <f>SUBSTITUTE('Raw Data'!K368," ",":",1)</f>
        <v>-1:30</v>
      </c>
      <c r="G423">
        <f>'Interpreted Data'!N368</f>
        <v>-0.5</v>
      </c>
      <c r="H423" t="str">
        <f>'Interpreted Data'!P368</f>
        <v/>
      </c>
      <c r="J423">
        <f t="shared" si="113"/>
        <v>76</v>
      </c>
      <c r="K423">
        <f t="shared" si="114"/>
        <v>77</v>
      </c>
      <c r="L423">
        <f t="shared" si="115"/>
        <v>17.5</v>
      </c>
      <c r="M423" t="str">
        <f t="shared" si="116"/>
        <v>161:00</v>
      </c>
      <c r="N423" t="str">
        <f t="shared" si="117"/>
        <v>-</v>
      </c>
      <c r="O423" t="str">
        <f t="shared" si="118"/>
        <v>-1:30</v>
      </c>
      <c r="P423" t="str">
        <f t="shared" si="119"/>
        <v/>
      </c>
    </row>
    <row r="424" spans="1:16" x14ac:dyDescent="0.25">
      <c r="A424">
        <f>'Raw Data'!A369</f>
        <v>77</v>
      </c>
      <c r="B424">
        <f>'Raw Data'!B369</f>
        <v>78</v>
      </c>
      <c r="C424">
        <f>'Raw Data'!J369</f>
        <v>7.6</v>
      </c>
      <c r="D424" t="str">
        <f>'Interpreted Data'!G369</f>
        <v>-</v>
      </c>
      <c r="E424" t="str">
        <f>'Interpreted Data'!H369</f>
        <v>338:00</v>
      </c>
      <c r="F424" t="str">
        <f>SUBSTITUTE('Raw Data'!K369," ",":",1)</f>
        <v>25:30</v>
      </c>
      <c r="G424">
        <f>'Interpreted Data'!N369</f>
        <v>3.3</v>
      </c>
      <c r="H424" t="str">
        <f>'Interpreted Data'!P369</f>
        <v/>
      </c>
      <c r="J424">
        <f t="shared" si="113"/>
        <v>77</v>
      </c>
      <c r="K424">
        <f t="shared" si="114"/>
        <v>78</v>
      </c>
      <c r="L424">
        <f t="shared" si="115"/>
        <v>7.6</v>
      </c>
      <c r="M424" t="str">
        <f t="shared" si="116"/>
        <v>-</v>
      </c>
      <c r="N424" t="str">
        <f t="shared" si="117"/>
        <v>338:00</v>
      </c>
      <c r="O424" t="str">
        <f t="shared" si="118"/>
        <v>25:30</v>
      </c>
      <c r="P424" t="str">
        <f t="shared" si="119"/>
        <v/>
      </c>
    </row>
    <row r="425" spans="1:16" x14ac:dyDescent="0.25">
      <c r="A425">
        <f>'Raw Data'!A370</f>
        <v>78</v>
      </c>
      <c r="B425">
        <f>'Raw Data'!B370</f>
        <v>79</v>
      </c>
      <c r="C425">
        <f>'Raw Data'!J370</f>
        <v>35</v>
      </c>
      <c r="D425" t="str">
        <f>'Interpreted Data'!G370</f>
        <v>176:00</v>
      </c>
      <c r="E425" t="str">
        <f>'Interpreted Data'!H370</f>
        <v>-</v>
      </c>
      <c r="F425" t="str">
        <f>SUBSTITUTE('Raw Data'!K370," ",":",1)</f>
        <v>4:00</v>
      </c>
      <c r="G425">
        <f>'Interpreted Data'!N370</f>
        <v>2.4</v>
      </c>
      <c r="H425" t="str">
        <f>'Interpreted Data'!P370</f>
        <v/>
      </c>
      <c r="J425">
        <f t="shared" ref="J425:J442" si="126">A425</f>
        <v>78</v>
      </c>
      <c r="K425">
        <f t="shared" ref="K425:K442" si="127">B425</f>
        <v>79</v>
      </c>
      <c r="L425">
        <f t="shared" ref="L425:L442" si="128">C425</f>
        <v>35</v>
      </c>
      <c r="M425" t="str">
        <f t="shared" ref="M425:M442" si="129">D425</f>
        <v>176:00</v>
      </c>
      <c r="N425" t="str">
        <f t="shared" ref="N425:N442" si="130">E425</f>
        <v>-</v>
      </c>
      <c r="O425" t="str">
        <f t="shared" ref="O425:O442" si="131">IF(AND(D425="-",E425="-"),IF(1*SUBSTITUTE(F425,":",".")=-90,"DOWN",IF(1*SUBSTITUTE(F425,":",".")=90,"UP","no compass")),F425)</f>
        <v>4:00</v>
      </c>
      <c r="P425" t="str">
        <f t="shared" ref="P425:P443" si="132">H425</f>
        <v/>
      </c>
    </row>
    <row r="426" spans="1:16" x14ac:dyDescent="0.25">
      <c r="A426">
        <f>'Raw Data'!A371</f>
        <v>79</v>
      </c>
      <c r="B426">
        <f>'Raw Data'!B371</f>
        <v>80</v>
      </c>
      <c r="C426">
        <f>'Raw Data'!J371</f>
        <v>45.7</v>
      </c>
      <c r="D426" t="str">
        <f>'Interpreted Data'!G371</f>
        <v>-</v>
      </c>
      <c r="E426" t="str">
        <f>'Interpreted Data'!H371</f>
        <v>325:00</v>
      </c>
      <c r="F426" t="str">
        <f>SUBSTITUTE('Raw Data'!K371," ",":",1)</f>
        <v>0:30</v>
      </c>
      <c r="G426">
        <f>'Interpreted Data'!N371</f>
        <v>0.4</v>
      </c>
      <c r="H426" t="str">
        <f>'Interpreted Data'!P371</f>
        <v/>
      </c>
      <c r="J426">
        <f t="shared" si="126"/>
        <v>79</v>
      </c>
      <c r="K426">
        <f t="shared" si="127"/>
        <v>80</v>
      </c>
      <c r="L426">
        <f t="shared" si="128"/>
        <v>45.7</v>
      </c>
      <c r="M426" t="str">
        <f t="shared" si="129"/>
        <v>-</v>
      </c>
      <c r="N426" t="str">
        <f t="shared" si="130"/>
        <v>325:00</v>
      </c>
      <c r="O426" t="str">
        <f t="shared" si="131"/>
        <v>0:30</v>
      </c>
      <c r="P426" t="str">
        <f t="shared" si="132"/>
        <v/>
      </c>
    </row>
    <row r="427" spans="1:16" x14ac:dyDescent="0.25">
      <c r="A427">
        <f>'Raw Data'!A372</f>
        <v>80</v>
      </c>
      <c r="B427">
        <f>'Raw Data'!B372</f>
        <v>81</v>
      </c>
      <c r="C427">
        <f>'Raw Data'!J372</f>
        <v>27.2</v>
      </c>
      <c r="D427" t="str">
        <f>'Interpreted Data'!G372</f>
        <v>157:30</v>
      </c>
      <c r="E427" t="str">
        <f>'Interpreted Data'!H372</f>
        <v>-</v>
      </c>
      <c r="F427" t="str">
        <f>SUBSTITUTE('Raw Data'!K372," ",":",1)</f>
        <v>0:30</v>
      </c>
      <c r="G427">
        <f>'Interpreted Data'!N372</f>
        <v>0.2</v>
      </c>
      <c r="H427" t="str">
        <f>'Interpreted Data'!P372</f>
        <v/>
      </c>
      <c r="J427">
        <f t="shared" si="126"/>
        <v>80</v>
      </c>
      <c r="K427">
        <f t="shared" si="127"/>
        <v>81</v>
      </c>
      <c r="L427">
        <f t="shared" si="128"/>
        <v>27.2</v>
      </c>
      <c r="M427" t="str">
        <f t="shared" si="129"/>
        <v>157:30</v>
      </c>
      <c r="N427" t="str">
        <f t="shared" si="130"/>
        <v>-</v>
      </c>
      <c r="O427" t="str">
        <f t="shared" si="131"/>
        <v>0:30</v>
      </c>
      <c r="P427" t="str">
        <f t="shared" si="132"/>
        <v/>
      </c>
    </row>
    <row r="428" spans="1:16" x14ac:dyDescent="0.25">
      <c r="A428">
        <f>'Raw Data'!A373</f>
        <v>81</v>
      </c>
      <c r="B428">
        <f>'Raw Data'!B373</f>
        <v>82</v>
      </c>
      <c r="C428">
        <f>'Raw Data'!J373</f>
        <v>19.100000000000001</v>
      </c>
      <c r="D428" t="str">
        <f>'Interpreted Data'!G373</f>
        <v>-</v>
      </c>
      <c r="E428" t="str">
        <f>'Interpreted Data'!H373</f>
        <v>283:30</v>
      </c>
      <c r="F428" t="str">
        <f>SUBSTITUTE('Raw Data'!K373," ",":",1)</f>
        <v>7:00</v>
      </c>
      <c r="G428">
        <f>'Interpreted Data'!N373</f>
        <v>2.2999999999999998</v>
      </c>
      <c r="H428" t="str">
        <f>'Interpreted Data'!P373</f>
        <v/>
      </c>
      <c r="J428">
        <f t="shared" si="126"/>
        <v>81</v>
      </c>
      <c r="K428">
        <f t="shared" si="127"/>
        <v>82</v>
      </c>
      <c r="L428">
        <f t="shared" si="128"/>
        <v>19.100000000000001</v>
      </c>
      <c r="M428" t="str">
        <f t="shared" si="129"/>
        <v>-</v>
      </c>
      <c r="N428" t="str">
        <f t="shared" si="130"/>
        <v>283:30</v>
      </c>
      <c r="O428" t="str">
        <f t="shared" si="131"/>
        <v>7:00</v>
      </c>
      <c r="P428" t="str">
        <f t="shared" si="132"/>
        <v/>
      </c>
    </row>
    <row r="429" spans="1:16" x14ac:dyDescent="0.25">
      <c r="A429">
        <f>'Raw Data'!A374</f>
        <v>82</v>
      </c>
      <c r="B429">
        <f>'Raw Data'!B374</f>
        <v>83</v>
      </c>
      <c r="C429">
        <f>'Raw Data'!J374</f>
        <v>39.700000000000003</v>
      </c>
      <c r="D429" t="str">
        <f>'Interpreted Data'!G374</f>
        <v>140:00</v>
      </c>
      <c r="E429" t="str">
        <f>'Interpreted Data'!H374</f>
        <v>-</v>
      </c>
      <c r="F429" t="str">
        <f>SUBSTITUTE('Raw Data'!K374," ",":",1)</f>
        <v>3:00</v>
      </c>
      <c r="G429">
        <f>'Interpreted Data'!N374</f>
        <v>2.1</v>
      </c>
      <c r="H429" t="str">
        <f>'Interpreted Data'!P374</f>
        <v/>
      </c>
      <c r="J429">
        <f t="shared" si="126"/>
        <v>82</v>
      </c>
      <c r="K429">
        <f t="shared" si="127"/>
        <v>83</v>
      </c>
      <c r="L429">
        <f t="shared" si="128"/>
        <v>39.700000000000003</v>
      </c>
      <c r="M429" t="str">
        <f t="shared" si="129"/>
        <v>140:00</v>
      </c>
      <c r="N429" t="str">
        <f t="shared" si="130"/>
        <v>-</v>
      </c>
      <c r="O429" t="str">
        <f t="shared" si="131"/>
        <v>3:00</v>
      </c>
      <c r="P429" t="str">
        <f t="shared" si="132"/>
        <v/>
      </c>
    </row>
    <row r="430" spans="1:16" x14ac:dyDescent="0.25">
      <c r="A430">
        <f>'Raw Data'!A375</f>
        <v>83</v>
      </c>
      <c r="B430">
        <f>'Raw Data'!B375</f>
        <v>84</v>
      </c>
      <c r="C430">
        <f>'Raw Data'!J375</f>
        <v>35.5</v>
      </c>
      <c r="D430" t="str">
        <f>'Interpreted Data'!G375</f>
        <v>-</v>
      </c>
      <c r="E430" t="str">
        <f>'Interpreted Data'!H375</f>
        <v>319:00</v>
      </c>
      <c r="F430" t="str">
        <f>SUBSTITUTE('Raw Data'!K375," ",":",1)</f>
        <v>5:30</v>
      </c>
      <c r="G430">
        <f>'Interpreted Data'!N375</f>
        <v>3.4</v>
      </c>
      <c r="H430" t="str">
        <f>'Interpreted Data'!P375</f>
        <v/>
      </c>
      <c r="J430">
        <f t="shared" si="126"/>
        <v>83</v>
      </c>
      <c r="K430">
        <f t="shared" si="127"/>
        <v>84</v>
      </c>
      <c r="L430">
        <f t="shared" si="128"/>
        <v>35.5</v>
      </c>
      <c r="M430" t="str">
        <f t="shared" si="129"/>
        <v>-</v>
      </c>
      <c r="N430" t="str">
        <f t="shared" si="130"/>
        <v>319:00</v>
      </c>
      <c r="O430" t="str">
        <f t="shared" si="131"/>
        <v>5:30</v>
      </c>
      <c r="P430" t="str">
        <f t="shared" si="132"/>
        <v/>
      </c>
    </row>
    <row r="431" spans="1:16" x14ac:dyDescent="0.25">
      <c r="A431">
        <f>'Raw Data'!A376</f>
        <v>84</v>
      </c>
      <c r="B431">
        <f>'Raw Data'!B376</f>
        <v>85</v>
      </c>
      <c r="C431">
        <f>'Raw Data'!J376</f>
        <v>29.1</v>
      </c>
      <c r="D431" t="str">
        <f>'Interpreted Data'!G376</f>
        <v>074:00</v>
      </c>
      <c r="E431" t="str">
        <f>'Interpreted Data'!H376</f>
        <v>-</v>
      </c>
      <c r="F431" t="str">
        <f>SUBSTITUTE('Raw Data'!K376," ",":",1)</f>
        <v>16:00</v>
      </c>
      <c r="G431">
        <f>'Interpreted Data'!N376</f>
        <v>8.1</v>
      </c>
      <c r="H431" t="str">
        <f>'Interpreted Data'!P376</f>
        <v/>
      </c>
      <c r="J431">
        <f t="shared" si="126"/>
        <v>84</v>
      </c>
      <c r="K431">
        <f t="shared" si="127"/>
        <v>85</v>
      </c>
      <c r="L431">
        <f t="shared" si="128"/>
        <v>29.1</v>
      </c>
      <c r="M431" t="str">
        <f t="shared" si="129"/>
        <v>074:00</v>
      </c>
      <c r="N431" t="str">
        <f t="shared" si="130"/>
        <v>-</v>
      </c>
      <c r="O431" t="str">
        <f t="shared" si="131"/>
        <v>16:00</v>
      </c>
      <c r="P431" t="str">
        <f t="shared" si="132"/>
        <v/>
      </c>
    </row>
    <row r="432" spans="1:16" x14ac:dyDescent="0.25">
      <c r="A432">
        <f>'Raw Data'!A377</f>
        <v>85</v>
      </c>
      <c r="B432">
        <f>'Raw Data'!B377</f>
        <v>86</v>
      </c>
      <c r="C432">
        <f>'Raw Data'!J377</f>
        <v>25.3</v>
      </c>
      <c r="D432" t="str">
        <f>'Interpreted Data'!G377</f>
        <v>-</v>
      </c>
      <c r="E432" t="str">
        <f>'Interpreted Data'!H377</f>
        <v>193:00</v>
      </c>
      <c r="F432" t="str">
        <f>SUBSTITUTE('Raw Data'!K377," ",":",1)</f>
        <v>21:00</v>
      </c>
      <c r="G432">
        <f>'Interpreted Data'!N377</f>
        <v>9.1</v>
      </c>
      <c r="H432" t="str">
        <f>'Interpreted Data'!P377</f>
        <v/>
      </c>
      <c r="J432">
        <f t="shared" si="126"/>
        <v>85</v>
      </c>
      <c r="K432">
        <f t="shared" si="127"/>
        <v>86</v>
      </c>
      <c r="L432">
        <f t="shared" si="128"/>
        <v>25.3</v>
      </c>
      <c r="M432" t="str">
        <f t="shared" si="129"/>
        <v>-</v>
      </c>
      <c r="N432" t="str">
        <f t="shared" si="130"/>
        <v>193:00</v>
      </c>
      <c r="O432" t="str">
        <f t="shared" si="131"/>
        <v>21:00</v>
      </c>
      <c r="P432" t="str">
        <f t="shared" si="132"/>
        <v/>
      </c>
    </row>
    <row r="433" spans="1:16" x14ac:dyDescent="0.25">
      <c r="A433">
        <f>'Raw Data'!A378</f>
        <v>86</v>
      </c>
      <c r="B433">
        <f>'Raw Data'!B378</f>
        <v>87</v>
      </c>
      <c r="C433">
        <f>'Raw Data'!J378</f>
        <v>23.1</v>
      </c>
      <c r="D433" t="str">
        <f>'Interpreted Data'!G378</f>
        <v>353:00</v>
      </c>
      <c r="E433" t="str">
        <f>'Interpreted Data'!H378</f>
        <v>-</v>
      </c>
      <c r="F433" t="str">
        <f>SUBSTITUTE('Raw Data'!K378," ",":",1)</f>
        <v>18:30</v>
      </c>
      <c r="G433">
        <f>'Interpreted Data'!N378</f>
        <v>7.3</v>
      </c>
      <c r="H433" t="str">
        <f>'Interpreted Data'!P378</f>
        <v/>
      </c>
      <c r="J433">
        <f t="shared" si="126"/>
        <v>86</v>
      </c>
      <c r="K433">
        <f t="shared" si="127"/>
        <v>87</v>
      </c>
      <c r="L433">
        <f t="shared" si="128"/>
        <v>23.1</v>
      </c>
      <c r="M433" t="str">
        <f t="shared" si="129"/>
        <v>353:00</v>
      </c>
      <c r="N433" t="str">
        <f t="shared" si="130"/>
        <v>-</v>
      </c>
      <c r="O433" t="str">
        <f t="shared" si="131"/>
        <v>18:30</v>
      </c>
      <c r="P433" t="str">
        <f t="shared" si="132"/>
        <v/>
      </c>
    </row>
    <row r="434" spans="1:16" x14ac:dyDescent="0.25">
      <c r="A434">
        <f>'Raw Data'!A379</f>
        <v>87</v>
      </c>
      <c r="B434">
        <f>'Raw Data'!B379</f>
        <v>88</v>
      </c>
      <c r="C434">
        <f>'Raw Data'!J379</f>
        <v>51.3</v>
      </c>
      <c r="D434" t="str">
        <f>'Interpreted Data'!G379</f>
        <v>-</v>
      </c>
      <c r="E434" t="str">
        <f>'Interpreted Data'!H379</f>
        <v>268:00</v>
      </c>
      <c r="F434" t="str">
        <f>SUBSTITUTE('Raw Data'!K379," ",":",1)</f>
        <v>12:30</v>
      </c>
      <c r="G434">
        <f>'Interpreted Data'!N379</f>
        <v>11.1</v>
      </c>
      <c r="H434" t="str">
        <f>'Interpreted Data'!P379</f>
        <v/>
      </c>
      <c r="J434">
        <f t="shared" si="126"/>
        <v>87</v>
      </c>
      <c r="K434">
        <f t="shared" si="127"/>
        <v>88</v>
      </c>
      <c r="L434">
        <f t="shared" si="128"/>
        <v>51.3</v>
      </c>
      <c r="M434" t="str">
        <f t="shared" si="129"/>
        <v>-</v>
      </c>
      <c r="N434" t="str">
        <f t="shared" si="130"/>
        <v>268:00</v>
      </c>
      <c r="O434" t="str">
        <f t="shared" si="131"/>
        <v>12:30</v>
      </c>
      <c r="P434" t="str">
        <f t="shared" si="132"/>
        <v/>
      </c>
    </row>
    <row r="435" spans="1:16" x14ac:dyDescent="0.25">
      <c r="A435">
        <f>'Raw Data'!A380</f>
        <v>88</v>
      </c>
      <c r="B435">
        <f>'Raw Data'!B380</f>
        <v>89</v>
      </c>
      <c r="C435">
        <f>'Raw Data'!J380</f>
        <v>16.5</v>
      </c>
      <c r="D435" t="str">
        <f>'Interpreted Data'!G380</f>
        <v>061:00</v>
      </c>
      <c r="E435" t="str">
        <f>'Interpreted Data'!H380</f>
        <v>-</v>
      </c>
      <c r="F435" t="str">
        <f>SUBSTITUTE('Raw Data'!K380," ",":",1)</f>
        <v>22:30</v>
      </c>
      <c r="G435">
        <f>'Interpreted Data'!N380</f>
        <v>6.3</v>
      </c>
      <c r="H435" t="str">
        <f>'Interpreted Data'!P380</f>
        <v/>
      </c>
      <c r="J435">
        <f t="shared" si="126"/>
        <v>88</v>
      </c>
      <c r="K435">
        <f t="shared" si="127"/>
        <v>89</v>
      </c>
      <c r="L435">
        <f t="shared" si="128"/>
        <v>16.5</v>
      </c>
      <c r="M435" t="str">
        <f t="shared" si="129"/>
        <v>061:00</v>
      </c>
      <c r="N435" t="str">
        <f t="shared" si="130"/>
        <v>-</v>
      </c>
      <c r="O435" t="str">
        <f t="shared" si="131"/>
        <v>22:30</v>
      </c>
      <c r="P435" t="str">
        <f t="shared" si="132"/>
        <v/>
      </c>
    </row>
    <row r="436" spans="1:16" x14ac:dyDescent="0.25">
      <c r="A436">
        <f>'Raw Data'!A381</f>
        <v>89</v>
      </c>
      <c r="B436">
        <f>'Raw Data'!B381</f>
        <v>90</v>
      </c>
      <c r="C436">
        <f>'Raw Data'!J381</f>
        <v>26.4</v>
      </c>
      <c r="D436" t="str">
        <f>'Interpreted Data'!G381</f>
        <v>-</v>
      </c>
      <c r="E436" t="str">
        <f>'Interpreted Data'!H381</f>
        <v>211:00</v>
      </c>
      <c r="F436" t="str">
        <f>SUBSTITUTE('Raw Data'!K381," ",":",1)</f>
        <v>14:30</v>
      </c>
      <c r="G436">
        <f>'Interpreted Data'!N381</f>
        <v>6.6</v>
      </c>
      <c r="H436" t="str">
        <f>'Interpreted Data'!P381</f>
        <v/>
      </c>
      <c r="J436">
        <f t="shared" si="126"/>
        <v>89</v>
      </c>
      <c r="K436">
        <f t="shared" si="127"/>
        <v>90</v>
      </c>
      <c r="L436">
        <f t="shared" si="128"/>
        <v>26.4</v>
      </c>
      <c r="M436" t="str">
        <f t="shared" si="129"/>
        <v>-</v>
      </c>
      <c r="N436" t="str">
        <f t="shared" si="130"/>
        <v>211:00</v>
      </c>
      <c r="O436" t="str">
        <f t="shared" si="131"/>
        <v>14:30</v>
      </c>
      <c r="P436" t="str">
        <f t="shared" si="132"/>
        <v/>
      </c>
    </row>
    <row r="437" spans="1:16" x14ac:dyDescent="0.25">
      <c r="A437" t="str">
        <f>'Raw Data'!A382</f>
        <v>p. 71-72</v>
      </c>
      <c r="B437" t="str">
        <f>'Raw Data'!B382</f>
        <v>(=PDF p.73-74)</v>
      </c>
      <c r="C437">
        <f>'Raw Data'!J382</f>
        <v>0</v>
      </c>
      <c r="D437" t="str">
        <f>'Interpreted Data'!G382</f>
        <v>-</v>
      </c>
      <c r="E437" t="str">
        <f>'Interpreted Data'!H382</f>
        <v>-</v>
      </c>
      <c r="F437" t="str">
        <f>SUBSTITUTE('Raw Data'!K382," ",":",1)</f>
        <v/>
      </c>
      <c r="G437" t="str">
        <f>'Interpreted Data'!N382</f>
        <v/>
      </c>
      <c r="H437" t="str">
        <f>'Interpreted Data'!P382</f>
        <v/>
      </c>
      <c r="J437" t="str">
        <f>CONCATENATE("# ",A437)</f>
        <v># p. 71-72</v>
      </c>
      <c r="K437" t="str">
        <f t="shared" si="127"/>
        <v>(=PDF p.73-74)</v>
      </c>
      <c r="P437" t="str">
        <f t="shared" si="132"/>
        <v/>
      </c>
    </row>
    <row r="438" spans="1:16" x14ac:dyDescent="0.25">
      <c r="A438">
        <f>'Raw Data'!A383</f>
        <v>90</v>
      </c>
      <c r="B438">
        <f>'Raw Data'!B383</f>
        <v>91</v>
      </c>
      <c r="C438">
        <f>'Raw Data'!J383</f>
        <v>49</v>
      </c>
      <c r="D438" t="str">
        <f>'Interpreted Data'!G383</f>
        <v>351:00</v>
      </c>
      <c r="E438" t="str">
        <f>'Interpreted Data'!H383</f>
        <v>-</v>
      </c>
      <c r="F438" t="str">
        <f>SUBSTITUTE('Raw Data'!K383," ",":",1)</f>
        <v>3:30</v>
      </c>
      <c r="G438">
        <f>'Interpreted Data'!N383</f>
        <v>3</v>
      </c>
      <c r="H438" t="str">
        <f>'Interpreted Data'!P383</f>
        <v/>
      </c>
      <c r="J438">
        <f t="shared" si="126"/>
        <v>90</v>
      </c>
      <c r="K438">
        <f t="shared" si="127"/>
        <v>91</v>
      </c>
      <c r="L438">
        <f t="shared" si="128"/>
        <v>49</v>
      </c>
      <c r="M438" t="str">
        <f t="shared" si="129"/>
        <v>351:00</v>
      </c>
      <c r="N438" t="str">
        <f t="shared" si="130"/>
        <v>-</v>
      </c>
      <c r="O438" t="str">
        <f t="shared" si="131"/>
        <v>3:30</v>
      </c>
      <c r="P438" t="str">
        <f t="shared" si="132"/>
        <v/>
      </c>
    </row>
    <row r="439" spans="1:16" x14ac:dyDescent="0.25">
      <c r="A439">
        <f>'Raw Data'!A384</f>
        <v>91</v>
      </c>
      <c r="B439">
        <f>'Raw Data'!B384</f>
        <v>92</v>
      </c>
      <c r="C439">
        <f>'Raw Data'!J384</f>
        <v>35.799999999999997</v>
      </c>
      <c r="D439" t="str">
        <f>'Interpreted Data'!G384</f>
        <v>-</v>
      </c>
      <c r="E439" t="str">
        <f>'Interpreted Data'!H384</f>
        <v>215:00</v>
      </c>
      <c r="F439" t="str">
        <f>SUBSTITUTE('Raw Data'!K384," ",":",1)</f>
        <v>26:30</v>
      </c>
      <c r="G439">
        <f>'Interpreted Data'!N384</f>
        <v>16</v>
      </c>
      <c r="H439" t="str">
        <f>'Interpreted Data'!P384</f>
        <v/>
      </c>
      <c r="J439">
        <f t="shared" si="126"/>
        <v>91</v>
      </c>
      <c r="K439">
        <f t="shared" si="127"/>
        <v>92</v>
      </c>
      <c r="L439">
        <f t="shared" si="128"/>
        <v>35.799999999999997</v>
      </c>
      <c r="M439" t="str">
        <f t="shared" si="129"/>
        <v>-</v>
      </c>
      <c r="N439" t="str">
        <f t="shared" si="130"/>
        <v>215:00</v>
      </c>
      <c r="O439" t="str">
        <f t="shared" si="131"/>
        <v>26:30</v>
      </c>
      <c r="P439" t="str">
        <f t="shared" si="132"/>
        <v/>
      </c>
    </row>
    <row r="440" spans="1:16" x14ac:dyDescent="0.25">
      <c r="A440">
        <f>'Raw Data'!A385</f>
        <v>92</v>
      </c>
      <c r="B440">
        <f>'Raw Data'!B385</f>
        <v>93</v>
      </c>
      <c r="C440">
        <f>'Raw Data'!J385</f>
        <v>48.2</v>
      </c>
      <c r="D440" t="str">
        <f>'Interpreted Data'!G385</f>
        <v>018:00</v>
      </c>
      <c r="E440" t="str">
        <f>'Interpreted Data'!H385</f>
        <v>-</v>
      </c>
      <c r="F440" t="str">
        <f>SUBSTITUTE('Raw Data'!K385," ",":",1)</f>
        <v>8:30</v>
      </c>
      <c r="G440">
        <f>'Interpreted Data'!N385</f>
        <v>7.1</v>
      </c>
      <c r="H440" t="str">
        <f>'Interpreted Data'!P385</f>
        <v/>
      </c>
      <c r="J440">
        <f t="shared" si="126"/>
        <v>92</v>
      </c>
      <c r="K440">
        <f t="shared" si="127"/>
        <v>93</v>
      </c>
      <c r="L440">
        <f t="shared" si="128"/>
        <v>48.2</v>
      </c>
      <c r="M440" t="str">
        <f t="shared" si="129"/>
        <v>018:00</v>
      </c>
      <c r="N440" t="str">
        <f t="shared" si="130"/>
        <v>-</v>
      </c>
      <c r="O440" t="str">
        <f t="shared" si="131"/>
        <v>8:30</v>
      </c>
      <c r="P440" t="str">
        <f t="shared" si="132"/>
        <v/>
      </c>
    </row>
    <row r="441" spans="1:16" x14ac:dyDescent="0.25">
      <c r="A441">
        <f>'Raw Data'!A386</f>
        <v>93</v>
      </c>
      <c r="B441">
        <f>'Raw Data'!B386</f>
        <v>94</v>
      </c>
      <c r="C441">
        <f>'Raw Data'!J386</f>
        <v>18.5</v>
      </c>
      <c r="D441" t="str">
        <f>'Interpreted Data'!G386</f>
        <v>-</v>
      </c>
      <c r="E441" t="str">
        <f>'Interpreted Data'!H386</f>
        <v>211:00</v>
      </c>
      <c r="F441" t="str">
        <f>SUBSTITUTE('Raw Data'!K386," ",":",1)</f>
        <v>-9:00</v>
      </c>
      <c r="G441">
        <f>'Interpreted Data'!N386</f>
        <v>-2.9</v>
      </c>
      <c r="H441" t="str">
        <f>'Interpreted Data'!P386</f>
        <v/>
      </c>
      <c r="J441">
        <f t="shared" si="126"/>
        <v>93</v>
      </c>
      <c r="K441">
        <f t="shared" si="127"/>
        <v>94</v>
      </c>
      <c r="L441">
        <f t="shared" si="128"/>
        <v>18.5</v>
      </c>
      <c r="M441" t="str">
        <f t="shared" si="129"/>
        <v>-</v>
      </c>
      <c r="N441" t="str">
        <f t="shared" si="130"/>
        <v>211:00</v>
      </c>
      <c r="O441" t="str">
        <f t="shared" si="131"/>
        <v>-9:00</v>
      </c>
      <c r="P441" t="str">
        <f t="shared" si="132"/>
        <v/>
      </c>
    </row>
    <row r="442" spans="1:16" x14ac:dyDescent="0.25">
      <c r="A442">
        <f>'Raw Data'!A387</f>
        <v>94</v>
      </c>
      <c r="B442">
        <f>'Raw Data'!B387</f>
        <v>95</v>
      </c>
      <c r="C442">
        <f>'Raw Data'!J387</f>
        <v>26</v>
      </c>
      <c r="D442" t="str">
        <f>'Interpreted Data'!G387</f>
        <v>003:00</v>
      </c>
      <c r="E442" t="str">
        <f>'Interpreted Data'!H387</f>
        <v>-</v>
      </c>
      <c r="F442" t="str">
        <f>SUBSTITUTE('Raw Data'!K387," ",":",1)</f>
        <v>-4:30</v>
      </c>
      <c r="G442">
        <f>'Interpreted Data'!N387</f>
        <v>-2</v>
      </c>
      <c r="H442" t="str">
        <f>'Interpreted Data'!P387</f>
        <v/>
      </c>
      <c r="J442">
        <f t="shared" si="126"/>
        <v>94</v>
      </c>
      <c r="K442">
        <f t="shared" si="127"/>
        <v>95</v>
      </c>
      <c r="L442">
        <f t="shared" si="128"/>
        <v>26</v>
      </c>
      <c r="M442" t="str">
        <f t="shared" si="129"/>
        <v>003:00</v>
      </c>
      <c r="N442" t="str">
        <f t="shared" si="130"/>
        <v>-</v>
      </c>
      <c r="O442" t="str">
        <f t="shared" si="131"/>
        <v>-4:30</v>
      </c>
      <c r="P442" t="str">
        <f t="shared" si="132"/>
        <v/>
      </c>
    </row>
    <row r="443" spans="1:16" x14ac:dyDescent="0.25">
      <c r="A443">
        <f>'Raw Data'!A388</f>
        <v>95</v>
      </c>
      <c r="B443">
        <f>'Raw Data'!B388</f>
        <v>0</v>
      </c>
      <c r="C443">
        <f>'Raw Data'!J388</f>
        <v>0</v>
      </c>
      <c r="D443" t="str">
        <f>'Interpreted Data'!G388</f>
        <v>-</v>
      </c>
      <c r="E443" t="str">
        <f>'Interpreted Data'!H388</f>
        <v>-</v>
      </c>
      <c r="F443" t="str">
        <f>SUBSTITUTE('Raw Data'!K388," ",":",1)</f>
        <v/>
      </c>
      <c r="G443">
        <f>'Interpreted Data'!N388</f>
        <v>10</v>
      </c>
      <c r="H443" t="str">
        <f>'Interpreted Data'!P388</f>
        <v/>
      </c>
      <c r="J443" t="str">
        <f>CONCATENATE("# ",A443)</f>
        <v># 95</v>
      </c>
      <c r="P443" t="str">
        <f t="shared" si="132"/>
        <v/>
      </c>
    </row>
    <row r="444" spans="1:16" x14ac:dyDescent="0.25">
      <c r="A444">
        <f>'Raw Data'!A389</f>
        <v>0</v>
      </c>
      <c r="B444">
        <f>'Raw Data'!B389</f>
        <v>0</v>
      </c>
      <c r="C444">
        <f>'Raw Data'!J389</f>
        <v>0</v>
      </c>
      <c r="D444" t="str">
        <f>'Interpreted Data'!G389</f>
        <v>-</v>
      </c>
      <c r="E444" t="str">
        <f>'Interpreted Data'!H389</f>
        <v>-</v>
      </c>
      <c r="F444" t="str">
        <f>SUBSTITUTE('Raw Data'!K389," ",":",1)</f>
        <v/>
      </c>
      <c r="G444" t="str">
        <f>'Interpreted Data'!N389</f>
        <v/>
      </c>
      <c r="H444" t="str">
        <f>'Interpreted Data'!P389</f>
        <v/>
      </c>
    </row>
    <row r="445" spans="1:16" x14ac:dyDescent="0.25">
      <c r="A445" t="str">
        <f>'Raw Data'!A390</f>
        <v>21-22nd April 1957</v>
      </c>
      <c r="B445" t="str">
        <f>'Raw Data'!B390</f>
        <v>Chris Hawkes</v>
      </c>
      <c r="C445" t="str">
        <f>'Raw Data'!C390</f>
        <v>Paradise Regained, Mud Sump to Blue Pencil Passage</v>
      </c>
      <c r="H445" t="str">
        <f>'Interpreted Data'!P390</f>
        <v/>
      </c>
      <c r="J445" t="str">
        <f>CONCATENATE("# ",A445)</f>
        <v># 21-22nd April 1957</v>
      </c>
      <c r="K445" t="str">
        <f t="shared" ref="K445" si="133">B445</f>
        <v>Chris Hawkes</v>
      </c>
      <c r="L445" t="str">
        <f t="shared" ref="L445" si="134">C445</f>
        <v>Paradise Regained, Mud Sump to Blue Pencil Passage</v>
      </c>
      <c r="P445" t="str">
        <f t="shared" ref="P445" si="135">H445</f>
        <v/>
      </c>
    </row>
    <row r="446" spans="1:16" x14ac:dyDescent="0.25">
      <c r="J446" t="str">
        <f>$J$1</f>
        <v>data normal from to tape compass backcompass clino ignoreall</v>
      </c>
    </row>
    <row r="447" spans="1:16" x14ac:dyDescent="0.25">
      <c r="A447" t="str">
        <f>'Raw Data'!A391</f>
        <v>ag</v>
      </c>
      <c r="B447">
        <f>'Raw Data'!B391</f>
        <v>98</v>
      </c>
      <c r="C447">
        <f>'Raw Data'!J391</f>
        <v>3.3</v>
      </c>
      <c r="D447" t="str">
        <f>'Interpreted Data'!G391</f>
        <v>-</v>
      </c>
      <c r="E447" t="str">
        <f>'Interpreted Data'!H391</f>
        <v>324:00</v>
      </c>
      <c r="F447" t="str">
        <f>SUBSTITUTE('Raw Data'!K391," ",":",1)</f>
        <v>23:00</v>
      </c>
      <c r="G447">
        <f>'Interpreted Data'!N391</f>
        <v>1.3</v>
      </c>
      <c r="H447" t="str">
        <f>'Interpreted Data'!P391</f>
        <v>ag on page 65</v>
      </c>
      <c r="J447" t="str">
        <f t="shared" ref="J447:J502" si="136">A447</f>
        <v>ag</v>
      </c>
      <c r="K447">
        <f t="shared" ref="K447:K502" si="137">B447</f>
        <v>98</v>
      </c>
      <c r="L447">
        <f t="shared" ref="L447:L502" si="138">C447</f>
        <v>3.3</v>
      </c>
      <c r="M447" t="str">
        <f t="shared" ref="M447:M502" si="139">D447</f>
        <v>-</v>
      </c>
      <c r="N447" t="str">
        <f t="shared" ref="N447:N502" si="140">E447</f>
        <v>324:00</v>
      </c>
      <c r="O447" t="str">
        <f t="shared" ref="O447:O502" si="141">IF(AND(D447="-",E447="-"),IF(1*SUBSTITUTE(F447,":",".")=-90,"DOWN",IF(1*SUBSTITUTE(F447,":",".")=90,"UP","no compass")),F447)</f>
        <v>23:00</v>
      </c>
      <c r="P447" t="str">
        <f t="shared" ref="P447:P502" si="142">H447</f>
        <v>ag on page 65</v>
      </c>
    </row>
    <row r="448" spans="1:16" x14ac:dyDescent="0.25">
      <c r="A448">
        <f>'Raw Data'!A392</f>
        <v>98</v>
      </c>
      <c r="B448">
        <f>'Raw Data'!B392</f>
        <v>99</v>
      </c>
      <c r="C448">
        <f>'Raw Data'!J392</f>
        <v>19.5</v>
      </c>
      <c r="D448" t="str">
        <f>'Interpreted Data'!G392</f>
        <v>262:45</v>
      </c>
      <c r="E448" t="str">
        <f>'Interpreted Data'!H392</f>
        <v>-</v>
      </c>
      <c r="F448" t="str">
        <f>SUBSTITUTE('Raw Data'!K392," ",":",1)</f>
        <v>-19:30</v>
      </c>
      <c r="G448">
        <f>'Interpreted Data'!N392</f>
        <v>-6.5</v>
      </c>
      <c r="H448" t="str">
        <f>'Interpreted Data'!P392</f>
        <v/>
      </c>
      <c r="J448">
        <f t="shared" si="136"/>
        <v>98</v>
      </c>
      <c r="K448">
        <f t="shared" si="137"/>
        <v>99</v>
      </c>
      <c r="L448">
        <f t="shared" si="138"/>
        <v>19.5</v>
      </c>
      <c r="M448" t="str">
        <f t="shared" si="139"/>
        <v>262:45</v>
      </c>
      <c r="N448" t="str">
        <f t="shared" si="140"/>
        <v>-</v>
      </c>
      <c r="O448" t="str">
        <f t="shared" si="141"/>
        <v>-19:30</v>
      </c>
      <c r="P448" t="str">
        <f t="shared" si="142"/>
        <v/>
      </c>
    </row>
    <row r="449" spans="1:16" x14ac:dyDescent="0.25">
      <c r="J449" t="str">
        <f>$J$2</f>
        <v>data diving from to tape compass backcompass depthchange ignoreall</v>
      </c>
    </row>
    <row r="450" spans="1:16" x14ac:dyDescent="0.25">
      <c r="A450">
        <f>'Raw Data'!A393</f>
        <v>99</v>
      </c>
      <c r="B450">
        <f>'Raw Data'!B393</f>
        <v>100</v>
      </c>
      <c r="C450">
        <f>'Raw Data'!J393</f>
        <v>7.3</v>
      </c>
      <c r="D450" t="str">
        <f>'Interpreted Data'!G393</f>
        <v>262:00</v>
      </c>
      <c r="E450" t="str">
        <f>'Interpreted Data'!H393</f>
        <v>-</v>
      </c>
      <c r="F450" t="str">
        <f>SUBSTITUTE('Raw Data'!K393," ",":",1)</f>
        <v>+0.2:feet</v>
      </c>
      <c r="G450">
        <f>'Interpreted Data'!N393</f>
        <v>0.2</v>
      </c>
      <c r="H450" t="str">
        <f>'Interpreted Data'!P393</f>
        <v>Near side of pool in Mud sump</v>
      </c>
      <c r="J450">
        <f t="shared" ref="J450" si="143">A450</f>
        <v>99</v>
      </c>
      <c r="K450">
        <f t="shared" ref="K450" si="144">B450</f>
        <v>100</v>
      </c>
      <c r="L450">
        <f t="shared" ref="L450" si="145">C450</f>
        <v>7.3</v>
      </c>
      <c r="M450" t="str">
        <f t="shared" ref="M450" si="146">D450</f>
        <v>262:00</v>
      </c>
      <c r="N450" t="str">
        <f t="shared" ref="N450" si="147">E450</f>
        <v>-</v>
      </c>
      <c r="O450">
        <f t="shared" ref="O450" si="148">G450</f>
        <v>0.2</v>
      </c>
      <c r="P450" t="str">
        <f t="shared" si="142"/>
        <v>Near side of pool in Mud sump</v>
      </c>
    </row>
    <row r="451" spans="1:16" x14ac:dyDescent="0.25">
      <c r="J451" t="str">
        <f>$J$1</f>
        <v>data normal from to tape compass backcompass clino ignoreall</v>
      </c>
    </row>
    <row r="452" spans="1:16" x14ac:dyDescent="0.25">
      <c r="A452">
        <f>'Raw Data'!A394</f>
        <v>100</v>
      </c>
      <c r="B452">
        <f>'Raw Data'!B394</f>
        <v>101</v>
      </c>
      <c r="C452">
        <f>'Raw Data'!J394</f>
        <v>10.5</v>
      </c>
      <c r="D452" t="str">
        <f>'Interpreted Data'!G394</f>
        <v>-</v>
      </c>
      <c r="E452" t="str">
        <f>'Interpreted Data'!H394</f>
        <v>033:20</v>
      </c>
      <c r="F452" t="str">
        <f>SUBSTITUTE('Raw Data'!K394," ",":",1)</f>
        <v>38:20</v>
      </c>
      <c r="G452">
        <f>'Interpreted Data'!N394</f>
        <v>6.5</v>
      </c>
      <c r="H452" t="str">
        <f>'Interpreted Data'!P394</f>
        <v>Far side of pool in Mud sump</v>
      </c>
      <c r="J452">
        <f t="shared" si="136"/>
        <v>100</v>
      </c>
      <c r="K452">
        <f t="shared" si="137"/>
        <v>101</v>
      </c>
      <c r="L452">
        <f t="shared" si="138"/>
        <v>10.5</v>
      </c>
      <c r="M452" t="str">
        <f t="shared" si="139"/>
        <v>-</v>
      </c>
      <c r="N452" t="str">
        <f t="shared" si="140"/>
        <v>033:20</v>
      </c>
      <c r="O452" t="str">
        <f t="shared" si="141"/>
        <v>38:20</v>
      </c>
      <c r="P452" t="str">
        <f t="shared" si="142"/>
        <v>Far side of pool in Mud sump</v>
      </c>
    </row>
    <row r="453" spans="1:16" x14ac:dyDescent="0.25">
      <c r="A453">
        <f>'Raw Data'!A395</f>
        <v>101</v>
      </c>
      <c r="B453">
        <f>'Raw Data'!B395</f>
        <v>102</v>
      </c>
      <c r="C453">
        <f>'Raw Data'!J395</f>
        <v>15.5</v>
      </c>
      <c r="D453" t="str">
        <f>'Interpreted Data'!G395</f>
        <v>185:10</v>
      </c>
      <c r="E453" t="str">
        <f>'Interpreted Data'!H395</f>
        <v>-</v>
      </c>
      <c r="F453" t="str">
        <f>SUBSTITUTE('Raw Data'!K395," ",":",1)</f>
        <v>-7:00</v>
      </c>
      <c r="G453">
        <f>'Interpreted Data'!N395</f>
        <v>-1.9</v>
      </c>
      <c r="H453" t="str">
        <f>'Interpreted Data'!P395</f>
        <v/>
      </c>
      <c r="J453">
        <f t="shared" si="136"/>
        <v>101</v>
      </c>
      <c r="K453">
        <f t="shared" si="137"/>
        <v>102</v>
      </c>
      <c r="L453">
        <f t="shared" si="138"/>
        <v>15.5</v>
      </c>
      <c r="M453" t="str">
        <f t="shared" si="139"/>
        <v>185:10</v>
      </c>
      <c r="N453" t="str">
        <f t="shared" si="140"/>
        <v>-</v>
      </c>
      <c r="O453" t="str">
        <f t="shared" si="141"/>
        <v>-7:00</v>
      </c>
      <c r="P453" t="str">
        <f t="shared" si="142"/>
        <v/>
      </c>
    </row>
    <row r="454" spans="1:16" x14ac:dyDescent="0.25">
      <c r="A454">
        <f>'Raw Data'!A396</f>
        <v>102</v>
      </c>
      <c r="B454">
        <f>'Raw Data'!B396</f>
        <v>103</v>
      </c>
      <c r="C454">
        <f>'Raw Data'!J396</f>
        <v>28.9</v>
      </c>
      <c r="D454" t="str">
        <f>'Interpreted Data'!G396</f>
        <v>-</v>
      </c>
      <c r="E454" t="str">
        <f>'Interpreted Data'!H396</f>
        <v>323:20</v>
      </c>
      <c r="F454" t="str">
        <f>SUBSTITUTE('Raw Data'!K396," ",":",1)</f>
        <v>20:30</v>
      </c>
      <c r="G454">
        <f>'Interpreted Data'!N396</f>
        <v>10.1</v>
      </c>
      <c r="H454" t="str">
        <f>'Interpreted Data'!P396</f>
        <v/>
      </c>
      <c r="J454">
        <f t="shared" si="136"/>
        <v>102</v>
      </c>
      <c r="K454">
        <f t="shared" si="137"/>
        <v>103</v>
      </c>
      <c r="L454">
        <f t="shared" si="138"/>
        <v>28.9</v>
      </c>
      <c r="M454" t="str">
        <f t="shared" si="139"/>
        <v>-</v>
      </c>
      <c r="N454" t="str">
        <f t="shared" si="140"/>
        <v>323:20</v>
      </c>
      <c r="O454" t="str">
        <f t="shared" si="141"/>
        <v>20:30</v>
      </c>
      <c r="P454" t="str">
        <f t="shared" si="142"/>
        <v/>
      </c>
    </row>
    <row r="455" spans="1:16" x14ac:dyDescent="0.25">
      <c r="A455">
        <f>'Raw Data'!A397</f>
        <v>103</v>
      </c>
      <c r="B455">
        <f>'Raw Data'!B397</f>
        <v>104</v>
      </c>
      <c r="C455">
        <f>'Raw Data'!J397</f>
        <v>7.5</v>
      </c>
      <c r="D455" t="str">
        <f>'Interpreted Data'!G397</f>
        <v>161:30</v>
      </c>
      <c r="E455" t="str">
        <f>'Interpreted Data'!H397</f>
        <v>-</v>
      </c>
      <c r="F455" t="str">
        <f>SUBSTITUTE('Raw Data'!K397," ",":",1)</f>
        <v>-12:30</v>
      </c>
      <c r="G455">
        <f>'Interpreted Data'!N397</f>
        <v>-1.6</v>
      </c>
      <c r="H455" t="str">
        <f>'Interpreted Data'!P397</f>
        <v/>
      </c>
      <c r="J455">
        <f t="shared" si="136"/>
        <v>103</v>
      </c>
      <c r="K455">
        <f t="shared" si="137"/>
        <v>104</v>
      </c>
      <c r="L455">
        <f t="shared" si="138"/>
        <v>7.5</v>
      </c>
      <c r="M455" t="str">
        <f t="shared" si="139"/>
        <v>161:30</v>
      </c>
      <c r="N455" t="str">
        <f t="shared" si="140"/>
        <v>-</v>
      </c>
      <c r="O455" t="str">
        <f t="shared" si="141"/>
        <v>-12:30</v>
      </c>
      <c r="P455" t="str">
        <f t="shared" si="142"/>
        <v/>
      </c>
    </row>
    <row r="456" spans="1:16" x14ac:dyDescent="0.25">
      <c r="A456">
        <f>'Raw Data'!A398</f>
        <v>104</v>
      </c>
      <c r="B456">
        <f>'Raw Data'!B398</f>
        <v>105</v>
      </c>
      <c r="C456">
        <f>'Raw Data'!J398</f>
        <v>6.7</v>
      </c>
      <c r="D456" t="str">
        <f>'Interpreted Data'!G398</f>
        <v>-</v>
      </c>
      <c r="E456" t="str">
        <f>'Interpreted Data'!H398</f>
        <v>296:40</v>
      </c>
      <c r="F456" t="str">
        <f>SUBSTITUTE('Raw Data'!K398," ",":",1)</f>
        <v>10:30</v>
      </c>
      <c r="G456">
        <f>'Interpreted Data'!N398</f>
        <v>1.2</v>
      </c>
      <c r="H456" t="str">
        <f>'Interpreted Data'!P398</f>
        <v/>
      </c>
      <c r="J456">
        <f t="shared" si="136"/>
        <v>104</v>
      </c>
      <c r="K456">
        <f t="shared" si="137"/>
        <v>105</v>
      </c>
      <c r="L456">
        <f t="shared" si="138"/>
        <v>6.7</v>
      </c>
      <c r="M456" t="str">
        <f t="shared" si="139"/>
        <v>-</v>
      </c>
      <c r="N456" t="str">
        <f t="shared" si="140"/>
        <v>296:40</v>
      </c>
      <c r="O456" t="str">
        <f t="shared" si="141"/>
        <v>10:30</v>
      </c>
      <c r="P456" t="str">
        <f t="shared" si="142"/>
        <v/>
      </c>
    </row>
    <row r="457" spans="1:16" x14ac:dyDescent="0.25">
      <c r="A457">
        <f>'Raw Data'!A399</f>
        <v>105</v>
      </c>
      <c r="B457">
        <f>'Raw Data'!B399</f>
        <v>106</v>
      </c>
      <c r="C457">
        <f>'Raw Data'!J399</f>
        <v>20.2</v>
      </c>
      <c r="D457" t="str">
        <f>'Interpreted Data'!G399</f>
        <v>139:40</v>
      </c>
      <c r="E457" t="str">
        <f>'Interpreted Data'!H399</f>
        <v>-</v>
      </c>
      <c r="F457" t="str">
        <f>SUBSTITUTE('Raw Data'!K399," ",":",1)</f>
        <v>8:30</v>
      </c>
      <c r="G457">
        <f>'Interpreted Data'!N399</f>
        <v>3</v>
      </c>
      <c r="H457" t="str">
        <f>'Interpreted Data'!P399</f>
        <v/>
      </c>
      <c r="J457">
        <f t="shared" si="136"/>
        <v>105</v>
      </c>
      <c r="K457">
        <f t="shared" si="137"/>
        <v>106</v>
      </c>
      <c r="L457">
        <f t="shared" si="138"/>
        <v>20.2</v>
      </c>
      <c r="M457" t="str">
        <f t="shared" si="139"/>
        <v>139:40</v>
      </c>
      <c r="N457" t="str">
        <f t="shared" si="140"/>
        <v>-</v>
      </c>
      <c r="O457" t="str">
        <f t="shared" si="141"/>
        <v>8:30</v>
      </c>
      <c r="P457" t="str">
        <f t="shared" si="142"/>
        <v/>
      </c>
    </row>
    <row r="458" spans="1:16" x14ac:dyDescent="0.25">
      <c r="A458">
        <f>'Raw Data'!A400</f>
        <v>106</v>
      </c>
      <c r="B458">
        <f>'Raw Data'!B400</f>
        <v>107</v>
      </c>
      <c r="C458">
        <f>'Raw Data'!J400</f>
        <v>3.3</v>
      </c>
      <c r="D458" t="str">
        <f>'Interpreted Data'!G400</f>
        <v>-</v>
      </c>
      <c r="E458" t="str">
        <f>'Interpreted Data'!H400</f>
        <v>115:00</v>
      </c>
      <c r="F458" t="str">
        <f>SUBSTITUTE('Raw Data'!K400," ",":",1)</f>
        <v>6:00</v>
      </c>
      <c r="G458">
        <f>'Interpreted Data'!N400</f>
        <v>0.3</v>
      </c>
      <c r="H458" t="str">
        <f>'Interpreted Data'!P400</f>
        <v/>
      </c>
      <c r="J458">
        <f t="shared" si="136"/>
        <v>106</v>
      </c>
      <c r="K458">
        <f t="shared" si="137"/>
        <v>107</v>
      </c>
      <c r="L458">
        <f t="shared" si="138"/>
        <v>3.3</v>
      </c>
      <c r="M458" t="str">
        <f t="shared" si="139"/>
        <v>-</v>
      </c>
      <c r="N458" t="str">
        <f t="shared" si="140"/>
        <v>115:00</v>
      </c>
      <c r="O458" t="str">
        <f t="shared" si="141"/>
        <v>6:00</v>
      </c>
      <c r="P458" t="str">
        <f t="shared" si="142"/>
        <v/>
      </c>
    </row>
    <row r="459" spans="1:16" x14ac:dyDescent="0.25">
      <c r="A459">
        <f>'Raw Data'!A401</f>
        <v>107</v>
      </c>
      <c r="B459">
        <f>'Raw Data'!B401</f>
        <v>108</v>
      </c>
      <c r="C459">
        <f>'Raw Data'!J401</f>
        <v>15</v>
      </c>
      <c r="D459" t="str">
        <f>'Interpreted Data'!G401</f>
        <v>155:00</v>
      </c>
      <c r="E459" t="str">
        <f>'Interpreted Data'!H401</f>
        <v>-</v>
      </c>
      <c r="F459" t="str">
        <f>SUBSTITUTE('Raw Data'!K401," ",":",1)</f>
        <v>-8:50</v>
      </c>
      <c r="G459">
        <f>'Interpreted Data'!N401</f>
        <v>-2.2999999999999998</v>
      </c>
      <c r="H459" t="str">
        <f>'Interpreted Data'!P401</f>
        <v/>
      </c>
      <c r="J459">
        <f t="shared" si="136"/>
        <v>107</v>
      </c>
      <c r="K459">
        <f t="shared" si="137"/>
        <v>108</v>
      </c>
      <c r="L459">
        <f t="shared" si="138"/>
        <v>15</v>
      </c>
      <c r="M459" t="str">
        <f t="shared" si="139"/>
        <v>155:00</v>
      </c>
      <c r="N459" t="str">
        <f t="shared" si="140"/>
        <v>-</v>
      </c>
      <c r="O459" t="str">
        <f t="shared" si="141"/>
        <v>-8:50</v>
      </c>
      <c r="P459" t="str">
        <f t="shared" si="142"/>
        <v/>
      </c>
    </row>
    <row r="460" spans="1:16" x14ac:dyDescent="0.25">
      <c r="A460">
        <f>'Raw Data'!A402</f>
        <v>108</v>
      </c>
      <c r="B460">
        <f>'Raw Data'!B402</f>
        <v>109</v>
      </c>
      <c r="C460">
        <f>'Raw Data'!J402</f>
        <v>40.200000000000003</v>
      </c>
      <c r="D460" t="str">
        <f>'Interpreted Data'!G402</f>
        <v>-</v>
      </c>
      <c r="E460" t="str">
        <f>'Interpreted Data'!H402</f>
        <v>056:40</v>
      </c>
      <c r="F460" t="str">
        <f>SUBSTITUTE('Raw Data'!K402," ",":",1)</f>
        <v>7:30</v>
      </c>
      <c r="G460">
        <f>'Interpreted Data'!N402</f>
        <v>5.3</v>
      </c>
      <c r="H460" t="str">
        <f>'Interpreted Data'!P402</f>
        <v/>
      </c>
      <c r="J460">
        <f t="shared" si="136"/>
        <v>108</v>
      </c>
      <c r="K460">
        <f t="shared" si="137"/>
        <v>109</v>
      </c>
      <c r="L460">
        <f t="shared" si="138"/>
        <v>40.200000000000003</v>
      </c>
      <c r="M460" t="str">
        <f t="shared" si="139"/>
        <v>-</v>
      </c>
      <c r="N460" t="str">
        <f t="shared" si="140"/>
        <v>056:40</v>
      </c>
      <c r="O460" t="str">
        <f t="shared" si="141"/>
        <v>7:30</v>
      </c>
      <c r="P460" t="str">
        <f t="shared" si="142"/>
        <v/>
      </c>
    </row>
    <row r="461" spans="1:16" x14ac:dyDescent="0.25">
      <c r="A461">
        <f>'Raw Data'!A403</f>
        <v>109</v>
      </c>
      <c r="B461">
        <f>'Raw Data'!B403</f>
        <v>110</v>
      </c>
      <c r="C461">
        <f>'Raw Data'!J403</f>
        <v>20.399999999999999</v>
      </c>
      <c r="D461" t="str">
        <f>'Interpreted Data'!G403</f>
        <v>247:00</v>
      </c>
      <c r="E461" t="str">
        <f>'Interpreted Data'!H403</f>
        <v>-</v>
      </c>
      <c r="F461" t="str">
        <f>SUBSTITUTE('Raw Data'!K403," ",":",1)</f>
        <v>-24:30</v>
      </c>
      <c r="G461">
        <f>'Interpreted Data'!N403</f>
        <v>-8.5</v>
      </c>
      <c r="H461" t="str">
        <f>'Interpreted Data'!P403</f>
        <v/>
      </c>
      <c r="J461">
        <f t="shared" si="136"/>
        <v>109</v>
      </c>
      <c r="K461">
        <f t="shared" si="137"/>
        <v>110</v>
      </c>
      <c r="L461">
        <f t="shared" si="138"/>
        <v>20.399999999999999</v>
      </c>
      <c r="M461" t="str">
        <f t="shared" si="139"/>
        <v>247:00</v>
      </c>
      <c r="N461" t="str">
        <f t="shared" si="140"/>
        <v>-</v>
      </c>
      <c r="O461" t="str">
        <f t="shared" si="141"/>
        <v>-24:30</v>
      </c>
      <c r="P461" t="str">
        <f t="shared" si="142"/>
        <v/>
      </c>
    </row>
    <row r="462" spans="1:16" x14ac:dyDescent="0.25">
      <c r="A462">
        <f>'Raw Data'!A404</f>
        <v>110</v>
      </c>
      <c r="B462">
        <f>'Raw Data'!B404</f>
        <v>111</v>
      </c>
      <c r="C462">
        <f>'Raw Data'!J404</f>
        <v>26</v>
      </c>
      <c r="D462" t="str">
        <f>'Interpreted Data'!G404</f>
        <v>-</v>
      </c>
      <c r="E462" t="str">
        <f>'Interpreted Data'!H404</f>
        <v>068:30</v>
      </c>
      <c r="F462" t="str">
        <f>SUBSTITUTE('Raw Data'!K404," ",":",1)</f>
        <v>20:30</v>
      </c>
      <c r="G462">
        <f>'Interpreted Data'!N404</f>
        <v>9.1</v>
      </c>
      <c r="H462" t="str">
        <f>'Interpreted Data'!P404</f>
        <v/>
      </c>
      <c r="J462">
        <f t="shared" si="136"/>
        <v>110</v>
      </c>
      <c r="K462">
        <f t="shared" si="137"/>
        <v>111</v>
      </c>
      <c r="L462">
        <f t="shared" si="138"/>
        <v>26</v>
      </c>
      <c r="M462" t="str">
        <f t="shared" si="139"/>
        <v>-</v>
      </c>
      <c r="N462" t="str">
        <f t="shared" si="140"/>
        <v>068:30</v>
      </c>
      <c r="O462" t="str">
        <f t="shared" si="141"/>
        <v>20:30</v>
      </c>
      <c r="P462" t="str">
        <f t="shared" si="142"/>
        <v/>
      </c>
    </row>
    <row r="463" spans="1:16" x14ac:dyDescent="0.25">
      <c r="A463">
        <f>'Raw Data'!A405</f>
        <v>111</v>
      </c>
      <c r="B463">
        <f>'Raw Data'!B405</f>
        <v>112</v>
      </c>
      <c r="C463">
        <f>'Raw Data'!J405</f>
        <v>31.5</v>
      </c>
      <c r="D463" t="str">
        <f>'Interpreted Data'!G405</f>
        <v>259:30</v>
      </c>
      <c r="E463" t="str">
        <f>'Interpreted Data'!H405</f>
        <v>-</v>
      </c>
      <c r="F463" t="str">
        <f>SUBSTITUTE('Raw Data'!K405," ",":",1)</f>
        <v>-14:40</v>
      </c>
      <c r="G463">
        <f>'Interpreted Data'!N405</f>
        <v>-8</v>
      </c>
      <c r="H463" t="str">
        <f>'Interpreted Data'!P405</f>
        <v/>
      </c>
      <c r="J463">
        <f t="shared" si="136"/>
        <v>111</v>
      </c>
      <c r="K463">
        <f t="shared" si="137"/>
        <v>112</v>
      </c>
      <c r="L463">
        <f t="shared" si="138"/>
        <v>31.5</v>
      </c>
      <c r="M463" t="str">
        <f t="shared" si="139"/>
        <v>259:30</v>
      </c>
      <c r="N463" t="str">
        <f t="shared" si="140"/>
        <v>-</v>
      </c>
      <c r="O463" t="str">
        <f t="shared" si="141"/>
        <v>-14:40</v>
      </c>
      <c r="P463" t="str">
        <f t="shared" si="142"/>
        <v/>
      </c>
    </row>
    <row r="464" spans="1:16" x14ac:dyDescent="0.25">
      <c r="A464">
        <f>'Raw Data'!A406</f>
        <v>112</v>
      </c>
      <c r="B464">
        <f>'Raw Data'!B406</f>
        <v>113</v>
      </c>
      <c r="C464">
        <f>'Raw Data'!J406</f>
        <v>13.9</v>
      </c>
      <c r="D464" t="str">
        <f>'Interpreted Data'!G406</f>
        <v>231:00</v>
      </c>
      <c r="E464" t="str">
        <f>'Interpreted Data'!H406</f>
        <v>-</v>
      </c>
      <c r="F464" t="str">
        <f>SUBSTITUTE('Raw Data'!K406," ",":",1)</f>
        <v>-12:30</v>
      </c>
      <c r="G464">
        <f>'Interpreted Data'!N406</f>
        <v>-3</v>
      </c>
      <c r="H464" t="str">
        <f>'Interpreted Data'!P406</f>
        <v/>
      </c>
      <c r="J464">
        <f t="shared" si="136"/>
        <v>112</v>
      </c>
      <c r="K464">
        <f t="shared" si="137"/>
        <v>113</v>
      </c>
      <c r="L464">
        <f t="shared" si="138"/>
        <v>13.9</v>
      </c>
      <c r="M464" t="str">
        <f t="shared" si="139"/>
        <v>231:00</v>
      </c>
      <c r="N464" t="str">
        <f t="shared" si="140"/>
        <v>-</v>
      </c>
      <c r="O464" t="str">
        <f t="shared" si="141"/>
        <v>-12:30</v>
      </c>
      <c r="P464" t="str">
        <f t="shared" si="142"/>
        <v/>
      </c>
    </row>
    <row r="465" spans="1:16" x14ac:dyDescent="0.25">
      <c r="A465">
        <f>'Raw Data'!A407</f>
        <v>113</v>
      </c>
      <c r="B465">
        <f>'Raw Data'!B407</f>
        <v>114</v>
      </c>
      <c r="C465">
        <f>'Raw Data'!J407</f>
        <v>17.7</v>
      </c>
      <c r="D465" t="str">
        <f>'Interpreted Data'!G407</f>
        <v>-</v>
      </c>
      <c r="E465" t="str">
        <f>'Interpreted Data'!H407</f>
        <v>110:00</v>
      </c>
      <c r="F465" t="str">
        <f>SUBSTITUTE('Raw Data'!K407," ",":",1)</f>
        <v>49:00</v>
      </c>
      <c r="G465">
        <f>'Interpreted Data'!N407</f>
        <v>13.4</v>
      </c>
      <c r="H465" t="str">
        <f>'Interpreted Data'!P407</f>
        <v>Foot of Mud Shute</v>
      </c>
      <c r="J465">
        <f t="shared" si="136"/>
        <v>113</v>
      </c>
      <c r="K465">
        <f t="shared" si="137"/>
        <v>114</v>
      </c>
      <c r="L465">
        <f t="shared" si="138"/>
        <v>17.7</v>
      </c>
      <c r="M465" t="str">
        <f t="shared" si="139"/>
        <v>-</v>
      </c>
      <c r="N465" t="str">
        <f t="shared" si="140"/>
        <v>110:00</v>
      </c>
      <c r="O465" t="str">
        <f t="shared" si="141"/>
        <v>49:00</v>
      </c>
      <c r="P465" t="str">
        <f t="shared" si="142"/>
        <v>Foot of Mud Shute</v>
      </c>
    </row>
    <row r="466" spans="1:16" x14ac:dyDescent="0.25">
      <c r="A466">
        <f>'Raw Data'!A408</f>
        <v>114</v>
      </c>
      <c r="B466">
        <f>'Raw Data'!B408</f>
        <v>115</v>
      </c>
      <c r="C466">
        <f>'Raw Data'!J408</f>
        <v>7.6</v>
      </c>
      <c r="D466" t="str">
        <f>'Interpreted Data'!G408</f>
        <v>312:00</v>
      </c>
      <c r="E466" t="str">
        <f>'Interpreted Data'!H408</f>
        <v>-</v>
      </c>
      <c r="F466" t="str">
        <f>SUBSTITUTE('Raw Data'!K408," ",":",1)</f>
        <v>1:00</v>
      </c>
      <c r="G466">
        <f>'Interpreted Data'!N408</f>
        <v>0.1</v>
      </c>
      <c r="H466" t="str">
        <f>'Interpreted Data'!P408</f>
        <v/>
      </c>
      <c r="J466">
        <f t="shared" si="136"/>
        <v>114</v>
      </c>
      <c r="K466">
        <f t="shared" si="137"/>
        <v>115</v>
      </c>
      <c r="L466">
        <f t="shared" si="138"/>
        <v>7.6</v>
      </c>
      <c r="M466" t="str">
        <f t="shared" si="139"/>
        <v>312:00</v>
      </c>
      <c r="N466" t="str">
        <f t="shared" si="140"/>
        <v>-</v>
      </c>
      <c r="O466" t="str">
        <f t="shared" si="141"/>
        <v>1:00</v>
      </c>
      <c r="P466" t="str">
        <f t="shared" si="142"/>
        <v/>
      </c>
    </row>
    <row r="467" spans="1:16" x14ac:dyDescent="0.25">
      <c r="A467">
        <f>'Raw Data'!A409</f>
        <v>115</v>
      </c>
      <c r="B467">
        <f>'Raw Data'!B409</f>
        <v>116</v>
      </c>
      <c r="C467">
        <f>'Raw Data'!J409</f>
        <v>9.9</v>
      </c>
      <c r="D467" t="str">
        <f>'Interpreted Data'!G409</f>
        <v>-</v>
      </c>
      <c r="E467" t="str">
        <f>'Interpreted Data'!H409</f>
        <v>076:00</v>
      </c>
      <c r="F467" t="str">
        <f>SUBSTITUTE('Raw Data'!K409," ",":",1)</f>
        <v>-14:30</v>
      </c>
      <c r="G467">
        <f>'Interpreted Data'!N409</f>
        <v>-2.5</v>
      </c>
      <c r="H467" t="str">
        <f>'Interpreted Data'!P409</f>
        <v/>
      </c>
      <c r="J467">
        <f t="shared" si="136"/>
        <v>115</v>
      </c>
      <c r="K467">
        <f t="shared" si="137"/>
        <v>116</v>
      </c>
      <c r="L467">
        <f t="shared" si="138"/>
        <v>9.9</v>
      </c>
      <c r="M467" t="str">
        <f t="shared" si="139"/>
        <v>-</v>
      </c>
      <c r="N467" t="str">
        <f t="shared" si="140"/>
        <v>076:00</v>
      </c>
      <c r="O467" t="str">
        <f t="shared" si="141"/>
        <v>-14:30</v>
      </c>
      <c r="P467" t="str">
        <f t="shared" si="142"/>
        <v/>
      </c>
    </row>
    <row r="468" spans="1:16" x14ac:dyDescent="0.25">
      <c r="A468">
        <f>'Raw Data'!A410</f>
        <v>116</v>
      </c>
      <c r="B468">
        <f>'Raw Data'!B410</f>
        <v>117</v>
      </c>
      <c r="C468">
        <f>'Raw Data'!J410</f>
        <v>19.8</v>
      </c>
      <c r="D468" t="str">
        <f>'Interpreted Data'!G410</f>
        <v>-</v>
      </c>
      <c r="E468" t="str">
        <f>'Interpreted Data'!H410</f>
        <v>124:40</v>
      </c>
      <c r="F468" s="9">
        <f>'Interpreted Data'!U410</f>
        <v>-6.0882760441169816</v>
      </c>
      <c r="G468">
        <f>'Interpreted Data'!N410</f>
        <v>-2.1</v>
      </c>
      <c r="H468" t="str">
        <f>CONCATENATE('Interpreted Data'!P410," (Using calculated clino value for adjusted vertical drop of 2.1 feet. Original clino reading was -3:00. Calculated reading is steeper as true station was higher than candle postion.)")</f>
        <v>Over 12' Drop. Candle put 1.1' lower for clino (Using calculated clino value for adjusted vertical drop of 2.1 feet. Original clino reading was -3:00. Calculated reading is steeper as true station was higher than candle postion.)</v>
      </c>
      <c r="J468">
        <f t="shared" si="136"/>
        <v>116</v>
      </c>
      <c r="K468">
        <f t="shared" si="137"/>
        <v>117</v>
      </c>
      <c r="L468">
        <f t="shared" si="138"/>
        <v>19.8</v>
      </c>
      <c r="M468" t="str">
        <f t="shared" si="139"/>
        <v>-</v>
      </c>
      <c r="N468" t="str">
        <f t="shared" si="140"/>
        <v>124:40</v>
      </c>
      <c r="O468">
        <f t="shared" si="141"/>
        <v>-6.0882760441169816</v>
      </c>
      <c r="P468" t="str">
        <f t="shared" si="142"/>
        <v>Over 12' Drop. Candle put 1.1' lower for clino (Using calculated clino value for adjusted vertical drop of 2.1 feet. Original clino reading was -3:00. Calculated reading is steeper as true station was higher than candle postion.)</v>
      </c>
    </row>
    <row r="469" spans="1:16" x14ac:dyDescent="0.25">
      <c r="A469">
        <f>'Raw Data'!A411</f>
        <v>117</v>
      </c>
      <c r="B469">
        <f>'Raw Data'!B411</f>
        <v>118</v>
      </c>
      <c r="C469">
        <f>'Raw Data'!J411</f>
        <v>18.100000000000001</v>
      </c>
      <c r="D469" t="str">
        <f>'Interpreted Data'!G411</f>
        <v>294:30</v>
      </c>
      <c r="E469" t="str">
        <f>'Interpreted Data'!H411</f>
        <v>-</v>
      </c>
      <c r="F469" t="str">
        <f>SUBSTITUTE('Raw Data'!K411," ",":",1)</f>
        <v>-11:10</v>
      </c>
      <c r="G469">
        <f>'Interpreted Data'!N411</f>
        <v>-3.5</v>
      </c>
      <c r="H469" t="str">
        <f>'Interpreted Data'!P411</f>
        <v>Double passage 2' on</v>
      </c>
      <c r="J469">
        <f t="shared" si="136"/>
        <v>117</v>
      </c>
      <c r="K469">
        <f t="shared" si="137"/>
        <v>118</v>
      </c>
      <c r="L469">
        <f t="shared" si="138"/>
        <v>18.100000000000001</v>
      </c>
      <c r="M469" t="str">
        <f t="shared" si="139"/>
        <v>294:30</v>
      </c>
      <c r="N469" t="str">
        <f t="shared" si="140"/>
        <v>-</v>
      </c>
      <c r="O469" t="str">
        <f t="shared" si="141"/>
        <v>-11:10</v>
      </c>
      <c r="P469" t="str">
        <f t="shared" si="142"/>
        <v>Double passage 2' on</v>
      </c>
    </row>
    <row r="470" spans="1:16" x14ac:dyDescent="0.25">
      <c r="A470">
        <f>'Raw Data'!A412</f>
        <v>118</v>
      </c>
      <c r="B470">
        <f>'Raw Data'!B412</f>
        <v>119</v>
      </c>
      <c r="C470">
        <f>'Raw Data'!J412</f>
        <v>4.3</v>
      </c>
      <c r="D470" t="str">
        <f>'Interpreted Data'!G412</f>
        <v>-</v>
      </c>
      <c r="E470" t="str">
        <f>'Interpreted Data'!H412</f>
        <v>134:00</v>
      </c>
      <c r="F470" t="str">
        <f>SUBSTITUTE('Raw Data'!K412," ",":",1)</f>
        <v>41:00</v>
      </c>
      <c r="G470">
        <f>'Interpreted Data'!N412</f>
        <v>2.8</v>
      </c>
      <c r="H470" t="str">
        <f>'Interpreted Data'!P412</f>
        <v/>
      </c>
      <c r="J470">
        <f t="shared" si="136"/>
        <v>118</v>
      </c>
      <c r="K470">
        <f t="shared" si="137"/>
        <v>119</v>
      </c>
      <c r="L470">
        <f t="shared" si="138"/>
        <v>4.3</v>
      </c>
      <c r="M470" t="str">
        <f t="shared" si="139"/>
        <v>-</v>
      </c>
      <c r="N470" t="str">
        <f t="shared" si="140"/>
        <v>134:00</v>
      </c>
      <c r="O470" t="str">
        <f t="shared" si="141"/>
        <v>41:00</v>
      </c>
      <c r="P470" t="str">
        <f t="shared" si="142"/>
        <v/>
      </c>
    </row>
    <row r="471" spans="1:16" x14ac:dyDescent="0.25">
      <c r="A471">
        <f>'Raw Data'!A413</f>
        <v>119</v>
      </c>
      <c r="B471">
        <f>'Raw Data'!B413</f>
        <v>120</v>
      </c>
      <c r="C471">
        <f>'Raw Data'!J413</f>
        <v>6.2</v>
      </c>
      <c r="D471" t="str">
        <f>'Interpreted Data'!G413</f>
        <v>254:00</v>
      </c>
      <c r="E471" t="str">
        <f>'Interpreted Data'!H413</f>
        <v>-</v>
      </c>
      <c r="F471" t="str">
        <f>SUBSTITUTE('Raw Data'!K413," ",":",1)</f>
        <v>-23:30</v>
      </c>
      <c r="G471">
        <f>'Interpreted Data'!N413</f>
        <v>-2.5</v>
      </c>
      <c r="H471" t="str">
        <f>'Interpreted Data'!P413</f>
        <v>On rock rib</v>
      </c>
      <c r="J471">
        <f t="shared" si="136"/>
        <v>119</v>
      </c>
      <c r="K471">
        <f t="shared" si="137"/>
        <v>120</v>
      </c>
      <c r="L471">
        <f t="shared" si="138"/>
        <v>6.2</v>
      </c>
      <c r="M471" t="str">
        <f t="shared" si="139"/>
        <v>254:00</v>
      </c>
      <c r="N471" t="str">
        <f t="shared" si="140"/>
        <v>-</v>
      </c>
      <c r="O471" t="str">
        <f t="shared" si="141"/>
        <v>-23:30</v>
      </c>
      <c r="P471" t="str">
        <f t="shared" si="142"/>
        <v>On rock rib</v>
      </c>
    </row>
    <row r="472" spans="1:16" x14ac:dyDescent="0.25">
      <c r="A472">
        <f>'Raw Data'!A414</f>
        <v>120</v>
      </c>
      <c r="B472">
        <f>'Raw Data'!B414</f>
        <v>121</v>
      </c>
      <c r="C472">
        <f>'Raw Data'!J414</f>
        <v>9.1999999999999993</v>
      </c>
      <c r="D472" t="str">
        <f>'Interpreted Data'!G414</f>
        <v>222:00</v>
      </c>
      <c r="E472" t="str">
        <f>'Interpreted Data'!H414</f>
        <v>-</v>
      </c>
      <c r="F472" s="9">
        <f>'Interpreted Data'!U414</f>
        <v>0</v>
      </c>
      <c r="G472" t="str">
        <f>'Interpreted Data'!N414</f>
        <v>/</v>
      </c>
      <c r="H472" t="str">
        <f>'Interpreted Data'!P414</f>
        <v/>
      </c>
      <c r="J472">
        <f t="shared" si="136"/>
        <v>120</v>
      </c>
      <c r="K472">
        <f t="shared" si="137"/>
        <v>121</v>
      </c>
      <c r="L472">
        <f t="shared" si="138"/>
        <v>9.1999999999999993</v>
      </c>
      <c r="M472" t="str">
        <f t="shared" si="139"/>
        <v>222:00</v>
      </c>
      <c r="N472" t="str">
        <f t="shared" si="140"/>
        <v>-</v>
      </c>
      <c r="O472">
        <f t="shared" si="141"/>
        <v>0</v>
      </c>
      <c r="P472" t="str">
        <f t="shared" si="142"/>
        <v/>
      </c>
    </row>
    <row r="473" spans="1:16" x14ac:dyDescent="0.25">
      <c r="A473">
        <f>'Raw Data'!A415</f>
        <v>121</v>
      </c>
      <c r="B473">
        <f>'Raw Data'!B415</f>
        <v>122</v>
      </c>
      <c r="C473">
        <f>'Raw Data'!J415</f>
        <v>10</v>
      </c>
      <c r="D473" t="str">
        <f>'Interpreted Data'!G415</f>
        <v>-</v>
      </c>
      <c r="E473" t="str">
        <f>'Interpreted Data'!H415</f>
        <v>011:50</v>
      </c>
      <c r="F473" t="str">
        <f>SUBSTITUTE('Raw Data'!K415," ",":",1)</f>
        <v>24:00</v>
      </c>
      <c r="G473">
        <f>'Interpreted Data'!N415</f>
        <v>4.0999999999999996</v>
      </c>
      <c r="H473" t="str">
        <f>'Interpreted Data'!P415</f>
        <v/>
      </c>
      <c r="J473">
        <f t="shared" si="136"/>
        <v>121</v>
      </c>
      <c r="K473">
        <f t="shared" si="137"/>
        <v>122</v>
      </c>
      <c r="L473">
        <f t="shared" si="138"/>
        <v>10</v>
      </c>
      <c r="M473" t="str">
        <f t="shared" si="139"/>
        <v>-</v>
      </c>
      <c r="N473" t="str">
        <f t="shared" si="140"/>
        <v>011:50</v>
      </c>
      <c r="O473" t="str">
        <f t="shared" si="141"/>
        <v>24:00</v>
      </c>
      <c r="P473" t="str">
        <f t="shared" si="142"/>
        <v/>
      </c>
    </row>
    <row r="474" spans="1:16" x14ac:dyDescent="0.25">
      <c r="A474">
        <f>'Raw Data'!A416</f>
        <v>122</v>
      </c>
      <c r="B474">
        <f>'Raw Data'!B416</f>
        <v>123</v>
      </c>
      <c r="C474">
        <f>'Raw Data'!J416</f>
        <v>22</v>
      </c>
      <c r="D474" t="str">
        <f>'Interpreted Data'!G416</f>
        <v>252:30</v>
      </c>
      <c r="E474" t="str">
        <f>'Interpreted Data'!H416</f>
        <v>-</v>
      </c>
      <c r="F474" t="str">
        <f>SUBSTITUTE('Raw Data'!K416," ",":",1)</f>
        <v>-10:00</v>
      </c>
      <c r="G474">
        <f>'Interpreted Data'!N416</f>
        <v>-3.8</v>
      </c>
      <c r="H474" t="str">
        <f>'Interpreted Data'!P416</f>
        <v>Passage (small) on left at 6'</v>
      </c>
      <c r="J474">
        <f t="shared" si="136"/>
        <v>122</v>
      </c>
      <c r="K474">
        <f t="shared" si="137"/>
        <v>123</v>
      </c>
      <c r="L474">
        <f t="shared" si="138"/>
        <v>22</v>
      </c>
      <c r="M474" t="str">
        <f t="shared" si="139"/>
        <v>252:30</v>
      </c>
      <c r="N474" t="str">
        <f t="shared" si="140"/>
        <v>-</v>
      </c>
      <c r="O474" t="str">
        <f t="shared" si="141"/>
        <v>-10:00</v>
      </c>
      <c r="P474" t="str">
        <f t="shared" si="142"/>
        <v>Passage (small) on left at 6'</v>
      </c>
    </row>
    <row r="475" spans="1:16" x14ac:dyDescent="0.25">
      <c r="A475">
        <f>'Raw Data'!A417</f>
        <v>123</v>
      </c>
      <c r="B475">
        <f>'Raw Data'!B417</f>
        <v>124</v>
      </c>
      <c r="C475">
        <f>'Raw Data'!J417</f>
        <v>18.7</v>
      </c>
      <c r="D475" t="str">
        <f>'Interpreted Data'!G417</f>
        <v>-</v>
      </c>
      <c r="E475" t="str">
        <f>'Interpreted Data'!H417</f>
        <v>031:00</v>
      </c>
      <c r="F475" t="str">
        <f>SUBSTITUTE('Raw Data'!K417," ",":",1)</f>
        <v>16:00</v>
      </c>
      <c r="G475">
        <f>'Interpreted Data'!N417</f>
        <v>5.3</v>
      </c>
      <c r="H475" t="str">
        <f>'Interpreted Data'!P417</f>
        <v/>
      </c>
      <c r="J475">
        <f t="shared" si="136"/>
        <v>123</v>
      </c>
      <c r="K475">
        <f t="shared" si="137"/>
        <v>124</v>
      </c>
      <c r="L475">
        <f t="shared" si="138"/>
        <v>18.7</v>
      </c>
      <c r="M475" t="str">
        <f t="shared" si="139"/>
        <v>-</v>
      </c>
      <c r="N475" t="str">
        <f t="shared" si="140"/>
        <v>031:00</v>
      </c>
      <c r="O475" t="str">
        <f t="shared" si="141"/>
        <v>16:00</v>
      </c>
      <c r="P475" t="str">
        <f t="shared" si="142"/>
        <v/>
      </c>
    </row>
    <row r="476" spans="1:16" x14ac:dyDescent="0.25">
      <c r="A476">
        <f>'Raw Data'!A418</f>
        <v>124</v>
      </c>
      <c r="B476">
        <f>'Raw Data'!B418</f>
        <v>125</v>
      </c>
      <c r="C476">
        <f>'Raw Data'!J418</f>
        <v>40.700000000000003</v>
      </c>
      <c r="D476" t="str">
        <f>'Interpreted Data'!G418</f>
        <v>281:00</v>
      </c>
      <c r="E476" t="str">
        <f>'Interpreted Data'!H418</f>
        <v>-</v>
      </c>
      <c r="F476" t="str">
        <f>SUBSTITUTE('Raw Data'!K418," ",":",1)</f>
        <v>-14:15</v>
      </c>
      <c r="G476">
        <f>'Interpreted Data'!N418</f>
        <v>-10</v>
      </c>
      <c r="H476" t="str">
        <f>'Interpreted Data'!P418</f>
        <v>Stn 124 marked by double ring on roof</v>
      </c>
      <c r="J476">
        <f t="shared" si="136"/>
        <v>124</v>
      </c>
      <c r="K476">
        <f t="shared" si="137"/>
        <v>125</v>
      </c>
      <c r="L476">
        <f t="shared" si="138"/>
        <v>40.700000000000003</v>
      </c>
      <c r="M476" t="str">
        <f t="shared" si="139"/>
        <v>281:00</v>
      </c>
      <c r="N476" t="str">
        <f t="shared" si="140"/>
        <v>-</v>
      </c>
      <c r="O476" t="str">
        <f t="shared" si="141"/>
        <v>-14:15</v>
      </c>
      <c r="P476" t="str">
        <f t="shared" si="142"/>
        <v>Stn 124 marked by double ring on roof</v>
      </c>
    </row>
    <row r="477" spans="1:16" x14ac:dyDescent="0.25">
      <c r="A477">
        <f>'Raw Data'!A419</f>
        <v>125</v>
      </c>
      <c r="B477">
        <f>'Raw Data'!B419</f>
        <v>126</v>
      </c>
      <c r="C477">
        <f>'Raw Data'!J419</f>
        <v>13.8</v>
      </c>
      <c r="D477" t="str">
        <f>'Interpreted Data'!G419</f>
        <v>-</v>
      </c>
      <c r="E477" t="str">
        <f>'Interpreted Data'!H419</f>
        <v>147:15</v>
      </c>
      <c r="F477" t="str">
        <f>SUBSTITUTE('Raw Data'!K419," ",":",1)</f>
        <v>5:30</v>
      </c>
      <c r="G477">
        <f>'Interpreted Data'!N419</f>
        <v>1.3</v>
      </c>
      <c r="H477" t="str">
        <f>'Interpreted Data'!P419</f>
        <v/>
      </c>
      <c r="J477">
        <f t="shared" si="136"/>
        <v>125</v>
      </c>
      <c r="K477">
        <f t="shared" si="137"/>
        <v>126</v>
      </c>
      <c r="L477">
        <f t="shared" si="138"/>
        <v>13.8</v>
      </c>
      <c r="M477" t="str">
        <f t="shared" si="139"/>
        <v>-</v>
      </c>
      <c r="N477" t="str">
        <f t="shared" si="140"/>
        <v>147:15</v>
      </c>
      <c r="O477" t="str">
        <f t="shared" si="141"/>
        <v>5:30</v>
      </c>
      <c r="P477" t="str">
        <f t="shared" si="142"/>
        <v/>
      </c>
    </row>
    <row r="478" spans="1:16" x14ac:dyDescent="0.25">
      <c r="A478">
        <f>'Raw Data'!A420</f>
        <v>126</v>
      </c>
      <c r="B478">
        <f>'Raw Data'!B420</f>
        <v>127</v>
      </c>
      <c r="C478">
        <f>'Raw Data'!J420</f>
        <v>20.5</v>
      </c>
      <c r="D478" t="str">
        <f>'Interpreted Data'!G420</f>
        <v>266:20</v>
      </c>
      <c r="E478" t="str">
        <f>'Interpreted Data'!H420</f>
        <v>-</v>
      </c>
      <c r="F478" t="str">
        <f>SUBSTITUTE('Raw Data'!K420," ",":",1)</f>
        <v>-9:15</v>
      </c>
      <c r="G478">
        <f>'Interpreted Data'!N420</f>
        <v>-3.3</v>
      </c>
      <c r="H478" t="str">
        <f>'Interpreted Data'!P420</f>
        <v/>
      </c>
      <c r="J478">
        <f t="shared" si="136"/>
        <v>126</v>
      </c>
      <c r="K478">
        <f t="shared" si="137"/>
        <v>127</v>
      </c>
      <c r="L478">
        <f t="shared" si="138"/>
        <v>20.5</v>
      </c>
      <c r="M478" t="str">
        <f t="shared" si="139"/>
        <v>266:20</v>
      </c>
      <c r="N478" t="str">
        <f t="shared" si="140"/>
        <v>-</v>
      </c>
      <c r="O478" t="str">
        <f t="shared" si="141"/>
        <v>-9:15</v>
      </c>
      <c r="P478" t="str">
        <f t="shared" si="142"/>
        <v/>
      </c>
    </row>
    <row r="479" spans="1:16" x14ac:dyDescent="0.25">
      <c r="A479">
        <f>'Raw Data'!A421</f>
        <v>127</v>
      </c>
      <c r="B479">
        <f>'Raw Data'!B421</f>
        <v>128</v>
      </c>
      <c r="C479">
        <f>'Raw Data'!J421</f>
        <v>4.3</v>
      </c>
      <c r="D479" t="str">
        <f>'Interpreted Data'!G421</f>
        <v>-</v>
      </c>
      <c r="E479" t="str">
        <f>'Interpreted Data'!H421</f>
        <v>146:00</v>
      </c>
      <c r="F479" t="str">
        <f>SUBSTITUTE('Raw Data'!K421," ",":",1)</f>
        <v>17:00</v>
      </c>
      <c r="G479">
        <f>'Interpreted Data'!N421</f>
        <v>1.3</v>
      </c>
      <c r="H479" t="str">
        <f>'Interpreted Data'!P421</f>
        <v/>
      </c>
      <c r="J479">
        <f t="shared" si="136"/>
        <v>127</v>
      </c>
      <c r="K479">
        <f t="shared" si="137"/>
        <v>128</v>
      </c>
      <c r="L479">
        <f t="shared" si="138"/>
        <v>4.3</v>
      </c>
      <c r="M479" t="str">
        <f t="shared" si="139"/>
        <v>-</v>
      </c>
      <c r="N479" t="str">
        <f t="shared" si="140"/>
        <v>146:00</v>
      </c>
      <c r="O479" t="str">
        <f t="shared" si="141"/>
        <v>17:00</v>
      </c>
      <c r="P479" t="str">
        <f t="shared" si="142"/>
        <v/>
      </c>
    </row>
    <row r="480" spans="1:16" x14ac:dyDescent="0.25">
      <c r="A480">
        <f>'Raw Data'!A422</f>
        <v>128</v>
      </c>
      <c r="B480">
        <f>'Raw Data'!B422</f>
        <v>129</v>
      </c>
      <c r="C480">
        <f>'Raw Data'!J422</f>
        <v>10.3</v>
      </c>
      <c r="D480" t="str">
        <f>'Interpreted Data'!G422</f>
        <v>021:30</v>
      </c>
      <c r="E480" t="str">
        <f>'Interpreted Data'!H422</f>
        <v>-</v>
      </c>
      <c r="F480" t="str">
        <f>SUBSTITUTE('Raw Data'!K422," ",":",1)</f>
        <v>8:20</v>
      </c>
      <c r="G480">
        <f>'Interpreted Data'!N422</f>
        <v>1.5</v>
      </c>
      <c r="H480" t="str">
        <f>'Interpreted Data'!P422</f>
        <v/>
      </c>
      <c r="J480">
        <f t="shared" si="136"/>
        <v>128</v>
      </c>
      <c r="K480">
        <f t="shared" si="137"/>
        <v>129</v>
      </c>
      <c r="L480">
        <f t="shared" si="138"/>
        <v>10.3</v>
      </c>
      <c r="M480" t="str">
        <f t="shared" si="139"/>
        <v>021:30</v>
      </c>
      <c r="N480" t="str">
        <f t="shared" si="140"/>
        <v>-</v>
      </c>
      <c r="O480" t="str">
        <f t="shared" si="141"/>
        <v>8:20</v>
      </c>
      <c r="P480" t="str">
        <f t="shared" si="142"/>
        <v/>
      </c>
    </row>
    <row r="481" spans="1:16" x14ac:dyDescent="0.25">
      <c r="A481">
        <f>'Raw Data'!A423</f>
        <v>129</v>
      </c>
      <c r="B481">
        <f>'Raw Data'!B423</f>
        <v>130</v>
      </c>
      <c r="C481">
        <f>'Raw Data'!J423</f>
        <v>43.2</v>
      </c>
      <c r="D481" t="str">
        <f>'Interpreted Data'!G423</f>
        <v>-</v>
      </c>
      <c r="E481" t="str">
        <f>'Interpreted Data'!H423</f>
        <v>113:10</v>
      </c>
      <c r="F481" t="str">
        <f>SUBSTITUTE('Raw Data'!K423," ",":",1)</f>
        <v>-10:20</v>
      </c>
      <c r="G481">
        <f>'Interpreted Data'!N423</f>
        <v>-7.7</v>
      </c>
      <c r="H481" t="str">
        <f>'Interpreted Data'!P423</f>
        <v/>
      </c>
      <c r="J481">
        <f t="shared" si="136"/>
        <v>129</v>
      </c>
      <c r="K481">
        <f t="shared" si="137"/>
        <v>130</v>
      </c>
      <c r="L481">
        <f t="shared" si="138"/>
        <v>43.2</v>
      </c>
      <c r="M481" t="str">
        <f t="shared" si="139"/>
        <v>-</v>
      </c>
      <c r="N481" t="str">
        <f t="shared" si="140"/>
        <v>113:10</v>
      </c>
      <c r="O481" t="str">
        <f t="shared" si="141"/>
        <v>-10:20</v>
      </c>
      <c r="P481" t="str">
        <f t="shared" si="142"/>
        <v/>
      </c>
    </row>
    <row r="482" spans="1:16" x14ac:dyDescent="0.25">
      <c r="A482">
        <f>'Raw Data'!A424</f>
        <v>130</v>
      </c>
      <c r="B482">
        <f>'Raw Data'!B424</f>
        <v>131</v>
      </c>
      <c r="C482">
        <f>'Raw Data'!J424</f>
        <v>37.799999999999997</v>
      </c>
      <c r="D482" t="str">
        <f>'Interpreted Data'!G424</f>
        <v>293:40</v>
      </c>
      <c r="E482" t="str">
        <f>'Interpreted Data'!H424</f>
        <v>-</v>
      </c>
      <c r="F482" t="str">
        <f>SUBSTITUTE('Raw Data'!K424," ",":",1)</f>
        <v>-3:00</v>
      </c>
      <c r="G482">
        <f>'Interpreted Data'!N424</f>
        <v>-2</v>
      </c>
      <c r="H482" t="str">
        <f>'Interpreted Data'!P424</f>
        <v/>
      </c>
      <c r="J482">
        <f t="shared" si="136"/>
        <v>130</v>
      </c>
      <c r="K482">
        <f t="shared" si="137"/>
        <v>131</v>
      </c>
      <c r="L482">
        <f t="shared" si="138"/>
        <v>37.799999999999997</v>
      </c>
      <c r="M482" t="str">
        <f t="shared" si="139"/>
        <v>293:40</v>
      </c>
      <c r="N482" t="str">
        <f t="shared" si="140"/>
        <v>-</v>
      </c>
      <c r="O482" t="str">
        <f t="shared" si="141"/>
        <v>-3:00</v>
      </c>
      <c r="P482" t="str">
        <f t="shared" si="142"/>
        <v/>
      </c>
    </row>
    <row r="483" spans="1:16" x14ac:dyDescent="0.25">
      <c r="A483">
        <f>'Raw Data'!A425</f>
        <v>131</v>
      </c>
      <c r="B483">
        <f>'Raw Data'!B425</f>
        <v>132</v>
      </c>
      <c r="C483">
        <f>'Raw Data'!J425</f>
        <v>9.3000000000000007</v>
      </c>
      <c r="D483" t="str">
        <f>'Interpreted Data'!G425</f>
        <v>-</v>
      </c>
      <c r="E483" t="str">
        <f>'Interpreted Data'!H425</f>
        <v>167:00</v>
      </c>
      <c r="F483" t="str">
        <f>SUBSTITUTE('Raw Data'!K425," ",":",1)</f>
        <v>20:30</v>
      </c>
      <c r="G483">
        <f>'Interpreted Data'!N425</f>
        <v>3.3</v>
      </c>
      <c r="H483" t="str">
        <f>'Interpreted Data'!P425</f>
        <v/>
      </c>
      <c r="J483">
        <f t="shared" si="136"/>
        <v>131</v>
      </c>
      <c r="K483">
        <f t="shared" si="137"/>
        <v>132</v>
      </c>
      <c r="L483">
        <f t="shared" si="138"/>
        <v>9.3000000000000007</v>
      </c>
      <c r="M483" t="str">
        <f t="shared" si="139"/>
        <v>-</v>
      </c>
      <c r="N483" t="str">
        <f t="shared" si="140"/>
        <v>167:00</v>
      </c>
      <c r="O483" t="str">
        <f t="shared" si="141"/>
        <v>20:30</v>
      </c>
      <c r="P483" t="str">
        <f t="shared" si="142"/>
        <v/>
      </c>
    </row>
    <row r="484" spans="1:16" x14ac:dyDescent="0.25">
      <c r="A484">
        <f>'Raw Data'!A426</f>
        <v>132</v>
      </c>
      <c r="B484">
        <f>'Raw Data'!B426</f>
        <v>133</v>
      </c>
      <c r="C484">
        <f>'Raw Data'!J426</f>
        <v>14.6</v>
      </c>
      <c r="D484" t="str">
        <f>'Interpreted Data'!G426</f>
        <v>271:30</v>
      </c>
      <c r="E484" t="str">
        <f>'Interpreted Data'!H426</f>
        <v>-</v>
      </c>
      <c r="F484" t="str">
        <f>SUBSTITUTE('Raw Data'!K426," ",":",1)</f>
        <v>-11:30</v>
      </c>
      <c r="G484">
        <f>'Interpreted Data'!N426</f>
        <v>-2.9</v>
      </c>
      <c r="H484" t="str">
        <f>'Interpreted Data'!P426</f>
        <v/>
      </c>
      <c r="J484">
        <f t="shared" si="136"/>
        <v>132</v>
      </c>
      <c r="K484">
        <f t="shared" si="137"/>
        <v>133</v>
      </c>
      <c r="L484">
        <f t="shared" si="138"/>
        <v>14.6</v>
      </c>
      <c r="M484" t="str">
        <f t="shared" si="139"/>
        <v>271:30</v>
      </c>
      <c r="N484" t="str">
        <f t="shared" si="140"/>
        <v>-</v>
      </c>
      <c r="O484" t="str">
        <f t="shared" si="141"/>
        <v>-11:30</v>
      </c>
      <c r="P484" t="str">
        <f t="shared" si="142"/>
        <v/>
      </c>
    </row>
    <row r="485" spans="1:16" x14ac:dyDescent="0.25">
      <c r="A485">
        <f>'Raw Data'!A427</f>
        <v>133</v>
      </c>
      <c r="B485">
        <f>'Raw Data'!B427</f>
        <v>134</v>
      </c>
      <c r="C485">
        <f>'Raw Data'!J427</f>
        <v>14.7</v>
      </c>
      <c r="D485" t="str">
        <f>'Interpreted Data'!G427</f>
        <v>-</v>
      </c>
      <c r="E485" t="str">
        <f>'Interpreted Data'!H427</f>
        <v>161:00</v>
      </c>
      <c r="F485" t="str">
        <f>SUBSTITUTE('Raw Data'!K427," ",":",1)</f>
        <v>20:40</v>
      </c>
      <c r="G485">
        <f>'Interpreted Data'!N427</f>
        <v>5.2</v>
      </c>
      <c r="H485" t="str">
        <f>'Interpreted Data'!P427</f>
        <v/>
      </c>
      <c r="J485">
        <f t="shared" si="136"/>
        <v>133</v>
      </c>
      <c r="K485">
        <f t="shared" si="137"/>
        <v>134</v>
      </c>
      <c r="L485">
        <f t="shared" si="138"/>
        <v>14.7</v>
      </c>
      <c r="M485" t="str">
        <f t="shared" si="139"/>
        <v>-</v>
      </c>
      <c r="N485" t="str">
        <f t="shared" si="140"/>
        <v>161:00</v>
      </c>
      <c r="O485" t="str">
        <f t="shared" si="141"/>
        <v>20:40</v>
      </c>
      <c r="P485" t="str">
        <f t="shared" si="142"/>
        <v/>
      </c>
    </row>
    <row r="486" spans="1:16" x14ac:dyDescent="0.25">
      <c r="A486">
        <f>'Raw Data'!A428</f>
        <v>134</v>
      </c>
      <c r="B486">
        <f>'Raw Data'!B428</f>
        <v>135</v>
      </c>
      <c r="C486">
        <f>'Raw Data'!J428</f>
        <v>21.5</v>
      </c>
      <c r="D486" t="str">
        <f>'Interpreted Data'!G428</f>
        <v>009:30</v>
      </c>
      <c r="E486" t="str">
        <f>'Interpreted Data'!H428</f>
        <v>-</v>
      </c>
      <c r="F486" t="str">
        <f>SUBSTITUTE('Raw Data'!K428," ",":",1)</f>
        <v>-6:20</v>
      </c>
      <c r="G486">
        <f>'Interpreted Data'!N428</f>
        <v>-2.4</v>
      </c>
      <c r="H486" t="str">
        <f>'Interpreted Data'!P428</f>
        <v/>
      </c>
      <c r="J486">
        <f t="shared" si="136"/>
        <v>134</v>
      </c>
      <c r="K486">
        <f t="shared" si="137"/>
        <v>135</v>
      </c>
      <c r="L486">
        <f t="shared" si="138"/>
        <v>21.5</v>
      </c>
      <c r="M486" t="str">
        <f t="shared" si="139"/>
        <v>009:30</v>
      </c>
      <c r="N486" t="str">
        <f t="shared" si="140"/>
        <v>-</v>
      </c>
      <c r="O486" t="str">
        <f t="shared" si="141"/>
        <v>-6:20</v>
      </c>
      <c r="P486" t="str">
        <f t="shared" si="142"/>
        <v/>
      </c>
    </row>
    <row r="487" spans="1:16" x14ac:dyDescent="0.25">
      <c r="A487">
        <f>'Raw Data'!A429</f>
        <v>0</v>
      </c>
      <c r="B487">
        <f>'Raw Data'!B429</f>
        <v>0</v>
      </c>
      <c r="C487">
        <f>'Raw Data'!J429</f>
        <v>0</v>
      </c>
      <c r="D487" t="str">
        <f>'Interpreted Data'!G429</f>
        <v>-</v>
      </c>
      <c r="E487" t="str">
        <f>'Interpreted Data'!H429</f>
        <v>-</v>
      </c>
      <c r="F487" t="str">
        <f>SUBSTITUTE('Raw Data'!K429," ",":",1)</f>
        <v/>
      </c>
      <c r="G487" t="str">
        <f>'Interpreted Data'!N429</f>
        <v/>
      </c>
      <c r="H487" t="str">
        <f>'Interpreted Data'!P429</f>
        <v/>
      </c>
      <c r="P487" t="str">
        <f t="shared" si="142"/>
        <v/>
      </c>
    </row>
    <row r="488" spans="1:16" x14ac:dyDescent="0.25">
      <c r="A488" t="str">
        <f>'Raw Data'!A430</f>
        <v>p. 73-74</v>
      </c>
      <c r="B488" t="str">
        <f>'Raw Data'!B430</f>
        <v>(=PDF p.75-76)</v>
      </c>
      <c r="C488">
        <f>'Raw Data'!J430</f>
        <v>0</v>
      </c>
      <c r="D488" t="str">
        <f>'Interpreted Data'!G430</f>
        <v>-</v>
      </c>
      <c r="E488" t="str">
        <f>'Interpreted Data'!H430</f>
        <v>-</v>
      </c>
      <c r="F488" t="str">
        <f>SUBSTITUTE('Raw Data'!K430," ",":",1)</f>
        <v/>
      </c>
      <c r="G488" t="str">
        <f>'Interpreted Data'!N430</f>
        <v/>
      </c>
      <c r="H488" t="str">
        <f>'Interpreted Data'!P430</f>
        <v/>
      </c>
      <c r="J488" t="str">
        <f>CONCATENATE("# ",A488)</f>
        <v># p. 73-74</v>
      </c>
      <c r="K488" t="str">
        <f t="shared" si="137"/>
        <v>(=PDF p.75-76)</v>
      </c>
      <c r="P488" t="str">
        <f t="shared" si="142"/>
        <v/>
      </c>
    </row>
    <row r="489" spans="1:16" x14ac:dyDescent="0.25">
      <c r="A489">
        <f>'Raw Data'!A431</f>
        <v>135</v>
      </c>
      <c r="B489">
        <f>'Raw Data'!B431</f>
        <v>136</v>
      </c>
      <c r="C489">
        <f>'Raw Data'!J431</f>
        <v>57.2</v>
      </c>
      <c r="D489" t="str">
        <f>'Interpreted Data'!G431</f>
        <v>-</v>
      </c>
      <c r="E489" t="str">
        <f>'Interpreted Data'!H431</f>
        <v>084:20</v>
      </c>
      <c r="F489" t="str">
        <f>SUBSTITUTE('Raw Data'!K431," ",":",1)</f>
        <v>-13:40</v>
      </c>
      <c r="G489">
        <f>'Interpreted Data'!N431</f>
        <v>-13.5</v>
      </c>
      <c r="H489" t="str">
        <f>'Interpreted Data'!P431</f>
        <v/>
      </c>
      <c r="J489">
        <f t="shared" si="136"/>
        <v>135</v>
      </c>
      <c r="K489">
        <f t="shared" si="137"/>
        <v>136</v>
      </c>
      <c r="L489">
        <f t="shared" si="138"/>
        <v>57.2</v>
      </c>
      <c r="M489" t="str">
        <f t="shared" si="139"/>
        <v>-</v>
      </c>
      <c r="N489" t="str">
        <f t="shared" si="140"/>
        <v>084:20</v>
      </c>
      <c r="O489" t="str">
        <f t="shared" si="141"/>
        <v>-13:40</v>
      </c>
      <c r="P489" t="str">
        <f t="shared" si="142"/>
        <v/>
      </c>
    </row>
    <row r="490" spans="1:16" x14ac:dyDescent="0.25">
      <c r="A490">
        <f>'Raw Data'!A432</f>
        <v>136</v>
      </c>
      <c r="B490">
        <f>'Raw Data'!B432</f>
        <v>137</v>
      </c>
      <c r="C490">
        <f>'Raw Data'!J432</f>
        <v>18.399999999999999</v>
      </c>
      <c r="D490" t="str">
        <f>'Interpreted Data'!G432</f>
        <v>007:30</v>
      </c>
      <c r="E490" t="str">
        <f>'Interpreted Data'!H432</f>
        <v>-</v>
      </c>
      <c r="F490" t="str">
        <f>SUBSTITUTE('Raw Data'!K432," ",":",1)</f>
        <v>-6:00</v>
      </c>
      <c r="G490">
        <f>'Interpreted Data'!N432</f>
        <v>-1.9</v>
      </c>
      <c r="H490" t="str">
        <f>'Interpreted Data'!P432</f>
        <v/>
      </c>
      <c r="J490">
        <f t="shared" si="136"/>
        <v>136</v>
      </c>
      <c r="K490">
        <f t="shared" si="137"/>
        <v>137</v>
      </c>
      <c r="L490">
        <f t="shared" si="138"/>
        <v>18.399999999999999</v>
      </c>
      <c r="M490" t="str">
        <f t="shared" si="139"/>
        <v>007:30</v>
      </c>
      <c r="N490" t="str">
        <f t="shared" si="140"/>
        <v>-</v>
      </c>
      <c r="O490" t="str">
        <f t="shared" si="141"/>
        <v>-6:00</v>
      </c>
      <c r="P490" t="str">
        <f t="shared" si="142"/>
        <v/>
      </c>
    </row>
    <row r="491" spans="1:16" x14ac:dyDescent="0.25">
      <c r="A491">
        <f>'Raw Data'!A433</f>
        <v>137</v>
      </c>
      <c r="B491">
        <f>'Raw Data'!B433</f>
        <v>138</v>
      </c>
      <c r="C491">
        <f>'Raw Data'!J433</f>
        <v>24.8</v>
      </c>
      <c r="D491" t="str">
        <f>'Interpreted Data'!G433</f>
        <v>-</v>
      </c>
      <c r="E491" t="str">
        <f>'Interpreted Data'!H433</f>
        <v>252:15</v>
      </c>
      <c r="F491" t="str">
        <f>SUBSTITUTE('Raw Data'!K433," ",":",1)</f>
        <v>33:20</v>
      </c>
      <c r="G491">
        <f>'Interpreted Data'!N433</f>
        <v>13.6</v>
      </c>
      <c r="H491" t="str">
        <f>'Interpreted Data'!P433</f>
        <v/>
      </c>
      <c r="J491">
        <f t="shared" si="136"/>
        <v>137</v>
      </c>
      <c r="K491">
        <f t="shared" si="137"/>
        <v>138</v>
      </c>
      <c r="L491">
        <f t="shared" si="138"/>
        <v>24.8</v>
      </c>
      <c r="M491" t="str">
        <f t="shared" si="139"/>
        <v>-</v>
      </c>
      <c r="N491" t="str">
        <f t="shared" si="140"/>
        <v>252:15</v>
      </c>
      <c r="O491" t="str">
        <f t="shared" si="141"/>
        <v>33:20</v>
      </c>
      <c r="P491" t="str">
        <f t="shared" si="142"/>
        <v/>
      </c>
    </row>
    <row r="492" spans="1:16" x14ac:dyDescent="0.25">
      <c r="A492">
        <f>'Raw Data'!A434</f>
        <v>138</v>
      </c>
      <c r="B492">
        <f>'Raw Data'!B434</f>
        <v>139</v>
      </c>
      <c r="C492">
        <f>'Raw Data'!J434</f>
        <v>19</v>
      </c>
      <c r="D492" t="str">
        <f>'Interpreted Data'!G434</f>
        <v>052:00</v>
      </c>
      <c r="E492" t="str">
        <f>'Interpreted Data'!H434</f>
        <v>-</v>
      </c>
      <c r="F492" t="str">
        <f>SUBSTITUTE('Raw Data'!K434," ",":",1)</f>
        <v>16:30</v>
      </c>
      <c r="G492">
        <f>'Interpreted Data'!N434</f>
        <v>5.4</v>
      </c>
      <c r="H492" t="str">
        <f>'Interpreted Data'!P434</f>
        <v/>
      </c>
      <c r="J492">
        <f t="shared" si="136"/>
        <v>138</v>
      </c>
      <c r="K492">
        <f t="shared" si="137"/>
        <v>139</v>
      </c>
      <c r="L492">
        <f t="shared" si="138"/>
        <v>19</v>
      </c>
      <c r="M492" t="str">
        <f t="shared" si="139"/>
        <v>052:00</v>
      </c>
      <c r="N492" t="str">
        <f t="shared" si="140"/>
        <v>-</v>
      </c>
      <c r="O492" t="str">
        <f t="shared" si="141"/>
        <v>16:30</v>
      </c>
      <c r="P492" t="str">
        <f t="shared" si="142"/>
        <v/>
      </c>
    </row>
    <row r="493" spans="1:16" x14ac:dyDescent="0.25">
      <c r="A493">
        <f>'Raw Data'!A435</f>
        <v>139</v>
      </c>
      <c r="B493">
        <f>'Raw Data'!B435</f>
        <v>140</v>
      </c>
      <c r="C493">
        <f>'Raw Data'!J435</f>
        <v>35</v>
      </c>
      <c r="D493" t="str">
        <f>'Interpreted Data'!G435</f>
        <v>-</v>
      </c>
      <c r="E493" t="str">
        <f>'Interpreted Data'!H435</f>
        <v>094:10</v>
      </c>
      <c r="F493" t="str">
        <f>SUBSTITUTE('Raw Data'!K435," ",":",1)</f>
        <v>-19:20</v>
      </c>
      <c r="G493">
        <f>'Interpreted Data'!N435</f>
        <v>-11.6</v>
      </c>
      <c r="H493" t="str">
        <f>'Interpreted Data'!P435</f>
        <v/>
      </c>
      <c r="J493">
        <f t="shared" si="136"/>
        <v>139</v>
      </c>
      <c r="K493">
        <f t="shared" si="137"/>
        <v>140</v>
      </c>
      <c r="L493">
        <f t="shared" si="138"/>
        <v>35</v>
      </c>
      <c r="M493" t="str">
        <f t="shared" si="139"/>
        <v>-</v>
      </c>
      <c r="N493" t="str">
        <f t="shared" si="140"/>
        <v>094:10</v>
      </c>
      <c r="O493" t="str">
        <f t="shared" si="141"/>
        <v>-19:20</v>
      </c>
      <c r="P493" t="str">
        <f t="shared" si="142"/>
        <v/>
      </c>
    </row>
    <row r="494" spans="1:16" x14ac:dyDescent="0.25">
      <c r="A494">
        <f>'Raw Data'!A436</f>
        <v>140</v>
      </c>
      <c r="B494">
        <f>'Raw Data'!B436</f>
        <v>141</v>
      </c>
      <c r="C494">
        <f>'Raw Data'!J436</f>
        <v>51.6</v>
      </c>
      <c r="D494" t="str">
        <f>'Interpreted Data'!G436</f>
        <v>265:50</v>
      </c>
      <c r="E494" t="str">
        <f>'Interpreted Data'!H436</f>
        <v>-</v>
      </c>
      <c r="F494" t="str">
        <f>SUBSTITUTE('Raw Data'!K436," ",":",1)</f>
        <v>-19:00</v>
      </c>
      <c r="G494">
        <f>'Interpreted Data'!N436</f>
        <v>-16.8</v>
      </c>
      <c r="H494" t="str">
        <f>'Interpreted Data'!P436</f>
        <v/>
      </c>
      <c r="J494">
        <f t="shared" si="136"/>
        <v>140</v>
      </c>
      <c r="K494">
        <f t="shared" si="137"/>
        <v>141</v>
      </c>
      <c r="L494">
        <f t="shared" si="138"/>
        <v>51.6</v>
      </c>
      <c r="M494" t="str">
        <f t="shared" si="139"/>
        <v>265:50</v>
      </c>
      <c r="N494" t="str">
        <f t="shared" si="140"/>
        <v>-</v>
      </c>
      <c r="O494" t="str">
        <f t="shared" si="141"/>
        <v>-19:00</v>
      </c>
      <c r="P494" t="str">
        <f t="shared" si="142"/>
        <v/>
      </c>
    </row>
    <row r="495" spans="1:16" x14ac:dyDescent="0.25">
      <c r="A495">
        <f>'Raw Data'!A437</f>
        <v>141</v>
      </c>
      <c r="B495">
        <f>'Raw Data'!B437</f>
        <v>142</v>
      </c>
      <c r="C495">
        <f>'Raw Data'!J437</f>
        <v>21.6</v>
      </c>
      <c r="D495" t="str">
        <f>'Interpreted Data'!G437</f>
        <v>-</v>
      </c>
      <c r="E495" t="str">
        <f>'Interpreted Data'!H437</f>
        <v>149:15</v>
      </c>
      <c r="F495" t="str">
        <f>SUBSTITUTE('Raw Data'!K437," ",":",1)</f>
        <v>11:00</v>
      </c>
      <c r="G495">
        <f>'Interpreted Data'!N437</f>
        <v>4.0999999999999996</v>
      </c>
      <c r="H495" t="str">
        <f>'Interpreted Data'!P437</f>
        <v/>
      </c>
      <c r="J495">
        <f t="shared" si="136"/>
        <v>141</v>
      </c>
      <c r="K495">
        <f t="shared" si="137"/>
        <v>142</v>
      </c>
      <c r="L495">
        <f t="shared" si="138"/>
        <v>21.6</v>
      </c>
      <c r="M495" t="str">
        <f t="shared" si="139"/>
        <v>-</v>
      </c>
      <c r="N495" t="str">
        <f t="shared" si="140"/>
        <v>149:15</v>
      </c>
      <c r="O495" t="str">
        <f t="shared" si="141"/>
        <v>11:00</v>
      </c>
      <c r="P495" t="str">
        <f t="shared" si="142"/>
        <v/>
      </c>
    </row>
    <row r="496" spans="1:16" x14ac:dyDescent="0.25">
      <c r="A496">
        <f>'Raw Data'!A438</f>
        <v>142</v>
      </c>
      <c r="B496">
        <f>'Raw Data'!B438</f>
        <v>143</v>
      </c>
      <c r="C496">
        <f>'Raw Data'!J438</f>
        <v>22.4</v>
      </c>
      <c r="D496" t="str">
        <f>'Interpreted Data'!G438</f>
        <v>042:20</v>
      </c>
      <c r="E496" t="str">
        <f>'Interpreted Data'!H438</f>
        <v>-</v>
      </c>
      <c r="F496" t="str">
        <f>SUBSTITUTE('Raw Data'!K438," ",":",1)</f>
        <v>28:30</v>
      </c>
      <c r="G496">
        <f>'Interpreted Data'!N438</f>
        <v>10.7</v>
      </c>
      <c r="H496" t="str">
        <f>'Interpreted Data'!P438</f>
        <v/>
      </c>
      <c r="J496">
        <f t="shared" si="136"/>
        <v>142</v>
      </c>
      <c r="K496">
        <f t="shared" si="137"/>
        <v>143</v>
      </c>
      <c r="L496">
        <f t="shared" si="138"/>
        <v>22.4</v>
      </c>
      <c r="M496" t="str">
        <f t="shared" si="139"/>
        <v>042:20</v>
      </c>
      <c r="N496" t="str">
        <f t="shared" si="140"/>
        <v>-</v>
      </c>
      <c r="O496" t="str">
        <f t="shared" si="141"/>
        <v>28:30</v>
      </c>
      <c r="P496" t="str">
        <f t="shared" si="142"/>
        <v/>
      </c>
    </row>
    <row r="497" spans="1:16" x14ac:dyDescent="0.25">
      <c r="A497">
        <f>'Raw Data'!A439</f>
        <v>143</v>
      </c>
      <c r="B497">
        <f>'Raw Data'!B439</f>
        <v>0</v>
      </c>
      <c r="C497">
        <f>'Raw Data'!J439</f>
        <v>0</v>
      </c>
      <c r="D497" t="str">
        <f>'Interpreted Data'!G439</f>
        <v>-</v>
      </c>
      <c r="E497" t="str">
        <f>'Interpreted Data'!H439</f>
        <v>-</v>
      </c>
      <c r="F497" t="str">
        <f>SUBSTITUTE('Raw Data'!K439," ",":",1)</f>
        <v/>
      </c>
      <c r="G497" t="str">
        <f>'Interpreted Data'!N439</f>
        <v/>
      </c>
      <c r="H497" t="str">
        <f>'Interpreted Data'!P439</f>
        <v>knob on roof 4 feet from entrance pit of Blue Pencil Passage</v>
      </c>
      <c r="J497" t="str">
        <f>CONCATENATE("# ",A497)</f>
        <v># 143</v>
      </c>
      <c r="P497" t="str">
        <f t="shared" si="142"/>
        <v>knob on roof 4 feet from entrance pit of Blue Pencil Passage</v>
      </c>
    </row>
    <row r="499" spans="1:16" x14ac:dyDescent="0.25">
      <c r="A499" t="str">
        <f>'Raw Data'!A441</f>
        <v>(skipped surface survey to Priddy Green dig and back)</v>
      </c>
      <c r="B499">
        <f>'Raw Data'!B441</f>
        <v>0</v>
      </c>
      <c r="C499">
        <f>'Raw Data'!J441</f>
        <v>0</v>
      </c>
      <c r="D499" t="str">
        <f>'Interpreted Data'!G441</f>
        <v>-</v>
      </c>
      <c r="E499" t="str">
        <f>'Interpreted Data'!H441</f>
        <v>-</v>
      </c>
      <c r="F499" t="str">
        <f>SUBSTITUTE('Raw Data'!K441," ",":",1)</f>
        <v/>
      </c>
      <c r="G499" t="str">
        <f>'Interpreted Data'!N441</f>
        <v/>
      </c>
      <c r="H499" t="str">
        <f>'Interpreted Data'!P441</f>
        <v/>
      </c>
      <c r="J499" t="str">
        <f t="shared" si="136"/>
        <v>(skipped surface survey to Priddy Green dig and back)</v>
      </c>
      <c r="K499">
        <f t="shared" si="137"/>
        <v>0</v>
      </c>
      <c r="L499">
        <f t="shared" si="138"/>
        <v>0</v>
      </c>
      <c r="M499" t="str">
        <f t="shared" si="139"/>
        <v>-</v>
      </c>
      <c r="N499" t="str">
        <f t="shared" si="140"/>
        <v>-</v>
      </c>
      <c r="O499" t="e">
        <f t="shared" si="141"/>
        <v>#VALUE!</v>
      </c>
      <c r="P499" t="str">
        <f t="shared" si="142"/>
        <v/>
      </c>
    </row>
    <row r="500" spans="1:16" x14ac:dyDescent="0.25">
      <c r="A500">
        <f>'Raw Data'!A442</f>
        <v>0</v>
      </c>
      <c r="B500">
        <f>'Raw Data'!B442</f>
        <v>0</v>
      </c>
      <c r="C500">
        <f>'Raw Data'!J442</f>
        <v>0</v>
      </c>
      <c r="D500">
        <f>'Interpreted Data'!G442</f>
        <v>0</v>
      </c>
      <c r="E500">
        <f>'Interpreted Data'!H442</f>
        <v>0</v>
      </c>
      <c r="F500" t="str">
        <f>SUBSTITUTE('Raw Data'!K442," ",":",1)</f>
        <v/>
      </c>
      <c r="G500">
        <f>'Interpreted Data'!N442</f>
        <v>0</v>
      </c>
      <c r="H500">
        <f>'Interpreted Data'!P442</f>
        <v>0</v>
      </c>
      <c r="J500">
        <f t="shared" si="136"/>
        <v>0</v>
      </c>
      <c r="K500">
        <f t="shared" si="137"/>
        <v>0</v>
      </c>
      <c r="L500">
        <f t="shared" si="138"/>
        <v>0</v>
      </c>
      <c r="M500">
        <f t="shared" si="139"/>
        <v>0</v>
      </c>
      <c r="N500">
        <f t="shared" si="140"/>
        <v>0</v>
      </c>
      <c r="O500" t="str">
        <f t="shared" si="141"/>
        <v/>
      </c>
      <c r="P500">
        <f t="shared" si="142"/>
        <v>0</v>
      </c>
    </row>
    <row r="501" spans="1:16" x14ac:dyDescent="0.25">
      <c r="J501">
        <f t="shared" si="136"/>
        <v>0</v>
      </c>
      <c r="K501">
        <f t="shared" si="137"/>
        <v>0</v>
      </c>
      <c r="L501">
        <f t="shared" si="138"/>
        <v>0</v>
      </c>
      <c r="M501">
        <f t="shared" si="139"/>
        <v>0</v>
      </c>
      <c r="N501">
        <f t="shared" si="140"/>
        <v>0</v>
      </c>
      <c r="O501">
        <f t="shared" si="141"/>
        <v>0</v>
      </c>
      <c r="P501">
        <f t="shared" si="142"/>
        <v>0</v>
      </c>
    </row>
    <row r="502" spans="1:16" x14ac:dyDescent="0.25">
      <c r="J502">
        <f t="shared" si="136"/>
        <v>0</v>
      </c>
      <c r="K502">
        <f t="shared" si="137"/>
        <v>0</v>
      </c>
      <c r="L502">
        <f t="shared" si="138"/>
        <v>0</v>
      </c>
      <c r="M502">
        <f t="shared" si="139"/>
        <v>0</v>
      </c>
      <c r="N502">
        <f t="shared" si="140"/>
        <v>0</v>
      </c>
      <c r="O502">
        <f t="shared" si="141"/>
        <v>0</v>
      </c>
      <c r="P502">
        <f t="shared" si="142"/>
        <v>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pane ySplit="12" topLeftCell="A13" activePane="bottomLeft" state="frozen"/>
      <selection pane="bottomLeft" activeCell="A22" sqref="A22"/>
    </sheetView>
  </sheetViews>
  <sheetFormatPr defaultRowHeight="15" x14ac:dyDescent="0.25"/>
  <cols>
    <col min="1" max="1" width="33.7109375" customWidth="1"/>
    <col min="2" max="2" width="11.7109375" customWidth="1"/>
    <col min="3" max="3" width="14.140625" bestFit="1" customWidth="1"/>
    <col min="4" max="4" width="12.7109375" bestFit="1" customWidth="1"/>
    <col min="5" max="5" width="14.42578125" bestFit="1" customWidth="1"/>
    <col min="6" max="6" width="36.7109375" bestFit="1" customWidth="1"/>
  </cols>
  <sheetData>
    <row r="1" spans="1:7" x14ac:dyDescent="0.25">
      <c r="A1" s="1" t="s">
        <v>991</v>
      </c>
      <c r="B1" s="1" t="s">
        <v>992</v>
      </c>
      <c r="C1" s="1" t="s">
        <v>993</v>
      </c>
      <c r="D1" s="1" t="s">
        <v>994</v>
      </c>
      <c r="E1" s="1" t="s">
        <v>995</v>
      </c>
      <c r="F1" s="1" t="s">
        <v>996</v>
      </c>
    </row>
    <row r="2" spans="1:7" x14ac:dyDescent="0.25">
      <c r="A2" t="s">
        <v>997</v>
      </c>
      <c r="B2">
        <v>51.262505654023002</v>
      </c>
      <c r="C2">
        <v>-2.6771879196167001</v>
      </c>
    </row>
    <row r="3" spans="1:7" x14ac:dyDescent="0.25">
      <c r="A3" t="s">
        <v>998</v>
      </c>
      <c r="B3">
        <v>51.255939280454299</v>
      </c>
      <c r="C3">
        <v>-2.6749563217163099</v>
      </c>
    </row>
    <row r="4" spans="1:7" x14ac:dyDescent="0.25">
      <c r="A4" t="s">
        <v>999</v>
      </c>
      <c r="B4">
        <v>51.252165541217998</v>
      </c>
      <c r="C4">
        <v>-2.67615795135498</v>
      </c>
    </row>
    <row r="5" spans="1:7" x14ac:dyDescent="0.25">
      <c r="F5" s="1" t="s">
        <v>1000</v>
      </c>
    </row>
    <row r="6" spans="1:7" x14ac:dyDescent="0.25">
      <c r="A6" t="s">
        <v>1001</v>
      </c>
      <c r="B6">
        <v>51.3</v>
      </c>
      <c r="C6">
        <v>-2.6760000000000002</v>
      </c>
      <c r="D6">
        <v>52970</v>
      </c>
      <c r="E6">
        <v>55876</v>
      </c>
      <c r="F6">
        <v>0.530644416481031</v>
      </c>
    </row>
    <row r="7" spans="1:7" x14ac:dyDescent="0.25">
      <c r="A7" t="s">
        <v>1002</v>
      </c>
      <c r="B7">
        <v>51.2</v>
      </c>
      <c r="C7">
        <v>-2.6760000000000002</v>
      </c>
      <c r="D7">
        <v>52867</v>
      </c>
      <c r="E7">
        <v>44755</v>
      </c>
    </row>
    <row r="8" spans="1:7" x14ac:dyDescent="0.25">
      <c r="F8">
        <v>0.52500000000000002</v>
      </c>
      <c r="G8" t="s">
        <v>1008</v>
      </c>
    </row>
    <row r="9" spans="1:7" x14ac:dyDescent="0.25">
      <c r="A9" t="s">
        <v>1003</v>
      </c>
      <c r="E9" t="s">
        <v>1004</v>
      </c>
    </row>
    <row r="10" spans="1:7" x14ac:dyDescent="0.25">
      <c r="A10" t="s">
        <v>1007</v>
      </c>
    </row>
    <row r="12" spans="1:7" ht="59.25" customHeight="1" x14ac:dyDescent="0.25">
      <c r="A12" s="1" t="s">
        <v>1005</v>
      </c>
      <c r="B12" s="14" t="s">
        <v>1006</v>
      </c>
      <c r="C12" s="14" t="s">
        <v>1009</v>
      </c>
    </row>
    <row r="13" spans="1:7" x14ac:dyDescent="0.25">
      <c r="A13" s="21">
        <v>18810</v>
      </c>
      <c r="B13">
        <v>-10.18</v>
      </c>
      <c r="C13" s="2">
        <f t="shared" ref="C13:C21" si="0">-B13-$F$8</f>
        <v>9.6549999999999994</v>
      </c>
    </row>
    <row r="14" spans="1:7" x14ac:dyDescent="0.25">
      <c r="A14" s="21">
        <v>18841</v>
      </c>
      <c r="B14">
        <v>-10.17</v>
      </c>
      <c r="C14" s="2">
        <f t="shared" si="0"/>
        <v>9.6449999999999996</v>
      </c>
    </row>
    <row r="15" spans="1:7" x14ac:dyDescent="0.25">
      <c r="A15" s="21">
        <v>19085</v>
      </c>
      <c r="B15">
        <v>-10.09</v>
      </c>
      <c r="C15" s="2">
        <f t="shared" si="0"/>
        <v>9.5649999999999995</v>
      </c>
    </row>
    <row r="16" spans="1:7" x14ac:dyDescent="0.25">
      <c r="A16" s="21">
        <v>19207</v>
      </c>
      <c r="B16">
        <v>-10.039999999999999</v>
      </c>
      <c r="C16" s="2">
        <f t="shared" si="0"/>
        <v>9.5149999999999988</v>
      </c>
    </row>
    <row r="17" spans="1:3" x14ac:dyDescent="0.25">
      <c r="A17" s="21">
        <v>19329</v>
      </c>
      <c r="B17" s="2">
        <v>-10</v>
      </c>
      <c r="C17" s="2">
        <f t="shared" si="0"/>
        <v>9.4749999999999996</v>
      </c>
    </row>
    <row r="18" spans="1:3" x14ac:dyDescent="0.25">
      <c r="A18" s="21">
        <v>19391</v>
      </c>
      <c r="B18" s="2">
        <v>-9.98</v>
      </c>
      <c r="C18" s="2">
        <f t="shared" si="0"/>
        <v>9.4550000000000001</v>
      </c>
    </row>
    <row r="19" spans="1:3" x14ac:dyDescent="0.25">
      <c r="A19" s="21">
        <v>19480</v>
      </c>
      <c r="B19" s="2">
        <v>-9.9499999999999993</v>
      </c>
      <c r="C19" s="2">
        <f t="shared" si="0"/>
        <v>9.4249999999999989</v>
      </c>
    </row>
    <row r="20" spans="1:3" x14ac:dyDescent="0.25">
      <c r="A20" s="21">
        <v>19603</v>
      </c>
      <c r="B20" s="2">
        <v>-9.9</v>
      </c>
      <c r="C20" s="2">
        <f t="shared" si="0"/>
        <v>9.375</v>
      </c>
    </row>
    <row r="21" spans="1:3" x14ac:dyDescent="0.25">
      <c r="A21" s="21">
        <v>20941</v>
      </c>
      <c r="B21" s="2">
        <v>-9.49</v>
      </c>
      <c r="C21" s="2">
        <f t="shared" si="0"/>
        <v>8.9649999999999999</v>
      </c>
    </row>
    <row r="40" spans="1:3" x14ac:dyDescent="0.25">
      <c r="A40" s="21">
        <v>41334</v>
      </c>
      <c r="B40" s="2">
        <v>-2.15</v>
      </c>
      <c r="C40" s="2">
        <f>-B40-$F$8</f>
        <v>1.625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Raw Data</vt:lpstr>
      <vt:lpstr>Interpreted Data</vt:lpstr>
      <vt:lpstr>Survex Formatted</vt:lpstr>
      <vt:lpstr>Therion Formatted</vt:lpstr>
      <vt:lpstr>Mag to Grid Conversion</vt:lpstr>
    </vt:vector>
  </TitlesOfParts>
  <Company>Accelrys Software,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Fretwell</dc:creator>
  <cp:lastModifiedBy>Paul Fretwell</cp:lastModifiedBy>
  <dcterms:created xsi:type="dcterms:W3CDTF">2012-06-12T12:05:34Z</dcterms:created>
  <dcterms:modified xsi:type="dcterms:W3CDTF">2013-06-10T22:19:44Z</dcterms:modified>
</cp:coreProperties>
</file>