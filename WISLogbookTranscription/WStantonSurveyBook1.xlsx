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405" windowWidth="22995" windowHeight="9210" activeTab="3"/>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I120" i="1" l="1"/>
  <c r="A12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B260" i="3"/>
  <c r="A260" i="3"/>
  <c r="A250" i="3"/>
  <c r="B250" i="3"/>
  <c r="A251" i="3"/>
  <c r="B251" i="3"/>
  <c r="A252" i="3"/>
  <c r="B252" i="3"/>
  <c r="A253" i="3"/>
  <c r="B253" i="3"/>
  <c r="A254" i="3"/>
  <c r="B254" i="3"/>
  <c r="A255" i="3"/>
  <c r="B255" i="3"/>
  <c r="A256" i="3"/>
  <c r="B256" i="3"/>
  <c r="A257" i="3"/>
  <c r="B257" i="3"/>
  <c r="A258" i="3"/>
  <c r="B258" i="3"/>
  <c r="A259" i="3"/>
  <c r="B259" i="3"/>
  <c r="B249" i="3"/>
  <c r="A249" i="3"/>
  <c r="A247"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33" i="3"/>
  <c r="B233" i="3"/>
  <c r="B232" i="3"/>
  <c r="A336" i="3"/>
  <c r="D387" i="3"/>
  <c r="D386" i="3"/>
  <c r="D385" i="3"/>
  <c r="D384" i="3"/>
  <c r="D383"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47" i="3"/>
  <c r="D346" i="3"/>
  <c r="D345" i="3"/>
  <c r="D344" i="3"/>
  <c r="D343" i="3"/>
  <c r="D342" i="3"/>
  <c r="D341" i="3"/>
  <c r="D340" i="3"/>
  <c r="D339" i="3"/>
  <c r="D338" i="3"/>
  <c r="D337" i="3"/>
  <c r="D335" i="3"/>
  <c r="D332" i="3"/>
  <c r="D331" i="3"/>
  <c r="D330" i="3"/>
  <c r="D329" i="3"/>
  <c r="D328" i="3"/>
  <c r="D327" i="3"/>
  <c r="D325" i="3"/>
  <c r="D324" i="3"/>
  <c r="D323" i="3"/>
  <c r="D322" i="3"/>
  <c r="D321" i="3"/>
  <c r="D317" i="3"/>
  <c r="D316" i="3"/>
  <c r="D315" i="3"/>
  <c r="D314" i="3"/>
  <c r="D313" i="3"/>
  <c r="D309" i="3"/>
  <c r="D308" i="3"/>
  <c r="D307" i="3"/>
  <c r="D306" i="3"/>
  <c r="D305" i="3"/>
  <c r="D303" i="3"/>
  <c r="D302" i="3"/>
  <c r="D301" i="3"/>
  <c r="D300" i="3"/>
  <c r="D299" i="3"/>
  <c r="D298" i="3"/>
  <c r="D297" i="3"/>
  <c r="D296" i="3"/>
  <c r="D295" i="3"/>
  <c r="D294" i="3"/>
  <c r="D293" i="3"/>
  <c r="D292" i="3"/>
  <c r="E292" i="3" s="1"/>
  <c r="D291" i="3"/>
  <c r="D290" i="3"/>
  <c r="D289" i="3"/>
  <c r="D288" i="3"/>
  <c r="D287" i="3"/>
  <c r="D286" i="3"/>
  <c r="D285" i="3"/>
  <c r="D259" i="3"/>
  <c r="E259" i="3" s="1"/>
  <c r="D237" i="3"/>
  <c r="D238" i="3"/>
  <c r="E238" i="3" s="1"/>
  <c r="D239" i="3"/>
  <c r="D240" i="3"/>
  <c r="E240" i="3" s="1"/>
  <c r="D241" i="3"/>
  <c r="D242" i="3"/>
  <c r="E242" i="3" s="1"/>
  <c r="D243" i="3"/>
  <c r="D244" i="3"/>
  <c r="D245" i="3"/>
  <c r="D246" i="3"/>
  <c r="E246" i="3" s="1"/>
  <c r="E244" i="3"/>
  <c r="E387" i="3"/>
  <c r="E386" i="3"/>
  <c r="E385" i="3"/>
  <c r="E384" i="3"/>
  <c r="E383" i="3"/>
  <c r="E381" i="3"/>
  <c r="E380" i="3"/>
  <c r="E379" i="3"/>
  <c r="E378" i="3"/>
  <c r="E377" i="3"/>
  <c r="E376" i="3"/>
  <c r="E375" i="3"/>
  <c r="E374" i="3"/>
  <c r="E373" i="3"/>
  <c r="E372" i="3"/>
  <c r="E371" i="3"/>
  <c r="E370" i="3"/>
  <c r="E369" i="3"/>
  <c r="E368" i="3"/>
  <c r="E367" i="3"/>
  <c r="E366" i="3"/>
  <c r="E365" i="3"/>
  <c r="E364" i="3"/>
  <c r="E363" i="3"/>
  <c r="E362" i="3"/>
  <c r="E361" i="3"/>
  <c r="E360" i="3"/>
  <c r="E359" i="3"/>
  <c r="E358" i="3"/>
  <c r="E357" i="3"/>
  <c r="E356" i="3"/>
  <c r="E355" i="3"/>
  <c r="E354" i="3"/>
  <c r="E353" i="3"/>
  <c r="E352" i="3"/>
  <c r="E351" i="3"/>
  <c r="E347" i="3"/>
  <c r="E346" i="3"/>
  <c r="E345" i="3"/>
  <c r="E344" i="3"/>
  <c r="E343" i="3"/>
  <c r="E342" i="3"/>
  <c r="E341" i="3"/>
  <c r="E340" i="3"/>
  <c r="E339" i="3"/>
  <c r="E338" i="3"/>
  <c r="E337" i="3"/>
  <c r="E335" i="3"/>
  <c r="E332" i="3"/>
  <c r="E331" i="3"/>
  <c r="E330" i="3"/>
  <c r="E329" i="3"/>
  <c r="E328" i="3"/>
  <c r="E327" i="3"/>
  <c r="E325" i="3"/>
  <c r="E324" i="3"/>
  <c r="E323" i="3"/>
  <c r="E322" i="3"/>
  <c r="E321" i="3"/>
  <c r="E317" i="3"/>
  <c r="E316" i="3"/>
  <c r="E315" i="3"/>
  <c r="E314" i="3"/>
  <c r="E313" i="3"/>
  <c r="E309" i="3"/>
  <c r="E308" i="3"/>
  <c r="E307" i="3"/>
  <c r="E306" i="3"/>
  <c r="E305" i="3"/>
  <c r="E303" i="3"/>
  <c r="E302" i="3"/>
  <c r="E301" i="3"/>
  <c r="E300" i="3"/>
  <c r="E299" i="3"/>
  <c r="E298" i="3"/>
  <c r="E297" i="3"/>
  <c r="E296" i="3"/>
  <c r="E295" i="3"/>
  <c r="E294" i="3"/>
  <c r="E293" i="3"/>
  <c r="E291" i="3"/>
  <c r="E290" i="3"/>
  <c r="E289" i="3"/>
  <c r="E288" i="3"/>
  <c r="E287" i="3"/>
  <c r="E286" i="3"/>
  <c r="E285" i="3"/>
  <c r="E280" i="3"/>
  <c r="E279" i="3"/>
  <c r="E278" i="3"/>
  <c r="E277" i="3"/>
  <c r="E276" i="3"/>
  <c r="E275" i="3"/>
  <c r="E274" i="3"/>
  <c r="E273" i="3"/>
  <c r="E272" i="3"/>
  <c r="E271" i="3"/>
  <c r="E270" i="3"/>
  <c r="E269" i="3"/>
  <c r="E268" i="3"/>
  <c r="E267" i="3"/>
  <c r="E266" i="3"/>
  <c r="E265" i="3"/>
  <c r="E264" i="3"/>
  <c r="E263" i="3"/>
  <c r="E262" i="3"/>
  <c r="E261" i="3"/>
  <c r="E260" i="3"/>
  <c r="E258" i="3"/>
  <c r="E257" i="3"/>
  <c r="E256" i="3"/>
  <c r="E255" i="3"/>
  <c r="E254" i="3"/>
  <c r="E253" i="3"/>
  <c r="E252" i="3"/>
  <c r="E251" i="3"/>
  <c r="E250" i="3"/>
  <c r="E249" i="3"/>
  <c r="E245" i="3"/>
  <c r="E243" i="3"/>
  <c r="E241" i="3"/>
  <c r="E239" i="3"/>
  <c r="E237" i="3"/>
  <c r="E236" i="3"/>
  <c r="E235" i="3"/>
  <c r="E234" i="3"/>
  <c r="E233" i="3"/>
  <c r="E232"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5" i="3"/>
  <c r="E184" i="3"/>
  <c r="E183" i="3"/>
  <c r="E182" i="3"/>
  <c r="E181" i="3"/>
  <c r="E180" i="3"/>
  <c r="E179" i="3"/>
  <c r="E178" i="3"/>
  <c r="E177" i="3"/>
  <c r="E176" i="3"/>
  <c r="E175" i="3"/>
  <c r="E174" i="3"/>
  <c r="E173" i="3"/>
  <c r="E172" i="3"/>
  <c r="E171" i="3"/>
  <c r="E170" i="3"/>
  <c r="E169" i="3"/>
  <c r="E168" i="3"/>
  <c r="E167" i="3"/>
  <c r="E166" i="3"/>
  <c r="E165" i="3"/>
  <c r="E161" i="3"/>
  <c r="E160" i="3"/>
  <c r="E159" i="3"/>
  <c r="E158" i="3"/>
  <c r="E157" i="3"/>
  <c r="E156" i="3"/>
  <c r="E155" i="3"/>
  <c r="E154" i="3"/>
  <c r="E153" i="3"/>
  <c r="E152" i="3"/>
  <c r="E151" i="3"/>
  <c r="E150" i="3"/>
  <c r="E149" i="3"/>
  <c r="E148" i="3"/>
  <c r="E147" i="3"/>
  <c r="E146" i="3"/>
  <c r="E145" i="3"/>
  <c r="E141" i="3"/>
  <c r="E140" i="3"/>
  <c r="E139" i="3"/>
  <c r="E138" i="3"/>
  <c r="E137" i="3"/>
  <c r="E136" i="3"/>
  <c r="E135" i="3"/>
  <c r="E134" i="3"/>
  <c r="E133" i="3"/>
  <c r="E132" i="3"/>
  <c r="E131" i="3"/>
  <c r="E130" i="3"/>
  <c r="E129" i="3"/>
  <c r="E128" i="3"/>
  <c r="E127" i="3"/>
  <c r="E126" i="3"/>
  <c r="E125" i="3"/>
  <c r="E124" i="3"/>
  <c r="E123" i="3"/>
  <c r="E119" i="3"/>
  <c r="E117" i="3"/>
  <c r="E116" i="3"/>
  <c r="E115" i="3"/>
  <c r="E114" i="3"/>
  <c r="E113" i="3"/>
  <c r="E112" i="3"/>
  <c r="E111" i="3"/>
  <c r="E110" i="3"/>
  <c r="E109" i="3"/>
  <c r="E108" i="3"/>
  <c r="E107" i="3"/>
  <c r="E106" i="3"/>
  <c r="E105" i="3"/>
  <c r="E104" i="3"/>
  <c r="E103" i="3"/>
  <c r="E102" i="3"/>
  <c r="E101" i="3"/>
  <c r="E97" i="3"/>
  <c r="E96" i="3"/>
  <c r="E95" i="3"/>
  <c r="E94" i="3"/>
  <c r="E93" i="3"/>
  <c r="E92" i="3"/>
  <c r="E91" i="3"/>
  <c r="E90" i="3"/>
  <c r="E89" i="3"/>
  <c r="E88" i="3"/>
  <c r="E87" i="3"/>
  <c r="E86" i="3"/>
  <c r="E82" i="3"/>
  <c r="E81" i="3"/>
  <c r="E80" i="3"/>
  <c r="E79" i="3"/>
  <c r="E78" i="3"/>
  <c r="E77" i="3"/>
  <c r="E76" i="3"/>
  <c r="E75" i="3"/>
  <c r="E74" i="3"/>
  <c r="E73" i="3"/>
  <c r="E72" i="3"/>
  <c r="E71"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5" i="3"/>
  <c r="E34" i="3"/>
  <c r="E33" i="3"/>
  <c r="E32" i="3"/>
  <c r="E31" i="3"/>
  <c r="E30" i="3"/>
  <c r="E27" i="3"/>
  <c r="E26" i="3"/>
  <c r="E24" i="3"/>
  <c r="E23" i="3"/>
  <c r="E22" i="3"/>
  <c r="E21" i="3"/>
  <c r="E20" i="3"/>
  <c r="E19" i="3"/>
  <c r="E18" i="3"/>
  <c r="E17" i="3"/>
  <c r="E16" i="3"/>
  <c r="E15" i="3"/>
  <c r="E14" i="3"/>
  <c r="E13" i="3"/>
  <c r="E12" i="3"/>
  <c r="E11" i="3"/>
  <c r="E10" i="3"/>
  <c r="E9" i="3"/>
  <c r="E8" i="3"/>
  <c r="E7" i="3"/>
  <c r="E6" i="3"/>
  <c r="E5" i="3"/>
  <c r="U387" i="2"/>
  <c r="U386" i="2"/>
  <c r="U385" i="2"/>
  <c r="U384" i="2"/>
  <c r="U383" i="2"/>
  <c r="U381" i="2"/>
  <c r="U380" i="2"/>
  <c r="U379" i="2"/>
  <c r="U378" i="2"/>
  <c r="U377" i="2"/>
  <c r="U376" i="2"/>
  <c r="U375" i="2"/>
  <c r="U374" i="2"/>
  <c r="U373" i="2"/>
  <c r="U372" i="2"/>
  <c r="U371" i="2"/>
  <c r="U370" i="2"/>
  <c r="U369" i="2"/>
  <c r="U368" i="2"/>
  <c r="U367" i="2"/>
  <c r="U365" i="2"/>
  <c r="U364" i="2"/>
  <c r="U363" i="2"/>
  <c r="U362" i="2"/>
  <c r="U361" i="2"/>
  <c r="U360" i="2"/>
  <c r="U359" i="2"/>
  <c r="U358" i="2"/>
  <c r="U357" i="2"/>
  <c r="U356" i="2"/>
  <c r="U355" i="2"/>
  <c r="U354" i="2"/>
  <c r="U353" i="2"/>
  <c r="U352" i="2"/>
  <c r="U351" i="2"/>
  <c r="U347" i="2"/>
  <c r="U346" i="2"/>
  <c r="U345" i="2"/>
  <c r="U344" i="2"/>
  <c r="U343" i="2"/>
  <c r="U342" i="2"/>
  <c r="U341" i="2"/>
  <c r="U340" i="2"/>
  <c r="U339" i="2"/>
  <c r="U338" i="2"/>
  <c r="U337" i="2"/>
  <c r="U335" i="2"/>
  <c r="U332" i="2"/>
  <c r="U331" i="2"/>
  <c r="U330" i="2"/>
  <c r="U329" i="2"/>
  <c r="U328" i="2"/>
  <c r="U327" i="2"/>
  <c r="U325" i="2"/>
  <c r="U324" i="2"/>
  <c r="U323" i="2"/>
  <c r="U322" i="2"/>
  <c r="U321" i="2"/>
  <c r="U317" i="2"/>
  <c r="U316" i="2"/>
  <c r="U315" i="2"/>
  <c r="U314" i="2"/>
  <c r="U313" i="2"/>
  <c r="U306" i="2"/>
  <c r="U305" i="2"/>
  <c r="U303" i="2"/>
  <c r="U302" i="2"/>
  <c r="U301" i="2"/>
  <c r="U300" i="2"/>
  <c r="U299" i="2"/>
  <c r="U298" i="2"/>
  <c r="U297" i="2"/>
  <c r="U296" i="2"/>
  <c r="U295" i="2"/>
  <c r="U294" i="2"/>
  <c r="U293" i="2"/>
  <c r="U292" i="2"/>
  <c r="U291" i="2"/>
  <c r="U290" i="2"/>
  <c r="U289" i="2"/>
  <c r="U288" i="2"/>
  <c r="U287" i="2"/>
  <c r="U286" i="2"/>
  <c r="U285" i="2"/>
  <c r="U276" i="2"/>
  <c r="U275" i="2"/>
  <c r="U274" i="2"/>
  <c r="U273" i="2"/>
  <c r="U271" i="2"/>
  <c r="U270" i="2"/>
  <c r="U269" i="2"/>
  <c r="U268" i="2"/>
  <c r="U267" i="2"/>
  <c r="U266" i="2"/>
  <c r="U265" i="2"/>
  <c r="U264" i="2"/>
  <c r="U263" i="2"/>
  <c r="U262" i="2"/>
  <c r="U261" i="2"/>
  <c r="U260" i="2"/>
  <c r="U259" i="2"/>
  <c r="U258" i="2"/>
  <c r="U257" i="2"/>
  <c r="U256" i="2"/>
  <c r="U255" i="2"/>
  <c r="U253" i="2"/>
  <c r="U252" i="2"/>
  <c r="U250" i="2"/>
  <c r="U249" i="2"/>
  <c r="U246" i="2"/>
  <c r="U245" i="2"/>
  <c r="U244" i="2"/>
  <c r="U243" i="2"/>
  <c r="U242" i="2"/>
  <c r="U241" i="2"/>
  <c r="U240" i="2"/>
  <c r="U238" i="2"/>
  <c r="U237" i="2"/>
  <c r="U236" i="2"/>
  <c r="U235" i="2"/>
  <c r="U234" i="2"/>
  <c r="U233" i="2"/>
  <c r="U228" i="2"/>
  <c r="U226" i="2"/>
  <c r="U225" i="2"/>
  <c r="U224" i="2"/>
  <c r="U223" i="2"/>
  <c r="U222" i="2"/>
  <c r="U221" i="2"/>
  <c r="U220" i="2"/>
  <c r="U219" i="2"/>
  <c r="U218" i="2"/>
  <c r="U217" i="2"/>
  <c r="U216" i="2"/>
  <c r="U215" i="2"/>
  <c r="U214" i="2"/>
  <c r="U213" i="2"/>
  <c r="U212" i="2"/>
  <c r="U211" i="2"/>
  <c r="U209" i="2"/>
  <c r="U208" i="2"/>
  <c r="U207" i="2"/>
  <c r="U206" i="2"/>
  <c r="U205" i="2"/>
  <c r="U204" i="2"/>
  <c r="U203" i="2"/>
  <c r="U202" i="2"/>
  <c r="U201" i="2"/>
  <c r="U200" i="2"/>
  <c r="U199" i="2"/>
  <c r="U198" i="2"/>
  <c r="U197" i="2"/>
  <c r="U196" i="2"/>
  <c r="U195" i="2"/>
  <c r="U194" i="2"/>
  <c r="U193" i="2"/>
  <c r="U192" i="2"/>
  <c r="U191" i="2"/>
  <c r="U190" i="2"/>
  <c r="U185" i="2"/>
  <c r="U184" i="2"/>
  <c r="U182" i="2"/>
  <c r="U181" i="2"/>
  <c r="U180" i="2"/>
  <c r="U179" i="2"/>
  <c r="U178" i="2"/>
  <c r="U177" i="2"/>
  <c r="U176" i="2"/>
  <c r="U175" i="2"/>
  <c r="U174" i="2"/>
  <c r="U173" i="2"/>
  <c r="U172" i="2"/>
  <c r="U171" i="2"/>
  <c r="U170" i="2"/>
  <c r="U169" i="2"/>
  <c r="U168" i="2"/>
  <c r="U167" i="2"/>
  <c r="U166" i="2"/>
  <c r="U165" i="2"/>
  <c r="U161" i="2"/>
  <c r="U160" i="2"/>
  <c r="U159" i="2"/>
  <c r="U158" i="2"/>
  <c r="U157" i="2"/>
  <c r="U156" i="2"/>
  <c r="U155" i="2"/>
  <c r="U154" i="2"/>
  <c r="U153" i="2"/>
  <c r="U152" i="2"/>
  <c r="U151" i="2"/>
  <c r="U150" i="2"/>
  <c r="U149" i="2"/>
  <c r="U148" i="2"/>
  <c r="U147" i="2"/>
  <c r="U146" i="2"/>
  <c r="U145" i="2"/>
  <c r="U140" i="2"/>
  <c r="U139" i="2"/>
  <c r="U138" i="2"/>
  <c r="U137" i="2"/>
  <c r="U136" i="2"/>
  <c r="U135" i="2"/>
  <c r="U134" i="2"/>
  <c r="U133" i="2"/>
  <c r="U132" i="2"/>
  <c r="U131" i="2"/>
  <c r="U130" i="2"/>
  <c r="U129" i="2"/>
  <c r="U128" i="2"/>
  <c r="U127" i="2"/>
  <c r="U126" i="2"/>
  <c r="U125" i="2"/>
  <c r="U124" i="2"/>
  <c r="U123" i="2"/>
  <c r="U120" i="2"/>
  <c r="U119" i="2"/>
  <c r="U117" i="2"/>
  <c r="U115" i="2"/>
  <c r="U113" i="2"/>
  <c r="U112" i="2"/>
  <c r="U111" i="2"/>
  <c r="U110" i="2"/>
  <c r="U109" i="2"/>
  <c r="U108" i="2"/>
  <c r="U107" i="2"/>
  <c r="U106" i="2"/>
  <c r="U105" i="2"/>
  <c r="U104" i="2"/>
  <c r="U103" i="2"/>
  <c r="U102" i="2"/>
  <c r="U101" i="2"/>
  <c r="U97" i="2"/>
  <c r="U96" i="2"/>
  <c r="U95" i="2"/>
  <c r="U94" i="2"/>
  <c r="U93" i="2"/>
  <c r="U92" i="2"/>
  <c r="U91" i="2"/>
  <c r="U90" i="2"/>
  <c r="U89" i="2"/>
  <c r="U88" i="2"/>
  <c r="U87" i="2"/>
  <c r="U86" i="2"/>
  <c r="U82" i="2"/>
  <c r="U81" i="2"/>
  <c r="U80" i="2"/>
  <c r="U79" i="2"/>
  <c r="U78" i="2"/>
  <c r="U77" i="2"/>
  <c r="U76" i="2"/>
  <c r="U75" i="2"/>
  <c r="U74" i="2"/>
  <c r="U73" i="2"/>
  <c r="U72" i="2"/>
  <c r="U71" i="2"/>
  <c r="U43" i="2"/>
  <c r="U45" i="2"/>
  <c r="U47" i="2"/>
  <c r="U60" i="2"/>
  <c r="U59" i="2"/>
  <c r="U58" i="2"/>
  <c r="U57" i="2"/>
  <c r="U56" i="2"/>
  <c r="U55" i="2"/>
  <c r="U54" i="2"/>
  <c r="U53" i="2"/>
  <c r="U52" i="2"/>
  <c r="U51" i="2"/>
  <c r="U50" i="2"/>
  <c r="U49" i="2"/>
  <c r="U63" i="2"/>
  <c r="U62" i="2"/>
  <c r="U65" i="2"/>
  <c r="U66" i="2"/>
  <c r="U67" i="2"/>
  <c r="B120" i="3"/>
  <c r="A25" i="3"/>
  <c r="A36" i="3"/>
  <c r="A83" i="3"/>
  <c r="A98" i="3"/>
  <c r="A118" i="3"/>
  <c r="A142" i="3"/>
  <c r="A162" i="3"/>
  <c r="A186" i="3"/>
  <c r="A230" i="3"/>
  <c r="A304" i="3"/>
  <c r="A310" i="3"/>
  <c r="A318" i="3"/>
  <c r="A326" i="3"/>
  <c r="A333" i="3"/>
  <c r="A348" i="3"/>
  <c r="A388" i="3"/>
  <c r="A382" i="3"/>
  <c r="A350" i="3"/>
  <c r="A334" i="3"/>
  <c r="A320" i="3"/>
  <c r="A312" i="3"/>
  <c r="A284" i="3"/>
  <c r="A283" i="3"/>
  <c r="A248" i="3"/>
  <c r="A231" i="3"/>
  <c r="A189" i="3"/>
  <c r="A188" i="3"/>
  <c r="A164" i="3"/>
  <c r="A144" i="3"/>
  <c r="A122" i="3"/>
  <c r="A100" i="3"/>
  <c r="A85" i="3"/>
  <c r="A70" i="3"/>
  <c r="A69" i="3"/>
  <c r="A29" i="3"/>
  <c r="A28" i="3"/>
  <c r="A381" i="3"/>
  <c r="B381" i="3"/>
  <c r="C381" i="3"/>
  <c r="B382" i="3"/>
  <c r="A383" i="3"/>
  <c r="B383" i="3"/>
  <c r="C383" i="3"/>
  <c r="A384" i="3"/>
  <c r="B384" i="3"/>
  <c r="C384" i="3"/>
  <c r="A385" i="3"/>
  <c r="B385" i="3"/>
  <c r="C385" i="3"/>
  <c r="A386" i="3"/>
  <c r="B386" i="3"/>
  <c r="C386" i="3"/>
  <c r="A387" i="3"/>
  <c r="B387" i="3"/>
  <c r="C387" i="3"/>
  <c r="B388" i="3"/>
  <c r="A345" i="3"/>
  <c r="B345" i="3"/>
  <c r="C345" i="3"/>
  <c r="A346" i="3"/>
  <c r="B346" i="3"/>
  <c r="C346" i="3"/>
  <c r="A347" i="3"/>
  <c r="B347" i="3"/>
  <c r="C347" i="3"/>
  <c r="B348" i="3"/>
  <c r="A349" i="3"/>
  <c r="B349" i="3"/>
  <c r="B350" i="3"/>
  <c r="A351" i="3"/>
  <c r="B351" i="3"/>
  <c r="C351" i="3"/>
  <c r="A352" i="3"/>
  <c r="B352" i="3"/>
  <c r="C352" i="3"/>
  <c r="A353" i="3"/>
  <c r="B353" i="3"/>
  <c r="C353" i="3"/>
  <c r="A354" i="3"/>
  <c r="B354" i="3"/>
  <c r="C354" i="3"/>
  <c r="A355" i="3"/>
  <c r="B355" i="3"/>
  <c r="C355" i="3"/>
  <c r="A356" i="3"/>
  <c r="B356" i="3"/>
  <c r="C356" i="3"/>
  <c r="A357" i="3"/>
  <c r="B357" i="3"/>
  <c r="C357" i="3"/>
  <c r="A358" i="3"/>
  <c r="B358" i="3"/>
  <c r="C358" i="3"/>
  <c r="A359" i="3"/>
  <c r="B359" i="3"/>
  <c r="C359" i="3"/>
  <c r="A360" i="3"/>
  <c r="B360" i="3"/>
  <c r="C360" i="3"/>
  <c r="A361" i="3"/>
  <c r="B361" i="3"/>
  <c r="C361" i="3"/>
  <c r="A362" i="3"/>
  <c r="B362" i="3"/>
  <c r="C362" i="3"/>
  <c r="A363" i="3"/>
  <c r="B363" i="3"/>
  <c r="C363" i="3"/>
  <c r="A364" i="3"/>
  <c r="B364" i="3"/>
  <c r="C364" i="3"/>
  <c r="A365" i="3"/>
  <c r="B365" i="3"/>
  <c r="C365" i="3"/>
  <c r="A366" i="3"/>
  <c r="B366" i="3"/>
  <c r="C366" i="3"/>
  <c r="A367" i="3"/>
  <c r="B367" i="3"/>
  <c r="C367" i="3"/>
  <c r="A368" i="3"/>
  <c r="B368" i="3"/>
  <c r="C368" i="3"/>
  <c r="A369" i="3"/>
  <c r="B369" i="3"/>
  <c r="C369" i="3"/>
  <c r="A370" i="3"/>
  <c r="B370" i="3"/>
  <c r="C370" i="3"/>
  <c r="A371" i="3"/>
  <c r="B371" i="3"/>
  <c r="C371" i="3"/>
  <c r="A372" i="3"/>
  <c r="B372" i="3"/>
  <c r="C372" i="3"/>
  <c r="A373" i="3"/>
  <c r="B373" i="3"/>
  <c r="C373" i="3"/>
  <c r="A374" i="3"/>
  <c r="B374" i="3"/>
  <c r="C374" i="3"/>
  <c r="A375" i="3"/>
  <c r="B375" i="3"/>
  <c r="C375" i="3"/>
  <c r="A376" i="3"/>
  <c r="B376" i="3"/>
  <c r="C376" i="3"/>
  <c r="A377" i="3"/>
  <c r="B377" i="3"/>
  <c r="C377" i="3"/>
  <c r="A378" i="3"/>
  <c r="B378" i="3"/>
  <c r="C378" i="3"/>
  <c r="A379" i="3"/>
  <c r="B379" i="3"/>
  <c r="C379" i="3"/>
  <c r="A380" i="3"/>
  <c r="B380" i="3"/>
  <c r="C380" i="3"/>
  <c r="A292" i="3"/>
  <c r="B292" i="3"/>
  <c r="C292" i="3"/>
  <c r="A293" i="3"/>
  <c r="B293" i="3"/>
  <c r="C293" i="3"/>
  <c r="A294" i="3"/>
  <c r="B294" i="3"/>
  <c r="C294" i="3"/>
  <c r="A295" i="3"/>
  <c r="B295" i="3"/>
  <c r="C295" i="3"/>
  <c r="A296" i="3"/>
  <c r="B296" i="3"/>
  <c r="C296" i="3"/>
  <c r="A297" i="3"/>
  <c r="B297" i="3"/>
  <c r="C297" i="3"/>
  <c r="A298" i="3"/>
  <c r="B298" i="3"/>
  <c r="C298" i="3"/>
  <c r="A299" i="3"/>
  <c r="B299" i="3"/>
  <c r="C299" i="3"/>
  <c r="A300" i="3"/>
  <c r="B300" i="3"/>
  <c r="C300" i="3"/>
  <c r="A301" i="3"/>
  <c r="B301" i="3"/>
  <c r="C301" i="3"/>
  <c r="A302" i="3"/>
  <c r="B302" i="3"/>
  <c r="C302" i="3"/>
  <c r="A303" i="3"/>
  <c r="B303" i="3"/>
  <c r="C303" i="3"/>
  <c r="B304" i="3"/>
  <c r="A305" i="3"/>
  <c r="B305" i="3"/>
  <c r="C305" i="3"/>
  <c r="A306" i="3"/>
  <c r="B306" i="3"/>
  <c r="C306" i="3"/>
  <c r="A307" i="3"/>
  <c r="B307" i="3"/>
  <c r="C307" i="3"/>
  <c r="A308" i="3"/>
  <c r="B308" i="3"/>
  <c r="C308" i="3"/>
  <c r="A309" i="3"/>
  <c r="B309" i="3"/>
  <c r="C309" i="3"/>
  <c r="B310" i="3"/>
  <c r="A311" i="3"/>
  <c r="B311" i="3"/>
  <c r="B312" i="3"/>
  <c r="A313" i="3"/>
  <c r="B313" i="3"/>
  <c r="C313" i="3"/>
  <c r="A314" i="3"/>
  <c r="B314" i="3"/>
  <c r="C314" i="3"/>
  <c r="A315" i="3"/>
  <c r="B315" i="3"/>
  <c r="C315" i="3"/>
  <c r="A316" i="3"/>
  <c r="B316" i="3"/>
  <c r="C316" i="3"/>
  <c r="A317" i="3"/>
  <c r="B317" i="3"/>
  <c r="C317" i="3"/>
  <c r="B318" i="3"/>
  <c r="A319" i="3"/>
  <c r="B319" i="3"/>
  <c r="B320" i="3"/>
  <c r="A321" i="3"/>
  <c r="B321" i="3"/>
  <c r="C321" i="3"/>
  <c r="A322" i="3"/>
  <c r="B322" i="3"/>
  <c r="C322" i="3"/>
  <c r="A323" i="3"/>
  <c r="B323" i="3"/>
  <c r="C323" i="3"/>
  <c r="A324" i="3"/>
  <c r="B324" i="3"/>
  <c r="C324" i="3"/>
  <c r="A325" i="3"/>
  <c r="B325" i="3"/>
  <c r="C325" i="3"/>
  <c r="B326" i="3"/>
  <c r="A327" i="3"/>
  <c r="B327" i="3"/>
  <c r="C327" i="3"/>
  <c r="A328" i="3"/>
  <c r="B328" i="3"/>
  <c r="C328" i="3"/>
  <c r="A329" i="3"/>
  <c r="B329" i="3"/>
  <c r="C329" i="3"/>
  <c r="A330" i="3"/>
  <c r="B330" i="3"/>
  <c r="C330" i="3"/>
  <c r="A331" i="3"/>
  <c r="B331" i="3"/>
  <c r="C331" i="3"/>
  <c r="A332" i="3"/>
  <c r="B332" i="3"/>
  <c r="C332" i="3"/>
  <c r="B333" i="3"/>
  <c r="B334" i="3"/>
  <c r="A335" i="3"/>
  <c r="B335" i="3"/>
  <c r="C335" i="3"/>
  <c r="B336" i="3"/>
  <c r="A337" i="3"/>
  <c r="B337" i="3"/>
  <c r="C337" i="3"/>
  <c r="A338" i="3"/>
  <c r="B338" i="3"/>
  <c r="C338" i="3"/>
  <c r="A339" i="3"/>
  <c r="B339" i="3"/>
  <c r="C339" i="3"/>
  <c r="A340" i="3"/>
  <c r="B340" i="3"/>
  <c r="C340" i="3"/>
  <c r="A341" i="3"/>
  <c r="B341" i="3"/>
  <c r="C341" i="3"/>
  <c r="A342" i="3"/>
  <c r="B342" i="3"/>
  <c r="C342" i="3"/>
  <c r="A343" i="3"/>
  <c r="B343" i="3"/>
  <c r="C343" i="3"/>
  <c r="A344" i="3"/>
  <c r="B344" i="3"/>
  <c r="C344" i="3"/>
  <c r="A281" i="3"/>
  <c r="B281" i="3"/>
  <c r="A282" i="3"/>
  <c r="B282" i="3"/>
  <c r="B283" i="3"/>
  <c r="B284" i="3"/>
  <c r="A285" i="3"/>
  <c r="B285" i="3"/>
  <c r="C285" i="3"/>
  <c r="A286" i="3"/>
  <c r="B286" i="3"/>
  <c r="C286" i="3"/>
  <c r="A287" i="3"/>
  <c r="B287" i="3"/>
  <c r="C287" i="3"/>
  <c r="A288" i="3"/>
  <c r="B288" i="3"/>
  <c r="C288" i="3"/>
  <c r="A289" i="3"/>
  <c r="B289" i="3"/>
  <c r="C289" i="3"/>
  <c r="A290" i="3"/>
  <c r="B290" i="3"/>
  <c r="C290" i="3"/>
  <c r="A291" i="3"/>
  <c r="B291" i="3"/>
  <c r="C291" i="3"/>
  <c r="A2" i="3"/>
  <c r="B2" i="3"/>
  <c r="B1" i="3"/>
  <c r="A1" i="3"/>
  <c r="Z27" i="2"/>
  <c r="U366" i="2" l="1"/>
  <c r="Z37" i="2"/>
  <c r="Z38" i="2"/>
  <c r="Z39"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7" i="2"/>
  <c r="Z378" i="2"/>
  <c r="Z379" i="2"/>
  <c r="Z380" i="2"/>
  <c r="Z381" i="2"/>
  <c r="Z382" i="2"/>
  <c r="Z383" i="2"/>
  <c r="Z384" i="2"/>
  <c r="Z385" i="2"/>
  <c r="Z386" i="2"/>
  <c r="Z387" i="2"/>
  <c r="Z388" i="2"/>
  <c r="Z389" i="2"/>
  <c r="Z32" i="2"/>
  <c r="Z30"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Z376" i="2" s="1"/>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O31" i="2"/>
  <c r="O32" i="2"/>
  <c r="O33" i="2"/>
  <c r="O34" i="2"/>
  <c r="Z35" i="2" s="1"/>
  <c r="O35" i="2"/>
  <c r="O36" i="2"/>
  <c r="O37" i="2"/>
  <c r="O38" i="2"/>
  <c r="O39" i="2"/>
  <c r="Z40" i="2" s="1"/>
  <c r="O40" i="2"/>
  <c r="O41" i="2"/>
  <c r="O42" i="2"/>
  <c r="O43"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6" i="2" s="1"/>
  <c r="Z7" i="2"/>
  <c r="Z8" i="2"/>
  <c r="Z9" i="2"/>
  <c r="Z10" i="2"/>
  <c r="Z11" i="2"/>
  <c r="Z12" i="2"/>
  <c r="Z13" i="2"/>
  <c r="Z14" i="2"/>
  <c r="Z15" i="2"/>
  <c r="Z16" i="2"/>
  <c r="Z17" i="2"/>
  <c r="Z18" i="2"/>
  <c r="Z19" i="2"/>
  <c r="Z20" i="2"/>
  <c r="Z21" i="2"/>
  <c r="Z22" i="2"/>
  <c r="Z23" i="2"/>
  <c r="Z24" i="2"/>
  <c r="Z25" i="2"/>
  <c r="Z26" i="2"/>
  <c r="Z28" i="2"/>
  <c r="Z31" i="2"/>
  <c r="Z33" i="2"/>
  <c r="Z34" i="2"/>
  <c r="Z36" i="2"/>
  <c r="W5" i="2"/>
  <c r="J308" i="2"/>
  <c r="J307" i="2"/>
  <c r="J280" i="2"/>
  <c r="J272" i="2"/>
  <c r="J251" i="2"/>
  <c r="J229" i="2"/>
  <c r="J141" i="2"/>
  <c r="J116" i="2"/>
  <c r="J64" i="2"/>
  <c r="J40" i="2"/>
  <c r="J30" i="2"/>
  <c r="J31" i="2"/>
  <c r="J32" i="2"/>
  <c r="J33" i="2"/>
  <c r="J34" i="2"/>
  <c r="J35" i="2"/>
  <c r="J36"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7" i="2"/>
  <c r="J118" i="2"/>
  <c r="J119" i="2"/>
  <c r="J120" i="2"/>
  <c r="J121" i="2"/>
  <c r="J122" i="2"/>
  <c r="J123" i="2"/>
  <c r="J124" i="2"/>
  <c r="J125" i="2"/>
  <c r="J126" i="2"/>
  <c r="J127" i="2"/>
  <c r="J128" i="2"/>
  <c r="J129" i="2"/>
  <c r="J130" i="2"/>
  <c r="J131" i="2"/>
  <c r="J132" i="2"/>
  <c r="J133" i="2"/>
  <c r="J134" i="2"/>
  <c r="J135" i="2"/>
  <c r="J136" i="2"/>
  <c r="J137" i="2"/>
  <c r="J138" i="2"/>
  <c r="J139" i="2"/>
  <c r="J14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0" i="2"/>
  <c r="J231" i="2"/>
  <c r="J232" i="2"/>
  <c r="J233" i="2"/>
  <c r="J234" i="2"/>
  <c r="J235" i="2"/>
  <c r="J236" i="2"/>
  <c r="J237" i="2"/>
  <c r="J238" i="2"/>
  <c r="J239" i="2"/>
  <c r="J240" i="2"/>
  <c r="J241" i="2"/>
  <c r="J242" i="2"/>
  <c r="J243" i="2"/>
  <c r="J244" i="2"/>
  <c r="J245" i="2"/>
  <c r="J246" i="2"/>
  <c r="J247" i="2"/>
  <c r="J248"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1" i="2"/>
  <c r="J282" i="2"/>
  <c r="J283" i="2"/>
  <c r="J284" i="2"/>
  <c r="J285" i="2"/>
  <c r="J286" i="2"/>
  <c r="J287" i="2"/>
  <c r="J288" i="2"/>
  <c r="J289" i="2"/>
  <c r="J290" i="2"/>
  <c r="J291" i="2"/>
  <c r="J292" i="2"/>
  <c r="J293" i="2"/>
  <c r="J294" i="2"/>
  <c r="W294" i="2" s="1"/>
  <c r="J295" i="2"/>
  <c r="J296" i="2"/>
  <c r="J297" i="2"/>
  <c r="J298" i="2"/>
  <c r="J299" i="2"/>
  <c r="J300" i="2"/>
  <c r="J301" i="2"/>
  <c r="J302" i="2"/>
  <c r="J303" i="2"/>
  <c r="J304" i="2"/>
  <c r="J305" i="2"/>
  <c r="J306" i="2"/>
  <c r="U307" i="2"/>
  <c r="J309" i="2"/>
  <c r="J310" i="2"/>
  <c r="J311" i="2"/>
  <c r="J312" i="2"/>
  <c r="J313" i="2"/>
  <c r="J314" i="2"/>
  <c r="X314" i="2" s="1"/>
  <c r="J315" i="2"/>
  <c r="J316" i="2"/>
  <c r="J317" i="2"/>
  <c r="J318" i="2"/>
  <c r="J319" i="2"/>
  <c r="J320" i="2"/>
  <c r="J321" i="2"/>
  <c r="J322" i="2"/>
  <c r="X322" i="2" s="1"/>
  <c r="J323" i="2"/>
  <c r="J324" i="2"/>
  <c r="J325" i="2"/>
  <c r="J326" i="2"/>
  <c r="J327" i="2"/>
  <c r="J328" i="2"/>
  <c r="J329" i="2"/>
  <c r="J330" i="2"/>
  <c r="X330" i="2" s="1"/>
  <c r="J331" i="2"/>
  <c r="W331" i="2" s="1"/>
  <c r="J332" i="2"/>
  <c r="J333" i="2"/>
  <c r="J334" i="2"/>
  <c r="J335" i="2"/>
  <c r="W335" i="2" s="1"/>
  <c r="J336" i="2"/>
  <c r="J337" i="2"/>
  <c r="J338" i="2"/>
  <c r="J339" i="2"/>
  <c r="J340" i="2"/>
  <c r="J341" i="2"/>
  <c r="J342" i="2"/>
  <c r="J343" i="2"/>
  <c r="W343" i="2" s="1"/>
  <c r="J344" i="2"/>
  <c r="J345" i="2"/>
  <c r="J346" i="2"/>
  <c r="J347" i="2"/>
  <c r="J348" i="2"/>
  <c r="J349" i="2"/>
  <c r="J350" i="2"/>
  <c r="J351" i="2"/>
  <c r="W351" i="2" s="1"/>
  <c r="J352" i="2"/>
  <c r="J353" i="2"/>
  <c r="J354" i="2"/>
  <c r="J355" i="2"/>
  <c r="J356" i="2"/>
  <c r="J357" i="2"/>
  <c r="J358" i="2"/>
  <c r="X358" i="2" s="1"/>
  <c r="J359" i="2"/>
  <c r="W359" i="2" s="1"/>
  <c r="J360" i="2"/>
  <c r="J361" i="2"/>
  <c r="J362" i="2"/>
  <c r="X362" i="2" s="1"/>
  <c r="J363" i="2"/>
  <c r="J364" i="2"/>
  <c r="J365" i="2"/>
  <c r="J366" i="2"/>
  <c r="X366" i="2" s="1"/>
  <c r="J367" i="2"/>
  <c r="W367" i="2" s="1"/>
  <c r="J368" i="2"/>
  <c r="J369" i="2"/>
  <c r="J370" i="2"/>
  <c r="X370" i="2" s="1"/>
  <c r="J371" i="2"/>
  <c r="J372" i="2"/>
  <c r="J373" i="2"/>
  <c r="J374" i="2"/>
  <c r="X374" i="2" s="1"/>
  <c r="J375" i="2"/>
  <c r="W375" i="2" s="1"/>
  <c r="J376" i="2"/>
  <c r="J377" i="2"/>
  <c r="J378" i="2"/>
  <c r="X378" i="2" s="1"/>
  <c r="J379" i="2"/>
  <c r="J380" i="2"/>
  <c r="J381" i="2"/>
  <c r="J382" i="2"/>
  <c r="J383" i="2"/>
  <c r="W383" i="2" s="1"/>
  <c r="J384" i="2"/>
  <c r="J385" i="2"/>
  <c r="J386" i="2"/>
  <c r="X386" i="2" s="1"/>
  <c r="J387" i="2"/>
  <c r="W387" i="2" s="1"/>
  <c r="J388" i="2"/>
  <c r="J389" i="2"/>
  <c r="J22" i="2"/>
  <c r="J21" i="2"/>
  <c r="J13" i="2"/>
  <c r="J14" i="2"/>
  <c r="J15" i="2"/>
  <c r="J16" i="2"/>
  <c r="J17" i="2"/>
  <c r="J18" i="2"/>
  <c r="J19" i="2"/>
  <c r="J20" i="2"/>
  <c r="J23" i="2"/>
  <c r="J24" i="2"/>
  <c r="J25" i="2"/>
  <c r="J26" i="2"/>
  <c r="J27" i="2"/>
  <c r="J28" i="2"/>
  <c r="J29" i="2"/>
  <c r="J8" i="2"/>
  <c r="J9" i="2"/>
  <c r="J10" i="2"/>
  <c r="J11" i="2"/>
  <c r="J12" i="2"/>
  <c r="J6" i="2"/>
  <c r="J7" i="2"/>
  <c r="J5" i="2"/>
  <c r="U309" i="2"/>
  <c r="U308" i="2"/>
  <c r="G283" i="2"/>
  <c r="H283" i="2"/>
  <c r="I283" i="2"/>
  <c r="G284" i="2"/>
  <c r="H284" i="2"/>
  <c r="I284" i="2"/>
  <c r="G285" i="2"/>
  <c r="H285" i="2"/>
  <c r="I285" i="2"/>
  <c r="G286" i="2"/>
  <c r="R286" i="2" s="1"/>
  <c r="Y286" i="2" s="1"/>
  <c r="H286" i="2"/>
  <c r="I286" i="2"/>
  <c r="G287" i="2"/>
  <c r="H287" i="2"/>
  <c r="S287" i="2" s="1"/>
  <c r="I287" i="2"/>
  <c r="G288" i="2"/>
  <c r="H288" i="2"/>
  <c r="I288" i="2"/>
  <c r="T288" i="2" s="1"/>
  <c r="G289" i="2"/>
  <c r="H289" i="2"/>
  <c r="S289" i="2" s="1"/>
  <c r="I289" i="2"/>
  <c r="G290" i="2"/>
  <c r="R290" i="2" s="1"/>
  <c r="H290" i="2"/>
  <c r="I290" i="2"/>
  <c r="G291" i="2"/>
  <c r="R291" i="2" s="1"/>
  <c r="Y291" i="2" s="1"/>
  <c r="H291" i="2"/>
  <c r="S291" i="2" s="1"/>
  <c r="I291" i="2"/>
  <c r="G292" i="2"/>
  <c r="H292" i="2"/>
  <c r="I292" i="2"/>
  <c r="T292" i="2" s="1"/>
  <c r="G293" i="2"/>
  <c r="H293" i="2"/>
  <c r="I293" i="2"/>
  <c r="G294" i="2"/>
  <c r="R294" i="2" s="1"/>
  <c r="H294" i="2"/>
  <c r="I294" i="2"/>
  <c r="G295" i="2"/>
  <c r="H295" i="2"/>
  <c r="S295" i="2" s="1"/>
  <c r="I295" i="2"/>
  <c r="G296" i="2"/>
  <c r="H296" i="2"/>
  <c r="S296" i="2" s="1"/>
  <c r="I296" i="2"/>
  <c r="T296" i="2" s="1"/>
  <c r="G297" i="2"/>
  <c r="H297" i="2"/>
  <c r="S297" i="2" s="1"/>
  <c r="I297" i="2"/>
  <c r="G298" i="2"/>
  <c r="R298" i="2" s="1"/>
  <c r="H298" i="2"/>
  <c r="I298" i="2"/>
  <c r="G299" i="2"/>
  <c r="H299" i="2"/>
  <c r="S299" i="2" s="1"/>
  <c r="I299" i="2"/>
  <c r="G300" i="2"/>
  <c r="R300" i="2" s="1"/>
  <c r="H300" i="2"/>
  <c r="S300" i="2" s="1"/>
  <c r="I300" i="2"/>
  <c r="T300" i="2" s="1"/>
  <c r="G301" i="2"/>
  <c r="H301" i="2"/>
  <c r="S301" i="2" s="1"/>
  <c r="I301" i="2"/>
  <c r="G302" i="2"/>
  <c r="R302" i="2" s="1"/>
  <c r="H302" i="2"/>
  <c r="I302" i="2"/>
  <c r="G303" i="2"/>
  <c r="R303" i="2" s="1"/>
  <c r="Y303" i="2" s="1"/>
  <c r="H303" i="2"/>
  <c r="S303" i="2" s="1"/>
  <c r="I303" i="2"/>
  <c r="G304" i="2"/>
  <c r="H304" i="2"/>
  <c r="I304" i="2"/>
  <c r="G305" i="2"/>
  <c r="H305" i="2"/>
  <c r="S305" i="2" s="1"/>
  <c r="I305" i="2"/>
  <c r="T305" i="2" s="1"/>
  <c r="G306" i="2"/>
  <c r="R306" i="2" s="1"/>
  <c r="Y306" i="2" s="1"/>
  <c r="H306" i="2"/>
  <c r="I306" i="2"/>
  <c r="G307" i="2"/>
  <c r="H307" i="2"/>
  <c r="S307" i="2" s="1"/>
  <c r="I307" i="2"/>
  <c r="G308" i="2"/>
  <c r="H308" i="2"/>
  <c r="S308" i="2" s="1"/>
  <c r="I308" i="2"/>
  <c r="T308" i="2" s="1"/>
  <c r="G309" i="2"/>
  <c r="H309" i="2"/>
  <c r="S309" i="2" s="1"/>
  <c r="I309" i="2"/>
  <c r="G310" i="2"/>
  <c r="H310" i="2"/>
  <c r="I310" i="2"/>
  <c r="G311" i="2"/>
  <c r="H311" i="2"/>
  <c r="I311" i="2"/>
  <c r="G312" i="2"/>
  <c r="H312" i="2"/>
  <c r="I312" i="2"/>
  <c r="G313" i="2"/>
  <c r="H313" i="2"/>
  <c r="I313" i="2"/>
  <c r="G314" i="2"/>
  <c r="R314" i="2" s="1"/>
  <c r="H314" i="2"/>
  <c r="I314" i="2"/>
  <c r="G315" i="2"/>
  <c r="H315" i="2"/>
  <c r="S315" i="2" s="1"/>
  <c r="I315" i="2"/>
  <c r="G316" i="2"/>
  <c r="H316" i="2"/>
  <c r="I316" i="2"/>
  <c r="T316" i="2" s="1"/>
  <c r="G317" i="2"/>
  <c r="H317" i="2"/>
  <c r="S317" i="2" s="1"/>
  <c r="I317" i="2"/>
  <c r="G318" i="2"/>
  <c r="H318" i="2"/>
  <c r="I318" i="2"/>
  <c r="G319" i="2"/>
  <c r="H319" i="2"/>
  <c r="I319" i="2"/>
  <c r="G320" i="2"/>
  <c r="H320" i="2"/>
  <c r="I320" i="2"/>
  <c r="G321" i="2"/>
  <c r="H321" i="2"/>
  <c r="I321" i="2"/>
  <c r="G322" i="2"/>
  <c r="R322" i="2" s="1"/>
  <c r="Y322" i="2" s="1"/>
  <c r="H322" i="2"/>
  <c r="I322" i="2"/>
  <c r="T322" i="2" s="1"/>
  <c r="G323" i="2"/>
  <c r="H323" i="2"/>
  <c r="S323" i="2" s="1"/>
  <c r="I323" i="2"/>
  <c r="G324" i="2"/>
  <c r="H324" i="2"/>
  <c r="I324" i="2"/>
  <c r="T324" i="2" s="1"/>
  <c r="G325" i="2"/>
  <c r="H325" i="2"/>
  <c r="S325" i="2" s="1"/>
  <c r="I325" i="2"/>
  <c r="G326" i="2"/>
  <c r="H326" i="2"/>
  <c r="I326" i="2"/>
  <c r="G327" i="2"/>
  <c r="R327" i="2" s="1"/>
  <c r="Y327" i="2" s="1"/>
  <c r="H327" i="2"/>
  <c r="S327" i="2" s="1"/>
  <c r="I327" i="2"/>
  <c r="G328" i="2"/>
  <c r="R328" i="2" s="1"/>
  <c r="H328" i="2"/>
  <c r="I328" i="2"/>
  <c r="T328" i="2" s="1"/>
  <c r="G329" i="2"/>
  <c r="H329" i="2"/>
  <c r="I329" i="2"/>
  <c r="G330" i="2"/>
  <c r="R330" i="2" s="1"/>
  <c r="H330" i="2"/>
  <c r="I330" i="2"/>
  <c r="G331" i="2"/>
  <c r="H331" i="2"/>
  <c r="S331" i="2" s="1"/>
  <c r="I331" i="2"/>
  <c r="G332" i="2"/>
  <c r="H332" i="2"/>
  <c r="I332" i="2"/>
  <c r="T332" i="2" s="1"/>
  <c r="G333" i="2"/>
  <c r="H333" i="2"/>
  <c r="I333" i="2"/>
  <c r="G334" i="2"/>
  <c r="H334" i="2"/>
  <c r="I334" i="2"/>
  <c r="G335" i="2"/>
  <c r="H335" i="2"/>
  <c r="S335" i="2" s="1"/>
  <c r="I335" i="2"/>
  <c r="G336" i="2"/>
  <c r="H336" i="2"/>
  <c r="I336" i="2"/>
  <c r="G337" i="2"/>
  <c r="H337" i="2"/>
  <c r="I337" i="2"/>
  <c r="G338" i="2"/>
  <c r="R338" i="2" s="1"/>
  <c r="H338" i="2"/>
  <c r="I338" i="2"/>
  <c r="T338" i="2" s="1"/>
  <c r="G339" i="2"/>
  <c r="H339" i="2"/>
  <c r="S339" i="2" s="1"/>
  <c r="I339" i="2"/>
  <c r="G340" i="2"/>
  <c r="H340" i="2"/>
  <c r="I340" i="2"/>
  <c r="T340" i="2" s="1"/>
  <c r="G341" i="2"/>
  <c r="H341" i="2"/>
  <c r="S341" i="2" s="1"/>
  <c r="I341" i="2"/>
  <c r="G342" i="2"/>
  <c r="R342" i="2" s="1"/>
  <c r="Y342" i="2" s="1"/>
  <c r="H342" i="2"/>
  <c r="I342" i="2"/>
  <c r="G343" i="2"/>
  <c r="H343" i="2"/>
  <c r="S343" i="2" s="1"/>
  <c r="I343" i="2"/>
  <c r="G344" i="2"/>
  <c r="H344" i="2"/>
  <c r="S344" i="2" s="1"/>
  <c r="I344" i="2"/>
  <c r="G345" i="2"/>
  <c r="H345" i="2"/>
  <c r="S345" i="2" s="1"/>
  <c r="I345" i="2"/>
  <c r="G346" i="2"/>
  <c r="R346" i="2" s="1"/>
  <c r="Y346" i="2" s="1"/>
  <c r="H346" i="2"/>
  <c r="I346" i="2"/>
  <c r="G347" i="2"/>
  <c r="H347" i="2"/>
  <c r="S347" i="2" s="1"/>
  <c r="I347" i="2"/>
  <c r="G348" i="2"/>
  <c r="H348" i="2"/>
  <c r="I348" i="2"/>
  <c r="G349" i="2"/>
  <c r="H349" i="2"/>
  <c r="I349" i="2"/>
  <c r="G350" i="2"/>
  <c r="H350" i="2"/>
  <c r="I350" i="2"/>
  <c r="G351" i="2"/>
  <c r="R351" i="2" s="1"/>
  <c r="H351" i="2"/>
  <c r="S351" i="2" s="1"/>
  <c r="I351" i="2"/>
  <c r="G352" i="2"/>
  <c r="H352" i="2"/>
  <c r="I352" i="2"/>
  <c r="T352" i="2" s="1"/>
  <c r="G353" i="2"/>
  <c r="H353" i="2"/>
  <c r="I353" i="2"/>
  <c r="T353" i="2" s="1"/>
  <c r="G354" i="2"/>
  <c r="R354" i="2" s="1"/>
  <c r="Y354" i="2" s="1"/>
  <c r="H354" i="2"/>
  <c r="I354" i="2"/>
  <c r="G355" i="2"/>
  <c r="R355" i="2" s="1"/>
  <c r="H355" i="2"/>
  <c r="S355" i="2" s="1"/>
  <c r="I355" i="2"/>
  <c r="G356" i="2"/>
  <c r="H356" i="2"/>
  <c r="I356" i="2"/>
  <c r="T356" i="2" s="1"/>
  <c r="G357" i="2"/>
  <c r="H357" i="2"/>
  <c r="I357" i="2"/>
  <c r="G358" i="2"/>
  <c r="R358" i="2" s="1"/>
  <c r="H358" i="2"/>
  <c r="I358" i="2"/>
  <c r="G359" i="2"/>
  <c r="R359" i="2" s="1"/>
  <c r="Y359" i="2" s="1"/>
  <c r="H359" i="2"/>
  <c r="S359" i="2" s="1"/>
  <c r="I359" i="2"/>
  <c r="G360" i="2"/>
  <c r="H360" i="2"/>
  <c r="I360" i="2"/>
  <c r="T360" i="2" s="1"/>
  <c r="G361" i="2"/>
  <c r="H361" i="2"/>
  <c r="I361" i="2"/>
  <c r="T361" i="2" s="1"/>
  <c r="G362" i="2"/>
  <c r="R362" i="2" s="1"/>
  <c r="Y362" i="2" s="1"/>
  <c r="H362" i="2"/>
  <c r="I362" i="2"/>
  <c r="G363" i="2"/>
  <c r="H363" i="2"/>
  <c r="S363" i="2" s="1"/>
  <c r="I363" i="2"/>
  <c r="G364" i="2"/>
  <c r="H364" i="2"/>
  <c r="I364" i="2"/>
  <c r="T364" i="2" s="1"/>
  <c r="G365" i="2"/>
  <c r="H365" i="2"/>
  <c r="I365" i="2"/>
  <c r="G366" i="2"/>
  <c r="R366" i="2" s="1"/>
  <c r="H366" i="2"/>
  <c r="I366" i="2"/>
  <c r="T366" i="2" s="1"/>
  <c r="G367" i="2"/>
  <c r="R367" i="2" s="1"/>
  <c r="H367" i="2"/>
  <c r="S367" i="2" s="1"/>
  <c r="I367" i="2"/>
  <c r="G368" i="2"/>
  <c r="H368" i="2"/>
  <c r="I368" i="2"/>
  <c r="T368" i="2" s="1"/>
  <c r="G369" i="2"/>
  <c r="H369" i="2"/>
  <c r="S369" i="2" s="1"/>
  <c r="I369" i="2"/>
  <c r="T369" i="2" s="1"/>
  <c r="G370" i="2"/>
  <c r="R370" i="2" s="1"/>
  <c r="Y370" i="2" s="1"/>
  <c r="H370" i="2"/>
  <c r="I370" i="2"/>
  <c r="G371" i="2"/>
  <c r="H371" i="2"/>
  <c r="S371" i="2" s="1"/>
  <c r="I371" i="2"/>
  <c r="G372" i="2"/>
  <c r="H372" i="2"/>
  <c r="I372" i="2"/>
  <c r="T372" i="2" s="1"/>
  <c r="G373" i="2"/>
  <c r="H373" i="2"/>
  <c r="I373" i="2"/>
  <c r="T373" i="2" s="1"/>
  <c r="G374" i="2"/>
  <c r="R374" i="2" s="1"/>
  <c r="Y374" i="2" s="1"/>
  <c r="H374" i="2"/>
  <c r="I374" i="2"/>
  <c r="G375" i="2"/>
  <c r="H375" i="2"/>
  <c r="S375" i="2" s="1"/>
  <c r="I375" i="2"/>
  <c r="G376" i="2"/>
  <c r="H376" i="2"/>
  <c r="S376" i="2" s="1"/>
  <c r="I376" i="2"/>
  <c r="T376" i="2" s="1"/>
  <c r="G377" i="2"/>
  <c r="H377" i="2"/>
  <c r="I377" i="2"/>
  <c r="G378" i="2"/>
  <c r="R378" i="2" s="1"/>
  <c r="Y378" i="2" s="1"/>
  <c r="H378" i="2"/>
  <c r="I378" i="2"/>
  <c r="G379" i="2"/>
  <c r="R379" i="2" s="1"/>
  <c r="H379" i="2"/>
  <c r="S379" i="2" s="1"/>
  <c r="I379" i="2"/>
  <c r="G380" i="2"/>
  <c r="H380" i="2"/>
  <c r="I380" i="2"/>
  <c r="T380" i="2" s="1"/>
  <c r="G381" i="2"/>
  <c r="H381" i="2"/>
  <c r="I381" i="2"/>
  <c r="T381" i="2" s="1"/>
  <c r="G382" i="2"/>
  <c r="H382" i="2"/>
  <c r="I382" i="2"/>
  <c r="G383" i="2"/>
  <c r="H383" i="2"/>
  <c r="I383" i="2"/>
  <c r="G384" i="2"/>
  <c r="R384" i="2" s="1"/>
  <c r="H384" i="2"/>
  <c r="S384" i="2" s="1"/>
  <c r="I384" i="2"/>
  <c r="T384" i="2" s="1"/>
  <c r="G385" i="2"/>
  <c r="H385" i="2"/>
  <c r="I385" i="2"/>
  <c r="G386" i="2"/>
  <c r="H386" i="2"/>
  <c r="I386" i="2"/>
  <c r="T386" i="2" s="1"/>
  <c r="G387" i="2"/>
  <c r="R387" i="2" s="1"/>
  <c r="Y387" i="2" s="1"/>
  <c r="H387" i="2"/>
  <c r="S387" i="2" s="1"/>
  <c r="I387" i="2"/>
  <c r="G388" i="2"/>
  <c r="H388" i="2"/>
  <c r="I388" i="2"/>
  <c r="T388" i="2" s="1"/>
  <c r="G389" i="2"/>
  <c r="H389" i="2"/>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T287" i="2"/>
  <c r="R289" i="2"/>
  <c r="S290" i="2"/>
  <c r="T290" i="2"/>
  <c r="R292" i="2"/>
  <c r="Y292" i="2" s="1"/>
  <c r="R293" i="2"/>
  <c r="Y293" i="2" s="1"/>
  <c r="S293" i="2"/>
  <c r="S294" i="2"/>
  <c r="T294" i="2"/>
  <c r="T298" i="2"/>
  <c r="T299" i="2"/>
  <c r="R301" i="2"/>
  <c r="Y301" i="2" s="1"/>
  <c r="S302" i="2"/>
  <c r="T302" i="2"/>
  <c r="R305" i="2"/>
  <c r="T306" i="2"/>
  <c r="R308" i="2"/>
  <c r="Y308" i="2" s="1"/>
  <c r="R309" i="2"/>
  <c r="Y309" i="2" s="1"/>
  <c r="T314" i="2"/>
  <c r="R316" i="2"/>
  <c r="Y316" i="2" s="1"/>
  <c r="R317" i="2"/>
  <c r="Y317" i="2" s="1"/>
  <c r="R321" i="2"/>
  <c r="S321" i="2"/>
  <c r="S322" i="2"/>
  <c r="T323" i="2"/>
  <c r="R324" i="2"/>
  <c r="R325" i="2"/>
  <c r="Y325" i="2" s="1"/>
  <c r="T327" i="2"/>
  <c r="S329" i="2"/>
  <c r="S330" i="2"/>
  <c r="T330" i="2"/>
  <c r="R332" i="2"/>
  <c r="T335" i="2"/>
  <c r="R337" i="2"/>
  <c r="Y337" i="2" s="1"/>
  <c r="S337" i="2"/>
  <c r="S338" i="2"/>
  <c r="T339" i="2"/>
  <c r="R340" i="2"/>
  <c r="Y340" i="2" s="1"/>
  <c r="R341" i="2"/>
  <c r="S342" i="2"/>
  <c r="T342" i="2"/>
  <c r="R344" i="2"/>
  <c r="Y344" i="2" s="1"/>
  <c r="R352" i="2"/>
  <c r="Y352" i="2" s="1"/>
  <c r="S352" i="2"/>
  <c r="S353" i="2"/>
  <c r="T357" i="2"/>
  <c r="T358" i="2"/>
  <c r="R360" i="2"/>
  <c r="S360" i="2"/>
  <c r="S361" i="2"/>
  <c r="T362" i="2"/>
  <c r="R363" i="2"/>
  <c r="Y363" i="2" s="1"/>
  <c r="T365" i="2"/>
  <c r="R368" i="2"/>
  <c r="Y368" i="2" s="1"/>
  <c r="S368" i="2"/>
  <c r="T370" i="2"/>
  <c r="R371" i="2"/>
  <c r="Y371" i="2" s="1"/>
  <c r="T374" i="2"/>
  <c r="R375" i="2"/>
  <c r="R376" i="2"/>
  <c r="Y376" i="2" s="1"/>
  <c r="S377" i="2"/>
  <c r="T377" i="2"/>
  <c r="T378" i="2"/>
  <c r="R383" i="2"/>
  <c r="Y383" i="2" s="1"/>
  <c r="S385" i="2"/>
  <c r="T385" i="2"/>
  <c r="S388" i="2"/>
  <c r="S389" i="2"/>
  <c r="A288" i="2"/>
  <c r="B288" i="2"/>
  <c r="C288" i="2"/>
  <c r="D288" i="2"/>
  <c r="E288" i="2"/>
  <c r="F288" i="2"/>
  <c r="S288" i="2"/>
  <c r="K288" i="2"/>
  <c r="L288" i="2"/>
  <c r="M288" i="2"/>
  <c r="N288" i="2"/>
  <c r="P288" i="2"/>
  <c r="R288" i="2"/>
  <c r="Y288" i="2" s="1"/>
  <c r="A289" i="2"/>
  <c r="B289" i="2"/>
  <c r="C289" i="2"/>
  <c r="D289" i="2"/>
  <c r="E289" i="2"/>
  <c r="F289" i="2"/>
  <c r="K289" i="2"/>
  <c r="L289" i="2"/>
  <c r="M289" i="2"/>
  <c r="N289" i="2"/>
  <c r="P289" i="2"/>
  <c r="T289" i="2"/>
  <c r="A290" i="2"/>
  <c r="B290" i="2"/>
  <c r="C290" i="2"/>
  <c r="D290" i="2"/>
  <c r="E290" i="2"/>
  <c r="F290" i="2"/>
  <c r="K290" i="2"/>
  <c r="L290" i="2"/>
  <c r="M290" i="2"/>
  <c r="N290" i="2"/>
  <c r="P290" i="2"/>
  <c r="A291" i="2"/>
  <c r="B291" i="2"/>
  <c r="C291" i="2"/>
  <c r="D291" i="2"/>
  <c r="E291" i="2"/>
  <c r="F291" i="2"/>
  <c r="T291" i="2"/>
  <c r="K291" i="2"/>
  <c r="L291" i="2"/>
  <c r="M291" i="2"/>
  <c r="N291" i="2"/>
  <c r="P291" i="2"/>
  <c r="A292" i="2"/>
  <c r="B292" i="2"/>
  <c r="C292" i="2"/>
  <c r="D292" i="2"/>
  <c r="E292" i="2"/>
  <c r="F292" i="2"/>
  <c r="K292" i="2"/>
  <c r="L292" i="2"/>
  <c r="M292" i="2"/>
  <c r="N292" i="2"/>
  <c r="P292" i="2"/>
  <c r="S292" i="2"/>
  <c r="A293" i="2"/>
  <c r="B293" i="2"/>
  <c r="C293" i="2"/>
  <c r="D293" i="2"/>
  <c r="E293" i="2"/>
  <c r="F293" i="2"/>
  <c r="K293" i="2"/>
  <c r="L293" i="2"/>
  <c r="M293" i="2"/>
  <c r="N293" i="2"/>
  <c r="P293" i="2"/>
  <c r="T293" i="2"/>
  <c r="A294" i="2"/>
  <c r="B294" i="2"/>
  <c r="C294" i="2"/>
  <c r="D294" i="2"/>
  <c r="E294" i="2"/>
  <c r="F294" i="2"/>
  <c r="K294" i="2"/>
  <c r="L294" i="2"/>
  <c r="M294" i="2"/>
  <c r="N294" i="2"/>
  <c r="P294" i="2"/>
  <c r="A295" i="2"/>
  <c r="B295" i="2"/>
  <c r="C295" i="2"/>
  <c r="D295" i="2"/>
  <c r="E295" i="2"/>
  <c r="F295" i="2"/>
  <c r="K295" i="2"/>
  <c r="L295" i="2"/>
  <c r="M295" i="2"/>
  <c r="N295" i="2"/>
  <c r="P295" i="2"/>
  <c r="R295" i="2"/>
  <c r="Y295" i="2" s="1"/>
  <c r="T295" i="2"/>
  <c r="A296" i="2"/>
  <c r="B296" i="2"/>
  <c r="C296" i="2"/>
  <c r="D296" i="2"/>
  <c r="E296" i="2"/>
  <c r="F296" i="2"/>
  <c r="R296" i="2"/>
  <c r="K296" i="2"/>
  <c r="L296" i="2"/>
  <c r="M296" i="2"/>
  <c r="N296" i="2"/>
  <c r="P296" i="2"/>
  <c r="A297" i="2"/>
  <c r="B297" i="2"/>
  <c r="C297" i="2"/>
  <c r="D297" i="2"/>
  <c r="E297" i="2"/>
  <c r="F297" i="2"/>
  <c r="K297" i="2"/>
  <c r="L297" i="2"/>
  <c r="M297" i="2"/>
  <c r="N297" i="2"/>
  <c r="P297" i="2"/>
  <c r="R297" i="2"/>
  <c r="Y297" i="2" s="1"/>
  <c r="T297" i="2"/>
  <c r="A298" i="2"/>
  <c r="B298" i="2"/>
  <c r="C298" i="2"/>
  <c r="D298" i="2"/>
  <c r="E298" i="2"/>
  <c r="F298" i="2"/>
  <c r="S298" i="2"/>
  <c r="K298" i="2"/>
  <c r="L298" i="2"/>
  <c r="M298" i="2"/>
  <c r="N298" i="2"/>
  <c r="P298" i="2"/>
  <c r="A299" i="2"/>
  <c r="B299" i="2"/>
  <c r="C299" i="2"/>
  <c r="D299" i="2"/>
  <c r="E299" i="2"/>
  <c r="F299" i="2"/>
  <c r="R299" i="2"/>
  <c r="Y299" i="2" s="1"/>
  <c r="K299" i="2"/>
  <c r="L299" i="2"/>
  <c r="M299" i="2"/>
  <c r="N299" i="2"/>
  <c r="P299" i="2"/>
  <c r="A300" i="2"/>
  <c r="B300" i="2"/>
  <c r="C300" i="2"/>
  <c r="D300" i="2"/>
  <c r="E300" i="2"/>
  <c r="F300" i="2"/>
  <c r="K300" i="2"/>
  <c r="L300" i="2"/>
  <c r="M300" i="2"/>
  <c r="N300" i="2"/>
  <c r="P300" i="2"/>
  <c r="X300" i="2"/>
  <c r="A301" i="2"/>
  <c r="B301" i="2"/>
  <c r="C301" i="2"/>
  <c r="D301" i="2"/>
  <c r="E301" i="2"/>
  <c r="F301" i="2"/>
  <c r="T301" i="2"/>
  <c r="K301" i="2"/>
  <c r="L301" i="2"/>
  <c r="M301" i="2"/>
  <c r="N301" i="2"/>
  <c r="P301" i="2"/>
  <c r="A302" i="2"/>
  <c r="B302" i="2"/>
  <c r="C302" i="2"/>
  <c r="D302" i="2"/>
  <c r="E302" i="2"/>
  <c r="F302" i="2"/>
  <c r="W302" i="2"/>
  <c r="K302" i="2"/>
  <c r="L302" i="2"/>
  <c r="M302" i="2"/>
  <c r="N302" i="2"/>
  <c r="P302" i="2"/>
  <c r="X302" i="2"/>
  <c r="A303" i="2"/>
  <c r="B303" i="2"/>
  <c r="C303" i="2"/>
  <c r="D303" i="2"/>
  <c r="E303" i="2"/>
  <c r="F303" i="2"/>
  <c r="K303" i="2"/>
  <c r="L303" i="2"/>
  <c r="M303" i="2"/>
  <c r="N303" i="2"/>
  <c r="P303" i="2"/>
  <c r="T303" i="2"/>
  <c r="A304" i="2"/>
  <c r="B304" i="2"/>
  <c r="C304" i="2"/>
  <c r="D304" i="2"/>
  <c r="E304" i="2"/>
  <c r="F304" i="2"/>
  <c r="K304" i="2"/>
  <c r="L304" i="2"/>
  <c r="M304" i="2"/>
  <c r="N304" i="2"/>
  <c r="P304" i="2"/>
  <c r="A305" i="2"/>
  <c r="B305" i="2"/>
  <c r="C305" i="2"/>
  <c r="D305" i="2"/>
  <c r="E305" i="2"/>
  <c r="F305" i="2"/>
  <c r="K305" i="2"/>
  <c r="L305" i="2"/>
  <c r="M305" i="2"/>
  <c r="N305" i="2"/>
  <c r="P305" i="2"/>
  <c r="A306" i="2"/>
  <c r="B306" i="2"/>
  <c r="C306" i="2"/>
  <c r="D306" i="2"/>
  <c r="E306" i="2"/>
  <c r="F306" i="2"/>
  <c r="K306" i="2"/>
  <c r="L306" i="2"/>
  <c r="M306" i="2"/>
  <c r="N306" i="2"/>
  <c r="P306" i="2"/>
  <c r="S306" i="2"/>
  <c r="A307" i="2"/>
  <c r="B307" i="2"/>
  <c r="C307" i="2"/>
  <c r="D307" i="2"/>
  <c r="E307" i="2"/>
  <c r="F307" i="2"/>
  <c r="R307" i="2"/>
  <c r="Y307" i="2" s="1"/>
  <c r="T307" i="2"/>
  <c r="K307" i="2"/>
  <c r="L307" i="2"/>
  <c r="M307" i="2"/>
  <c r="N307" i="2"/>
  <c r="P307" i="2"/>
  <c r="A308" i="2"/>
  <c r="B308" i="2"/>
  <c r="C308" i="2"/>
  <c r="D308" i="2"/>
  <c r="E308" i="2"/>
  <c r="F308" i="2"/>
  <c r="K308" i="2"/>
  <c r="L308" i="2"/>
  <c r="M308" i="2"/>
  <c r="N308" i="2"/>
  <c r="P308" i="2"/>
  <c r="A309" i="2"/>
  <c r="B309" i="2"/>
  <c r="C309" i="2"/>
  <c r="D309" i="2"/>
  <c r="E309" i="2"/>
  <c r="F309" i="2"/>
  <c r="K309" i="2"/>
  <c r="L309" i="2"/>
  <c r="M309" i="2"/>
  <c r="N309" i="2"/>
  <c r="P309" i="2"/>
  <c r="T309" i="2"/>
  <c r="A310" i="2"/>
  <c r="B310" i="2"/>
  <c r="C310" i="2"/>
  <c r="D310" i="2"/>
  <c r="E310" i="2"/>
  <c r="F310" i="2"/>
  <c r="K310" i="2"/>
  <c r="L310" i="2"/>
  <c r="M310" i="2"/>
  <c r="N310" i="2"/>
  <c r="P310" i="2"/>
  <c r="A311" i="2"/>
  <c r="B311" i="2"/>
  <c r="C311" i="2"/>
  <c r="D311" i="2"/>
  <c r="E311" i="2"/>
  <c r="F311" i="2"/>
  <c r="K311" i="2"/>
  <c r="L311" i="2"/>
  <c r="M311" i="2"/>
  <c r="N311" i="2"/>
  <c r="P311" i="2"/>
  <c r="A312" i="2"/>
  <c r="B312" i="2"/>
  <c r="C312" i="2"/>
  <c r="D312" i="2"/>
  <c r="E312" i="2"/>
  <c r="F312" i="2"/>
  <c r="K312" i="2"/>
  <c r="L312" i="2"/>
  <c r="M312" i="2"/>
  <c r="N312" i="2"/>
  <c r="P312" i="2"/>
  <c r="A313" i="2"/>
  <c r="B313" i="2"/>
  <c r="C313" i="2"/>
  <c r="D313" i="2"/>
  <c r="E313" i="2"/>
  <c r="F313" i="2"/>
  <c r="S313" i="2"/>
  <c r="K313" i="2"/>
  <c r="L313" i="2"/>
  <c r="M313" i="2"/>
  <c r="N313" i="2"/>
  <c r="P313" i="2"/>
  <c r="R313" i="2"/>
  <c r="T313" i="2"/>
  <c r="A314" i="2"/>
  <c r="B314" i="2"/>
  <c r="C314" i="2"/>
  <c r="D314" i="2"/>
  <c r="E314" i="2"/>
  <c r="F314" i="2"/>
  <c r="S314" i="2"/>
  <c r="K314" i="2"/>
  <c r="L314" i="2"/>
  <c r="M314" i="2"/>
  <c r="N314" i="2"/>
  <c r="P314" i="2"/>
  <c r="A315" i="2"/>
  <c r="B315" i="2"/>
  <c r="C315" i="2"/>
  <c r="D315" i="2"/>
  <c r="E315" i="2"/>
  <c r="F315" i="2"/>
  <c r="R315" i="2"/>
  <c r="Y315" i="2" s="1"/>
  <c r="T315" i="2"/>
  <c r="K315" i="2"/>
  <c r="L315" i="2"/>
  <c r="M315" i="2"/>
  <c r="N315" i="2"/>
  <c r="P315" i="2"/>
  <c r="A316" i="2"/>
  <c r="B316" i="2"/>
  <c r="C316" i="2"/>
  <c r="D316" i="2"/>
  <c r="E316" i="2"/>
  <c r="F316" i="2"/>
  <c r="K316" i="2"/>
  <c r="L316" i="2"/>
  <c r="M316" i="2"/>
  <c r="N316" i="2"/>
  <c r="P316" i="2"/>
  <c r="S316" i="2"/>
  <c r="A317" i="2"/>
  <c r="B317" i="2"/>
  <c r="C317" i="2"/>
  <c r="D317" i="2"/>
  <c r="E317" i="2"/>
  <c r="F317" i="2"/>
  <c r="K317" i="2"/>
  <c r="L317" i="2"/>
  <c r="M317" i="2"/>
  <c r="N317" i="2"/>
  <c r="P317" i="2"/>
  <c r="T317" i="2"/>
  <c r="A318" i="2"/>
  <c r="B318" i="2"/>
  <c r="C318" i="2"/>
  <c r="D318" i="2"/>
  <c r="E318" i="2"/>
  <c r="F318" i="2"/>
  <c r="K318" i="2"/>
  <c r="L318" i="2"/>
  <c r="M318" i="2"/>
  <c r="N318" i="2"/>
  <c r="P318" i="2"/>
  <c r="A319" i="2"/>
  <c r="B319" i="2"/>
  <c r="C319" i="2"/>
  <c r="D319" i="2"/>
  <c r="E319" i="2"/>
  <c r="F319" i="2"/>
  <c r="K319" i="2"/>
  <c r="L319" i="2"/>
  <c r="M319" i="2"/>
  <c r="N319" i="2"/>
  <c r="P319" i="2"/>
  <c r="A320" i="2"/>
  <c r="B320" i="2"/>
  <c r="C320" i="2"/>
  <c r="D320" i="2"/>
  <c r="E320" i="2"/>
  <c r="F320" i="2"/>
  <c r="K320" i="2"/>
  <c r="L320" i="2"/>
  <c r="M320" i="2"/>
  <c r="N320" i="2"/>
  <c r="P320" i="2"/>
  <c r="A321" i="2"/>
  <c r="B321" i="2"/>
  <c r="C321" i="2"/>
  <c r="D321" i="2"/>
  <c r="E321" i="2"/>
  <c r="F321" i="2"/>
  <c r="K321" i="2"/>
  <c r="L321" i="2"/>
  <c r="M321" i="2"/>
  <c r="N321" i="2"/>
  <c r="P321" i="2"/>
  <c r="T321" i="2"/>
  <c r="A322" i="2"/>
  <c r="B322" i="2"/>
  <c r="C322" i="2"/>
  <c r="D322" i="2"/>
  <c r="E322" i="2"/>
  <c r="F322" i="2"/>
  <c r="K322" i="2"/>
  <c r="L322" i="2"/>
  <c r="M322" i="2"/>
  <c r="N322" i="2"/>
  <c r="P322" i="2"/>
  <c r="A323" i="2"/>
  <c r="B323" i="2"/>
  <c r="C323" i="2"/>
  <c r="D323" i="2"/>
  <c r="E323" i="2"/>
  <c r="F323" i="2"/>
  <c r="R323" i="2"/>
  <c r="K323" i="2"/>
  <c r="L323" i="2"/>
  <c r="M323" i="2"/>
  <c r="N323" i="2"/>
  <c r="P323" i="2"/>
  <c r="A324" i="2"/>
  <c r="B324" i="2"/>
  <c r="C324" i="2"/>
  <c r="D324" i="2"/>
  <c r="E324" i="2"/>
  <c r="F324" i="2"/>
  <c r="K324" i="2"/>
  <c r="L324" i="2"/>
  <c r="M324" i="2"/>
  <c r="N324" i="2"/>
  <c r="P324" i="2"/>
  <c r="S324" i="2"/>
  <c r="A325" i="2"/>
  <c r="B325" i="2"/>
  <c r="C325" i="2"/>
  <c r="D325" i="2"/>
  <c r="E325" i="2"/>
  <c r="F325" i="2"/>
  <c r="K325" i="2"/>
  <c r="L325" i="2"/>
  <c r="M325" i="2"/>
  <c r="N325" i="2"/>
  <c r="P325" i="2"/>
  <c r="T325" i="2"/>
  <c r="A326" i="2"/>
  <c r="B326" i="2"/>
  <c r="C326" i="2"/>
  <c r="D326" i="2"/>
  <c r="E326" i="2"/>
  <c r="F326" i="2"/>
  <c r="K326" i="2"/>
  <c r="L326" i="2"/>
  <c r="M326" i="2"/>
  <c r="N326" i="2"/>
  <c r="P326" i="2"/>
  <c r="A327" i="2"/>
  <c r="B327" i="2"/>
  <c r="C327" i="2"/>
  <c r="D327" i="2"/>
  <c r="E327" i="2"/>
  <c r="F327" i="2"/>
  <c r="K327" i="2"/>
  <c r="L327" i="2"/>
  <c r="M327" i="2"/>
  <c r="N327" i="2"/>
  <c r="P327" i="2"/>
  <c r="A328" i="2"/>
  <c r="B328" i="2"/>
  <c r="C328" i="2"/>
  <c r="D328" i="2"/>
  <c r="E328" i="2"/>
  <c r="F328" i="2"/>
  <c r="K328" i="2"/>
  <c r="L328" i="2"/>
  <c r="M328" i="2"/>
  <c r="N328" i="2"/>
  <c r="P328" i="2"/>
  <c r="S328" i="2"/>
  <c r="A329" i="2"/>
  <c r="B329" i="2"/>
  <c r="C329" i="2"/>
  <c r="D329" i="2"/>
  <c r="E329" i="2"/>
  <c r="F329" i="2"/>
  <c r="K329" i="2"/>
  <c r="L329" i="2"/>
  <c r="M329" i="2"/>
  <c r="N329" i="2"/>
  <c r="P329" i="2"/>
  <c r="R329" i="2"/>
  <c r="Y329" i="2" s="1"/>
  <c r="T329" i="2"/>
  <c r="A330" i="2"/>
  <c r="B330" i="2"/>
  <c r="C330" i="2"/>
  <c r="D330" i="2"/>
  <c r="E330" i="2"/>
  <c r="F330" i="2"/>
  <c r="K330" i="2"/>
  <c r="L330" i="2"/>
  <c r="M330" i="2"/>
  <c r="N330" i="2"/>
  <c r="P330" i="2"/>
  <c r="A331" i="2"/>
  <c r="B331" i="2"/>
  <c r="C331" i="2"/>
  <c r="D331" i="2"/>
  <c r="E331" i="2"/>
  <c r="F331" i="2"/>
  <c r="R331" i="2"/>
  <c r="Y331" i="2" s="1"/>
  <c r="K331" i="2"/>
  <c r="L331" i="2"/>
  <c r="M331" i="2"/>
  <c r="N331" i="2"/>
  <c r="P331" i="2"/>
  <c r="T331" i="2"/>
  <c r="A332" i="2"/>
  <c r="B332" i="2"/>
  <c r="C332" i="2"/>
  <c r="D332" i="2"/>
  <c r="E332" i="2"/>
  <c r="F332" i="2"/>
  <c r="S332" i="2"/>
  <c r="K332" i="2"/>
  <c r="L332" i="2"/>
  <c r="M332" i="2"/>
  <c r="N332" i="2"/>
  <c r="P332" i="2"/>
  <c r="A333" i="2"/>
  <c r="B333" i="2"/>
  <c r="C333" i="2"/>
  <c r="D333" i="2"/>
  <c r="E333" i="2"/>
  <c r="F333" i="2"/>
  <c r="K333" i="2"/>
  <c r="L333" i="2"/>
  <c r="M333" i="2"/>
  <c r="N333" i="2"/>
  <c r="P333" i="2"/>
  <c r="A334" i="2"/>
  <c r="B334" i="2"/>
  <c r="C334" i="2"/>
  <c r="D334" i="2"/>
  <c r="E334" i="2"/>
  <c r="F334" i="2"/>
  <c r="K334" i="2"/>
  <c r="L334" i="2"/>
  <c r="M334" i="2"/>
  <c r="N334" i="2"/>
  <c r="P334" i="2"/>
  <c r="A335" i="2"/>
  <c r="B335" i="2"/>
  <c r="C335" i="2"/>
  <c r="D335" i="2"/>
  <c r="E335" i="2"/>
  <c r="F335" i="2"/>
  <c r="R335" i="2"/>
  <c r="Y335" i="2" s="1"/>
  <c r="K335" i="2"/>
  <c r="L335" i="2"/>
  <c r="M335" i="2"/>
  <c r="N335" i="2"/>
  <c r="P335" i="2"/>
  <c r="A336" i="2"/>
  <c r="B336" i="2"/>
  <c r="C336" i="2"/>
  <c r="D336" i="2"/>
  <c r="E336" i="2"/>
  <c r="F336" i="2"/>
  <c r="K336" i="2"/>
  <c r="L336" i="2"/>
  <c r="M336" i="2"/>
  <c r="N336" i="2"/>
  <c r="P336" i="2"/>
  <c r="A337" i="2"/>
  <c r="B337" i="2"/>
  <c r="C337" i="2"/>
  <c r="D337" i="2"/>
  <c r="E337" i="2"/>
  <c r="F337" i="2"/>
  <c r="T337" i="2"/>
  <c r="K337" i="2"/>
  <c r="L337" i="2"/>
  <c r="M337" i="2"/>
  <c r="N337" i="2"/>
  <c r="P337" i="2"/>
  <c r="A338" i="2"/>
  <c r="B338" i="2"/>
  <c r="C338" i="2"/>
  <c r="D338" i="2"/>
  <c r="E338" i="2"/>
  <c r="F338" i="2"/>
  <c r="K338" i="2"/>
  <c r="L338" i="2"/>
  <c r="M338" i="2"/>
  <c r="N338" i="2"/>
  <c r="P338" i="2"/>
  <c r="A339" i="2"/>
  <c r="B339" i="2"/>
  <c r="C339" i="2"/>
  <c r="D339" i="2"/>
  <c r="E339" i="2"/>
  <c r="F339" i="2"/>
  <c r="R339" i="2"/>
  <c r="Y339" i="2" s="1"/>
  <c r="K339" i="2"/>
  <c r="L339" i="2"/>
  <c r="M339" i="2"/>
  <c r="N339" i="2"/>
  <c r="P339" i="2"/>
  <c r="A340" i="2"/>
  <c r="B340" i="2"/>
  <c r="C340" i="2"/>
  <c r="D340" i="2"/>
  <c r="E340" i="2"/>
  <c r="F340" i="2"/>
  <c r="S340" i="2"/>
  <c r="K340" i="2"/>
  <c r="L340" i="2"/>
  <c r="M340" i="2"/>
  <c r="N340" i="2"/>
  <c r="P340" i="2"/>
  <c r="A341" i="2"/>
  <c r="B341" i="2"/>
  <c r="C341" i="2"/>
  <c r="D341" i="2"/>
  <c r="E341" i="2"/>
  <c r="F341" i="2"/>
  <c r="T341" i="2"/>
  <c r="W341" i="2"/>
  <c r="K341" i="2"/>
  <c r="L341" i="2"/>
  <c r="M341" i="2"/>
  <c r="N341" i="2"/>
  <c r="P341" i="2"/>
  <c r="A342" i="2"/>
  <c r="B342" i="2"/>
  <c r="C342" i="2"/>
  <c r="D342" i="2"/>
  <c r="E342" i="2"/>
  <c r="F342" i="2"/>
  <c r="K342" i="2"/>
  <c r="L342" i="2"/>
  <c r="M342" i="2"/>
  <c r="N342" i="2"/>
  <c r="P342" i="2"/>
  <c r="A343" i="2"/>
  <c r="B343" i="2"/>
  <c r="C343" i="2"/>
  <c r="D343" i="2"/>
  <c r="E343" i="2"/>
  <c r="F343" i="2"/>
  <c r="R343" i="2"/>
  <c r="K343" i="2"/>
  <c r="L343" i="2"/>
  <c r="M343" i="2"/>
  <c r="N343" i="2"/>
  <c r="P343" i="2"/>
  <c r="T343" i="2"/>
  <c r="A344" i="2"/>
  <c r="B344" i="2"/>
  <c r="C344" i="2"/>
  <c r="D344" i="2"/>
  <c r="E344" i="2"/>
  <c r="F344" i="2"/>
  <c r="K344" i="2"/>
  <c r="L344" i="2"/>
  <c r="M344" i="2"/>
  <c r="N344" i="2"/>
  <c r="P344" i="2"/>
  <c r="T344" i="2"/>
  <c r="A345" i="2"/>
  <c r="B345" i="2"/>
  <c r="C345" i="2"/>
  <c r="D345" i="2"/>
  <c r="E345" i="2"/>
  <c r="F345" i="2"/>
  <c r="T345" i="2"/>
  <c r="K345" i="2"/>
  <c r="L345" i="2"/>
  <c r="M345" i="2"/>
  <c r="N345" i="2"/>
  <c r="P345" i="2"/>
  <c r="R345" i="2"/>
  <c r="X345" i="2"/>
  <c r="A346" i="2"/>
  <c r="B346" i="2"/>
  <c r="C346" i="2"/>
  <c r="D346" i="2"/>
  <c r="E346" i="2"/>
  <c r="F346" i="2"/>
  <c r="T346" i="2"/>
  <c r="K346" i="2"/>
  <c r="L346" i="2"/>
  <c r="M346" i="2"/>
  <c r="N346" i="2"/>
  <c r="P346" i="2"/>
  <c r="S346" i="2"/>
  <c r="A347" i="2"/>
  <c r="B347" i="2"/>
  <c r="C347" i="2"/>
  <c r="D347" i="2"/>
  <c r="E347" i="2"/>
  <c r="F347" i="2"/>
  <c r="R347" i="2"/>
  <c r="Y347" i="2" s="1"/>
  <c r="K347" i="2"/>
  <c r="L347" i="2"/>
  <c r="M347" i="2"/>
  <c r="N347" i="2"/>
  <c r="P347" i="2"/>
  <c r="T347" i="2"/>
  <c r="A348" i="2"/>
  <c r="B348" i="2"/>
  <c r="C348" i="2"/>
  <c r="D348" i="2"/>
  <c r="E348" i="2"/>
  <c r="F348" i="2"/>
  <c r="K348" i="2"/>
  <c r="L348" i="2"/>
  <c r="M348" i="2"/>
  <c r="N348" i="2"/>
  <c r="P348" i="2"/>
  <c r="A349" i="2"/>
  <c r="B349" i="2"/>
  <c r="C349" i="2"/>
  <c r="D349" i="2"/>
  <c r="E349" i="2"/>
  <c r="F349" i="2"/>
  <c r="K349" i="2"/>
  <c r="L349" i="2"/>
  <c r="M349" i="2"/>
  <c r="N349" i="2"/>
  <c r="P349" i="2"/>
  <c r="A350" i="2"/>
  <c r="B350" i="2"/>
  <c r="C350" i="2"/>
  <c r="D350" i="2"/>
  <c r="E350" i="2"/>
  <c r="F350" i="2"/>
  <c r="K350" i="2"/>
  <c r="L350" i="2"/>
  <c r="M350" i="2"/>
  <c r="N350" i="2"/>
  <c r="P350" i="2"/>
  <c r="A351" i="2"/>
  <c r="B351" i="2"/>
  <c r="C351" i="2"/>
  <c r="D351" i="2"/>
  <c r="E351" i="2"/>
  <c r="F351" i="2"/>
  <c r="K351" i="2"/>
  <c r="L351" i="2"/>
  <c r="M351" i="2"/>
  <c r="N351" i="2"/>
  <c r="P351" i="2"/>
  <c r="T351" i="2"/>
  <c r="A352" i="2"/>
  <c r="B352" i="2"/>
  <c r="C352" i="2"/>
  <c r="D352" i="2"/>
  <c r="E352" i="2"/>
  <c r="F352" i="2"/>
  <c r="K352" i="2"/>
  <c r="L352" i="2"/>
  <c r="M352" i="2"/>
  <c r="N352" i="2"/>
  <c r="P352" i="2"/>
  <c r="A353" i="2"/>
  <c r="B353" i="2"/>
  <c r="C353" i="2"/>
  <c r="D353" i="2"/>
  <c r="E353" i="2"/>
  <c r="F353" i="2"/>
  <c r="K353" i="2"/>
  <c r="L353" i="2"/>
  <c r="M353" i="2"/>
  <c r="N353" i="2"/>
  <c r="P353" i="2"/>
  <c r="R353" i="2"/>
  <c r="X353" i="2"/>
  <c r="A354" i="2"/>
  <c r="B354" i="2"/>
  <c r="C354" i="2"/>
  <c r="D354" i="2"/>
  <c r="E354" i="2"/>
  <c r="F354" i="2"/>
  <c r="T354" i="2"/>
  <c r="K354" i="2"/>
  <c r="L354" i="2"/>
  <c r="M354" i="2"/>
  <c r="N354" i="2"/>
  <c r="P354" i="2"/>
  <c r="S354" i="2"/>
  <c r="A355" i="2"/>
  <c r="B355" i="2"/>
  <c r="C355" i="2"/>
  <c r="D355" i="2"/>
  <c r="E355" i="2"/>
  <c r="F355" i="2"/>
  <c r="K355" i="2"/>
  <c r="L355" i="2"/>
  <c r="M355" i="2"/>
  <c r="N355" i="2"/>
  <c r="P355" i="2"/>
  <c r="T355" i="2"/>
  <c r="X355" i="2"/>
  <c r="A356" i="2"/>
  <c r="B356" i="2"/>
  <c r="C356" i="2"/>
  <c r="D356" i="2"/>
  <c r="E356" i="2"/>
  <c r="F356" i="2"/>
  <c r="R356" i="2"/>
  <c r="S356" i="2"/>
  <c r="K356" i="2"/>
  <c r="L356" i="2"/>
  <c r="M356" i="2"/>
  <c r="N356" i="2"/>
  <c r="P356" i="2"/>
  <c r="W356" i="2"/>
  <c r="A357" i="2"/>
  <c r="B357" i="2"/>
  <c r="C357" i="2"/>
  <c r="D357" i="2"/>
  <c r="E357" i="2"/>
  <c r="F357" i="2"/>
  <c r="S357" i="2"/>
  <c r="K357" i="2"/>
  <c r="L357" i="2"/>
  <c r="M357" i="2"/>
  <c r="N357" i="2"/>
  <c r="P357" i="2"/>
  <c r="R357" i="2"/>
  <c r="Y357" i="2" s="1"/>
  <c r="W357" i="2"/>
  <c r="A358" i="2"/>
  <c r="B358" i="2"/>
  <c r="C358" i="2"/>
  <c r="D358" i="2"/>
  <c r="E358" i="2"/>
  <c r="F358" i="2"/>
  <c r="K358" i="2"/>
  <c r="L358" i="2"/>
  <c r="M358" i="2"/>
  <c r="N358" i="2"/>
  <c r="P358" i="2"/>
  <c r="S358" i="2"/>
  <c r="A359" i="2"/>
  <c r="B359" i="2"/>
  <c r="C359" i="2"/>
  <c r="D359" i="2"/>
  <c r="E359" i="2"/>
  <c r="F359" i="2"/>
  <c r="K359" i="2"/>
  <c r="L359" i="2"/>
  <c r="M359" i="2"/>
  <c r="N359" i="2"/>
  <c r="P359" i="2"/>
  <c r="T359" i="2"/>
  <c r="A360" i="2"/>
  <c r="B360" i="2"/>
  <c r="C360" i="2"/>
  <c r="D360" i="2"/>
  <c r="E360" i="2"/>
  <c r="F360" i="2"/>
  <c r="K360" i="2"/>
  <c r="L360" i="2"/>
  <c r="M360" i="2"/>
  <c r="N360" i="2"/>
  <c r="P360" i="2"/>
  <c r="W360" i="2"/>
  <c r="A361" i="2"/>
  <c r="B361" i="2"/>
  <c r="C361" i="2"/>
  <c r="D361" i="2"/>
  <c r="E361" i="2"/>
  <c r="F361" i="2"/>
  <c r="K361" i="2"/>
  <c r="L361" i="2"/>
  <c r="M361" i="2"/>
  <c r="N361" i="2"/>
  <c r="P361" i="2"/>
  <c r="R361" i="2"/>
  <c r="Y361" i="2" s="1"/>
  <c r="W361" i="2"/>
  <c r="X361" i="2"/>
  <c r="A362" i="2"/>
  <c r="B362" i="2"/>
  <c r="C362" i="2"/>
  <c r="D362" i="2"/>
  <c r="E362" i="2"/>
  <c r="F362" i="2"/>
  <c r="K362" i="2"/>
  <c r="L362" i="2"/>
  <c r="M362" i="2"/>
  <c r="N362" i="2"/>
  <c r="P362" i="2"/>
  <c r="S362" i="2"/>
  <c r="A363" i="2"/>
  <c r="B363" i="2"/>
  <c r="C363" i="2"/>
  <c r="D363" i="2"/>
  <c r="E363" i="2"/>
  <c r="F363" i="2"/>
  <c r="W363" i="2"/>
  <c r="K363" i="2"/>
  <c r="L363" i="2"/>
  <c r="M363" i="2"/>
  <c r="N363" i="2"/>
  <c r="P363" i="2"/>
  <c r="T363" i="2"/>
  <c r="A364" i="2"/>
  <c r="B364" i="2"/>
  <c r="C364" i="2"/>
  <c r="D364" i="2"/>
  <c r="E364" i="2"/>
  <c r="F364" i="2"/>
  <c r="R364" i="2"/>
  <c r="S364" i="2"/>
  <c r="K364" i="2"/>
  <c r="L364" i="2"/>
  <c r="M364" i="2"/>
  <c r="N364" i="2"/>
  <c r="P364" i="2"/>
  <c r="W364" i="2"/>
  <c r="A365" i="2"/>
  <c r="B365" i="2"/>
  <c r="C365" i="2"/>
  <c r="D365" i="2"/>
  <c r="E365" i="2"/>
  <c r="F365" i="2"/>
  <c r="S365" i="2"/>
  <c r="K365" i="2"/>
  <c r="L365" i="2"/>
  <c r="M365" i="2"/>
  <c r="N365" i="2"/>
  <c r="P365" i="2"/>
  <c r="R365" i="2"/>
  <c r="Y365" i="2" s="1"/>
  <c r="W365" i="2"/>
  <c r="A366" i="2"/>
  <c r="B366" i="2"/>
  <c r="C366" i="2"/>
  <c r="D366" i="2"/>
  <c r="E366" i="2"/>
  <c r="F366" i="2"/>
  <c r="K366" i="2"/>
  <c r="L366" i="2"/>
  <c r="M366" i="2"/>
  <c r="N366" i="2"/>
  <c r="P366" i="2"/>
  <c r="S366" i="2"/>
  <c r="A367" i="2"/>
  <c r="B367" i="2"/>
  <c r="C367" i="2"/>
  <c r="D367" i="2"/>
  <c r="E367" i="2"/>
  <c r="F367" i="2"/>
  <c r="K367" i="2"/>
  <c r="L367" i="2"/>
  <c r="M367" i="2"/>
  <c r="N367" i="2"/>
  <c r="P367" i="2"/>
  <c r="T367" i="2"/>
  <c r="A368" i="2"/>
  <c r="B368" i="2"/>
  <c r="C368" i="2"/>
  <c r="D368" i="2"/>
  <c r="E368" i="2"/>
  <c r="F368" i="2"/>
  <c r="K368" i="2"/>
  <c r="L368" i="2"/>
  <c r="M368" i="2"/>
  <c r="N368" i="2"/>
  <c r="P368" i="2"/>
  <c r="W368" i="2"/>
  <c r="A369" i="2"/>
  <c r="B369" i="2"/>
  <c r="C369" i="2"/>
  <c r="D369" i="2"/>
  <c r="E369" i="2"/>
  <c r="F369" i="2"/>
  <c r="K369" i="2"/>
  <c r="L369" i="2"/>
  <c r="M369" i="2"/>
  <c r="N369" i="2"/>
  <c r="P369" i="2"/>
  <c r="R369" i="2"/>
  <c r="W369" i="2"/>
  <c r="X369" i="2"/>
  <c r="A370" i="2"/>
  <c r="B370" i="2"/>
  <c r="C370" i="2"/>
  <c r="D370" i="2"/>
  <c r="E370" i="2"/>
  <c r="F370" i="2"/>
  <c r="K370" i="2"/>
  <c r="L370" i="2"/>
  <c r="M370" i="2"/>
  <c r="N370" i="2"/>
  <c r="P370" i="2"/>
  <c r="S370" i="2"/>
  <c r="A371" i="2"/>
  <c r="B371" i="2"/>
  <c r="C371" i="2"/>
  <c r="D371" i="2"/>
  <c r="E371" i="2"/>
  <c r="F371" i="2"/>
  <c r="W371" i="2"/>
  <c r="K371" i="2"/>
  <c r="L371" i="2"/>
  <c r="M371" i="2"/>
  <c r="N371" i="2"/>
  <c r="P371" i="2"/>
  <c r="T371" i="2"/>
  <c r="A372" i="2"/>
  <c r="B372" i="2"/>
  <c r="C372" i="2"/>
  <c r="D372" i="2"/>
  <c r="E372" i="2"/>
  <c r="F372" i="2"/>
  <c r="R372" i="2"/>
  <c r="Y372" i="2" s="1"/>
  <c r="S372" i="2"/>
  <c r="K372" i="2"/>
  <c r="L372" i="2"/>
  <c r="M372" i="2"/>
  <c r="N372" i="2"/>
  <c r="P372" i="2"/>
  <c r="W372" i="2"/>
  <c r="A373" i="2"/>
  <c r="B373" i="2"/>
  <c r="C373" i="2"/>
  <c r="D373" i="2"/>
  <c r="E373" i="2"/>
  <c r="F373" i="2"/>
  <c r="S373" i="2"/>
  <c r="K373" i="2"/>
  <c r="L373" i="2"/>
  <c r="M373" i="2"/>
  <c r="N373" i="2"/>
  <c r="P373" i="2"/>
  <c r="R373" i="2"/>
  <c r="W373" i="2"/>
  <c r="A374" i="2"/>
  <c r="B374" i="2"/>
  <c r="C374" i="2"/>
  <c r="D374" i="2"/>
  <c r="E374" i="2"/>
  <c r="F374" i="2"/>
  <c r="K374" i="2"/>
  <c r="L374" i="2"/>
  <c r="M374" i="2"/>
  <c r="N374" i="2"/>
  <c r="P374" i="2"/>
  <c r="S374" i="2"/>
  <c r="A375" i="2"/>
  <c r="B375" i="2"/>
  <c r="C375" i="2"/>
  <c r="D375" i="2"/>
  <c r="E375" i="2"/>
  <c r="F375" i="2"/>
  <c r="K375" i="2"/>
  <c r="L375" i="2"/>
  <c r="M375" i="2"/>
  <c r="N375" i="2"/>
  <c r="P375" i="2"/>
  <c r="T375" i="2"/>
  <c r="A376" i="2"/>
  <c r="B376" i="2"/>
  <c r="C376" i="2"/>
  <c r="D376" i="2"/>
  <c r="E376" i="2"/>
  <c r="F376" i="2"/>
  <c r="K376" i="2"/>
  <c r="L376" i="2"/>
  <c r="M376" i="2"/>
  <c r="N376" i="2"/>
  <c r="P376" i="2"/>
  <c r="W376" i="2"/>
  <c r="A377" i="2"/>
  <c r="B377" i="2"/>
  <c r="C377" i="2"/>
  <c r="D377" i="2"/>
  <c r="E377" i="2"/>
  <c r="F377" i="2"/>
  <c r="K377" i="2"/>
  <c r="L377" i="2"/>
  <c r="M377" i="2"/>
  <c r="N377" i="2"/>
  <c r="P377" i="2"/>
  <c r="R377" i="2"/>
  <c r="W377" i="2"/>
  <c r="X377" i="2"/>
  <c r="A378" i="2"/>
  <c r="B378" i="2"/>
  <c r="C378" i="2"/>
  <c r="D378" i="2"/>
  <c r="E378" i="2"/>
  <c r="F378" i="2"/>
  <c r="K378" i="2"/>
  <c r="L378" i="2"/>
  <c r="M378" i="2"/>
  <c r="N378" i="2"/>
  <c r="P378" i="2"/>
  <c r="S378" i="2"/>
  <c r="A379" i="2"/>
  <c r="B379" i="2"/>
  <c r="C379" i="2"/>
  <c r="D379" i="2"/>
  <c r="E379" i="2"/>
  <c r="F379" i="2"/>
  <c r="W379" i="2"/>
  <c r="K379" i="2"/>
  <c r="L379" i="2"/>
  <c r="M379" i="2"/>
  <c r="N379" i="2"/>
  <c r="P379" i="2"/>
  <c r="T379" i="2"/>
  <c r="A380" i="2"/>
  <c r="B380" i="2"/>
  <c r="C380" i="2"/>
  <c r="D380" i="2"/>
  <c r="E380" i="2"/>
  <c r="F380" i="2"/>
  <c r="R380" i="2"/>
  <c r="Y380" i="2" s="1"/>
  <c r="S380" i="2"/>
  <c r="K380" i="2"/>
  <c r="L380" i="2"/>
  <c r="M380" i="2"/>
  <c r="N380" i="2"/>
  <c r="P380" i="2"/>
  <c r="W380" i="2"/>
  <c r="A381" i="2"/>
  <c r="B381" i="2"/>
  <c r="C381" i="2"/>
  <c r="D381" i="2"/>
  <c r="E381" i="2"/>
  <c r="F381" i="2"/>
  <c r="S381" i="2"/>
  <c r="K381" i="2"/>
  <c r="L381" i="2"/>
  <c r="M381" i="2"/>
  <c r="N381" i="2"/>
  <c r="P381" i="2"/>
  <c r="R381" i="2"/>
  <c r="W381" i="2"/>
  <c r="A382" i="2"/>
  <c r="B382" i="2"/>
  <c r="C382" i="2"/>
  <c r="D382" i="2"/>
  <c r="E382" i="2"/>
  <c r="F382" i="2"/>
  <c r="K382" i="2"/>
  <c r="L382" i="2"/>
  <c r="M382" i="2"/>
  <c r="N382" i="2"/>
  <c r="P382" i="2"/>
  <c r="A383" i="2"/>
  <c r="B383" i="2"/>
  <c r="C383" i="2"/>
  <c r="D383" i="2"/>
  <c r="E383" i="2"/>
  <c r="F383" i="2"/>
  <c r="S383" i="2"/>
  <c r="K383" i="2"/>
  <c r="L383" i="2"/>
  <c r="M383" i="2"/>
  <c r="N383" i="2"/>
  <c r="P383" i="2"/>
  <c r="T383" i="2"/>
  <c r="X383" i="2"/>
  <c r="A384" i="2"/>
  <c r="B384" i="2"/>
  <c r="C384" i="2"/>
  <c r="D384" i="2"/>
  <c r="E384" i="2"/>
  <c r="F384" i="2"/>
  <c r="K384" i="2"/>
  <c r="L384" i="2"/>
  <c r="M384" i="2"/>
  <c r="N384" i="2"/>
  <c r="P384" i="2"/>
  <c r="W384" i="2"/>
  <c r="A385" i="2"/>
  <c r="B385" i="2"/>
  <c r="C385" i="2"/>
  <c r="D385" i="2"/>
  <c r="E385" i="2"/>
  <c r="F385" i="2"/>
  <c r="K385" i="2"/>
  <c r="L385" i="2"/>
  <c r="M385" i="2"/>
  <c r="N385" i="2"/>
  <c r="P385" i="2"/>
  <c r="R385" i="2"/>
  <c r="Y385" i="2" s="1"/>
  <c r="W385" i="2"/>
  <c r="X385" i="2"/>
  <c r="A386" i="2"/>
  <c r="B386" i="2"/>
  <c r="C386" i="2"/>
  <c r="D386" i="2"/>
  <c r="E386" i="2"/>
  <c r="F386" i="2"/>
  <c r="R386" i="2"/>
  <c r="K386" i="2"/>
  <c r="L386" i="2"/>
  <c r="M386" i="2"/>
  <c r="N386" i="2"/>
  <c r="P386" i="2"/>
  <c r="S386" i="2"/>
  <c r="A387" i="2"/>
  <c r="B387" i="2"/>
  <c r="C387" i="2"/>
  <c r="D387" i="2"/>
  <c r="E387" i="2"/>
  <c r="F387" i="2"/>
  <c r="K387" i="2"/>
  <c r="L387" i="2"/>
  <c r="M387" i="2"/>
  <c r="N387" i="2"/>
  <c r="P387" i="2"/>
  <c r="T387" i="2"/>
  <c r="A388" i="2"/>
  <c r="B388" i="2"/>
  <c r="C388" i="2"/>
  <c r="D388" i="2"/>
  <c r="E388" i="2"/>
  <c r="F388" i="2"/>
  <c r="K388" i="2"/>
  <c r="L388" i="2"/>
  <c r="M388" i="2"/>
  <c r="N388" i="2"/>
  <c r="P388" i="2"/>
  <c r="R388" i="2"/>
  <c r="A389" i="2"/>
  <c r="B389" i="2"/>
  <c r="C389" i="2"/>
  <c r="D389" i="2"/>
  <c r="E389" i="2"/>
  <c r="F389" i="2"/>
  <c r="T389" i="2"/>
  <c r="K389" i="2"/>
  <c r="L389" i="2"/>
  <c r="M389" i="2"/>
  <c r="N389" i="2"/>
  <c r="P389" i="2"/>
  <c r="R389" i="2"/>
  <c r="A283" i="2"/>
  <c r="B283" i="2"/>
  <c r="C283" i="2"/>
  <c r="D283" i="2"/>
  <c r="E283" i="2"/>
  <c r="F283" i="2"/>
  <c r="K283" i="2"/>
  <c r="L283" i="2"/>
  <c r="M283" i="2"/>
  <c r="N283" i="2"/>
  <c r="P283" i="2"/>
  <c r="A284" i="2"/>
  <c r="B284" i="2"/>
  <c r="C284" i="2"/>
  <c r="D284" i="2"/>
  <c r="E284" i="2"/>
  <c r="F284" i="2"/>
  <c r="K284" i="2"/>
  <c r="L284" i="2"/>
  <c r="M284" i="2"/>
  <c r="N284" i="2"/>
  <c r="P284" i="2"/>
  <c r="A285" i="2"/>
  <c r="B285" i="2"/>
  <c r="C285" i="2"/>
  <c r="D285" i="2"/>
  <c r="E285" i="2"/>
  <c r="F285" i="2"/>
  <c r="S285" i="2"/>
  <c r="K285" i="2"/>
  <c r="L285" i="2"/>
  <c r="M285" i="2"/>
  <c r="N285" i="2"/>
  <c r="P285" i="2"/>
  <c r="R285" i="2"/>
  <c r="T285" i="2"/>
  <c r="A286" i="2"/>
  <c r="B286" i="2"/>
  <c r="C286" i="2"/>
  <c r="D286" i="2"/>
  <c r="E286" i="2"/>
  <c r="F286" i="2"/>
  <c r="S286" i="2"/>
  <c r="K286" i="2"/>
  <c r="L286" i="2"/>
  <c r="M286" i="2"/>
  <c r="N286" i="2"/>
  <c r="P286" i="2"/>
  <c r="X286" i="2"/>
  <c r="W286" i="2"/>
  <c r="A287" i="2"/>
  <c r="B287" i="2"/>
  <c r="C287" i="2"/>
  <c r="D287" i="2"/>
  <c r="E287" i="2"/>
  <c r="F287" i="2"/>
  <c r="K287" i="2"/>
  <c r="L287" i="2"/>
  <c r="M287" i="2"/>
  <c r="N287" i="2"/>
  <c r="P287" i="2"/>
  <c r="R287" i="2"/>
  <c r="P282" i="2"/>
  <c r="N282" i="2"/>
  <c r="M282" i="2"/>
  <c r="L282" i="2"/>
  <c r="K282" i="2"/>
  <c r="F282" i="2"/>
  <c r="E282" i="2"/>
  <c r="D282" i="2"/>
  <c r="C282" i="2"/>
  <c r="B282" i="2"/>
  <c r="A282" i="2"/>
  <c r="X375" i="2" l="1"/>
  <c r="W374" i="2"/>
  <c r="X367" i="2"/>
  <c r="W366" i="2"/>
  <c r="X359" i="2"/>
  <c r="W358" i="2"/>
  <c r="X351" i="2"/>
  <c r="X347" i="2"/>
  <c r="W314" i="2"/>
  <c r="X298" i="2"/>
  <c r="X294" i="2"/>
  <c r="W322" i="2"/>
  <c r="Y328" i="2"/>
  <c r="Y386" i="2"/>
  <c r="Y285" i="2"/>
  <c r="Y379" i="2"/>
  <c r="Y367" i="2"/>
  <c r="Y355" i="2"/>
  <c r="Y330" i="2"/>
  <c r="Y375" i="2"/>
  <c r="Y332" i="2"/>
  <c r="Y321" i="2"/>
  <c r="Y305" i="2"/>
  <c r="Y289" i="2"/>
  <c r="Y287" i="2"/>
  <c r="Y338" i="2"/>
  <c r="Y324" i="2"/>
  <c r="Y345" i="2"/>
  <c r="Y313" i="2"/>
  <c r="Y298" i="2"/>
  <c r="Y290" i="2"/>
  <c r="Y323" i="2"/>
  <c r="Y384" i="2"/>
  <c r="Y360" i="2"/>
  <c r="Y356" i="2"/>
  <c r="Y353" i="2"/>
  <c r="Y377" i="2"/>
  <c r="Y369" i="2"/>
  <c r="Y364" i="2"/>
  <c r="Y381" i="2"/>
  <c r="Y373" i="2"/>
  <c r="Y366" i="2"/>
  <c r="Y358" i="2"/>
  <c r="Y351" i="2"/>
  <c r="X329" i="2"/>
  <c r="W329" i="2"/>
  <c r="X321" i="2"/>
  <c r="W321" i="2"/>
  <c r="X379" i="2"/>
  <c r="W378" i="2"/>
  <c r="X373" i="2"/>
  <c r="X363" i="2"/>
  <c r="W362" i="2"/>
  <c r="X357" i="2"/>
  <c r="X343" i="2"/>
  <c r="X335" i="2"/>
  <c r="X331" i="2"/>
  <c r="W316" i="2"/>
  <c r="X316" i="2"/>
  <c r="W324" i="2"/>
  <c r="X324" i="2"/>
  <c r="W288" i="2"/>
  <c r="X288" i="2"/>
  <c r="X387" i="2"/>
  <c r="W386" i="2"/>
  <c r="X381" i="2"/>
  <c r="X371" i="2"/>
  <c r="W370" i="2"/>
  <c r="X365" i="2"/>
  <c r="X341" i="2"/>
  <c r="X313" i="2"/>
  <c r="W313" i="2"/>
  <c r="W296" i="2"/>
  <c r="X296" i="2"/>
  <c r="Y343" i="2"/>
  <c r="W339" i="2"/>
  <c r="W337" i="2"/>
  <c r="X325" i="2"/>
  <c r="W325" i="2"/>
  <c r="X317" i="2"/>
  <c r="W317" i="2"/>
  <c r="W308" i="2"/>
  <c r="X308" i="2"/>
  <c r="X384" i="2"/>
  <c r="X380" i="2"/>
  <c r="X376" i="2"/>
  <c r="X372" i="2"/>
  <c r="X368" i="2"/>
  <c r="X364" i="2"/>
  <c r="X360" i="2"/>
  <c r="X356" i="2"/>
  <c r="W355" i="2"/>
  <c r="W353" i="2"/>
  <c r="W347" i="2"/>
  <c r="W345" i="2"/>
  <c r="Y341" i="2"/>
  <c r="X339" i="2"/>
  <c r="X337" i="2"/>
  <c r="W330" i="2"/>
  <c r="W328" i="2"/>
  <c r="X328" i="2"/>
  <c r="Y300" i="2"/>
  <c r="Y314" i="2"/>
  <c r="W306" i="2"/>
  <c r="Y302" i="2"/>
  <c r="Y296" i="2"/>
  <c r="W292" i="2"/>
  <c r="W290" i="2"/>
  <c r="X306" i="2"/>
  <c r="W300" i="2"/>
  <c r="W298" i="2"/>
  <c r="Y294" i="2"/>
  <c r="X292" i="2"/>
  <c r="X290" i="2"/>
  <c r="W285" i="2"/>
  <c r="X285" i="2"/>
  <c r="W287" i="2"/>
  <c r="X287" i="2"/>
  <c r="N227" i="2"/>
  <c r="K387" i="1"/>
  <c r="K386" i="1"/>
  <c r="H385" i="1"/>
  <c r="G386" i="1"/>
  <c r="H387" i="1"/>
  <c r="G384" i="1"/>
  <c r="H383" i="1"/>
  <c r="H380" i="1"/>
  <c r="G381" i="1"/>
  <c r="F377" i="1"/>
  <c r="K368" i="1"/>
  <c r="X354" i="2" l="1"/>
  <c r="W354" i="2"/>
  <c r="X338" i="2"/>
  <c r="W338" i="2"/>
  <c r="X340" i="2"/>
  <c r="W340" i="2"/>
  <c r="X332" i="2"/>
  <c r="W332" i="2"/>
  <c r="W327" i="2"/>
  <c r="X327" i="2"/>
  <c r="W323" i="2"/>
  <c r="X323" i="2"/>
  <c r="X289" i="2"/>
  <c r="W289" i="2"/>
  <c r="X344" i="2"/>
  <c r="W344" i="2"/>
  <c r="X305" i="2"/>
  <c r="W305" i="2"/>
  <c r="X352" i="2"/>
  <c r="W352" i="2"/>
  <c r="X299" i="2"/>
  <c r="W299" i="2"/>
  <c r="X301" i="2"/>
  <c r="W301" i="2"/>
  <c r="X309" i="2"/>
  <c r="W309" i="2"/>
  <c r="X303" i="2"/>
  <c r="W303" i="2"/>
  <c r="X342" i="2"/>
  <c r="W342" i="2"/>
  <c r="X291" i="2"/>
  <c r="W291" i="2"/>
  <c r="X293" i="2"/>
  <c r="W293" i="2"/>
  <c r="X307" i="2"/>
  <c r="W307" i="2"/>
  <c r="X295" i="2"/>
  <c r="W295" i="2"/>
  <c r="W315" i="2"/>
  <c r="X315" i="2"/>
  <c r="X346" i="2"/>
  <c r="W346" i="2"/>
  <c r="X297" i="2"/>
  <c r="W297" i="2"/>
  <c r="K365" i="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87" i="4" l="1"/>
  <c r="C265" i="4"/>
  <c r="B216" i="4"/>
  <c r="C216" i="4"/>
  <c r="C190" i="4"/>
  <c r="C169" i="4"/>
  <c r="C119" i="4"/>
  <c r="L119" i="4" s="1"/>
  <c r="B39" i="4"/>
  <c r="K37" i="4" s="1"/>
  <c r="C4" i="4"/>
  <c r="L4" i="4" s="1"/>
  <c r="B4" i="4"/>
  <c r="K4" i="4" s="1"/>
  <c r="J325" i="4" l="1"/>
  <c r="J316" i="4"/>
  <c r="J296" i="4"/>
  <c r="J291" i="4"/>
  <c r="J318" i="4"/>
  <c r="J298" i="4"/>
  <c r="J293" i="4"/>
  <c r="J288" i="4"/>
  <c r="J275" i="4"/>
  <c r="J266" i="4"/>
  <c r="J268" i="4"/>
  <c r="J277" i="4"/>
  <c r="J259" i="4"/>
  <c r="J261" i="4"/>
  <c r="J257" i="4"/>
  <c r="J238" i="4"/>
  <c r="J240" i="4"/>
  <c r="J217" i="4"/>
  <c r="J191" i="4"/>
  <c r="J170" i="4"/>
  <c r="J165" i="4"/>
  <c r="A213" i="4"/>
  <c r="K213" i="4" s="1"/>
  <c r="B213" i="4"/>
  <c r="C213" i="4"/>
  <c r="L213" i="4" s="1"/>
  <c r="F213" i="4"/>
  <c r="I213" i="4"/>
  <c r="A215" i="4"/>
  <c r="J215" i="4" s="1"/>
  <c r="B215" i="4"/>
  <c r="K215" i="4" s="1"/>
  <c r="C215" i="4"/>
  <c r="L215" i="4" s="1"/>
  <c r="F215" i="4"/>
  <c r="I215" i="4"/>
  <c r="A216" i="4"/>
  <c r="J216" i="4" s="1"/>
  <c r="K216" i="4"/>
  <c r="L216" i="4"/>
  <c r="F216" i="4"/>
  <c r="I216" i="4"/>
  <c r="A218" i="4"/>
  <c r="J218" i="4" s="1"/>
  <c r="B218" i="4"/>
  <c r="K218" i="4" s="1"/>
  <c r="C218" i="4"/>
  <c r="L218" i="4" s="1"/>
  <c r="F218" i="4"/>
  <c r="I218" i="4"/>
  <c r="A219" i="4"/>
  <c r="J219" i="4" s="1"/>
  <c r="B219" i="4"/>
  <c r="K219" i="4" s="1"/>
  <c r="C219" i="4"/>
  <c r="L219" i="4" s="1"/>
  <c r="F219" i="4"/>
  <c r="I219" i="4"/>
  <c r="A220" i="4"/>
  <c r="J220" i="4" s="1"/>
  <c r="B220" i="4"/>
  <c r="K220" i="4" s="1"/>
  <c r="C220" i="4"/>
  <c r="L220" i="4" s="1"/>
  <c r="F220" i="4"/>
  <c r="I220"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9" i="4"/>
  <c r="J239" i="4" s="1"/>
  <c r="B239" i="4"/>
  <c r="K239" i="4" s="1"/>
  <c r="C239" i="4"/>
  <c r="L239" i="4" s="1"/>
  <c r="F239" i="4"/>
  <c r="I239" i="4"/>
  <c r="A241" i="4"/>
  <c r="J241" i="4" s="1"/>
  <c r="B241" i="4"/>
  <c r="K241" i="4" s="1"/>
  <c r="C241" i="4"/>
  <c r="L241" i="4" s="1"/>
  <c r="F241" i="4"/>
  <c r="I241" i="4"/>
  <c r="A242" i="4"/>
  <c r="J242" i="4" s="1"/>
  <c r="B242" i="4"/>
  <c r="K242" i="4" s="1"/>
  <c r="C242" i="4"/>
  <c r="L242" i="4" s="1"/>
  <c r="F242" i="4"/>
  <c r="I242" i="4"/>
  <c r="A243" i="4"/>
  <c r="J243" i="4" s="1"/>
  <c r="B243" i="4"/>
  <c r="K243" i="4" s="1"/>
  <c r="C243" i="4"/>
  <c r="L243" i="4" s="1"/>
  <c r="F243" i="4"/>
  <c r="I243"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8" i="4"/>
  <c r="J258" i="4" s="1"/>
  <c r="B258" i="4"/>
  <c r="K258" i="4" s="1"/>
  <c r="C258" i="4"/>
  <c r="L258" i="4" s="1"/>
  <c r="F258" i="4"/>
  <c r="I258" i="4"/>
  <c r="A260" i="4"/>
  <c r="J260" i="4" s="1"/>
  <c r="B260" i="4"/>
  <c r="K260" i="4" s="1"/>
  <c r="C260" i="4"/>
  <c r="L260" i="4" s="1"/>
  <c r="F260" i="4"/>
  <c r="I260" i="4"/>
  <c r="A262" i="4"/>
  <c r="J262" i="4" s="1"/>
  <c r="B262" i="4"/>
  <c r="C262" i="4"/>
  <c r="L262" i="4" s="1"/>
  <c r="F262" i="4"/>
  <c r="I262" i="4"/>
  <c r="K262" i="4"/>
  <c r="A263" i="4"/>
  <c r="K263" i="4" s="1"/>
  <c r="B263" i="4"/>
  <c r="C263" i="4"/>
  <c r="L263" i="4" s="1"/>
  <c r="F263" i="4"/>
  <c r="I263" i="4"/>
  <c r="A265" i="4"/>
  <c r="J265" i="4" s="1"/>
  <c r="B265" i="4"/>
  <c r="K265" i="4" s="1"/>
  <c r="L265" i="4"/>
  <c r="F265" i="4"/>
  <c r="I265" i="4"/>
  <c r="A267" i="4"/>
  <c r="J267" i="4" s="1"/>
  <c r="B267" i="4"/>
  <c r="C267" i="4"/>
  <c r="L267" i="4" s="1"/>
  <c r="F267" i="4"/>
  <c r="I267" i="4"/>
  <c r="K267" i="4"/>
  <c r="A269" i="4"/>
  <c r="J269" i="4" s="1"/>
  <c r="B269" i="4"/>
  <c r="K269" i="4" s="1"/>
  <c r="C269" i="4"/>
  <c r="L269" i="4" s="1"/>
  <c r="F269" i="4"/>
  <c r="I269" i="4"/>
  <c r="A270" i="4"/>
  <c r="J270" i="4" s="1"/>
  <c r="B270" i="4"/>
  <c r="K270" i="4" s="1"/>
  <c r="C270" i="4"/>
  <c r="L270" i="4" s="1"/>
  <c r="F270" i="4"/>
  <c r="I270" i="4"/>
  <c r="A271" i="4"/>
  <c r="J271" i="4" s="1"/>
  <c r="B271" i="4"/>
  <c r="C271" i="4"/>
  <c r="L271" i="4" s="1"/>
  <c r="F271" i="4"/>
  <c r="I271" i="4"/>
  <c r="K271"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6" i="4"/>
  <c r="J276" i="4" s="1"/>
  <c r="B276" i="4"/>
  <c r="K276" i="4" s="1"/>
  <c r="C276" i="4"/>
  <c r="L276" i="4" s="1"/>
  <c r="F276" i="4"/>
  <c r="I276" i="4"/>
  <c r="A278" i="4"/>
  <c r="J278" i="4" s="1"/>
  <c r="B278" i="4"/>
  <c r="K278" i="4" s="1"/>
  <c r="C278" i="4"/>
  <c r="L278" i="4" s="1"/>
  <c r="F278" i="4"/>
  <c r="I278" i="4"/>
  <c r="A279" i="4"/>
  <c r="J279" i="4" s="1"/>
  <c r="B279" i="4"/>
  <c r="K279" i="4" s="1"/>
  <c r="C279" i="4"/>
  <c r="L279" i="4" s="1"/>
  <c r="F279" i="4"/>
  <c r="I279" i="4"/>
  <c r="A280" i="4"/>
  <c r="J280" i="4" s="1"/>
  <c r="B280" i="4"/>
  <c r="K280" i="4" s="1"/>
  <c r="C280" i="4"/>
  <c r="L280" i="4" s="1"/>
  <c r="F280" i="4"/>
  <c r="I280" i="4"/>
  <c r="A281" i="4"/>
  <c r="J281" i="4" s="1"/>
  <c r="B281" i="4"/>
  <c r="C281" i="4"/>
  <c r="L281" i="4" s="1"/>
  <c r="F281" i="4"/>
  <c r="I281" i="4"/>
  <c r="K281" i="4"/>
  <c r="A282" i="4"/>
  <c r="J282" i="4" s="1"/>
  <c r="B282" i="4"/>
  <c r="K282" i="4" s="1"/>
  <c r="C282" i="4"/>
  <c r="L282" i="4" s="1"/>
  <c r="F282" i="4"/>
  <c r="I282" i="4"/>
  <c r="A283" i="4"/>
  <c r="J283" i="4" s="1"/>
  <c r="B283" i="4"/>
  <c r="K283" i="4" s="1"/>
  <c r="C283" i="4"/>
  <c r="L283" i="4" s="1"/>
  <c r="F283" i="4"/>
  <c r="I283" i="4"/>
  <c r="A284" i="4"/>
  <c r="J284" i="4" s="1"/>
  <c r="B284" i="4"/>
  <c r="K284" i="4" s="1"/>
  <c r="C284" i="4"/>
  <c r="L284" i="4" s="1"/>
  <c r="F284" i="4"/>
  <c r="I284" i="4"/>
  <c r="A285" i="4"/>
  <c r="K285" i="4" s="1"/>
  <c r="B285" i="4"/>
  <c r="C285" i="4"/>
  <c r="L285" i="4" s="1"/>
  <c r="F285" i="4"/>
  <c r="I285" i="4"/>
  <c r="A287" i="4"/>
  <c r="J287" i="4" s="1"/>
  <c r="B287" i="4"/>
  <c r="K287" i="4" s="1"/>
  <c r="L287" i="4"/>
  <c r="F287" i="4"/>
  <c r="I287" i="4"/>
  <c r="A289" i="4"/>
  <c r="J289" i="4" s="1"/>
  <c r="B289" i="4"/>
  <c r="K289" i="4" s="1"/>
  <c r="C289" i="4"/>
  <c r="L289" i="4" s="1"/>
  <c r="F289" i="4"/>
  <c r="I289" i="4"/>
  <c r="A290" i="4"/>
  <c r="J290" i="4" s="1"/>
  <c r="B290" i="4"/>
  <c r="C290" i="4"/>
  <c r="L290" i="4" s="1"/>
  <c r="F290" i="4"/>
  <c r="I290" i="4"/>
  <c r="K290" i="4"/>
  <c r="A292" i="4"/>
  <c r="J292" i="4" s="1"/>
  <c r="B292" i="4"/>
  <c r="K292" i="4" s="1"/>
  <c r="C292" i="4"/>
  <c r="L292" i="4" s="1"/>
  <c r="F292" i="4"/>
  <c r="I292" i="4"/>
  <c r="A294" i="4"/>
  <c r="J294" i="4" s="1"/>
  <c r="B294" i="4"/>
  <c r="K294" i="4" s="1"/>
  <c r="C294" i="4"/>
  <c r="L294" i="4" s="1"/>
  <c r="F294" i="4"/>
  <c r="I294" i="4"/>
  <c r="A295" i="4"/>
  <c r="J295" i="4" s="1"/>
  <c r="B295" i="4"/>
  <c r="C295" i="4"/>
  <c r="F295" i="4"/>
  <c r="I295" i="4"/>
  <c r="K295" i="4"/>
  <c r="L295" i="4"/>
  <c r="A297" i="4"/>
  <c r="J297" i="4" s="1"/>
  <c r="B297" i="4"/>
  <c r="K297" i="4" s="1"/>
  <c r="C297" i="4"/>
  <c r="L297" i="4" s="1"/>
  <c r="F297" i="4"/>
  <c r="I297" i="4"/>
  <c r="A299" i="4"/>
  <c r="J299" i="4" s="1"/>
  <c r="B299" i="4"/>
  <c r="K299" i="4" s="1"/>
  <c r="C299" i="4"/>
  <c r="L299" i="4" s="1"/>
  <c r="F299" i="4"/>
  <c r="I299" i="4"/>
  <c r="A300" i="4"/>
  <c r="J300" i="4" s="1"/>
  <c r="B300" i="4"/>
  <c r="C300" i="4"/>
  <c r="F300" i="4"/>
  <c r="I300" i="4"/>
  <c r="K300" i="4"/>
  <c r="L300" i="4"/>
  <c r="A301" i="4"/>
  <c r="J301" i="4" s="1"/>
  <c r="B301" i="4"/>
  <c r="K301" i="4" s="1"/>
  <c r="C301" i="4"/>
  <c r="L301" i="4" s="1"/>
  <c r="F301" i="4"/>
  <c r="I301" i="4"/>
  <c r="A302" i="4"/>
  <c r="J302" i="4" s="1"/>
  <c r="B302" i="4"/>
  <c r="K302" i="4" s="1"/>
  <c r="C302" i="4"/>
  <c r="L302" i="4" s="1"/>
  <c r="F302" i="4"/>
  <c r="I302" i="4"/>
  <c r="A303" i="4"/>
  <c r="J303" i="4" s="1"/>
  <c r="B303" i="4"/>
  <c r="K303" i="4" s="1"/>
  <c r="C303" i="4"/>
  <c r="L303" i="4" s="1"/>
  <c r="F303" i="4"/>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C313" i="4"/>
  <c r="L313" i="4" s="1"/>
  <c r="F313" i="4"/>
  <c r="I313" i="4"/>
  <c r="K313" i="4"/>
  <c r="A314" i="4"/>
  <c r="J314" i="4" s="1"/>
  <c r="B314" i="4"/>
  <c r="K314" i="4" s="1"/>
  <c r="C314" i="4"/>
  <c r="L314" i="4" s="1"/>
  <c r="F314" i="4"/>
  <c r="I314" i="4"/>
  <c r="A315" i="4"/>
  <c r="J315" i="4" s="1"/>
  <c r="B315" i="4"/>
  <c r="C315" i="4"/>
  <c r="L315" i="4" s="1"/>
  <c r="F315" i="4"/>
  <c r="I315" i="4"/>
  <c r="K315" i="4"/>
  <c r="A317" i="4"/>
  <c r="J317" i="4" s="1"/>
  <c r="B317" i="4"/>
  <c r="K317" i="4" s="1"/>
  <c r="C317" i="4"/>
  <c r="L317" i="4" s="1"/>
  <c r="F317" i="4"/>
  <c r="I317" i="4"/>
  <c r="A319" i="4"/>
  <c r="J319" i="4" s="1"/>
  <c r="B319" i="4"/>
  <c r="K319" i="4" s="1"/>
  <c r="C319" i="4"/>
  <c r="L319" i="4" s="1"/>
  <c r="F319" i="4"/>
  <c r="I319" i="4"/>
  <c r="A320" i="4"/>
  <c r="J320" i="4" s="1"/>
  <c r="B320" i="4"/>
  <c r="K320" i="4" s="1"/>
  <c r="C320" i="4"/>
  <c r="L320" i="4" s="1"/>
  <c r="F320" i="4"/>
  <c r="I320" i="4"/>
  <c r="A321" i="4"/>
  <c r="J321" i="4" s="1"/>
  <c r="B321" i="4"/>
  <c r="K321" i="4" s="1"/>
  <c r="C321" i="4"/>
  <c r="L321" i="4" s="1"/>
  <c r="F321" i="4"/>
  <c r="I321"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6" i="4"/>
  <c r="J326" i="4" s="1"/>
  <c r="B326" i="4"/>
  <c r="K326" i="4" s="1"/>
  <c r="C326" i="4"/>
  <c r="L326" i="4" s="1"/>
  <c r="F326" i="4"/>
  <c r="I326" i="4"/>
  <c r="A327" i="4"/>
  <c r="J327" i="4" s="1"/>
  <c r="B327" i="4"/>
  <c r="K327" i="4" s="1"/>
  <c r="C327" i="4"/>
  <c r="L327" i="4" s="1"/>
  <c r="F327" i="4"/>
  <c r="I327" i="4"/>
  <c r="A239" i="2" l="1"/>
  <c r="B239" i="2"/>
  <c r="C239" i="2"/>
  <c r="D239" i="2"/>
  <c r="E239" i="2"/>
  <c r="F239" i="2"/>
  <c r="D276" i="4"/>
  <c r="M276" i="4" s="1"/>
  <c r="E276" i="4"/>
  <c r="N276" i="4" s="1"/>
  <c r="T239" i="2"/>
  <c r="K239" i="2"/>
  <c r="L239" i="2"/>
  <c r="M239" i="2"/>
  <c r="N239" i="2"/>
  <c r="P239" i="2"/>
  <c r="H276" i="4" s="1"/>
  <c r="P276" i="4" s="1"/>
  <c r="A240" i="2"/>
  <c r="B240" i="2"/>
  <c r="C240" i="2"/>
  <c r="D240" i="2"/>
  <c r="E240" i="2"/>
  <c r="F240" i="2"/>
  <c r="E278" i="4"/>
  <c r="N278" i="4" s="1"/>
  <c r="T240" i="2"/>
  <c r="K240" i="2"/>
  <c r="L240" i="2"/>
  <c r="M240" i="2"/>
  <c r="N240" i="2"/>
  <c r="G278" i="4" s="1"/>
  <c r="P240" i="2"/>
  <c r="H278" i="4" s="1"/>
  <c r="P278" i="4" s="1"/>
  <c r="A241" i="2"/>
  <c r="B241" i="2"/>
  <c r="C241" i="2"/>
  <c r="D241" i="2"/>
  <c r="E241" i="2"/>
  <c r="F241" i="2"/>
  <c r="T241" i="2"/>
  <c r="K241" i="2"/>
  <c r="C241" i="3" s="1"/>
  <c r="L241" i="2"/>
  <c r="M241" i="2"/>
  <c r="N241" i="2"/>
  <c r="G279" i="4" s="1"/>
  <c r="P241" i="2"/>
  <c r="H279" i="4" s="1"/>
  <c r="P279" i="4" s="1"/>
  <c r="A242" i="2"/>
  <c r="B242" i="2"/>
  <c r="C242" i="2"/>
  <c r="D242" i="2"/>
  <c r="E242" i="2"/>
  <c r="F242" i="2"/>
  <c r="D280" i="4"/>
  <c r="M280" i="4" s="1"/>
  <c r="T242" i="2"/>
  <c r="K242" i="2"/>
  <c r="L242" i="2"/>
  <c r="M242" i="2"/>
  <c r="N242" i="2"/>
  <c r="G280" i="4" s="1"/>
  <c r="P242" i="2"/>
  <c r="H280" i="4" s="1"/>
  <c r="P280" i="4" s="1"/>
  <c r="A243" i="2"/>
  <c r="B243" i="2"/>
  <c r="C243" i="2"/>
  <c r="D243" i="2"/>
  <c r="E243" i="2"/>
  <c r="F243" i="2"/>
  <c r="D281" i="4"/>
  <c r="M281" i="4" s="1"/>
  <c r="E281" i="4"/>
  <c r="N281" i="4" s="1"/>
  <c r="T243" i="2"/>
  <c r="K243" i="2"/>
  <c r="L243" i="2"/>
  <c r="M243" i="2"/>
  <c r="N243" i="2"/>
  <c r="G281" i="4" s="1"/>
  <c r="P243" i="2"/>
  <c r="H281" i="4" s="1"/>
  <c r="P281" i="4" s="1"/>
  <c r="A244" i="2"/>
  <c r="B244" i="2"/>
  <c r="C244" i="2"/>
  <c r="D244" i="2"/>
  <c r="E244" i="2"/>
  <c r="F244" i="2"/>
  <c r="E282" i="4"/>
  <c r="N282" i="4" s="1"/>
  <c r="K244" i="2"/>
  <c r="L244" i="2"/>
  <c r="M244" i="2"/>
  <c r="N244" i="2"/>
  <c r="G282" i="4" s="1"/>
  <c r="P244" i="2"/>
  <c r="H282" i="4" s="1"/>
  <c r="P282" i="4" s="1"/>
  <c r="S244" i="2"/>
  <c r="T244" i="2"/>
  <c r="A245" i="2"/>
  <c r="B245" i="2"/>
  <c r="C245" i="2"/>
  <c r="D245" i="2"/>
  <c r="E245" i="2"/>
  <c r="F245" i="2"/>
  <c r="T245" i="2"/>
  <c r="K245" i="2"/>
  <c r="C245" i="3" s="1"/>
  <c r="L245" i="2"/>
  <c r="M245" i="2"/>
  <c r="N245" i="2"/>
  <c r="G283" i="4" s="1"/>
  <c r="P245" i="2"/>
  <c r="H283" i="4" s="1"/>
  <c r="P283" i="4" s="1"/>
  <c r="A246" i="2"/>
  <c r="B246" i="2"/>
  <c r="C246" i="2"/>
  <c r="D246" i="2"/>
  <c r="E246" i="2"/>
  <c r="F246" i="2"/>
  <c r="D284" i="4"/>
  <c r="M284" i="4" s="1"/>
  <c r="T246" i="2"/>
  <c r="K246" i="2"/>
  <c r="C246" i="3" s="1"/>
  <c r="L246" i="2"/>
  <c r="M246" i="2"/>
  <c r="N246" i="2"/>
  <c r="G284" i="4" s="1"/>
  <c r="P246" i="2"/>
  <c r="H284" i="4" s="1"/>
  <c r="P284" i="4" s="1"/>
  <c r="A247" i="2"/>
  <c r="B247" i="2"/>
  <c r="B247" i="3" s="1"/>
  <c r="C247" i="2"/>
  <c r="D247" i="2"/>
  <c r="E247" i="2"/>
  <c r="F247" i="2"/>
  <c r="D285" i="4"/>
  <c r="M285" i="4" s="1"/>
  <c r="E285" i="4"/>
  <c r="N285" i="4" s="1"/>
  <c r="K247" i="2"/>
  <c r="L247" i="2"/>
  <c r="M247" i="2"/>
  <c r="N247" i="2"/>
  <c r="G285" i="4" s="1"/>
  <c r="P247" i="2"/>
  <c r="H285" i="4" s="1"/>
  <c r="P285" i="4" s="1"/>
  <c r="A248" i="2"/>
  <c r="B248" i="2"/>
  <c r="B248" i="3" s="1"/>
  <c r="C248" i="2"/>
  <c r="D248" i="2"/>
  <c r="E248" i="2"/>
  <c r="F248" i="2"/>
  <c r="E287" i="4"/>
  <c r="N287" i="4" s="1"/>
  <c r="K248" i="2"/>
  <c r="L248" i="2"/>
  <c r="M248" i="2"/>
  <c r="N248" i="2"/>
  <c r="G287" i="4" s="1"/>
  <c r="P248" i="2"/>
  <c r="H287" i="4" s="1"/>
  <c r="P287" i="4" s="1"/>
  <c r="A249" i="2"/>
  <c r="B249" i="2"/>
  <c r="C249" i="2"/>
  <c r="D249" i="2"/>
  <c r="E249" i="2"/>
  <c r="F249" i="2"/>
  <c r="T249" i="2"/>
  <c r="K249" i="2"/>
  <c r="C249" i="3" s="1"/>
  <c r="L249" i="2"/>
  <c r="M249" i="2"/>
  <c r="N249" i="2"/>
  <c r="G289" i="4" s="1"/>
  <c r="P249" i="2"/>
  <c r="H289" i="4" s="1"/>
  <c r="P289" i="4" s="1"/>
  <c r="A250" i="2"/>
  <c r="B250" i="2"/>
  <c r="C250" i="2"/>
  <c r="D250" i="2"/>
  <c r="E250" i="2"/>
  <c r="F250" i="2"/>
  <c r="D290" i="4"/>
  <c r="M290" i="4" s="1"/>
  <c r="T250" i="2"/>
  <c r="K250" i="2"/>
  <c r="C250" i="3" s="1"/>
  <c r="L250" i="2"/>
  <c r="M250" i="2"/>
  <c r="N250" i="2"/>
  <c r="G290" i="4" s="1"/>
  <c r="P250" i="2"/>
  <c r="H290" i="4" s="1"/>
  <c r="P290" i="4" s="1"/>
  <c r="A251" i="2"/>
  <c r="B251" i="2"/>
  <c r="C251" i="2"/>
  <c r="D251" i="2"/>
  <c r="E251" i="2"/>
  <c r="F251" i="2"/>
  <c r="D292" i="4"/>
  <c r="M292" i="4" s="1"/>
  <c r="E292" i="4"/>
  <c r="N292" i="4" s="1"/>
  <c r="T251" i="2"/>
  <c r="K251" i="2"/>
  <c r="L251" i="2"/>
  <c r="M251" i="2"/>
  <c r="N251" i="2"/>
  <c r="G292" i="4" s="1"/>
  <c r="O292" i="4" s="1"/>
  <c r="P251" i="2"/>
  <c r="H292" i="4" s="1"/>
  <c r="P292" i="4" s="1"/>
  <c r="A252" i="2"/>
  <c r="B252" i="2"/>
  <c r="C252" i="2"/>
  <c r="D252" i="2"/>
  <c r="E252" i="2"/>
  <c r="F252" i="2"/>
  <c r="E294" i="4"/>
  <c r="N294" i="4" s="1"/>
  <c r="T252" i="2"/>
  <c r="K252" i="2"/>
  <c r="L252" i="2"/>
  <c r="M252" i="2"/>
  <c r="N252" i="2"/>
  <c r="G294" i="4" s="1"/>
  <c r="P252" i="2"/>
  <c r="H294" i="4" s="1"/>
  <c r="P294" i="4" s="1"/>
  <c r="A253" i="2"/>
  <c r="B253" i="2"/>
  <c r="C253" i="2"/>
  <c r="D253" i="2"/>
  <c r="E253" i="2"/>
  <c r="F253" i="2"/>
  <c r="T253" i="2"/>
  <c r="K253" i="2"/>
  <c r="C253" i="3" s="1"/>
  <c r="L253" i="2"/>
  <c r="M253" i="2"/>
  <c r="N253" i="2"/>
  <c r="G295" i="4" s="1"/>
  <c r="P253" i="2"/>
  <c r="H295" i="4" s="1"/>
  <c r="P295" i="4" s="1"/>
  <c r="A254" i="2"/>
  <c r="B254" i="2"/>
  <c r="C254" i="2"/>
  <c r="D254" i="2"/>
  <c r="E254" i="2"/>
  <c r="F254" i="2"/>
  <c r="D297" i="4"/>
  <c r="M297" i="4" s="1"/>
  <c r="T254" i="2"/>
  <c r="K254" i="2"/>
  <c r="L254" i="2"/>
  <c r="M254" i="2"/>
  <c r="N254" i="2"/>
  <c r="G297" i="4" s="1"/>
  <c r="O297" i="4" s="1"/>
  <c r="P254" i="2"/>
  <c r="H297" i="4" s="1"/>
  <c r="P297" i="4" s="1"/>
  <c r="A255" i="2"/>
  <c r="B255" i="2"/>
  <c r="C255" i="2"/>
  <c r="D255" i="2"/>
  <c r="E255" i="2"/>
  <c r="F255" i="2"/>
  <c r="D299" i="4"/>
  <c r="M299" i="4" s="1"/>
  <c r="E299" i="4"/>
  <c r="N299" i="4" s="1"/>
  <c r="T255" i="2"/>
  <c r="K255" i="2"/>
  <c r="C255" i="3" s="1"/>
  <c r="L255" i="2"/>
  <c r="M255" i="2"/>
  <c r="N255" i="2"/>
  <c r="G299" i="4" s="1"/>
  <c r="P255" i="2"/>
  <c r="H299" i="4" s="1"/>
  <c r="P299" i="4" s="1"/>
  <c r="S255" i="2"/>
  <c r="A256" i="2"/>
  <c r="B256" i="2"/>
  <c r="C256" i="2"/>
  <c r="D256" i="2"/>
  <c r="E256" i="2"/>
  <c r="F256" i="2"/>
  <c r="E300" i="4"/>
  <c r="N300" i="4" s="1"/>
  <c r="K256" i="2"/>
  <c r="L256" i="2"/>
  <c r="M256" i="2"/>
  <c r="N256" i="2"/>
  <c r="G300" i="4" s="1"/>
  <c r="P256" i="2"/>
  <c r="H300" i="4" s="1"/>
  <c r="P300" i="4" s="1"/>
  <c r="S256" i="2"/>
  <c r="T256" i="2"/>
  <c r="A257" i="2"/>
  <c r="B257" i="2"/>
  <c r="C257" i="2"/>
  <c r="D257" i="2"/>
  <c r="E257" i="2"/>
  <c r="F257" i="2"/>
  <c r="T257" i="2"/>
  <c r="K257" i="2"/>
  <c r="C257" i="3" s="1"/>
  <c r="L257" i="2"/>
  <c r="M257" i="2"/>
  <c r="N257" i="2"/>
  <c r="G301" i="4" s="1"/>
  <c r="P257" i="2"/>
  <c r="H301" i="4" s="1"/>
  <c r="P301" i="4" s="1"/>
  <c r="A258" i="2"/>
  <c r="B258" i="2"/>
  <c r="C258" i="2"/>
  <c r="D258" i="2"/>
  <c r="E258" i="2"/>
  <c r="F258" i="2"/>
  <c r="D302" i="4"/>
  <c r="M302" i="4" s="1"/>
  <c r="T258" i="2"/>
  <c r="K258" i="2"/>
  <c r="L258" i="2"/>
  <c r="M258" i="2"/>
  <c r="N258" i="2"/>
  <c r="G302" i="4" s="1"/>
  <c r="P258" i="2"/>
  <c r="H302" i="4" s="1"/>
  <c r="P302" i="4" s="1"/>
  <c r="A259" i="2"/>
  <c r="B259" i="2"/>
  <c r="C259" i="2"/>
  <c r="D259" i="2"/>
  <c r="E259" i="2"/>
  <c r="F259" i="2"/>
  <c r="D303" i="4"/>
  <c r="M303" i="4" s="1"/>
  <c r="E303" i="4"/>
  <c r="N303" i="4" s="1"/>
  <c r="T259" i="2"/>
  <c r="K259" i="2"/>
  <c r="L259" i="2"/>
  <c r="M259" i="2"/>
  <c r="N259" i="2"/>
  <c r="G303" i="4" s="1"/>
  <c r="P259" i="2"/>
  <c r="H303" i="4" s="1"/>
  <c r="P303" i="4" s="1"/>
  <c r="A260" i="2"/>
  <c r="B260" i="2"/>
  <c r="C260" i="2"/>
  <c r="D260" i="2"/>
  <c r="E260" i="2"/>
  <c r="F260" i="2"/>
  <c r="E304" i="4"/>
  <c r="N304" i="4" s="1"/>
  <c r="T260" i="2"/>
  <c r="K260" i="2"/>
  <c r="L260" i="2"/>
  <c r="M260" i="2"/>
  <c r="N260" i="2"/>
  <c r="G304" i="4" s="1"/>
  <c r="P260" i="2"/>
  <c r="H304" i="4" s="1"/>
  <c r="P304" i="4" s="1"/>
  <c r="A261" i="2"/>
  <c r="B261" i="2"/>
  <c r="C261" i="2"/>
  <c r="D261" i="2"/>
  <c r="E261" i="2"/>
  <c r="F261" i="2"/>
  <c r="T261" i="2"/>
  <c r="K261" i="2"/>
  <c r="C261" i="3" s="1"/>
  <c r="L261" i="2"/>
  <c r="M261" i="2"/>
  <c r="N261" i="2"/>
  <c r="G305" i="4" s="1"/>
  <c r="P261" i="2"/>
  <c r="H305" i="4" s="1"/>
  <c r="P305" i="4" s="1"/>
  <c r="A262" i="2"/>
  <c r="B262" i="2"/>
  <c r="C262" i="2"/>
  <c r="D262" i="2"/>
  <c r="E262" i="2"/>
  <c r="F262" i="2"/>
  <c r="D306" i="4"/>
  <c r="M306" i="4" s="1"/>
  <c r="T262" i="2"/>
  <c r="K262" i="2"/>
  <c r="C262" i="3" s="1"/>
  <c r="L262" i="2"/>
  <c r="M262" i="2"/>
  <c r="N262" i="2"/>
  <c r="G306" i="4" s="1"/>
  <c r="P262" i="2"/>
  <c r="H306" i="4" s="1"/>
  <c r="P306" i="4" s="1"/>
  <c r="A263" i="2"/>
  <c r="B263" i="2"/>
  <c r="C263" i="2"/>
  <c r="D263" i="2"/>
  <c r="E263" i="2"/>
  <c r="F263" i="2"/>
  <c r="D307" i="4"/>
  <c r="E307" i="4"/>
  <c r="N307" i="4" s="1"/>
  <c r="T263" i="2"/>
  <c r="K263" i="2"/>
  <c r="L263" i="2"/>
  <c r="M263" i="2"/>
  <c r="N263" i="2"/>
  <c r="G307" i="4" s="1"/>
  <c r="P263" i="2"/>
  <c r="H307" i="4" s="1"/>
  <c r="P307" i="4" s="1"/>
  <c r="A264" i="2"/>
  <c r="B264" i="2"/>
  <c r="C264" i="2"/>
  <c r="D264" i="2"/>
  <c r="E264" i="2"/>
  <c r="F264" i="2"/>
  <c r="E308" i="4"/>
  <c r="N308" i="4" s="1"/>
  <c r="T264" i="2"/>
  <c r="K264" i="2"/>
  <c r="L264" i="2"/>
  <c r="M264" i="2"/>
  <c r="N264" i="2"/>
  <c r="G308" i="4" s="1"/>
  <c r="P264" i="2"/>
  <c r="H308" i="4" s="1"/>
  <c r="P308" i="4" s="1"/>
  <c r="A265" i="2"/>
  <c r="B265" i="2"/>
  <c r="C265" i="2"/>
  <c r="D265" i="2"/>
  <c r="E265" i="2"/>
  <c r="F265" i="2"/>
  <c r="T265" i="2"/>
  <c r="K265" i="2"/>
  <c r="C265" i="3" s="1"/>
  <c r="L265" i="2"/>
  <c r="M265" i="2"/>
  <c r="N265" i="2"/>
  <c r="G309" i="4" s="1"/>
  <c r="P265" i="2"/>
  <c r="H309" i="4" s="1"/>
  <c r="P309" i="4" s="1"/>
  <c r="A266" i="2"/>
  <c r="B266" i="2"/>
  <c r="C266" i="2"/>
  <c r="D266" i="2"/>
  <c r="E266" i="2"/>
  <c r="F266" i="2"/>
  <c r="D310" i="4"/>
  <c r="M310" i="4" s="1"/>
  <c r="T266" i="2"/>
  <c r="K266" i="2"/>
  <c r="C266" i="3" s="1"/>
  <c r="L266" i="2"/>
  <c r="M266" i="2"/>
  <c r="N266" i="2"/>
  <c r="G310" i="4" s="1"/>
  <c r="P266" i="2"/>
  <c r="H310" i="4" s="1"/>
  <c r="P310" i="4" s="1"/>
  <c r="A267" i="2"/>
  <c r="B267" i="2"/>
  <c r="C267" i="2"/>
  <c r="D267" i="2"/>
  <c r="E267" i="2"/>
  <c r="F267" i="2"/>
  <c r="D311" i="4"/>
  <c r="M311" i="4" s="1"/>
  <c r="E311" i="4"/>
  <c r="N311" i="4" s="1"/>
  <c r="T267" i="2"/>
  <c r="K267" i="2"/>
  <c r="L267" i="2"/>
  <c r="M267" i="2"/>
  <c r="N267" i="2"/>
  <c r="G311" i="4" s="1"/>
  <c r="P267" i="2"/>
  <c r="H311" i="4" s="1"/>
  <c r="P311" i="4" s="1"/>
  <c r="A268" i="2"/>
  <c r="B268" i="2"/>
  <c r="C268" i="2"/>
  <c r="D268" i="2"/>
  <c r="E268" i="2"/>
  <c r="F268" i="2"/>
  <c r="E312" i="4"/>
  <c r="N312" i="4" s="1"/>
  <c r="T268" i="2"/>
  <c r="K268" i="2"/>
  <c r="L268" i="2"/>
  <c r="M268" i="2"/>
  <c r="N268" i="2"/>
  <c r="G312" i="4" s="1"/>
  <c r="P268" i="2"/>
  <c r="H312" i="4" s="1"/>
  <c r="P312" i="4" s="1"/>
  <c r="A269" i="2"/>
  <c r="B269" i="2"/>
  <c r="C269" i="2"/>
  <c r="D269" i="2"/>
  <c r="E269" i="2"/>
  <c r="F269" i="2"/>
  <c r="T269" i="2"/>
  <c r="K269" i="2"/>
  <c r="C269" i="3" s="1"/>
  <c r="L269" i="2"/>
  <c r="M269" i="2"/>
  <c r="N269" i="2"/>
  <c r="G313" i="4" s="1"/>
  <c r="P269" i="2"/>
  <c r="H313" i="4" s="1"/>
  <c r="P313" i="4" s="1"/>
  <c r="A270" i="2"/>
  <c r="B270" i="2"/>
  <c r="C270" i="2"/>
  <c r="D270" i="2"/>
  <c r="E270" i="2"/>
  <c r="F270" i="2"/>
  <c r="D314" i="4"/>
  <c r="T270" i="2"/>
  <c r="K270" i="2"/>
  <c r="C270" i="3" s="1"/>
  <c r="L270" i="2"/>
  <c r="M270" i="2"/>
  <c r="N270" i="2"/>
  <c r="G314" i="4" s="1"/>
  <c r="P270" i="2"/>
  <c r="H314" i="4" s="1"/>
  <c r="P314" i="4" s="1"/>
  <c r="A271" i="2"/>
  <c r="B271" i="2"/>
  <c r="C271" i="2"/>
  <c r="D271" i="2"/>
  <c r="E271" i="2"/>
  <c r="F271" i="2"/>
  <c r="D315" i="4"/>
  <c r="E315" i="4"/>
  <c r="N315" i="4" s="1"/>
  <c r="T271" i="2"/>
  <c r="K271" i="2"/>
  <c r="L271" i="2"/>
  <c r="M271" i="2"/>
  <c r="N271" i="2"/>
  <c r="G315" i="4" s="1"/>
  <c r="P271" i="2"/>
  <c r="H315" i="4" s="1"/>
  <c r="P315" i="4" s="1"/>
  <c r="A272" i="2"/>
  <c r="B272" i="2"/>
  <c r="C272" i="2"/>
  <c r="D272" i="2"/>
  <c r="E272" i="2"/>
  <c r="F272" i="2"/>
  <c r="D317" i="4"/>
  <c r="M317" i="4" s="1"/>
  <c r="E317" i="4"/>
  <c r="N317" i="4" s="1"/>
  <c r="T272" i="2"/>
  <c r="K272" i="2"/>
  <c r="L272" i="2"/>
  <c r="M272" i="2"/>
  <c r="N272" i="2"/>
  <c r="P272" i="2"/>
  <c r="H317" i="4" s="1"/>
  <c r="P317" i="4" s="1"/>
  <c r="A273" i="2"/>
  <c r="B273" i="2"/>
  <c r="C273" i="2"/>
  <c r="D273" i="2"/>
  <c r="E273" i="2"/>
  <c r="F273" i="2"/>
  <c r="T273" i="2"/>
  <c r="K273" i="2"/>
  <c r="C273" i="3" s="1"/>
  <c r="L273" i="2"/>
  <c r="M273" i="2"/>
  <c r="N273" i="2"/>
  <c r="G319" i="4" s="1"/>
  <c r="P273" i="2"/>
  <c r="H319" i="4" s="1"/>
  <c r="P319" i="4" s="1"/>
  <c r="A274" i="2"/>
  <c r="B274" i="2"/>
  <c r="C274" i="2"/>
  <c r="D274" i="2"/>
  <c r="E274" i="2"/>
  <c r="F274" i="2"/>
  <c r="T274" i="2"/>
  <c r="K274" i="2"/>
  <c r="C274" i="3" s="1"/>
  <c r="L274" i="2"/>
  <c r="M274" i="2"/>
  <c r="N274" i="2"/>
  <c r="G320" i="4" s="1"/>
  <c r="P274" i="2"/>
  <c r="H320" i="4" s="1"/>
  <c r="P320" i="4" s="1"/>
  <c r="A275" i="2"/>
  <c r="B275" i="2"/>
  <c r="C275" i="2"/>
  <c r="D275" i="2"/>
  <c r="E275" i="2"/>
  <c r="F275" i="2"/>
  <c r="D321" i="4"/>
  <c r="E321" i="4"/>
  <c r="N321" i="4" s="1"/>
  <c r="T275" i="2"/>
  <c r="K275" i="2"/>
  <c r="L275" i="2"/>
  <c r="M275" i="2"/>
  <c r="N275" i="2"/>
  <c r="G321" i="4" s="1"/>
  <c r="P275" i="2"/>
  <c r="H321" i="4" s="1"/>
  <c r="P321" i="4" s="1"/>
  <c r="A276" i="2"/>
  <c r="B276" i="2"/>
  <c r="C276" i="2"/>
  <c r="D276" i="2"/>
  <c r="E276" i="2"/>
  <c r="F276" i="2"/>
  <c r="D322" i="4"/>
  <c r="E322" i="4"/>
  <c r="N322" i="4" s="1"/>
  <c r="T276" i="2"/>
  <c r="K276" i="2"/>
  <c r="L276" i="2"/>
  <c r="M276" i="2"/>
  <c r="N276" i="2"/>
  <c r="G322" i="4" s="1"/>
  <c r="P276" i="2"/>
  <c r="H322" i="4" s="1"/>
  <c r="P322" i="4" s="1"/>
  <c r="A277" i="2"/>
  <c r="B277" i="2"/>
  <c r="C277" i="2"/>
  <c r="D277" i="2"/>
  <c r="E277" i="2"/>
  <c r="F277" i="2"/>
  <c r="T277" i="2"/>
  <c r="K277" i="2"/>
  <c r="C277" i="3" s="1"/>
  <c r="L277" i="2"/>
  <c r="M277" i="2"/>
  <c r="N277" i="2"/>
  <c r="G323" i="4" s="1"/>
  <c r="O323" i="4" s="1"/>
  <c r="P277" i="2"/>
  <c r="H323" i="4" s="1"/>
  <c r="P323" i="4" s="1"/>
  <c r="A278" i="2"/>
  <c r="B278" i="2"/>
  <c r="C278" i="2"/>
  <c r="D278" i="2"/>
  <c r="E278" i="2"/>
  <c r="F278" i="2"/>
  <c r="T278" i="2"/>
  <c r="K278" i="2"/>
  <c r="C278" i="3" s="1"/>
  <c r="L278" i="2"/>
  <c r="M278" i="2"/>
  <c r="N278" i="2"/>
  <c r="G324" i="4" s="1"/>
  <c r="O324" i="4" s="1"/>
  <c r="P278" i="2"/>
  <c r="H324" i="4" s="1"/>
  <c r="P324" i="4" s="1"/>
  <c r="A279" i="2"/>
  <c r="B279" i="2"/>
  <c r="C279" i="2"/>
  <c r="D279" i="2"/>
  <c r="E279" i="2"/>
  <c r="F279" i="2"/>
  <c r="D326" i="4"/>
  <c r="M326" i="4" s="1"/>
  <c r="E326" i="4"/>
  <c r="N326" i="4" s="1"/>
  <c r="T279" i="2"/>
  <c r="K279" i="2"/>
  <c r="L279" i="2"/>
  <c r="M279" i="2"/>
  <c r="N279" i="2"/>
  <c r="P279" i="2"/>
  <c r="H326" i="4" s="1"/>
  <c r="P326" i="4" s="1"/>
  <c r="A280" i="2"/>
  <c r="B280" i="2"/>
  <c r="C280" i="2"/>
  <c r="D280" i="2"/>
  <c r="E280" i="2"/>
  <c r="F280" i="2"/>
  <c r="D327" i="4"/>
  <c r="M327" i="4" s="1"/>
  <c r="E327" i="4"/>
  <c r="N327" i="4" s="1"/>
  <c r="T280" i="2"/>
  <c r="K280" i="2"/>
  <c r="L280" i="2"/>
  <c r="M280" i="2"/>
  <c r="N280" i="2"/>
  <c r="P280" i="2"/>
  <c r="H327" i="4" s="1"/>
  <c r="P327" i="4" s="1"/>
  <c r="A281" i="2"/>
  <c r="B281" i="2"/>
  <c r="C281" i="2"/>
  <c r="D281" i="2"/>
  <c r="E281" i="2"/>
  <c r="F281" i="2"/>
  <c r="K281" i="2"/>
  <c r="L281" i="2"/>
  <c r="M281" i="2"/>
  <c r="N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S271" i="2"/>
  <c r="S260" i="2"/>
  <c r="R263" i="2"/>
  <c r="Y263" i="2" s="1"/>
  <c r="D263" i="3" s="1"/>
  <c r="C254" i="3"/>
  <c r="S267" i="2"/>
  <c r="S252" i="2"/>
  <c r="S240" i="2"/>
  <c r="S272" i="2"/>
  <c r="C264" i="3"/>
  <c r="C243" i="3"/>
  <c r="W246" i="2"/>
  <c r="S263" i="2"/>
  <c r="R239" i="2"/>
  <c r="S275" i="2"/>
  <c r="O307" i="4"/>
  <c r="W276" i="2"/>
  <c r="O321" i="4"/>
  <c r="O315" i="4"/>
  <c r="U277" i="2"/>
  <c r="O322" i="4"/>
  <c r="S264" i="2"/>
  <c r="R259" i="2"/>
  <c r="R251" i="2"/>
  <c r="Y251" i="2" s="1"/>
  <c r="D251" i="3" s="1"/>
  <c r="S243" i="2"/>
  <c r="M307" i="4"/>
  <c r="S280" i="2"/>
  <c r="R275" i="2"/>
  <c r="Y275" i="2" s="1"/>
  <c r="D275" i="3" s="1"/>
  <c r="R271" i="2"/>
  <c r="Y271" i="2" s="1"/>
  <c r="D271" i="3" s="1"/>
  <c r="M321" i="4"/>
  <c r="S276" i="2"/>
  <c r="C252" i="3"/>
  <c r="U251" i="2"/>
  <c r="R246" i="2"/>
  <c r="Y246" i="2" s="1"/>
  <c r="R242" i="2"/>
  <c r="Y242" i="2" s="1"/>
  <c r="C259" i="3"/>
  <c r="R279" i="2"/>
  <c r="Y279" i="2" s="1"/>
  <c r="D279" i="3" s="1"/>
  <c r="S278" i="2"/>
  <c r="E324" i="4"/>
  <c r="N324" i="4" s="1"/>
  <c r="S277" i="2"/>
  <c r="E323" i="4"/>
  <c r="N323" i="4" s="1"/>
  <c r="C275" i="3"/>
  <c r="S274" i="2"/>
  <c r="E320" i="4"/>
  <c r="N320" i="4" s="1"/>
  <c r="W271" i="2"/>
  <c r="C271" i="3"/>
  <c r="R270" i="2"/>
  <c r="Y270" i="2" s="1"/>
  <c r="D270" i="3" s="1"/>
  <c r="S270" i="2"/>
  <c r="E314" i="4"/>
  <c r="N314" i="4" s="1"/>
  <c r="R266" i="2"/>
  <c r="S266" i="2"/>
  <c r="E310" i="4"/>
  <c r="N310" i="4" s="1"/>
  <c r="R264" i="2"/>
  <c r="D308" i="4"/>
  <c r="W263" i="2"/>
  <c r="C263" i="3"/>
  <c r="R261" i="2"/>
  <c r="Y261" i="2" s="1"/>
  <c r="D261" i="3" s="1"/>
  <c r="D305" i="4"/>
  <c r="S257" i="2"/>
  <c r="E301" i="4"/>
  <c r="N301" i="4" s="1"/>
  <c r="R252" i="2"/>
  <c r="D294" i="4"/>
  <c r="R249" i="2"/>
  <c r="D289" i="4"/>
  <c r="S239" i="2"/>
  <c r="G276" i="4"/>
  <c r="O276" i="4" s="1"/>
  <c r="O285" i="4"/>
  <c r="M315" i="4"/>
  <c r="O303" i="4"/>
  <c r="R278" i="2"/>
  <c r="Y278" i="2" s="1"/>
  <c r="D278" i="3" s="1"/>
  <c r="D324" i="4"/>
  <c r="M324" i="4" s="1"/>
  <c r="R277" i="2"/>
  <c r="Y277" i="2" s="1"/>
  <c r="D277" i="3" s="1"/>
  <c r="D323" i="4"/>
  <c r="M323" i="4" s="1"/>
  <c r="R268" i="2"/>
  <c r="D312" i="4"/>
  <c r="C267" i="3"/>
  <c r="S265" i="2"/>
  <c r="E309" i="4"/>
  <c r="N309" i="4" s="1"/>
  <c r="W264" i="2"/>
  <c r="C258" i="3"/>
  <c r="R257" i="2"/>
  <c r="D301" i="4"/>
  <c r="W250" i="2"/>
  <c r="S245" i="2"/>
  <c r="E283" i="4"/>
  <c r="N283" i="4" s="1"/>
  <c r="R274" i="2"/>
  <c r="Y274" i="2" s="1"/>
  <c r="D274" i="3" s="1"/>
  <c r="D320" i="4"/>
  <c r="S273" i="2"/>
  <c r="E319" i="4"/>
  <c r="N319" i="4" s="1"/>
  <c r="R260" i="2"/>
  <c r="Y260" i="2" s="1"/>
  <c r="D260" i="3" s="1"/>
  <c r="D304" i="4"/>
  <c r="S253" i="2"/>
  <c r="E295" i="4"/>
  <c r="N295" i="4" s="1"/>
  <c r="W252" i="2"/>
  <c r="S246" i="2"/>
  <c r="E284" i="4"/>
  <c r="N284" i="4" s="1"/>
  <c r="S242" i="2"/>
  <c r="E280" i="4"/>
  <c r="N280" i="4" s="1"/>
  <c r="R240" i="2"/>
  <c r="D278" i="4"/>
  <c r="C280" i="3"/>
  <c r="G327" i="4"/>
  <c r="O327" i="4" s="1"/>
  <c r="S269" i="2"/>
  <c r="E313" i="4"/>
  <c r="N313" i="4" s="1"/>
  <c r="X268" i="2"/>
  <c r="R267" i="2"/>
  <c r="Y267" i="2" s="1"/>
  <c r="D267" i="3" s="1"/>
  <c r="R265" i="2"/>
  <c r="Y265" i="2" s="1"/>
  <c r="D265" i="3" s="1"/>
  <c r="D309" i="4"/>
  <c r="R255" i="2"/>
  <c r="Y255" i="2" s="1"/>
  <c r="D255" i="3" s="1"/>
  <c r="R253" i="2"/>
  <c r="Y253" i="2" s="1"/>
  <c r="D253" i="3" s="1"/>
  <c r="D295" i="4"/>
  <c r="S250" i="2"/>
  <c r="E290" i="4"/>
  <c r="N290" i="4" s="1"/>
  <c r="D287" i="4"/>
  <c r="R245" i="2"/>
  <c r="D283" i="4"/>
  <c r="R243" i="2"/>
  <c r="S241" i="2"/>
  <c r="E279" i="4"/>
  <c r="N279" i="4" s="1"/>
  <c r="U278" i="2"/>
  <c r="M322" i="4"/>
  <c r="M314" i="4"/>
  <c r="R276" i="2"/>
  <c r="Y276" i="2" s="1"/>
  <c r="D276" i="3" s="1"/>
  <c r="R273" i="2"/>
  <c r="Y273" i="2" s="1"/>
  <c r="D273" i="3" s="1"/>
  <c r="D319" i="4"/>
  <c r="C272" i="3"/>
  <c r="G317" i="4"/>
  <c r="O317" i="4" s="1"/>
  <c r="R280" i="2"/>
  <c r="Y280" i="2" s="1"/>
  <c r="D280" i="3" s="1"/>
  <c r="S279" i="2"/>
  <c r="C279" i="3"/>
  <c r="G326" i="4"/>
  <c r="O326" i="4" s="1"/>
  <c r="X274" i="2"/>
  <c r="R272" i="2"/>
  <c r="Y272" i="2" s="1"/>
  <c r="D272" i="3" s="1"/>
  <c r="R269" i="2"/>
  <c r="Y269" i="2" s="1"/>
  <c r="D269" i="3" s="1"/>
  <c r="D313" i="4"/>
  <c r="S268" i="2"/>
  <c r="R262" i="2"/>
  <c r="S262" i="2"/>
  <c r="E306" i="4"/>
  <c r="N306" i="4" s="1"/>
  <c r="S261" i="2"/>
  <c r="E305" i="4"/>
  <c r="N305" i="4" s="1"/>
  <c r="S259" i="2"/>
  <c r="R258" i="2"/>
  <c r="Y258" i="2" s="1"/>
  <c r="D258" i="3" s="1"/>
  <c r="S258" i="2"/>
  <c r="E302" i="4"/>
  <c r="R256" i="2"/>
  <c r="Y256" i="2" s="1"/>
  <c r="D256" i="3" s="1"/>
  <c r="D300" i="4"/>
  <c r="R254" i="2"/>
  <c r="Y254" i="2" s="1"/>
  <c r="D254" i="3" s="1"/>
  <c r="S254" i="2"/>
  <c r="E297" i="4"/>
  <c r="N297" i="4" s="1"/>
  <c r="S251" i="2"/>
  <c r="S249" i="2"/>
  <c r="E289" i="4"/>
  <c r="N289" i="4" s="1"/>
  <c r="R244" i="2"/>
  <c r="Y244" i="2" s="1"/>
  <c r="D282" i="4"/>
  <c r="W242" i="2"/>
  <c r="C242" i="3"/>
  <c r="R241" i="2"/>
  <c r="D279" i="4"/>
  <c r="U254" i="2"/>
  <c r="O281" i="4"/>
  <c r="O311" i="4"/>
  <c r="O299" i="4"/>
  <c r="W273" i="2"/>
  <c r="C260" i="3"/>
  <c r="C244" i="3"/>
  <c r="X275" i="2"/>
  <c r="X271" i="2"/>
  <c r="C256" i="3"/>
  <c r="X252" i="2"/>
  <c r="X241" i="2"/>
  <c r="C240" i="3"/>
  <c r="X269" i="2"/>
  <c r="X262"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7" i="2"/>
  <c r="B237" i="2"/>
  <c r="C237" i="2"/>
  <c r="D237" i="2"/>
  <c r="E237" i="2"/>
  <c r="F237" i="2"/>
  <c r="T237" i="2"/>
  <c r="K237" i="2"/>
  <c r="L237" i="2"/>
  <c r="M237" i="2"/>
  <c r="N237" i="2"/>
  <c r="G273" i="4" s="1"/>
  <c r="P237" i="2"/>
  <c r="H273" i="4" s="1"/>
  <c r="P273" i="4" s="1"/>
  <c r="B238" i="2"/>
  <c r="C238" i="2"/>
  <c r="D238" i="2"/>
  <c r="E238" i="2"/>
  <c r="F238" i="2"/>
  <c r="T238" i="2"/>
  <c r="K238" i="2"/>
  <c r="L238" i="2"/>
  <c r="M238" i="2"/>
  <c r="N238" i="2"/>
  <c r="G274" i="4" s="1"/>
  <c r="P238" i="2"/>
  <c r="H274" i="4" s="1"/>
  <c r="P274" i="4" s="1"/>
  <c r="A225" i="2"/>
  <c r="A225" i="3" s="1"/>
  <c r="B225" i="2"/>
  <c r="B225" i="3" s="1"/>
  <c r="C225" i="2"/>
  <c r="D225" i="2"/>
  <c r="E225" i="2"/>
  <c r="F225" i="2"/>
  <c r="T225" i="2"/>
  <c r="D225" i="3" s="1"/>
  <c r="K225" i="2"/>
  <c r="L225" i="2"/>
  <c r="M225" i="2"/>
  <c r="N225" i="2"/>
  <c r="G255" i="4" s="1"/>
  <c r="P225" i="2"/>
  <c r="H255" i="4" s="1"/>
  <c r="P255" i="4" s="1"/>
  <c r="A226" i="2"/>
  <c r="A226" i="3" s="1"/>
  <c r="B226" i="2"/>
  <c r="B226" i="3" s="1"/>
  <c r="C226" i="2"/>
  <c r="D226" i="2"/>
  <c r="E226" i="2"/>
  <c r="F226" i="2"/>
  <c r="D256" i="4"/>
  <c r="T226" i="2"/>
  <c r="D226" i="3" s="1"/>
  <c r="K226" i="2"/>
  <c r="C226" i="3" s="1"/>
  <c r="L226" i="2"/>
  <c r="M226" i="2"/>
  <c r="N226" i="2"/>
  <c r="G256" i="4" s="1"/>
  <c r="P226" i="2"/>
  <c r="H256" i="4" s="1"/>
  <c r="P256" i="4" s="1"/>
  <c r="A227" i="2"/>
  <c r="A227" i="3" s="1"/>
  <c r="B227" i="2"/>
  <c r="B227" i="3" s="1"/>
  <c r="C227" i="2"/>
  <c r="D227" i="2"/>
  <c r="E227" i="2"/>
  <c r="F227" i="2"/>
  <c r="D258" i="4"/>
  <c r="M258" i="4" s="1"/>
  <c r="T227" i="2"/>
  <c r="D227" i="3" s="1"/>
  <c r="K227" i="2"/>
  <c r="L227" i="2"/>
  <c r="M227" i="2"/>
  <c r="G258" i="4"/>
  <c r="O258" i="4" s="1"/>
  <c r="P227" i="2"/>
  <c r="H258" i="4" s="1"/>
  <c r="P258" i="4" s="1"/>
  <c r="A228" i="2"/>
  <c r="A228" i="3" s="1"/>
  <c r="B228" i="2"/>
  <c r="B228" i="3" s="1"/>
  <c r="C228" i="2"/>
  <c r="D228" i="2"/>
  <c r="E228" i="2"/>
  <c r="F228" i="2"/>
  <c r="E260" i="4"/>
  <c r="N260" i="4" s="1"/>
  <c r="K228" i="2"/>
  <c r="L228" i="2"/>
  <c r="M228" i="2"/>
  <c r="N228" i="2"/>
  <c r="G260" i="4" s="1"/>
  <c r="P228" i="2"/>
  <c r="H260" i="4" s="1"/>
  <c r="P260" i="4" s="1"/>
  <c r="S228" i="2"/>
  <c r="T228" i="2"/>
  <c r="D228" i="3" s="1"/>
  <c r="A229" i="2"/>
  <c r="A229" i="3" s="1"/>
  <c r="B229" i="2"/>
  <c r="B229" i="3" s="1"/>
  <c r="C229" i="2"/>
  <c r="D229" i="2"/>
  <c r="E229" i="2"/>
  <c r="F229" i="2"/>
  <c r="T229" i="2"/>
  <c r="D229" i="3" s="1"/>
  <c r="K229" i="2"/>
  <c r="L229" i="2"/>
  <c r="M229" i="2"/>
  <c r="N229" i="2"/>
  <c r="G262" i="4" s="1"/>
  <c r="O262" i="4" s="1"/>
  <c r="P229" i="2"/>
  <c r="H262" i="4" s="1"/>
  <c r="P262" i="4" s="1"/>
  <c r="A230" i="2"/>
  <c r="B230" i="2"/>
  <c r="B230" i="3" s="1"/>
  <c r="C230" i="2"/>
  <c r="D230" i="2"/>
  <c r="E230" i="2"/>
  <c r="F230" i="2"/>
  <c r="D263" i="4"/>
  <c r="E263" i="4"/>
  <c r="N263" i="4" s="1"/>
  <c r="K230" i="2"/>
  <c r="L230" i="2"/>
  <c r="M230" i="2"/>
  <c r="N230" i="2"/>
  <c r="G263" i="4" s="1"/>
  <c r="P230" i="2"/>
  <c r="H263" i="4" s="1"/>
  <c r="P263" i="4" s="1"/>
  <c r="A231" i="2"/>
  <c r="B231" i="2"/>
  <c r="B231" i="3" s="1"/>
  <c r="C231" i="2"/>
  <c r="D231" i="2"/>
  <c r="E231" i="2"/>
  <c r="F231" i="2"/>
  <c r="D265" i="4"/>
  <c r="E265" i="4"/>
  <c r="N265" i="4" s="1"/>
  <c r="K231" i="2"/>
  <c r="L231" i="2"/>
  <c r="M231" i="2"/>
  <c r="N231" i="2"/>
  <c r="G265" i="4" s="1"/>
  <c r="P231" i="2"/>
  <c r="H265" i="4" s="1"/>
  <c r="P265" i="4" s="1"/>
  <c r="A232" i="2"/>
  <c r="B232" i="2"/>
  <c r="C232" i="2"/>
  <c r="D232" i="2"/>
  <c r="E232" i="2"/>
  <c r="F232" i="2"/>
  <c r="E267" i="4"/>
  <c r="N267" i="4" s="1"/>
  <c r="T232" i="2"/>
  <c r="D232" i="3" s="1"/>
  <c r="K232" i="2"/>
  <c r="L232" i="2"/>
  <c r="M232" i="2"/>
  <c r="N232" i="2"/>
  <c r="G267" i="4" s="1"/>
  <c r="O267" i="4" s="1"/>
  <c r="P232" i="2"/>
  <c r="H267" i="4" s="1"/>
  <c r="P267" i="4" s="1"/>
  <c r="A233" i="2"/>
  <c r="B233" i="2"/>
  <c r="C233" i="2"/>
  <c r="D233" i="2"/>
  <c r="E233" i="2"/>
  <c r="F233" i="2"/>
  <c r="T233" i="2"/>
  <c r="D233" i="3" s="1"/>
  <c r="K233" i="2"/>
  <c r="L233" i="2"/>
  <c r="M233" i="2"/>
  <c r="N233" i="2"/>
  <c r="G269" i="4" s="1"/>
  <c r="P233" i="2"/>
  <c r="H269" i="4" s="1"/>
  <c r="P269" i="4" s="1"/>
  <c r="A234" i="2"/>
  <c r="B234" i="2"/>
  <c r="C234" i="2"/>
  <c r="D234" i="2"/>
  <c r="E234" i="2"/>
  <c r="F234" i="2"/>
  <c r="D270" i="4"/>
  <c r="T234" i="2"/>
  <c r="D234" i="3" s="1"/>
  <c r="K234" i="2"/>
  <c r="C234" i="3" s="1"/>
  <c r="L234" i="2"/>
  <c r="M234" i="2"/>
  <c r="N234" i="2"/>
  <c r="G270" i="4" s="1"/>
  <c r="P234" i="2"/>
  <c r="H270" i="4" s="1"/>
  <c r="P270" i="4" s="1"/>
  <c r="A235" i="2"/>
  <c r="B235" i="2"/>
  <c r="C235" i="2"/>
  <c r="D235" i="2"/>
  <c r="E235" i="2"/>
  <c r="F235" i="2"/>
  <c r="D271" i="4"/>
  <c r="T235" i="2"/>
  <c r="D235" i="3" s="1"/>
  <c r="K235" i="2"/>
  <c r="L235" i="2"/>
  <c r="M235" i="2"/>
  <c r="N235" i="2"/>
  <c r="G271" i="4" s="1"/>
  <c r="P235" i="2"/>
  <c r="H271" i="4" s="1"/>
  <c r="P271" i="4" s="1"/>
  <c r="A236" i="2"/>
  <c r="B236" i="2"/>
  <c r="C236" i="2"/>
  <c r="D236" i="2"/>
  <c r="E236" i="2"/>
  <c r="F236" i="2"/>
  <c r="E272" i="4"/>
  <c r="N272" i="4" s="1"/>
  <c r="T236" i="2"/>
  <c r="D236" i="3" s="1"/>
  <c r="K236" i="2"/>
  <c r="L236" i="2"/>
  <c r="M236" i="2"/>
  <c r="N236" i="2"/>
  <c r="G272" i="4" s="1"/>
  <c r="P236" i="2"/>
  <c r="H272" i="4" s="1"/>
  <c r="P272" i="4" s="1"/>
  <c r="S236" i="2"/>
  <c r="A203" i="2"/>
  <c r="A203" i="3" s="1"/>
  <c r="B203" i="2"/>
  <c r="B203" i="3" s="1"/>
  <c r="C203" i="2"/>
  <c r="D203" i="2"/>
  <c r="E203" i="2"/>
  <c r="F203" i="2"/>
  <c r="D231" i="4"/>
  <c r="T203" i="2"/>
  <c r="D203" i="3" s="1"/>
  <c r="K203" i="2"/>
  <c r="L203" i="2"/>
  <c r="M203" i="2"/>
  <c r="N203" i="2"/>
  <c r="G231" i="4" s="1"/>
  <c r="P203" i="2"/>
  <c r="H231" i="4" s="1"/>
  <c r="P231" i="4" s="1"/>
  <c r="A204" i="2"/>
  <c r="A204" i="3" s="1"/>
  <c r="B204" i="2"/>
  <c r="B204" i="3" s="1"/>
  <c r="C204" i="2"/>
  <c r="D204" i="2"/>
  <c r="E204" i="2"/>
  <c r="F204" i="2"/>
  <c r="E232" i="4"/>
  <c r="N232" i="4" s="1"/>
  <c r="K204" i="2"/>
  <c r="C204" i="3" s="1"/>
  <c r="L204" i="2"/>
  <c r="M204" i="2"/>
  <c r="N204" i="2"/>
  <c r="G232" i="4" s="1"/>
  <c r="P204" i="2"/>
  <c r="H232" i="4" s="1"/>
  <c r="P232" i="4" s="1"/>
  <c r="S204" i="2"/>
  <c r="T204" i="2"/>
  <c r="D204" i="3" s="1"/>
  <c r="A205" i="2"/>
  <c r="A205" i="3" s="1"/>
  <c r="B205" i="2"/>
  <c r="B205" i="3" s="1"/>
  <c r="C205" i="2"/>
  <c r="D205" i="2"/>
  <c r="E205" i="2"/>
  <c r="F205" i="2"/>
  <c r="T205" i="2"/>
  <c r="D205" i="3" s="1"/>
  <c r="K205" i="2"/>
  <c r="L205" i="2"/>
  <c r="M205" i="2"/>
  <c r="N205" i="2"/>
  <c r="G233" i="4" s="1"/>
  <c r="P205" i="2"/>
  <c r="H233" i="4" s="1"/>
  <c r="P233" i="4" s="1"/>
  <c r="A206" i="2"/>
  <c r="A206" i="3" s="1"/>
  <c r="B206" i="2"/>
  <c r="B206" i="3" s="1"/>
  <c r="C206" i="2"/>
  <c r="D206" i="2"/>
  <c r="E206" i="2"/>
  <c r="F206" i="2"/>
  <c r="D234" i="4"/>
  <c r="T206" i="2"/>
  <c r="D206" i="3" s="1"/>
  <c r="K206" i="2"/>
  <c r="L206" i="2"/>
  <c r="M206" i="2"/>
  <c r="N206" i="2"/>
  <c r="G234" i="4" s="1"/>
  <c r="P206" i="2"/>
  <c r="H234" i="4" s="1"/>
  <c r="P234" i="4" s="1"/>
  <c r="A207" i="2"/>
  <c r="A207" i="3" s="1"/>
  <c r="B207" i="2"/>
  <c r="B207" i="3" s="1"/>
  <c r="C207" i="2"/>
  <c r="D207" i="2"/>
  <c r="E207" i="2"/>
  <c r="F207" i="2"/>
  <c r="D235" i="4"/>
  <c r="E235" i="4"/>
  <c r="N235" i="4" s="1"/>
  <c r="T207" i="2"/>
  <c r="D207" i="3" s="1"/>
  <c r="K207" i="2"/>
  <c r="L207" i="2"/>
  <c r="M207" i="2"/>
  <c r="N207" i="2"/>
  <c r="G235" i="4" s="1"/>
  <c r="P207" i="2"/>
  <c r="H235" i="4" s="1"/>
  <c r="P235" i="4" s="1"/>
  <c r="A208" i="2"/>
  <c r="A208" i="3" s="1"/>
  <c r="B208" i="2"/>
  <c r="B208" i="3" s="1"/>
  <c r="C208" i="2"/>
  <c r="D208" i="2"/>
  <c r="E208" i="2"/>
  <c r="F208" i="2"/>
  <c r="E236" i="4"/>
  <c r="N236" i="4" s="1"/>
  <c r="K208" i="2"/>
  <c r="C208" i="3" s="1"/>
  <c r="L208" i="2"/>
  <c r="M208" i="2"/>
  <c r="N208" i="2"/>
  <c r="G236" i="4" s="1"/>
  <c r="P208" i="2"/>
  <c r="H236" i="4" s="1"/>
  <c r="P236" i="4" s="1"/>
  <c r="T208" i="2"/>
  <c r="D208" i="3" s="1"/>
  <c r="A209" i="2"/>
  <c r="A209" i="3" s="1"/>
  <c r="B209" i="2"/>
  <c r="B209" i="3" s="1"/>
  <c r="C209" i="2"/>
  <c r="D209" i="2"/>
  <c r="E209" i="2"/>
  <c r="F209" i="2"/>
  <c r="T209" i="2"/>
  <c r="D209" i="3" s="1"/>
  <c r="K209" i="2"/>
  <c r="L209" i="2"/>
  <c r="M209" i="2"/>
  <c r="N209" i="2"/>
  <c r="G237" i="4" s="1"/>
  <c r="P209" i="2"/>
  <c r="H237" i="4" s="1"/>
  <c r="P237" i="4" s="1"/>
  <c r="A210" i="2"/>
  <c r="A210" i="3" s="1"/>
  <c r="B210" i="2"/>
  <c r="B210" i="3" s="1"/>
  <c r="C210" i="2"/>
  <c r="D210" i="2"/>
  <c r="E210" i="2"/>
  <c r="F210" i="2"/>
  <c r="T210" i="2"/>
  <c r="D210" i="3" s="1"/>
  <c r="K210" i="2"/>
  <c r="L210" i="2"/>
  <c r="M210" i="2"/>
  <c r="N210" i="2"/>
  <c r="G239" i="4" s="1"/>
  <c r="O239" i="4" s="1"/>
  <c r="P210" i="2"/>
  <c r="H239" i="4" s="1"/>
  <c r="P239" i="4" s="1"/>
  <c r="A211" i="2"/>
  <c r="A211" i="3" s="1"/>
  <c r="B211" i="2"/>
  <c r="B211" i="3" s="1"/>
  <c r="C211" i="2"/>
  <c r="D211" i="2"/>
  <c r="E211" i="2"/>
  <c r="F211" i="2"/>
  <c r="E241" i="4"/>
  <c r="N241" i="4" s="1"/>
  <c r="T211" i="2"/>
  <c r="D211" i="3" s="1"/>
  <c r="K211" i="2"/>
  <c r="L211" i="2"/>
  <c r="M211" i="2"/>
  <c r="N211" i="2"/>
  <c r="G241" i="4" s="1"/>
  <c r="P211" i="2"/>
  <c r="H241" i="4" s="1"/>
  <c r="P241" i="4" s="1"/>
  <c r="S211" i="2"/>
  <c r="A212" i="2"/>
  <c r="A212" i="3" s="1"/>
  <c r="B212" i="2"/>
  <c r="B212" i="3" s="1"/>
  <c r="C212" i="2"/>
  <c r="D212" i="2"/>
  <c r="E212" i="2"/>
  <c r="F212" i="2"/>
  <c r="E242" i="4"/>
  <c r="N242" i="4" s="1"/>
  <c r="K212" i="2"/>
  <c r="C212" i="3" s="1"/>
  <c r="L212" i="2"/>
  <c r="M212" i="2"/>
  <c r="N212" i="2"/>
  <c r="G242" i="4" s="1"/>
  <c r="P212" i="2"/>
  <c r="H242" i="4" s="1"/>
  <c r="P242" i="4" s="1"/>
  <c r="S212" i="2"/>
  <c r="T212" i="2"/>
  <c r="D212" i="3" s="1"/>
  <c r="A213" i="2"/>
  <c r="A213" i="3" s="1"/>
  <c r="B213" i="2"/>
  <c r="B213" i="3" s="1"/>
  <c r="C213" i="2"/>
  <c r="D213" i="2"/>
  <c r="E213" i="2"/>
  <c r="F213" i="2"/>
  <c r="T213" i="2"/>
  <c r="D213" i="3" s="1"/>
  <c r="K213" i="2"/>
  <c r="L213" i="2"/>
  <c r="M213" i="2"/>
  <c r="N213" i="2"/>
  <c r="G243" i="4" s="1"/>
  <c r="P213" i="2"/>
  <c r="H243" i="4" s="1"/>
  <c r="P243" i="4" s="1"/>
  <c r="A214" i="2"/>
  <c r="A214" i="3" s="1"/>
  <c r="B214" i="2"/>
  <c r="B214" i="3" s="1"/>
  <c r="C214" i="2"/>
  <c r="D214" i="2"/>
  <c r="E214" i="2"/>
  <c r="F214" i="2"/>
  <c r="D244" i="4"/>
  <c r="T214" i="2"/>
  <c r="D214" i="3" s="1"/>
  <c r="K214" i="2"/>
  <c r="L214" i="2"/>
  <c r="M214" i="2"/>
  <c r="N214" i="2"/>
  <c r="G244" i="4" s="1"/>
  <c r="P214" i="2"/>
  <c r="H244" i="4" s="1"/>
  <c r="P244" i="4" s="1"/>
  <c r="A215" i="2"/>
  <c r="A215" i="3" s="1"/>
  <c r="B215" i="2"/>
  <c r="B215" i="3" s="1"/>
  <c r="C215" i="2"/>
  <c r="D215" i="2"/>
  <c r="E215" i="2"/>
  <c r="F215" i="2"/>
  <c r="T215" i="2"/>
  <c r="D215" i="3" s="1"/>
  <c r="K215" i="2"/>
  <c r="L215" i="2"/>
  <c r="M215" i="2"/>
  <c r="N215" i="2"/>
  <c r="G245" i="4" s="1"/>
  <c r="P215" i="2"/>
  <c r="H245" i="4" s="1"/>
  <c r="P245" i="4" s="1"/>
  <c r="A216" i="2"/>
  <c r="A216" i="3" s="1"/>
  <c r="B216" i="2"/>
  <c r="B216" i="3" s="1"/>
  <c r="C216" i="2"/>
  <c r="D216" i="2"/>
  <c r="E216" i="2"/>
  <c r="F216" i="2"/>
  <c r="E246" i="4"/>
  <c r="N246" i="4" s="1"/>
  <c r="T216" i="2"/>
  <c r="D216" i="3" s="1"/>
  <c r="K216" i="2"/>
  <c r="C216" i="3" s="1"/>
  <c r="L216" i="2"/>
  <c r="M216" i="2"/>
  <c r="N216" i="2"/>
  <c r="G246" i="4" s="1"/>
  <c r="P216" i="2"/>
  <c r="H246" i="4" s="1"/>
  <c r="P246" i="4" s="1"/>
  <c r="S216" i="2"/>
  <c r="A217" i="2"/>
  <c r="A217" i="3" s="1"/>
  <c r="B217" i="2"/>
  <c r="B217" i="3" s="1"/>
  <c r="C217" i="2"/>
  <c r="D217" i="2"/>
  <c r="E217" i="2"/>
  <c r="F217" i="2"/>
  <c r="T217" i="2"/>
  <c r="D217" i="3" s="1"/>
  <c r="K217" i="2"/>
  <c r="L217" i="2"/>
  <c r="M217" i="2"/>
  <c r="N217" i="2"/>
  <c r="G247" i="4" s="1"/>
  <c r="P217" i="2"/>
  <c r="H247" i="4" s="1"/>
  <c r="P247" i="4" s="1"/>
  <c r="A218" i="2"/>
  <c r="A218" i="3" s="1"/>
  <c r="B218" i="2"/>
  <c r="B218" i="3" s="1"/>
  <c r="C218" i="2"/>
  <c r="D218" i="2"/>
  <c r="E218" i="2"/>
  <c r="F218" i="2"/>
  <c r="T218" i="2"/>
  <c r="D218" i="3" s="1"/>
  <c r="K218" i="2"/>
  <c r="L218" i="2"/>
  <c r="M218" i="2"/>
  <c r="N218" i="2"/>
  <c r="G248" i="4" s="1"/>
  <c r="P218" i="2"/>
  <c r="H248" i="4" s="1"/>
  <c r="P248" i="4" s="1"/>
  <c r="A219" i="2"/>
  <c r="A219" i="3" s="1"/>
  <c r="B219" i="2"/>
  <c r="B219" i="3" s="1"/>
  <c r="C219" i="2"/>
  <c r="D219" i="2"/>
  <c r="E219" i="2"/>
  <c r="F219" i="2"/>
  <c r="D249" i="4"/>
  <c r="T219" i="2"/>
  <c r="D219" i="3" s="1"/>
  <c r="K219" i="2"/>
  <c r="L219" i="2"/>
  <c r="M219" i="2"/>
  <c r="N219" i="2"/>
  <c r="G249" i="4" s="1"/>
  <c r="P219" i="2"/>
  <c r="H249" i="4" s="1"/>
  <c r="P249" i="4" s="1"/>
  <c r="A220" i="2"/>
  <c r="A220" i="3" s="1"/>
  <c r="B220" i="2"/>
  <c r="B220" i="3" s="1"/>
  <c r="C220" i="2"/>
  <c r="D220" i="2"/>
  <c r="E220" i="2"/>
  <c r="F220" i="2"/>
  <c r="E250" i="4"/>
  <c r="N250" i="4" s="1"/>
  <c r="T220" i="2"/>
  <c r="D220" i="3" s="1"/>
  <c r="K220" i="2"/>
  <c r="C220" i="3" s="1"/>
  <c r="L220" i="2"/>
  <c r="M220" i="2"/>
  <c r="N220" i="2"/>
  <c r="G250" i="4" s="1"/>
  <c r="P220" i="2"/>
  <c r="H250" i="4" s="1"/>
  <c r="P250" i="4" s="1"/>
  <c r="A221" i="2"/>
  <c r="A221" i="3" s="1"/>
  <c r="B221" i="2"/>
  <c r="B221" i="3" s="1"/>
  <c r="C221" i="2"/>
  <c r="D221" i="2"/>
  <c r="E221" i="2"/>
  <c r="F221" i="2"/>
  <c r="T221" i="2"/>
  <c r="D221" i="3" s="1"/>
  <c r="K221" i="2"/>
  <c r="L221" i="2"/>
  <c r="M221" i="2"/>
  <c r="N221" i="2"/>
  <c r="G251" i="4" s="1"/>
  <c r="P221" i="2"/>
  <c r="H251" i="4" s="1"/>
  <c r="P251" i="4" s="1"/>
  <c r="A222" i="2"/>
  <c r="A222" i="3" s="1"/>
  <c r="B222" i="2"/>
  <c r="B222" i="3" s="1"/>
  <c r="C222" i="2"/>
  <c r="D222" i="2"/>
  <c r="E222" i="2"/>
  <c r="F222" i="2"/>
  <c r="D252" i="4"/>
  <c r="T222" i="2"/>
  <c r="D222" i="3" s="1"/>
  <c r="K222" i="2"/>
  <c r="L222" i="2"/>
  <c r="M222" i="2"/>
  <c r="N222" i="2"/>
  <c r="G252" i="4" s="1"/>
  <c r="P222" i="2"/>
  <c r="H252" i="4" s="1"/>
  <c r="P252" i="4" s="1"/>
  <c r="A223" i="2"/>
  <c r="A223" i="3" s="1"/>
  <c r="B223" i="2"/>
  <c r="B223" i="3" s="1"/>
  <c r="C223" i="2"/>
  <c r="D223" i="2"/>
  <c r="E223" i="2"/>
  <c r="F223" i="2"/>
  <c r="D253" i="4"/>
  <c r="E253" i="4"/>
  <c r="N253" i="4" s="1"/>
  <c r="T223" i="2"/>
  <c r="D223" i="3" s="1"/>
  <c r="K223" i="2"/>
  <c r="L223" i="2"/>
  <c r="M223" i="2"/>
  <c r="N223" i="2"/>
  <c r="G253" i="4" s="1"/>
  <c r="P223" i="2"/>
  <c r="H253" i="4" s="1"/>
  <c r="P253" i="4" s="1"/>
  <c r="A224" i="2"/>
  <c r="A224" i="3" s="1"/>
  <c r="B224" i="2"/>
  <c r="B224" i="3" s="1"/>
  <c r="C224" i="2"/>
  <c r="D224" i="2"/>
  <c r="E224" i="2"/>
  <c r="F224" i="2"/>
  <c r="E254" i="4"/>
  <c r="N254" i="4" s="1"/>
  <c r="K224" i="2"/>
  <c r="C224" i="3" s="1"/>
  <c r="L224" i="2"/>
  <c r="M224" i="2"/>
  <c r="N224" i="2"/>
  <c r="G254" i="4" s="1"/>
  <c r="P224" i="2"/>
  <c r="H254" i="4" s="1"/>
  <c r="P254" i="4" s="1"/>
  <c r="S224" i="2"/>
  <c r="T224" i="2"/>
  <c r="D224" i="3" s="1"/>
  <c r="A190" i="2"/>
  <c r="A190" i="3" s="1"/>
  <c r="B190" i="2"/>
  <c r="B190" i="3" s="1"/>
  <c r="C190" i="2"/>
  <c r="D190" i="2"/>
  <c r="E190" i="2"/>
  <c r="F190" i="2"/>
  <c r="D218" i="4"/>
  <c r="T190" i="2"/>
  <c r="D190" i="3" s="1"/>
  <c r="K190" i="2"/>
  <c r="L190" i="2"/>
  <c r="M190" i="2"/>
  <c r="N190" i="2"/>
  <c r="G218" i="4" s="1"/>
  <c r="P190" i="2"/>
  <c r="H218" i="4" s="1"/>
  <c r="P218" i="4" s="1"/>
  <c r="A191" i="2"/>
  <c r="A191" i="3" s="1"/>
  <c r="B191" i="2"/>
  <c r="B191" i="3" s="1"/>
  <c r="C191" i="2"/>
  <c r="D191" i="2"/>
  <c r="E191" i="2"/>
  <c r="F191" i="2"/>
  <c r="E219" i="4"/>
  <c r="N219" i="4" s="1"/>
  <c r="T191" i="2"/>
  <c r="D191" i="3" s="1"/>
  <c r="K191" i="2"/>
  <c r="L191" i="2"/>
  <c r="M191" i="2"/>
  <c r="N191" i="2"/>
  <c r="G219" i="4" s="1"/>
  <c r="P191" i="2"/>
  <c r="H219" i="4" s="1"/>
  <c r="P219" i="4" s="1"/>
  <c r="S191" i="2"/>
  <c r="A192" i="2"/>
  <c r="A192" i="3" s="1"/>
  <c r="B192" i="2"/>
  <c r="B192" i="3" s="1"/>
  <c r="C192" i="2"/>
  <c r="D192" i="2"/>
  <c r="E192" i="2"/>
  <c r="F192" i="2"/>
  <c r="T192" i="2"/>
  <c r="D192" i="3" s="1"/>
  <c r="K192" i="2"/>
  <c r="C192" i="3" s="1"/>
  <c r="L192" i="2"/>
  <c r="M192" i="2"/>
  <c r="N192" i="2"/>
  <c r="G220" i="4" s="1"/>
  <c r="P192" i="2"/>
  <c r="H220" i="4" s="1"/>
  <c r="P220" i="4" s="1"/>
  <c r="A193" i="2"/>
  <c r="A193" i="3" s="1"/>
  <c r="B193" i="2"/>
  <c r="B193" i="3" s="1"/>
  <c r="C193" i="2"/>
  <c r="D193" i="2"/>
  <c r="E193" i="2"/>
  <c r="F193" i="2"/>
  <c r="D221" i="4"/>
  <c r="T193" i="2"/>
  <c r="D193" i="3" s="1"/>
  <c r="K193" i="2"/>
  <c r="L193" i="2"/>
  <c r="M193" i="2"/>
  <c r="N193" i="2"/>
  <c r="G221" i="4" s="1"/>
  <c r="P193" i="2"/>
  <c r="H221" i="4" s="1"/>
  <c r="P221" i="4" s="1"/>
  <c r="A194" i="2"/>
  <c r="A194" i="3" s="1"/>
  <c r="B194" i="2"/>
  <c r="B194" i="3" s="1"/>
  <c r="C194" i="2"/>
  <c r="D194" i="2"/>
  <c r="E194" i="2"/>
  <c r="F194" i="2"/>
  <c r="D222" i="4"/>
  <c r="E222" i="4"/>
  <c r="N222" i="4" s="1"/>
  <c r="T194" i="2"/>
  <c r="D194" i="3" s="1"/>
  <c r="K194" i="2"/>
  <c r="L194" i="2"/>
  <c r="M194" i="2"/>
  <c r="N194" i="2"/>
  <c r="G222" i="4" s="1"/>
  <c r="P194" i="2"/>
  <c r="H222" i="4" s="1"/>
  <c r="P222" i="4" s="1"/>
  <c r="A195" i="2"/>
  <c r="A195" i="3" s="1"/>
  <c r="B195" i="2"/>
  <c r="B195" i="3" s="1"/>
  <c r="C195" i="2"/>
  <c r="D195" i="2"/>
  <c r="E195" i="2"/>
  <c r="F195" i="2"/>
  <c r="E223" i="4"/>
  <c r="N223" i="4" s="1"/>
  <c r="T195" i="2"/>
  <c r="D195" i="3" s="1"/>
  <c r="K195" i="2"/>
  <c r="L195" i="2"/>
  <c r="M195" i="2"/>
  <c r="N195" i="2"/>
  <c r="G223" i="4" s="1"/>
  <c r="P195" i="2"/>
  <c r="H223" i="4" s="1"/>
  <c r="P223" i="4" s="1"/>
  <c r="S195" i="2"/>
  <c r="A196" i="2"/>
  <c r="A196" i="3" s="1"/>
  <c r="B196" i="2"/>
  <c r="B196" i="3" s="1"/>
  <c r="C196" i="2"/>
  <c r="D196" i="2"/>
  <c r="E196" i="2"/>
  <c r="F196" i="2"/>
  <c r="T196" i="2"/>
  <c r="D196" i="3" s="1"/>
  <c r="K196" i="2"/>
  <c r="C196" i="3" s="1"/>
  <c r="L196" i="2"/>
  <c r="M196" i="2"/>
  <c r="N196" i="2"/>
  <c r="G224" i="4" s="1"/>
  <c r="P196" i="2"/>
  <c r="H224" i="4" s="1"/>
  <c r="P224" i="4" s="1"/>
  <c r="A197" i="2"/>
  <c r="A197" i="3" s="1"/>
  <c r="B197" i="2"/>
  <c r="B197" i="3" s="1"/>
  <c r="C197" i="2"/>
  <c r="D197" i="2"/>
  <c r="E197" i="2"/>
  <c r="F197" i="2"/>
  <c r="D225" i="4"/>
  <c r="T197" i="2"/>
  <c r="D197" i="3" s="1"/>
  <c r="K197" i="2"/>
  <c r="L197" i="2"/>
  <c r="M197" i="2"/>
  <c r="N197" i="2"/>
  <c r="G225" i="4" s="1"/>
  <c r="P197" i="2"/>
  <c r="H225" i="4" s="1"/>
  <c r="P225" i="4" s="1"/>
  <c r="A198" i="2"/>
  <c r="A198" i="3" s="1"/>
  <c r="B198" i="2"/>
  <c r="B198" i="3" s="1"/>
  <c r="C198" i="2"/>
  <c r="D198" i="2"/>
  <c r="E198" i="2"/>
  <c r="F198" i="2"/>
  <c r="E226" i="4"/>
  <c r="N226" i="4" s="1"/>
  <c r="T198" i="2"/>
  <c r="D198" i="3" s="1"/>
  <c r="K198" i="2"/>
  <c r="L198" i="2"/>
  <c r="M198" i="2"/>
  <c r="N198" i="2"/>
  <c r="G226" i="4" s="1"/>
  <c r="P198" i="2"/>
  <c r="H226" i="4" s="1"/>
  <c r="P226" i="4" s="1"/>
  <c r="A199" i="2"/>
  <c r="A199" i="3" s="1"/>
  <c r="B199" i="2"/>
  <c r="B199" i="3" s="1"/>
  <c r="C199" i="2"/>
  <c r="D199" i="2"/>
  <c r="E199" i="2"/>
  <c r="F199" i="2"/>
  <c r="T199" i="2"/>
  <c r="D199" i="3" s="1"/>
  <c r="K199" i="2"/>
  <c r="L199" i="2"/>
  <c r="M199" i="2"/>
  <c r="N199" i="2"/>
  <c r="G227" i="4" s="1"/>
  <c r="P199" i="2"/>
  <c r="H227" i="4" s="1"/>
  <c r="P227" i="4" s="1"/>
  <c r="A200" i="2"/>
  <c r="A200" i="3" s="1"/>
  <c r="B200" i="2"/>
  <c r="B200" i="3" s="1"/>
  <c r="C200" i="2"/>
  <c r="D200" i="2"/>
  <c r="E200" i="2"/>
  <c r="F200" i="2"/>
  <c r="T200" i="2"/>
  <c r="D200" i="3" s="1"/>
  <c r="K200" i="2"/>
  <c r="L200" i="2"/>
  <c r="M200" i="2"/>
  <c r="N200" i="2"/>
  <c r="G228" i="4" s="1"/>
  <c r="P200" i="2"/>
  <c r="H228" i="4" s="1"/>
  <c r="P228" i="4" s="1"/>
  <c r="A201" i="2"/>
  <c r="A201" i="3" s="1"/>
  <c r="B201" i="2"/>
  <c r="B201" i="3" s="1"/>
  <c r="C201" i="2"/>
  <c r="D201" i="2"/>
  <c r="E201" i="2"/>
  <c r="F201" i="2"/>
  <c r="T201" i="2"/>
  <c r="D201" i="3" s="1"/>
  <c r="K201" i="2"/>
  <c r="C201" i="3" s="1"/>
  <c r="L201" i="2"/>
  <c r="M201" i="2"/>
  <c r="N201" i="2"/>
  <c r="G229" i="4" s="1"/>
  <c r="P201" i="2"/>
  <c r="H229" i="4" s="1"/>
  <c r="P229" i="4" s="1"/>
  <c r="A202" i="2"/>
  <c r="A202" i="3" s="1"/>
  <c r="B202" i="2"/>
  <c r="B202" i="3" s="1"/>
  <c r="C202" i="2"/>
  <c r="D202" i="2"/>
  <c r="E202" i="2"/>
  <c r="F202" i="2"/>
  <c r="D230" i="4"/>
  <c r="T202" i="2"/>
  <c r="D202" i="3" s="1"/>
  <c r="K202" i="2"/>
  <c r="L202" i="2"/>
  <c r="M202" i="2"/>
  <c r="N202" i="2"/>
  <c r="G230" i="4" s="1"/>
  <c r="P202" i="2"/>
  <c r="H230" i="4" s="1"/>
  <c r="P230" i="4" s="1"/>
  <c r="Y239" i="2" l="1"/>
  <c r="W241" i="2"/>
  <c r="Y252" i="2"/>
  <c r="D252" i="3" s="1"/>
  <c r="Y264" i="2"/>
  <c r="D264" i="3" s="1"/>
  <c r="W275" i="2"/>
  <c r="W243" i="2"/>
  <c r="S208" i="2"/>
  <c r="X277" i="2"/>
  <c r="C251" i="3"/>
  <c r="O310" i="4"/>
  <c r="O284" i="4"/>
  <c r="S207" i="2"/>
  <c r="X254" i="2"/>
  <c r="X253" i="2"/>
  <c r="Y241" i="2"/>
  <c r="Y268" i="2"/>
  <c r="D268" i="3" s="1"/>
  <c r="X243" i="2"/>
  <c r="S232" i="2"/>
  <c r="C276" i="3"/>
  <c r="R203" i="2"/>
  <c r="Y203" i="2" s="1"/>
  <c r="W253" i="2"/>
  <c r="W267" i="2"/>
  <c r="U279" i="2"/>
  <c r="Y240" i="2"/>
  <c r="W202" i="2"/>
  <c r="R193" i="2"/>
  <c r="Y193" i="2" s="1"/>
  <c r="X261" i="2"/>
  <c r="X276" i="2"/>
  <c r="X242" i="2"/>
  <c r="Y259" i="2"/>
  <c r="Y262" i="2"/>
  <c r="D262" i="3" s="1"/>
  <c r="S198" i="2"/>
  <c r="R202" i="2"/>
  <c r="R234" i="2"/>
  <c r="X264" i="2"/>
  <c r="X263" i="2"/>
  <c r="W279" i="2"/>
  <c r="O280" i="4"/>
  <c r="O306" i="4"/>
  <c r="X259" i="2"/>
  <c r="O290" i="4"/>
  <c r="W269" i="2"/>
  <c r="X257" i="2"/>
  <c r="W277" i="2"/>
  <c r="Y257" i="2"/>
  <c r="D257" i="3" s="1"/>
  <c r="W259" i="2"/>
  <c r="W254" i="2"/>
  <c r="W278" i="2"/>
  <c r="Y243" i="2"/>
  <c r="Y266" i="2"/>
  <c r="D266" i="3" s="1"/>
  <c r="R207" i="2"/>
  <c r="Y207" i="2" s="1"/>
  <c r="R197" i="2"/>
  <c r="Y197" i="2" s="1"/>
  <c r="R223" i="2"/>
  <c r="R206" i="2"/>
  <c r="W261" i="2"/>
  <c r="X278" i="2"/>
  <c r="X251" i="2"/>
  <c r="Y245" i="2"/>
  <c r="X255" i="2"/>
  <c r="X267" i="2"/>
  <c r="X250" i="2"/>
  <c r="W257" i="2"/>
  <c r="X273" i="2"/>
  <c r="W255" i="2"/>
  <c r="M244" i="4"/>
  <c r="R225" i="2"/>
  <c r="D255" i="4"/>
  <c r="W270" i="2"/>
  <c r="W266" i="2"/>
  <c r="M319" i="4"/>
  <c r="O319" i="4"/>
  <c r="S197" i="2"/>
  <c r="E225" i="4"/>
  <c r="N225" i="4" s="1"/>
  <c r="M222" i="4"/>
  <c r="O222" i="4"/>
  <c r="M221" i="4"/>
  <c r="R192" i="2"/>
  <c r="D220" i="4"/>
  <c r="R190" i="2"/>
  <c r="S190" i="2"/>
  <c r="E218" i="4"/>
  <c r="N218" i="4" s="1"/>
  <c r="R222" i="2"/>
  <c r="Y222" i="2" s="1"/>
  <c r="S222" i="2"/>
  <c r="E252" i="4"/>
  <c r="N252" i="4" s="1"/>
  <c r="X221" i="2"/>
  <c r="R220" i="2"/>
  <c r="Y220" i="2" s="1"/>
  <c r="D250" i="4"/>
  <c r="R219" i="2"/>
  <c r="S219" i="2"/>
  <c r="E249" i="4"/>
  <c r="N249" i="4" s="1"/>
  <c r="R218" i="2"/>
  <c r="Y218" i="2" s="1"/>
  <c r="D248" i="4"/>
  <c r="R217" i="2"/>
  <c r="D247" i="4"/>
  <c r="C215" i="3"/>
  <c r="S213" i="2"/>
  <c r="E243" i="4"/>
  <c r="N243" i="4" s="1"/>
  <c r="M231" i="4"/>
  <c r="R236" i="2"/>
  <c r="Y236" i="2" s="1"/>
  <c r="D272" i="4"/>
  <c r="R235" i="2"/>
  <c r="Y235" i="2" s="1"/>
  <c r="S235" i="2"/>
  <c r="E271" i="4"/>
  <c r="N271" i="4" s="1"/>
  <c r="S234" i="2"/>
  <c r="E270" i="4"/>
  <c r="N270" i="4" s="1"/>
  <c r="R237" i="2"/>
  <c r="Y237" i="2" s="1"/>
  <c r="D273" i="4"/>
  <c r="X265" i="2"/>
  <c r="X266" i="2"/>
  <c r="W274" i="2"/>
  <c r="M287" i="4"/>
  <c r="O287" i="4"/>
  <c r="M278" i="4"/>
  <c r="O278" i="4"/>
  <c r="X258" i="2"/>
  <c r="C239" i="3"/>
  <c r="U239" i="2"/>
  <c r="M305" i="4"/>
  <c r="O305" i="4"/>
  <c r="M308" i="4"/>
  <c r="O308" i="4"/>
  <c r="W251" i="2"/>
  <c r="U272" i="2"/>
  <c r="S192" i="2"/>
  <c r="E220" i="4"/>
  <c r="N220" i="4" s="1"/>
  <c r="S217" i="2"/>
  <c r="E247" i="4"/>
  <c r="N247" i="4" s="1"/>
  <c r="S203" i="2"/>
  <c r="E231" i="4"/>
  <c r="N231" i="4" s="1"/>
  <c r="M256" i="4"/>
  <c r="S237" i="2"/>
  <c r="E273" i="4"/>
  <c r="N273" i="4" s="1"/>
  <c r="M282" i="4"/>
  <c r="O282" i="4"/>
  <c r="M304" i="4"/>
  <c r="O304" i="4"/>
  <c r="M312" i="4"/>
  <c r="O312" i="4"/>
  <c r="W198" i="2"/>
  <c r="S196" i="2"/>
  <c r="E224" i="4"/>
  <c r="N224" i="4" s="1"/>
  <c r="S201" i="2"/>
  <c r="E229" i="4"/>
  <c r="N229" i="4" s="1"/>
  <c r="M218" i="4"/>
  <c r="M253" i="4"/>
  <c r="O253" i="4"/>
  <c r="M252" i="4"/>
  <c r="M249" i="4"/>
  <c r="R216" i="2"/>
  <c r="Y216" i="2" s="1"/>
  <c r="D246" i="4"/>
  <c r="R213" i="2"/>
  <c r="D243" i="4"/>
  <c r="S210" i="2"/>
  <c r="E239" i="4"/>
  <c r="N239" i="4" s="1"/>
  <c r="S209" i="2"/>
  <c r="E237" i="4"/>
  <c r="N237" i="4" s="1"/>
  <c r="S206" i="2"/>
  <c r="E234" i="4"/>
  <c r="N234" i="4" s="1"/>
  <c r="S205" i="2"/>
  <c r="E233" i="4"/>
  <c r="N233" i="4" s="1"/>
  <c r="M271" i="4"/>
  <c r="M270" i="4"/>
  <c r="S233" i="2"/>
  <c r="E269" i="4"/>
  <c r="N269" i="4" s="1"/>
  <c r="S229" i="2"/>
  <c r="E262" i="4"/>
  <c r="N262" i="4" s="1"/>
  <c r="S238" i="2"/>
  <c r="E274" i="4"/>
  <c r="N274" i="4" s="1"/>
  <c r="X270" i="2"/>
  <c r="M279" i="4"/>
  <c r="O279" i="4"/>
  <c r="M313" i="4"/>
  <c r="O313" i="4"/>
  <c r="M295" i="4"/>
  <c r="O295" i="4"/>
  <c r="M301" i="4"/>
  <c r="O301" i="4"/>
  <c r="M289" i="4"/>
  <c r="O289" i="4"/>
  <c r="U280" i="2"/>
  <c r="R198" i="2"/>
  <c r="Y198" i="2" s="1"/>
  <c r="D226" i="4"/>
  <c r="S193" i="2"/>
  <c r="E221" i="4"/>
  <c r="N221" i="4" s="1"/>
  <c r="R221" i="2"/>
  <c r="D251" i="4"/>
  <c r="S220" i="2"/>
  <c r="S218" i="2"/>
  <c r="E248" i="4"/>
  <c r="N248" i="4" s="1"/>
  <c r="R215" i="2"/>
  <c r="D245" i="4"/>
  <c r="R211" i="2"/>
  <c r="Y211" i="2" s="1"/>
  <c r="D241" i="4"/>
  <c r="R208" i="2"/>
  <c r="D236" i="4"/>
  <c r="R204" i="2"/>
  <c r="Y204" i="2" s="1"/>
  <c r="D232" i="4"/>
  <c r="R228" i="2"/>
  <c r="Y228" i="2" s="1"/>
  <c r="D260" i="4"/>
  <c r="W245" i="2"/>
  <c r="X249" i="2"/>
  <c r="M300" i="4"/>
  <c r="O300" i="4"/>
  <c r="M283" i="4"/>
  <c r="O283" i="4"/>
  <c r="M309" i="4"/>
  <c r="O309" i="4"/>
  <c r="M320" i="4"/>
  <c r="O320" i="4"/>
  <c r="M294" i="4"/>
  <c r="O294" i="4"/>
  <c r="S202" i="2"/>
  <c r="E230" i="4"/>
  <c r="N230" i="4" s="1"/>
  <c r="S200" i="2"/>
  <c r="E228" i="4"/>
  <c r="N228" i="4" s="1"/>
  <c r="S199" i="2"/>
  <c r="E227" i="4"/>
  <c r="N227" i="4" s="1"/>
  <c r="M225" i="4"/>
  <c r="R196" i="2"/>
  <c r="D224" i="4"/>
  <c r="S194" i="2"/>
  <c r="R191" i="2"/>
  <c r="Y191" i="2" s="1"/>
  <c r="D219" i="4"/>
  <c r="M230" i="4"/>
  <c r="R201" i="2"/>
  <c r="Y201" i="2" s="1"/>
  <c r="D229" i="4"/>
  <c r="R200" i="2"/>
  <c r="D228" i="4"/>
  <c r="R199" i="2"/>
  <c r="Y199" i="2" s="1"/>
  <c r="D227" i="4"/>
  <c r="X197" i="2"/>
  <c r="R195" i="2"/>
  <c r="Y195" i="2" s="1"/>
  <c r="D223" i="4"/>
  <c r="R194" i="2"/>
  <c r="R224" i="2"/>
  <c r="Y224" i="2" s="1"/>
  <c r="D254" i="4"/>
  <c r="S223" i="2"/>
  <c r="S221" i="2"/>
  <c r="E251" i="4"/>
  <c r="N251" i="4" s="1"/>
  <c r="S215" i="2"/>
  <c r="E245" i="4"/>
  <c r="N245" i="4" s="1"/>
  <c r="R214" i="2"/>
  <c r="Y214" i="2" s="1"/>
  <c r="S214" i="2"/>
  <c r="E244" i="4"/>
  <c r="N244" i="4" s="1"/>
  <c r="W213" i="2"/>
  <c r="R212" i="2"/>
  <c r="Y212" i="2" s="1"/>
  <c r="D242" i="4"/>
  <c r="R210" i="2"/>
  <c r="Y210" i="2" s="1"/>
  <c r="D239" i="4"/>
  <c r="M239" i="4" s="1"/>
  <c r="R209" i="2"/>
  <c r="Y209" i="2" s="1"/>
  <c r="D237" i="4"/>
  <c r="M235" i="4"/>
  <c r="O235" i="4"/>
  <c r="M234" i="4"/>
  <c r="R205" i="2"/>
  <c r="Y205" i="2" s="1"/>
  <c r="D233" i="4"/>
  <c r="R233" i="2"/>
  <c r="Y233" i="2" s="1"/>
  <c r="D269" i="4"/>
  <c r="R232" i="2"/>
  <c r="D267" i="4"/>
  <c r="M267" i="4" s="1"/>
  <c r="M265" i="4"/>
  <c r="O265" i="4"/>
  <c r="M263" i="4"/>
  <c r="O263" i="4"/>
  <c r="R229" i="2"/>
  <c r="Y229" i="2" s="1"/>
  <c r="D262" i="4"/>
  <c r="M262" i="4" s="1"/>
  <c r="R227" i="2"/>
  <c r="Y227" i="2" s="1"/>
  <c r="S227" i="2"/>
  <c r="E258" i="4"/>
  <c r="N258" i="4" s="1"/>
  <c r="R226" i="2"/>
  <c r="Y226" i="2" s="1"/>
  <c r="S226" i="2"/>
  <c r="E256" i="4"/>
  <c r="N256" i="4" s="1"/>
  <c r="S225" i="2"/>
  <c r="E255" i="4"/>
  <c r="N255" i="4" s="1"/>
  <c r="R238" i="2"/>
  <c r="D274" i="4"/>
  <c r="W265" i="2"/>
  <c r="X279" i="2"/>
  <c r="N302" i="4"/>
  <c r="O302" i="4"/>
  <c r="W262" i="2"/>
  <c r="W268" i="2"/>
  <c r="C268" i="3"/>
  <c r="W258" i="2"/>
  <c r="Y249" i="2"/>
  <c r="D249" i="3" s="1"/>
  <c r="O314"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W209" i="2"/>
  <c r="C221" i="3"/>
  <c r="C229" i="3"/>
  <c r="C236" i="3"/>
  <c r="X234" i="2"/>
  <c r="C232" i="3"/>
  <c r="C228" i="3"/>
  <c r="W224" i="2"/>
  <c r="C222" i="3"/>
  <c r="C218" i="3"/>
  <c r="X216" i="2"/>
  <c r="C214" i="3"/>
  <c r="C210" i="3"/>
  <c r="X208" i="2"/>
  <c r="C206" i="3"/>
  <c r="X201" i="2"/>
  <c r="W201" i="2"/>
  <c r="C199" i="3"/>
  <c r="C195" i="3"/>
  <c r="C191" i="3"/>
  <c r="W225" i="2" l="1"/>
  <c r="X225" i="2"/>
  <c r="X192" i="2"/>
  <c r="X235" i="2"/>
  <c r="X223" i="2"/>
  <c r="Y238" i="2"/>
  <c r="O225" i="4"/>
  <c r="Y208" i="2"/>
  <c r="Y232" i="2"/>
  <c r="W235" i="2"/>
  <c r="Y202" i="2"/>
  <c r="W233" i="2"/>
  <c r="Y206" i="2"/>
  <c r="X202" i="2"/>
  <c r="X211" i="2"/>
  <c r="Y234" i="2"/>
  <c r="W192" i="2"/>
  <c r="X196" i="2"/>
  <c r="C198" i="3"/>
  <c r="X198" i="2"/>
  <c r="C202" i="3"/>
  <c r="O234" i="4"/>
  <c r="O218" i="4"/>
  <c r="W196" i="2"/>
  <c r="X233" i="2"/>
  <c r="W223" i="2"/>
  <c r="Y213" i="2"/>
  <c r="Y192" i="2"/>
  <c r="Y223" i="2"/>
  <c r="W203" i="2"/>
  <c r="W190" i="2"/>
  <c r="Y221" i="2"/>
  <c r="W219" i="2"/>
  <c r="Y200" i="2"/>
  <c r="X219" i="2"/>
  <c r="O249" i="4"/>
  <c r="Y194" i="2"/>
  <c r="X200" i="2"/>
  <c r="W221" i="2"/>
  <c r="X213" i="2"/>
  <c r="Y225" i="2"/>
  <c r="O230" i="4"/>
  <c r="O270" i="4"/>
  <c r="Y219" i="2"/>
  <c r="O221" i="4"/>
  <c r="M254" i="4"/>
  <c r="O254" i="4"/>
  <c r="M228" i="4"/>
  <c r="O228" i="4"/>
  <c r="W194" i="2"/>
  <c r="C194" i="3"/>
  <c r="Y215" i="2"/>
  <c r="M251" i="4"/>
  <c r="O251" i="4"/>
  <c r="M226" i="4"/>
  <c r="O226" i="4"/>
  <c r="W239" i="2"/>
  <c r="X239" i="2"/>
  <c r="M273" i="4"/>
  <c r="O273" i="4"/>
  <c r="M248" i="4"/>
  <c r="O248" i="4"/>
  <c r="M255" i="4"/>
  <c r="O255" i="4"/>
  <c r="W200" i="2"/>
  <c r="U229" i="2"/>
  <c r="X203" i="2"/>
  <c r="M274" i="4"/>
  <c r="O274" i="4"/>
  <c r="M237" i="4"/>
  <c r="O237" i="4"/>
  <c r="M242" i="4"/>
  <c r="O242" i="4"/>
  <c r="M232" i="4"/>
  <c r="O232" i="4"/>
  <c r="M241" i="4"/>
  <c r="O241" i="4"/>
  <c r="M243" i="4"/>
  <c r="O243" i="4"/>
  <c r="O231" i="4"/>
  <c r="W215" i="2"/>
  <c r="X215" i="2"/>
  <c r="M250" i="4"/>
  <c r="O250" i="4"/>
  <c r="Y190" i="2"/>
  <c r="X194" i="2"/>
  <c r="M227" i="4"/>
  <c r="O227" i="4"/>
  <c r="M229" i="4"/>
  <c r="O229" i="4"/>
  <c r="M219" i="4"/>
  <c r="O219" i="4"/>
  <c r="M224" i="4"/>
  <c r="O224" i="4"/>
  <c r="X280" i="2"/>
  <c r="W280" i="2"/>
  <c r="O271" i="4"/>
  <c r="O256" i="4"/>
  <c r="X272" i="2"/>
  <c r="W272" i="2"/>
  <c r="M247" i="4"/>
  <c r="O247" i="4"/>
  <c r="M220" i="4"/>
  <c r="O220" i="4"/>
  <c r="O244" i="4"/>
  <c r="W238" i="2"/>
  <c r="C238" i="3"/>
  <c r="M269" i="4"/>
  <c r="O269" i="4"/>
  <c r="W237" i="2"/>
  <c r="C237" i="3"/>
  <c r="M233" i="4"/>
  <c r="O233" i="4"/>
  <c r="M223" i="4"/>
  <c r="O223" i="4"/>
  <c r="Y196" i="2"/>
  <c r="M260" i="4"/>
  <c r="O260" i="4"/>
  <c r="M236" i="4"/>
  <c r="O236" i="4"/>
  <c r="M245" i="4"/>
  <c r="O245" i="4"/>
  <c r="M246" i="4"/>
  <c r="O246" i="4"/>
  <c r="O252" i="4"/>
  <c r="M272" i="4"/>
  <c r="O272" i="4"/>
  <c r="Y217" i="2"/>
  <c r="X226" i="2"/>
  <c r="U210" i="2"/>
  <c r="X217" i="2"/>
  <c r="W204" i="2"/>
  <c r="X212" i="2"/>
  <c r="X220" i="2"/>
  <c r="X193" i="2"/>
  <c r="W217" i="2"/>
  <c r="C217" i="3"/>
  <c r="X209" i="2"/>
  <c r="X205" i="2"/>
  <c r="C193" i="3"/>
  <c r="W193" i="2"/>
  <c r="W208" i="2"/>
  <c r="W216" i="2"/>
  <c r="X224" i="2"/>
  <c r="W234" i="2"/>
  <c r="C227" i="3"/>
  <c r="U227" i="2"/>
  <c r="U232" i="2"/>
  <c r="W205" i="2"/>
  <c r="X190" i="2"/>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3" i="4" l="1"/>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86" i="4"/>
  <c r="J186" i="4" s="1"/>
  <c r="B186" i="4"/>
  <c r="K186" i="4" s="1"/>
  <c r="C186" i="4"/>
  <c r="L186" i="4" s="1"/>
  <c r="F186" i="4"/>
  <c r="I186" i="4"/>
  <c r="A187" i="4"/>
  <c r="J187" i="4" s="1"/>
  <c r="B187" i="4"/>
  <c r="K187" i="4" s="1"/>
  <c r="C187" i="4"/>
  <c r="L187" i="4" s="1"/>
  <c r="F187" i="4"/>
  <c r="I187" i="4"/>
  <c r="A188" i="4"/>
  <c r="K188" i="4" s="1"/>
  <c r="B188" i="4"/>
  <c r="C188" i="4"/>
  <c r="L188" i="4" s="1"/>
  <c r="F188" i="4"/>
  <c r="I188" i="4"/>
  <c r="A190" i="4"/>
  <c r="J190" i="4" s="1"/>
  <c r="B190" i="4"/>
  <c r="K190" i="4" s="1"/>
  <c r="L190" i="4"/>
  <c r="F190" i="4"/>
  <c r="I190" i="4"/>
  <c r="A192" i="4"/>
  <c r="J192" i="4" s="1"/>
  <c r="B192" i="4"/>
  <c r="K192" i="4" s="1"/>
  <c r="C192" i="4"/>
  <c r="L192" i="4" s="1"/>
  <c r="F192" i="4"/>
  <c r="I192" i="4"/>
  <c r="A193" i="4"/>
  <c r="J193" i="4" s="1"/>
  <c r="B193" i="4"/>
  <c r="C193" i="4"/>
  <c r="F193" i="4"/>
  <c r="I193" i="4"/>
  <c r="K193" i="4"/>
  <c r="L193" i="4"/>
  <c r="A194" i="4"/>
  <c r="J194" i="4" s="1"/>
  <c r="B194" i="4"/>
  <c r="K194" i="4" s="1"/>
  <c r="C194" i="4"/>
  <c r="L194" i="4" s="1"/>
  <c r="F194" i="4"/>
  <c r="I194"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6" i="4"/>
  <c r="J166" i="4" s="1"/>
  <c r="B166" i="4"/>
  <c r="K166" i="4" s="1"/>
  <c r="C166" i="4"/>
  <c r="L166" i="4" s="1"/>
  <c r="F166" i="4"/>
  <c r="I166" i="4"/>
  <c r="A167" i="4"/>
  <c r="K167" i="4" s="1"/>
  <c r="B167" i="4"/>
  <c r="C167" i="4"/>
  <c r="L167" i="4" s="1"/>
  <c r="F167" i="4"/>
  <c r="I167" i="4"/>
  <c r="A169" i="4"/>
  <c r="J169" i="4" s="1"/>
  <c r="B169" i="4"/>
  <c r="K169" i="4" s="1"/>
  <c r="L169" i="4"/>
  <c r="F169" i="4"/>
  <c r="I169" i="4"/>
  <c r="A171" i="4"/>
  <c r="J171" i="4" s="1"/>
  <c r="B171" i="4"/>
  <c r="K171" i="4" s="1"/>
  <c r="C171" i="4"/>
  <c r="L171" i="4" s="1"/>
  <c r="F171" i="4"/>
  <c r="I171" i="4"/>
  <c r="A172" i="4"/>
  <c r="J172" i="4" s="1"/>
  <c r="B172" i="4"/>
  <c r="K172" i="4" s="1"/>
  <c r="C172" i="4"/>
  <c r="L172" i="4" s="1"/>
  <c r="F172" i="4"/>
  <c r="I172" i="4"/>
  <c r="A173" i="4"/>
  <c r="J173" i="4" s="1"/>
  <c r="B173" i="4"/>
  <c r="K173" i="4" s="1"/>
  <c r="C173" i="4"/>
  <c r="L173" i="4" s="1"/>
  <c r="F173" i="4"/>
  <c r="I173"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48" i="4"/>
  <c r="J148" i="4" s="1"/>
  <c r="B148" i="4"/>
  <c r="K148" i="4" s="1"/>
  <c r="C148" i="4"/>
  <c r="L148" i="4" s="1"/>
  <c r="F148" i="4"/>
  <c r="I148" i="4"/>
  <c r="A149" i="4"/>
  <c r="J149" i="4" s="1"/>
  <c r="B149" i="4"/>
  <c r="K149" i="4" s="1"/>
  <c r="C149" i="4"/>
  <c r="L149" i="4" s="1"/>
  <c r="F149" i="4"/>
  <c r="I149" i="4"/>
  <c r="A150" i="4"/>
  <c r="J150" i="4" s="1"/>
  <c r="B150" i="4"/>
  <c r="K150" i="4" s="1"/>
  <c r="C150" i="4"/>
  <c r="L150" i="4" s="1"/>
  <c r="F150" i="4"/>
  <c r="I150"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E149" i="4"/>
  <c r="N149" i="4" s="1"/>
  <c r="S126" i="2"/>
  <c r="E151" i="4"/>
  <c r="N151" i="4" s="1"/>
  <c r="E153" i="4"/>
  <c r="N153" i="4" s="1"/>
  <c r="E154" i="4"/>
  <c r="N154" i="4" s="1"/>
  <c r="E155" i="4"/>
  <c r="N155" i="4" s="1"/>
  <c r="E156" i="4"/>
  <c r="N156" i="4" s="1"/>
  <c r="E157" i="4"/>
  <c r="N157" i="4" s="1"/>
  <c r="E158" i="4"/>
  <c r="N158" i="4" s="1"/>
  <c r="E159" i="4"/>
  <c r="N159" i="4" s="1"/>
  <c r="E160" i="4"/>
  <c r="N160" i="4" s="1"/>
  <c r="E161" i="4"/>
  <c r="N161" i="4" s="1"/>
  <c r="E162" i="4"/>
  <c r="N162" i="4" s="1"/>
  <c r="E163" i="4"/>
  <c r="N163" i="4" s="1"/>
  <c r="E164" i="4"/>
  <c r="N164" i="4" s="1"/>
  <c r="E166" i="4"/>
  <c r="N166" i="4" s="1"/>
  <c r="E167" i="4"/>
  <c r="N167" i="4" s="1"/>
  <c r="E169" i="4"/>
  <c r="N169" i="4" s="1"/>
  <c r="E171" i="4"/>
  <c r="N171" i="4" s="1"/>
  <c r="E173" i="4"/>
  <c r="N173" i="4" s="1"/>
  <c r="E175" i="4"/>
  <c r="N175" i="4" s="1"/>
  <c r="E177" i="4"/>
  <c r="N177" i="4" s="1"/>
  <c r="E179" i="4"/>
  <c r="N179" i="4" s="1"/>
  <c r="E181" i="4"/>
  <c r="N181" i="4" s="1"/>
  <c r="E183" i="4"/>
  <c r="N183" i="4" s="1"/>
  <c r="E185" i="4"/>
  <c r="N185" i="4" s="1"/>
  <c r="E186" i="4"/>
  <c r="N186" i="4" s="1"/>
  <c r="E187" i="4"/>
  <c r="N187" i="4" s="1"/>
  <c r="E188" i="4"/>
  <c r="N188" i="4" s="1"/>
  <c r="E190" i="4"/>
  <c r="N190" i="4" s="1"/>
  <c r="E192" i="4"/>
  <c r="N192" i="4" s="1"/>
  <c r="E193" i="4"/>
  <c r="N193" i="4" s="1"/>
  <c r="E194" i="4"/>
  <c r="N194" i="4" s="1"/>
  <c r="E195" i="4"/>
  <c r="N195" i="4" s="1"/>
  <c r="E196" i="4"/>
  <c r="N196" i="4" s="1"/>
  <c r="S170" i="2"/>
  <c r="E198" i="4"/>
  <c r="N198" i="4" s="1"/>
  <c r="E200" i="4"/>
  <c r="N200" i="4" s="1"/>
  <c r="E202" i="4"/>
  <c r="N202" i="4" s="1"/>
  <c r="E204" i="4"/>
  <c r="N204" i="4" s="1"/>
  <c r="E206" i="4"/>
  <c r="N206" i="4" s="1"/>
  <c r="E208" i="4"/>
  <c r="N208" i="4" s="1"/>
  <c r="E210" i="4"/>
  <c r="N210" i="4" s="1"/>
  <c r="E211" i="4"/>
  <c r="N211" i="4" s="1"/>
  <c r="E213" i="4"/>
  <c r="N213" i="4" s="1"/>
  <c r="E215" i="4"/>
  <c r="N215" i="4" s="1"/>
  <c r="E216" i="4"/>
  <c r="N216" i="4" s="1"/>
  <c r="S123" i="2"/>
  <c r="E148" i="4"/>
  <c r="N148" i="4" s="1"/>
  <c r="A181" i="2"/>
  <c r="A181" i="3" s="1"/>
  <c r="B181" i="2"/>
  <c r="B181" i="3" s="1"/>
  <c r="C181" i="2"/>
  <c r="D181" i="2"/>
  <c r="E181" i="2"/>
  <c r="F181" i="2"/>
  <c r="D208" i="4"/>
  <c r="M208" i="4" s="1"/>
  <c r="T181" i="2"/>
  <c r="D181" i="3" s="1"/>
  <c r="K181" i="2"/>
  <c r="C181" i="3" s="1"/>
  <c r="L181" i="2"/>
  <c r="M181" i="2"/>
  <c r="N181" i="2"/>
  <c r="G208" i="4" s="1"/>
  <c r="P181" i="2"/>
  <c r="H208" i="4" s="1"/>
  <c r="P208" i="4" s="1"/>
  <c r="R181" i="2"/>
  <c r="A182" i="2"/>
  <c r="A182" i="3" s="1"/>
  <c r="B182" i="2"/>
  <c r="B182" i="3" s="1"/>
  <c r="C182" i="2"/>
  <c r="D182" i="2"/>
  <c r="E182" i="2"/>
  <c r="F182" i="2"/>
  <c r="D209" i="4"/>
  <c r="M209" i="4" s="1"/>
  <c r="T182" i="2"/>
  <c r="D182" i="3" s="1"/>
  <c r="K182" i="2"/>
  <c r="L182" i="2"/>
  <c r="M182" i="2"/>
  <c r="N182" i="2"/>
  <c r="G209" i="4" s="1"/>
  <c r="P182" i="2"/>
  <c r="H209" i="4" s="1"/>
  <c r="P209" i="4" s="1"/>
  <c r="A183" i="2"/>
  <c r="A183" i="3" s="1"/>
  <c r="B183" i="2"/>
  <c r="B183" i="3" s="1"/>
  <c r="C183" i="2"/>
  <c r="D183" i="2"/>
  <c r="E183" i="2"/>
  <c r="F183" i="2"/>
  <c r="T183" i="2"/>
  <c r="D183" i="3" s="1"/>
  <c r="K183" i="2"/>
  <c r="C183" i="3" s="1"/>
  <c r="L183" i="2"/>
  <c r="M183" i="2"/>
  <c r="N183" i="2"/>
  <c r="G210" i="4" s="1"/>
  <c r="O210" i="4" s="1"/>
  <c r="P183" i="2"/>
  <c r="H210" i="4" s="1"/>
  <c r="P210" i="4" s="1"/>
  <c r="A184" i="2"/>
  <c r="A184" i="3" s="1"/>
  <c r="B184" i="2"/>
  <c r="B184" i="3" s="1"/>
  <c r="C184" i="2"/>
  <c r="D184" i="2"/>
  <c r="E184" i="2"/>
  <c r="F184" i="2"/>
  <c r="R184" i="2"/>
  <c r="T184" i="2"/>
  <c r="D184" i="3" s="1"/>
  <c r="K184" i="2"/>
  <c r="L184" i="2"/>
  <c r="M184" i="2"/>
  <c r="N184" i="2"/>
  <c r="G211" i="4" s="1"/>
  <c r="P184" i="2"/>
  <c r="H211" i="4" s="1"/>
  <c r="P211" i="4" s="1"/>
  <c r="A185" i="2"/>
  <c r="A185" i="3" s="1"/>
  <c r="B185" i="2"/>
  <c r="B185" i="3" s="1"/>
  <c r="C185" i="2"/>
  <c r="D185" i="2"/>
  <c r="E185" i="2"/>
  <c r="F185" i="2"/>
  <c r="D212" i="4"/>
  <c r="M212" i="4" s="1"/>
  <c r="T185" i="2"/>
  <c r="D185" i="3" s="1"/>
  <c r="K185" i="2"/>
  <c r="C185" i="3" s="1"/>
  <c r="L185" i="2"/>
  <c r="M185" i="2"/>
  <c r="N185" i="2"/>
  <c r="G212" i="4" s="1"/>
  <c r="P185" i="2"/>
  <c r="H212" i="4" s="1"/>
  <c r="P212" i="4" s="1"/>
  <c r="A186" i="2"/>
  <c r="B186" i="2"/>
  <c r="B186" i="3" s="1"/>
  <c r="C186" i="2"/>
  <c r="D186" i="2"/>
  <c r="E186" i="2"/>
  <c r="F186" i="2"/>
  <c r="D213" i="4"/>
  <c r="K186" i="2"/>
  <c r="L186" i="2"/>
  <c r="M186" i="2"/>
  <c r="N186" i="2"/>
  <c r="G213" i="4" s="1"/>
  <c r="P186" i="2"/>
  <c r="H213" i="4" s="1"/>
  <c r="P213" i="4" s="1"/>
  <c r="A187" i="2"/>
  <c r="A187" i="3" s="1"/>
  <c r="B187" i="2"/>
  <c r="B187" i="3" s="1"/>
  <c r="C187" i="2"/>
  <c r="D187" i="2"/>
  <c r="E187" i="2"/>
  <c r="F187" i="2"/>
  <c r="K187" i="2"/>
  <c r="L187" i="2"/>
  <c r="M187" i="2"/>
  <c r="N187" i="2"/>
  <c r="P187" i="2"/>
  <c r="A188" i="2"/>
  <c r="B188" i="2"/>
  <c r="B188" i="3" s="1"/>
  <c r="C188" i="2"/>
  <c r="D188" i="2"/>
  <c r="E188" i="2"/>
  <c r="F188" i="2"/>
  <c r="D215" i="4"/>
  <c r="K188" i="2"/>
  <c r="L188" i="2"/>
  <c r="M188" i="2"/>
  <c r="N188" i="2"/>
  <c r="G215" i="4" s="1"/>
  <c r="P188" i="2"/>
  <c r="H215" i="4" s="1"/>
  <c r="P215" i="4" s="1"/>
  <c r="A189" i="2"/>
  <c r="B189" i="2"/>
  <c r="B189" i="3" s="1"/>
  <c r="C189" i="2"/>
  <c r="D189" i="2"/>
  <c r="E189" i="2"/>
  <c r="F189" i="2"/>
  <c r="D216" i="4"/>
  <c r="K189" i="2"/>
  <c r="L189" i="2"/>
  <c r="M189" i="2"/>
  <c r="N189" i="2"/>
  <c r="G216" i="4" s="1"/>
  <c r="P189" i="2"/>
  <c r="H216" i="4" s="1"/>
  <c r="P216" i="4" s="1"/>
  <c r="A170" i="2"/>
  <c r="A170" i="3" s="1"/>
  <c r="B170" i="2"/>
  <c r="B170" i="3" s="1"/>
  <c r="C170" i="2"/>
  <c r="D170" i="2"/>
  <c r="E170" i="2"/>
  <c r="F170" i="2"/>
  <c r="D197" i="4"/>
  <c r="M197" i="4" s="1"/>
  <c r="T170" i="2"/>
  <c r="D170" i="3" s="1"/>
  <c r="K170" i="2"/>
  <c r="C170" i="3" s="1"/>
  <c r="L170" i="2"/>
  <c r="M170" i="2"/>
  <c r="N170" i="2"/>
  <c r="G197" i="4" s="1"/>
  <c r="P170" i="2"/>
  <c r="H197" i="4" s="1"/>
  <c r="P197" i="4" s="1"/>
  <c r="A171" i="2"/>
  <c r="A171" i="3" s="1"/>
  <c r="B171" i="2"/>
  <c r="B171" i="3" s="1"/>
  <c r="C171" i="2"/>
  <c r="D171" i="2"/>
  <c r="E171" i="2"/>
  <c r="F171" i="2"/>
  <c r="D198" i="4"/>
  <c r="M198" i="4" s="1"/>
  <c r="T171" i="2"/>
  <c r="D171" i="3" s="1"/>
  <c r="K171" i="2"/>
  <c r="L171" i="2"/>
  <c r="M171" i="2"/>
  <c r="N171" i="2"/>
  <c r="G198" i="4" s="1"/>
  <c r="P171" i="2"/>
  <c r="H198" i="4" s="1"/>
  <c r="P198" i="4" s="1"/>
  <c r="S171" i="2"/>
  <c r="A172" i="2"/>
  <c r="A172" i="3" s="1"/>
  <c r="B172" i="2"/>
  <c r="B172" i="3" s="1"/>
  <c r="C172" i="2"/>
  <c r="D172" i="2"/>
  <c r="E172" i="2"/>
  <c r="F172" i="2"/>
  <c r="D199" i="4"/>
  <c r="M199" i="4" s="1"/>
  <c r="T172" i="2"/>
  <c r="D172" i="3" s="1"/>
  <c r="K172" i="2"/>
  <c r="C172" i="3" s="1"/>
  <c r="L172" i="2"/>
  <c r="M172" i="2"/>
  <c r="N172" i="2"/>
  <c r="G199" i="4" s="1"/>
  <c r="P172" i="2"/>
  <c r="H199" i="4" s="1"/>
  <c r="P199" i="4" s="1"/>
  <c r="A173" i="2"/>
  <c r="A173" i="3" s="1"/>
  <c r="B173" i="2"/>
  <c r="B173" i="3" s="1"/>
  <c r="C173" i="2"/>
  <c r="D173" i="2"/>
  <c r="E173" i="2"/>
  <c r="F173" i="2"/>
  <c r="T173" i="2"/>
  <c r="D173" i="3" s="1"/>
  <c r="K173" i="2"/>
  <c r="L173" i="2"/>
  <c r="M173" i="2"/>
  <c r="N173" i="2"/>
  <c r="G200" i="4" s="1"/>
  <c r="P173" i="2"/>
  <c r="H200" i="4" s="1"/>
  <c r="P200" i="4" s="1"/>
  <c r="A174" i="2"/>
  <c r="A174" i="3" s="1"/>
  <c r="B174" i="2"/>
  <c r="B174" i="3" s="1"/>
  <c r="C174" i="2"/>
  <c r="D174" i="2"/>
  <c r="E174" i="2"/>
  <c r="F174" i="2"/>
  <c r="D201" i="4"/>
  <c r="M201" i="4" s="1"/>
  <c r="T174" i="2"/>
  <c r="D174" i="3" s="1"/>
  <c r="K174" i="2"/>
  <c r="C174" i="3" s="1"/>
  <c r="L174" i="2"/>
  <c r="M174" i="2"/>
  <c r="N174" i="2"/>
  <c r="G201" i="4" s="1"/>
  <c r="P174" i="2"/>
  <c r="H201" i="4" s="1"/>
  <c r="P201" i="4" s="1"/>
  <c r="A175" i="2"/>
  <c r="A175" i="3" s="1"/>
  <c r="B175" i="2"/>
  <c r="B175" i="3" s="1"/>
  <c r="C175" i="2"/>
  <c r="D175" i="2"/>
  <c r="E175" i="2"/>
  <c r="F175" i="2"/>
  <c r="T175" i="2"/>
  <c r="D175" i="3" s="1"/>
  <c r="K175" i="2"/>
  <c r="L175" i="2"/>
  <c r="M175" i="2"/>
  <c r="N175" i="2"/>
  <c r="G202" i="4" s="1"/>
  <c r="P175" i="2"/>
  <c r="H202" i="4" s="1"/>
  <c r="P202" i="4" s="1"/>
  <c r="S175" i="2"/>
  <c r="A176" i="2"/>
  <c r="A176" i="3" s="1"/>
  <c r="B176" i="2"/>
  <c r="B176" i="3" s="1"/>
  <c r="C176" i="2"/>
  <c r="D176" i="2"/>
  <c r="E176" i="2"/>
  <c r="F176" i="2"/>
  <c r="D203" i="4"/>
  <c r="M203" i="4" s="1"/>
  <c r="K176" i="2"/>
  <c r="C176" i="3" s="1"/>
  <c r="L176" i="2"/>
  <c r="M176" i="2"/>
  <c r="N176" i="2"/>
  <c r="G203" i="4" s="1"/>
  <c r="P176" i="2"/>
  <c r="H203" i="4" s="1"/>
  <c r="P203" i="4" s="1"/>
  <c r="T176" i="2"/>
  <c r="D176" i="3" s="1"/>
  <c r="A177" i="2"/>
  <c r="A177" i="3" s="1"/>
  <c r="B177" i="2"/>
  <c r="B177" i="3" s="1"/>
  <c r="C177" i="2"/>
  <c r="D177" i="2"/>
  <c r="E177" i="2"/>
  <c r="F177" i="2"/>
  <c r="D204" i="4"/>
  <c r="M204" i="4" s="1"/>
  <c r="T177" i="2"/>
  <c r="D177" i="3" s="1"/>
  <c r="K177" i="2"/>
  <c r="L177" i="2"/>
  <c r="M177" i="2"/>
  <c r="N177" i="2"/>
  <c r="G204" i="4" s="1"/>
  <c r="P177" i="2"/>
  <c r="H204" i="4" s="1"/>
  <c r="P204" i="4" s="1"/>
  <c r="R177" i="2"/>
  <c r="A178" i="2"/>
  <c r="A178" i="3" s="1"/>
  <c r="B178" i="2"/>
  <c r="B178" i="3" s="1"/>
  <c r="C178" i="2"/>
  <c r="D178" i="2"/>
  <c r="E178" i="2"/>
  <c r="F178" i="2"/>
  <c r="D205" i="4"/>
  <c r="M205" i="4" s="1"/>
  <c r="K178" i="2"/>
  <c r="C178" i="3" s="1"/>
  <c r="L178" i="2"/>
  <c r="M178" i="2"/>
  <c r="N178" i="2"/>
  <c r="G205" i="4" s="1"/>
  <c r="P178" i="2"/>
  <c r="H205" i="4" s="1"/>
  <c r="P205" i="4" s="1"/>
  <c r="R178" i="2"/>
  <c r="Y178" i="2" s="1"/>
  <c r="T178" i="2"/>
  <c r="D178" i="3" s="1"/>
  <c r="A179" i="2"/>
  <c r="A179" i="3" s="1"/>
  <c r="B179" i="2"/>
  <c r="B179" i="3" s="1"/>
  <c r="C179" i="2"/>
  <c r="D179" i="2"/>
  <c r="E179" i="2"/>
  <c r="F179" i="2"/>
  <c r="D206" i="4"/>
  <c r="M206" i="4" s="1"/>
  <c r="T179" i="2"/>
  <c r="D179" i="3" s="1"/>
  <c r="K179" i="2"/>
  <c r="L179" i="2"/>
  <c r="M179" i="2"/>
  <c r="N179" i="2"/>
  <c r="G206" i="4" s="1"/>
  <c r="P179" i="2"/>
  <c r="H206" i="4" s="1"/>
  <c r="P206" i="4" s="1"/>
  <c r="R179" i="2"/>
  <c r="S179" i="2"/>
  <c r="A180" i="2"/>
  <c r="A180" i="3" s="1"/>
  <c r="B180" i="2"/>
  <c r="B180" i="3" s="1"/>
  <c r="C180" i="2"/>
  <c r="D180" i="2"/>
  <c r="E180" i="2"/>
  <c r="F180" i="2"/>
  <c r="D207" i="4"/>
  <c r="M207" i="4" s="1"/>
  <c r="T180" i="2"/>
  <c r="D180" i="3" s="1"/>
  <c r="K180" i="2"/>
  <c r="C180" i="3" s="1"/>
  <c r="L180" i="2"/>
  <c r="M180" i="2"/>
  <c r="N180" i="2"/>
  <c r="G207" i="4" s="1"/>
  <c r="P180" i="2"/>
  <c r="H207" i="4" s="1"/>
  <c r="P207" i="4" s="1"/>
  <c r="R180" i="2"/>
  <c r="Y180" i="2" s="1"/>
  <c r="A162" i="2"/>
  <c r="B162" i="2"/>
  <c r="B162" i="3" s="1"/>
  <c r="C162" i="2"/>
  <c r="D162" i="2"/>
  <c r="E162" i="2"/>
  <c r="F162" i="2"/>
  <c r="D188" i="4"/>
  <c r="M188" i="4" s="1"/>
  <c r="K162" i="2"/>
  <c r="L162" i="2"/>
  <c r="M162" i="2"/>
  <c r="N162" i="2"/>
  <c r="G188" i="4" s="1"/>
  <c r="P162" i="2"/>
  <c r="H188" i="4" s="1"/>
  <c r="P188" i="4" s="1"/>
  <c r="A163" i="2"/>
  <c r="A163" i="3" s="1"/>
  <c r="B163" i="2"/>
  <c r="B163" i="3" s="1"/>
  <c r="C163" i="2"/>
  <c r="D163" i="2"/>
  <c r="E163" i="2"/>
  <c r="F163" i="2"/>
  <c r="K163" i="2"/>
  <c r="L163" i="2"/>
  <c r="M163" i="2"/>
  <c r="N163" i="2"/>
  <c r="P163" i="2"/>
  <c r="A164" i="2"/>
  <c r="B164" i="2"/>
  <c r="B164" i="3" s="1"/>
  <c r="C164" i="2"/>
  <c r="D164" i="2"/>
  <c r="E164" i="2"/>
  <c r="F164" i="2"/>
  <c r="D190" i="4"/>
  <c r="M190" i="4" s="1"/>
  <c r="K164" i="2"/>
  <c r="L164" i="2"/>
  <c r="M164" i="2"/>
  <c r="N164" i="2"/>
  <c r="G190" i="4" s="1"/>
  <c r="P164" i="2"/>
  <c r="H190" i="4" s="1"/>
  <c r="P190" i="4" s="1"/>
  <c r="A165" i="2"/>
  <c r="A165" i="3" s="1"/>
  <c r="B165" i="2"/>
  <c r="B165" i="3" s="1"/>
  <c r="C165" i="2"/>
  <c r="D165" i="2"/>
  <c r="E165" i="2"/>
  <c r="F165" i="2"/>
  <c r="D192" i="4"/>
  <c r="M192" i="4" s="1"/>
  <c r="T165" i="2"/>
  <c r="D165" i="3" s="1"/>
  <c r="K165" i="2"/>
  <c r="L165" i="2"/>
  <c r="M165" i="2"/>
  <c r="N165" i="2"/>
  <c r="G192" i="4" s="1"/>
  <c r="P165" i="2"/>
  <c r="H192" i="4" s="1"/>
  <c r="P192" i="4" s="1"/>
  <c r="R165" i="2"/>
  <c r="A166" i="2"/>
  <c r="A166" i="3" s="1"/>
  <c r="B166" i="2"/>
  <c r="B166" i="3" s="1"/>
  <c r="C166" i="2"/>
  <c r="D166" i="2"/>
  <c r="E166" i="2"/>
  <c r="F166" i="2"/>
  <c r="D193" i="4"/>
  <c r="M193" i="4" s="1"/>
  <c r="T166" i="2"/>
  <c r="D166" i="3" s="1"/>
  <c r="K166" i="2"/>
  <c r="C166" i="3" s="1"/>
  <c r="L166" i="2"/>
  <c r="M166" i="2"/>
  <c r="N166" i="2"/>
  <c r="G193" i="4" s="1"/>
  <c r="P166" i="2"/>
  <c r="H193" i="4" s="1"/>
  <c r="P193" i="4" s="1"/>
  <c r="R166" i="2"/>
  <c r="Y166" i="2" s="1"/>
  <c r="S166" i="2"/>
  <c r="A167" i="2"/>
  <c r="A167" i="3" s="1"/>
  <c r="B167" i="2"/>
  <c r="B167" i="3" s="1"/>
  <c r="C167" i="2"/>
  <c r="D167" i="2"/>
  <c r="E167" i="2"/>
  <c r="F167" i="2"/>
  <c r="D194" i="4"/>
  <c r="M194" i="4" s="1"/>
  <c r="T167" i="2"/>
  <c r="D167" i="3" s="1"/>
  <c r="K167" i="2"/>
  <c r="L167" i="2"/>
  <c r="M167" i="2"/>
  <c r="N167" i="2"/>
  <c r="G194" i="4" s="1"/>
  <c r="P167" i="2"/>
  <c r="H194" i="4" s="1"/>
  <c r="P194" i="4" s="1"/>
  <c r="R167" i="2"/>
  <c r="S167" i="2"/>
  <c r="A168" i="2"/>
  <c r="A168" i="3" s="1"/>
  <c r="B168" i="2"/>
  <c r="B168" i="3" s="1"/>
  <c r="C168" i="2"/>
  <c r="D168" i="2"/>
  <c r="E168" i="2"/>
  <c r="F168" i="2"/>
  <c r="D195" i="4"/>
  <c r="M195" i="4" s="1"/>
  <c r="T168" i="2"/>
  <c r="D168" i="3" s="1"/>
  <c r="K168" i="2"/>
  <c r="C168" i="3" s="1"/>
  <c r="L168" i="2"/>
  <c r="M168" i="2"/>
  <c r="N168" i="2"/>
  <c r="G195" i="4" s="1"/>
  <c r="P168" i="2"/>
  <c r="H195" i="4" s="1"/>
  <c r="P195" i="4" s="1"/>
  <c r="R168" i="2"/>
  <c r="Y168" i="2" s="1"/>
  <c r="A169" i="2"/>
  <c r="A169" i="3" s="1"/>
  <c r="B169" i="2"/>
  <c r="B169" i="3" s="1"/>
  <c r="C169" i="2"/>
  <c r="D169" i="2"/>
  <c r="E169" i="2"/>
  <c r="F169" i="2"/>
  <c r="D196" i="4"/>
  <c r="M196" i="4" s="1"/>
  <c r="T169" i="2"/>
  <c r="D169" i="3" s="1"/>
  <c r="K169" i="2"/>
  <c r="L169" i="2"/>
  <c r="M169" i="2"/>
  <c r="N169" i="2"/>
  <c r="G196" i="4" s="1"/>
  <c r="P169" i="2"/>
  <c r="H196" i="4" s="1"/>
  <c r="P196" i="4" s="1"/>
  <c r="A131" i="2"/>
  <c r="A131" i="3" s="1"/>
  <c r="B131" i="2"/>
  <c r="B131" i="3" s="1"/>
  <c r="C131" i="2"/>
  <c r="D131" i="2"/>
  <c r="E131" i="2"/>
  <c r="F131" i="2"/>
  <c r="D155" i="4"/>
  <c r="M155" i="4" s="1"/>
  <c r="T131" i="2"/>
  <c r="D131" i="3" s="1"/>
  <c r="K131" i="2"/>
  <c r="C131" i="3" s="1"/>
  <c r="L131" i="2"/>
  <c r="M131" i="2"/>
  <c r="N131" i="2"/>
  <c r="G155" i="4" s="1"/>
  <c r="P131" i="2"/>
  <c r="H155" i="4" s="1"/>
  <c r="P155" i="4" s="1"/>
  <c r="S131" i="2"/>
  <c r="A132" i="2"/>
  <c r="A132" i="3" s="1"/>
  <c r="B132" i="2"/>
  <c r="B132" i="3" s="1"/>
  <c r="C132" i="2"/>
  <c r="D132" i="2"/>
  <c r="E132" i="2"/>
  <c r="F132" i="2"/>
  <c r="D156" i="4"/>
  <c r="M156" i="4" s="1"/>
  <c r="T132" i="2"/>
  <c r="D132" i="3" s="1"/>
  <c r="K132" i="2"/>
  <c r="L132" i="2"/>
  <c r="M132" i="2"/>
  <c r="N132" i="2"/>
  <c r="G156" i="4" s="1"/>
  <c r="P132" i="2"/>
  <c r="H156" i="4" s="1"/>
  <c r="P156" i="4" s="1"/>
  <c r="A133" i="2"/>
  <c r="A133" i="3" s="1"/>
  <c r="B133" i="2"/>
  <c r="B133" i="3" s="1"/>
  <c r="C133" i="2"/>
  <c r="D133" i="2"/>
  <c r="E133" i="2"/>
  <c r="F133" i="2"/>
  <c r="D157" i="4"/>
  <c r="M157" i="4" s="1"/>
  <c r="T133" i="2"/>
  <c r="D133" i="3" s="1"/>
  <c r="K133" i="2"/>
  <c r="C133" i="3" s="1"/>
  <c r="L133" i="2"/>
  <c r="M133" i="2"/>
  <c r="N133" i="2"/>
  <c r="G157" i="4" s="1"/>
  <c r="P133" i="2"/>
  <c r="H157" i="4" s="1"/>
  <c r="P157" i="4" s="1"/>
  <c r="A134" i="2"/>
  <c r="A134" i="3" s="1"/>
  <c r="B134" i="2"/>
  <c r="B134" i="3" s="1"/>
  <c r="C134" i="2"/>
  <c r="D134" i="2"/>
  <c r="E134" i="2"/>
  <c r="F134" i="2"/>
  <c r="D158" i="4"/>
  <c r="M158" i="4" s="1"/>
  <c r="T134" i="2"/>
  <c r="D134" i="3" s="1"/>
  <c r="K134" i="2"/>
  <c r="L134" i="2"/>
  <c r="M134" i="2"/>
  <c r="N134" i="2"/>
  <c r="G158" i="4" s="1"/>
  <c r="P134" i="2"/>
  <c r="H158" i="4" s="1"/>
  <c r="P158" i="4" s="1"/>
  <c r="A135" i="2"/>
  <c r="A135" i="3" s="1"/>
  <c r="B135" i="2"/>
  <c r="B135" i="3" s="1"/>
  <c r="C135" i="2"/>
  <c r="D135" i="2"/>
  <c r="E135" i="2"/>
  <c r="F135" i="2"/>
  <c r="D159" i="4"/>
  <c r="M159" i="4" s="1"/>
  <c r="T135" i="2"/>
  <c r="D135" i="3" s="1"/>
  <c r="K135" i="2"/>
  <c r="C135" i="3" s="1"/>
  <c r="L135" i="2"/>
  <c r="M135" i="2"/>
  <c r="N135" i="2"/>
  <c r="G159" i="4" s="1"/>
  <c r="P135" i="2"/>
  <c r="H159" i="4" s="1"/>
  <c r="P159" i="4" s="1"/>
  <c r="S135" i="2"/>
  <c r="A136" i="2"/>
  <c r="A136" i="3" s="1"/>
  <c r="B136" i="2"/>
  <c r="B136" i="3" s="1"/>
  <c r="C136" i="2"/>
  <c r="D136" i="2"/>
  <c r="E136" i="2"/>
  <c r="F136" i="2"/>
  <c r="D160" i="4"/>
  <c r="M160" i="4" s="1"/>
  <c r="T136" i="2"/>
  <c r="D136" i="3" s="1"/>
  <c r="K136" i="2"/>
  <c r="L136" i="2"/>
  <c r="M136" i="2"/>
  <c r="N136" i="2"/>
  <c r="G160" i="4" s="1"/>
  <c r="P136" i="2"/>
  <c r="H160" i="4" s="1"/>
  <c r="P160" i="4" s="1"/>
  <c r="A137" i="2"/>
  <c r="A137" i="3" s="1"/>
  <c r="B137" i="2"/>
  <c r="B137" i="3" s="1"/>
  <c r="C137" i="2"/>
  <c r="D137" i="2"/>
  <c r="E137" i="2"/>
  <c r="F137" i="2"/>
  <c r="D161" i="4"/>
  <c r="M161" i="4" s="1"/>
  <c r="T137" i="2"/>
  <c r="D137" i="3" s="1"/>
  <c r="K137" i="2"/>
  <c r="C137" i="3" s="1"/>
  <c r="L137" i="2"/>
  <c r="M137" i="2"/>
  <c r="N137" i="2"/>
  <c r="G161" i="4" s="1"/>
  <c r="P137" i="2"/>
  <c r="H161" i="4" s="1"/>
  <c r="P161" i="4" s="1"/>
  <c r="A138" i="2"/>
  <c r="A138" i="3" s="1"/>
  <c r="B138" i="2"/>
  <c r="B138" i="3" s="1"/>
  <c r="C138" i="2"/>
  <c r="D138" i="2"/>
  <c r="E138" i="2"/>
  <c r="F138" i="2"/>
  <c r="D162" i="4"/>
  <c r="M162" i="4" s="1"/>
  <c r="T138" i="2"/>
  <c r="D138" i="3" s="1"/>
  <c r="K138" i="2"/>
  <c r="L138" i="2"/>
  <c r="M138" i="2"/>
  <c r="N138" i="2"/>
  <c r="G162" i="4" s="1"/>
  <c r="P138" i="2"/>
  <c r="H162" i="4" s="1"/>
  <c r="P162" i="4" s="1"/>
  <c r="A139" i="2"/>
  <c r="A139" i="3" s="1"/>
  <c r="B139" i="2"/>
  <c r="B139" i="3" s="1"/>
  <c r="C139" i="2"/>
  <c r="D139" i="2"/>
  <c r="E139" i="2"/>
  <c r="F139" i="2"/>
  <c r="D163" i="4"/>
  <c r="M163" i="4" s="1"/>
  <c r="T139" i="2"/>
  <c r="D139" i="3" s="1"/>
  <c r="K139" i="2"/>
  <c r="C139" i="3" s="1"/>
  <c r="L139" i="2"/>
  <c r="M139" i="2"/>
  <c r="N139" i="2"/>
  <c r="G163" i="4" s="1"/>
  <c r="P139" i="2"/>
  <c r="H163" i="4" s="1"/>
  <c r="P163" i="4" s="1"/>
  <c r="S139" i="2"/>
  <c r="A140" i="2"/>
  <c r="A140" i="3" s="1"/>
  <c r="B140" i="2"/>
  <c r="B140" i="3" s="1"/>
  <c r="C140" i="2"/>
  <c r="D140" i="2"/>
  <c r="E140" i="2"/>
  <c r="F140" i="2"/>
  <c r="D164" i="4"/>
  <c r="M164" i="4" s="1"/>
  <c r="T140" i="2"/>
  <c r="D140" i="3" s="1"/>
  <c r="K140" i="2"/>
  <c r="L140" i="2"/>
  <c r="M140" i="2"/>
  <c r="N140" i="2"/>
  <c r="G164" i="4" s="1"/>
  <c r="P140" i="2"/>
  <c r="H164" i="4" s="1"/>
  <c r="P164" i="4" s="1"/>
  <c r="A141" i="2"/>
  <c r="A141" i="3" s="1"/>
  <c r="B141" i="2"/>
  <c r="B141" i="3" s="1"/>
  <c r="C141" i="2"/>
  <c r="D141" i="2"/>
  <c r="E141" i="2"/>
  <c r="F141" i="2"/>
  <c r="D166" i="4"/>
  <c r="M166" i="4" s="1"/>
  <c r="T141" i="2"/>
  <c r="D141" i="3" s="1"/>
  <c r="K141" i="2"/>
  <c r="L141" i="2"/>
  <c r="M141" i="2"/>
  <c r="N141" i="2"/>
  <c r="G166" i="4" s="1"/>
  <c r="O166" i="4" s="1"/>
  <c r="P141" i="2"/>
  <c r="H166" i="4" s="1"/>
  <c r="P166" i="4" s="1"/>
  <c r="R141" i="2"/>
  <c r="Y141" i="2" s="1"/>
  <c r="A142" i="2"/>
  <c r="B142" i="2"/>
  <c r="B142" i="3" s="1"/>
  <c r="C142" i="2"/>
  <c r="D142" i="2"/>
  <c r="E142" i="2"/>
  <c r="F142" i="2"/>
  <c r="D167" i="4"/>
  <c r="M167" i="4" s="1"/>
  <c r="K142" i="2"/>
  <c r="L142" i="2"/>
  <c r="M142" i="2"/>
  <c r="N142" i="2"/>
  <c r="G167" i="4" s="1"/>
  <c r="P142" i="2"/>
  <c r="H167" i="4" s="1"/>
  <c r="P167" i="4" s="1"/>
  <c r="A143" i="2"/>
  <c r="A143" i="3" s="1"/>
  <c r="B143" i="2"/>
  <c r="B143" i="3" s="1"/>
  <c r="C143" i="2"/>
  <c r="D143" i="2"/>
  <c r="E143" i="2"/>
  <c r="F143" i="2"/>
  <c r="K143" i="2"/>
  <c r="L143" i="2"/>
  <c r="M143" i="2"/>
  <c r="N143" i="2"/>
  <c r="P143" i="2"/>
  <c r="A144" i="2"/>
  <c r="B144" i="2"/>
  <c r="B144" i="3" s="1"/>
  <c r="C144" i="2"/>
  <c r="D144" i="2"/>
  <c r="E144" i="2"/>
  <c r="F144" i="2"/>
  <c r="D169" i="4"/>
  <c r="M169" i="4" s="1"/>
  <c r="K144" i="2"/>
  <c r="L144" i="2"/>
  <c r="M144" i="2"/>
  <c r="N144" i="2"/>
  <c r="G169" i="4" s="1"/>
  <c r="P144" i="2"/>
  <c r="H169" i="4" s="1"/>
  <c r="P169" i="4" s="1"/>
  <c r="A145" i="2"/>
  <c r="A145" i="3" s="1"/>
  <c r="B145" i="2"/>
  <c r="B145" i="3" s="1"/>
  <c r="C145" i="2"/>
  <c r="D145" i="2"/>
  <c r="E145" i="2"/>
  <c r="F145" i="2"/>
  <c r="D171" i="4"/>
  <c r="M171" i="4" s="1"/>
  <c r="K145" i="2"/>
  <c r="C145" i="3" s="1"/>
  <c r="L145" i="2"/>
  <c r="M145" i="2"/>
  <c r="N145" i="2"/>
  <c r="G171" i="4" s="1"/>
  <c r="P145" i="2"/>
  <c r="H171" i="4" s="1"/>
  <c r="P171" i="4" s="1"/>
  <c r="T145" i="2"/>
  <c r="D145" i="3" s="1"/>
  <c r="A146" i="2"/>
  <c r="A146" i="3" s="1"/>
  <c r="B146" i="2"/>
  <c r="B146" i="3" s="1"/>
  <c r="C146" i="2"/>
  <c r="D146" i="2"/>
  <c r="E146" i="2"/>
  <c r="F146" i="2"/>
  <c r="D172" i="4"/>
  <c r="M172" i="4" s="1"/>
  <c r="T146" i="2"/>
  <c r="D146" i="3" s="1"/>
  <c r="K146" i="2"/>
  <c r="L146" i="2"/>
  <c r="M146" i="2"/>
  <c r="N146" i="2"/>
  <c r="G172" i="4" s="1"/>
  <c r="P146" i="2"/>
  <c r="H172" i="4" s="1"/>
  <c r="P172" i="4" s="1"/>
  <c r="A147" i="2"/>
  <c r="A147" i="3" s="1"/>
  <c r="B147" i="2"/>
  <c r="B147" i="3" s="1"/>
  <c r="C147" i="2"/>
  <c r="D147" i="2"/>
  <c r="E147" i="2"/>
  <c r="F147" i="2"/>
  <c r="D173" i="4"/>
  <c r="M173" i="4" s="1"/>
  <c r="T147" i="2"/>
  <c r="D147" i="3" s="1"/>
  <c r="K147" i="2"/>
  <c r="C147" i="3" s="1"/>
  <c r="L147" i="2"/>
  <c r="M147" i="2"/>
  <c r="N147" i="2"/>
  <c r="G173" i="4" s="1"/>
  <c r="P147" i="2"/>
  <c r="H173" i="4" s="1"/>
  <c r="P173" i="4" s="1"/>
  <c r="S147" i="2"/>
  <c r="A148" i="2"/>
  <c r="A148" i="3" s="1"/>
  <c r="B148" i="2"/>
  <c r="B148" i="3" s="1"/>
  <c r="C148" i="2"/>
  <c r="D148" i="2"/>
  <c r="E148" i="2"/>
  <c r="F148" i="2"/>
  <c r="D174" i="4"/>
  <c r="M174" i="4" s="1"/>
  <c r="T148" i="2"/>
  <c r="D148" i="3" s="1"/>
  <c r="K148" i="2"/>
  <c r="L148" i="2"/>
  <c r="M148" i="2"/>
  <c r="N148" i="2"/>
  <c r="G174" i="4" s="1"/>
  <c r="P148" i="2"/>
  <c r="H174" i="4" s="1"/>
  <c r="P174" i="4" s="1"/>
  <c r="A149" i="2"/>
  <c r="A149" i="3" s="1"/>
  <c r="B149" i="2"/>
  <c r="B149" i="3" s="1"/>
  <c r="C149" i="2"/>
  <c r="D149" i="2"/>
  <c r="E149" i="2"/>
  <c r="F149" i="2"/>
  <c r="D175" i="4"/>
  <c r="M175" i="4" s="1"/>
  <c r="T149" i="2"/>
  <c r="D149" i="3" s="1"/>
  <c r="K149" i="2"/>
  <c r="C149" i="3" s="1"/>
  <c r="L149" i="2"/>
  <c r="M149" i="2"/>
  <c r="N149" i="2"/>
  <c r="G175" i="4" s="1"/>
  <c r="P149" i="2"/>
  <c r="H175" i="4" s="1"/>
  <c r="P175" i="4" s="1"/>
  <c r="A150" i="2"/>
  <c r="A150" i="3" s="1"/>
  <c r="B150" i="2"/>
  <c r="B150" i="3" s="1"/>
  <c r="C150" i="2"/>
  <c r="D150" i="2"/>
  <c r="E150" i="2"/>
  <c r="F150" i="2"/>
  <c r="D176" i="4"/>
  <c r="M176" i="4" s="1"/>
  <c r="T150" i="2"/>
  <c r="D150" i="3" s="1"/>
  <c r="K150" i="2"/>
  <c r="L150" i="2"/>
  <c r="M150" i="2"/>
  <c r="N150" i="2"/>
  <c r="G176" i="4" s="1"/>
  <c r="P150" i="2"/>
  <c r="H176" i="4" s="1"/>
  <c r="P176" i="4" s="1"/>
  <c r="R150" i="2"/>
  <c r="A151" i="2"/>
  <c r="A151" i="3" s="1"/>
  <c r="B151" i="2"/>
  <c r="B151" i="3" s="1"/>
  <c r="C151" i="2"/>
  <c r="D151" i="2"/>
  <c r="E151" i="2"/>
  <c r="F151" i="2"/>
  <c r="D177" i="4"/>
  <c r="M177" i="4" s="1"/>
  <c r="K151" i="2"/>
  <c r="L151" i="2"/>
  <c r="M151" i="2"/>
  <c r="N151" i="2"/>
  <c r="G177" i="4" s="1"/>
  <c r="P151" i="2"/>
  <c r="H177" i="4" s="1"/>
  <c r="P177" i="4" s="1"/>
  <c r="S151" i="2"/>
  <c r="T151" i="2"/>
  <c r="D151" i="3" s="1"/>
  <c r="A152" i="2"/>
  <c r="A152" i="3" s="1"/>
  <c r="B152" i="2"/>
  <c r="B152" i="3" s="1"/>
  <c r="C152" i="2"/>
  <c r="D152" i="2"/>
  <c r="E152" i="2"/>
  <c r="F152" i="2"/>
  <c r="R152" i="2"/>
  <c r="T152" i="2"/>
  <c r="D152" i="3" s="1"/>
  <c r="K152" i="2"/>
  <c r="L152" i="2"/>
  <c r="M152" i="2"/>
  <c r="N152" i="2"/>
  <c r="G178" i="4" s="1"/>
  <c r="P152" i="2"/>
  <c r="H178" i="4" s="1"/>
  <c r="P178" i="4" s="1"/>
  <c r="A153" i="2"/>
  <c r="A153" i="3" s="1"/>
  <c r="B153" i="2"/>
  <c r="B153" i="3" s="1"/>
  <c r="C153" i="2"/>
  <c r="D153" i="2"/>
  <c r="E153" i="2"/>
  <c r="F153" i="2"/>
  <c r="D179" i="4"/>
  <c r="M179" i="4" s="1"/>
  <c r="T153" i="2"/>
  <c r="D153" i="3" s="1"/>
  <c r="K153" i="2"/>
  <c r="L153" i="2"/>
  <c r="M153" i="2"/>
  <c r="N153" i="2"/>
  <c r="G179" i="4" s="1"/>
  <c r="P153" i="2"/>
  <c r="H179" i="4" s="1"/>
  <c r="P179" i="4" s="1"/>
  <c r="A154" i="2"/>
  <c r="A154" i="3" s="1"/>
  <c r="B154" i="2"/>
  <c r="B154" i="3" s="1"/>
  <c r="C154" i="2"/>
  <c r="D154" i="2"/>
  <c r="E154" i="2"/>
  <c r="F154" i="2"/>
  <c r="D180" i="4"/>
  <c r="M180" i="4" s="1"/>
  <c r="T154" i="2"/>
  <c r="D154" i="3" s="1"/>
  <c r="K154" i="2"/>
  <c r="L154" i="2"/>
  <c r="M154" i="2"/>
  <c r="N154" i="2"/>
  <c r="G180" i="4" s="1"/>
  <c r="P154" i="2"/>
  <c r="H180" i="4" s="1"/>
  <c r="P180" i="4" s="1"/>
  <c r="R154" i="2"/>
  <c r="Y154" i="2" s="1"/>
  <c r="A155" i="2"/>
  <c r="A155" i="3" s="1"/>
  <c r="B155" i="2"/>
  <c r="B155" i="3" s="1"/>
  <c r="C155" i="2"/>
  <c r="D155" i="2"/>
  <c r="E155" i="2"/>
  <c r="F155" i="2"/>
  <c r="D181" i="4"/>
  <c r="M181" i="4" s="1"/>
  <c r="T155" i="2"/>
  <c r="D155" i="3" s="1"/>
  <c r="K155" i="2"/>
  <c r="L155" i="2"/>
  <c r="M155" i="2"/>
  <c r="N155" i="2"/>
  <c r="G181" i="4" s="1"/>
  <c r="P155" i="2"/>
  <c r="H181" i="4" s="1"/>
  <c r="P181" i="4" s="1"/>
  <c r="A156" i="2"/>
  <c r="A156" i="3" s="1"/>
  <c r="B156" i="2"/>
  <c r="B156" i="3" s="1"/>
  <c r="C156" i="2"/>
  <c r="D156" i="2"/>
  <c r="E156" i="2"/>
  <c r="F156" i="2"/>
  <c r="D182" i="4"/>
  <c r="M182" i="4" s="1"/>
  <c r="T156" i="2"/>
  <c r="D156" i="3" s="1"/>
  <c r="K156" i="2"/>
  <c r="L156" i="2"/>
  <c r="M156" i="2"/>
  <c r="N156" i="2"/>
  <c r="G182" i="4" s="1"/>
  <c r="P156" i="2"/>
  <c r="H182" i="4" s="1"/>
  <c r="P182" i="4" s="1"/>
  <c r="A157" i="2"/>
  <c r="A157" i="3" s="1"/>
  <c r="B157" i="2"/>
  <c r="B157" i="3" s="1"/>
  <c r="C157" i="2"/>
  <c r="D157" i="2"/>
  <c r="E157" i="2"/>
  <c r="F157" i="2"/>
  <c r="D183" i="4"/>
  <c r="M183" i="4" s="1"/>
  <c r="T157" i="2"/>
  <c r="D157" i="3" s="1"/>
  <c r="K157" i="2"/>
  <c r="L157" i="2"/>
  <c r="M157" i="2"/>
  <c r="N157" i="2"/>
  <c r="G183" i="4" s="1"/>
  <c r="P157" i="2"/>
  <c r="H183" i="4" s="1"/>
  <c r="P183" i="4" s="1"/>
  <c r="A158" i="2"/>
  <c r="A158" i="3" s="1"/>
  <c r="B158" i="2"/>
  <c r="B158" i="3" s="1"/>
  <c r="C158" i="2"/>
  <c r="D158" i="2"/>
  <c r="E158" i="2"/>
  <c r="F158" i="2"/>
  <c r="D184" i="4"/>
  <c r="M184" i="4" s="1"/>
  <c r="T158" i="2"/>
  <c r="D158" i="3" s="1"/>
  <c r="K158" i="2"/>
  <c r="L158" i="2"/>
  <c r="M158" i="2"/>
  <c r="N158" i="2"/>
  <c r="G184" i="4" s="1"/>
  <c r="P158" i="2"/>
  <c r="H184" i="4" s="1"/>
  <c r="P184" i="4" s="1"/>
  <c r="A159" i="2"/>
  <c r="A159" i="3" s="1"/>
  <c r="B159" i="2"/>
  <c r="B159" i="3" s="1"/>
  <c r="C159" i="2"/>
  <c r="D159" i="2"/>
  <c r="E159" i="2"/>
  <c r="F159" i="2"/>
  <c r="D185" i="4"/>
  <c r="M185" i="4" s="1"/>
  <c r="T159" i="2"/>
  <c r="D159" i="3" s="1"/>
  <c r="K159" i="2"/>
  <c r="L159" i="2"/>
  <c r="M159" i="2"/>
  <c r="N159" i="2"/>
  <c r="G185" i="4" s="1"/>
  <c r="P159" i="2"/>
  <c r="H185" i="4" s="1"/>
  <c r="P185" i="4" s="1"/>
  <c r="R159" i="2"/>
  <c r="Y159" i="2" s="1"/>
  <c r="A160" i="2"/>
  <c r="A160" i="3" s="1"/>
  <c r="B160" i="2"/>
  <c r="B160" i="3" s="1"/>
  <c r="C160" i="2"/>
  <c r="D160" i="2"/>
  <c r="E160" i="2"/>
  <c r="F160" i="2"/>
  <c r="D186" i="4"/>
  <c r="M186" i="4" s="1"/>
  <c r="T160" i="2"/>
  <c r="D160" i="3" s="1"/>
  <c r="K160" i="2"/>
  <c r="L160" i="2"/>
  <c r="M160" i="2"/>
  <c r="N160" i="2"/>
  <c r="G186" i="4" s="1"/>
  <c r="P160" i="2"/>
  <c r="H186" i="4" s="1"/>
  <c r="P186" i="4" s="1"/>
  <c r="A161" i="2"/>
  <c r="A161" i="3" s="1"/>
  <c r="B161" i="2"/>
  <c r="B161" i="3" s="1"/>
  <c r="C161" i="2"/>
  <c r="D161" i="2"/>
  <c r="E161" i="2"/>
  <c r="F161" i="2"/>
  <c r="D187" i="4"/>
  <c r="M187" i="4" s="1"/>
  <c r="T161" i="2"/>
  <c r="D161" i="3" s="1"/>
  <c r="K161" i="2"/>
  <c r="L161" i="2"/>
  <c r="M161" i="2"/>
  <c r="N161" i="2"/>
  <c r="G187" i="4" s="1"/>
  <c r="P161" i="2"/>
  <c r="H187" i="4" s="1"/>
  <c r="P187" i="4" s="1"/>
  <c r="A123" i="2"/>
  <c r="B123" i="2"/>
  <c r="C123" i="2"/>
  <c r="D123" i="2"/>
  <c r="E123" i="2"/>
  <c r="F123" i="2"/>
  <c r="R123" i="2"/>
  <c r="T123" i="2"/>
  <c r="K123" i="2"/>
  <c r="L123" i="2"/>
  <c r="M123" i="2"/>
  <c r="N123" i="2"/>
  <c r="P123" i="2"/>
  <c r="A124" i="2"/>
  <c r="B124" i="2"/>
  <c r="C124" i="2"/>
  <c r="D124" i="2"/>
  <c r="E124" i="2"/>
  <c r="F124" i="2"/>
  <c r="D148" i="4"/>
  <c r="M148" i="4" s="1"/>
  <c r="T124" i="2"/>
  <c r="K124" i="2"/>
  <c r="L124" i="2"/>
  <c r="M124" i="2"/>
  <c r="N124" i="2"/>
  <c r="G148" i="4" s="1"/>
  <c r="P124" i="2"/>
  <c r="H148" i="4" s="1"/>
  <c r="P148" i="4" s="1"/>
  <c r="A125" i="2"/>
  <c r="A125" i="3" s="1"/>
  <c r="B125" i="2"/>
  <c r="B125" i="3" s="1"/>
  <c r="C125" i="2"/>
  <c r="D125" i="2"/>
  <c r="E125" i="2"/>
  <c r="F125" i="2"/>
  <c r="D149" i="4"/>
  <c r="M149" i="4" s="1"/>
  <c r="T125" i="2"/>
  <c r="D125" i="3" s="1"/>
  <c r="K125" i="2"/>
  <c r="L125" i="2"/>
  <c r="M125" i="2"/>
  <c r="N125" i="2"/>
  <c r="G149" i="4" s="1"/>
  <c r="P125" i="2"/>
  <c r="H149" i="4" s="1"/>
  <c r="P149" i="4" s="1"/>
  <c r="A126" i="2"/>
  <c r="A126" i="3" s="1"/>
  <c r="B126" i="2"/>
  <c r="B126" i="3" s="1"/>
  <c r="C126" i="2"/>
  <c r="D126" i="2"/>
  <c r="E126" i="2"/>
  <c r="F126" i="2"/>
  <c r="D150" i="4"/>
  <c r="M150" i="4" s="1"/>
  <c r="T126" i="2"/>
  <c r="D126" i="3" s="1"/>
  <c r="K126" i="2"/>
  <c r="C126" i="3" s="1"/>
  <c r="L126" i="2"/>
  <c r="M126" i="2"/>
  <c r="N126" i="2"/>
  <c r="G150" i="4" s="1"/>
  <c r="P126" i="2"/>
  <c r="H150" i="4" s="1"/>
  <c r="P150" i="4" s="1"/>
  <c r="A127" i="2"/>
  <c r="A127" i="3" s="1"/>
  <c r="B127" i="2"/>
  <c r="B127" i="3" s="1"/>
  <c r="C127" i="2"/>
  <c r="D127" i="2"/>
  <c r="E127" i="2"/>
  <c r="F127" i="2"/>
  <c r="R127" i="2"/>
  <c r="Y127" i="2" s="1"/>
  <c r="T127" i="2"/>
  <c r="D127" i="3" s="1"/>
  <c r="K127" i="2"/>
  <c r="L127" i="2"/>
  <c r="M127" i="2"/>
  <c r="N127" i="2"/>
  <c r="G151" i="4" s="1"/>
  <c r="P127" i="2"/>
  <c r="H151" i="4" s="1"/>
  <c r="P151" i="4" s="1"/>
  <c r="S127" i="2"/>
  <c r="A128" i="2"/>
  <c r="A128" i="3" s="1"/>
  <c r="B128" i="2"/>
  <c r="B128" i="3" s="1"/>
  <c r="C128" i="2"/>
  <c r="D128" i="2"/>
  <c r="E128" i="2"/>
  <c r="F128" i="2"/>
  <c r="D152" i="4"/>
  <c r="M152" i="4" s="1"/>
  <c r="T128" i="2"/>
  <c r="D128" i="3" s="1"/>
  <c r="K128" i="2"/>
  <c r="C128" i="3" s="1"/>
  <c r="L128" i="2"/>
  <c r="M128" i="2"/>
  <c r="N128" i="2"/>
  <c r="G152" i="4" s="1"/>
  <c r="P128" i="2"/>
  <c r="H152" i="4" s="1"/>
  <c r="P152" i="4" s="1"/>
  <c r="A129" i="2"/>
  <c r="A129" i="3" s="1"/>
  <c r="B129" i="2"/>
  <c r="B129" i="3" s="1"/>
  <c r="C129" i="2"/>
  <c r="D129" i="2"/>
  <c r="E129" i="2"/>
  <c r="F129" i="2"/>
  <c r="D153" i="4"/>
  <c r="M153" i="4" s="1"/>
  <c r="T129" i="2"/>
  <c r="D129" i="3" s="1"/>
  <c r="K129" i="2"/>
  <c r="L129" i="2"/>
  <c r="M129" i="2"/>
  <c r="N129" i="2"/>
  <c r="G153" i="4" s="1"/>
  <c r="P129" i="2"/>
  <c r="H153" i="4" s="1"/>
  <c r="P153" i="4" s="1"/>
  <c r="A130" i="2"/>
  <c r="A130" i="3" s="1"/>
  <c r="B130" i="2"/>
  <c r="B130" i="3" s="1"/>
  <c r="C130" i="2"/>
  <c r="D130" i="2"/>
  <c r="E130" i="2"/>
  <c r="F130" i="2"/>
  <c r="D154" i="4"/>
  <c r="M154" i="4" s="1"/>
  <c r="T130" i="2"/>
  <c r="D130" i="3" s="1"/>
  <c r="K130" i="2"/>
  <c r="C130" i="3" s="1"/>
  <c r="L130" i="2"/>
  <c r="M130" i="2"/>
  <c r="N130" i="2"/>
  <c r="G154" i="4" s="1"/>
  <c r="P130" i="2"/>
  <c r="H154" i="4" s="1"/>
  <c r="P154" i="4" s="1"/>
  <c r="S130" i="2"/>
  <c r="K185" i="1"/>
  <c r="K181" i="1"/>
  <c r="K180" i="1"/>
  <c r="K178" i="1"/>
  <c r="K175" i="1"/>
  <c r="K174" i="1"/>
  <c r="K173" i="1"/>
  <c r="K172" i="1"/>
  <c r="K186" i="1"/>
  <c r="S134" i="2" l="1"/>
  <c r="S145" i="2"/>
  <c r="S173" i="2"/>
  <c r="S133" i="2"/>
  <c r="R176" i="2"/>
  <c r="Y176" i="2" s="1"/>
  <c r="R171" i="2"/>
  <c r="Y171" i="2" s="1"/>
  <c r="R153" i="2"/>
  <c r="R149" i="2"/>
  <c r="Y149" i="2" s="1"/>
  <c r="R131" i="2"/>
  <c r="Y131" i="2" s="1"/>
  <c r="S149" i="2"/>
  <c r="R147" i="2"/>
  <c r="R135" i="2"/>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M216" i="4"/>
  <c r="O216" i="4"/>
  <c r="E150" i="4"/>
  <c r="N150" i="4" s="1"/>
  <c r="R156" i="2"/>
  <c r="R138" i="2"/>
  <c r="Y138" i="2" s="1"/>
  <c r="W124" i="2"/>
  <c r="M213" i="4"/>
  <c r="O213" i="4"/>
  <c r="R161" i="2"/>
  <c r="Y161" i="2" s="1"/>
  <c r="R140" i="2"/>
  <c r="Y140" i="2" s="1"/>
  <c r="M215" i="4"/>
  <c r="O215" i="4"/>
  <c r="R151" i="2"/>
  <c r="Y151" i="2" s="1"/>
  <c r="C141" i="3"/>
  <c r="S138" i="2"/>
  <c r="D151" i="4"/>
  <c r="M151" i="4" s="1"/>
  <c r="R157" i="2"/>
  <c r="Y157" i="2" s="1"/>
  <c r="R145" i="2"/>
  <c r="S176" i="2"/>
  <c r="E203" i="4"/>
  <c r="N203" i="4" s="1"/>
  <c r="S128" i="2"/>
  <c r="E152" i="4"/>
  <c r="N152" i="4" s="1"/>
  <c r="R126" i="2"/>
  <c r="Y126" i="2" s="1"/>
  <c r="S160" i="2"/>
  <c r="S140" i="2"/>
  <c r="R175" i="2"/>
  <c r="Y175" i="2" s="1"/>
  <c r="D202" i="4"/>
  <c r="M202" i="4" s="1"/>
  <c r="R173" i="2"/>
  <c r="Y173" i="2" s="1"/>
  <c r="D200" i="4"/>
  <c r="M200" i="4" s="1"/>
  <c r="S182" i="2"/>
  <c r="E209" i="4"/>
  <c r="N209" i="4" s="1"/>
  <c r="S178" i="2"/>
  <c r="E205" i="4"/>
  <c r="N205" i="4" s="1"/>
  <c r="S174" i="2"/>
  <c r="E201" i="4"/>
  <c r="N201" i="4" s="1"/>
  <c r="S158" i="2"/>
  <c r="E184" i="4"/>
  <c r="N184" i="4" s="1"/>
  <c r="S154" i="2"/>
  <c r="E180" i="4"/>
  <c r="N180" i="4" s="1"/>
  <c r="S150" i="2"/>
  <c r="E176" i="4"/>
  <c r="N176" i="4" s="1"/>
  <c r="S146" i="2"/>
  <c r="E172" i="4"/>
  <c r="N172" i="4" s="1"/>
  <c r="D178" i="4"/>
  <c r="M178" i="4" s="1"/>
  <c r="R125" i="2"/>
  <c r="Y125" i="2" s="1"/>
  <c r="R155" i="2"/>
  <c r="R139" i="2"/>
  <c r="Y139" i="2" s="1"/>
  <c r="R170" i="2"/>
  <c r="Y170" i="2" s="1"/>
  <c r="R185" i="2"/>
  <c r="Y185" i="2" s="1"/>
  <c r="S180" i="2"/>
  <c r="E207" i="4"/>
  <c r="N207" i="4" s="1"/>
  <c r="S172" i="2"/>
  <c r="E199" i="4"/>
  <c r="N199" i="4" s="1"/>
  <c r="S152" i="2"/>
  <c r="Y152" i="2" s="1"/>
  <c r="E178" i="4"/>
  <c r="N178" i="4" s="1"/>
  <c r="R130" i="2"/>
  <c r="Y130" i="2" s="1"/>
  <c r="R158" i="2"/>
  <c r="R183" i="2"/>
  <c r="D210" i="4"/>
  <c r="M210" i="4" s="1"/>
  <c r="S185" i="2"/>
  <c r="E212" i="4"/>
  <c r="N212" i="4" s="1"/>
  <c r="E197" i="4"/>
  <c r="N197" i="4" s="1"/>
  <c r="R182" i="2"/>
  <c r="Y182" i="2" s="1"/>
  <c r="S156" i="2"/>
  <c r="E182" i="4"/>
  <c r="N182" i="4" s="1"/>
  <c r="S148" i="2"/>
  <c r="E174" i="4"/>
  <c r="N174" i="4" s="1"/>
  <c r="S136" i="2"/>
  <c r="Y123" i="2"/>
  <c r="U183" i="2"/>
  <c r="D211" i="4"/>
  <c r="M211" i="4" s="1"/>
  <c r="O208" i="4"/>
  <c r="O204" i="4"/>
  <c r="O195" i="4"/>
  <c r="O194" i="4"/>
  <c r="O190" i="4"/>
  <c r="O187" i="4"/>
  <c r="O185" i="4"/>
  <c r="O183" i="4"/>
  <c r="O206" i="4"/>
  <c r="O198" i="4"/>
  <c r="O196" i="4"/>
  <c r="O193" i="4"/>
  <c r="O192" i="4"/>
  <c r="O188" i="4"/>
  <c r="O186" i="4"/>
  <c r="O181" i="4"/>
  <c r="O179" i="4"/>
  <c r="O177" i="4"/>
  <c r="O175" i="4"/>
  <c r="O173" i="4"/>
  <c r="O171" i="4"/>
  <c r="O169" i="4"/>
  <c r="O167" i="4"/>
  <c r="O164" i="4"/>
  <c r="O163" i="4"/>
  <c r="O162" i="4"/>
  <c r="O161" i="4"/>
  <c r="O160" i="4"/>
  <c r="O159" i="4"/>
  <c r="O158" i="4"/>
  <c r="O157" i="4"/>
  <c r="O156" i="4"/>
  <c r="O155" i="4"/>
  <c r="O154" i="4"/>
  <c r="O153" i="4"/>
  <c r="O149" i="4"/>
  <c r="O148" i="4"/>
  <c r="Y179" i="2"/>
  <c r="Y150"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28" i="2" l="1"/>
  <c r="Y145" i="2"/>
  <c r="Y137" i="2"/>
  <c r="Y169" i="2"/>
  <c r="Y124" i="2"/>
  <c r="Y132" i="2"/>
  <c r="W181" i="2"/>
  <c r="Y156" i="2"/>
  <c r="X181" i="2"/>
  <c r="X128" i="2"/>
  <c r="O200" i="4"/>
  <c r="Y148" i="2"/>
  <c r="X130" i="2"/>
  <c r="X185" i="2"/>
  <c r="O150" i="4"/>
  <c r="Y155" i="2"/>
  <c r="X126" i="2"/>
  <c r="O151" i="4"/>
  <c r="W130" i="2"/>
  <c r="Y160" i="2"/>
  <c r="X170" i="2"/>
  <c r="W168" i="2"/>
  <c r="X124" i="2"/>
  <c r="Y158" i="2"/>
  <c r="W126" i="2"/>
  <c r="W185" i="2"/>
  <c r="Y183" i="2"/>
  <c r="U141" i="2"/>
  <c r="W183" i="2"/>
  <c r="W178" i="2"/>
  <c r="W128" i="2"/>
  <c r="X183" i="2"/>
  <c r="O174" i="4"/>
  <c r="O152" i="4"/>
  <c r="O203" i="4"/>
  <c r="O176" i="4"/>
  <c r="O184" i="4"/>
  <c r="O199" i="4"/>
  <c r="O205" i="4"/>
  <c r="O211" i="4"/>
  <c r="O212" i="4"/>
  <c r="O172" i="4"/>
  <c r="O180" i="4"/>
  <c r="O197" i="4"/>
  <c r="O209" i="4"/>
  <c r="O201" i="4"/>
  <c r="O207" i="4"/>
  <c r="O178" i="4"/>
  <c r="O182" i="4"/>
  <c r="O202" i="4"/>
  <c r="X145" i="2"/>
  <c r="X133" i="2"/>
  <c r="X137" i="2"/>
  <c r="X131" i="2"/>
  <c r="W145" i="2"/>
  <c r="X174" i="2"/>
  <c r="W170" i="2"/>
  <c r="X178" i="2"/>
  <c r="X135" i="2"/>
  <c r="W139" i="2"/>
  <c r="W133" i="2"/>
  <c r="X166" i="2"/>
  <c r="X172" i="2"/>
  <c r="X176" i="2"/>
  <c r="X180" i="2"/>
  <c r="W174" i="2"/>
  <c r="X149" i="2"/>
  <c r="X147" i="2"/>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5" i="4"/>
  <c r="J145" i="4" s="1"/>
  <c r="B145" i="4"/>
  <c r="K145" i="4" s="1"/>
  <c r="C145" i="4"/>
  <c r="L145" i="4" s="1"/>
  <c r="E145" i="4"/>
  <c r="N145" i="4" s="1"/>
  <c r="F145" i="4"/>
  <c r="I145" i="4"/>
  <c r="A146" i="4"/>
  <c r="J146" i="4" s="1"/>
  <c r="B146" i="4"/>
  <c r="K146" i="4" s="1"/>
  <c r="C146" i="4"/>
  <c r="L146" i="4" s="1"/>
  <c r="E146" i="4"/>
  <c r="N146" i="4" s="1"/>
  <c r="F146" i="4"/>
  <c r="I146" i="4"/>
  <c r="A147" i="4"/>
  <c r="J147" i="4" s="1"/>
  <c r="B147" i="4"/>
  <c r="K147" i="4" s="1"/>
  <c r="C147" i="4"/>
  <c r="L147" i="4" s="1"/>
  <c r="E147" i="4"/>
  <c r="N147" i="4" s="1"/>
  <c r="F147" i="4"/>
  <c r="I147" i="4"/>
  <c r="B124" i="3"/>
  <c r="A124" i="3"/>
  <c r="C124" i="3"/>
  <c r="D124" i="3"/>
  <c r="A123" i="3"/>
  <c r="B123" i="3"/>
  <c r="D147" i="4"/>
  <c r="M147" i="4" s="1"/>
  <c r="D123" i="3"/>
  <c r="C123" i="3"/>
  <c r="G147" i="4"/>
  <c r="H147" i="4"/>
  <c r="P147" i="4" s="1"/>
  <c r="A122" i="2"/>
  <c r="B122" i="2"/>
  <c r="B122" i="3" s="1"/>
  <c r="C122" i="2"/>
  <c r="D122" i="2"/>
  <c r="E122" i="2"/>
  <c r="F122" i="2"/>
  <c r="G146" i="4"/>
  <c r="H146" i="4"/>
  <c r="P146" i="4" s="1"/>
  <c r="A121" i="2"/>
  <c r="A121" i="3" s="1"/>
  <c r="B121" i="2"/>
  <c r="B121" i="3" s="1"/>
  <c r="C121" i="2"/>
  <c r="D121" i="2"/>
  <c r="E121" i="2"/>
  <c r="F121" i="2"/>
  <c r="G145" i="4"/>
  <c r="H145" i="4"/>
  <c r="P145" i="4" s="1"/>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K28" i="2"/>
  <c r="L28" i="2"/>
  <c r="M28" i="2"/>
  <c r="N28" i="2"/>
  <c r="P28" i="2"/>
  <c r="A29" i="2"/>
  <c r="B29" i="2"/>
  <c r="C29" i="2"/>
  <c r="D29" i="2"/>
  <c r="E29" i="2"/>
  <c r="F29" i="2"/>
  <c r="K29" i="2"/>
  <c r="L29" i="2"/>
  <c r="M29" i="2"/>
  <c r="N29" i="2"/>
  <c r="P29" i="2"/>
  <c r="D144" i="4"/>
  <c r="M144" i="4" s="1"/>
  <c r="A120" i="2"/>
  <c r="B120" i="2"/>
  <c r="C120" i="2"/>
  <c r="D120" i="2"/>
  <c r="E120" i="2"/>
  <c r="F120" i="2"/>
  <c r="T120" i="2"/>
  <c r="D120" i="3" s="1"/>
  <c r="E120" i="3" s="1"/>
  <c r="K120" i="2"/>
  <c r="C120" i="3" s="1"/>
  <c r="L120" i="2"/>
  <c r="M120" i="2"/>
  <c r="N120" i="2"/>
  <c r="G144" i="4" s="1"/>
  <c r="P120" i="2"/>
  <c r="H144" i="4" s="1"/>
  <c r="P144" i="4" s="1"/>
  <c r="P120" i="1"/>
  <c r="A144" i="4"/>
  <c r="J144" i="4" s="1"/>
  <c r="B144" i="4"/>
  <c r="K144" i="4" s="1"/>
  <c r="C144" i="4"/>
  <c r="L144" i="4" s="1"/>
  <c r="E144" i="4"/>
  <c r="N144" i="4" s="1"/>
  <c r="F144" i="4"/>
  <c r="I144" i="4"/>
  <c r="S120" i="2"/>
  <c r="D146" i="4" l="1"/>
  <c r="M146" i="4" s="1"/>
  <c r="D145" i="4"/>
  <c r="M145" i="4" s="1"/>
  <c r="O147" i="4"/>
  <c r="R120" i="2"/>
  <c r="Y120" i="2" s="1"/>
  <c r="O144" i="4"/>
  <c r="J138" i="4"/>
  <c r="J134" i="4"/>
  <c r="J140" i="4"/>
  <c r="J136" i="4"/>
  <c r="J120" i="4"/>
  <c r="J104" i="4"/>
  <c r="J88"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90" i="4"/>
  <c r="I91" i="4"/>
  <c r="I92" i="4"/>
  <c r="I93" i="4"/>
  <c r="I94" i="4"/>
  <c r="I95" i="4"/>
  <c r="I96" i="4"/>
  <c r="I97" i="4"/>
  <c r="I98" i="4"/>
  <c r="I99" i="4"/>
  <c r="I100" i="4"/>
  <c r="I101" i="4"/>
  <c r="I102" i="4"/>
  <c r="I103" i="4"/>
  <c r="I104" i="4"/>
  <c r="I106" i="4"/>
  <c r="I107" i="4"/>
  <c r="I108" i="4"/>
  <c r="I109" i="4"/>
  <c r="I110" i="4"/>
  <c r="I111" i="4"/>
  <c r="I112" i="4"/>
  <c r="I113" i="4"/>
  <c r="I114" i="4"/>
  <c r="I115" i="4"/>
  <c r="I116" i="4"/>
  <c r="I117" i="4"/>
  <c r="I118" i="4"/>
  <c r="I119" i="4"/>
  <c r="I120" i="4"/>
  <c r="I122" i="4"/>
  <c r="I123" i="4"/>
  <c r="I124" i="4"/>
  <c r="I125" i="4"/>
  <c r="I126" i="4"/>
  <c r="I127" i="4"/>
  <c r="I128" i="4"/>
  <c r="I129" i="4"/>
  <c r="I130" i="4"/>
  <c r="I131" i="4"/>
  <c r="I132" i="4"/>
  <c r="I133" i="4"/>
  <c r="I135" i="4"/>
  <c r="I137" i="4"/>
  <c r="I139" i="4"/>
  <c r="I141" i="4"/>
  <c r="I142" i="4"/>
  <c r="I143" i="4"/>
  <c r="A90" i="4"/>
  <c r="J90" i="4" s="1"/>
  <c r="B90" i="4"/>
  <c r="K90" i="4" s="1"/>
  <c r="C90" i="4"/>
  <c r="L90" i="4" s="1"/>
  <c r="F90" i="4"/>
  <c r="A91" i="4"/>
  <c r="J91" i="4" s="1"/>
  <c r="B91" i="4"/>
  <c r="K91" i="4" s="1"/>
  <c r="C91" i="4"/>
  <c r="L91" i="4" s="1"/>
  <c r="F91" i="4"/>
  <c r="A92" i="4"/>
  <c r="J92" i="4" s="1"/>
  <c r="B92" i="4"/>
  <c r="K92" i="4" s="1"/>
  <c r="C92" i="4"/>
  <c r="L92" i="4" s="1"/>
  <c r="F92" i="4"/>
  <c r="A93" i="4"/>
  <c r="J93" i="4" s="1"/>
  <c r="B93" i="4"/>
  <c r="K93" i="4" s="1"/>
  <c r="C93" i="4"/>
  <c r="L93" i="4" s="1"/>
  <c r="F93" i="4"/>
  <c r="A94" i="4"/>
  <c r="J94" i="4" s="1"/>
  <c r="B94" i="4"/>
  <c r="K94" i="4" s="1"/>
  <c r="C94" i="4"/>
  <c r="L94" i="4" s="1"/>
  <c r="F94" i="4"/>
  <c r="A95" i="4"/>
  <c r="B95" i="4"/>
  <c r="K95" i="4" s="1"/>
  <c r="C95" i="4"/>
  <c r="L95" i="4" s="1"/>
  <c r="F95" i="4"/>
  <c r="J95" i="4"/>
  <c r="A96" i="4"/>
  <c r="J96" i="4" s="1"/>
  <c r="B96" i="4"/>
  <c r="K96" i="4" s="1"/>
  <c r="C96" i="4"/>
  <c r="L96" i="4" s="1"/>
  <c r="F96" i="4"/>
  <c r="A97" i="4"/>
  <c r="B97" i="4"/>
  <c r="K97" i="4" s="1"/>
  <c r="C97" i="4"/>
  <c r="L97" i="4" s="1"/>
  <c r="F97" i="4"/>
  <c r="J97" i="4"/>
  <c r="A98" i="4"/>
  <c r="J98" i="4" s="1"/>
  <c r="B98" i="4"/>
  <c r="K98" i="4" s="1"/>
  <c r="C98" i="4"/>
  <c r="L98" i="4" s="1"/>
  <c r="F98" i="4"/>
  <c r="A99" i="4"/>
  <c r="J99" i="4" s="1"/>
  <c r="B99" i="4"/>
  <c r="K99" i="4" s="1"/>
  <c r="C99" i="4"/>
  <c r="L99" i="4" s="1"/>
  <c r="F99" i="4"/>
  <c r="A100" i="4"/>
  <c r="J100" i="4" s="1"/>
  <c r="B100" i="4"/>
  <c r="K100" i="4" s="1"/>
  <c r="C100" i="4"/>
  <c r="L100" i="4" s="1"/>
  <c r="F100" i="4"/>
  <c r="A101" i="4"/>
  <c r="K101" i="4" s="1"/>
  <c r="B101" i="4"/>
  <c r="C101" i="4"/>
  <c r="F101" i="4"/>
  <c r="O101" i="4" s="1"/>
  <c r="A102" i="4"/>
  <c r="B102" i="4"/>
  <c r="C102" i="4"/>
  <c r="F102" i="4"/>
  <c r="O102" i="4" s="1"/>
  <c r="A103" i="4"/>
  <c r="J103" i="4" s="1"/>
  <c r="B103" i="4"/>
  <c r="K103" i="4" s="1"/>
  <c r="A105" i="4"/>
  <c r="J105" i="4" s="1"/>
  <c r="B105" i="4"/>
  <c r="K105" i="4" s="1"/>
  <c r="C105" i="4"/>
  <c r="L105" i="4" s="1"/>
  <c r="F105" i="4"/>
  <c r="A106" i="4"/>
  <c r="J106" i="4" s="1"/>
  <c r="B106" i="4"/>
  <c r="K106" i="4" s="1"/>
  <c r="C106" i="4"/>
  <c r="L106" i="4" s="1"/>
  <c r="F106" i="4"/>
  <c r="A107" i="4"/>
  <c r="J107" i="4" s="1"/>
  <c r="B107" i="4"/>
  <c r="K107" i="4" s="1"/>
  <c r="C107" i="4"/>
  <c r="L107" i="4" s="1"/>
  <c r="F107" i="4"/>
  <c r="A108" i="4"/>
  <c r="B108" i="4"/>
  <c r="K108" i="4" s="1"/>
  <c r="C108" i="4"/>
  <c r="L108" i="4" s="1"/>
  <c r="F108" i="4"/>
  <c r="J108" i="4"/>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K117" i="4" s="1"/>
  <c r="B117" i="4"/>
  <c r="C117" i="4"/>
  <c r="F117" i="4"/>
  <c r="O117" i="4" s="1"/>
  <c r="A118" i="4"/>
  <c r="B118" i="4"/>
  <c r="C118" i="4"/>
  <c r="F118" i="4"/>
  <c r="O118" i="4" s="1"/>
  <c r="A119" i="4"/>
  <c r="J119" i="4" s="1"/>
  <c r="B119" i="4"/>
  <c r="K119" i="4" s="1"/>
  <c r="F119" i="4"/>
  <c r="O119" i="4" s="1"/>
  <c r="A121" i="4"/>
  <c r="J121" i="4" s="1"/>
  <c r="B121" i="4"/>
  <c r="K121" i="4" s="1"/>
  <c r="C121" i="4"/>
  <c r="L121" i="4" s="1"/>
  <c r="F121" i="4"/>
  <c r="A122" i="4"/>
  <c r="J122" i="4" s="1"/>
  <c r="B122" i="4"/>
  <c r="K122" i="4" s="1"/>
  <c r="C122" i="4"/>
  <c r="L122" i="4" s="1"/>
  <c r="F122" i="4"/>
  <c r="A123" i="4"/>
  <c r="J123" i="4" s="1"/>
  <c r="B123" i="4"/>
  <c r="C123" i="4"/>
  <c r="L123" i="4" s="1"/>
  <c r="F123" i="4"/>
  <c r="K123" i="4"/>
  <c r="A124" i="4"/>
  <c r="J124" i="4" s="1"/>
  <c r="B124" i="4"/>
  <c r="K124" i="4" s="1"/>
  <c r="C124" i="4"/>
  <c r="L124" i="4" s="1"/>
  <c r="F124" i="4"/>
  <c r="A125" i="4"/>
  <c r="J125" i="4" s="1"/>
  <c r="B125" i="4"/>
  <c r="K125" i="4" s="1"/>
  <c r="C125" i="4"/>
  <c r="L125" i="4" s="1"/>
  <c r="F125" i="4"/>
  <c r="A126" i="4"/>
  <c r="J126" i="4" s="1"/>
  <c r="B126" i="4"/>
  <c r="K126" i="4" s="1"/>
  <c r="C126" i="4"/>
  <c r="L126" i="4" s="1"/>
  <c r="F126" i="4"/>
  <c r="A127" i="4"/>
  <c r="B127" i="4"/>
  <c r="K127" i="4" s="1"/>
  <c r="C127" i="4"/>
  <c r="L127" i="4" s="1"/>
  <c r="F127" i="4"/>
  <c r="J127" i="4"/>
  <c r="A128" i="4"/>
  <c r="B128" i="4"/>
  <c r="K128" i="4" s="1"/>
  <c r="C128" i="4"/>
  <c r="L128" i="4" s="1"/>
  <c r="F128" i="4"/>
  <c r="J128" i="4"/>
  <c r="A129" i="4"/>
  <c r="J129" i="4" s="1"/>
  <c r="B129" i="4"/>
  <c r="K129" i="4" s="1"/>
  <c r="C129" i="4"/>
  <c r="L129" i="4" s="1"/>
  <c r="F129" i="4"/>
  <c r="A130" i="4"/>
  <c r="B130" i="4"/>
  <c r="K130" i="4" s="1"/>
  <c r="C130" i="4"/>
  <c r="L130" i="4" s="1"/>
  <c r="F130" i="4"/>
  <c r="J130" i="4"/>
  <c r="A131" i="4"/>
  <c r="J131" i="4" s="1"/>
  <c r="B131" i="4"/>
  <c r="K131" i="4" s="1"/>
  <c r="C131" i="4"/>
  <c r="L131" i="4" s="1"/>
  <c r="F131" i="4"/>
  <c r="A132" i="4"/>
  <c r="J132" i="4" s="1"/>
  <c r="B132" i="4"/>
  <c r="K132" i="4" s="1"/>
  <c r="C132" i="4"/>
  <c r="L132" i="4" s="1"/>
  <c r="F132" i="4"/>
  <c r="A133" i="4"/>
  <c r="J133" i="4" s="1"/>
  <c r="B133" i="4"/>
  <c r="K133" i="4" s="1"/>
  <c r="C133" i="4"/>
  <c r="L133" i="4" s="1"/>
  <c r="F133" i="4"/>
  <c r="A135" i="4"/>
  <c r="J135" i="4" s="1"/>
  <c r="B135" i="4"/>
  <c r="K135" i="4" s="1"/>
  <c r="C135" i="4"/>
  <c r="L135" i="4" s="1"/>
  <c r="F135" i="4"/>
  <c r="A137" i="4"/>
  <c r="J137" i="4" s="1"/>
  <c r="B137" i="4"/>
  <c r="K137" i="4" s="1"/>
  <c r="C137" i="4"/>
  <c r="L137" i="4" s="1"/>
  <c r="F137" i="4"/>
  <c r="A139" i="4"/>
  <c r="J139" i="4" s="1"/>
  <c r="B139" i="4"/>
  <c r="K139" i="4" s="1"/>
  <c r="C139" i="4"/>
  <c r="L139" i="4" s="1"/>
  <c r="F139" i="4"/>
  <c r="A141" i="4"/>
  <c r="J141" i="4" s="1"/>
  <c r="B141" i="4"/>
  <c r="K141" i="4" s="1"/>
  <c r="C141" i="4"/>
  <c r="L141" i="4" s="1"/>
  <c r="F141" i="4"/>
  <c r="A142" i="4"/>
  <c r="K142" i="4" s="1"/>
  <c r="B142" i="4"/>
  <c r="C142" i="4"/>
  <c r="D142" i="4"/>
  <c r="M142" i="4" s="1"/>
  <c r="F142" i="4"/>
  <c r="A143" i="4"/>
  <c r="J143" i="4" s="1"/>
  <c r="B143" i="4"/>
  <c r="K143" i="4" s="1"/>
  <c r="C143" i="4"/>
  <c r="L143" i="4" s="1"/>
  <c r="D143" i="4"/>
  <c r="M143" i="4" s="1"/>
  <c r="E143" i="4"/>
  <c r="N143" i="4" s="1"/>
  <c r="F143" i="4"/>
  <c r="A89" i="4"/>
  <c r="J89" i="4" s="1"/>
  <c r="B89" i="4"/>
  <c r="K89" i="4" s="1"/>
  <c r="C89" i="4"/>
  <c r="L89" i="4" s="1"/>
  <c r="F89" i="4"/>
  <c r="A87" i="4"/>
  <c r="J87" i="4" s="1"/>
  <c r="S7" i="2"/>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R9" i="2"/>
  <c r="S9" i="2"/>
  <c r="T9" i="2"/>
  <c r="D9" i="3" s="1"/>
  <c r="K9" i="2"/>
  <c r="L9" i="2"/>
  <c r="M9" i="2"/>
  <c r="N9" i="2"/>
  <c r="P9" i="2"/>
  <c r="Q9" i="2"/>
  <c r="A10" i="2"/>
  <c r="A10" i="3" s="1"/>
  <c r="B10" i="2"/>
  <c r="B10" i="3" s="1"/>
  <c r="C10" i="2"/>
  <c r="D10" i="2"/>
  <c r="E10" i="2"/>
  <c r="R10" i="2"/>
  <c r="Y10" i="2" s="1"/>
  <c r="S10" i="2"/>
  <c r="T10" i="2"/>
  <c r="D10" i="3" s="1"/>
  <c r="K10" i="2"/>
  <c r="L10" i="2"/>
  <c r="M10" i="2"/>
  <c r="N10" i="2"/>
  <c r="P10" i="2"/>
  <c r="Q10" i="2"/>
  <c r="A11" i="2"/>
  <c r="A11" i="3" s="1"/>
  <c r="B11" i="2"/>
  <c r="B11" i="3" s="1"/>
  <c r="C11" i="2"/>
  <c r="D11" i="2"/>
  <c r="E11" i="2"/>
  <c r="R11" i="2"/>
  <c r="S11" i="2"/>
  <c r="T11" i="2"/>
  <c r="D11" i="3" s="1"/>
  <c r="K11" i="2"/>
  <c r="C11" i="3" s="1"/>
  <c r="L11" i="2"/>
  <c r="M11" i="2"/>
  <c r="N11" i="2"/>
  <c r="P11" i="2"/>
  <c r="Q11" i="2"/>
  <c r="A12" i="2"/>
  <c r="A12" i="3" s="1"/>
  <c r="B12" i="2"/>
  <c r="B12" i="3" s="1"/>
  <c r="C12" i="2"/>
  <c r="D12" i="2"/>
  <c r="E12" i="2"/>
  <c r="R12" i="2"/>
  <c r="Y12" i="2" s="1"/>
  <c r="S12" i="2"/>
  <c r="T12" i="2"/>
  <c r="D12" i="3" s="1"/>
  <c r="K12" i="2"/>
  <c r="L12" i="2"/>
  <c r="M12" i="2"/>
  <c r="N12" i="2"/>
  <c r="P12" i="2"/>
  <c r="Q12" i="2"/>
  <c r="A13" i="2"/>
  <c r="A13" i="3" s="1"/>
  <c r="B13" i="2"/>
  <c r="B13" i="3" s="1"/>
  <c r="C13" i="2"/>
  <c r="D13" i="2"/>
  <c r="E13" i="2"/>
  <c r="R13" i="2"/>
  <c r="S13" i="2"/>
  <c r="T13" i="2"/>
  <c r="D13" i="3" s="1"/>
  <c r="K13" i="2"/>
  <c r="L13" i="2"/>
  <c r="M13" i="2"/>
  <c r="N13" i="2"/>
  <c r="P13" i="2"/>
  <c r="Q13" i="2"/>
  <c r="A14" i="2"/>
  <c r="A14" i="3" s="1"/>
  <c r="B14" i="2"/>
  <c r="B14" i="3" s="1"/>
  <c r="C14" i="2"/>
  <c r="D14" i="2"/>
  <c r="E14" i="2"/>
  <c r="R14" i="2"/>
  <c r="Y14" i="2" s="1"/>
  <c r="S14" i="2"/>
  <c r="T14" i="2"/>
  <c r="D14" i="3" s="1"/>
  <c r="K14" i="2"/>
  <c r="L14" i="2"/>
  <c r="M14" i="2"/>
  <c r="N14" i="2"/>
  <c r="P14" i="2"/>
  <c r="Q14" i="2"/>
  <c r="A15" i="2"/>
  <c r="A15" i="3" s="1"/>
  <c r="B15" i="2"/>
  <c r="B15" i="3" s="1"/>
  <c r="C15" i="2"/>
  <c r="D15" i="2"/>
  <c r="E15" i="2"/>
  <c r="R15" i="2"/>
  <c r="S15" i="2"/>
  <c r="T15" i="2"/>
  <c r="D15" i="3" s="1"/>
  <c r="K15" i="2"/>
  <c r="C15" i="3" s="1"/>
  <c r="L15" i="2"/>
  <c r="M15" i="2"/>
  <c r="N15" i="2"/>
  <c r="P15" i="2"/>
  <c r="Q15" i="2"/>
  <c r="A16" i="2"/>
  <c r="A16" i="3" s="1"/>
  <c r="B16" i="2"/>
  <c r="B16" i="3" s="1"/>
  <c r="C16" i="2"/>
  <c r="D16" i="2"/>
  <c r="E16" i="2"/>
  <c r="R16" i="2"/>
  <c r="Y16" i="2" s="1"/>
  <c r="S16" i="2"/>
  <c r="T16" i="2"/>
  <c r="D16" i="3" s="1"/>
  <c r="K16" i="2"/>
  <c r="U16" i="2" s="1"/>
  <c r="L16" i="2"/>
  <c r="M16" i="2"/>
  <c r="N16" i="2"/>
  <c r="P16" i="2"/>
  <c r="Q16" i="2"/>
  <c r="A17" i="2"/>
  <c r="A17" i="3" s="1"/>
  <c r="B17" i="2"/>
  <c r="B17" i="3" s="1"/>
  <c r="C17" i="2"/>
  <c r="D17" i="2"/>
  <c r="E17" i="2"/>
  <c r="R17" i="2"/>
  <c r="S17" i="2"/>
  <c r="T17" i="2"/>
  <c r="D17" i="3" s="1"/>
  <c r="K17" i="2"/>
  <c r="L17" i="2"/>
  <c r="M17" i="2"/>
  <c r="N17" i="2"/>
  <c r="P17" i="2"/>
  <c r="Q17" i="2"/>
  <c r="A18" i="2"/>
  <c r="A18" i="3" s="1"/>
  <c r="B18" i="2"/>
  <c r="B18" i="3" s="1"/>
  <c r="C18" i="2"/>
  <c r="D18" i="2"/>
  <c r="E18" i="2"/>
  <c r="R18" i="2"/>
  <c r="Y18" i="2" s="1"/>
  <c r="S18" i="2"/>
  <c r="T18" i="2"/>
  <c r="D18" i="3" s="1"/>
  <c r="K18" i="2"/>
  <c r="C18" i="3" s="1"/>
  <c r="L18" i="2"/>
  <c r="M18" i="2"/>
  <c r="N18" i="2"/>
  <c r="P18" i="2"/>
  <c r="Q18" i="2"/>
  <c r="A19" i="2"/>
  <c r="A19" i="3" s="1"/>
  <c r="B19" i="2"/>
  <c r="B19" i="3" s="1"/>
  <c r="C19" i="2"/>
  <c r="D19" i="2"/>
  <c r="E19" i="2"/>
  <c r="R19" i="2"/>
  <c r="S19" i="2"/>
  <c r="T19" i="2"/>
  <c r="D19" i="3" s="1"/>
  <c r="K19" i="2"/>
  <c r="U19" i="2" s="1"/>
  <c r="L19" i="2"/>
  <c r="M19" i="2"/>
  <c r="N19" i="2"/>
  <c r="P19" i="2"/>
  <c r="Q19" i="2"/>
  <c r="A20" i="2"/>
  <c r="A20" i="3" s="1"/>
  <c r="B20" i="2"/>
  <c r="B20" i="3" s="1"/>
  <c r="C20" i="2"/>
  <c r="D20" i="2"/>
  <c r="E20" i="2"/>
  <c r="R20" i="2"/>
  <c r="Y20" i="2" s="1"/>
  <c r="S20" i="2"/>
  <c r="T20" i="2"/>
  <c r="D20" i="3" s="1"/>
  <c r="K20" i="2"/>
  <c r="C20" i="3" s="1"/>
  <c r="L20" i="2"/>
  <c r="M20" i="2"/>
  <c r="N20" i="2"/>
  <c r="P20" i="2"/>
  <c r="Q20" i="2"/>
  <c r="A21" i="2"/>
  <c r="A21" i="3" s="1"/>
  <c r="B21" i="2"/>
  <c r="B21" i="3" s="1"/>
  <c r="C21" i="2"/>
  <c r="D21" i="2"/>
  <c r="E21" i="2"/>
  <c r="R21" i="2"/>
  <c r="S21" i="2"/>
  <c r="T21" i="2"/>
  <c r="D21" i="3" s="1"/>
  <c r="K21" i="2"/>
  <c r="L21" i="2"/>
  <c r="M21" i="2"/>
  <c r="N21" i="2"/>
  <c r="P21" i="2"/>
  <c r="Q21" i="2"/>
  <c r="A22" i="2"/>
  <c r="A22" i="3" s="1"/>
  <c r="B22" i="2"/>
  <c r="B22" i="3" s="1"/>
  <c r="C22" i="2"/>
  <c r="D22" i="2"/>
  <c r="E22" i="2"/>
  <c r="R22" i="2"/>
  <c r="Y22" i="2" s="1"/>
  <c r="S22" i="2"/>
  <c r="T22" i="2"/>
  <c r="D22" i="3" s="1"/>
  <c r="K22" i="2"/>
  <c r="L22" i="2"/>
  <c r="M22" i="2"/>
  <c r="N22" i="2"/>
  <c r="P22" i="2"/>
  <c r="Q22" i="2"/>
  <c r="A23" i="2"/>
  <c r="A23" i="3" s="1"/>
  <c r="B23" i="2"/>
  <c r="B23" i="3" s="1"/>
  <c r="C23" i="2"/>
  <c r="D23" i="2"/>
  <c r="E23" i="2"/>
  <c r="R23" i="2"/>
  <c r="S23" i="2"/>
  <c r="T23" i="2"/>
  <c r="D23" i="3" s="1"/>
  <c r="K23" i="2"/>
  <c r="C23" i="3" s="1"/>
  <c r="L23" i="2"/>
  <c r="M23" i="2"/>
  <c r="N23" i="2"/>
  <c r="P23" i="2"/>
  <c r="Q23" i="2"/>
  <c r="A24" i="2"/>
  <c r="A24" i="3" s="1"/>
  <c r="B24" i="2"/>
  <c r="B24" i="3" s="1"/>
  <c r="C24" i="2"/>
  <c r="D24" i="2"/>
  <c r="E24" i="2"/>
  <c r="R24" i="2"/>
  <c r="Y24" i="2" s="1"/>
  <c r="S24" i="2"/>
  <c r="T24" i="2"/>
  <c r="D24" i="3" s="1"/>
  <c r="K24" i="2"/>
  <c r="L24" i="2"/>
  <c r="M24" i="2"/>
  <c r="N24" i="2"/>
  <c r="P24" i="2"/>
  <c r="Q24" i="2"/>
  <c r="A25" i="2"/>
  <c r="B25" i="2"/>
  <c r="B25" i="3" s="1"/>
  <c r="C25" i="2"/>
  <c r="D25" i="2"/>
  <c r="E25" i="2"/>
  <c r="K25" i="2"/>
  <c r="L25" i="2"/>
  <c r="M25" i="2"/>
  <c r="N25" i="2"/>
  <c r="P25" i="2"/>
  <c r="Q25" i="2"/>
  <c r="A26" i="2"/>
  <c r="A26" i="3" s="1"/>
  <c r="B26" i="2"/>
  <c r="B26" i="3" s="1"/>
  <c r="C26" i="2"/>
  <c r="D26" i="2"/>
  <c r="E26" i="2"/>
  <c r="R26" i="2"/>
  <c r="S26" i="2"/>
  <c r="T26" i="2"/>
  <c r="D26" i="3" s="1"/>
  <c r="K26" i="2"/>
  <c r="C26" i="3" s="1"/>
  <c r="L26" i="2"/>
  <c r="M26" i="2"/>
  <c r="N26" i="2"/>
  <c r="P26" i="2"/>
  <c r="Q26" i="2"/>
  <c r="A27" i="2"/>
  <c r="A27" i="3" s="1"/>
  <c r="B27" i="2"/>
  <c r="B27" i="3" s="1"/>
  <c r="C27" i="2"/>
  <c r="D27" i="2"/>
  <c r="E27" i="2"/>
  <c r="R27" i="2"/>
  <c r="Y27" i="2" s="1"/>
  <c r="S27" i="2"/>
  <c r="T27" i="2"/>
  <c r="D27" i="3" s="1"/>
  <c r="K27" i="2"/>
  <c r="C27" i="3" s="1"/>
  <c r="L27" i="2"/>
  <c r="M27" i="2"/>
  <c r="N27" i="2"/>
  <c r="P27" i="2"/>
  <c r="Q27" i="2"/>
  <c r="B28" i="3"/>
  <c r="Q28" i="2"/>
  <c r="B29" i="3"/>
  <c r="Q29" i="2"/>
  <c r="A30" i="2"/>
  <c r="A30" i="3" s="1"/>
  <c r="B30" i="2"/>
  <c r="B30" i="3" s="1"/>
  <c r="C30" i="2"/>
  <c r="D30" i="2"/>
  <c r="E30" i="2"/>
  <c r="R30" i="2"/>
  <c r="S30" i="2"/>
  <c r="T30" i="2"/>
  <c r="D30" i="3" s="1"/>
  <c r="K30" i="2"/>
  <c r="L30" i="2"/>
  <c r="M30" i="2"/>
  <c r="N30" i="2"/>
  <c r="P30" i="2"/>
  <c r="Q30" i="2"/>
  <c r="A31" i="2"/>
  <c r="A31" i="3" s="1"/>
  <c r="B31" i="2"/>
  <c r="B31" i="3" s="1"/>
  <c r="C31" i="2"/>
  <c r="D31" i="2"/>
  <c r="E31" i="2"/>
  <c r="R31" i="2"/>
  <c r="Y31" i="2" s="1"/>
  <c r="S31" i="2"/>
  <c r="T31" i="2"/>
  <c r="D31" i="3" s="1"/>
  <c r="K31" i="2"/>
  <c r="L31" i="2"/>
  <c r="M31" i="2"/>
  <c r="N31" i="2"/>
  <c r="P31" i="2"/>
  <c r="Q31" i="2"/>
  <c r="A32" i="2"/>
  <c r="A32" i="3" s="1"/>
  <c r="B32" i="2"/>
  <c r="B32" i="3" s="1"/>
  <c r="C32" i="2"/>
  <c r="D32" i="2"/>
  <c r="E32" i="2"/>
  <c r="R32" i="2"/>
  <c r="S32" i="2"/>
  <c r="T32" i="2"/>
  <c r="D32" i="3" s="1"/>
  <c r="K32" i="2"/>
  <c r="L32" i="2"/>
  <c r="M32" i="2"/>
  <c r="N32" i="2"/>
  <c r="P32" i="2"/>
  <c r="Q32" i="2"/>
  <c r="A33" i="2"/>
  <c r="A33" i="3" s="1"/>
  <c r="B33" i="2"/>
  <c r="B33" i="3" s="1"/>
  <c r="C33" i="2"/>
  <c r="D33" i="2"/>
  <c r="E33" i="2"/>
  <c r="R33" i="2"/>
  <c r="Y33" i="2" s="1"/>
  <c r="S33" i="2"/>
  <c r="T33" i="2"/>
  <c r="D33" i="3" s="1"/>
  <c r="K33" i="2"/>
  <c r="L33" i="2"/>
  <c r="M33" i="2"/>
  <c r="N33" i="2"/>
  <c r="P33" i="2"/>
  <c r="Q33" i="2"/>
  <c r="A34" i="2"/>
  <c r="A34" i="3" s="1"/>
  <c r="B34" i="2"/>
  <c r="B34" i="3" s="1"/>
  <c r="C34" i="2"/>
  <c r="D34" i="2"/>
  <c r="E34" i="2"/>
  <c r="R34" i="2"/>
  <c r="Y34" i="2" s="1"/>
  <c r="S34" i="2"/>
  <c r="T34" i="2"/>
  <c r="D34" i="3" s="1"/>
  <c r="K34" i="2"/>
  <c r="L34" i="2"/>
  <c r="M34" i="2"/>
  <c r="N34" i="2"/>
  <c r="P34" i="2"/>
  <c r="Q34" i="2"/>
  <c r="A35" i="2"/>
  <c r="A35" i="3" s="1"/>
  <c r="B35" i="2"/>
  <c r="B35" i="3" s="1"/>
  <c r="C35" i="2"/>
  <c r="D35" i="2"/>
  <c r="E35" i="2"/>
  <c r="R35" i="2"/>
  <c r="S35" i="2"/>
  <c r="T35" i="2"/>
  <c r="D35" i="3" s="1"/>
  <c r="K35" i="2"/>
  <c r="L35" i="2"/>
  <c r="M35" i="2"/>
  <c r="N35" i="2"/>
  <c r="P35" i="2"/>
  <c r="Q35" i="2"/>
  <c r="A36" i="2"/>
  <c r="B36" i="2"/>
  <c r="B36" i="3" s="1"/>
  <c r="C36" i="2"/>
  <c r="D36" i="2"/>
  <c r="E36" i="2"/>
  <c r="K36" i="2"/>
  <c r="L36" i="2"/>
  <c r="M36" i="2"/>
  <c r="N36" i="2"/>
  <c r="P36" i="2"/>
  <c r="Q36" i="2"/>
  <c r="A37" i="2"/>
  <c r="A37" i="3" s="1"/>
  <c r="B37" i="2"/>
  <c r="B37" i="3" s="1"/>
  <c r="C37" i="2"/>
  <c r="D37" i="2"/>
  <c r="E37" i="2"/>
  <c r="R37" i="2"/>
  <c r="Y37" i="2" s="1"/>
  <c r="S37" i="2"/>
  <c r="T37" i="2"/>
  <c r="D37" i="3" s="1"/>
  <c r="K37" i="2"/>
  <c r="U37" i="2" s="1"/>
  <c r="L37" i="2"/>
  <c r="M37" i="2"/>
  <c r="N37" i="2"/>
  <c r="P37" i="2"/>
  <c r="Q37" i="2"/>
  <c r="A38" i="2"/>
  <c r="A38" i="3" s="1"/>
  <c r="B38" i="2"/>
  <c r="B38" i="3" s="1"/>
  <c r="C38" i="2"/>
  <c r="D38" i="2"/>
  <c r="E38" i="2"/>
  <c r="R38" i="2"/>
  <c r="Y38" i="2" s="1"/>
  <c r="S38" i="2"/>
  <c r="T38" i="2"/>
  <c r="D38" i="3" s="1"/>
  <c r="K38" i="2"/>
  <c r="C38" i="3" s="1"/>
  <c r="L38" i="2"/>
  <c r="M38" i="2"/>
  <c r="N38" i="2"/>
  <c r="P38" i="2"/>
  <c r="Q38" i="2"/>
  <c r="A39" i="2"/>
  <c r="A39" i="3" s="1"/>
  <c r="B39" i="2"/>
  <c r="B39" i="3" s="1"/>
  <c r="C39" i="2"/>
  <c r="D39" i="2"/>
  <c r="E39" i="2"/>
  <c r="R39" i="2"/>
  <c r="Y39" i="2" s="1"/>
  <c r="S39" i="2"/>
  <c r="T39" i="2"/>
  <c r="D39" i="3" s="1"/>
  <c r="K39" i="2"/>
  <c r="L39" i="2"/>
  <c r="M39" i="2"/>
  <c r="N39" i="2"/>
  <c r="P39" i="2"/>
  <c r="Q39" i="2"/>
  <c r="A40" i="2"/>
  <c r="A40" i="3" s="1"/>
  <c r="B40" i="2"/>
  <c r="B40" i="3" s="1"/>
  <c r="C40" i="2"/>
  <c r="D40" i="2"/>
  <c r="E40" i="2"/>
  <c r="R40" i="2"/>
  <c r="Y40" i="2" s="1"/>
  <c r="S40" i="2"/>
  <c r="T40" i="2"/>
  <c r="D40" i="3" s="1"/>
  <c r="K40" i="2"/>
  <c r="L40" i="2"/>
  <c r="M40" i="2"/>
  <c r="N40" i="2"/>
  <c r="P40" i="2"/>
  <c r="Q40" i="2"/>
  <c r="A41" i="2"/>
  <c r="A41" i="3" s="1"/>
  <c r="B41" i="2"/>
  <c r="B41" i="3" s="1"/>
  <c r="C41" i="2"/>
  <c r="D41" i="2"/>
  <c r="E41" i="2"/>
  <c r="R41" i="2"/>
  <c r="Y41" i="2" s="1"/>
  <c r="S41" i="2"/>
  <c r="T41" i="2"/>
  <c r="D41" i="3" s="1"/>
  <c r="K41" i="2"/>
  <c r="L41" i="2"/>
  <c r="M41" i="2"/>
  <c r="N41" i="2"/>
  <c r="P41" i="2"/>
  <c r="Q41" i="2"/>
  <c r="A42" i="2"/>
  <c r="A42" i="3" s="1"/>
  <c r="B42" i="2"/>
  <c r="B42" i="3" s="1"/>
  <c r="C42" i="2"/>
  <c r="D42" i="2"/>
  <c r="E42" i="2"/>
  <c r="R42" i="2"/>
  <c r="Y42" i="2" s="1"/>
  <c r="S42" i="2"/>
  <c r="T42" i="2"/>
  <c r="D42" i="3" s="1"/>
  <c r="K42" i="2"/>
  <c r="L42" i="2"/>
  <c r="M42" i="2"/>
  <c r="N42" i="2"/>
  <c r="P42" i="2"/>
  <c r="Q42" i="2"/>
  <c r="A43" i="2"/>
  <c r="A43" i="3" s="1"/>
  <c r="B43" i="2"/>
  <c r="B43" i="3" s="1"/>
  <c r="C43" i="2"/>
  <c r="D43" i="2"/>
  <c r="E43" i="2"/>
  <c r="R43" i="2"/>
  <c r="Y43" i="2" s="1"/>
  <c r="S43" i="2"/>
  <c r="T43" i="2"/>
  <c r="D43" i="3" s="1"/>
  <c r="K43" i="2"/>
  <c r="L43" i="2"/>
  <c r="M43" i="2"/>
  <c r="N43" i="2"/>
  <c r="P43" i="2"/>
  <c r="Q43" i="2"/>
  <c r="A44" i="2"/>
  <c r="A44" i="3" s="1"/>
  <c r="B44" i="2"/>
  <c r="B44" i="3" s="1"/>
  <c r="C44" i="2"/>
  <c r="D44" i="2"/>
  <c r="E44" i="2"/>
  <c r="R44" i="2"/>
  <c r="Y44" i="2" s="1"/>
  <c r="S44" i="2"/>
  <c r="T44" i="2"/>
  <c r="D44" i="3" s="1"/>
  <c r="K44" i="2"/>
  <c r="C44" i="3" s="1"/>
  <c r="L44" i="2"/>
  <c r="M44" i="2"/>
  <c r="N44" i="2"/>
  <c r="P44" i="2"/>
  <c r="Q44" i="2"/>
  <c r="A45" i="2"/>
  <c r="A45" i="3" s="1"/>
  <c r="B45" i="2"/>
  <c r="B45" i="3" s="1"/>
  <c r="C45" i="2"/>
  <c r="D45" i="2"/>
  <c r="E45" i="2"/>
  <c r="R45" i="2"/>
  <c r="Y45" i="2" s="1"/>
  <c r="S45" i="2"/>
  <c r="T45" i="2"/>
  <c r="D45" i="3" s="1"/>
  <c r="K45" i="2"/>
  <c r="C45" i="3" s="1"/>
  <c r="L45" i="2"/>
  <c r="M45" i="2"/>
  <c r="N45" i="2"/>
  <c r="P45" i="2"/>
  <c r="Q45" i="2"/>
  <c r="A46" i="2"/>
  <c r="A46" i="3" s="1"/>
  <c r="B46" i="2"/>
  <c r="B46" i="3" s="1"/>
  <c r="C46" i="2"/>
  <c r="D46" i="2"/>
  <c r="E46" i="2"/>
  <c r="R46" i="2"/>
  <c r="Y46" i="2" s="1"/>
  <c r="S46" i="2"/>
  <c r="T46" i="2"/>
  <c r="D46" i="3" s="1"/>
  <c r="K46" i="2"/>
  <c r="C46" i="3" s="1"/>
  <c r="L46" i="2"/>
  <c r="M46" i="2"/>
  <c r="N46" i="2"/>
  <c r="P46" i="2"/>
  <c r="Q46" i="2"/>
  <c r="A47" i="2"/>
  <c r="A47" i="3" s="1"/>
  <c r="B47" i="2"/>
  <c r="B47" i="3" s="1"/>
  <c r="C47" i="2"/>
  <c r="D47" i="2"/>
  <c r="E47" i="2"/>
  <c r="R47" i="2"/>
  <c r="Y47" i="2" s="1"/>
  <c r="S47" i="2"/>
  <c r="T47" i="2"/>
  <c r="D47" i="3" s="1"/>
  <c r="K47" i="2"/>
  <c r="L47" i="2"/>
  <c r="M47" i="2"/>
  <c r="N47" i="2"/>
  <c r="P47" i="2"/>
  <c r="Q47" i="2"/>
  <c r="A48" i="2"/>
  <c r="A48" i="3" s="1"/>
  <c r="B48" i="2"/>
  <c r="B48" i="3" s="1"/>
  <c r="C48" i="2"/>
  <c r="D48" i="2"/>
  <c r="E48" i="2"/>
  <c r="R48" i="2"/>
  <c r="Y48" i="2" s="1"/>
  <c r="S48" i="2"/>
  <c r="T48" i="2"/>
  <c r="D48" i="3" s="1"/>
  <c r="K48" i="2"/>
  <c r="C48" i="3" s="1"/>
  <c r="L48" i="2"/>
  <c r="M48" i="2"/>
  <c r="N48" i="2"/>
  <c r="P48" i="2"/>
  <c r="Q48" i="2"/>
  <c r="A49" i="2"/>
  <c r="A49" i="3" s="1"/>
  <c r="B49" i="2"/>
  <c r="B49" i="3" s="1"/>
  <c r="C49" i="2"/>
  <c r="D49" i="2"/>
  <c r="E49" i="2"/>
  <c r="R49" i="2"/>
  <c r="S49" i="2"/>
  <c r="T49" i="2"/>
  <c r="D49" i="3" s="1"/>
  <c r="K49" i="2"/>
  <c r="L49" i="2"/>
  <c r="M49" i="2"/>
  <c r="N49" i="2"/>
  <c r="P49" i="2"/>
  <c r="Q49" i="2"/>
  <c r="A50" i="2"/>
  <c r="A50" i="3" s="1"/>
  <c r="B50" i="2"/>
  <c r="B50" i="3" s="1"/>
  <c r="C50" i="2"/>
  <c r="D50" i="2"/>
  <c r="E50" i="2"/>
  <c r="R50" i="2"/>
  <c r="Y50" i="2" s="1"/>
  <c r="S50" i="2"/>
  <c r="T50" i="2"/>
  <c r="D50" i="3" s="1"/>
  <c r="K50" i="2"/>
  <c r="C50" i="3" s="1"/>
  <c r="L50" i="2"/>
  <c r="M50" i="2"/>
  <c r="N50" i="2"/>
  <c r="P50" i="2"/>
  <c r="Q50" i="2"/>
  <c r="A51" i="2"/>
  <c r="A51" i="3" s="1"/>
  <c r="B51" i="2"/>
  <c r="B51" i="3" s="1"/>
  <c r="C51" i="2"/>
  <c r="D51" i="2"/>
  <c r="E51" i="2"/>
  <c r="R51" i="2"/>
  <c r="S51" i="2"/>
  <c r="T51" i="2"/>
  <c r="D51" i="3" s="1"/>
  <c r="K51" i="2"/>
  <c r="C51" i="3" s="1"/>
  <c r="L51" i="2"/>
  <c r="M51" i="2"/>
  <c r="N51" i="2"/>
  <c r="P51" i="2"/>
  <c r="Q51" i="2"/>
  <c r="A52" i="2"/>
  <c r="A52" i="3" s="1"/>
  <c r="B52" i="2"/>
  <c r="B52" i="3" s="1"/>
  <c r="C52" i="2"/>
  <c r="D52" i="2"/>
  <c r="E52" i="2"/>
  <c r="R52" i="2"/>
  <c r="Y52" i="2" s="1"/>
  <c r="S52" i="2"/>
  <c r="T52" i="2"/>
  <c r="D52" i="3" s="1"/>
  <c r="K52" i="2"/>
  <c r="L52" i="2"/>
  <c r="M52" i="2"/>
  <c r="N52" i="2"/>
  <c r="P52" i="2"/>
  <c r="Q52" i="2"/>
  <c r="A53" i="2"/>
  <c r="A53" i="3" s="1"/>
  <c r="B53" i="2"/>
  <c r="B53" i="3" s="1"/>
  <c r="C53" i="2"/>
  <c r="D53" i="2"/>
  <c r="E53" i="2"/>
  <c r="R53" i="2"/>
  <c r="Y53" i="2" s="1"/>
  <c r="S53" i="2"/>
  <c r="T53" i="2"/>
  <c r="D53" i="3" s="1"/>
  <c r="K53" i="2"/>
  <c r="L53" i="2"/>
  <c r="M53" i="2"/>
  <c r="N53" i="2"/>
  <c r="P53" i="2"/>
  <c r="Q53" i="2"/>
  <c r="A54" i="2"/>
  <c r="A54" i="3" s="1"/>
  <c r="B54" i="2"/>
  <c r="B54" i="3" s="1"/>
  <c r="C54" i="2"/>
  <c r="D54" i="2"/>
  <c r="E54" i="2"/>
  <c r="R54" i="2"/>
  <c r="Y54" i="2" s="1"/>
  <c r="S54" i="2"/>
  <c r="T54" i="2"/>
  <c r="D54" i="3" s="1"/>
  <c r="K54" i="2"/>
  <c r="C54" i="3" s="1"/>
  <c r="L54" i="2"/>
  <c r="M54" i="2"/>
  <c r="N54" i="2"/>
  <c r="P54" i="2"/>
  <c r="Q54" i="2"/>
  <c r="A55" i="2"/>
  <c r="A55" i="3" s="1"/>
  <c r="B55" i="2"/>
  <c r="B55" i="3" s="1"/>
  <c r="C55" i="2"/>
  <c r="D55" i="2"/>
  <c r="E55" i="2"/>
  <c r="R55" i="2"/>
  <c r="Y55" i="2" s="1"/>
  <c r="S55" i="2"/>
  <c r="T55" i="2"/>
  <c r="D55" i="3" s="1"/>
  <c r="K55" i="2"/>
  <c r="C55" i="3" s="1"/>
  <c r="L55" i="2"/>
  <c r="M55" i="2"/>
  <c r="N55" i="2"/>
  <c r="P55" i="2"/>
  <c r="Q55" i="2"/>
  <c r="A56" i="2"/>
  <c r="A56" i="3" s="1"/>
  <c r="B56" i="2"/>
  <c r="B56" i="3" s="1"/>
  <c r="C56" i="2"/>
  <c r="D56" i="2"/>
  <c r="E56" i="2"/>
  <c r="R56" i="2"/>
  <c r="Y56" i="2" s="1"/>
  <c r="S56" i="2"/>
  <c r="T56" i="2"/>
  <c r="D56" i="3" s="1"/>
  <c r="K56" i="2"/>
  <c r="L56" i="2"/>
  <c r="M56" i="2"/>
  <c r="N56" i="2"/>
  <c r="P56" i="2"/>
  <c r="Q56" i="2"/>
  <c r="A57" i="2"/>
  <c r="A57" i="3" s="1"/>
  <c r="B57" i="2"/>
  <c r="B57" i="3" s="1"/>
  <c r="C57" i="2"/>
  <c r="D57" i="2"/>
  <c r="E57" i="2"/>
  <c r="R57" i="2"/>
  <c r="Y57" i="2" s="1"/>
  <c r="S57" i="2"/>
  <c r="T57" i="2"/>
  <c r="D57" i="3" s="1"/>
  <c r="K57" i="2"/>
  <c r="L57" i="2"/>
  <c r="M57" i="2"/>
  <c r="N57" i="2"/>
  <c r="P57" i="2"/>
  <c r="Q57" i="2"/>
  <c r="A58" i="2"/>
  <c r="A58" i="3" s="1"/>
  <c r="B58" i="2"/>
  <c r="B58" i="3" s="1"/>
  <c r="C58" i="2"/>
  <c r="D58" i="2"/>
  <c r="E58" i="2"/>
  <c r="R58" i="2"/>
  <c r="Y58" i="2" s="1"/>
  <c r="S58" i="2"/>
  <c r="T58" i="2"/>
  <c r="D58" i="3" s="1"/>
  <c r="K58" i="2"/>
  <c r="L58" i="2"/>
  <c r="M58" i="2"/>
  <c r="N58" i="2"/>
  <c r="P58" i="2"/>
  <c r="Q58" i="2"/>
  <c r="A59" i="2"/>
  <c r="A59" i="3" s="1"/>
  <c r="B59" i="2"/>
  <c r="B59" i="3" s="1"/>
  <c r="C59" i="2"/>
  <c r="D59" i="2"/>
  <c r="E59" i="2"/>
  <c r="R59" i="2"/>
  <c r="Y59" i="2" s="1"/>
  <c r="S59" i="2"/>
  <c r="T59" i="2"/>
  <c r="D59" i="3" s="1"/>
  <c r="K59" i="2"/>
  <c r="C59" i="3" s="1"/>
  <c r="L59" i="2"/>
  <c r="M59" i="2"/>
  <c r="N59" i="2"/>
  <c r="P59" i="2"/>
  <c r="Q59" i="2"/>
  <c r="A60" i="2"/>
  <c r="A60" i="3" s="1"/>
  <c r="B60" i="2"/>
  <c r="B60" i="3" s="1"/>
  <c r="C60" i="2"/>
  <c r="D60" i="2"/>
  <c r="E60" i="2"/>
  <c r="R60" i="2"/>
  <c r="Y60" i="2" s="1"/>
  <c r="S60" i="2"/>
  <c r="T60" i="2"/>
  <c r="D60" i="3" s="1"/>
  <c r="K60" i="2"/>
  <c r="L60" i="2"/>
  <c r="M60" i="2"/>
  <c r="N60" i="2"/>
  <c r="P60" i="2"/>
  <c r="Q60" i="2"/>
  <c r="A61" i="2"/>
  <c r="A61" i="3" s="1"/>
  <c r="B61" i="2"/>
  <c r="B61" i="3" s="1"/>
  <c r="C61" i="2"/>
  <c r="D61" i="2"/>
  <c r="E61" i="2"/>
  <c r="R61" i="2"/>
  <c r="Y61" i="2" s="1"/>
  <c r="S61" i="2"/>
  <c r="T61" i="2"/>
  <c r="D61" i="3" s="1"/>
  <c r="K61" i="2"/>
  <c r="L61" i="2"/>
  <c r="M61" i="2"/>
  <c r="N61" i="2"/>
  <c r="P61" i="2"/>
  <c r="Q61" i="2"/>
  <c r="A62" i="2"/>
  <c r="A62" i="3" s="1"/>
  <c r="B62" i="2"/>
  <c r="B62" i="3" s="1"/>
  <c r="C62" i="2"/>
  <c r="D62" i="2"/>
  <c r="E62" i="2"/>
  <c r="R62" i="2"/>
  <c r="Y62" i="2" s="1"/>
  <c r="S62" i="2"/>
  <c r="T62" i="2"/>
  <c r="D62" i="3" s="1"/>
  <c r="K62" i="2"/>
  <c r="C62" i="3" s="1"/>
  <c r="L62" i="2"/>
  <c r="M62" i="2"/>
  <c r="N62" i="2"/>
  <c r="P62" i="2"/>
  <c r="Q62" i="2"/>
  <c r="A63" i="2"/>
  <c r="A63" i="3" s="1"/>
  <c r="B63" i="2"/>
  <c r="B63" i="3" s="1"/>
  <c r="C63" i="2"/>
  <c r="D63" i="2"/>
  <c r="E63" i="2"/>
  <c r="R63" i="2"/>
  <c r="Y63" i="2" s="1"/>
  <c r="S63" i="2"/>
  <c r="T63" i="2"/>
  <c r="D63" i="3" s="1"/>
  <c r="K63" i="2"/>
  <c r="L63" i="2"/>
  <c r="M63" i="2"/>
  <c r="N63" i="2"/>
  <c r="P63" i="2"/>
  <c r="Q63" i="2"/>
  <c r="A64" i="2"/>
  <c r="A64" i="3" s="1"/>
  <c r="B64" i="2"/>
  <c r="B64" i="3" s="1"/>
  <c r="C64" i="2"/>
  <c r="D64" i="2"/>
  <c r="E64" i="2"/>
  <c r="R64" i="2"/>
  <c r="Y64" i="2" s="1"/>
  <c r="S64" i="2"/>
  <c r="T64" i="2"/>
  <c r="D64" i="3" s="1"/>
  <c r="K64" i="2"/>
  <c r="L64" i="2"/>
  <c r="M64" i="2"/>
  <c r="N64" i="2"/>
  <c r="P64" i="2"/>
  <c r="Q64" i="2"/>
  <c r="A65" i="2"/>
  <c r="A65" i="3" s="1"/>
  <c r="B65" i="2"/>
  <c r="B65" i="3" s="1"/>
  <c r="C65" i="2"/>
  <c r="D65" i="2"/>
  <c r="E65" i="2"/>
  <c r="R65" i="2"/>
  <c r="S65" i="2"/>
  <c r="T65" i="2"/>
  <c r="D65" i="3" s="1"/>
  <c r="K65" i="2"/>
  <c r="L65" i="2"/>
  <c r="M65" i="2"/>
  <c r="N65" i="2"/>
  <c r="P65" i="2"/>
  <c r="Q65" i="2"/>
  <c r="A66" i="2"/>
  <c r="A66" i="3" s="1"/>
  <c r="B66" i="2"/>
  <c r="B66" i="3" s="1"/>
  <c r="C66" i="2"/>
  <c r="D66" i="2"/>
  <c r="E66" i="2"/>
  <c r="R66" i="2"/>
  <c r="Y66" i="2" s="1"/>
  <c r="S66" i="2"/>
  <c r="T66" i="2"/>
  <c r="D66" i="3" s="1"/>
  <c r="K66" i="2"/>
  <c r="L66" i="2"/>
  <c r="M66" i="2"/>
  <c r="N66" i="2"/>
  <c r="P66" i="2"/>
  <c r="Q66" i="2"/>
  <c r="A67" i="2"/>
  <c r="A67" i="3" s="1"/>
  <c r="B67" i="2"/>
  <c r="B67" i="3" s="1"/>
  <c r="C67" i="2"/>
  <c r="D67" i="2"/>
  <c r="E67" i="2"/>
  <c r="R67" i="2"/>
  <c r="S67" i="2"/>
  <c r="T67" i="2"/>
  <c r="D67" i="3" s="1"/>
  <c r="K67" i="2"/>
  <c r="C67" i="3" s="1"/>
  <c r="L67" i="2"/>
  <c r="M67" i="2"/>
  <c r="N67" i="2"/>
  <c r="P67" i="2"/>
  <c r="Q67" i="2"/>
  <c r="A68" i="2"/>
  <c r="A68" i="3" s="1"/>
  <c r="B68" i="2"/>
  <c r="B68" i="3" s="1"/>
  <c r="C68" i="2"/>
  <c r="D68" i="2"/>
  <c r="E68" i="2"/>
  <c r="K68" i="2"/>
  <c r="L68" i="2"/>
  <c r="M68" i="2"/>
  <c r="N68" i="2"/>
  <c r="P68" i="2"/>
  <c r="Q68" i="2"/>
  <c r="A69" i="2"/>
  <c r="B69" i="2"/>
  <c r="B69" i="3" s="1"/>
  <c r="C69" i="2"/>
  <c r="D69" i="2"/>
  <c r="E69" i="2"/>
  <c r="K69" i="2"/>
  <c r="L69" i="2"/>
  <c r="M69" i="2"/>
  <c r="N69" i="2"/>
  <c r="P69" i="2"/>
  <c r="Q69" i="2"/>
  <c r="A70" i="2"/>
  <c r="B70" i="2"/>
  <c r="B70" i="3" s="1"/>
  <c r="C70" i="2"/>
  <c r="D70" i="2"/>
  <c r="E70" i="2"/>
  <c r="K70" i="2"/>
  <c r="L70" i="2"/>
  <c r="M70" i="2"/>
  <c r="N70" i="2"/>
  <c r="P70" i="2"/>
  <c r="Q70" i="2"/>
  <c r="A71" i="2"/>
  <c r="A71" i="3" s="1"/>
  <c r="B71" i="2"/>
  <c r="B71" i="3" s="1"/>
  <c r="C71" i="2"/>
  <c r="D71" i="2"/>
  <c r="E71" i="2"/>
  <c r="D89" i="4"/>
  <c r="M89" i="4" s="1"/>
  <c r="E89" i="4"/>
  <c r="N89" i="4" s="1"/>
  <c r="T71" i="2"/>
  <c r="D71" i="3" s="1"/>
  <c r="K71" i="2"/>
  <c r="L71" i="2"/>
  <c r="M71" i="2"/>
  <c r="N71" i="2"/>
  <c r="G89" i="4" s="1"/>
  <c r="P71" i="2"/>
  <c r="H89" i="4" s="1"/>
  <c r="P89" i="4" s="1"/>
  <c r="Q71" i="2"/>
  <c r="A72" i="2"/>
  <c r="A72" i="3" s="1"/>
  <c r="B72" i="2"/>
  <c r="B72" i="3" s="1"/>
  <c r="C72" i="2"/>
  <c r="D72" i="2"/>
  <c r="E72" i="2"/>
  <c r="R72" i="2"/>
  <c r="T72" i="2"/>
  <c r="D72" i="3" s="1"/>
  <c r="K72" i="2"/>
  <c r="L72" i="2"/>
  <c r="M72" i="2"/>
  <c r="N72" i="2"/>
  <c r="G90" i="4" s="1"/>
  <c r="P72" i="2"/>
  <c r="H90" i="4" s="1"/>
  <c r="P90" i="4" s="1"/>
  <c r="Q72" i="2"/>
  <c r="A73" i="2"/>
  <c r="A73" i="3" s="1"/>
  <c r="B73" i="2"/>
  <c r="B73" i="3" s="1"/>
  <c r="C73" i="2"/>
  <c r="D73" i="2"/>
  <c r="E73" i="2"/>
  <c r="T73" i="2"/>
  <c r="D73" i="3" s="1"/>
  <c r="K73" i="2"/>
  <c r="C73" i="3" s="1"/>
  <c r="L73" i="2"/>
  <c r="M73" i="2"/>
  <c r="N73" i="2"/>
  <c r="G91" i="4" s="1"/>
  <c r="P73" i="2"/>
  <c r="H91" i="4" s="1"/>
  <c r="P91" i="4" s="1"/>
  <c r="Q73" i="2"/>
  <c r="A74" i="2"/>
  <c r="A74" i="3" s="1"/>
  <c r="B74" i="2"/>
  <c r="B74" i="3" s="1"/>
  <c r="C74" i="2"/>
  <c r="D74" i="2"/>
  <c r="E74" i="2"/>
  <c r="S74" i="2"/>
  <c r="T74" i="2"/>
  <c r="D74" i="3" s="1"/>
  <c r="K74" i="2"/>
  <c r="C74" i="3" s="1"/>
  <c r="L74" i="2"/>
  <c r="M74" i="2"/>
  <c r="N74" i="2"/>
  <c r="G92" i="4" s="1"/>
  <c r="P74" i="2"/>
  <c r="H92" i="4" s="1"/>
  <c r="P92" i="4" s="1"/>
  <c r="Q74" i="2"/>
  <c r="A75" i="2"/>
  <c r="A75" i="3" s="1"/>
  <c r="B75" i="2"/>
  <c r="B75" i="3" s="1"/>
  <c r="C75" i="2"/>
  <c r="D75" i="2"/>
  <c r="E75" i="2"/>
  <c r="S75" i="2"/>
  <c r="T75" i="2"/>
  <c r="D75" i="3" s="1"/>
  <c r="K75" i="2"/>
  <c r="L75" i="2"/>
  <c r="M75" i="2"/>
  <c r="N75" i="2"/>
  <c r="G93" i="4" s="1"/>
  <c r="P75" i="2"/>
  <c r="H93" i="4" s="1"/>
  <c r="P93" i="4" s="1"/>
  <c r="Q75" i="2"/>
  <c r="A76" i="2"/>
  <c r="A76" i="3" s="1"/>
  <c r="B76" i="2"/>
  <c r="B76" i="3" s="1"/>
  <c r="C76" i="2"/>
  <c r="D76" i="2"/>
  <c r="E76" i="2"/>
  <c r="T76" i="2"/>
  <c r="D76" i="3" s="1"/>
  <c r="K76" i="2"/>
  <c r="L76" i="2"/>
  <c r="M76" i="2"/>
  <c r="N76" i="2"/>
  <c r="G94" i="4" s="1"/>
  <c r="P76" i="2"/>
  <c r="H94" i="4" s="1"/>
  <c r="P94" i="4" s="1"/>
  <c r="Q76" i="2"/>
  <c r="A77" i="2"/>
  <c r="A77" i="3" s="1"/>
  <c r="B77" i="2"/>
  <c r="B77" i="3" s="1"/>
  <c r="C77" i="2"/>
  <c r="D77" i="2"/>
  <c r="E77" i="2"/>
  <c r="T77" i="2"/>
  <c r="D77" i="3" s="1"/>
  <c r="K77" i="2"/>
  <c r="L77" i="2"/>
  <c r="M77" i="2"/>
  <c r="N77" i="2"/>
  <c r="G95" i="4" s="1"/>
  <c r="P77" i="2"/>
  <c r="H95" i="4" s="1"/>
  <c r="P95" i="4" s="1"/>
  <c r="Q77" i="2"/>
  <c r="A78" i="2"/>
  <c r="A78" i="3" s="1"/>
  <c r="B78" i="2"/>
  <c r="B78" i="3" s="1"/>
  <c r="C78" i="2"/>
  <c r="D78" i="2"/>
  <c r="E78" i="2"/>
  <c r="D96" i="4"/>
  <c r="M96" i="4" s="1"/>
  <c r="T78" i="2"/>
  <c r="D78" i="3" s="1"/>
  <c r="K78" i="2"/>
  <c r="C78" i="3" s="1"/>
  <c r="L78" i="2"/>
  <c r="M78" i="2"/>
  <c r="N78" i="2"/>
  <c r="G96" i="4" s="1"/>
  <c r="P78" i="2"/>
  <c r="H96" i="4" s="1"/>
  <c r="P96" i="4" s="1"/>
  <c r="Q78" i="2"/>
  <c r="A79" i="2"/>
  <c r="A79" i="3" s="1"/>
  <c r="B79" i="2"/>
  <c r="B79" i="3" s="1"/>
  <c r="C79" i="2"/>
  <c r="D79" i="2"/>
  <c r="E79" i="2"/>
  <c r="T79" i="2"/>
  <c r="D79" i="3" s="1"/>
  <c r="K79" i="2"/>
  <c r="L79" i="2"/>
  <c r="M79" i="2"/>
  <c r="N79" i="2"/>
  <c r="G97" i="4" s="1"/>
  <c r="P79" i="2"/>
  <c r="H97" i="4" s="1"/>
  <c r="P97" i="4" s="1"/>
  <c r="Q79" i="2"/>
  <c r="A80" i="2"/>
  <c r="A80" i="3" s="1"/>
  <c r="B80" i="2"/>
  <c r="B80" i="3" s="1"/>
  <c r="C80" i="2"/>
  <c r="D80" i="2"/>
  <c r="E80" i="2"/>
  <c r="R80" i="2"/>
  <c r="Y80" i="2" s="1"/>
  <c r="E98" i="4"/>
  <c r="N98" i="4" s="1"/>
  <c r="T80" i="2"/>
  <c r="D80" i="3" s="1"/>
  <c r="K80" i="2"/>
  <c r="L80" i="2"/>
  <c r="M80" i="2"/>
  <c r="N80" i="2"/>
  <c r="G98" i="4" s="1"/>
  <c r="P80" i="2"/>
  <c r="H98" i="4" s="1"/>
  <c r="P98" i="4" s="1"/>
  <c r="Q80" i="2"/>
  <c r="A81" i="2"/>
  <c r="A81" i="3" s="1"/>
  <c r="B81" i="2"/>
  <c r="B81" i="3" s="1"/>
  <c r="C81" i="2"/>
  <c r="D81" i="2"/>
  <c r="E81" i="2"/>
  <c r="T81" i="2"/>
  <c r="D81" i="3" s="1"/>
  <c r="K81" i="2"/>
  <c r="C81" i="3" s="1"/>
  <c r="L81" i="2"/>
  <c r="M81" i="2"/>
  <c r="N81" i="2"/>
  <c r="G99" i="4" s="1"/>
  <c r="P81" i="2"/>
  <c r="H99" i="4" s="1"/>
  <c r="P99" i="4" s="1"/>
  <c r="Q81" i="2"/>
  <c r="A82" i="2"/>
  <c r="A82" i="3" s="1"/>
  <c r="B82" i="2"/>
  <c r="B82" i="3" s="1"/>
  <c r="C82" i="2"/>
  <c r="D82" i="2"/>
  <c r="E82" i="2"/>
  <c r="T82" i="2"/>
  <c r="D82" i="3" s="1"/>
  <c r="K82" i="2"/>
  <c r="C82" i="3" s="1"/>
  <c r="L82" i="2"/>
  <c r="M82" i="2"/>
  <c r="N82" i="2"/>
  <c r="G100" i="4" s="1"/>
  <c r="P82" i="2"/>
  <c r="H100" i="4" s="1"/>
  <c r="P100" i="4" s="1"/>
  <c r="Q82" i="2"/>
  <c r="A83" i="2"/>
  <c r="B83" i="2"/>
  <c r="B83" i="3" s="1"/>
  <c r="C83" i="2"/>
  <c r="D83" i="2"/>
  <c r="E83" i="2"/>
  <c r="D101" i="4"/>
  <c r="M101" i="4" s="1"/>
  <c r="E101" i="4"/>
  <c r="N101" i="4" s="1"/>
  <c r="K83" i="2"/>
  <c r="L83" i="2"/>
  <c r="M83" i="2"/>
  <c r="N83" i="2"/>
  <c r="G101" i="4" s="1"/>
  <c r="P83" i="2"/>
  <c r="H101" i="4" s="1"/>
  <c r="P101" i="4" s="1"/>
  <c r="Q83" i="2"/>
  <c r="A84" i="3"/>
  <c r="B84" i="3"/>
  <c r="C84" i="2"/>
  <c r="D84" i="2"/>
  <c r="E84" i="2"/>
  <c r="D102" i="4"/>
  <c r="M102" i="4" s="1"/>
  <c r="E102" i="4"/>
  <c r="N102" i="4" s="1"/>
  <c r="K84" i="2"/>
  <c r="L84" i="2"/>
  <c r="M84" i="2"/>
  <c r="N84" i="2"/>
  <c r="G102" i="4" s="1"/>
  <c r="P84" i="2"/>
  <c r="H102" i="4" s="1"/>
  <c r="P102" i="4" s="1"/>
  <c r="Q84" i="2"/>
  <c r="A85" i="2"/>
  <c r="B85" i="2"/>
  <c r="B85" i="3" s="1"/>
  <c r="C85" i="2"/>
  <c r="D85" i="2"/>
  <c r="E85" i="2"/>
  <c r="K85" i="2"/>
  <c r="L85" i="2"/>
  <c r="M85" i="2"/>
  <c r="N85" i="2"/>
  <c r="G103" i="4" s="1"/>
  <c r="P85" i="2"/>
  <c r="H103" i="4" s="1"/>
  <c r="P103" i="4" s="1"/>
  <c r="Q85" i="2"/>
  <c r="A86" i="2"/>
  <c r="A86" i="3" s="1"/>
  <c r="B86" i="2"/>
  <c r="B86" i="3" s="1"/>
  <c r="C86" i="2"/>
  <c r="D86" i="2"/>
  <c r="E86" i="2"/>
  <c r="T86" i="2"/>
  <c r="D86" i="3" s="1"/>
  <c r="K86" i="2"/>
  <c r="L86" i="2"/>
  <c r="M86" i="2"/>
  <c r="N86" i="2"/>
  <c r="G105" i="4" s="1"/>
  <c r="P86" i="2"/>
  <c r="H105" i="4" s="1"/>
  <c r="P105" i="4" s="1"/>
  <c r="Q86" i="2"/>
  <c r="A87" i="2"/>
  <c r="A87" i="3" s="1"/>
  <c r="B87" i="2"/>
  <c r="B87" i="3" s="1"/>
  <c r="C87" i="2"/>
  <c r="D87" i="2"/>
  <c r="E87" i="2"/>
  <c r="T87" i="2"/>
  <c r="D87" i="3" s="1"/>
  <c r="K87" i="2"/>
  <c r="C87" i="3" s="1"/>
  <c r="L87" i="2"/>
  <c r="M87" i="2"/>
  <c r="N87" i="2"/>
  <c r="G106" i="4" s="1"/>
  <c r="P87" i="2"/>
  <c r="H106" i="4" s="1"/>
  <c r="P106" i="4" s="1"/>
  <c r="Q87" i="2"/>
  <c r="A88" i="2"/>
  <c r="A88" i="3" s="1"/>
  <c r="B88" i="2"/>
  <c r="B88" i="3" s="1"/>
  <c r="C88" i="2"/>
  <c r="D88" i="2"/>
  <c r="E88" i="2"/>
  <c r="D107" i="4"/>
  <c r="M107" i="4" s="1"/>
  <c r="T88" i="2"/>
  <c r="D88" i="3" s="1"/>
  <c r="K88" i="2"/>
  <c r="C88" i="3" s="1"/>
  <c r="L88" i="2"/>
  <c r="M88" i="2"/>
  <c r="N88" i="2"/>
  <c r="G107" i="4" s="1"/>
  <c r="P88" i="2"/>
  <c r="H107" i="4" s="1"/>
  <c r="P107" i="4" s="1"/>
  <c r="Q88" i="2"/>
  <c r="A89" i="2"/>
  <c r="A89" i="3" s="1"/>
  <c r="B89" i="2"/>
  <c r="B89" i="3" s="1"/>
  <c r="C89" i="2"/>
  <c r="D89" i="2"/>
  <c r="E89" i="2"/>
  <c r="T89" i="2"/>
  <c r="D89" i="3" s="1"/>
  <c r="K89" i="2"/>
  <c r="L89" i="2"/>
  <c r="M89" i="2"/>
  <c r="N89" i="2"/>
  <c r="G108" i="4" s="1"/>
  <c r="P89" i="2"/>
  <c r="H108" i="4" s="1"/>
  <c r="P108" i="4" s="1"/>
  <c r="Q89" i="2"/>
  <c r="A90" i="2"/>
  <c r="A90" i="3" s="1"/>
  <c r="B90" i="2"/>
  <c r="B90" i="3" s="1"/>
  <c r="C90" i="2"/>
  <c r="D90" i="2"/>
  <c r="E90" i="2"/>
  <c r="T90" i="2"/>
  <c r="D90" i="3" s="1"/>
  <c r="K90" i="2"/>
  <c r="L90" i="2"/>
  <c r="M90" i="2"/>
  <c r="N90" i="2"/>
  <c r="G109" i="4" s="1"/>
  <c r="P90" i="2"/>
  <c r="H109" i="4" s="1"/>
  <c r="P109" i="4" s="1"/>
  <c r="Q90" i="2"/>
  <c r="A91" i="2"/>
  <c r="A91" i="3" s="1"/>
  <c r="B91" i="2"/>
  <c r="B91" i="3" s="1"/>
  <c r="C91" i="2"/>
  <c r="D91" i="2"/>
  <c r="E91" i="2"/>
  <c r="D110" i="4"/>
  <c r="M110" i="4" s="1"/>
  <c r="T91" i="2"/>
  <c r="D91" i="3" s="1"/>
  <c r="K91" i="2"/>
  <c r="C91" i="3" s="1"/>
  <c r="L91" i="2"/>
  <c r="M91" i="2"/>
  <c r="N91" i="2"/>
  <c r="G110" i="4" s="1"/>
  <c r="P91" i="2"/>
  <c r="H110" i="4" s="1"/>
  <c r="P110" i="4" s="1"/>
  <c r="Q91" i="2"/>
  <c r="A92" i="2"/>
  <c r="A92" i="3" s="1"/>
  <c r="B92" i="2"/>
  <c r="B92" i="3" s="1"/>
  <c r="C92" i="2"/>
  <c r="D92" i="2"/>
  <c r="E92" i="2"/>
  <c r="S92" i="2"/>
  <c r="T92" i="2"/>
  <c r="D92" i="3" s="1"/>
  <c r="K92" i="2"/>
  <c r="C92" i="3" s="1"/>
  <c r="L92" i="2"/>
  <c r="M92" i="2"/>
  <c r="N92" i="2"/>
  <c r="G111" i="4" s="1"/>
  <c r="P92" i="2"/>
  <c r="H111" i="4" s="1"/>
  <c r="P111" i="4" s="1"/>
  <c r="Q92" i="2"/>
  <c r="A93" i="2"/>
  <c r="A93" i="3" s="1"/>
  <c r="B93" i="2"/>
  <c r="B93" i="3" s="1"/>
  <c r="C93" i="2"/>
  <c r="D93" i="2"/>
  <c r="E93" i="2"/>
  <c r="T93" i="2"/>
  <c r="D93" i="3" s="1"/>
  <c r="K93" i="2"/>
  <c r="L93" i="2"/>
  <c r="M93" i="2"/>
  <c r="N93" i="2"/>
  <c r="G112" i="4" s="1"/>
  <c r="P93" i="2"/>
  <c r="H112" i="4" s="1"/>
  <c r="P112" i="4" s="1"/>
  <c r="Q93" i="2"/>
  <c r="A94" i="2"/>
  <c r="A94" i="3" s="1"/>
  <c r="B94" i="2"/>
  <c r="B94" i="3" s="1"/>
  <c r="C94" i="2"/>
  <c r="D94" i="2"/>
  <c r="E94" i="2"/>
  <c r="R94" i="2"/>
  <c r="T94" i="2"/>
  <c r="D94" i="3" s="1"/>
  <c r="K94" i="2"/>
  <c r="L94" i="2"/>
  <c r="M94" i="2"/>
  <c r="N94" i="2"/>
  <c r="G113" i="4" s="1"/>
  <c r="P94" i="2"/>
  <c r="H113" i="4" s="1"/>
  <c r="P113" i="4" s="1"/>
  <c r="Q94" i="2"/>
  <c r="A95" i="2"/>
  <c r="A95" i="3" s="1"/>
  <c r="B95" i="2"/>
  <c r="B95" i="3" s="1"/>
  <c r="C95" i="2"/>
  <c r="D95" i="2"/>
  <c r="E95" i="2"/>
  <c r="T95" i="2"/>
  <c r="D95" i="3" s="1"/>
  <c r="K95" i="2"/>
  <c r="C95" i="3" s="1"/>
  <c r="L95" i="2"/>
  <c r="M95" i="2"/>
  <c r="N95" i="2"/>
  <c r="G114" i="4" s="1"/>
  <c r="P95" i="2"/>
  <c r="H114" i="4" s="1"/>
  <c r="P114" i="4" s="1"/>
  <c r="Q95" i="2"/>
  <c r="A96" i="2"/>
  <c r="A96" i="3" s="1"/>
  <c r="B96" i="2"/>
  <c r="B96" i="3" s="1"/>
  <c r="C96" i="2"/>
  <c r="D96" i="2"/>
  <c r="E96" i="2"/>
  <c r="D115" i="4"/>
  <c r="M115" i="4" s="1"/>
  <c r="E115" i="4"/>
  <c r="N115" i="4" s="1"/>
  <c r="T96" i="2"/>
  <c r="D96" i="3" s="1"/>
  <c r="K96" i="2"/>
  <c r="L96" i="2"/>
  <c r="M96" i="2"/>
  <c r="N96" i="2"/>
  <c r="G115" i="4" s="1"/>
  <c r="P96" i="2"/>
  <c r="H115" i="4" s="1"/>
  <c r="P115" i="4" s="1"/>
  <c r="Q96" i="2"/>
  <c r="A97" i="2"/>
  <c r="A97" i="3" s="1"/>
  <c r="B97" i="2"/>
  <c r="B97" i="3" s="1"/>
  <c r="C97" i="2"/>
  <c r="D97" i="2"/>
  <c r="E97" i="2"/>
  <c r="T97" i="2"/>
  <c r="D97" i="3" s="1"/>
  <c r="K97" i="2"/>
  <c r="L97" i="2"/>
  <c r="M97" i="2"/>
  <c r="N97" i="2"/>
  <c r="G116" i="4" s="1"/>
  <c r="P97" i="2"/>
  <c r="H116" i="4" s="1"/>
  <c r="P116" i="4" s="1"/>
  <c r="Q97" i="2"/>
  <c r="A98" i="2"/>
  <c r="B98" i="2"/>
  <c r="B98" i="3" s="1"/>
  <c r="C98" i="2"/>
  <c r="D98" i="2"/>
  <c r="E98" i="2"/>
  <c r="D117" i="4"/>
  <c r="M117" i="4" s="1"/>
  <c r="E117" i="4"/>
  <c r="N117" i="4" s="1"/>
  <c r="K98" i="2"/>
  <c r="L98" i="2"/>
  <c r="M98" i="2"/>
  <c r="N98" i="2"/>
  <c r="G117" i="4" s="1"/>
  <c r="P98" i="2"/>
  <c r="H117" i="4" s="1"/>
  <c r="P117" i="4" s="1"/>
  <c r="Q98" i="2"/>
  <c r="A99" i="2"/>
  <c r="A99" i="3" s="1"/>
  <c r="B99" i="2"/>
  <c r="B99" i="3" s="1"/>
  <c r="C99" i="2"/>
  <c r="D99" i="2"/>
  <c r="E99" i="2"/>
  <c r="D118" i="4"/>
  <c r="M118" i="4" s="1"/>
  <c r="E118" i="4"/>
  <c r="N118" i="4" s="1"/>
  <c r="K99" i="2"/>
  <c r="L99" i="2"/>
  <c r="M99" i="2"/>
  <c r="N99" i="2"/>
  <c r="G118" i="4" s="1"/>
  <c r="P99" i="2"/>
  <c r="H118" i="4" s="1"/>
  <c r="P118" i="4" s="1"/>
  <c r="Q99" i="2"/>
  <c r="A100" i="2"/>
  <c r="B100" i="2"/>
  <c r="B100" i="3" s="1"/>
  <c r="C100" i="2"/>
  <c r="D100" i="2"/>
  <c r="E100" i="2"/>
  <c r="E119" i="4"/>
  <c r="N119" i="4" s="1"/>
  <c r="K100" i="2"/>
  <c r="L100" i="2"/>
  <c r="M100" i="2"/>
  <c r="N100" i="2"/>
  <c r="G119" i="4" s="1"/>
  <c r="P100" i="2"/>
  <c r="H119" i="4" s="1"/>
  <c r="P119" i="4" s="1"/>
  <c r="Q100" i="2"/>
  <c r="A101" i="2"/>
  <c r="A101" i="3" s="1"/>
  <c r="B101" i="2"/>
  <c r="B101" i="3" s="1"/>
  <c r="C101" i="2"/>
  <c r="D101" i="2"/>
  <c r="E101" i="2"/>
  <c r="T101" i="2"/>
  <c r="D101" i="3" s="1"/>
  <c r="K101" i="2"/>
  <c r="L101" i="2"/>
  <c r="M101" i="2"/>
  <c r="N101" i="2"/>
  <c r="G121" i="4" s="1"/>
  <c r="P101" i="2"/>
  <c r="H121" i="4" s="1"/>
  <c r="P121" i="4" s="1"/>
  <c r="Q101" i="2"/>
  <c r="A102" i="2"/>
  <c r="A102" i="3" s="1"/>
  <c r="B102" i="2"/>
  <c r="B102" i="3" s="1"/>
  <c r="C102" i="2"/>
  <c r="D102" i="2"/>
  <c r="E102" i="2"/>
  <c r="T102" i="2"/>
  <c r="D102" i="3" s="1"/>
  <c r="K102" i="2"/>
  <c r="C102" i="3" s="1"/>
  <c r="L102" i="2"/>
  <c r="M102" i="2"/>
  <c r="N102" i="2"/>
  <c r="G122" i="4" s="1"/>
  <c r="P102" i="2"/>
  <c r="H122" i="4" s="1"/>
  <c r="P122" i="4" s="1"/>
  <c r="Q102" i="2"/>
  <c r="A103" i="2"/>
  <c r="A103" i="3" s="1"/>
  <c r="B103" i="2"/>
  <c r="B103" i="3" s="1"/>
  <c r="C103" i="2"/>
  <c r="D103" i="2"/>
  <c r="E103" i="2"/>
  <c r="T103" i="2"/>
  <c r="D103" i="3" s="1"/>
  <c r="K103" i="2"/>
  <c r="L103" i="2"/>
  <c r="M103" i="2"/>
  <c r="N103" i="2"/>
  <c r="G123" i="4" s="1"/>
  <c r="P103" i="2"/>
  <c r="H123" i="4" s="1"/>
  <c r="P123" i="4" s="1"/>
  <c r="Q103" i="2"/>
  <c r="A104" i="2"/>
  <c r="A104" i="3" s="1"/>
  <c r="B104" i="2"/>
  <c r="B104" i="3" s="1"/>
  <c r="C104" i="2"/>
  <c r="D104" i="2"/>
  <c r="E104" i="2"/>
  <c r="T104" i="2"/>
  <c r="D104" i="3" s="1"/>
  <c r="K104" i="2"/>
  <c r="L104" i="2"/>
  <c r="M104" i="2"/>
  <c r="N104" i="2"/>
  <c r="G124" i="4" s="1"/>
  <c r="P104" i="2"/>
  <c r="H124" i="4" s="1"/>
  <c r="P124" i="4" s="1"/>
  <c r="Q104" i="2"/>
  <c r="A105" i="2"/>
  <c r="A105" i="3" s="1"/>
  <c r="B105" i="2"/>
  <c r="B105" i="3" s="1"/>
  <c r="C105" i="2"/>
  <c r="D105" i="2"/>
  <c r="E105" i="2"/>
  <c r="D125" i="4"/>
  <c r="M125" i="4" s="1"/>
  <c r="T105" i="2"/>
  <c r="D105" i="3" s="1"/>
  <c r="K105" i="2"/>
  <c r="L105" i="2"/>
  <c r="M105" i="2"/>
  <c r="N105" i="2"/>
  <c r="G125" i="4" s="1"/>
  <c r="P105" i="2"/>
  <c r="H125" i="4" s="1"/>
  <c r="P125" i="4" s="1"/>
  <c r="Q105" i="2"/>
  <c r="A106" i="2"/>
  <c r="A106" i="3" s="1"/>
  <c r="B106" i="2"/>
  <c r="B106" i="3" s="1"/>
  <c r="C106" i="2"/>
  <c r="D106" i="2"/>
  <c r="E106" i="2"/>
  <c r="T106" i="2"/>
  <c r="D106" i="3" s="1"/>
  <c r="K106" i="2"/>
  <c r="C106" i="3" s="1"/>
  <c r="L106" i="2"/>
  <c r="M106" i="2"/>
  <c r="N106" i="2"/>
  <c r="G126" i="4" s="1"/>
  <c r="P106" i="2"/>
  <c r="H126" i="4" s="1"/>
  <c r="P126" i="4" s="1"/>
  <c r="Q106" i="2"/>
  <c r="A107" i="2"/>
  <c r="A107" i="3" s="1"/>
  <c r="B107" i="2"/>
  <c r="B107" i="3" s="1"/>
  <c r="C107" i="2"/>
  <c r="D107" i="2"/>
  <c r="E107" i="2"/>
  <c r="R107" i="2"/>
  <c r="Y107" i="2" s="1"/>
  <c r="T107" i="2"/>
  <c r="D107" i="3" s="1"/>
  <c r="K107" i="2"/>
  <c r="L107" i="2"/>
  <c r="M107" i="2"/>
  <c r="N107" i="2"/>
  <c r="G127" i="4" s="1"/>
  <c r="P107" i="2"/>
  <c r="H127" i="4" s="1"/>
  <c r="P127" i="4" s="1"/>
  <c r="Q107" i="2"/>
  <c r="A108" i="2"/>
  <c r="A108" i="3" s="1"/>
  <c r="B108" i="2"/>
  <c r="B108" i="3" s="1"/>
  <c r="C108" i="2"/>
  <c r="D108" i="2"/>
  <c r="E108" i="2"/>
  <c r="R108" i="2"/>
  <c r="E128" i="4"/>
  <c r="N128" i="4" s="1"/>
  <c r="T108" i="2"/>
  <c r="D108" i="3" s="1"/>
  <c r="K108" i="2"/>
  <c r="L108" i="2"/>
  <c r="M108" i="2"/>
  <c r="N108" i="2"/>
  <c r="G128" i="4" s="1"/>
  <c r="P108" i="2"/>
  <c r="H128" i="4" s="1"/>
  <c r="P128" i="4" s="1"/>
  <c r="Q108" i="2"/>
  <c r="A109" i="2"/>
  <c r="A109" i="3" s="1"/>
  <c r="B109" i="2"/>
  <c r="B109" i="3" s="1"/>
  <c r="C109" i="2"/>
  <c r="D109" i="2"/>
  <c r="E109" i="2"/>
  <c r="R109" i="2"/>
  <c r="Y109" i="2" s="1"/>
  <c r="T109" i="2"/>
  <c r="D109" i="3" s="1"/>
  <c r="K109" i="2"/>
  <c r="L109" i="2"/>
  <c r="M109" i="2"/>
  <c r="N109" i="2"/>
  <c r="G129" i="4" s="1"/>
  <c r="P109" i="2"/>
  <c r="H129" i="4" s="1"/>
  <c r="P129" i="4" s="1"/>
  <c r="Q109" i="2"/>
  <c r="A110" i="2"/>
  <c r="A110" i="3" s="1"/>
  <c r="B110" i="2"/>
  <c r="B110" i="3" s="1"/>
  <c r="C110" i="2"/>
  <c r="D110" i="2"/>
  <c r="E110" i="2"/>
  <c r="T110" i="2"/>
  <c r="D110" i="3" s="1"/>
  <c r="K110" i="2"/>
  <c r="C110" i="3" s="1"/>
  <c r="L110" i="2"/>
  <c r="M110" i="2"/>
  <c r="N110" i="2"/>
  <c r="G130" i="4" s="1"/>
  <c r="P110" i="2"/>
  <c r="H130" i="4" s="1"/>
  <c r="P130" i="4" s="1"/>
  <c r="Q110" i="2"/>
  <c r="A111" i="2"/>
  <c r="A111" i="3" s="1"/>
  <c r="B111" i="2"/>
  <c r="B111" i="3" s="1"/>
  <c r="C111" i="2"/>
  <c r="D111" i="2"/>
  <c r="E111" i="2"/>
  <c r="D131" i="4"/>
  <c r="M131" i="4" s="1"/>
  <c r="T111" i="2"/>
  <c r="D111" i="3" s="1"/>
  <c r="K111" i="2"/>
  <c r="C111" i="3" s="1"/>
  <c r="L111" i="2"/>
  <c r="M111" i="2"/>
  <c r="N111" i="2"/>
  <c r="G131" i="4" s="1"/>
  <c r="P111" i="2"/>
  <c r="H131" i="4" s="1"/>
  <c r="P131" i="4" s="1"/>
  <c r="Q111" i="2"/>
  <c r="A112" i="2"/>
  <c r="A112" i="3" s="1"/>
  <c r="B112" i="2"/>
  <c r="B112" i="3" s="1"/>
  <c r="C112" i="2"/>
  <c r="D112" i="2"/>
  <c r="E112" i="2"/>
  <c r="T112" i="2"/>
  <c r="D112" i="3" s="1"/>
  <c r="K112" i="2"/>
  <c r="L112" i="2"/>
  <c r="M112" i="2"/>
  <c r="N112" i="2"/>
  <c r="G132" i="4" s="1"/>
  <c r="P112" i="2"/>
  <c r="H132" i="4" s="1"/>
  <c r="P132" i="4" s="1"/>
  <c r="Q112" i="2"/>
  <c r="A113" i="2"/>
  <c r="A113" i="3" s="1"/>
  <c r="B113" i="2"/>
  <c r="B113" i="3" s="1"/>
  <c r="C113" i="2"/>
  <c r="D113" i="2"/>
  <c r="E113" i="2"/>
  <c r="T113" i="2"/>
  <c r="D113" i="3" s="1"/>
  <c r="K113" i="2"/>
  <c r="L113" i="2"/>
  <c r="M113" i="2"/>
  <c r="N113" i="2"/>
  <c r="G133" i="4" s="1"/>
  <c r="P113" i="2"/>
  <c r="H133" i="4" s="1"/>
  <c r="P133" i="4" s="1"/>
  <c r="Q113" i="2"/>
  <c r="A114" i="2"/>
  <c r="A114" i="3" s="1"/>
  <c r="B114" i="2"/>
  <c r="B114" i="3" s="1"/>
  <c r="C114" i="2"/>
  <c r="D114" i="2"/>
  <c r="E114" i="2"/>
  <c r="T114" i="2"/>
  <c r="D114" i="3" s="1"/>
  <c r="K114" i="2"/>
  <c r="L114" i="2"/>
  <c r="M114" i="2"/>
  <c r="N114" i="2"/>
  <c r="G135" i="4" s="1"/>
  <c r="O135" i="4" s="1"/>
  <c r="P114" i="2"/>
  <c r="H135" i="4" s="1"/>
  <c r="P135" i="4" s="1"/>
  <c r="Q114" i="2"/>
  <c r="A115" i="2"/>
  <c r="A115" i="3" s="1"/>
  <c r="B115" i="2"/>
  <c r="B115" i="3" s="1"/>
  <c r="C115" i="2"/>
  <c r="D115" i="2"/>
  <c r="E115" i="2"/>
  <c r="T115" i="2"/>
  <c r="D115" i="3" s="1"/>
  <c r="K115" i="2"/>
  <c r="C115" i="3" s="1"/>
  <c r="L115" i="2"/>
  <c r="M115" i="2"/>
  <c r="N115" i="2"/>
  <c r="G137" i="4" s="1"/>
  <c r="P115" i="2"/>
  <c r="H137" i="4" s="1"/>
  <c r="P137" i="4" s="1"/>
  <c r="Q115" i="2"/>
  <c r="A116" i="2"/>
  <c r="A116" i="3" s="1"/>
  <c r="B116" i="2"/>
  <c r="B116" i="3" s="1"/>
  <c r="C116" i="2"/>
  <c r="D116" i="2"/>
  <c r="E116" i="2"/>
  <c r="E139" i="4"/>
  <c r="N139" i="4" s="1"/>
  <c r="T116" i="2"/>
  <c r="D116" i="3" s="1"/>
  <c r="K116" i="2"/>
  <c r="L116" i="2"/>
  <c r="M116" i="2"/>
  <c r="N116" i="2"/>
  <c r="P116" i="2"/>
  <c r="H139" i="4" s="1"/>
  <c r="P139" i="4" s="1"/>
  <c r="Q116" i="2"/>
  <c r="A117" i="2"/>
  <c r="A117" i="3" s="1"/>
  <c r="B117" i="2"/>
  <c r="B117" i="3" s="1"/>
  <c r="C117" i="2"/>
  <c r="D117" i="2"/>
  <c r="E117" i="2"/>
  <c r="T117" i="2"/>
  <c r="D117" i="3" s="1"/>
  <c r="K117" i="2"/>
  <c r="L117" i="2"/>
  <c r="M117" i="2"/>
  <c r="N117" i="2"/>
  <c r="G141" i="4" s="1"/>
  <c r="P117" i="2"/>
  <c r="H141" i="4" s="1"/>
  <c r="P141" i="4" s="1"/>
  <c r="Q117" i="2"/>
  <c r="A118" i="2"/>
  <c r="B118" i="2"/>
  <c r="C118" i="2"/>
  <c r="D118" i="2"/>
  <c r="E118" i="2"/>
  <c r="E142" i="4"/>
  <c r="N142" i="4" s="1"/>
  <c r="K118" i="2"/>
  <c r="L118" i="2"/>
  <c r="M118" i="2"/>
  <c r="N118" i="2"/>
  <c r="G142" i="4" s="1"/>
  <c r="P118" i="2"/>
  <c r="H142" i="4" s="1"/>
  <c r="P142" i="4" s="1"/>
  <c r="Q118" i="2"/>
  <c r="A119" i="2"/>
  <c r="A119" i="3" s="1"/>
  <c r="B119" i="2"/>
  <c r="B119" i="3" s="1"/>
  <c r="C119" i="2"/>
  <c r="D119" i="2"/>
  <c r="E119" i="2"/>
  <c r="T119" i="2"/>
  <c r="D119" i="3" s="1"/>
  <c r="K119" i="2"/>
  <c r="L119" i="2"/>
  <c r="M119" i="2"/>
  <c r="N119" i="2"/>
  <c r="G143" i="4" s="1"/>
  <c r="P119" i="2"/>
  <c r="H143" i="4" s="1"/>
  <c r="P143" i="4" s="1"/>
  <c r="Q119" i="2"/>
  <c r="A6" i="2"/>
  <c r="A6" i="3" s="1"/>
  <c r="B6" i="2"/>
  <c r="B6" i="3" s="1"/>
  <c r="C6" i="2"/>
  <c r="D6" i="2"/>
  <c r="E6" i="2"/>
  <c r="R6" i="2"/>
  <c r="Y6" i="2" s="1"/>
  <c r="S6" i="2"/>
  <c r="T6" i="2"/>
  <c r="D6" i="3" s="1"/>
  <c r="K6" i="2"/>
  <c r="C6" i="3" s="1"/>
  <c r="L6" i="2"/>
  <c r="M6" i="2"/>
  <c r="N6" i="2"/>
  <c r="P6" i="2"/>
  <c r="A7" i="2"/>
  <c r="A7" i="3" s="1"/>
  <c r="B7" i="2"/>
  <c r="B7" i="3" s="1"/>
  <c r="C7" i="2"/>
  <c r="D7" i="2"/>
  <c r="E7" i="2"/>
  <c r="R7" i="2"/>
  <c r="T7" i="2"/>
  <c r="D7" i="3" s="1"/>
  <c r="K7" i="2"/>
  <c r="L7" i="2"/>
  <c r="M7" i="2"/>
  <c r="N7" i="2"/>
  <c r="P7" i="2"/>
  <c r="A8" i="2"/>
  <c r="A8" i="3" s="1"/>
  <c r="B8" i="2"/>
  <c r="B8" i="3" s="1"/>
  <c r="C8" i="2"/>
  <c r="D8" i="2"/>
  <c r="E8" i="2"/>
  <c r="R8" i="2"/>
  <c r="Y8" i="2" s="1"/>
  <c r="S8" i="2"/>
  <c r="T8" i="2"/>
  <c r="D8" i="3" s="1"/>
  <c r="K8" i="2"/>
  <c r="L8" i="2"/>
  <c r="M8" i="2"/>
  <c r="N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O146" i="4" l="1"/>
  <c r="Y49" i="2"/>
  <c r="C35" i="3"/>
  <c r="C31" i="3"/>
  <c r="O145" i="4"/>
  <c r="Y51" i="2"/>
  <c r="W120" i="2"/>
  <c r="Y7" i="2"/>
  <c r="C16" i="3"/>
  <c r="X120" i="2"/>
  <c r="Y21" i="2"/>
  <c r="Y13" i="2"/>
  <c r="U15" i="2"/>
  <c r="Y30" i="2"/>
  <c r="Y26" i="2"/>
  <c r="U20" i="2"/>
  <c r="X20" i="2" s="1"/>
  <c r="Y19" i="2"/>
  <c r="X67" i="2"/>
  <c r="R91" i="2"/>
  <c r="Y91" i="2" s="1"/>
  <c r="S116" i="2"/>
  <c r="D113" i="4"/>
  <c r="M113" i="4" s="1"/>
  <c r="U6" i="2"/>
  <c r="Y65" i="2"/>
  <c r="U46" i="2"/>
  <c r="Y32" i="2"/>
  <c r="W110" i="2"/>
  <c r="U38" i="2"/>
  <c r="W38" i="2" s="1"/>
  <c r="R111" i="2"/>
  <c r="Y111" i="2" s="1"/>
  <c r="D127" i="4"/>
  <c r="M127" i="4" s="1"/>
  <c r="E92" i="4"/>
  <c r="N92" i="4" s="1"/>
  <c r="R96" i="2"/>
  <c r="C7" i="3"/>
  <c r="C114" i="3"/>
  <c r="C61" i="3"/>
  <c r="Y17" i="2"/>
  <c r="Y9" i="2"/>
  <c r="W92" i="2"/>
  <c r="U27" i="2"/>
  <c r="R71" i="2"/>
  <c r="R78" i="2"/>
  <c r="Y78" i="2" s="1"/>
  <c r="S96" i="2"/>
  <c r="C19" i="3"/>
  <c r="C103" i="3"/>
  <c r="C71" i="3"/>
  <c r="S81" i="2"/>
  <c r="E99" i="4"/>
  <c r="N99" i="4" s="1"/>
  <c r="C79" i="3"/>
  <c r="C63" i="3"/>
  <c r="C58" i="3"/>
  <c r="C17" i="3"/>
  <c r="U17" i="2"/>
  <c r="C13" i="3"/>
  <c r="U13" i="2"/>
  <c r="C117" i="3"/>
  <c r="G139" i="4"/>
  <c r="O139" i="4" s="1"/>
  <c r="E137" i="4"/>
  <c r="N137" i="4" s="1"/>
  <c r="S115" i="2"/>
  <c r="D135" i="4"/>
  <c r="M135" i="4" s="1"/>
  <c r="R114" i="2"/>
  <c r="E105" i="4"/>
  <c r="N105" i="4" s="1"/>
  <c r="S86" i="2"/>
  <c r="E100" i="4"/>
  <c r="N100" i="4" s="1"/>
  <c r="S82" i="2"/>
  <c r="S78" i="2"/>
  <c r="E96" i="4"/>
  <c r="N96" i="4" s="1"/>
  <c r="S76" i="2"/>
  <c r="E94" i="4"/>
  <c r="N94" i="4" s="1"/>
  <c r="D93" i="4"/>
  <c r="M93" i="4" s="1"/>
  <c r="R75" i="2"/>
  <c r="Y75" i="2" s="1"/>
  <c r="E90" i="4"/>
  <c r="N90" i="4" s="1"/>
  <c r="S72" i="2"/>
  <c r="C60" i="3"/>
  <c r="U30" i="2"/>
  <c r="C30" i="3"/>
  <c r="Y23" i="2"/>
  <c r="U18" i="2"/>
  <c r="C5" i="3"/>
  <c r="U5" i="2"/>
  <c r="C119" i="3"/>
  <c r="D137" i="4"/>
  <c r="R115" i="2"/>
  <c r="Y115" i="2" s="1"/>
  <c r="D116" i="4"/>
  <c r="M116" i="4" s="1"/>
  <c r="R97" i="2"/>
  <c r="Y97" i="2" s="1"/>
  <c r="C90" i="3"/>
  <c r="C89" i="3"/>
  <c r="S87" i="2"/>
  <c r="E106" i="4"/>
  <c r="N106" i="4" s="1"/>
  <c r="D105" i="4"/>
  <c r="M105" i="4" s="1"/>
  <c r="R86" i="2"/>
  <c r="D100" i="4"/>
  <c r="M100" i="4" s="1"/>
  <c r="R82" i="2"/>
  <c r="Y82" i="2" s="1"/>
  <c r="E91" i="4"/>
  <c r="N91" i="4" s="1"/>
  <c r="S73" i="2"/>
  <c r="D90" i="4"/>
  <c r="M90" i="4" s="1"/>
  <c r="Y72" i="2"/>
  <c r="Y67" i="2"/>
  <c r="C52" i="3"/>
  <c r="C41" i="3"/>
  <c r="U41" i="2"/>
  <c r="U26" i="2"/>
  <c r="D129" i="4"/>
  <c r="M129" i="4" s="1"/>
  <c r="D128" i="4"/>
  <c r="M128" i="4" s="1"/>
  <c r="E111" i="4"/>
  <c r="N111" i="4" s="1"/>
  <c r="E93" i="4"/>
  <c r="N93" i="4" s="1"/>
  <c r="E130" i="4"/>
  <c r="N130" i="4" s="1"/>
  <c r="S110" i="2"/>
  <c r="C108" i="3"/>
  <c r="E126" i="4"/>
  <c r="N126" i="4" s="1"/>
  <c r="S106" i="2"/>
  <c r="C104" i="3"/>
  <c r="D92" i="4"/>
  <c r="M92" i="4" s="1"/>
  <c r="R74" i="2"/>
  <c r="Y74" i="2" s="1"/>
  <c r="C12" i="3"/>
  <c r="U12" i="2"/>
  <c r="D98" i="4"/>
  <c r="M98" i="4" s="1"/>
  <c r="E131" i="4"/>
  <c r="N131" i="4" s="1"/>
  <c r="S111" i="2"/>
  <c r="D130" i="4"/>
  <c r="M130" i="4" s="1"/>
  <c r="R110" i="2"/>
  <c r="R81" i="2"/>
  <c r="D99" i="4"/>
  <c r="M99" i="4" s="1"/>
  <c r="C80" i="3"/>
  <c r="S77" i="2"/>
  <c r="E95" i="4"/>
  <c r="N95" i="4" s="1"/>
  <c r="Y15" i="2"/>
  <c r="C14" i="3"/>
  <c r="U14" i="2"/>
  <c r="C9" i="3"/>
  <c r="U9" i="2"/>
  <c r="E132" i="4"/>
  <c r="N132" i="4" s="1"/>
  <c r="S112" i="2"/>
  <c r="C96" i="3"/>
  <c r="E129" i="4"/>
  <c r="N129" i="4" s="1"/>
  <c r="S109" i="2"/>
  <c r="C107" i="3"/>
  <c r="S105" i="2"/>
  <c r="E125" i="4"/>
  <c r="N125" i="4" s="1"/>
  <c r="D124" i="4"/>
  <c r="M124" i="4" s="1"/>
  <c r="R104" i="2"/>
  <c r="C101" i="3"/>
  <c r="C97" i="3"/>
  <c r="S95" i="2"/>
  <c r="E114" i="4"/>
  <c r="N114" i="4" s="1"/>
  <c r="E113" i="4"/>
  <c r="N113" i="4" s="1"/>
  <c r="S94" i="2"/>
  <c r="Y94" i="2" s="1"/>
  <c r="E112" i="4"/>
  <c r="N112" i="4" s="1"/>
  <c r="S93" i="2"/>
  <c r="D111" i="4"/>
  <c r="M111" i="4" s="1"/>
  <c r="R92" i="2"/>
  <c r="Y92" i="2" s="1"/>
  <c r="E107" i="4"/>
  <c r="N107" i="4" s="1"/>
  <c r="S88" i="2"/>
  <c r="D106" i="4"/>
  <c r="M106" i="4" s="1"/>
  <c r="R87" i="2"/>
  <c r="Y87" i="2" s="1"/>
  <c r="D91" i="4"/>
  <c r="M91" i="4" s="1"/>
  <c r="R73" i="2"/>
  <c r="C57" i="3"/>
  <c r="C53" i="3"/>
  <c r="C42" i="3"/>
  <c r="U42" i="2"/>
  <c r="X102" i="2"/>
  <c r="R105" i="2"/>
  <c r="Y105" i="2" s="1"/>
  <c r="U7" i="2"/>
  <c r="S117" i="2"/>
  <c r="E141" i="4"/>
  <c r="N141" i="4" s="1"/>
  <c r="D139" i="4"/>
  <c r="M139" i="4" s="1"/>
  <c r="R116" i="2"/>
  <c r="E133" i="4"/>
  <c r="N133" i="4" s="1"/>
  <c r="S113" i="2"/>
  <c r="R112" i="2"/>
  <c r="D132" i="4"/>
  <c r="M132" i="4" s="1"/>
  <c r="C109" i="3"/>
  <c r="E127" i="4"/>
  <c r="N127" i="4" s="1"/>
  <c r="S107" i="2"/>
  <c r="D126" i="4"/>
  <c r="M126" i="4" s="1"/>
  <c r="R106" i="2"/>
  <c r="C105" i="3"/>
  <c r="E123" i="4"/>
  <c r="N123" i="4" s="1"/>
  <c r="S103" i="2"/>
  <c r="E122" i="4"/>
  <c r="N122" i="4" s="1"/>
  <c r="S102" i="2"/>
  <c r="E121" i="4"/>
  <c r="N121" i="4" s="1"/>
  <c r="S101" i="2"/>
  <c r="D114" i="4"/>
  <c r="M114" i="4" s="1"/>
  <c r="R95" i="2"/>
  <c r="Y95" i="2" s="1"/>
  <c r="D112" i="4"/>
  <c r="M112" i="4" s="1"/>
  <c r="R93" i="2"/>
  <c r="Y93" i="2" s="1"/>
  <c r="E109" i="4"/>
  <c r="N109" i="4" s="1"/>
  <c r="S90" i="2"/>
  <c r="S89" i="2"/>
  <c r="E108" i="4"/>
  <c r="N108" i="4" s="1"/>
  <c r="C86" i="3"/>
  <c r="E97" i="4"/>
  <c r="N97" i="4" s="1"/>
  <c r="S79" i="2"/>
  <c r="D95" i="4"/>
  <c r="M95" i="4" s="1"/>
  <c r="R77" i="2"/>
  <c r="D94" i="4"/>
  <c r="M94" i="4" s="1"/>
  <c r="R76" i="2"/>
  <c r="Y76" i="2" s="1"/>
  <c r="C75" i="3"/>
  <c r="C72" i="3"/>
  <c r="C65" i="3"/>
  <c r="U48" i="2"/>
  <c r="C47" i="3"/>
  <c r="C43" i="3"/>
  <c r="C33" i="3"/>
  <c r="Y11" i="2"/>
  <c r="W88" i="2"/>
  <c r="X81" i="2"/>
  <c r="U23" i="2"/>
  <c r="S108" i="2"/>
  <c r="Y108" i="2" s="1"/>
  <c r="C8" i="3"/>
  <c r="U8" i="2"/>
  <c r="R117" i="2"/>
  <c r="D141" i="4"/>
  <c r="M141" i="4" s="1"/>
  <c r="C116" i="3"/>
  <c r="E135" i="4"/>
  <c r="N135" i="4" s="1"/>
  <c r="S114" i="2"/>
  <c r="D133" i="4"/>
  <c r="M133" i="4" s="1"/>
  <c r="R113" i="2"/>
  <c r="Y113" i="2" s="1"/>
  <c r="C112" i="3"/>
  <c r="E124" i="4"/>
  <c r="N124" i="4" s="1"/>
  <c r="S104" i="2"/>
  <c r="R103" i="2"/>
  <c r="Y103" i="2" s="1"/>
  <c r="D123" i="4"/>
  <c r="M123" i="4" s="1"/>
  <c r="D122" i="4"/>
  <c r="M122" i="4" s="1"/>
  <c r="R102" i="2"/>
  <c r="D121" i="4"/>
  <c r="M121" i="4" s="1"/>
  <c r="R101" i="2"/>
  <c r="E116" i="4"/>
  <c r="N116" i="4" s="1"/>
  <c r="S97" i="2"/>
  <c r="C94" i="3"/>
  <c r="C93" i="3"/>
  <c r="E110" i="4"/>
  <c r="N110" i="4" s="1"/>
  <c r="S91" i="2"/>
  <c r="D109" i="4"/>
  <c r="M109" i="4" s="1"/>
  <c r="R90" i="2"/>
  <c r="D108" i="4"/>
  <c r="M108" i="4" s="1"/>
  <c r="R89" i="2"/>
  <c r="Y89" i="2" s="1"/>
  <c r="D97" i="4"/>
  <c r="M97" i="4" s="1"/>
  <c r="R79" i="2"/>
  <c r="C76" i="3"/>
  <c r="C66" i="3"/>
  <c r="C56" i="3"/>
  <c r="C49" i="3"/>
  <c r="C40" i="3"/>
  <c r="C39" i="3"/>
  <c r="U39" i="2"/>
  <c r="Y35" i="2"/>
  <c r="C34" i="3"/>
  <c r="C24" i="3"/>
  <c r="U11" i="2"/>
  <c r="S71" i="2"/>
  <c r="S80" i="2"/>
  <c r="R88" i="2"/>
  <c r="U44" i="2"/>
  <c r="W44" i="2" s="1"/>
  <c r="U31" i="2"/>
  <c r="W31" i="2" s="1"/>
  <c r="O115" i="4"/>
  <c r="O89" i="4"/>
  <c r="O142" i="4"/>
  <c r="O143" i="4"/>
  <c r="X103" i="2"/>
  <c r="J81" i="4"/>
  <c r="J76" i="4"/>
  <c r="J74" i="4"/>
  <c r="J79" i="4"/>
  <c r="J53" i="4"/>
  <c r="J51" i="4"/>
  <c r="J46" i="4"/>
  <c r="J44" i="4"/>
  <c r="G7" i="4"/>
  <c r="G8" i="4"/>
  <c r="G9" i="4"/>
  <c r="G10" i="4"/>
  <c r="G11" i="4"/>
  <c r="G12" i="4"/>
  <c r="G13" i="4"/>
  <c r="G14" i="4"/>
  <c r="G15" i="4"/>
  <c r="G16" i="4"/>
  <c r="G17" i="4"/>
  <c r="G18" i="4"/>
  <c r="G19" i="4"/>
  <c r="G20" i="4"/>
  <c r="G21" i="4"/>
  <c r="G22" i="4"/>
  <c r="G23" i="4"/>
  <c r="G24" i="4"/>
  <c r="G25" i="4"/>
  <c r="G26" i="4"/>
  <c r="G27" i="4"/>
  <c r="O34" i="4" s="1"/>
  <c r="G28" i="4"/>
  <c r="O35" i="4" s="1"/>
  <c r="G40" i="4"/>
  <c r="G41" i="4"/>
  <c r="G42" i="4"/>
  <c r="O41" i="4" s="1"/>
  <c r="G43" i="4"/>
  <c r="O42" i="4" s="1"/>
  <c r="G44" i="4"/>
  <c r="O43" i="4" s="1"/>
  <c r="G45" i="4"/>
  <c r="O45" i="4" s="1"/>
  <c r="G46" i="4"/>
  <c r="G47" i="4"/>
  <c r="G48" i="4"/>
  <c r="G49" i="4"/>
  <c r="G50" i="4"/>
  <c r="O52" i="4" s="1"/>
  <c r="G51" i="4"/>
  <c r="G52" i="4"/>
  <c r="G53" i="4"/>
  <c r="G54" i="4"/>
  <c r="O57" i="4" s="1"/>
  <c r="G55" i="4"/>
  <c r="G56" i="4"/>
  <c r="O59" i="4" s="1"/>
  <c r="G57" i="4"/>
  <c r="G58" i="4"/>
  <c r="O61" i="4" s="1"/>
  <c r="G59" i="4"/>
  <c r="G60" i="4"/>
  <c r="G61" i="4"/>
  <c r="G62" i="4"/>
  <c r="G63" i="4"/>
  <c r="G64" i="4"/>
  <c r="G65" i="4"/>
  <c r="G66" i="4"/>
  <c r="G67" i="4"/>
  <c r="G68" i="4"/>
  <c r="G69" i="4"/>
  <c r="G70" i="4"/>
  <c r="G71" i="4"/>
  <c r="O75" i="4" s="1"/>
  <c r="G72" i="4"/>
  <c r="G73" i="4"/>
  <c r="G74" i="4"/>
  <c r="O80" i="4" s="1"/>
  <c r="G75" i="4"/>
  <c r="G76" i="4"/>
  <c r="G77" i="4"/>
  <c r="G6" i="4"/>
  <c r="J38" i="4"/>
  <c r="I2"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1" i="4"/>
  <c r="A4" i="4"/>
  <c r="J4" i="4" s="1"/>
  <c r="A77" i="4"/>
  <c r="B77" i="4"/>
  <c r="K84" i="4" s="1"/>
  <c r="C77" i="4"/>
  <c r="L84" i="4" s="1"/>
  <c r="F77" i="4"/>
  <c r="A26" i="4"/>
  <c r="B26" i="4"/>
  <c r="C26" i="4"/>
  <c r="F26" i="4"/>
  <c r="A27" i="4"/>
  <c r="J34" i="4" s="1"/>
  <c r="B27" i="4"/>
  <c r="K34" i="4" s="1"/>
  <c r="C27" i="4"/>
  <c r="L34" i="4" s="1"/>
  <c r="F27" i="4"/>
  <c r="A28" i="4"/>
  <c r="J35" i="4" s="1"/>
  <c r="B28" i="4"/>
  <c r="K35" i="4" s="1"/>
  <c r="C28" i="4"/>
  <c r="L35" i="4" s="1"/>
  <c r="F28" i="4"/>
  <c r="A39" i="4"/>
  <c r="J37" i="4" s="1"/>
  <c r="A40" i="4"/>
  <c r="J39" i="4" s="1"/>
  <c r="B40" i="4"/>
  <c r="K39" i="4" s="1"/>
  <c r="C40" i="4"/>
  <c r="L39" i="4" s="1"/>
  <c r="F40" i="4"/>
  <c r="A41" i="4"/>
  <c r="J40" i="4" s="1"/>
  <c r="B41" i="4"/>
  <c r="K40" i="4" s="1"/>
  <c r="C41" i="4"/>
  <c r="L40" i="4" s="1"/>
  <c r="F41" i="4"/>
  <c r="A42" i="4"/>
  <c r="J41" i="4" s="1"/>
  <c r="B42" i="4"/>
  <c r="K41" i="4" s="1"/>
  <c r="C42" i="4"/>
  <c r="L41" i="4" s="1"/>
  <c r="F42" i="4"/>
  <c r="A43" i="4"/>
  <c r="J42" i="4" s="1"/>
  <c r="B43" i="4"/>
  <c r="K42" i="4" s="1"/>
  <c r="C43" i="4"/>
  <c r="L42" i="4" s="1"/>
  <c r="F43" i="4"/>
  <c r="A44" i="4"/>
  <c r="J43" i="4" s="1"/>
  <c r="B44" i="4"/>
  <c r="K43" i="4" s="1"/>
  <c r="C44" i="4"/>
  <c r="L43" i="4" s="1"/>
  <c r="F44" i="4"/>
  <c r="A45" i="4"/>
  <c r="J45" i="4" s="1"/>
  <c r="B45" i="4"/>
  <c r="K45" i="4" s="1"/>
  <c r="C45" i="4"/>
  <c r="L45" i="4" s="1"/>
  <c r="F45" i="4"/>
  <c r="A46" i="4"/>
  <c r="K47" i="4" s="1"/>
  <c r="B46" i="4"/>
  <c r="C46" i="4"/>
  <c r="F46" i="4"/>
  <c r="O47" i="4" s="1"/>
  <c r="A47" i="4"/>
  <c r="J48" i="4" s="1"/>
  <c r="B47" i="4"/>
  <c r="K48" i="4" s="1"/>
  <c r="C47" i="4"/>
  <c r="L48" i="4" s="1"/>
  <c r="F47" i="4"/>
  <c r="A48" i="4"/>
  <c r="J49" i="4" s="1"/>
  <c r="B48" i="4"/>
  <c r="K49" i="4" s="1"/>
  <c r="C48" i="4"/>
  <c r="L49" i="4" s="1"/>
  <c r="F48" i="4"/>
  <c r="A49" i="4"/>
  <c r="J50" i="4" s="1"/>
  <c r="B49" i="4"/>
  <c r="K50" i="4" s="1"/>
  <c r="C49" i="4"/>
  <c r="L50" i="4" s="1"/>
  <c r="F49" i="4"/>
  <c r="A50" i="4"/>
  <c r="J52" i="4" s="1"/>
  <c r="B50" i="4"/>
  <c r="K52" i="4" s="1"/>
  <c r="C50" i="4"/>
  <c r="L52" i="4" s="1"/>
  <c r="F50" i="4"/>
  <c r="A51" i="4"/>
  <c r="J54" i="4" s="1"/>
  <c r="B51" i="4"/>
  <c r="K54" i="4" s="1"/>
  <c r="C51" i="4"/>
  <c r="L54" i="4" s="1"/>
  <c r="F51" i="4"/>
  <c r="A52" i="4"/>
  <c r="J55" i="4" s="1"/>
  <c r="B52" i="4"/>
  <c r="K55" i="4" s="1"/>
  <c r="C52" i="4"/>
  <c r="L55" i="4" s="1"/>
  <c r="F52" i="4"/>
  <c r="A53" i="4"/>
  <c r="J56" i="4" s="1"/>
  <c r="B53" i="4"/>
  <c r="K56" i="4" s="1"/>
  <c r="C53" i="4"/>
  <c r="L56" i="4" s="1"/>
  <c r="F53" i="4"/>
  <c r="A54" i="4"/>
  <c r="J57" i="4" s="1"/>
  <c r="B54" i="4"/>
  <c r="K57" i="4" s="1"/>
  <c r="C54" i="4"/>
  <c r="L57" i="4" s="1"/>
  <c r="F54" i="4"/>
  <c r="A55" i="4"/>
  <c r="J58" i="4" s="1"/>
  <c r="B55" i="4"/>
  <c r="K58" i="4" s="1"/>
  <c r="C55" i="4"/>
  <c r="L58" i="4" s="1"/>
  <c r="F55" i="4"/>
  <c r="A56" i="4"/>
  <c r="J59" i="4" s="1"/>
  <c r="B56" i="4"/>
  <c r="K59" i="4" s="1"/>
  <c r="C56" i="4"/>
  <c r="L59" i="4" s="1"/>
  <c r="F56" i="4"/>
  <c r="A57" i="4"/>
  <c r="J60" i="4" s="1"/>
  <c r="B57" i="4"/>
  <c r="K60" i="4" s="1"/>
  <c r="C57" i="4"/>
  <c r="L60" i="4" s="1"/>
  <c r="F57" i="4"/>
  <c r="A58" i="4"/>
  <c r="J61" i="4" s="1"/>
  <c r="B58" i="4"/>
  <c r="K61" i="4" s="1"/>
  <c r="C58" i="4"/>
  <c r="L61" i="4" s="1"/>
  <c r="F58" i="4"/>
  <c r="A59" i="4"/>
  <c r="J62" i="4" s="1"/>
  <c r="B59" i="4"/>
  <c r="K62" i="4" s="1"/>
  <c r="C59" i="4"/>
  <c r="L62" i="4" s="1"/>
  <c r="F59" i="4"/>
  <c r="A60" i="4"/>
  <c r="J63" i="4" s="1"/>
  <c r="B60" i="4"/>
  <c r="K63" i="4" s="1"/>
  <c r="C60" i="4"/>
  <c r="L63" i="4" s="1"/>
  <c r="F60" i="4"/>
  <c r="A61" i="4"/>
  <c r="J64" i="4" s="1"/>
  <c r="B61" i="4"/>
  <c r="K64" i="4" s="1"/>
  <c r="C61" i="4"/>
  <c r="L64" i="4" s="1"/>
  <c r="F61" i="4"/>
  <c r="A62" i="4"/>
  <c r="J65" i="4" s="1"/>
  <c r="B62" i="4"/>
  <c r="K65" i="4" s="1"/>
  <c r="C62" i="4"/>
  <c r="L65" i="4" s="1"/>
  <c r="F62" i="4"/>
  <c r="A63" i="4"/>
  <c r="J66" i="4" s="1"/>
  <c r="B63" i="4"/>
  <c r="K66" i="4" s="1"/>
  <c r="C63" i="4"/>
  <c r="L66" i="4" s="1"/>
  <c r="F63" i="4"/>
  <c r="A64" i="4"/>
  <c r="J67" i="4" s="1"/>
  <c r="B64" i="4"/>
  <c r="K67" i="4" s="1"/>
  <c r="C64" i="4"/>
  <c r="L67" i="4" s="1"/>
  <c r="F64" i="4"/>
  <c r="A65" i="4"/>
  <c r="J68" i="4" s="1"/>
  <c r="B65" i="4"/>
  <c r="K68" i="4" s="1"/>
  <c r="C65" i="4"/>
  <c r="L68" i="4" s="1"/>
  <c r="F65" i="4"/>
  <c r="A66" i="4"/>
  <c r="J69" i="4" s="1"/>
  <c r="B66" i="4"/>
  <c r="K69" i="4" s="1"/>
  <c r="C66" i="4"/>
  <c r="L69" i="4" s="1"/>
  <c r="F66" i="4"/>
  <c r="A67" i="4"/>
  <c r="J70" i="4" s="1"/>
  <c r="B67" i="4"/>
  <c r="K70" i="4" s="1"/>
  <c r="C67" i="4"/>
  <c r="L70" i="4" s="1"/>
  <c r="F67" i="4"/>
  <c r="A68" i="4"/>
  <c r="J71" i="4" s="1"/>
  <c r="B68" i="4"/>
  <c r="K71" i="4" s="1"/>
  <c r="C68" i="4"/>
  <c r="L71" i="4" s="1"/>
  <c r="F68" i="4"/>
  <c r="A69" i="4"/>
  <c r="J72" i="4" s="1"/>
  <c r="B69" i="4"/>
  <c r="K72" i="4" s="1"/>
  <c r="C69" i="4"/>
  <c r="L72" i="4" s="1"/>
  <c r="F69" i="4"/>
  <c r="A70" i="4"/>
  <c r="J73" i="4" s="1"/>
  <c r="B70" i="4"/>
  <c r="K73" i="4" s="1"/>
  <c r="C70" i="4"/>
  <c r="L73" i="4" s="1"/>
  <c r="F70" i="4"/>
  <c r="A71" i="4"/>
  <c r="J75" i="4" s="1"/>
  <c r="B71" i="4"/>
  <c r="K75" i="4" s="1"/>
  <c r="C71" i="4"/>
  <c r="L75" i="4" s="1"/>
  <c r="F71" i="4"/>
  <c r="A72" i="4"/>
  <c r="J77" i="4" s="1"/>
  <c r="B72" i="4"/>
  <c r="K77" i="4" s="1"/>
  <c r="C72" i="4"/>
  <c r="L77" i="4" s="1"/>
  <c r="F72" i="4"/>
  <c r="A73" i="4"/>
  <c r="J78" i="4" s="1"/>
  <c r="B73" i="4"/>
  <c r="K78" i="4" s="1"/>
  <c r="C73" i="4"/>
  <c r="L78" i="4" s="1"/>
  <c r="F73" i="4"/>
  <c r="A74" i="4"/>
  <c r="J80" i="4" s="1"/>
  <c r="B74" i="4"/>
  <c r="K80" i="4" s="1"/>
  <c r="C74" i="4"/>
  <c r="L80" i="4" s="1"/>
  <c r="F74" i="4"/>
  <c r="A75" i="4"/>
  <c r="J82" i="4" s="1"/>
  <c r="B75" i="4"/>
  <c r="K82" i="4" s="1"/>
  <c r="C75" i="4"/>
  <c r="L82" i="4" s="1"/>
  <c r="F75" i="4"/>
  <c r="A76" i="4"/>
  <c r="J83" i="4" s="1"/>
  <c r="B76" i="4"/>
  <c r="K83" i="4" s="1"/>
  <c r="C76" i="4"/>
  <c r="L83" i="4" s="1"/>
  <c r="F76" i="4"/>
  <c r="D40" i="4"/>
  <c r="E40" i="4"/>
  <c r="N39" i="4" s="1"/>
  <c r="H40" i="4"/>
  <c r="P39" i="4" s="1"/>
  <c r="D41" i="4"/>
  <c r="M40" i="4" s="1"/>
  <c r="E41" i="4"/>
  <c r="N40" i="4" s="1"/>
  <c r="H41" i="4"/>
  <c r="P40" i="4" s="1"/>
  <c r="D42" i="4"/>
  <c r="M41" i="4" s="1"/>
  <c r="E42" i="4"/>
  <c r="N41" i="4" s="1"/>
  <c r="H42" i="4"/>
  <c r="P41" i="4" s="1"/>
  <c r="D43" i="4"/>
  <c r="M42" i="4" s="1"/>
  <c r="E43" i="4"/>
  <c r="N42" i="4" s="1"/>
  <c r="H43" i="4"/>
  <c r="P42" i="4" s="1"/>
  <c r="D44" i="4"/>
  <c r="M43" i="4" s="1"/>
  <c r="E44" i="4"/>
  <c r="N43" i="4" s="1"/>
  <c r="H44" i="4"/>
  <c r="P43" i="4" s="1"/>
  <c r="D45" i="4"/>
  <c r="M45" i="4" s="1"/>
  <c r="E45" i="4"/>
  <c r="N45" i="4" s="1"/>
  <c r="H45" i="4"/>
  <c r="P45" i="4" s="1"/>
  <c r="D46" i="4"/>
  <c r="M47" i="4" s="1"/>
  <c r="E46" i="4"/>
  <c r="N47" i="4" s="1"/>
  <c r="H46" i="4"/>
  <c r="P47" i="4" s="1"/>
  <c r="D47" i="4"/>
  <c r="E47" i="4"/>
  <c r="N48" i="4" s="1"/>
  <c r="H47" i="4"/>
  <c r="P48" i="4" s="1"/>
  <c r="D48" i="4"/>
  <c r="E48" i="4"/>
  <c r="N49" i="4" s="1"/>
  <c r="H48" i="4"/>
  <c r="P49" i="4" s="1"/>
  <c r="D49" i="4"/>
  <c r="E49" i="4"/>
  <c r="N50" i="4" s="1"/>
  <c r="H49" i="4"/>
  <c r="P50" i="4" s="1"/>
  <c r="D50" i="4"/>
  <c r="M52" i="4" s="1"/>
  <c r="E50" i="4"/>
  <c r="N52" i="4" s="1"/>
  <c r="H50" i="4"/>
  <c r="P52" i="4" s="1"/>
  <c r="D51" i="4"/>
  <c r="E51" i="4"/>
  <c r="N54" i="4" s="1"/>
  <c r="H51" i="4"/>
  <c r="P54" i="4" s="1"/>
  <c r="D52" i="4"/>
  <c r="E52" i="4"/>
  <c r="N55" i="4" s="1"/>
  <c r="H52" i="4"/>
  <c r="P55" i="4" s="1"/>
  <c r="D53" i="4"/>
  <c r="E53" i="4"/>
  <c r="N56" i="4" s="1"/>
  <c r="H53" i="4"/>
  <c r="P56" i="4" s="1"/>
  <c r="D54" i="4"/>
  <c r="M57" i="4" s="1"/>
  <c r="E54" i="4"/>
  <c r="N57" i="4" s="1"/>
  <c r="H54" i="4"/>
  <c r="P57" i="4" s="1"/>
  <c r="D55" i="4"/>
  <c r="E55" i="4"/>
  <c r="N58" i="4" s="1"/>
  <c r="H55" i="4"/>
  <c r="P58" i="4" s="1"/>
  <c r="D56" i="4"/>
  <c r="M59" i="4" s="1"/>
  <c r="E56" i="4"/>
  <c r="N59" i="4" s="1"/>
  <c r="H56" i="4"/>
  <c r="P59" i="4" s="1"/>
  <c r="D57" i="4"/>
  <c r="E57" i="4"/>
  <c r="N60" i="4" s="1"/>
  <c r="H57" i="4"/>
  <c r="P60" i="4" s="1"/>
  <c r="D58" i="4"/>
  <c r="M61" i="4" s="1"/>
  <c r="E58" i="4"/>
  <c r="N61" i="4" s="1"/>
  <c r="H58" i="4"/>
  <c r="P61" i="4" s="1"/>
  <c r="D59" i="4"/>
  <c r="E59" i="4"/>
  <c r="N62" i="4" s="1"/>
  <c r="H59" i="4"/>
  <c r="P62" i="4" s="1"/>
  <c r="D60" i="4"/>
  <c r="E60" i="4"/>
  <c r="N63" i="4" s="1"/>
  <c r="H60" i="4"/>
  <c r="P63" i="4" s="1"/>
  <c r="D61" i="4"/>
  <c r="E61" i="4"/>
  <c r="N64" i="4" s="1"/>
  <c r="H61" i="4"/>
  <c r="P64" i="4" s="1"/>
  <c r="D62" i="4"/>
  <c r="E62" i="4"/>
  <c r="N65" i="4" s="1"/>
  <c r="H62" i="4"/>
  <c r="P65" i="4" s="1"/>
  <c r="D63" i="4"/>
  <c r="E63" i="4"/>
  <c r="N66" i="4" s="1"/>
  <c r="H63" i="4"/>
  <c r="P66" i="4" s="1"/>
  <c r="D64" i="4"/>
  <c r="E64" i="4"/>
  <c r="N67" i="4" s="1"/>
  <c r="H64" i="4"/>
  <c r="P67" i="4" s="1"/>
  <c r="D65" i="4"/>
  <c r="E65" i="4"/>
  <c r="N68" i="4" s="1"/>
  <c r="H65" i="4"/>
  <c r="P68" i="4" s="1"/>
  <c r="D66" i="4"/>
  <c r="E66" i="4"/>
  <c r="N69" i="4" s="1"/>
  <c r="H66" i="4"/>
  <c r="P69" i="4" s="1"/>
  <c r="D67" i="4"/>
  <c r="E67" i="4"/>
  <c r="N70" i="4" s="1"/>
  <c r="H67" i="4"/>
  <c r="P70" i="4" s="1"/>
  <c r="D68" i="4"/>
  <c r="E68" i="4"/>
  <c r="N71" i="4" s="1"/>
  <c r="H68" i="4"/>
  <c r="P71" i="4" s="1"/>
  <c r="D69" i="4"/>
  <c r="E69" i="4"/>
  <c r="N72" i="4" s="1"/>
  <c r="H69" i="4"/>
  <c r="P72" i="4" s="1"/>
  <c r="D70" i="4"/>
  <c r="E70" i="4"/>
  <c r="N73" i="4" s="1"/>
  <c r="H70" i="4"/>
  <c r="P73" i="4" s="1"/>
  <c r="D71" i="4"/>
  <c r="M75" i="4" s="1"/>
  <c r="E71" i="4"/>
  <c r="N75" i="4" s="1"/>
  <c r="H71" i="4"/>
  <c r="P75" i="4" s="1"/>
  <c r="D72" i="4"/>
  <c r="E72" i="4"/>
  <c r="N77" i="4" s="1"/>
  <c r="H72" i="4"/>
  <c r="P77" i="4" s="1"/>
  <c r="D73" i="4"/>
  <c r="E73" i="4"/>
  <c r="N78" i="4" s="1"/>
  <c r="H73" i="4"/>
  <c r="P78" i="4" s="1"/>
  <c r="D74" i="4"/>
  <c r="M80" i="4" s="1"/>
  <c r="E74" i="4"/>
  <c r="N80" i="4" s="1"/>
  <c r="H74" i="4"/>
  <c r="P80" i="4" s="1"/>
  <c r="D75" i="4"/>
  <c r="E75" i="4"/>
  <c r="N82" i="4" s="1"/>
  <c r="H75" i="4"/>
  <c r="P82" i="4" s="1"/>
  <c r="D76" i="4"/>
  <c r="E76" i="4"/>
  <c r="N83" i="4" s="1"/>
  <c r="H76" i="4"/>
  <c r="P83" i="4" s="1"/>
  <c r="D77" i="4"/>
  <c r="E77" i="4"/>
  <c r="N84" i="4" s="1"/>
  <c r="H77" i="4"/>
  <c r="P84" i="4" s="1"/>
  <c r="D28" i="4"/>
  <c r="M35" i="4" s="1"/>
  <c r="E28" i="4"/>
  <c r="N35" i="4" s="1"/>
  <c r="H28" i="4"/>
  <c r="P35" i="4" s="1"/>
  <c r="H27" i="4"/>
  <c r="P34" i="4" s="1"/>
  <c r="E27" i="4"/>
  <c r="N34" i="4" s="1"/>
  <c r="D27" i="4"/>
  <c r="M34"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128" i="4" l="1"/>
  <c r="W26" i="2"/>
  <c r="X26" i="2"/>
  <c r="W16" i="2"/>
  <c r="U35" i="2"/>
  <c r="W35" i="2" s="1"/>
  <c r="X7" i="2"/>
  <c r="X95" i="2"/>
  <c r="W95" i="2"/>
  <c r="Y116" i="2"/>
  <c r="W73" i="2"/>
  <c r="W17" i="2"/>
  <c r="Y96" i="2"/>
  <c r="W56" i="2"/>
  <c r="X43" i="2"/>
  <c r="O131" i="4"/>
  <c r="X92" i="2"/>
  <c r="W51" i="2"/>
  <c r="X38" i="2"/>
  <c r="X14" i="2"/>
  <c r="U61" i="2"/>
  <c r="X51" i="2"/>
  <c r="W57" i="2"/>
  <c r="W91" i="2"/>
  <c r="X16" i="2"/>
  <c r="O132" i="4"/>
  <c r="O122" i="4"/>
  <c r="Y81" i="2"/>
  <c r="U32" i="2"/>
  <c r="C32" i="3"/>
  <c r="U64" i="2"/>
  <c r="C64" i="3"/>
  <c r="W7" i="2"/>
  <c r="X19" i="2"/>
  <c r="W63" i="2"/>
  <c r="X57" i="2"/>
  <c r="X77" i="2"/>
  <c r="C77" i="3"/>
  <c r="U10" i="2"/>
  <c r="C10" i="3"/>
  <c r="X113" i="2"/>
  <c r="C113" i="3"/>
  <c r="U21" i="2"/>
  <c r="C21" i="3"/>
  <c r="W62" i="2"/>
  <c r="X106" i="2"/>
  <c r="W12" i="2"/>
  <c r="W27" i="2"/>
  <c r="X73" i="2"/>
  <c r="Y73" i="2"/>
  <c r="X97" i="2"/>
  <c r="W37" i="2"/>
  <c r="C37" i="3"/>
  <c r="U22" i="2"/>
  <c r="W22" i="2" s="1"/>
  <c r="C22" i="3"/>
  <c r="X94" i="2"/>
  <c r="X109" i="2"/>
  <c r="W15" i="2"/>
  <c r="X50" i="2"/>
  <c r="O107" i="4"/>
  <c r="X74" i="2"/>
  <c r="X111" i="2"/>
  <c r="X31" i="2"/>
  <c r="W20" i="2"/>
  <c r="U114" i="2"/>
  <c r="X76" i="2"/>
  <c r="X55" i="2"/>
  <c r="W74" i="2"/>
  <c r="W111" i="2"/>
  <c r="X48" i="2"/>
  <c r="O141" i="4"/>
  <c r="X75" i="2"/>
  <c r="Y86" i="2"/>
  <c r="X15" i="2"/>
  <c r="O112" i="4"/>
  <c r="O121" i="4"/>
  <c r="X112" i="2"/>
  <c r="X53" i="2"/>
  <c r="X18" i="2"/>
  <c r="X82" i="2"/>
  <c r="O105" i="4"/>
  <c r="W46" i="2"/>
  <c r="X6" i="2"/>
  <c r="X37" i="2"/>
  <c r="W13" i="2"/>
  <c r="W18" i="2"/>
  <c r="X110" i="2"/>
  <c r="W50" i="2"/>
  <c r="X91" i="2"/>
  <c r="W103" i="2"/>
  <c r="W42" i="2"/>
  <c r="X119" i="2"/>
  <c r="O93" i="4"/>
  <c r="O108" i="4"/>
  <c r="O98" i="4"/>
  <c r="O94" i="4"/>
  <c r="O113" i="4"/>
  <c r="O97" i="4"/>
  <c r="W71" i="2"/>
  <c r="X71" i="2"/>
  <c r="Y71" i="2"/>
  <c r="X46" i="2"/>
  <c r="X8" i="2"/>
  <c r="X39" i="2"/>
  <c r="O125" i="4"/>
  <c r="O91" i="4"/>
  <c r="O110" i="4"/>
  <c r="O130" i="4"/>
  <c r="O124" i="4"/>
  <c r="O123" i="4"/>
  <c r="W119" i="2"/>
  <c r="W82" i="2"/>
  <c r="O137" i="4"/>
  <c r="X60" i="2"/>
  <c r="W67" i="2"/>
  <c r="X41" i="2"/>
  <c r="X59" i="2"/>
  <c r="W19" i="2"/>
  <c r="W14" i="2"/>
  <c r="X86" i="2"/>
  <c r="X96" i="2"/>
  <c r="X63" i="2"/>
  <c r="X115" i="2"/>
  <c r="W115" i="2"/>
  <c r="W59" i="2"/>
  <c r="O100" i="4"/>
  <c r="O126" i="4"/>
  <c r="X105" i="2"/>
  <c r="W45" i="2"/>
  <c r="X27" i="2"/>
  <c r="X23" i="2"/>
  <c r="X78" i="2"/>
  <c r="X88" i="2"/>
  <c r="X56" i="2"/>
  <c r="W117" i="2"/>
  <c r="O109" i="4"/>
  <c r="O92" i="4"/>
  <c r="O90" i="4"/>
  <c r="O111" i="4"/>
  <c r="Y79" i="2"/>
  <c r="Y102" i="2"/>
  <c r="W106" i="2"/>
  <c r="X45" i="2"/>
  <c r="X17" i="2"/>
  <c r="W23" i="2"/>
  <c r="X80" i="2"/>
  <c r="W80" i="2"/>
  <c r="W65" i="2"/>
  <c r="O106" i="4"/>
  <c r="W96" i="2"/>
  <c r="W6" i="2"/>
  <c r="W47" i="2"/>
  <c r="X47" i="2"/>
  <c r="X9" i="2"/>
  <c r="X66" i="2"/>
  <c r="X108" i="2"/>
  <c r="X54" i="2"/>
  <c r="X42" i="2"/>
  <c r="X117" i="2"/>
  <c r="O114" i="4"/>
  <c r="O99" i="4"/>
  <c r="O95"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3" i="4"/>
  <c r="O116" i="4"/>
  <c r="M137" i="4"/>
  <c r="O127" i="4"/>
  <c r="W48" i="2"/>
  <c r="X65" i="2"/>
  <c r="U33" i="2"/>
  <c r="W39" i="2"/>
  <c r="W78" i="2"/>
  <c r="Y101" i="2"/>
  <c r="W112" i="2"/>
  <c r="Y117" i="2"/>
  <c r="W81" i="2"/>
  <c r="W43" i="2"/>
  <c r="Y77" i="2"/>
  <c r="Y106" i="2"/>
  <c r="Y112" i="2"/>
  <c r="W101" i="2"/>
  <c r="Y110" i="2"/>
  <c r="X89" i="2"/>
  <c r="W30" i="2"/>
  <c r="X30" i="2"/>
  <c r="Y114" i="2"/>
  <c r="U116" i="2"/>
  <c r="X5" i="2"/>
  <c r="X13" i="2"/>
  <c r="W11" i="2"/>
  <c r="X104" i="2"/>
  <c r="W55" i="2"/>
  <c r="X87" i="2"/>
  <c r="X107" i="2"/>
  <c r="O96" i="4"/>
  <c r="O129" i="4"/>
  <c r="X52" i="2"/>
  <c r="X93" i="2"/>
  <c r="X79" i="2"/>
  <c r="Y88" i="2"/>
  <c r="U34" i="2"/>
  <c r="U40" i="2"/>
  <c r="W76" i="2"/>
  <c r="W94" i="2"/>
  <c r="W75" i="2"/>
  <c r="Y90" i="2"/>
  <c r="W109" i="2"/>
  <c r="W97" i="2"/>
  <c r="X101" i="2"/>
  <c r="W113" i="2"/>
  <c r="W104" i="2"/>
  <c r="W108" i="2"/>
  <c r="U24" i="2"/>
  <c r="X44" i="2"/>
  <c r="O78" i="4"/>
  <c r="O84" i="4"/>
  <c r="O82" i="4"/>
  <c r="O83" i="4"/>
  <c r="O77" i="4"/>
  <c r="M60" i="4"/>
  <c r="O60" i="4"/>
  <c r="M50" i="4"/>
  <c r="O50" i="4"/>
  <c r="M69" i="4"/>
  <c r="O69" i="4"/>
  <c r="M65" i="4"/>
  <c r="O65" i="4"/>
  <c r="M62" i="4"/>
  <c r="O62" i="4"/>
  <c r="M58" i="4"/>
  <c r="O58" i="4"/>
  <c r="M84" i="4"/>
  <c r="M78" i="4"/>
  <c r="M72" i="4"/>
  <c r="O72" i="4"/>
  <c r="M68" i="4"/>
  <c r="O68" i="4"/>
  <c r="M64" i="4"/>
  <c r="O64" i="4"/>
  <c r="M56" i="4"/>
  <c r="O56" i="4"/>
  <c r="M73" i="4"/>
  <c r="O73" i="4"/>
  <c r="M82" i="4"/>
  <c r="M70" i="4"/>
  <c r="O70" i="4"/>
  <c r="M66" i="4"/>
  <c r="O66" i="4"/>
  <c r="M54" i="4"/>
  <c r="O54" i="4"/>
  <c r="M48" i="4"/>
  <c r="O48" i="4"/>
  <c r="M83" i="4"/>
  <c r="M77" i="4"/>
  <c r="M71" i="4"/>
  <c r="O71" i="4"/>
  <c r="M67" i="4"/>
  <c r="O67" i="4"/>
  <c r="M63" i="4"/>
  <c r="O63" i="4"/>
  <c r="M55" i="4"/>
  <c r="O55" i="4"/>
  <c r="M49" i="4"/>
  <c r="O49" i="4"/>
  <c r="M39" i="4"/>
  <c r="O39" i="4"/>
  <c r="H25" i="4"/>
  <c r="P32" i="4" s="1"/>
  <c r="H26" i="4"/>
  <c r="P33" i="4" s="1"/>
  <c r="H7" i="4"/>
  <c r="P7" i="4" s="1"/>
  <c r="H8" i="4"/>
  <c r="P9" i="4" s="1"/>
  <c r="H9" i="4"/>
  <c r="P11" i="4" s="1"/>
  <c r="H10" i="4"/>
  <c r="P12" i="4" s="1"/>
  <c r="H11" i="4"/>
  <c r="P14" i="4" s="1"/>
  <c r="H12" i="4"/>
  <c r="P15" i="4" s="1"/>
  <c r="H13" i="4"/>
  <c r="P17" i="4" s="1"/>
  <c r="H14" i="4"/>
  <c r="P18" i="4" s="1"/>
  <c r="H15" i="4"/>
  <c r="P19" i="4" s="1"/>
  <c r="H16" i="4"/>
  <c r="P20" i="4" s="1"/>
  <c r="H17" i="4"/>
  <c r="P21" i="4" s="1"/>
  <c r="H18" i="4"/>
  <c r="P22" i="4" s="1"/>
  <c r="H19" i="4"/>
  <c r="P23" i="4" s="1"/>
  <c r="H20" i="4"/>
  <c r="P24" i="4" s="1"/>
  <c r="H21" i="4"/>
  <c r="P25" i="4" s="1"/>
  <c r="H22" i="4"/>
  <c r="P27" i="4" s="1"/>
  <c r="H23" i="4"/>
  <c r="P28" i="4" s="1"/>
  <c r="H24" i="4"/>
  <c r="P30" i="4" s="1"/>
  <c r="P5" i="2"/>
  <c r="H6" i="4" s="1"/>
  <c r="P6" i="4" s="1"/>
  <c r="F7" i="4"/>
  <c r="F8" i="4"/>
  <c r="F9" i="4"/>
  <c r="F10" i="4"/>
  <c r="F11" i="4"/>
  <c r="F12" i="4"/>
  <c r="F13" i="4"/>
  <c r="F14" i="4"/>
  <c r="F15" i="4"/>
  <c r="F16" i="4"/>
  <c r="F17" i="4"/>
  <c r="F18" i="4"/>
  <c r="F19" i="4"/>
  <c r="F20" i="4"/>
  <c r="F21" i="4"/>
  <c r="F22" i="4"/>
  <c r="F23" i="4"/>
  <c r="F24" i="4"/>
  <c r="F25" i="4"/>
  <c r="F6" i="4"/>
  <c r="O9" i="4"/>
  <c r="O14" i="4"/>
  <c r="O15" i="4"/>
  <c r="O27" i="4"/>
  <c r="O28" i="4"/>
  <c r="O32" i="4"/>
  <c r="J29" i="4"/>
  <c r="J16" i="4"/>
  <c r="J10" i="4"/>
  <c r="J31" i="4"/>
  <c r="J26" i="4"/>
  <c r="J13" i="4"/>
  <c r="J8" i="4"/>
  <c r="J5" i="4"/>
  <c r="D13" i="4"/>
  <c r="E13" i="4"/>
  <c r="N17" i="4" s="1"/>
  <c r="D14" i="4"/>
  <c r="E14" i="4"/>
  <c r="N18" i="4" s="1"/>
  <c r="D15" i="4"/>
  <c r="E15" i="4"/>
  <c r="N19" i="4" s="1"/>
  <c r="D16" i="4"/>
  <c r="E16" i="4"/>
  <c r="N20" i="4" s="1"/>
  <c r="D17" i="4"/>
  <c r="D18" i="4"/>
  <c r="E18" i="4"/>
  <c r="N22" i="4" s="1"/>
  <c r="D19" i="4"/>
  <c r="E19" i="4"/>
  <c r="N23" i="4" s="1"/>
  <c r="D20" i="4"/>
  <c r="E20" i="4"/>
  <c r="N24" i="4" s="1"/>
  <c r="D21" i="4"/>
  <c r="E21" i="4"/>
  <c r="N25" i="4" s="1"/>
  <c r="D22" i="4"/>
  <c r="M27" i="4" s="1"/>
  <c r="E22" i="4"/>
  <c r="N27" i="4" s="1"/>
  <c r="D23" i="4"/>
  <c r="M28" i="4" s="1"/>
  <c r="E23" i="4"/>
  <c r="N28" i="4" s="1"/>
  <c r="D24" i="4"/>
  <c r="E24" i="4"/>
  <c r="N30" i="4" s="1"/>
  <c r="D25" i="4"/>
  <c r="M32" i="4" s="1"/>
  <c r="E25" i="4"/>
  <c r="N32" i="4" s="1"/>
  <c r="R5" i="2"/>
  <c r="S5" i="2"/>
  <c r="E17" i="4"/>
  <c r="N21" i="4" s="1"/>
  <c r="T5" i="2"/>
  <c r="D5" i="3" s="1"/>
  <c r="A7" i="4"/>
  <c r="J7" i="4" s="1"/>
  <c r="B7" i="4"/>
  <c r="K7" i="4" s="1"/>
  <c r="C7" i="4"/>
  <c r="L7" i="4" s="1"/>
  <c r="A8" i="4"/>
  <c r="J9" i="4" s="1"/>
  <c r="B8" i="4"/>
  <c r="K9" i="4" s="1"/>
  <c r="C8" i="4"/>
  <c r="L9" i="4" s="1"/>
  <c r="A9" i="4"/>
  <c r="J11" i="4" s="1"/>
  <c r="B9" i="4"/>
  <c r="K11" i="4" s="1"/>
  <c r="C9" i="4"/>
  <c r="L11" i="4" s="1"/>
  <c r="A10" i="4"/>
  <c r="J12" i="4" s="1"/>
  <c r="B10" i="4"/>
  <c r="K12" i="4" s="1"/>
  <c r="C10" i="4"/>
  <c r="L12" i="4" s="1"/>
  <c r="A11" i="4"/>
  <c r="J14" i="4" s="1"/>
  <c r="B11" i="4"/>
  <c r="K14" i="4" s="1"/>
  <c r="C11" i="4"/>
  <c r="L14" i="4" s="1"/>
  <c r="A12" i="4"/>
  <c r="J15" i="4" s="1"/>
  <c r="B12" i="4"/>
  <c r="K15" i="4" s="1"/>
  <c r="C12" i="4"/>
  <c r="L15" i="4" s="1"/>
  <c r="A13" i="4"/>
  <c r="J17" i="4" s="1"/>
  <c r="B13" i="4"/>
  <c r="K17" i="4" s="1"/>
  <c r="C13" i="4"/>
  <c r="L17" i="4" s="1"/>
  <c r="A14" i="4"/>
  <c r="J18" i="4" s="1"/>
  <c r="B14" i="4"/>
  <c r="K18" i="4" s="1"/>
  <c r="C14" i="4"/>
  <c r="L18" i="4" s="1"/>
  <c r="A15" i="4"/>
  <c r="J19" i="4" s="1"/>
  <c r="B15" i="4"/>
  <c r="K19" i="4" s="1"/>
  <c r="C15" i="4"/>
  <c r="L19" i="4" s="1"/>
  <c r="A16" i="4"/>
  <c r="J20" i="4" s="1"/>
  <c r="B16" i="4"/>
  <c r="K20" i="4" s="1"/>
  <c r="C16" i="4"/>
  <c r="L20" i="4" s="1"/>
  <c r="A17" i="4"/>
  <c r="J21" i="4" s="1"/>
  <c r="B17" i="4"/>
  <c r="K21" i="4" s="1"/>
  <c r="C17" i="4"/>
  <c r="L21" i="4" s="1"/>
  <c r="A18" i="4"/>
  <c r="J22" i="4" s="1"/>
  <c r="B18" i="4"/>
  <c r="K22" i="4" s="1"/>
  <c r="C18" i="4"/>
  <c r="L22" i="4" s="1"/>
  <c r="A19" i="4"/>
  <c r="J23" i="4" s="1"/>
  <c r="B19" i="4"/>
  <c r="K23" i="4" s="1"/>
  <c r="C19" i="4"/>
  <c r="L23" i="4" s="1"/>
  <c r="A20" i="4"/>
  <c r="J24" i="4" s="1"/>
  <c r="B20" i="4"/>
  <c r="K24" i="4" s="1"/>
  <c r="C20" i="4"/>
  <c r="L24" i="4" s="1"/>
  <c r="A21" i="4"/>
  <c r="J25" i="4" s="1"/>
  <c r="B21" i="4"/>
  <c r="K25" i="4" s="1"/>
  <c r="C21" i="4"/>
  <c r="L25" i="4" s="1"/>
  <c r="A22" i="4"/>
  <c r="J27" i="4" s="1"/>
  <c r="B22" i="4"/>
  <c r="K27" i="4" s="1"/>
  <c r="C22" i="4"/>
  <c r="L27" i="4" s="1"/>
  <c r="A23" i="4"/>
  <c r="J28" i="4" s="1"/>
  <c r="B23" i="4"/>
  <c r="K28" i="4" s="1"/>
  <c r="C23" i="4"/>
  <c r="L28" i="4" s="1"/>
  <c r="A24" i="4"/>
  <c r="J30" i="4" s="1"/>
  <c r="B24" i="4"/>
  <c r="K30" i="4" s="1"/>
  <c r="C24" i="4"/>
  <c r="L30" i="4" s="1"/>
  <c r="A25" i="4"/>
  <c r="J32" i="4" s="1"/>
  <c r="B25" i="4"/>
  <c r="K32" i="4" s="1"/>
  <c r="C25" i="4"/>
  <c r="L32" i="4" s="1"/>
  <c r="C6" i="4"/>
  <c r="L6" i="4" s="1"/>
  <c r="B6" i="4"/>
  <c r="K6" i="4" s="1"/>
  <c r="A6" i="4"/>
  <c r="J6" i="4" s="1"/>
  <c r="W10" i="2" l="1"/>
  <c r="W61" i="2"/>
  <c r="X61" i="2"/>
  <c r="X21" i="2"/>
  <c r="X10" i="2"/>
  <c r="X35" i="2"/>
  <c r="W21" i="2"/>
  <c r="X22" i="2"/>
  <c r="W32" i="2"/>
  <c r="X32" i="2"/>
  <c r="W114" i="2"/>
  <c r="X114" i="2"/>
  <c r="X64" i="2"/>
  <c r="W64" i="2"/>
  <c r="W24" i="2"/>
  <c r="W33" i="2"/>
  <c r="Y5" i="2"/>
  <c r="W34" i="2"/>
  <c r="W116" i="2"/>
  <c r="X33" i="2"/>
  <c r="W40" i="2"/>
  <c r="X40" i="2"/>
  <c r="X24" i="2"/>
  <c r="X116" i="2"/>
  <c r="X34" i="2"/>
  <c r="M17" i="4"/>
  <c r="O17" i="4"/>
  <c r="M25" i="4"/>
  <c r="O25" i="4"/>
  <c r="M23" i="4"/>
  <c r="O23" i="4"/>
  <c r="M21" i="4"/>
  <c r="O21" i="4"/>
  <c r="M18" i="4"/>
  <c r="O18" i="4"/>
  <c r="M19" i="4"/>
  <c r="O19" i="4"/>
  <c r="M20" i="4"/>
  <c r="O20" i="4"/>
  <c r="M30" i="4"/>
  <c r="O30" i="4"/>
  <c r="M24" i="4"/>
  <c r="O24" i="4"/>
  <c r="M22" i="4"/>
  <c r="O22" i="4"/>
  <c r="E12" i="4"/>
  <c r="N15" i="4" s="1"/>
  <c r="E8" i="4"/>
  <c r="N9" i="4" s="1"/>
  <c r="D12" i="4"/>
  <c r="M15" i="4" s="1"/>
  <c r="E9" i="4"/>
  <c r="N11" i="4" s="1"/>
  <c r="D8" i="4"/>
  <c r="M9" i="4" s="1"/>
  <c r="E6" i="4"/>
  <c r="N6" i="4" s="1"/>
  <c r="E10" i="4"/>
  <c r="N12" i="4" s="1"/>
  <c r="D9" i="4"/>
  <c r="D11" i="4"/>
  <c r="M14" i="4" s="1"/>
  <c r="D7" i="4"/>
  <c r="D6" i="4"/>
  <c r="E11" i="4"/>
  <c r="N14" i="4" s="1"/>
  <c r="D10" i="4"/>
  <c r="E7" i="4"/>
  <c r="N7" i="4" s="1"/>
  <c r="M11" i="4" l="1"/>
  <c r="O11" i="4"/>
  <c r="M6" i="4"/>
  <c r="O6" i="4"/>
  <c r="M7" i="4"/>
  <c r="O7" i="4"/>
  <c r="M12" i="4"/>
  <c r="O12" i="4"/>
  <c r="D26" i="4"/>
  <c r="E26"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<sst xmlns="http://schemas.openxmlformats.org/spreadsheetml/2006/main" count="1866" uniqueCount="905">
  <si>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</si>
  <si>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</si>
  <si>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</si>
  <si>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</si>
  <si>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</si>
  <si>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</si>
  <si>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</si>
  <si>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</si>
  <si>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</si>
  <si>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</si>
  <si>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</si>
  <si>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</si>
  <si>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</si>
  <si>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</si>
  <si>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</si>
  <si>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</si>
  <si>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</si>
  <si>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</si>
  <si>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</si>
  <si>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</si>
  <si>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</si>
  <si>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</si>
  <si>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</si>
  <si>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</si>
  <si>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</si>
  <si>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</si>
  <si>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</si>
  <si>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</si>
  <si>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</si>
  <si>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</si>
  <si>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</si>
  <si>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</si>
  <si>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</si>
  <si>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</si>
  <si>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</si>
  <si>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</si>
  <si>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</si>
  <si>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</si>
  <si>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</si>
  <si>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</si>
  <si>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</si>
  <si>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</si>
  <si>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</si>
  <si>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</si>
  <si>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</si>
  <si>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</si>
  <si>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</si>
  <si>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</si>
  <si>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</si>
  <si>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</si>
  <si>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</si>
  <si>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</si>
  <si>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</si>
  <si>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</si>
  <si>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</si>
  <si>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</si>
  <si>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</si>
  <si>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</si>
  <si>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</si>
  <si>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</si>
  <si>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</si>
  <si>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</si>
  <si>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</si>
  <si>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</si>
  <si>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</si>
  <si>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</si>
  <si>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</si>
  <si>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</si>
  <si>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</si>
  <si>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</si>
  <si>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</si>
  <si>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</si>
  <si>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</si>
  <si>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</si>
  <si>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</si>
  <si>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</si>
  <si>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Bearls (sp.?) seen here.    Total = 650'</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</si>
  <si>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</si>
  <si>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</si>
  <si>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</si>
  <si>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</si>
  <si>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</si>
  <si>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</si>
  <si>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</si>
  <si>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</si>
  <si>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</si>
  <si>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</si>
  <si>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</si>
  <si>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</si>
  <si>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</si>
  <si>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</si>
  <si>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</si>
  <si>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</si>
  <si>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</si>
  <si>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</si>
  <si>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</si>
  <si>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</si>
  <si>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</si>
  <si>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</si>
  <si>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</si>
  <si>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</si>
  <si>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</si>
  <si>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</si>
  <si>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</si>
  <si>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</si>
  <si>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</si>
  <si>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</si>
  <si>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</si>
  <si>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</si>
  <si>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</si>
  <si>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</si>
  <si>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17.5 (? indistinct)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</si>
  <si>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</si>
  <si>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</si>
  <si>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</si>
  <si>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</si>
  <si>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</si>
  <si>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</si>
  <si>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</si>
  <si>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</si>
  <si>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</si>
  <si>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</si>
  <si>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</si>
  <si>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</si>
  <si>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</si>
  <si>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</si>
  <si>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</si>
  <si>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</si>
  <si>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</si>
  <si>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</si>
  <si>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</si>
  <si>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</si>
  <si>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</si>
  <si>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</si>
  <si>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</si>
  <si>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</si>
  <si>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</si>
  <si>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</si>
  <si>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</si>
  <si>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</si>
  <si>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</si>
  <si>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</si>
  <si>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</si>
  <si>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</si>
  <si>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</si>
  <si>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</si>
  <si>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</si>
  <si>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</si>
  <si>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</si>
  <si>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</si>
  <si>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</si>
  <si>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</si>
  <si>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</si>
  <si>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</si>
  <si>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</si>
  <si>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</si>
  <si>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</si>
  <si>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</si>
  <si>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</si>
  <si>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</si>
  <si>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</si>
  <si>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</si>
  <si>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</si>
  <si>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</si>
  <si>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</si>
  <si>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</si>
  <si>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</si>
  <si>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</si>
  <si>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</si>
  <si>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</si>
  <si>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</si>
  <si>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</si>
  <si>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</si>
  <si>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</si>
  <si>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</si>
  <si>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</si>
  <si>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</si>
  <si>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</si>
  <si>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</si>
  <si>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</si>
  <si>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</si>
  <si>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</si>
  <si>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</si>
  <si>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</si>
  <si>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</si>
  <si>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</si>
  <si>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</si>
  <si>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</si>
  <si>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</si>
  <si>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</si>
  <si>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</si>
  <si>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</si>
  <si>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</si>
  <si>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</si>
  <si>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</si>
  <si>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</si>
  <si>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</si>
  <si>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</si>
  <si>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</si>
  <si>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</si>
  <si>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</si>
  <si>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</si>
  <si>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</si>
  <si>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</si>
  <si>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</si>
  <si>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</si>
  <si>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</si>
  <si>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</si>
  <si>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</si>
  <si>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</si>
  <si>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</si>
  <si>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</si>
  <si>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</si>
  <si>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</si>
  <si>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</si>
  <si>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</si>
  <si>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</si>
  <si>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</si>
  <si>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</si>
  <si>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</si>
  <si>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</si>
  <si>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</si>
  <si>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</si>
  <si>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</si>
  <si>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</si>
  <si>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</si>
  <si>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</si>
  <si>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</si>
  <si>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</si>
  <si>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</si>
  <si>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</si>
  <si>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</si>
  <si>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</si>
  <si>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</si>
  <si>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</si>
  <si>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</si>
  <si>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</si>
  <si>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</si>
  <si>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</si>
  <si>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</si>
  <si>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</si>
  <si>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</si>
  <si>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</si>
  <si>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</si>
  <si>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</si>
  <si>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</si>
  <si>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</si>
  <si>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</si>
  <si>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</si>
  <si>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</si>
  <si>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</si>
  <si>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</si>
  <si>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</si>
  <si>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</si>
  <si>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</si>
  <si>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</si>
  <si>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</si>
  <si>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</si>
  <si>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B1 is station B1 of page 45, at entrance to "P.G." passage</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</si>
  <si>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</si>
  <si>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</si>
  <si>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</si>
  <si>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</si>
  <si>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</si>
  <si>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</si>
  <si>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</si>
  <si>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</si>
  <si>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</si>
  <si>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</si>
  <si>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</si>
  <si>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</si>
  <si>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</si>
  <si>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</si>
  <si>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</si>
  <si>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</si>
  <si>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</si>
  <si>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</si>
  <si>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</si>
  <si>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</si>
  <si>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 18</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</si>
  <si>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</si>
  <si>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</si>
  <si>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</si>
  <si>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</si>
  <si>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</si>
  <si>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</si>
  <si>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</si>
  <si>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</si>
  <si>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</si>
  <si>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</si>
  <si>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</si>
  <si>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</si>
  <si>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</si>
  <si>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</si>
  <si>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</si>
  <si>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</si>
  <si>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</si>
  <si>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</si>
  <si>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</si>
  <si>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</si>
  <si>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</si>
  <si>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</si>
  <si>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</si>
  <si>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</si>
  <si>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</si>
  <si>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</si>
  <si>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</si>
  <si>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</si>
  <si>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</si>
  <si>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</si>
  <si>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</si>
  <si>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</si>
  <si>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</si>
  <si>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</si>
  <si>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</si>
  <si>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</si>
  <si>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</si>
  <si>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</si>
  <si>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</si>
  <si>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</si>
  <si>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</si>
  <si>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</si>
  <si>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</si>
  <si>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</si>
  <si>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</si>
  <si>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</si>
  <si>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</si>
  <si>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</si>
  <si>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</si>
  <si>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</si>
  <si>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</si>
  <si>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</si>
  <si>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</si>
  <si>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</si>
  <si>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</si>
  <si>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</si>
  <si>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</si>
  <si>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</si>
  <si>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</si>
  <si>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</si>
  <si>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</si>
  <si>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</si>
  <si>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</si>
  <si>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</si>
  <si>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</si>
  <si>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</si>
  <si>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</si>
  <si>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</si>
  <si>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</si>
  <si>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</si>
  <si>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</si>
  <si>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</si>
  <si>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</si>
  <si>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</si>
  <si>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</si>
  <si>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</si>
  <si>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</si>
  <si>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</si>
  <si>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</si>
  <si>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</si>
  <si>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</si>
  <si>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</si>
  <si>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</si>
  <si>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</si>
  <si>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</si>
  <si>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</si>
  <si>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</si>
  <si>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</si>
  <si>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</si>
  <si>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</si>
  <si>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</si>
  <si>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</si>
  <si>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</si>
  <si>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</si>
  <si>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</si>
  <si>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</si>
  <si>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</si>
  <si>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</si>
  <si>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</si>
  <si>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</si>
  <si>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</si>
  <si>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</si>
  <si>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</si>
  <si>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</si>
  <si>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</si>
  <si>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</si>
  <si>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</si>
  <si>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</si>
  <si>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</si>
  <si>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</si>
  <si>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</si>
  <si>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</si>
  <si>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</si>
  <si>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</si>
  <si>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</si>
  <si>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</si>
  <si>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</si>
  <si>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</si>
  <si>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</si>
  <si>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</si>
  <si>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</si>
  <si>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</si>
  <si>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</si>
  <si>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</si>
  <si>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</si>
  <si>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</si>
  <si>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</si>
  <si>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</si>
  <si>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</si>
  <si>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</si>
  <si>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</si>
  <si>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</si>
  <si>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</si>
  <si>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</si>
  <si>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</si>
  <si>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</si>
  <si>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</si>
  <si>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</si>
  <si>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</si>
  <si>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</si>
  <si>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</si>
  <si>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</si>
  <si>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</si>
  <si>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</si>
  <si>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</si>
  <si>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</si>
  <si>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</si>
  <si>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</si>
  <si>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</si>
  <si>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</si>
  <si>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</si>
  <si>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</si>
  <si>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</si>
  <si>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</si>
  <si>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</si>
  <si>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</si>
  <si>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</si>
  <si>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</si>
  <si>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</si>
  <si>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</si>
  <si>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</si>
  <si>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</si>
  <si>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</si>
  <si>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</si>
  <si>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</si>
  <si>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</si>
  <si>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</si>
  <si>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</si>
  <si>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</si>
  <si>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</si>
  <si>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</si>
  <si>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</si>
  <si>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</si>
  <si>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</si>
  <si>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</si>
  <si>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</si>
  <si>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</si>
  <si>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</si>
  <si>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</si>
  <si>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</si>
  <si>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</si>
  <si>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</si>
  <si>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</si>
  <si>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</si>
  <si>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</si>
  <si>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</si>
  <si>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</si>
  <si>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</si>
  <si>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</si>
  <si>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</si>
  <si>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</si>
  <si>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</si>
  <si>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</si>
  <si>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</si>
  <si>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</si>
  <si>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</si>
  <si>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</si>
  <si>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</si>
  <si>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</si>
  <si>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</si>
  <si>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</si>
  <si>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</si>
  <si>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</si>
  <si>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</si>
  <si>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</si>
  <si>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</si>
  <si>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</si>
  <si>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</si>
  <si>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</si>
  <si>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</si>
  <si>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</si>
  <si>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</si>
  <si>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</si>
  <si>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</si>
  <si>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</si>
  <si>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</si>
  <si>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</si>
  <si>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</si>
  <si>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</si>
  <si>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</si>
  <si>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</si>
  <si>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</si>
  <si>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</si>
  <si>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</si>
  <si>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</si>
  <si>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</si>
  <si>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</si>
  <si>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</si>
  <si>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</si>
  <si>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</si>
  <si>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</si>
  <si>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</si>
  <si>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</si>
  <si>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</si>
  <si>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</si>
  <si>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</si>
  <si>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</si>
  <si>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</si>
  <si>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</si>
  <si>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</si>
  <si>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</si>
  <si>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</si>
  <si>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</si>
  <si>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</si>
  <si>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</si>
  <si>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</si>
  <si>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</si>
  <si>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</si>
  <si>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</si>
  <si>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</si>
  <si>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</si>
  <si>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</si>
  <si>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</si>
  <si>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</si>
  <si>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</si>
  <si>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</si>
  <si>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</si>
  <si>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</si>
  <si>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</si>
  <si>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</si>
  <si>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</si>
  <si>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</si>
  <si>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</si>
  <si>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</si>
  <si>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</si>
  <si>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</si>
  <si>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</si>
  <si>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</si>
  <si>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</si>
  <si>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AL(?)</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</si>
  <si>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</si>
  <si>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</si>
  <si>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</si>
  <si>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</si>
  <si>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</si>
  <si>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</si>
  <si>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</si>
  <si>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</si>
  <si>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</si>
  <si>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</si>
  <si>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</si>
  <si>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</si>
  <si>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</si>
  <si>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</si>
  <si>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</si>
  <si>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</si>
  <si>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</si>
  <si>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</si>
  <si>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</si>
  <si>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</si>
  <si>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</si>
  <si>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</si>
  <si>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</si>
  <si>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</si>
  <si>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</si>
  <si>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</si>
  <si>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</si>
  <si>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</si>
  <si>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</si>
  <si>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</si>
  <si>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</si>
  <si>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</si>
  <si>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</si>
  <si>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</si>
  <si>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</si>
  <si>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</si>
  <si>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</si>
  <si>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</si>
  <si>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</si>
  <si>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</si>
  <si>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</si>
  <si>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</si>
  <si>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</si>
  <si>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</si>
  <si>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</si>
  <si>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</si>
  <si>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</si>
  <si>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</si>
  <si>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</si>
  <si>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</si>
  <si>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</si>
  <si>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</si>
  <si>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</si>
  <si>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</si>
  <si>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</si>
  <si>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</si>
  <si>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</si>
  <si>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</si>
  <si>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</si>
  <si>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</si>
  <si>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</si>
  <si>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</si>
  <si>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</si>
  <si>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</si>
  <si>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</si>
  <si>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</si>
  <si>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</si>
  <si>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</si>
  <si>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</si>
  <si>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</si>
  <si>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</si>
  <si>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</si>
  <si>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</si>
  <si>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</si>
  <si>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</si>
  <si>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</si>
  <si>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</si>
  <si>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</si>
  <si>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</si>
  <si>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</si>
  <si>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</si>
  <si>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</si>
  <si>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</si>
  <si>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</si>
  <si>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</si>
  <si>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</si>
  <si>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</si>
  <si>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</si>
  <si>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</si>
  <si>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</si>
  <si>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</si>
  <si>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</si>
  <si>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</si>
  <si>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</si>
  <si>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</si>
  <si>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</si>
  <si>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</si>
  <si>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</si>
  <si>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</si>
  <si>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</si>
  <si>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</si>
  <si>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</si>
  <si>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</si>
  <si>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</si>
  <si>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</si>
  <si>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</si>
  <si>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</si>
  <si>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</si>
  <si>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</si>
  <si>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</si>
  <si>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</si>
  <si>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</si>
  <si>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</si>
  <si>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</si>
  <si>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</si>
  <si>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</si>
  <si>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</si>
  <si>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</si>
  <si>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</si>
  <si>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</si>
  <si>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</si>
  <si>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</si>
  <si>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</si>
  <si>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</si>
  <si>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</si>
  <si>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</si>
  <si>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</si>
  <si>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</si>
  <si>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</si>
  <si>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</si>
  <si>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</si>
  <si>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</si>
  <si>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</si>
  <si>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</si>
  <si>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</si>
  <si>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</si>
  <si>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</si>
  <si>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</si>
  <si>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</si>
  <si>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</si>
  <si>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</si>
  <si>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</si>
  <si>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</si>
  <si>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</si>
  <si>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</si>
  <si>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</si>
  <si>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</si>
  <si>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</si>
  <si>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</si>
  <si>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</si>
  <si>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</si>
  <si>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</si>
  <si>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</si>
  <si>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</si>
  <si>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</si>
  <si>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</si>
  <si>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</si>
  <si>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</si>
  <si>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</si>
  <si>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</si>
  <si>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</si>
  <si>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</si>
  <si>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</si>
  <si>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</si>
  <si>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</si>
  <si>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</si>
  <si>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</si>
  <si>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</si>
  <si>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</si>
  <si>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</si>
  <si>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</si>
  <si>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</si>
  <si>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</si>
  <si>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</si>
  <si>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</si>
  <si>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</si>
  <si>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</si>
  <si>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</si>
  <si>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</si>
  <si>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</si>
  <si>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</si>
  <si>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</si>
  <si>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</si>
  <si>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</si>
  <si>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</si>
  <si>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</si>
  <si>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</si>
  <si>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</si>
  <si>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</si>
  <si>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</si>
  <si>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</si>
  <si>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</si>
  <si>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</si>
  <si>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Luke (a little)</t>
  </si>
  <si>
    <t>Surface Tie Up</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</si>
  <si>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</si>
  <si>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</si>
  <si>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</si>
  <si>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</si>
  <si>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</si>
  <si>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</si>
  <si>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</si>
  <si>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</si>
  <si>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</si>
  <si>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</si>
  <si>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</si>
  <si>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</si>
  <si>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</si>
  <si>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</si>
  <si>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</si>
  <si>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</si>
  <si>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</si>
  <si>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</si>
  <si>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</si>
  <si>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</si>
  <si>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</si>
  <si>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</si>
  <si>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</si>
  <si>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</si>
  <si>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</si>
  <si>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</si>
  <si>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</si>
  <si>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</si>
  <si>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</si>
  <si>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</si>
  <si>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</si>
  <si>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</si>
  <si>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</si>
  <si>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</si>
  <si>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</si>
  <si>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</si>
  <si>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</si>
  <si>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</si>
  <si>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</si>
  <si>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</si>
  <si>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</si>
  <si>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</si>
  <si>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</si>
  <si>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</si>
  <si>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</si>
  <si>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</si>
  <si>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</si>
  <si>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</si>
  <si>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</si>
  <si>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</si>
  <si>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</si>
  <si>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</si>
  <si>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</si>
  <si>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</si>
  <si>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</si>
  <si>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(sketch T-U-V-W)</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</si>
  <si>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</si>
  <si>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</si>
  <si>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</si>
  <si>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</si>
  <si>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</si>
  <si>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</si>
  <si>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</si>
  <si>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</si>
  <si>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</si>
  <si>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</si>
  <si>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</si>
  <si>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</si>
  <si>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</si>
  <si>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</si>
  <si>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</si>
  <si>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</si>
  <si>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</si>
  <si>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</si>
  <si>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</si>
  <si>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</si>
  <si>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</si>
  <si>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</si>
  <si>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</si>
  <si>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</si>
  <si>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</si>
  <si>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</si>
  <si>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</si>
  <si>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</si>
  <si>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</si>
  <si>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</si>
  <si>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</si>
  <si>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</si>
  <si>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</si>
  <si>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</si>
  <si>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</si>
  <si>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</si>
  <si>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</si>
  <si>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</si>
  <si>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</si>
  <si>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</si>
  <si>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</si>
  <si>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</si>
  <si>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</si>
  <si>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</si>
  <si>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</si>
  <si>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Aug. 1953</t>
  </si>
  <si>
    <t>Too faint to read. 'something' hole. Sketch contains 'Calcutta' at  start and 'Sore Knees Creep' near the end.</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</si>
  <si>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</si>
  <si>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</si>
  <si>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</si>
  <si>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</si>
  <si>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</si>
  <si>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</si>
  <si>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</si>
  <si>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</si>
  <si>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</si>
  <si>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</si>
  <si>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</si>
  <si>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</si>
  <si>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</si>
  <si>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</si>
  <si>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</si>
  <si>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</si>
  <si>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</si>
  <si>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</si>
  <si>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</si>
  <si>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</si>
  <si>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</si>
  <si>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</si>
  <si>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</si>
  <si>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</si>
  <si>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</si>
  <si>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</si>
  <si>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</si>
  <si>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</si>
  <si>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</si>
  <si>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</si>
  <si>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</si>
  <si>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</si>
  <si>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</si>
  <si>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</si>
  <si>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</si>
  <si>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</si>
  <si>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</si>
  <si>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</si>
  <si>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</si>
  <si>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</si>
  <si>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</si>
  <si>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</si>
  <si>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</si>
  <si>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</si>
  <si>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</si>
  <si>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</si>
  <si>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</si>
  <si>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</si>
  <si>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</si>
  <si>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</si>
  <si>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</si>
  <si>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</si>
  <si>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</si>
  <si>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</si>
  <si>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 Lower case letter station names converted to letter+2 to prevent clash with upper case letter names</t>
  </si>
  <si>
    <t>; Lower case letter station names converted to letter+3 to prevent clash with upper case letter names</t>
  </si>
  <si>
    <t>; Lower case letter station names converted to letters+3 to prevent clash with upper case letter names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</si>
</sst>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1" fillId="0" borderId="0" xfId="0" applyFont="1" applyAlignment="1">
      <alignment horizontal="center"/>
    </xf>
    <xf numFmtId="0" fontId="0" fillId="0" borderId="0" xfId="0" applyAlignment="1">
      <alignment horizontal="center"/>
    </xf>
    <xf numFmtId="0" fontId="6" fillId="0" borderId="0" xfId="0" applyFont="1"/>
    <xf numFmtId="0" fontId="2" fillId="0" borderId="0" xfId="0" applyNumberFormat="1" applyFont="1"/>
    <xf numFmtId="1" fontId="7" fillId="0" borderId="0" xfId="0" applyNumberFormat="1" applyFont="1" applyAlignment="1">
      <alignment horizontal="right"/>
    </xf>
  </cellXfs>
  <cellStyles count="2">
    <cellStyle name="Hyperlink" xfId="1" builtinId="8"/>
    <cellStyle name="Normal" xfId="0" builtinId="0"/>
  </cellStyles>
  <dxfs count="7">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workbookViewId="0">
      <selection activeCell="A7" sqref="A7"/>
    </sheetView>
  </sheetViews>
  <sheetFormatPr defaultRowHeight="15" x14ac:dyDescent="0.25"/>
  <cols>
    <col min="1" max="1" width="118.85546875" customWidth="1"/>
  </cols>
  <sheetData>
    <row r="1" spans="1:1" ht="75" x14ac:dyDescent="0.25">
      <c r="A1" s="13" t="s">
        <v>887</v>
      </c>
    </row>
    <row r="2" spans="1:1" x14ac:dyDescent="0.25">
      <c r="A2" s="13"/>
    </row>
    <row r="3" spans="1:1" x14ac:dyDescent="0.25">
      <c r="A3" s="14" t="s">
        <v>888</v>
      </c>
    </row>
    <row r="4" spans="1:1" ht="45" x14ac:dyDescent="0.25">
      <c r="A4" s="13" t="s">
        <v>896</v>
      </c>
    </row>
    <row r="5" spans="1:1" x14ac:dyDescent="0.25">
      <c r="A5" s="13"/>
    </row>
    <row r="6" spans="1:1" x14ac:dyDescent="0.25">
      <c r="A6" s="14" t="s">
        <v>889</v>
      </c>
    </row>
    <row r="7" spans="1:1" ht="180" x14ac:dyDescent="0.25">
      <c r="A7" s="13" t="s">
        <v>900</v>
      </c>
    </row>
    <row r="8" spans="1:1" x14ac:dyDescent="0.25">
      <c r="A8" s="13"/>
    </row>
    <row r="9" spans="1:1" x14ac:dyDescent="0.25">
      <c r="A9" s="14" t="s">
        <v>890</v>
      </c>
    </row>
    <row r="10" spans="1:1" ht="30" x14ac:dyDescent="0.25">
      <c r="A10" s="13" t="s">
        <v>897</v>
      </c>
    </row>
    <row r="11" spans="1:1" x14ac:dyDescent="0.25">
      <c r="A11" s="13"/>
    </row>
    <row r="12" spans="1:1" x14ac:dyDescent="0.25">
      <c r="A12" s="14" t="s">
        <v>891</v>
      </c>
    </row>
    <row r="13" spans="1:1" ht="30" x14ac:dyDescent="0.25">
      <c r="A13" s="13" t="s">
        <v>898</v>
      </c>
    </row>
    <row r="15" spans="1:1" x14ac:dyDescent="0.25">
      <c r="A15" s="13" t="s">
        <v>893</v>
      </c>
    </row>
    <row r="16" spans="1:1" x14ac:dyDescent="0.25">
      <c r="A16" s="15" t="s">
        <v>892</v>
      </c>
    </row>
    <row r="18" spans="1:1" x14ac:dyDescent="0.25">
      <c r="A18" t="s">
        <v>894</v>
      </c>
    </row>
    <row r="19" spans="1:1" x14ac:dyDescent="0.25">
      <c r="A19" s="15" t="s">
        <v>895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9"/>
  <sheetViews>
    <sheetView workbookViewId="0">
      <pane xSplit="2" ySplit="4" topLeftCell="C101" activePane="bottomRight" state="frozen"/>
      <selection pane="topRight" activeCell="C1" sqref="C1"/>
      <selection pane="bottomLeft" activeCell="A5" sqref="A5"/>
      <selection pane="bottomRight" activeCell="I121" sqref="I121"/>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280</v>
      </c>
      <c r="B1" s="1" t="s">
        <v>281</v>
      </c>
      <c r="F1" s="1"/>
      <c r="G1" s="1"/>
      <c r="H1" s="1"/>
      <c r="I1" s="1"/>
      <c r="J1" s="1"/>
      <c r="K1" s="1"/>
    </row>
    <row r="2" spans="1:16" x14ac:dyDescent="0.25">
      <c r="A2" s="1" t="s">
        <v>0</v>
      </c>
      <c r="B2" s="1" t="s">
        <v>1</v>
      </c>
      <c r="C2" s="1" t="s">
        <v>2</v>
      </c>
      <c r="D2" s="1"/>
      <c r="G2" s="1"/>
      <c r="H2" s="1"/>
      <c r="I2" s="1"/>
      <c r="J2" s="1"/>
      <c r="K2" s="1"/>
      <c r="M2" t="s">
        <v>87</v>
      </c>
    </row>
    <row r="3" spans="1:16" x14ac:dyDescent="0.25">
      <c r="A3" s="1"/>
      <c r="B3" s="1"/>
      <c r="C3" s="1"/>
      <c r="D3" s="1"/>
      <c r="E3" s="18" t="s">
        <v>8</v>
      </c>
      <c r="F3" s="18"/>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80</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76</v>
      </c>
    </row>
    <row r="26" spans="1:16" x14ac:dyDescent="0.25">
      <c r="A26" s="1" t="s">
        <v>81</v>
      </c>
      <c r="B26" s="5" t="s">
        <v>82</v>
      </c>
      <c r="C26" s="7" t="s">
        <v>16</v>
      </c>
      <c r="D26" s="7">
        <v>1</v>
      </c>
      <c r="E26" s="7">
        <v>1</v>
      </c>
      <c r="F26" s="7">
        <v>0.5</v>
      </c>
      <c r="G26" s="7" t="s">
        <v>16</v>
      </c>
      <c r="H26" s="7">
        <v>326</v>
      </c>
      <c r="I26" s="7">
        <v>146</v>
      </c>
      <c r="J26" s="7">
        <v>30.4</v>
      </c>
      <c r="K26" s="7" t="s">
        <v>44</v>
      </c>
      <c r="M26" s="6">
        <v>30.4</v>
      </c>
      <c r="N26" t="s">
        <v>16</v>
      </c>
      <c r="P26" t="s">
        <v>85</v>
      </c>
    </row>
    <row r="27" spans="1:16" x14ac:dyDescent="0.25">
      <c r="A27" s="1" t="s">
        <v>82</v>
      </c>
      <c r="B27" s="5" t="s">
        <v>83</v>
      </c>
      <c r="C27" s="7">
        <v>4</v>
      </c>
      <c r="D27" s="7">
        <v>1</v>
      </c>
      <c r="E27" s="7">
        <v>10</v>
      </c>
      <c r="F27" s="7">
        <v>2</v>
      </c>
      <c r="G27" s="7">
        <v>248</v>
      </c>
      <c r="H27" t="s">
        <v>16</v>
      </c>
      <c r="I27" s="7">
        <v>248</v>
      </c>
      <c r="J27" s="7">
        <v>37.5</v>
      </c>
      <c r="K27">
        <v>-6</v>
      </c>
      <c r="M27" s="6">
        <v>37.299999999999997</v>
      </c>
      <c r="N27" s="6">
        <v>-3.9</v>
      </c>
      <c r="O27" s="6">
        <v>11</v>
      </c>
      <c r="P27" t="s">
        <v>86</v>
      </c>
    </row>
    <row r="28" spans="1:16" x14ac:dyDescent="0.25">
      <c r="A28" s="1" t="s">
        <v>285</v>
      </c>
      <c r="B28" s="1" t="s">
        <v>284</v>
      </c>
    </row>
    <row r="29" spans="1:16" x14ac:dyDescent="0.25">
      <c r="A29" s="1" t="s">
        <v>88</v>
      </c>
      <c r="B29" s="1" t="s">
        <v>282</v>
      </c>
      <c r="M29" s="1" t="s">
        <v>283</v>
      </c>
      <c r="O29" t="s">
        <v>87</v>
      </c>
    </row>
    <row r="30" spans="1:16" x14ac:dyDescent="0.25">
      <c r="A30" s="1" t="s">
        <v>83</v>
      </c>
      <c r="B30" s="5" t="s">
        <v>84</v>
      </c>
      <c r="C30">
        <v>5</v>
      </c>
      <c r="D30" s="7">
        <v>6</v>
      </c>
      <c r="E30">
        <v>15</v>
      </c>
      <c r="F30">
        <v>4</v>
      </c>
      <c r="G30" t="s">
        <v>16</v>
      </c>
      <c r="H30">
        <v>85</v>
      </c>
      <c r="I30">
        <v>265</v>
      </c>
      <c r="J30">
        <v>11.8</v>
      </c>
      <c r="K30">
        <v>-24</v>
      </c>
      <c r="M30">
        <v>10.8</v>
      </c>
      <c r="N30">
        <v>-4.8</v>
      </c>
      <c r="O30">
        <v>7.1</v>
      </c>
      <c r="P30" t="s">
        <v>113</v>
      </c>
    </row>
    <row r="31" spans="1:16" x14ac:dyDescent="0.25">
      <c r="A31" s="1" t="s">
        <v>84</v>
      </c>
      <c r="B31" s="5" t="s">
        <v>14</v>
      </c>
      <c r="C31">
        <v>2</v>
      </c>
      <c r="D31" s="7">
        <v>2.2999999999999998</v>
      </c>
      <c r="E31">
        <v>10</v>
      </c>
      <c r="F31">
        <v>4</v>
      </c>
      <c r="G31">
        <v>251</v>
      </c>
      <c r="H31" t="s">
        <v>16</v>
      </c>
      <c r="I31">
        <v>251</v>
      </c>
      <c r="J31">
        <v>36.799999999999997</v>
      </c>
      <c r="K31" t="s">
        <v>108</v>
      </c>
      <c r="M31">
        <v>36.6</v>
      </c>
      <c r="N31">
        <v>-2.2999999999999998</v>
      </c>
      <c r="O31">
        <v>2.2999999999999998</v>
      </c>
      <c r="P31" t="s">
        <v>114</v>
      </c>
    </row>
    <row r="32" spans="1:16" x14ac:dyDescent="0.25">
      <c r="A32" s="1" t="s">
        <v>39</v>
      </c>
      <c r="B32" s="5" t="s">
        <v>89</v>
      </c>
      <c r="C32">
        <v>1.5</v>
      </c>
      <c r="D32" s="7">
        <v>1.5</v>
      </c>
      <c r="E32">
        <v>2.5</v>
      </c>
      <c r="F32">
        <v>15</v>
      </c>
      <c r="G32" t="s">
        <v>16</v>
      </c>
      <c r="H32" t="s">
        <v>106</v>
      </c>
      <c r="I32" t="s">
        <v>107</v>
      </c>
      <c r="J32">
        <v>29</v>
      </c>
      <c r="K32" t="s">
        <v>108</v>
      </c>
      <c r="M32">
        <v>29</v>
      </c>
      <c r="N32" t="s">
        <v>16</v>
      </c>
      <c r="O32">
        <v>-24.6</v>
      </c>
      <c r="P32" t="s">
        <v>115</v>
      </c>
    </row>
    <row r="33" spans="1:16" x14ac:dyDescent="0.25">
      <c r="A33" s="1" t="s">
        <v>89</v>
      </c>
      <c r="B33" s="5" t="s">
        <v>90</v>
      </c>
      <c r="C33">
        <v>15</v>
      </c>
      <c r="D33" t="s">
        <v>16</v>
      </c>
      <c r="E33">
        <v>2</v>
      </c>
      <c r="F33">
        <v>4</v>
      </c>
      <c r="G33" t="s">
        <v>104</v>
      </c>
      <c r="H33" t="s">
        <v>16</v>
      </c>
      <c r="I33" t="s">
        <v>104</v>
      </c>
      <c r="J33">
        <v>33.799999999999997</v>
      </c>
      <c r="K33" t="s">
        <v>108</v>
      </c>
      <c r="M33">
        <v>33.799999999999997</v>
      </c>
      <c r="N33" t="s">
        <v>16</v>
      </c>
      <c r="O33">
        <v>-26.1</v>
      </c>
      <c r="P33" t="s">
        <v>116</v>
      </c>
    </row>
    <row r="34" spans="1:16" x14ac:dyDescent="0.25">
      <c r="A34" s="1" t="s">
        <v>90</v>
      </c>
      <c r="B34" s="5" t="s">
        <v>91</v>
      </c>
      <c r="C34">
        <v>4</v>
      </c>
      <c r="D34" t="s">
        <v>16</v>
      </c>
      <c r="E34">
        <v>0.5</v>
      </c>
      <c r="F34">
        <v>8</v>
      </c>
      <c r="G34" t="s">
        <v>105</v>
      </c>
      <c r="H34" t="s">
        <v>16</v>
      </c>
      <c r="I34" t="s">
        <v>105</v>
      </c>
      <c r="J34">
        <v>47</v>
      </c>
      <c r="K34" t="s">
        <v>108</v>
      </c>
      <c r="M34">
        <v>47</v>
      </c>
      <c r="N34" t="s">
        <v>16</v>
      </c>
      <c r="O34">
        <v>-26.1</v>
      </c>
      <c r="P34" t="s">
        <v>117</v>
      </c>
    </row>
    <row r="35" spans="1:16" x14ac:dyDescent="0.25">
      <c r="A35" s="1" t="s">
        <v>91</v>
      </c>
      <c r="B35" s="5" t="s">
        <v>92</v>
      </c>
      <c r="C35">
        <v>12</v>
      </c>
      <c r="D35" t="s">
        <v>16</v>
      </c>
      <c r="E35">
        <v>2</v>
      </c>
      <c r="F35">
        <v>10</v>
      </c>
      <c r="G35" t="s">
        <v>16</v>
      </c>
      <c r="H35">
        <v>354</v>
      </c>
      <c r="I35">
        <v>174</v>
      </c>
      <c r="J35">
        <v>83.5</v>
      </c>
      <c r="K35" t="s">
        <v>109</v>
      </c>
      <c r="M35">
        <v>83.5</v>
      </c>
      <c r="N35">
        <v>-0.7</v>
      </c>
      <c r="O35">
        <v>-26.1</v>
      </c>
      <c r="P35" t="s">
        <v>118</v>
      </c>
    </row>
    <row r="36" spans="1:16" x14ac:dyDescent="0.25">
      <c r="A36" s="1" t="s">
        <v>92</v>
      </c>
      <c r="C36" t="s">
        <v>102</v>
      </c>
      <c r="D36" t="s">
        <v>16</v>
      </c>
      <c r="E36">
        <v>4</v>
      </c>
      <c r="F36">
        <v>2</v>
      </c>
      <c r="O36">
        <v>-26.8</v>
      </c>
      <c r="P36" t="s">
        <v>119</v>
      </c>
    </row>
    <row r="37" spans="1:16" x14ac:dyDescent="0.25">
      <c r="A37" s="1" t="s">
        <v>38</v>
      </c>
      <c r="B37" t="s">
        <v>251</v>
      </c>
      <c r="C37" t="str">
        <f>"/"</f>
        <v>/</v>
      </c>
      <c r="D37" t="str">
        <f>"/"</f>
        <v>/</v>
      </c>
      <c r="E37" t="str">
        <f>"/"</f>
        <v>/</v>
      </c>
      <c r="F37" t="str">
        <f>"/"</f>
        <v>/</v>
      </c>
      <c r="G37">
        <v>19</v>
      </c>
      <c r="H37" t="s">
        <v>16</v>
      </c>
      <c r="I37">
        <v>19</v>
      </c>
      <c r="J37">
        <v>22.1</v>
      </c>
      <c r="K37">
        <v>20</v>
      </c>
      <c r="M37">
        <v>20.8</v>
      </c>
      <c r="N37">
        <v>7.6</v>
      </c>
      <c r="O37">
        <v>-22.9</v>
      </c>
    </row>
    <row r="38" spans="1:16" x14ac:dyDescent="0.25">
      <c r="A38" s="1" t="s">
        <v>251</v>
      </c>
      <c r="B38" t="s">
        <v>252</v>
      </c>
      <c r="C38">
        <v>1</v>
      </c>
      <c r="D38">
        <v>0.5</v>
      </c>
      <c r="E38">
        <v>8</v>
      </c>
      <c r="F38">
        <v>8</v>
      </c>
      <c r="G38">
        <v>315</v>
      </c>
      <c r="H38" t="s">
        <v>16</v>
      </c>
      <c r="I38">
        <v>315</v>
      </c>
      <c r="J38">
        <v>46</v>
      </c>
      <c r="K38">
        <v>-3</v>
      </c>
      <c r="M38">
        <v>45.9</v>
      </c>
      <c r="N38">
        <v>-2.4</v>
      </c>
      <c r="O38">
        <v>-15.3</v>
      </c>
      <c r="P38" t="s">
        <v>120</v>
      </c>
    </row>
    <row r="39" spans="1:16" x14ac:dyDescent="0.25">
      <c r="A39" s="1" t="s">
        <v>252</v>
      </c>
      <c r="B39" t="s">
        <v>253</v>
      </c>
      <c r="C39">
        <v>1</v>
      </c>
      <c r="D39">
        <v>2</v>
      </c>
      <c r="E39">
        <v>4</v>
      </c>
      <c r="F39">
        <v>4</v>
      </c>
      <c r="G39">
        <v>348</v>
      </c>
      <c r="H39" t="s">
        <v>16</v>
      </c>
      <c r="I39">
        <v>348</v>
      </c>
      <c r="J39">
        <v>32</v>
      </c>
      <c r="K39">
        <v>2</v>
      </c>
      <c r="M39">
        <v>32</v>
      </c>
      <c r="N39">
        <v>1.1000000000000001</v>
      </c>
      <c r="O39">
        <v>-17.7</v>
      </c>
      <c r="P39" t="s">
        <v>121</v>
      </c>
    </row>
    <row r="40" spans="1:16" x14ac:dyDescent="0.25">
      <c r="A40" s="1" t="s">
        <v>253</v>
      </c>
      <c r="B40" t="s">
        <v>254</v>
      </c>
      <c r="C40">
        <v>2</v>
      </c>
      <c r="D40">
        <v>1.5</v>
      </c>
      <c r="E40">
        <v>5</v>
      </c>
      <c r="F40">
        <v>2</v>
      </c>
      <c r="G40">
        <v>284</v>
      </c>
      <c r="H40" t="s">
        <v>16</v>
      </c>
      <c r="I40">
        <v>284</v>
      </c>
      <c r="J40">
        <v>27.3</v>
      </c>
      <c r="K40" t="s">
        <v>110</v>
      </c>
      <c r="M40">
        <v>27.3</v>
      </c>
      <c r="N40">
        <v>-4</v>
      </c>
      <c r="O40">
        <v>-16.600000000000001</v>
      </c>
      <c r="P40" t="s">
        <v>122</v>
      </c>
    </row>
    <row r="41" spans="1:16" x14ac:dyDescent="0.25">
      <c r="A41" s="1" t="s">
        <v>94</v>
      </c>
      <c r="B41" t="s">
        <v>95</v>
      </c>
      <c r="C41" t="str">
        <f t="shared" ref="C41:D47" si="0">"/"</f>
        <v>/</v>
      </c>
      <c r="D41">
        <v>1</v>
      </c>
      <c r="E41">
        <v>3</v>
      </c>
      <c r="F41" t="str">
        <f>"/"</f>
        <v>/</v>
      </c>
      <c r="G41">
        <v>83</v>
      </c>
      <c r="H41" t="s">
        <v>16</v>
      </c>
      <c r="I41">
        <v>83</v>
      </c>
      <c r="J41">
        <v>43</v>
      </c>
      <c r="K41">
        <v>15</v>
      </c>
      <c r="M41">
        <v>41.5</v>
      </c>
      <c r="N41">
        <v>11.1</v>
      </c>
      <c r="O41">
        <v>-4.5999999999999996</v>
      </c>
      <c r="P41" t="s">
        <v>123</v>
      </c>
    </row>
    <row r="42" spans="1:16" x14ac:dyDescent="0.25">
      <c r="A42" s="1" t="s">
        <v>95</v>
      </c>
      <c r="B42" t="s">
        <v>96</v>
      </c>
      <c r="C42" t="str">
        <f t="shared" si="0"/>
        <v>/</v>
      </c>
      <c r="D42">
        <v>2</v>
      </c>
      <c r="E42">
        <v>5</v>
      </c>
      <c r="F42">
        <v>7</v>
      </c>
      <c r="G42">
        <v>6</v>
      </c>
      <c r="H42" t="s">
        <v>16</v>
      </c>
      <c r="I42">
        <v>6</v>
      </c>
      <c r="J42">
        <v>20.7</v>
      </c>
      <c r="K42">
        <v>8</v>
      </c>
      <c r="M42">
        <v>20.5</v>
      </c>
      <c r="N42">
        <v>2.9</v>
      </c>
      <c r="O42">
        <v>6.5</v>
      </c>
    </row>
    <row r="43" spans="1:16" x14ac:dyDescent="0.25">
      <c r="A43" s="1" t="s">
        <v>96</v>
      </c>
      <c r="B43" t="s">
        <v>97</v>
      </c>
      <c r="C43" t="str">
        <f t="shared" si="0"/>
        <v>/</v>
      </c>
      <c r="D43">
        <v>1</v>
      </c>
      <c r="E43">
        <v>2</v>
      </c>
      <c r="F43">
        <v>3</v>
      </c>
      <c r="G43">
        <v>42</v>
      </c>
      <c r="H43" t="s">
        <v>16</v>
      </c>
      <c r="I43">
        <v>42</v>
      </c>
      <c r="J43">
        <v>11.3</v>
      </c>
      <c r="K43">
        <v>10</v>
      </c>
      <c r="M43">
        <v>11.1</v>
      </c>
      <c r="N43">
        <v>2</v>
      </c>
      <c r="O43" t="s">
        <v>111</v>
      </c>
    </row>
    <row r="44" spans="1:16" x14ac:dyDescent="0.25">
      <c r="A44" s="1" t="s">
        <v>97</v>
      </c>
      <c r="B44" t="s">
        <v>98</v>
      </c>
      <c r="C44" t="str">
        <f t="shared" si="0"/>
        <v>/</v>
      </c>
      <c r="D44">
        <v>0.5</v>
      </c>
      <c r="E44">
        <v>1</v>
      </c>
      <c r="F44" t="str">
        <f>"/"</f>
        <v>/</v>
      </c>
      <c r="G44">
        <v>139</v>
      </c>
      <c r="H44" t="s">
        <v>16</v>
      </c>
      <c r="I44">
        <v>139</v>
      </c>
      <c r="J44">
        <v>18.899999999999999</v>
      </c>
      <c r="K44" t="s">
        <v>44</v>
      </c>
      <c r="M44">
        <v>18.899999999999999</v>
      </c>
      <c r="N44" t="s">
        <v>16</v>
      </c>
      <c r="O44">
        <v>11.4</v>
      </c>
      <c r="P44" t="s">
        <v>124</v>
      </c>
    </row>
    <row r="45" spans="1:16" x14ac:dyDescent="0.25">
      <c r="A45" s="1" t="s">
        <v>97</v>
      </c>
      <c r="B45" t="s">
        <v>99</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99</v>
      </c>
      <c r="B46" t="s">
        <v>100</v>
      </c>
      <c r="C46" t="str">
        <f t="shared" si="0"/>
        <v>/</v>
      </c>
      <c r="D46" t="str">
        <f t="shared" si="0"/>
        <v>/</v>
      </c>
      <c r="E46">
        <v>1</v>
      </c>
      <c r="F46">
        <v>1</v>
      </c>
      <c r="G46">
        <v>319</v>
      </c>
      <c r="H46" t="s">
        <v>16</v>
      </c>
      <c r="I46">
        <v>319</v>
      </c>
      <c r="J46">
        <v>6.2</v>
      </c>
      <c r="K46" t="s">
        <v>44</v>
      </c>
      <c r="M46">
        <v>6.2</v>
      </c>
      <c r="N46" t="s">
        <v>16</v>
      </c>
      <c r="O46">
        <v>20.3</v>
      </c>
    </row>
    <row r="47" spans="1:16" x14ac:dyDescent="0.25">
      <c r="A47" s="1" t="s">
        <v>100</v>
      </c>
      <c r="B47" t="s">
        <v>101</v>
      </c>
      <c r="C47" t="str">
        <f t="shared" si="0"/>
        <v>/</v>
      </c>
      <c r="D47" t="str">
        <f t="shared" si="0"/>
        <v>/</v>
      </c>
      <c r="E47" t="str">
        <f>"/"</f>
        <v>/</v>
      </c>
      <c r="F47">
        <v>2</v>
      </c>
      <c r="G47">
        <v>237</v>
      </c>
      <c r="H47" t="s">
        <v>16</v>
      </c>
      <c r="I47">
        <v>237</v>
      </c>
      <c r="J47">
        <v>16</v>
      </c>
      <c r="K47">
        <v>65</v>
      </c>
      <c r="M47">
        <v>6.8</v>
      </c>
      <c r="N47">
        <v>14.5</v>
      </c>
      <c r="O47">
        <v>20.3</v>
      </c>
    </row>
    <row r="48" spans="1:16" x14ac:dyDescent="0.25">
      <c r="A48" s="1" t="s">
        <v>101</v>
      </c>
      <c r="B48" t="s">
        <v>93</v>
      </c>
      <c r="C48" t="s">
        <v>103</v>
      </c>
      <c r="D48">
        <v>1</v>
      </c>
      <c r="E48">
        <v>1</v>
      </c>
      <c r="F48">
        <v>1</v>
      </c>
      <c r="G48">
        <v>329</v>
      </c>
      <c r="H48" t="s">
        <v>16</v>
      </c>
      <c r="I48">
        <v>329</v>
      </c>
      <c r="J48">
        <v>46</v>
      </c>
      <c r="K48" t="s">
        <v>44</v>
      </c>
      <c r="M48">
        <v>46</v>
      </c>
      <c r="N48" t="s">
        <v>16</v>
      </c>
      <c r="O48">
        <v>34.799999999999997</v>
      </c>
      <c r="P48" t="s">
        <v>125</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112</v>
      </c>
      <c r="P51" t="s">
        <v>126</v>
      </c>
    </row>
    <row r="52" spans="1:16" x14ac:dyDescent="0.25">
      <c r="A52" s="1">
        <v>3</v>
      </c>
      <c r="B52">
        <v>4</v>
      </c>
      <c r="C52">
        <v>2</v>
      </c>
      <c r="D52">
        <v>1</v>
      </c>
      <c r="E52">
        <v>2</v>
      </c>
      <c r="F52">
        <v>2</v>
      </c>
      <c r="G52">
        <v>122</v>
      </c>
      <c r="H52" t="s">
        <v>16</v>
      </c>
      <c r="I52">
        <v>122</v>
      </c>
      <c r="J52">
        <v>16</v>
      </c>
      <c r="K52">
        <v>7</v>
      </c>
      <c r="M52">
        <v>15.9</v>
      </c>
      <c r="N52">
        <v>1.9</v>
      </c>
      <c r="O52">
        <v>22</v>
      </c>
      <c r="P52" t="s">
        <v>130</v>
      </c>
    </row>
    <row r="53" spans="1:16" x14ac:dyDescent="0.25">
      <c r="A53" s="1">
        <v>4</v>
      </c>
      <c r="B53">
        <v>5</v>
      </c>
      <c r="C53">
        <v>2</v>
      </c>
      <c r="D53">
        <v>1</v>
      </c>
      <c r="E53">
        <v>2</v>
      </c>
      <c r="F53">
        <v>4</v>
      </c>
      <c r="G53">
        <v>59</v>
      </c>
      <c r="H53" t="s">
        <v>16</v>
      </c>
      <c r="I53">
        <v>59</v>
      </c>
      <c r="J53">
        <v>18</v>
      </c>
      <c r="K53">
        <v>15</v>
      </c>
      <c r="M53">
        <v>17.399999999999999</v>
      </c>
      <c r="N53">
        <v>4.7</v>
      </c>
      <c r="O53">
        <v>26.9</v>
      </c>
      <c r="P53" t="s">
        <v>129</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127</v>
      </c>
      <c r="M61">
        <v>8.1999999999999993</v>
      </c>
      <c r="N61">
        <v>-2</v>
      </c>
      <c r="O61">
        <v>67</v>
      </c>
      <c r="P61" t="s">
        <v>131</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128</v>
      </c>
      <c r="M64">
        <v>12</v>
      </c>
      <c r="N64">
        <v>-3.5</v>
      </c>
      <c r="O64">
        <v>72.900000000000006</v>
      </c>
      <c r="P64" t="s">
        <v>132</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133</v>
      </c>
    </row>
    <row r="68" spans="1:16" x14ac:dyDescent="0.25">
      <c r="P68" t="s">
        <v>134</v>
      </c>
    </row>
    <row r="69" spans="1:16" x14ac:dyDescent="0.25">
      <c r="A69" s="1" t="s">
        <v>286</v>
      </c>
      <c r="B69" s="1" t="s">
        <v>287</v>
      </c>
    </row>
    <row r="70" spans="1:16" x14ac:dyDescent="0.25">
      <c r="A70" s="1" t="s">
        <v>135</v>
      </c>
    </row>
    <row r="71" spans="1:16" x14ac:dyDescent="0.25">
      <c r="A71" s="1" t="s">
        <v>82</v>
      </c>
      <c r="B71" t="s">
        <v>136</v>
      </c>
      <c r="C71" t="str">
        <f t="shared" ref="C71" si="7">"/"</f>
        <v>/</v>
      </c>
      <c r="D71">
        <v>2</v>
      </c>
      <c r="E71" t="str">
        <f t="shared" ref="E71:F71" si="8">"/"</f>
        <v>/</v>
      </c>
      <c r="F71" t="str">
        <f t="shared" si="8"/>
        <v>/</v>
      </c>
      <c r="G71" t="s">
        <v>16</v>
      </c>
      <c r="H71" t="s">
        <v>163</v>
      </c>
      <c r="I71" t="s">
        <v>175</v>
      </c>
      <c r="J71">
        <v>78.099999999999994</v>
      </c>
      <c r="K71" t="s">
        <v>182</v>
      </c>
      <c r="M71">
        <v>77.099999999999994</v>
      </c>
      <c r="N71">
        <v>12.9</v>
      </c>
      <c r="O71">
        <v>12</v>
      </c>
      <c r="P71" t="s">
        <v>258</v>
      </c>
    </row>
    <row r="72" spans="1:16" x14ac:dyDescent="0.25">
      <c r="A72" s="1" t="s">
        <v>136</v>
      </c>
      <c r="B72" t="s">
        <v>137</v>
      </c>
      <c r="C72">
        <v>25</v>
      </c>
      <c r="D72">
        <v>5</v>
      </c>
      <c r="E72">
        <v>8</v>
      </c>
      <c r="F72">
        <v>7</v>
      </c>
      <c r="G72" t="s">
        <v>164</v>
      </c>
      <c r="H72" t="s">
        <v>16</v>
      </c>
      <c r="I72" t="s">
        <v>164</v>
      </c>
      <c r="J72">
        <v>24.1</v>
      </c>
      <c r="K72" t="str">
        <f>"-5 30"</f>
        <v>-5 30</v>
      </c>
      <c r="M72">
        <v>24</v>
      </c>
      <c r="N72">
        <v>-2.2999999999999998</v>
      </c>
      <c r="O72">
        <v>24.9</v>
      </c>
      <c r="P72" t="s">
        <v>259</v>
      </c>
    </row>
    <row r="73" spans="1:16" x14ac:dyDescent="0.25">
      <c r="A73" s="1" t="s">
        <v>137</v>
      </c>
      <c r="B73" t="s">
        <v>138</v>
      </c>
      <c r="C73">
        <v>20</v>
      </c>
      <c r="D73">
        <v>5</v>
      </c>
      <c r="E73">
        <v>6</v>
      </c>
      <c r="F73">
        <v>0.5</v>
      </c>
      <c r="G73" t="s">
        <v>16</v>
      </c>
      <c r="H73" t="s">
        <v>165</v>
      </c>
      <c r="I73" t="s">
        <v>176</v>
      </c>
      <c r="J73">
        <v>29.2</v>
      </c>
      <c r="K73" t="s">
        <v>183</v>
      </c>
      <c r="M73">
        <v>29.2</v>
      </c>
      <c r="N73">
        <v>0.3</v>
      </c>
      <c r="O73">
        <v>22.6</v>
      </c>
      <c r="P73" t="s">
        <v>260</v>
      </c>
    </row>
    <row r="74" spans="1:16" x14ac:dyDescent="0.25">
      <c r="A74" s="1" t="s">
        <v>138</v>
      </c>
      <c r="B74" t="s">
        <v>139</v>
      </c>
      <c r="C74" t="s">
        <v>160</v>
      </c>
      <c r="D74">
        <v>2.5</v>
      </c>
      <c r="E74">
        <v>1</v>
      </c>
      <c r="F74">
        <v>7.2</v>
      </c>
      <c r="G74" t="s">
        <v>166</v>
      </c>
      <c r="H74" t="s">
        <v>16</v>
      </c>
      <c r="I74" t="s">
        <v>166</v>
      </c>
      <c r="J74">
        <v>10.6</v>
      </c>
      <c r="K74" t="s">
        <v>184</v>
      </c>
      <c r="M74">
        <v>9.8000000000000007</v>
      </c>
      <c r="N74">
        <v>4.0999999999999996</v>
      </c>
      <c r="O74">
        <v>22.9</v>
      </c>
      <c r="P74" t="s">
        <v>261</v>
      </c>
    </row>
    <row r="75" spans="1:16" x14ac:dyDescent="0.25">
      <c r="A75" s="1" t="s">
        <v>139</v>
      </c>
      <c r="B75" t="s">
        <v>140</v>
      </c>
      <c r="C75">
        <v>30</v>
      </c>
      <c r="D75">
        <v>5</v>
      </c>
      <c r="E75">
        <v>5</v>
      </c>
      <c r="F75">
        <v>2</v>
      </c>
      <c r="G75" t="s">
        <v>16</v>
      </c>
      <c r="H75" t="s">
        <v>167</v>
      </c>
      <c r="I75" t="s">
        <v>177</v>
      </c>
      <c r="J75">
        <v>48.3</v>
      </c>
      <c r="K75" t="s">
        <v>185</v>
      </c>
      <c r="M75">
        <v>47.6</v>
      </c>
      <c r="N75">
        <v>8.1</v>
      </c>
      <c r="O75">
        <v>27</v>
      </c>
      <c r="P75" t="s">
        <v>262</v>
      </c>
    </row>
    <row r="76" spans="1:16" x14ac:dyDescent="0.25">
      <c r="A76" s="1" t="s">
        <v>140</v>
      </c>
      <c r="B76" t="s">
        <v>141</v>
      </c>
      <c r="C76">
        <v>40</v>
      </c>
      <c r="D76" t="s">
        <v>162</v>
      </c>
      <c r="E76">
        <v>3</v>
      </c>
      <c r="F76">
        <v>4</v>
      </c>
      <c r="G76" t="s">
        <v>168</v>
      </c>
      <c r="H76" t="s">
        <v>16</v>
      </c>
      <c r="I76" t="s">
        <v>168</v>
      </c>
      <c r="J76">
        <v>17</v>
      </c>
      <c r="K76" t="s">
        <v>186</v>
      </c>
      <c r="M76">
        <v>16.7</v>
      </c>
      <c r="N76">
        <v>3</v>
      </c>
      <c r="O76">
        <v>35.1</v>
      </c>
      <c r="P76" t="s">
        <v>263</v>
      </c>
    </row>
    <row r="77" spans="1:16" x14ac:dyDescent="0.25">
      <c r="A77" s="1" t="s">
        <v>141</v>
      </c>
      <c r="B77" t="s">
        <v>142</v>
      </c>
      <c r="C77">
        <v>30</v>
      </c>
      <c r="D77">
        <v>5</v>
      </c>
      <c r="E77" t="s">
        <v>16</v>
      </c>
      <c r="F77">
        <v>3</v>
      </c>
      <c r="G77" t="s">
        <v>16</v>
      </c>
      <c r="H77" t="s">
        <v>169</v>
      </c>
      <c r="I77" t="s">
        <v>178</v>
      </c>
      <c r="J77">
        <v>20.2</v>
      </c>
      <c r="K77" t="s">
        <v>187</v>
      </c>
      <c r="M77">
        <v>20.2</v>
      </c>
      <c r="N77">
        <v>1.1000000000000001</v>
      </c>
      <c r="O77">
        <v>38.1</v>
      </c>
      <c r="P77" t="s">
        <v>264</v>
      </c>
    </row>
    <row r="78" spans="1:16" x14ac:dyDescent="0.25">
      <c r="A78" s="1" t="s">
        <v>142</v>
      </c>
      <c r="B78" t="s">
        <v>143</v>
      </c>
      <c r="C78">
        <v>30</v>
      </c>
      <c r="D78">
        <v>4</v>
      </c>
      <c r="E78">
        <v>4</v>
      </c>
      <c r="F78" t="str">
        <f t="shared" ref="F78" si="9">"/"</f>
        <v>/</v>
      </c>
      <c r="G78" t="s">
        <v>170</v>
      </c>
      <c r="H78" t="s">
        <v>16</v>
      </c>
      <c r="I78" t="s">
        <v>179</v>
      </c>
      <c r="J78">
        <v>10.1</v>
      </c>
      <c r="K78" t="s">
        <v>188</v>
      </c>
      <c r="M78">
        <v>9.9</v>
      </c>
      <c r="N78">
        <v>2</v>
      </c>
      <c r="O78">
        <v>39.200000000000003</v>
      </c>
    </row>
    <row r="79" spans="1:16" x14ac:dyDescent="0.25">
      <c r="A79" s="1" t="s">
        <v>143</v>
      </c>
      <c r="B79" t="s">
        <v>144</v>
      </c>
      <c r="C79">
        <v>30</v>
      </c>
      <c r="D79">
        <v>3</v>
      </c>
      <c r="E79">
        <v>6</v>
      </c>
      <c r="F79">
        <v>0</v>
      </c>
      <c r="G79" t="s">
        <v>16</v>
      </c>
      <c r="H79" t="s">
        <v>171</v>
      </c>
      <c r="I79" t="s">
        <v>180</v>
      </c>
      <c r="J79">
        <v>41.6</v>
      </c>
      <c r="K79" t="s">
        <v>189</v>
      </c>
      <c r="M79">
        <v>41.4</v>
      </c>
      <c r="N79">
        <v>3.5</v>
      </c>
      <c r="O79">
        <v>41.2</v>
      </c>
    </row>
    <row r="80" spans="1:16" x14ac:dyDescent="0.25">
      <c r="A80" s="1" t="s">
        <v>144</v>
      </c>
      <c r="B80" t="s">
        <v>145</v>
      </c>
      <c r="C80">
        <v>25</v>
      </c>
      <c r="D80">
        <v>3</v>
      </c>
      <c r="E80">
        <v>2</v>
      </c>
      <c r="F80">
        <v>3</v>
      </c>
      <c r="G80" t="s">
        <v>172</v>
      </c>
      <c r="H80" t="s">
        <v>16</v>
      </c>
      <c r="I80" t="s">
        <v>172</v>
      </c>
      <c r="J80">
        <v>34.200000000000003</v>
      </c>
      <c r="K80" t="s">
        <v>106</v>
      </c>
      <c r="M80">
        <v>34</v>
      </c>
      <c r="N80">
        <v>3.9</v>
      </c>
      <c r="O80">
        <v>44.7</v>
      </c>
    </row>
    <row r="81" spans="1:16" x14ac:dyDescent="0.25">
      <c r="A81" s="1" t="s">
        <v>145</v>
      </c>
      <c r="B81" t="s">
        <v>146</v>
      </c>
      <c r="C81">
        <v>10</v>
      </c>
      <c r="D81">
        <v>6</v>
      </c>
      <c r="E81">
        <v>1</v>
      </c>
      <c r="F81">
        <v>2.5</v>
      </c>
      <c r="G81" t="s">
        <v>16</v>
      </c>
      <c r="H81" t="s">
        <v>173</v>
      </c>
      <c r="I81" t="s">
        <v>181</v>
      </c>
      <c r="J81">
        <v>31.8</v>
      </c>
      <c r="K81" t="s">
        <v>190</v>
      </c>
      <c r="M81">
        <v>30.7</v>
      </c>
      <c r="N81">
        <v>8</v>
      </c>
      <c r="O81">
        <v>48.6</v>
      </c>
    </row>
    <row r="82" spans="1:16" x14ac:dyDescent="0.25">
      <c r="A82" s="1" t="s">
        <v>146</v>
      </c>
      <c r="B82" t="s">
        <v>147</v>
      </c>
      <c r="C82" t="s">
        <v>161</v>
      </c>
      <c r="D82">
        <v>10</v>
      </c>
      <c r="E82">
        <v>4</v>
      </c>
      <c r="F82">
        <v>3</v>
      </c>
      <c r="G82" t="s">
        <v>174</v>
      </c>
      <c r="H82" t="s">
        <v>16</v>
      </c>
      <c r="I82" t="s">
        <v>174</v>
      </c>
      <c r="J82">
        <v>11.3</v>
      </c>
      <c r="K82" t="str">
        <f>"-0 30"</f>
        <v>-0 30</v>
      </c>
      <c r="M82">
        <v>11.3</v>
      </c>
      <c r="N82">
        <v>-0.1</v>
      </c>
      <c r="O82">
        <v>56.6</v>
      </c>
      <c r="P82" t="s">
        <v>265</v>
      </c>
    </row>
    <row r="83" spans="1:16" x14ac:dyDescent="0.25">
      <c r="A83" s="1" t="s">
        <v>147</v>
      </c>
      <c r="O83">
        <v>56.5</v>
      </c>
      <c r="P83" t="s">
        <v>266</v>
      </c>
    </row>
    <row r="85" spans="1:16" x14ac:dyDescent="0.25">
      <c r="A85" s="1" t="s">
        <v>159</v>
      </c>
      <c r="B85" t="s">
        <v>191</v>
      </c>
    </row>
    <row r="86" spans="1:16" x14ac:dyDescent="0.25">
      <c r="A86" s="1" t="s">
        <v>147</v>
      </c>
      <c r="B86" t="s">
        <v>148</v>
      </c>
      <c r="C86">
        <v>8</v>
      </c>
      <c r="D86">
        <v>6</v>
      </c>
      <c r="E86">
        <v>6</v>
      </c>
      <c r="F86">
        <v>0</v>
      </c>
      <c r="G86" t="s">
        <v>16</v>
      </c>
      <c r="H86" t="s">
        <v>192</v>
      </c>
      <c r="I86" t="s">
        <v>204</v>
      </c>
      <c r="J86">
        <v>12.8</v>
      </c>
      <c r="K86" t="str">
        <f>"-4 30"</f>
        <v>-4 30</v>
      </c>
      <c r="M86">
        <v>12.8</v>
      </c>
      <c r="N86">
        <v>-1</v>
      </c>
      <c r="O86">
        <v>56.5</v>
      </c>
      <c r="P86" t="s">
        <v>267</v>
      </c>
    </row>
    <row r="87" spans="1:16" x14ac:dyDescent="0.25">
      <c r="A87" s="1" t="s">
        <v>148</v>
      </c>
      <c r="B87" t="s">
        <v>149</v>
      </c>
      <c r="C87">
        <v>12</v>
      </c>
      <c r="D87">
        <v>4</v>
      </c>
      <c r="E87">
        <v>2</v>
      </c>
      <c r="F87">
        <v>4</v>
      </c>
      <c r="G87" t="s">
        <v>193</v>
      </c>
      <c r="H87" t="s">
        <v>16</v>
      </c>
      <c r="I87" t="s">
        <v>193</v>
      </c>
      <c r="J87">
        <v>16.8</v>
      </c>
      <c r="K87" t="s">
        <v>210</v>
      </c>
      <c r="M87">
        <v>15.1</v>
      </c>
      <c r="N87">
        <v>7.4</v>
      </c>
      <c r="O87">
        <v>55.5</v>
      </c>
      <c r="P87" t="s">
        <v>268</v>
      </c>
    </row>
    <row r="88" spans="1:16" x14ac:dyDescent="0.25">
      <c r="A88" s="1" t="s">
        <v>149</v>
      </c>
      <c r="B88" t="s">
        <v>150</v>
      </c>
      <c r="C88">
        <v>8</v>
      </c>
      <c r="D88">
        <v>6</v>
      </c>
      <c r="E88">
        <v>1</v>
      </c>
      <c r="F88">
        <v>2</v>
      </c>
      <c r="G88" t="s">
        <v>16</v>
      </c>
      <c r="H88" t="s">
        <v>199</v>
      </c>
      <c r="I88" t="s">
        <v>205</v>
      </c>
      <c r="J88">
        <v>27.7</v>
      </c>
      <c r="K88" t="s">
        <v>211</v>
      </c>
      <c r="M88">
        <v>27.1</v>
      </c>
      <c r="N88">
        <v>5.8</v>
      </c>
      <c r="O88">
        <v>62.9</v>
      </c>
    </row>
    <row r="89" spans="1:16" x14ac:dyDescent="0.25">
      <c r="A89" s="1" t="s">
        <v>150</v>
      </c>
      <c r="B89" t="s">
        <v>151</v>
      </c>
      <c r="C89">
        <v>20</v>
      </c>
      <c r="D89">
        <v>4.5</v>
      </c>
      <c r="E89">
        <v>1</v>
      </c>
      <c r="F89">
        <v>3</v>
      </c>
      <c r="G89" t="s">
        <v>194</v>
      </c>
      <c r="H89" t="s">
        <v>16</v>
      </c>
      <c r="I89" t="s">
        <v>194</v>
      </c>
      <c r="J89">
        <v>23.2</v>
      </c>
      <c r="K89" t="s">
        <v>212</v>
      </c>
      <c r="M89">
        <v>22.8</v>
      </c>
      <c r="N89">
        <v>4.0999999999999996</v>
      </c>
      <c r="O89">
        <v>68.7</v>
      </c>
    </row>
    <row r="90" spans="1:16" x14ac:dyDescent="0.25">
      <c r="A90" s="1" t="s">
        <v>151</v>
      </c>
      <c r="B90" t="s">
        <v>152</v>
      </c>
      <c r="C90">
        <v>30</v>
      </c>
      <c r="D90">
        <v>6</v>
      </c>
      <c r="E90">
        <v>0</v>
      </c>
      <c r="F90">
        <v>4</v>
      </c>
      <c r="G90" t="s">
        <v>16</v>
      </c>
      <c r="H90" t="s">
        <v>200</v>
      </c>
      <c r="I90" t="s">
        <v>206</v>
      </c>
      <c r="J90">
        <v>10.7</v>
      </c>
      <c r="K90" t="str">
        <f>"-5 30"</f>
        <v>-5 30</v>
      </c>
      <c r="M90">
        <v>10.6</v>
      </c>
      <c r="N90">
        <v>-1</v>
      </c>
      <c r="O90">
        <v>72.8</v>
      </c>
    </row>
    <row r="91" spans="1:16" x14ac:dyDescent="0.25">
      <c r="A91" s="1" t="s">
        <v>152</v>
      </c>
      <c r="B91" t="s">
        <v>153</v>
      </c>
      <c r="C91">
        <v>30</v>
      </c>
      <c r="D91">
        <v>4</v>
      </c>
      <c r="E91" t="str">
        <f t="shared" ref="E91" si="10">"/"</f>
        <v>/</v>
      </c>
      <c r="F91">
        <v>2</v>
      </c>
      <c r="G91" t="s">
        <v>195</v>
      </c>
      <c r="H91" t="s">
        <v>16</v>
      </c>
      <c r="I91" t="s">
        <v>195</v>
      </c>
      <c r="J91">
        <v>26.5</v>
      </c>
      <c r="K91" t="s">
        <v>213</v>
      </c>
      <c r="M91">
        <v>23.3</v>
      </c>
      <c r="N91">
        <v>12.6</v>
      </c>
      <c r="O91">
        <v>71.8</v>
      </c>
    </row>
    <row r="92" spans="1:16" x14ac:dyDescent="0.25">
      <c r="A92" s="1" t="s">
        <v>153</v>
      </c>
      <c r="B92" t="s">
        <v>154</v>
      </c>
      <c r="C92">
        <v>30</v>
      </c>
      <c r="D92">
        <v>10</v>
      </c>
      <c r="E92">
        <v>6</v>
      </c>
      <c r="F92">
        <v>1</v>
      </c>
      <c r="G92" t="s">
        <v>16</v>
      </c>
      <c r="H92" t="s">
        <v>201</v>
      </c>
      <c r="I92" t="s">
        <v>207</v>
      </c>
      <c r="J92">
        <v>38.6</v>
      </c>
      <c r="K92" t="s">
        <v>212</v>
      </c>
      <c r="M92">
        <v>38</v>
      </c>
      <c r="N92">
        <v>7</v>
      </c>
      <c r="O92">
        <v>84.4</v>
      </c>
    </row>
    <row r="93" spans="1:16" x14ac:dyDescent="0.25">
      <c r="A93" s="1" t="s">
        <v>154</v>
      </c>
      <c r="B93" t="s">
        <v>155</v>
      </c>
      <c r="C93">
        <v>8</v>
      </c>
      <c r="D93">
        <v>13</v>
      </c>
      <c r="E93">
        <v>6</v>
      </c>
      <c r="F93">
        <v>1</v>
      </c>
      <c r="G93" t="s">
        <v>196</v>
      </c>
      <c r="H93" t="s">
        <v>16</v>
      </c>
      <c r="I93" t="s">
        <v>196</v>
      </c>
      <c r="J93">
        <v>23.3</v>
      </c>
      <c r="K93" t="str">
        <f>"-4 00"</f>
        <v>-4 00</v>
      </c>
      <c r="M93">
        <v>23.2</v>
      </c>
      <c r="N93">
        <v>-1.6</v>
      </c>
      <c r="O93">
        <v>91.4</v>
      </c>
    </row>
    <row r="94" spans="1:16" x14ac:dyDescent="0.25">
      <c r="A94" s="1" t="s">
        <v>155</v>
      </c>
      <c r="B94" t="s">
        <v>269</v>
      </c>
      <c r="C94">
        <v>25</v>
      </c>
      <c r="D94">
        <v>5</v>
      </c>
      <c r="E94">
        <v>2</v>
      </c>
      <c r="F94">
        <v>6</v>
      </c>
      <c r="G94" t="s">
        <v>16</v>
      </c>
      <c r="H94" t="s">
        <v>202</v>
      </c>
      <c r="I94" t="s">
        <v>208</v>
      </c>
      <c r="J94">
        <v>23.3</v>
      </c>
      <c r="K94" t="s">
        <v>214</v>
      </c>
      <c r="M94">
        <v>23</v>
      </c>
      <c r="N94">
        <v>3.6</v>
      </c>
      <c r="O94">
        <v>89.8</v>
      </c>
    </row>
    <row r="95" spans="1:16" x14ac:dyDescent="0.25">
      <c r="A95" s="1" t="s">
        <v>269</v>
      </c>
      <c r="B95" t="s">
        <v>157</v>
      </c>
      <c r="C95">
        <v>30</v>
      </c>
      <c r="D95">
        <v>1.5</v>
      </c>
      <c r="E95">
        <v>7</v>
      </c>
      <c r="F95">
        <v>8</v>
      </c>
      <c r="G95" t="s">
        <v>197</v>
      </c>
      <c r="H95" t="s">
        <v>16</v>
      </c>
      <c r="I95" t="s">
        <v>197</v>
      </c>
      <c r="J95">
        <v>24.1</v>
      </c>
      <c r="K95" t="s">
        <v>215</v>
      </c>
      <c r="M95">
        <v>21.4</v>
      </c>
      <c r="N95">
        <v>11.1</v>
      </c>
      <c r="O95">
        <v>93.4</v>
      </c>
      <c r="P95" t="s">
        <v>270</v>
      </c>
    </row>
    <row r="96" spans="1:16" x14ac:dyDescent="0.25">
      <c r="A96" s="1" t="s">
        <v>157</v>
      </c>
      <c r="B96" t="s">
        <v>158</v>
      </c>
      <c r="C96">
        <v>35</v>
      </c>
      <c r="D96">
        <v>6</v>
      </c>
      <c r="E96">
        <v>8</v>
      </c>
      <c r="F96">
        <v>2</v>
      </c>
      <c r="G96" t="s">
        <v>16</v>
      </c>
      <c r="H96" t="s">
        <v>203</v>
      </c>
      <c r="I96" t="s">
        <v>209</v>
      </c>
      <c r="J96">
        <v>14.6</v>
      </c>
      <c r="K96" t="s">
        <v>216</v>
      </c>
      <c r="M96">
        <v>13.4</v>
      </c>
      <c r="N96">
        <v>5.8</v>
      </c>
      <c r="O96">
        <v>104.5</v>
      </c>
    </row>
    <row r="97" spans="1:16" x14ac:dyDescent="0.25">
      <c r="A97" s="1" t="s">
        <v>158</v>
      </c>
      <c r="B97" t="s">
        <v>156</v>
      </c>
      <c r="C97">
        <v>15</v>
      </c>
      <c r="D97">
        <v>6</v>
      </c>
      <c r="E97">
        <v>10</v>
      </c>
      <c r="F97">
        <v>5</v>
      </c>
      <c r="G97" t="s">
        <v>198</v>
      </c>
      <c r="H97" t="s">
        <v>16</v>
      </c>
      <c r="I97" t="s">
        <v>198</v>
      </c>
      <c r="J97">
        <v>15</v>
      </c>
      <c r="K97" t="s">
        <v>217</v>
      </c>
      <c r="M97">
        <v>14.6</v>
      </c>
      <c r="N97">
        <v>3.5</v>
      </c>
      <c r="O97">
        <v>110.3</v>
      </c>
      <c r="P97" t="s">
        <v>271</v>
      </c>
    </row>
    <row r="98" spans="1:16" x14ac:dyDescent="0.25">
      <c r="A98" s="1" t="s">
        <v>156</v>
      </c>
      <c r="O98">
        <v>113.8</v>
      </c>
      <c r="P98" t="s">
        <v>272</v>
      </c>
    </row>
    <row r="100" spans="1:16" x14ac:dyDescent="0.25">
      <c r="A100" s="1" t="s">
        <v>218</v>
      </c>
      <c r="B100" t="s">
        <v>219</v>
      </c>
      <c r="C100" t="s">
        <v>220</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274</v>
      </c>
    </row>
    <row r="102" spans="1:16" x14ac:dyDescent="0.25">
      <c r="A102" s="1">
        <v>19</v>
      </c>
      <c r="B102">
        <v>20</v>
      </c>
      <c r="C102" t="str">
        <f t="shared" ref="C102" si="11">"/"</f>
        <v>/</v>
      </c>
      <c r="D102">
        <v>1</v>
      </c>
      <c r="E102">
        <v>3</v>
      </c>
      <c r="F102">
        <v>3</v>
      </c>
      <c r="G102" t="s">
        <v>16</v>
      </c>
      <c r="H102" t="s">
        <v>222</v>
      </c>
      <c r="I102" t="s">
        <v>237</v>
      </c>
      <c r="J102">
        <v>8</v>
      </c>
      <c r="K102" t="s">
        <v>245</v>
      </c>
      <c r="M102">
        <v>8</v>
      </c>
      <c r="N102">
        <v>0.1</v>
      </c>
      <c r="O102">
        <v>66.3</v>
      </c>
      <c r="P102" t="s">
        <v>275</v>
      </c>
    </row>
    <row r="103" spans="1:16" x14ac:dyDescent="0.25">
      <c r="A103" s="1">
        <v>20</v>
      </c>
      <c r="B103">
        <v>21</v>
      </c>
      <c r="C103">
        <v>3</v>
      </c>
      <c r="D103">
        <v>1</v>
      </c>
      <c r="E103">
        <v>3</v>
      </c>
      <c r="F103">
        <v>2</v>
      </c>
      <c r="G103" t="s">
        <v>223</v>
      </c>
      <c r="H103" t="s">
        <v>16</v>
      </c>
      <c r="I103" t="s">
        <v>223</v>
      </c>
      <c r="J103">
        <v>24.8</v>
      </c>
      <c r="K103" t="s">
        <v>246</v>
      </c>
      <c r="M103">
        <v>22.8</v>
      </c>
      <c r="N103">
        <v>9.6999999999999993</v>
      </c>
      <c r="O103">
        <v>66.400000000000006</v>
      </c>
    </row>
    <row r="104" spans="1:16" x14ac:dyDescent="0.25">
      <c r="A104" s="1">
        <v>21</v>
      </c>
      <c r="B104">
        <v>22</v>
      </c>
      <c r="C104">
        <v>1</v>
      </c>
      <c r="D104">
        <v>0.5</v>
      </c>
      <c r="E104">
        <v>1.5</v>
      </c>
      <c r="F104">
        <v>3</v>
      </c>
      <c r="G104" t="s">
        <v>16</v>
      </c>
      <c r="H104" t="s">
        <v>224</v>
      </c>
      <c r="I104" t="s">
        <v>238</v>
      </c>
      <c r="J104">
        <v>11.2</v>
      </c>
      <c r="K104" t="s">
        <v>247</v>
      </c>
      <c r="M104">
        <v>11</v>
      </c>
      <c r="N104">
        <v>1.9</v>
      </c>
      <c r="O104">
        <v>76.099999999999994</v>
      </c>
    </row>
    <row r="105" spans="1:16" x14ac:dyDescent="0.25">
      <c r="A105" s="1">
        <v>22</v>
      </c>
      <c r="B105">
        <v>23</v>
      </c>
      <c r="C105">
        <v>1</v>
      </c>
      <c r="D105">
        <v>1</v>
      </c>
      <c r="E105">
        <v>2</v>
      </c>
      <c r="F105">
        <v>3</v>
      </c>
      <c r="G105" t="s">
        <v>225</v>
      </c>
      <c r="H105" t="s">
        <v>16</v>
      </c>
      <c r="I105" t="s">
        <v>225</v>
      </c>
      <c r="J105">
        <v>25.5</v>
      </c>
      <c r="K105" t="str">
        <f>"-9 00"</f>
        <v>-9 00</v>
      </c>
      <c r="M105">
        <v>25.2</v>
      </c>
      <c r="N105">
        <v>-4</v>
      </c>
      <c r="O105">
        <v>78</v>
      </c>
    </row>
    <row r="106" spans="1:16" x14ac:dyDescent="0.25">
      <c r="A106" s="1">
        <v>23</v>
      </c>
      <c r="B106">
        <v>24</v>
      </c>
      <c r="C106">
        <v>1</v>
      </c>
      <c r="D106">
        <v>3</v>
      </c>
      <c r="E106">
        <v>5</v>
      </c>
      <c r="F106">
        <v>0</v>
      </c>
      <c r="G106" t="s">
        <v>16</v>
      </c>
      <c r="H106" t="s">
        <v>226</v>
      </c>
      <c r="I106" t="s">
        <v>239</v>
      </c>
      <c r="J106">
        <v>50.7</v>
      </c>
      <c r="K106" t="s">
        <v>248</v>
      </c>
      <c r="M106">
        <v>48.2</v>
      </c>
      <c r="N106">
        <v>15.6</v>
      </c>
      <c r="O106">
        <v>74</v>
      </c>
    </row>
    <row r="107" spans="1:16" x14ac:dyDescent="0.25">
      <c r="A107" s="1">
        <v>24</v>
      </c>
      <c r="B107">
        <v>25</v>
      </c>
      <c r="C107" t="s">
        <v>221</v>
      </c>
      <c r="D107">
        <v>1</v>
      </c>
      <c r="E107">
        <v>20</v>
      </c>
      <c r="F107">
        <v>20</v>
      </c>
      <c r="G107" t="s">
        <v>227</v>
      </c>
      <c r="H107" t="s">
        <v>16</v>
      </c>
      <c r="I107" t="s">
        <v>227</v>
      </c>
      <c r="J107">
        <v>14</v>
      </c>
      <c r="K107" t="str">
        <f>"-46 00"</f>
        <v>-46 00</v>
      </c>
      <c r="M107">
        <v>9.6999999999999993</v>
      </c>
      <c r="N107">
        <v>-10.1</v>
      </c>
      <c r="O107">
        <v>89.6</v>
      </c>
      <c r="P107" t="s">
        <v>276</v>
      </c>
    </row>
    <row r="108" spans="1:16" x14ac:dyDescent="0.25">
      <c r="A108" s="1">
        <v>25</v>
      </c>
      <c r="B108">
        <v>26</v>
      </c>
      <c r="C108" t="str">
        <f t="shared" ref="C108:F110" si="12">"/"</f>
        <v>/</v>
      </c>
      <c r="D108" t="str">
        <f t="shared" si="12"/>
        <v>/</v>
      </c>
      <c r="E108" t="str">
        <f t="shared" si="12"/>
        <v>/</v>
      </c>
      <c r="F108" t="str">
        <f t="shared" si="12"/>
        <v>/</v>
      </c>
      <c r="G108" t="s">
        <v>16</v>
      </c>
      <c r="H108" t="s">
        <v>228</v>
      </c>
      <c r="I108" t="s">
        <v>240</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229</v>
      </c>
      <c r="H109" t="s">
        <v>16</v>
      </c>
      <c r="I109" t="s">
        <v>229</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230</v>
      </c>
      <c r="I110" t="s">
        <v>241</v>
      </c>
      <c r="J110">
        <v>25.3</v>
      </c>
      <c r="K110" t="str">
        <f>"-24 30"</f>
        <v>-24 30</v>
      </c>
      <c r="M110">
        <v>23</v>
      </c>
      <c r="N110">
        <v>-10.5</v>
      </c>
      <c r="O110">
        <v>50.1</v>
      </c>
    </row>
    <row r="111" spans="1:16" x14ac:dyDescent="0.25">
      <c r="A111" s="1">
        <v>28</v>
      </c>
      <c r="B111">
        <v>29</v>
      </c>
      <c r="C111">
        <v>3</v>
      </c>
      <c r="D111">
        <v>1</v>
      </c>
      <c r="E111">
        <v>3</v>
      </c>
      <c r="F111">
        <v>4</v>
      </c>
      <c r="G111" t="s">
        <v>231</v>
      </c>
      <c r="H111" t="s">
        <v>16</v>
      </c>
      <c r="I111" t="s">
        <v>231</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232</v>
      </c>
      <c r="I112" t="s">
        <v>242</v>
      </c>
      <c r="J112">
        <v>13.7</v>
      </c>
      <c r="K112" t="str">
        <f>"-3 00"</f>
        <v>-3 00</v>
      </c>
      <c r="M112">
        <v>13.6</v>
      </c>
      <c r="N112">
        <v>-0.7</v>
      </c>
      <c r="O112">
        <v>19.3</v>
      </c>
    </row>
    <row r="113" spans="1:16" x14ac:dyDescent="0.25">
      <c r="A113" s="1">
        <v>30</v>
      </c>
      <c r="B113">
        <v>31</v>
      </c>
      <c r="C113">
        <v>2</v>
      </c>
      <c r="D113">
        <v>1</v>
      </c>
      <c r="E113">
        <v>5</v>
      </c>
      <c r="F113" t="str">
        <f t="shared" ref="F113" si="14">"/"</f>
        <v>/</v>
      </c>
      <c r="G113" t="s">
        <v>233</v>
      </c>
      <c r="H113" t="s">
        <v>16</v>
      </c>
      <c r="I113" t="s">
        <v>233</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181</v>
      </c>
      <c r="I114" t="s">
        <v>173</v>
      </c>
      <c r="J114">
        <v>11.2</v>
      </c>
      <c r="K114" t="s">
        <v>249</v>
      </c>
      <c r="M114">
        <v>11.1</v>
      </c>
      <c r="N114">
        <v>-1</v>
      </c>
      <c r="O114">
        <v>10.3</v>
      </c>
    </row>
    <row r="115" spans="1:16" x14ac:dyDescent="0.25">
      <c r="A115" s="1">
        <v>32</v>
      </c>
      <c r="B115">
        <v>33</v>
      </c>
      <c r="C115">
        <v>0.5</v>
      </c>
      <c r="D115">
        <v>0.5</v>
      </c>
      <c r="E115" t="str">
        <f t="shared" ref="E115:F117" si="15">"/"</f>
        <v>/</v>
      </c>
      <c r="F115">
        <v>1</v>
      </c>
      <c r="G115" t="s">
        <v>234</v>
      </c>
      <c r="H115" t="s">
        <v>16</v>
      </c>
      <c r="I115" t="s">
        <v>234</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235</v>
      </c>
      <c r="I116" t="s">
        <v>243</v>
      </c>
      <c r="J116">
        <v>17</v>
      </c>
      <c r="K116" t="s">
        <v>250</v>
      </c>
      <c r="M116">
        <v>16.8</v>
      </c>
      <c r="N116">
        <v>1</v>
      </c>
      <c r="O116">
        <v>7.1</v>
      </c>
    </row>
    <row r="117" spans="1:16" x14ac:dyDescent="0.25">
      <c r="A117" s="1">
        <v>34</v>
      </c>
      <c r="B117">
        <v>35</v>
      </c>
      <c r="C117">
        <v>3</v>
      </c>
      <c r="D117">
        <v>2</v>
      </c>
      <c r="E117">
        <v>2</v>
      </c>
      <c r="F117" t="str">
        <f t="shared" si="15"/>
        <v>/</v>
      </c>
      <c r="G117" t="s">
        <v>16</v>
      </c>
      <c r="H117" t="s">
        <v>236</v>
      </c>
      <c r="I117" t="s">
        <v>244</v>
      </c>
      <c r="J117">
        <v>13.9</v>
      </c>
      <c r="K117" t="str">
        <f>"-12 30"</f>
        <v>-12 30</v>
      </c>
      <c r="M117">
        <v>13.7</v>
      </c>
      <c r="N117">
        <v>-3</v>
      </c>
      <c r="O117">
        <v>8.1</v>
      </c>
      <c r="P117" t="s">
        <v>277</v>
      </c>
    </row>
    <row r="118" spans="1:16" x14ac:dyDescent="0.25">
      <c r="A118" s="1">
        <v>35</v>
      </c>
      <c r="O118">
        <v>5.0999999999999996</v>
      </c>
      <c r="P118" t="s">
        <v>273</v>
      </c>
    </row>
    <row r="119" spans="1:16" x14ac:dyDescent="0.25">
      <c r="A119">
        <v>35</v>
      </c>
      <c r="B119" t="s">
        <v>98</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395</v>
      </c>
      <c r="B122" s="1" t="s">
        <v>394</v>
      </c>
    </row>
    <row r="123" spans="1:16" x14ac:dyDescent="0.25">
      <c r="A123" s="1">
        <v>27</v>
      </c>
      <c r="B123">
        <v>36</v>
      </c>
      <c r="C123" s="7" t="s">
        <v>16</v>
      </c>
      <c r="D123" s="7" t="s">
        <v>16</v>
      </c>
      <c r="E123" s="7" t="s">
        <v>16</v>
      </c>
      <c r="F123" s="7" t="s">
        <v>16</v>
      </c>
      <c r="G123" s="7" t="s">
        <v>16</v>
      </c>
      <c r="H123" s="7" t="s">
        <v>16</v>
      </c>
      <c r="I123" s="7" t="s">
        <v>16</v>
      </c>
      <c r="J123" s="7">
        <v>6</v>
      </c>
      <c r="K123" s="7" t="s">
        <v>314</v>
      </c>
      <c r="M123" s="7" t="s">
        <v>16</v>
      </c>
      <c r="N123">
        <v>6</v>
      </c>
      <c r="O123">
        <v>50.1</v>
      </c>
      <c r="P123" t="s">
        <v>383</v>
      </c>
    </row>
    <row r="124" spans="1:16" x14ac:dyDescent="0.25">
      <c r="A124" s="1">
        <v>36</v>
      </c>
      <c r="B124">
        <v>37</v>
      </c>
      <c r="C124" s="7">
        <v>3</v>
      </c>
      <c r="D124" s="7">
        <v>1</v>
      </c>
      <c r="E124" s="7">
        <v>4</v>
      </c>
      <c r="F124" s="7">
        <v>4</v>
      </c>
      <c r="G124" s="7" t="s">
        <v>16</v>
      </c>
      <c r="H124" s="7" t="s">
        <v>290</v>
      </c>
      <c r="I124" s="7" t="s">
        <v>306</v>
      </c>
      <c r="J124" s="7">
        <v>29.4</v>
      </c>
      <c r="K124" s="7" t="s">
        <v>313</v>
      </c>
      <c r="M124">
        <v>28.6</v>
      </c>
      <c r="N124">
        <v>6.4</v>
      </c>
      <c r="O124">
        <v>56.1</v>
      </c>
    </row>
    <row r="125" spans="1:16" x14ac:dyDescent="0.25">
      <c r="A125" s="1">
        <v>37</v>
      </c>
      <c r="B125">
        <v>38</v>
      </c>
      <c r="C125" s="7">
        <v>1</v>
      </c>
      <c r="D125" s="7">
        <v>3</v>
      </c>
      <c r="E125" s="7">
        <v>4</v>
      </c>
      <c r="F125" s="7">
        <v>1</v>
      </c>
      <c r="G125" s="7" t="s">
        <v>291</v>
      </c>
      <c r="H125" s="7" t="s">
        <v>16</v>
      </c>
      <c r="I125" s="7" t="s">
        <v>291</v>
      </c>
      <c r="J125" s="7">
        <v>12.1</v>
      </c>
      <c r="K125" s="7" t="str">
        <f>"-38 00"</f>
        <v>-38 00</v>
      </c>
      <c r="M125">
        <v>9.5</v>
      </c>
      <c r="N125">
        <v>-7.4</v>
      </c>
      <c r="O125">
        <v>62.5</v>
      </c>
      <c r="P125" t="s">
        <v>384</v>
      </c>
    </row>
    <row r="126" spans="1:16" x14ac:dyDescent="0.25">
      <c r="A126" s="1">
        <v>38</v>
      </c>
      <c r="B126">
        <v>39</v>
      </c>
      <c r="C126" s="7">
        <v>1</v>
      </c>
      <c r="D126" s="7">
        <v>0.5</v>
      </c>
      <c r="E126" s="7">
        <v>1</v>
      </c>
      <c r="F126" s="7">
        <v>4</v>
      </c>
      <c r="G126" s="7" t="s">
        <v>16</v>
      </c>
      <c r="H126" s="7" t="s">
        <v>292</v>
      </c>
      <c r="I126" s="7" t="s">
        <v>307</v>
      </c>
      <c r="J126" s="7">
        <v>30.2</v>
      </c>
      <c r="K126" s="7" t="s">
        <v>315</v>
      </c>
      <c r="M126">
        <v>28.9</v>
      </c>
      <c r="N126">
        <v>8.6</v>
      </c>
      <c r="O126">
        <v>55.1</v>
      </c>
    </row>
    <row r="127" spans="1:16" x14ac:dyDescent="0.25">
      <c r="A127" s="1">
        <v>39</v>
      </c>
      <c r="B127">
        <v>40</v>
      </c>
      <c r="C127" s="7">
        <v>2</v>
      </c>
      <c r="D127" s="7">
        <v>2</v>
      </c>
      <c r="E127" s="7">
        <v>3</v>
      </c>
      <c r="F127" s="7">
        <v>4</v>
      </c>
      <c r="G127" s="7" t="s">
        <v>293</v>
      </c>
      <c r="H127" s="7" t="s">
        <v>16</v>
      </c>
      <c r="I127" s="7" t="s">
        <v>293</v>
      </c>
      <c r="J127" s="7">
        <v>15</v>
      </c>
      <c r="K127" s="7" t="s">
        <v>316</v>
      </c>
      <c r="M127">
        <v>13.4</v>
      </c>
      <c r="N127">
        <v>6.8</v>
      </c>
      <c r="O127">
        <v>63.7</v>
      </c>
    </row>
    <row r="128" spans="1:16" x14ac:dyDescent="0.25">
      <c r="A128" s="1">
        <v>40</v>
      </c>
      <c r="B128">
        <v>41</v>
      </c>
      <c r="C128" s="7">
        <v>2</v>
      </c>
      <c r="D128" s="7">
        <v>2</v>
      </c>
      <c r="E128" s="7">
        <v>6</v>
      </c>
      <c r="F128" s="7">
        <v>2</v>
      </c>
      <c r="G128" s="7" t="s">
        <v>16</v>
      </c>
      <c r="H128" s="7" t="s">
        <v>294</v>
      </c>
      <c r="I128" s="7" t="s">
        <v>308</v>
      </c>
      <c r="J128" s="7">
        <v>24.4</v>
      </c>
      <c r="K128" s="7" t="s">
        <v>217</v>
      </c>
      <c r="M128">
        <v>23.7</v>
      </c>
      <c r="N128">
        <v>5.7</v>
      </c>
      <c r="O128">
        <v>70.599999999999994</v>
      </c>
    </row>
    <row r="129" spans="1:16" x14ac:dyDescent="0.25">
      <c r="A129" s="1">
        <v>41</v>
      </c>
      <c r="B129">
        <v>42</v>
      </c>
      <c r="C129" s="7">
        <v>3</v>
      </c>
      <c r="D129" s="7">
        <v>2</v>
      </c>
      <c r="E129" s="7">
        <v>2</v>
      </c>
      <c r="F129" s="7">
        <v>6</v>
      </c>
      <c r="G129" s="7" t="s">
        <v>295</v>
      </c>
      <c r="H129" s="7" t="s">
        <v>16</v>
      </c>
      <c r="I129" s="7" t="s">
        <v>295</v>
      </c>
      <c r="J129" s="7">
        <v>19.5</v>
      </c>
      <c r="K129" s="7" t="s">
        <v>212</v>
      </c>
      <c r="M129">
        <v>19.2</v>
      </c>
      <c r="N129">
        <v>3.5</v>
      </c>
      <c r="O129">
        <v>76.3</v>
      </c>
    </row>
    <row r="130" spans="1:16" x14ac:dyDescent="0.25">
      <c r="A130" s="1">
        <v>42</v>
      </c>
      <c r="B130">
        <v>43</v>
      </c>
      <c r="C130" s="7">
        <v>2</v>
      </c>
      <c r="D130" s="7">
        <v>0.5</v>
      </c>
      <c r="E130" s="7">
        <v>2</v>
      </c>
      <c r="F130" s="7">
        <v>1</v>
      </c>
      <c r="G130" s="7" t="s">
        <v>16</v>
      </c>
      <c r="H130" s="7" t="s">
        <v>296</v>
      </c>
      <c r="I130" s="7" t="s">
        <v>309</v>
      </c>
      <c r="J130" s="7">
        <v>14.8</v>
      </c>
      <c r="K130" s="7" t="s">
        <v>190</v>
      </c>
      <c r="M130">
        <v>14.3</v>
      </c>
      <c r="N130">
        <v>3.7</v>
      </c>
      <c r="O130">
        <v>79.900000000000006</v>
      </c>
    </row>
    <row r="131" spans="1:16" x14ac:dyDescent="0.25">
      <c r="A131" s="1">
        <v>43</v>
      </c>
      <c r="B131">
        <v>44</v>
      </c>
      <c r="C131" s="7">
        <v>2</v>
      </c>
      <c r="D131" s="7">
        <v>2</v>
      </c>
      <c r="E131" s="7">
        <v>2</v>
      </c>
      <c r="F131" s="7">
        <v>7</v>
      </c>
      <c r="G131" s="7" t="s">
        <v>297</v>
      </c>
      <c r="H131" s="7" t="s">
        <v>16</v>
      </c>
      <c r="I131" s="7" t="s">
        <v>297</v>
      </c>
      <c r="J131" s="7">
        <v>49.3</v>
      </c>
      <c r="K131" s="7" t="s">
        <v>246</v>
      </c>
      <c r="M131">
        <v>45.4</v>
      </c>
      <c r="N131">
        <v>19.2</v>
      </c>
      <c r="O131">
        <v>83.6</v>
      </c>
    </row>
    <row r="132" spans="1:16" x14ac:dyDescent="0.25">
      <c r="A132" s="1">
        <v>44</v>
      </c>
      <c r="B132">
        <v>45</v>
      </c>
      <c r="C132" s="7">
        <v>7</v>
      </c>
      <c r="D132" s="7">
        <v>3</v>
      </c>
      <c r="E132" s="7">
        <v>0</v>
      </c>
      <c r="F132" s="7">
        <v>4</v>
      </c>
      <c r="G132" s="7" t="s">
        <v>16</v>
      </c>
      <c r="H132" s="7" t="s">
        <v>298</v>
      </c>
      <c r="I132" s="7" t="s">
        <v>310</v>
      </c>
      <c r="J132" s="7">
        <v>7.3</v>
      </c>
      <c r="K132" s="7" t="s">
        <v>317</v>
      </c>
      <c r="M132">
        <v>7.3</v>
      </c>
      <c r="N132">
        <v>0.8</v>
      </c>
      <c r="O132">
        <v>103</v>
      </c>
    </row>
    <row r="133" spans="1:16" x14ac:dyDescent="0.25">
      <c r="A133" s="1">
        <v>45</v>
      </c>
      <c r="B133">
        <v>46</v>
      </c>
      <c r="C133" s="7">
        <v>7</v>
      </c>
      <c r="D133" s="7">
        <v>4</v>
      </c>
      <c r="E133" s="7">
        <v>2</v>
      </c>
      <c r="F133" s="7">
        <v>0.5</v>
      </c>
      <c r="G133" s="7" t="s">
        <v>299</v>
      </c>
      <c r="H133" s="7" t="s">
        <v>16</v>
      </c>
      <c r="I133" s="7" t="s">
        <v>299</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385</v>
      </c>
    </row>
    <row r="135" spans="1:16" x14ac:dyDescent="0.25">
      <c r="A135" s="1">
        <v>47</v>
      </c>
      <c r="B135">
        <v>48</v>
      </c>
      <c r="C135" s="7" t="s">
        <v>289</v>
      </c>
      <c r="D135" s="7">
        <v>2</v>
      </c>
      <c r="E135" s="7">
        <v>7</v>
      </c>
      <c r="F135" s="7">
        <v>5</v>
      </c>
      <c r="G135" s="7" t="s">
        <v>16</v>
      </c>
      <c r="H135" s="7" t="s">
        <v>300</v>
      </c>
      <c r="I135" s="7" t="s">
        <v>198</v>
      </c>
      <c r="J135" s="7">
        <v>23.6</v>
      </c>
      <c r="K135" s="7" t="s">
        <v>318</v>
      </c>
      <c r="M135">
        <v>23.4</v>
      </c>
      <c r="N135">
        <v>3.3</v>
      </c>
      <c r="O135">
        <v>60.6</v>
      </c>
    </row>
    <row r="136" spans="1:16" x14ac:dyDescent="0.25">
      <c r="A136" s="1">
        <v>48</v>
      </c>
      <c r="B136">
        <v>49</v>
      </c>
      <c r="C136" s="7">
        <v>20</v>
      </c>
      <c r="D136" s="7">
        <v>3</v>
      </c>
      <c r="E136" s="7">
        <v>4</v>
      </c>
      <c r="F136" s="7">
        <v>3</v>
      </c>
      <c r="G136" s="7" t="s">
        <v>301</v>
      </c>
      <c r="H136" s="7" t="s">
        <v>16</v>
      </c>
      <c r="I136" s="7" t="s">
        <v>301</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302</v>
      </c>
      <c r="I137" s="7" t="s">
        <v>311</v>
      </c>
      <c r="J137" s="7">
        <v>23.5</v>
      </c>
      <c r="K137" s="7" t="str">
        <f>"-5 00"</f>
        <v>-5 00</v>
      </c>
      <c r="M137">
        <v>23.4</v>
      </c>
      <c r="N137">
        <v>-2.7</v>
      </c>
      <c r="O137">
        <v>48.5</v>
      </c>
    </row>
    <row r="138" spans="1:16" x14ac:dyDescent="0.25">
      <c r="A138" s="1">
        <v>50</v>
      </c>
      <c r="B138">
        <v>51</v>
      </c>
      <c r="C138" s="7">
        <v>10</v>
      </c>
      <c r="D138" s="7">
        <v>2</v>
      </c>
      <c r="E138" s="7">
        <v>2</v>
      </c>
      <c r="F138" s="7">
        <v>3</v>
      </c>
      <c r="G138" s="7" t="s">
        <v>303</v>
      </c>
      <c r="H138" s="7" t="s">
        <v>16</v>
      </c>
      <c r="I138" s="7" t="s">
        <v>303</v>
      </c>
      <c r="J138" s="7">
        <v>16.899999999999999</v>
      </c>
      <c r="K138" s="7" t="str">
        <f>"-17 30"</f>
        <v>-17 30</v>
      </c>
      <c r="M138">
        <v>16.100000000000001</v>
      </c>
      <c r="N138">
        <v>-5.0999999999999996</v>
      </c>
      <c r="O138">
        <v>45.9</v>
      </c>
      <c r="P138" t="s">
        <v>386</v>
      </c>
    </row>
    <row r="139" spans="1:16" x14ac:dyDescent="0.25">
      <c r="A139" s="1">
        <v>51</v>
      </c>
      <c r="B139">
        <v>52</v>
      </c>
      <c r="C139" s="7">
        <v>3</v>
      </c>
      <c r="D139" s="7">
        <v>4</v>
      </c>
      <c r="E139" s="7">
        <v>0</v>
      </c>
      <c r="F139" s="7">
        <v>4</v>
      </c>
      <c r="G139" s="7" t="s">
        <v>16</v>
      </c>
      <c r="H139" s="7" t="s">
        <v>304</v>
      </c>
      <c r="I139" s="7" t="s">
        <v>312</v>
      </c>
      <c r="J139" s="7">
        <v>49.5</v>
      </c>
      <c r="K139" s="7" t="str">
        <f>"-20 30"</f>
        <v>-20 30</v>
      </c>
      <c r="M139">
        <v>46.4</v>
      </c>
      <c r="N139">
        <v>-17.3</v>
      </c>
      <c r="O139">
        <v>40.9</v>
      </c>
    </row>
    <row r="140" spans="1:16" x14ac:dyDescent="0.25">
      <c r="A140" s="1">
        <v>52</v>
      </c>
      <c r="B140">
        <v>53</v>
      </c>
      <c r="C140" s="7">
        <v>3</v>
      </c>
      <c r="D140" s="7">
        <v>2</v>
      </c>
      <c r="E140" s="7">
        <v>5</v>
      </c>
      <c r="F140" s="7">
        <v>3</v>
      </c>
      <c r="G140" s="7" t="s">
        <v>305</v>
      </c>
      <c r="H140" s="7" t="s">
        <v>16</v>
      </c>
      <c r="I140" s="7" t="s">
        <v>305</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237</v>
      </c>
      <c r="H141" s="7" t="s">
        <v>16</v>
      </c>
      <c r="I141" s="7" t="s">
        <v>237</v>
      </c>
      <c r="J141" s="7">
        <v>14.2</v>
      </c>
      <c r="K141" s="7" t="s">
        <v>128</v>
      </c>
      <c r="M141">
        <v>13.3</v>
      </c>
      <c r="N141">
        <v>-3.5</v>
      </c>
      <c r="O141">
        <v>13.2</v>
      </c>
      <c r="P141" t="s">
        <v>387</v>
      </c>
    </row>
    <row r="142" spans="1:16" x14ac:dyDescent="0.25">
      <c r="A142" s="1">
        <v>54</v>
      </c>
      <c r="O142">
        <v>10</v>
      </c>
      <c r="P142" t="s">
        <v>388</v>
      </c>
    </row>
    <row r="144" spans="1:16" x14ac:dyDescent="0.25">
      <c r="A144" s="1" t="s">
        <v>319</v>
      </c>
      <c r="B144" s="1" t="s">
        <v>320</v>
      </c>
      <c r="C144" s="1" t="s">
        <v>321</v>
      </c>
    </row>
    <row r="145" spans="1:16" x14ac:dyDescent="0.25">
      <c r="A145" s="1" t="s">
        <v>322</v>
      </c>
      <c r="B145" t="s">
        <v>323</v>
      </c>
      <c r="C145">
        <v>3</v>
      </c>
      <c r="D145">
        <v>2</v>
      </c>
      <c r="E145">
        <v>2</v>
      </c>
      <c r="F145">
        <v>1</v>
      </c>
      <c r="G145" t="s">
        <v>16</v>
      </c>
      <c r="H145" t="s">
        <v>356</v>
      </c>
      <c r="I145" t="s">
        <v>363</v>
      </c>
      <c r="J145">
        <v>12</v>
      </c>
      <c r="K145" t="str">
        <f>"-6 00"</f>
        <v>-6 00</v>
      </c>
      <c r="M145">
        <v>11.9</v>
      </c>
      <c r="N145">
        <v>-1.3</v>
      </c>
      <c r="O145">
        <v>367.1</v>
      </c>
      <c r="P145" t="s">
        <v>389</v>
      </c>
    </row>
    <row r="146" spans="1:16" x14ac:dyDescent="0.25">
      <c r="A146" s="1" t="s">
        <v>323</v>
      </c>
      <c r="B146" t="s">
        <v>324</v>
      </c>
      <c r="C146">
        <v>1</v>
      </c>
      <c r="D146">
        <v>1</v>
      </c>
      <c r="E146">
        <v>8</v>
      </c>
      <c r="F146">
        <v>6</v>
      </c>
      <c r="G146" t="s">
        <v>291</v>
      </c>
      <c r="H146" t="s">
        <v>16</v>
      </c>
      <c r="I146" t="s">
        <v>291</v>
      </c>
      <c r="J146">
        <v>3</v>
      </c>
      <c r="K146" t="str">
        <f>"-6 00"</f>
        <v>-6 00</v>
      </c>
      <c r="M146">
        <v>3</v>
      </c>
      <c r="N146">
        <v>-0.3</v>
      </c>
      <c r="O146">
        <v>365.8</v>
      </c>
    </row>
    <row r="147" spans="1:16" x14ac:dyDescent="0.25">
      <c r="A147" s="1" t="s">
        <v>324</v>
      </c>
      <c r="B147" t="s">
        <v>325</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390</v>
      </c>
    </row>
    <row r="148" spans="1:16" x14ac:dyDescent="0.25">
      <c r="A148" s="1" t="s">
        <v>325</v>
      </c>
      <c r="B148" t="s">
        <v>326</v>
      </c>
      <c r="C148">
        <v>5</v>
      </c>
      <c r="D148" t="s">
        <v>16</v>
      </c>
      <c r="E148">
        <v>3</v>
      </c>
      <c r="F148">
        <v>2</v>
      </c>
      <c r="G148" t="s">
        <v>16</v>
      </c>
      <c r="H148" t="s">
        <v>357</v>
      </c>
      <c r="I148" t="s">
        <v>364</v>
      </c>
      <c r="J148">
        <v>17.5</v>
      </c>
      <c r="K148" t="s">
        <v>318</v>
      </c>
      <c r="M148">
        <v>17.3</v>
      </c>
      <c r="N148">
        <v>2.4</v>
      </c>
      <c r="O148">
        <v>359.5</v>
      </c>
    </row>
    <row r="149" spans="1:16" x14ac:dyDescent="0.25">
      <c r="A149" s="1" t="s">
        <v>326</v>
      </c>
      <c r="B149" t="s">
        <v>327</v>
      </c>
      <c r="C149">
        <v>3</v>
      </c>
      <c r="D149">
        <v>4</v>
      </c>
      <c r="E149">
        <v>2</v>
      </c>
      <c r="F149">
        <v>1</v>
      </c>
      <c r="G149" t="s">
        <v>350</v>
      </c>
      <c r="H149" t="s">
        <v>16</v>
      </c>
      <c r="I149" t="s">
        <v>350</v>
      </c>
      <c r="J149">
        <v>4.9000000000000004</v>
      </c>
      <c r="K149" t="s">
        <v>371</v>
      </c>
      <c r="M149">
        <v>4.9000000000000004</v>
      </c>
      <c r="N149">
        <v>0.5</v>
      </c>
      <c r="O149">
        <v>361.9</v>
      </c>
    </row>
    <row r="150" spans="1:16" x14ac:dyDescent="0.25">
      <c r="A150" s="1" t="s">
        <v>327</v>
      </c>
      <c r="B150" t="s">
        <v>328</v>
      </c>
      <c r="C150">
        <v>15</v>
      </c>
      <c r="D150">
        <v>3</v>
      </c>
      <c r="E150">
        <v>2</v>
      </c>
      <c r="F150">
        <v>2</v>
      </c>
      <c r="G150" t="s">
        <v>16</v>
      </c>
      <c r="H150" t="s">
        <v>358</v>
      </c>
      <c r="I150" t="s">
        <v>365</v>
      </c>
      <c r="J150">
        <v>23.5</v>
      </c>
      <c r="K150" t="str">
        <f>"-12 00"</f>
        <v>-12 00</v>
      </c>
      <c r="M150">
        <v>23</v>
      </c>
      <c r="N150">
        <v>-4.9000000000000004</v>
      </c>
      <c r="O150">
        <v>362.4</v>
      </c>
    </row>
    <row r="151" spans="1:16" x14ac:dyDescent="0.25">
      <c r="A151" s="1" t="s">
        <v>328</v>
      </c>
      <c r="B151" t="s">
        <v>329</v>
      </c>
      <c r="C151">
        <v>2</v>
      </c>
      <c r="D151">
        <v>3</v>
      </c>
      <c r="E151" s="7" t="str">
        <f t="shared" ref="E151" si="19">"/"</f>
        <v>/</v>
      </c>
      <c r="F151">
        <v>3</v>
      </c>
      <c r="G151" t="s">
        <v>351</v>
      </c>
      <c r="H151" t="s">
        <v>16</v>
      </c>
      <c r="I151" t="s">
        <v>351</v>
      </c>
      <c r="J151">
        <v>8.1999999999999993</v>
      </c>
      <c r="K151" t="str">
        <f>"-21 00"</f>
        <v>-21 00</v>
      </c>
      <c r="M151">
        <v>7.6</v>
      </c>
      <c r="N151">
        <v>-3</v>
      </c>
      <c r="O151">
        <v>357.5</v>
      </c>
    </row>
    <row r="152" spans="1:16" x14ac:dyDescent="0.25">
      <c r="A152" s="1" t="s">
        <v>329</v>
      </c>
      <c r="B152" t="s">
        <v>330</v>
      </c>
      <c r="C152">
        <v>1</v>
      </c>
      <c r="D152">
        <v>3</v>
      </c>
      <c r="E152" t="s">
        <v>16</v>
      </c>
      <c r="F152">
        <v>2</v>
      </c>
      <c r="G152" t="s">
        <v>16</v>
      </c>
      <c r="H152" t="s">
        <v>359</v>
      </c>
      <c r="I152" t="s">
        <v>366</v>
      </c>
      <c r="J152">
        <v>9</v>
      </c>
      <c r="K152" t="str">
        <f>"-17 00"</f>
        <v>-17 00</v>
      </c>
      <c r="M152">
        <v>8.6</v>
      </c>
      <c r="N152">
        <v>-2.6</v>
      </c>
      <c r="O152">
        <v>354.5</v>
      </c>
      <c r="P152" t="s">
        <v>391</v>
      </c>
    </row>
    <row r="153" spans="1:16" x14ac:dyDescent="0.25">
      <c r="A153" s="1" t="s">
        <v>330</v>
      </c>
      <c r="B153" t="s">
        <v>331</v>
      </c>
      <c r="C153" t="s">
        <v>16</v>
      </c>
      <c r="D153">
        <v>3</v>
      </c>
      <c r="E153">
        <v>3</v>
      </c>
      <c r="F153">
        <v>3</v>
      </c>
      <c r="G153" t="s">
        <v>16</v>
      </c>
      <c r="H153" t="s">
        <v>16</v>
      </c>
      <c r="I153" t="s">
        <v>16</v>
      </c>
      <c r="J153">
        <v>0.5</v>
      </c>
      <c r="K153" t="str">
        <f>"-90 00"</f>
        <v>-90 00</v>
      </c>
      <c r="M153" t="s">
        <v>16</v>
      </c>
      <c r="N153">
        <v>-0.5</v>
      </c>
      <c r="O153">
        <v>351.9</v>
      </c>
    </row>
    <row r="154" spans="1:16" x14ac:dyDescent="0.25">
      <c r="A154" s="1" t="s">
        <v>331</v>
      </c>
      <c r="B154" t="s">
        <v>332</v>
      </c>
      <c r="C154" s="7" t="str">
        <f t="shared" ref="C154:F155" si="20">"/"</f>
        <v>/</v>
      </c>
      <c r="D154" s="7" t="str">
        <f t="shared" si="20"/>
        <v>/</v>
      </c>
      <c r="E154" s="7" t="str">
        <f t="shared" si="20"/>
        <v>/</v>
      </c>
      <c r="F154" s="7" t="str">
        <f t="shared" si="20"/>
        <v>/</v>
      </c>
      <c r="G154" t="s">
        <v>352</v>
      </c>
      <c r="H154" t="s">
        <v>16</v>
      </c>
      <c r="I154" t="s">
        <v>367</v>
      </c>
      <c r="J154">
        <v>14.8</v>
      </c>
      <c r="K154" t="str">
        <f>"-53 00"</f>
        <v>-53 00</v>
      </c>
      <c r="M154">
        <v>8.9</v>
      </c>
      <c r="N154">
        <v>-11.8</v>
      </c>
      <c r="O154">
        <v>351.4</v>
      </c>
    </row>
    <row r="155" spans="1:16" x14ac:dyDescent="0.25">
      <c r="A155" s="1" t="s">
        <v>332</v>
      </c>
      <c r="B155" t="s">
        <v>333</v>
      </c>
      <c r="C155">
        <v>12</v>
      </c>
      <c r="D155" t="s">
        <v>16</v>
      </c>
      <c r="E155" s="7" t="str">
        <f t="shared" si="20"/>
        <v>/</v>
      </c>
      <c r="F155">
        <v>10</v>
      </c>
      <c r="G155" t="s">
        <v>16</v>
      </c>
      <c r="H155" t="s">
        <v>360</v>
      </c>
      <c r="I155" t="s">
        <v>368</v>
      </c>
      <c r="J155">
        <v>13.3</v>
      </c>
      <c r="K155" t="str">
        <f>"-47 00"</f>
        <v>-47 00</v>
      </c>
      <c r="M155">
        <v>9</v>
      </c>
      <c r="N155">
        <v>-9.6999999999999993</v>
      </c>
      <c r="O155">
        <v>339.6</v>
      </c>
    </row>
    <row r="156" spans="1:16" x14ac:dyDescent="0.25">
      <c r="A156" s="1" t="s">
        <v>333</v>
      </c>
      <c r="B156" t="s">
        <v>334</v>
      </c>
      <c r="C156" s="7" t="str">
        <f t="shared" ref="C156:F157" si="21">"/"</f>
        <v>/</v>
      </c>
      <c r="D156" s="7" t="str">
        <f t="shared" si="21"/>
        <v>/</v>
      </c>
      <c r="E156" s="7" t="str">
        <f t="shared" si="21"/>
        <v>/</v>
      </c>
      <c r="F156" s="7" t="str">
        <f t="shared" si="21"/>
        <v>/</v>
      </c>
      <c r="G156" t="s">
        <v>16</v>
      </c>
      <c r="H156" t="s">
        <v>16</v>
      </c>
      <c r="I156" t="s">
        <v>16</v>
      </c>
      <c r="J156">
        <v>0.5</v>
      </c>
      <c r="K156" t="s">
        <v>314</v>
      </c>
      <c r="M156" t="s">
        <v>16</v>
      </c>
      <c r="N156">
        <v>0.5</v>
      </c>
      <c r="O156">
        <v>329.9</v>
      </c>
    </row>
    <row r="157" spans="1:16" x14ac:dyDescent="0.25">
      <c r="A157" s="1" t="s">
        <v>334</v>
      </c>
      <c r="B157" t="s">
        <v>335</v>
      </c>
      <c r="C157" s="7" t="str">
        <f t="shared" si="21"/>
        <v>/</v>
      </c>
      <c r="D157">
        <v>6</v>
      </c>
      <c r="E157" s="7" t="str">
        <f t="shared" si="21"/>
        <v>/</v>
      </c>
      <c r="F157">
        <v>4</v>
      </c>
      <c r="G157" t="s">
        <v>353</v>
      </c>
      <c r="H157" t="s">
        <v>16</v>
      </c>
      <c r="I157" t="s">
        <v>353</v>
      </c>
      <c r="J157">
        <v>14.5</v>
      </c>
      <c r="K157" t="str">
        <f>"-6 00"</f>
        <v>-6 00</v>
      </c>
      <c r="M157">
        <v>14.4</v>
      </c>
      <c r="N157">
        <v>-1.5</v>
      </c>
      <c r="O157">
        <v>330.4</v>
      </c>
    </row>
    <row r="158" spans="1:16" x14ac:dyDescent="0.25">
      <c r="A158" s="1" t="s">
        <v>335</v>
      </c>
      <c r="B158" t="s">
        <v>336</v>
      </c>
      <c r="C158">
        <v>10</v>
      </c>
      <c r="D158">
        <v>2</v>
      </c>
      <c r="E158">
        <v>4</v>
      </c>
      <c r="F158" t="s">
        <v>16</v>
      </c>
      <c r="G158" t="s">
        <v>16</v>
      </c>
      <c r="H158" t="s">
        <v>361</v>
      </c>
      <c r="I158" t="s">
        <v>369</v>
      </c>
      <c r="J158">
        <v>17.3</v>
      </c>
      <c r="K158" t="str">
        <f>"-20 00"</f>
        <v>-20 00</v>
      </c>
      <c r="M158">
        <v>16.2</v>
      </c>
      <c r="N158">
        <v>-5.9</v>
      </c>
      <c r="O158">
        <v>328.9</v>
      </c>
    </row>
    <row r="159" spans="1:16" x14ac:dyDescent="0.25">
      <c r="A159" s="1" t="s">
        <v>336</v>
      </c>
      <c r="B159" t="s">
        <v>337</v>
      </c>
      <c r="C159">
        <v>8</v>
      </c>
      <c r="D159">
        <v>5</v>
      </c>
      <c r="E159">
        <v>1</v>
      </c>
      <c r="F159">
        <v>2</v>
      </c>
      <c r="G159" t="s">
        <v>354</v>
      </c>
      <c r="H159" t="s">
        <v>16</v>
      </c>
      <c r="I159" t="s">
        <v>354</v>
      </c>
      <c r="J159">
        <v>17.2</v>
      </c>
      <c r="K159" t="str">
        <f>"-22 00"</f>
        <v>-22 00</v>
      </c>
      <c r="M159">
        <v>15.9</v>
      </c>
      <c r="N159">
        <v>-6.4</v>
      </c>
      <c r="O159">
        <v>323</v>
      </c>
    </row>
    <row r="160" spans="1:16" x14ac:dyDescent="0.25">
      <c r="A160" s="1" t="s">
        <v>337</v>
      </c>
      <c r="B160" t="s">
        <v>338</v>
      </c>
      <c r="C160">
        <v>10</v>
      </c>
      <c r="D160">
        <v>7</v>
      </c>
      <c r="E160">
        <v>2</v>
      </c>
      <c r="F160">
        <v>1</v>
      </c>
      <c r="G160" t="s">
        <v>16</v>
      </c>
      <c r="H160" t="s">
        <v>362</v>
      </c>
      <c r="I160" t="s">
        <v>370</v>
      </c>
      <c r="J160">
        <v>8.9</v>
      </c>
      <c r="K160" t="str">
        <f>"-13 30"</f>
        <v>-13 30</v>
      </c>
      <c r="M160">
        <v>8.6</v>
      </c>
      <c r="N160">
        <v>-2.1</v>
      </c>
      <c r="O160">
        <v>316.60000000000002</v>
      </c>
    </row>
    <row r="161" spans="1:16" x14ac:dyDescent="0.25">
      <c r="A161" s="1" t="s">
        <v>338</v>
      </c>
      <c r="B161" t="s">
        <v>339</v>
      </c>
      <c r="C161">
        <v>12</v>
      </c>
      <c r="D161">
        <v>7</v>
      </c>
      <c r="E161">
        <v>1</v>
      </c>
      <c r="F161">
        <v>2</v>
      </c>
      <c r="G161" t="s">
        <v>355</v>
      </c>
      <c r="H161" t="s">
        <v>16</v>
      </c>
      <c r="I161" t="s">
        <v>355</v>
      </c>
      <c r="J161">
        <v>32</v>
      </c>
      <c r="K161" t="str">
        <f>"-17 00"</f>
        <v>-17 00</v>
      </c>
      <c r="M161">
        <v>30.6</v>
      </c>
      <c r="N161">
        <v>-9.4</v>
      </c>
      <c r="O161">
        <v>314.5</v>
      </c>
    </row>
    <row r="162" spans="1:16" x14ac:dyDescent="0.25">
      <c r="A162" s="1" t="s">
        <v>339</v>
      </c>
      <c r="O162">
        <v>305.10000000000002</v>
      </c>
      <c r="P162" t="s">
        <v>392</v>
      </c>
    </row>
    <row r="163" spans="1:16" x14ac:dyDescent="0.25">
      <c r="A163" s="1"/>
    </row>
    <row r="164" spans="1:16" x14ac:dyDescent="0.25">
      <c r="A164" s="1" t="s">
        <v>340</v>
      </c>
      <c r="B164" s="1" t="s">
        <v>341</v>
      </c>
      <c r="C164" s="1" t="s">
        <v>342</v>
      </c>
    </row>
    <row r="165" spans="1:16" x14ac:dyDescent="0.25">
      <c r="A165" s="1" t="s">
        <v>339</v>
      </c>
      <c r="B165" t="s">
        <v>343</v>
      </c>
      <c r="C165">
        <v>20</v>
      </c>
      <c r="D165">
        <v>1</v>
      </c>
      <c r="E165">
        <v>1</v>
      </c>
      <c r="F165">
        <v>3</v>
      </c>
      <c r="G165" t="s">
        <v>16</v>
      </c>
      <c r="H165" t="s">
        <v>237</v>
      </c>
      <c r="I165" t="s">
        <v>222</v>
      </c>
      <c r="J165">
        <v>5.6</v>
      </c>
      <c r="K165" t="s">
        <v>380</v>
      </c>
      <c r="M165">
        <v>4.9000000000000004</v>
      </c>
      <c r="N165">
        <v>2.8</v>
      </c>
      <c r="O165">
        <v>305.10000000000002</v>
      </c>
    </row>
    <row r="166" spans="1:16" x14ac:dyDescent="0.25">
      <c r="A166" s="1" t="s">
        <v>343</v>
      </c>
      <c r="B166" t="s">
        <v>344</v>
      </c>
      <c r="C166">
        <v>10</v>
      </c>
      <c r="D166">
        <v>5</v>
      </c>
      <c r="E166">
        <v>2</v>
      </c>
      <c r="F166">
        <v>1</v>
      </c>
      <c r="G166" t="s">
        <v>372</v>
      </c>
      <c r="H166" t="s">
        <v>16</v>
      </c>
      <c r="I166" t="s">
        <v>372</v>
      </c>
      <c r="J166">
        <v>8.6999999999999993</v>
      </c>
      <c r="K166" t="s">
        <v>381</v>
      </c>
      <c r="M166">
        <v>8.6999999999999993</v>
      </c>
      <c r="N166">
        <v>0.3</v>
      </c>
      <c r="O166">
        <v>307.89999999999998</v>
      </c>
    </row>
    <row r="167" spans="1:16" x14ac:dyDescent="0.25">
      <c r="A167" s="1" t="s">
        <v>344</v>
      </c>
      <c r="B167" t="s">
        <v>345</v>
      </c>
      <c r="C167">
        <v>15</v>
      </c>
      <c r="D167">
        <v>4</v>
      </c>
      <c r="E167">
        <v>2</v>
      </c>
      <c r="F167">
        <v>1</v>
      </c>
      <c r="G167" t="s">
        <v>16</v>
      </c>
      <c r="H167" t="s">
        <v>374</v>
      </c>
      <c r="I167" t="s">
        <v>377</v>
      </c>
      <c r="J167">
        <v>3.1</v>
      </c>
      <c r="K167" t="s">
        <v>382</v>
      </c>
      <c r="M167">
        <v>2.9</v>
      </c>
      <c r="N167">
        <v>0.7</v>
      </c>
      <c r="O167">
        <v>308.2</v>
      </c>
    </row>
    <row r="168" spans="1:16" x14ac:dyDescent="0.25">
      <c r="A168" s="1" t="s">
        <v>345</v>
      </c>
      <c r="B168" t="s">
        <v>346</v>
      </c>
      <c r="C168">
        <v>15</v>
      </c>
      <c r="D168">
        <v>6</v>
      </c>
      <c r="E168">
        <v>1</v>
      </c>
      <c r="F168">
        <v>2</v>
      </c>
      <c r="G168" t="s">
        <v>366</v>
      </c>
      <c r="H168" t="s">
        <v>16</v>
      </c>
      <c r="I168" t="s">
        <v>366</v>
      </c>
      <c r="J168">
        <v>13.4</v>
      </c>
      <c r="K168" t="str">
        <f>"-15 00"</f>
        <v>-15 00</v>
      </c>
      <c r="M168">
        <v>12.9</v>
      </c>
      <c r="N168">
        <v>-3.5</v>
      </c>
      <c r="O168">
        <v>308.89999999999998</v>
      </c>
    </row>
    <row r="169" spans="1:16" x14ac:dyDescent="0.25">
      <c r="A169" s="1" t="s">
        <v>346</v>
      </c>
      <c r="B169" t="s">
        <v>347</v>
      </c>
      <c r="C169">
        <v>16</v>
      </c>
      <c r="D169">
        <v>2</v>
      </c>
      <c r="E169" t="s">
        <v>16</v>
      </c>
      <c r="F169">
        <v>2</v>
      </c>
      <c r="G169" t="s">
        <v>16</v>
      </c>
      <c r="H169" t="s">
        <v>375</v>
      </c>
      <c r="I169" t="s">
        <v>378</v>
      </c>
      <c r="J169">
        <v>19.2</v>
      </c>
      <c r="K169" t="str">
        <f>"-2 30"</f>
        <v>-2 30</v>
      </c>
      <c r="M169">
        <v>19.100000000000001</v>
      </c>
      <c r="N169">
        <v>-0.8</v>
      </c>
      <c r="O169">
        <v>305.39999999999998</v>
      </c>
    </row>
    <row r="170" spans="1:16" x14ac:dyDescent="0.25">
      <c r="A170" s="1" t="s">
        <v>347</v>
      </c>
      <c r="B170" t="s">
        <v>348</v>
      </c>
      <c r="C170">
        <v>6</v>
      </c>
      <c r="D170">
        <v>5</v>
      </c>
      <c r="E170">
        <v>4</v>
      </c>
      <c r="F170">
        <v>1</v>
      </c>
      <c r="G170" t="s">
        <v>373</v>
      </c>
      <c r="H170" t="s">
        <v>16</v>
      </c>
      <c r="I170" t="s">
        <v>373</v>
      </c>
      <c r="J170">
        <v>20.100000000000001</v>
      </c>
      <c r="K170" t="str">
        <f>"-13 00"</f>
        <v>-13 00</v>
      </c>
      <c r="M170">
        <v>19.600000000000001</v>
      </c>
      <c r="N170">
        <v>-4.5</v>
      </c>
      <c r="O170">
        <v>304.60000000000002</v>
      </c>
    </row>
    <row r="171" spans="1:16" x14ac:dyDescent="0.25">
      <c r="A171" s="1" t="s">
        <v>348</v>
      </c>
      <c r="B171" t="s">
        <v>349</v>
      </c>
      <c r="C171">
        <v>12</v>
      </c>
      <c r="D171">
        <v>3</v>
      </c>
      <c r="E171">
        <v>2</v>
      </c>
      <c r="F171" t="s">
        <v>16</v>
      </c>
      <c r="G171" t="s">
        <v>16</v>
      </c>
      <c r="H171" t="s">
        <v>376</v>
      </c>
      <c r="I171" t="s">
        <v>379</v>
      </c>
      <c r="J171">
        <v>23.2</v>
      </c>
      <c r="K171" t="str">
        <f>"-15 00"</f>
        <v>-15 00</v>
      </c>
      <c r="M171">
        <v>22.4</v>
      </c>
      <c r="N171">
        <v>-6</v>
      </c>
      <c r="O171">
        <v>300.10000000000002</v>
      </c>
      <c r="P171" t="s">
        <v>393</v>
      </c>
    </row>
    <row r="172" spans="1:16" x14ac:dyDescent="0.25">
      <c r="A172" s="1" t="s">
        <v>349</v>
      </c>
      <c r="B172" t="s">
        <v>396</v>
      </c>
      <c r="C172">
        <v>10</v>
      </c>
      <c r="D172">
        <v>2</v>
      </c>
      <c r="E172" s="7" t="str">
        <f t="shared" ref="E172" si="22">"/"</f>
        <v>/</v>
      </c>
      <c r="F172">
        <v>7</v>
      </c>
      <c r="G172" t="s">
        <v>410</v>
      </c>
      <c r="H172" t="s">
        <v>16</v>
      </c>
      <c r="I172" t="s">
        <v>410</v>
      </c>
      <c r="J172">
        <v>27.9</v>
      </c>
      <c r="K172" t="str">
        <f>"-41 30"</f>
        <v>-41 30</v>
      </c>
      <c r="M172">
        <v>20.9</v>
      </c>
      <c r="N172">
        <v>-18.5</v>
      </c>
      <c r="O172">
        <v>294.10000000000002</v>
      </c>
    </row>
    <row r="173" spans="1:16" x14ac:dyDescent="0.25">
      <c r="A173" s="1" t="s">
        <v>396</v>
      </c>
      <c r="B173" s="5" t="s">
        <v>397</v>
      </c>
      <c r="C173">
        <v>25</v>
      </c>
      <c r="D173">
        <v>4</v>
      </c>
      <c r="E173">
        <v>3</v>
      </c>
      <c r="F173">
        <v>2</v>
      </c>
      <c r="G173" t="s">
        <v>16</v>
      </c>
      <c r="H173" t="s">
        <v>411</v>
      </c>
      <c r="I173" t="s">
        <v>421</v>
      </c>
      <c r="J173">
        <v>22.6</v>
      </c>
      <c r="K173" t="str">
        <f>"-17 00"</f>
        <v>-17 00</v>
      </c>
      <c r="M173">
        <v>21.6</v>
      </c>
      <c r="N173">
        <v>-6.6</v>
      </c>
      <c r="O173">
        <v>275.60000000000002</v>
      </c>
    </row>
    <row r="174" spans="1:16" x14ac:dyDescent="0.25">
      <c r="A174" s="1" t="s">
        <v>397</v>
      </c>
      <c r="B174" s="5" t="s">
        <v>398</v>
      </c>
      <c r="C174">
        <v>25</v>
      </c>
      <c r="D174">
        <v>2</v>
      </c>
      <c r="E174">
        <v>1</v>
      </c>
      <c r="F174">
        <v>2</v>
      </c>
      <c r="G174" t="s">
        <v>369</v>
      </c>
      <c r="H174" t="s">
        <v>16</v>
      </c>
      <c r="I174" t="s">
        <v>369</v>
      </c>
      <c r="J174">
        <v>27.4</v>
      </c>
      <c r="K174" t="str">
        <f>"-6 40"</f>
        <v>-6 40</v>
      </c>
      <c r="M174">
        <v>27.2</v>
      </c>
      <c r="N174">
        <v>-3.2</v>
      </c>
      <c r="O174">
        <v>269</v>
      </c>
    </row>
    <row r="175" spans="1:16" x14ac:dyDescent="0.25">
      <c r="A175" s="1" t="s">
        <v>398</v>
      </c>
      <c r="B175" s="5" t="s">
        <v>399</v>
      </c>
      <c r="C175">
        <v>25</v>
      </c>
      <c r="D175" t="s">
        <v>16</v>
      </c>
      <c r="E175">
        <v>4</v>
      </c>
      <c r="F175">
        <v>2</v>
      </c>
      <c r="G175" t="s">
        <v>16</v>
      </c>
      <c r="H175" t="s">
        <v>416</v>
      </c>
      <c r="I175" t="s">
        <v>422</v>
      </c>
      <c r="J175">
        <v>22.2</v>
      </c>
      <c r="K175" t="str">
        <f>"-1 40"</f>
        <v>-1 40</v>
      </c>
      <c r="M175">
        <v>22.1</v>
      </c>
      <c r="N175">
        <v>-0.6</v>
      </c>
      <c r="O175">
        <v>265.8</v>
      </c>
    </row>
    <row r="176" spans="1:16" x14ac:dyDescent="0.25">
      <c r="A176" s="1" t="s">
        <v>399</v>
      </c>
      <c r="B176" s="5" t="s">
        <v>400</v>
      </c>
      <c r="C176">
        <v>30</v>
      </c>
      <c r="D176">
        <v>3</v>
      </c>
      <c r="E176">
        <v>3</v>
      </c>
      <c r="F176">
        <v>3</v>
      </c>
      <c r="G176" t="s">
        <v>412</v>
      </c>
      <c r="H176" t="s">
        <v>16</v>
      </c>
      <c r="I176" t="s">
        <v>412</v>
      </c>
      <c r="J176">
        <v>16.3</v>
      </c>
      <c r="K176" t="s">
        <v>106</v>
      </c>
      <c r="M176">
        <v>16.2</v>
      </c>
      <c r="N176">
        <v>1.8</v>
      </c>
      <c r="O176">
        <v>265.2</v>
      </c>
    </row>
    <row r="177" spans="1:16" x14ac:dyDescent="0.25">
      <c r="A177" s="1" t="s">
        <v>400</v>
      </c>
      <c r="B177" s="5" t="s">
        <v>401</v>
      </c>
      <c r="C177">
        <v>15</v>
      </c>
      <c r="D177">
        <v>5</v>
      </c>
      <c r="E177">
        <v>1</v>
      </c>
      <c r="F177">
        <v>5</v>
      </c>
      <c r="G177" t="s">
        <v>16</v>
      </c>
      <c r="H177" t="s">
        <v>417</v>
      </c>
      <c r="I177" t="s">
        <v>423</v>
      </c>
      <c r="J177">
        <v>13.6</v>
      </c>
      <c r="K177" t="s">
        <v>371</v>
      </c>
      <c r="M177">
        <v>13.5</v>
      </c>
      <c r="N177">
        <v>1.4</v>
      </c>
      <c r="O177">
        <v>267</v>
      </c>
    </row>
    <row r="178" spans="1:16" x14ac:dyDescent="0.25">
      <c r="A178" s="1" t="s">
        <v>401</v>
      </c>
      <c r="B178" s="5" t="s">
        <v>402</v>
      </c>
      <c r="C178">
        <v>8</v>
      </c>
      <c r="D178">
        <v>10</v>
      </c>
      <c r="E178" t="s">
        <v>16</v>
      </c>
      <c r="F178">
        <v>12</v>
      </c>
      <c r="G178" t="s">
        <v>413</v>
      </c>
      <c r="H178" t="s">
        <v>16</v>
      </c>
      <c r="I178" t="s">
        <v>413</v>
      </c>
      <c r="J178">
        <v>20.100000000000001</v>
      </c>
      <c r="K178" t="str">
        <f>"-28 00"</f>
        <v>-28 00</v>
      </c>
      <c r="M178">
        <v>17.7</v>
      </c>
      <c r="N178">
        <v>-9.4</v>
      </c>
      <c r="O178">
        <v>268.39999999999998</v>
      </c>
    </row>
    <row r="179" spans="1:16" x14ac:dyDescent="0.25">
      <c r="A179" s="1" t="s">
        <v>402</v>
      </c>
      <c r="B179" s="5" t="s">
        <v>403</v>
      </c>
      <c r="C179">
        <v>4</v>
      </c>
      <c r="D179">
        <v>3</v>
      </c>
      <c r="E179">
        <v>1</v>
      </c>
      <c r="F179">
        <v>5</v>
      </c>
      <c r="G179" t="s">
        <v>16</v>
      </c>
      <c r="H179" t="s">
        <v>16</v>
      </c>
      <c r="I179" t="s">
        <v>16</v>
      </c>
      <c r="J179">
        <v>1.8</v>
      </c>
      <c r="K179" t="s">
        <v>314</v>
      </c>
      <c r="M179" t="s">
        <v>16</v>
      </c>
      <c r="N179">
        <v>1.8</v>
      </c>
      <c r="O179">
        <v>259</v>
      </c>
      <c r="P179" t="s">
        <v>427</v>
      </c>
    </row>
    <row r="180" spans="1:16" x14ac:dyDescent="0.25">
      <c r="A180" s="1" t="s">
        <v>403</v>
      </c>
      <c r="B180" s="5" t="s">
        <v>404</v>
      </c>
      <c r="C180">
        <v>5</v>
      </c>
      <c r="D180">
        <v>5</v>
      </c>
      <c r="E180">
        <v>1</v>
      </c>
      <c r="F180">
        <v>5</v>
      </c>
      <c r="G180" t="s">
        <v>414</v>
      </c>
      <c r="H180" t="s">
        <v>16</v>
      </c>
      <c r="I180" t="s">
        <v>414</v>
      </c>
      <c r="J180">
        <v>15.8</v>
      </c>
      <c r="K180" t="str">
        <f>"-1 00"</f>
        <v>-1 00</v>
      </c>
      <c r="M180">
        <v>15.7</v>
      </c>
      <c r="N180">
        <v>-0.3</v>
      </c>
      <c r="O180">
        <v>260.8</v>
      </c>
    </row>
    <row r="181" spans="1:16" x14ac:dyDescent="0.25">
      <c r="A181" s="1" t="s">
        <v>404</v>
      </c>
      <c r="B181" s="5" t="s">
        <v>405</v>
      </c>
      <c r="C181">
        <v>6</v>
      </c>
      <c r="D181">
        <v>5</v>
      </c>
      <c r="E181">
        <v>1</v>
      </c>
      <c r="F181">
        <v>2</v>
      </c>
      <c r="G181" t="s">
        <v>16</v>
      </c>
      <c r="H181" t="s">
        <v>418</v>
      </c>
      <c r="I181" t="s">
        <v>424</v>
      </c>
      <c r="J181">
        <v>16.7</v>
      </c>
      <c r="K181" t="str">
        <f>"-5 00"</f>
        <v>-5 00</v>
      </c>
      <c r="M181">
        <v>16.600000000000001</v>
      </c>
      <c r="N181">
        <v>-1.5</v>
      </c>
      <c r="O181">
        <v>260.5</v>
      </c>
    </row>
    <row r="182" spans="1:16" x14ac:dyDescent="0.25">
      <c r="A182" s="1" t="s">
        <v>405</v>
      </c>
      <c r="B182" s="5" t="s">
        <v>406</v>
      </c>
      <c r="C182">
        <v>6</v>
      </c>
      <c r="D182">
        <v>5</v>
      </c>
      <c r="E182">
        <v>1</v>
      </c>
      <c r="F182">
        <v>2</v>
      </c>
      <c r="G182" t="s">
        <v>378</v>
      </c>
      <c r="H182" t="s">
        <v>16</v>
      </c>
      <c r="I182" t="s">
        <v>378</v>
      </c>
      <c r="J182">
        <v>14.5</v>
      </c>
      <c r="K182" t="s">
        <v>187</v>
      </c>
      <c r="M182">
        <v>14.4</v>
      </c>
      <c r="N182">
        <v>0.8</v>
      </c>
      <c r="O182">
        <v>259</v>
      </c>
    </row>
    <row r="183" spans="1:16" x14ac:dyDescent="0.25">
      <c r="A183" s="1" t="s">
        <v>406</v>
      </c>
      <c r="B183" s="5" t="s">
        <v>407</v>
      </c>
      <c r="C183">
        <v>4</v>
      </c>
      <c r="D183">
        <v>6</v>
      </c>
      <c r="E183" t="s">
        <v>16</v>
      </c>
      <c r="F183">
        <v>2</v>
      </c>
      <c r="G183" t="s">
        <v>16</v>
      </c>
      <c r="H183" t="s">
        <v>419</v>
      </c>
      <c r="I183" t="s">
        <v>425</v>
      </c>
      <c r="J183">
        <v>4.0999999999999996</v>
      </c>
      <c r="K183" t="s">
        <v>44</v>
      </c>
      <c r="M183">
        <v>4.0999999999999996</v>
      </c>
      <c r="N183" t="s">
        <v>16</v>
      </c>
      <c r="O183">
        <v>259.8</v>
      </c>
    </row>
    <row r="184" spans="1:16" x14ac:dyDescent="0.25">
      <c r="A184" s="1" t="s">
        <v>407</v>
      </c>
      <c r="B184" s="5" t="s">
        <v>408</v>
      </c>
      <c r="C184">
        <v>4</v>
      </c>
      <c r="D184">
        <v>8</v>
      </c>
      <c r="E184" t="s">
        <v>16</v>
      </c>
      <c r="F184">
        <v>2</v>
      </c>
      <c r="G184" t="s">
        <v>16</v>
      </c>
      <c r="H184" t="s">
        <v>420</v>
      </c>
      <c r="I184" t="s">
        <v>426</v>
      </c>
      <c r="J184">
        <v>9.5</v>
      </c>
      <c r="K184" t="s">
        <v>80</v>
      </c>
      <c r="M184">
        <v>9.4</v>
      </c>
      <c r="N184">
        <v>0.7</v>
      </c>
      <c r="O184">
        <v>259.8</v>
      </c>
    </row>
    <row r="185" spans="1:16" x14ac:dyDescent="0.25">
      <c r="A185" s="1" t="s">
        <v>408</v>
      </c>
      <c r="B185" s="5" t="s">
        <v>409</v>
      </c>
      <c r="C185">
        <v>3</v>
      </c>
      <c r="D185">
        <v>8</v>
      </c>
      <c r="E185">
        <v>1</v>
      </c>
      <c r="F185">
        <v>2</v>
      </c>
      <c r="G185" t="s">
        <v>415</v>
      </c>
      <c r="H185" t="s">
        <v>16</v>
      </c>
      <c r="I185" t="s">
        <v>415</v>
      </c>
      <c r="J185">
        <v>25.5</v>
      </c>
      <c r="K185" t="str">
        <f>"-21 30"</f>
        <v>-21 30</v>
      </c>
      <c r="M185">
        <v>23.8</v>
      </c>
      <c r="N185">
        <v>-9.3000000000000007</v>
      </c>
      <c r="O185">
        <v>260.5</v>
      </c>
      <c r="P185" t="s">
        <v>428</v>
      </c>
    </row>
    <row r="186" spans="1:16" x14ac:dyDescent="0.25">
      <c r="A186" s="1" t="s">
        <v>409</v>
      </c>
      <c r="K186" t="str">
        <f t="shared" ref="K186" si="23">"-"</f>
        <v>-</v>
      </c>
      <c r="O186">
        <v>251.2</v>
      </c>
    </row>
    <row r="187" spans="1:16" x14ac:dyDescent="0.25">
      <c r="A187" s="1"/>
    </row>
    <row r="188" spans="1:16" x14ac:dyDescent="0.25">
      <c r="A188" s="1" t="s">
        <v>580</v>
      </c>
      <c r="B188" s="1" t="s">
        <v>579</v>
      </c>
    </row>
    <row r="189" spans="1:16" x14ac:dyDescent="0.25">
      <c r="A189" s="1" t="s">
        <v>429</v>
      </c>
      <c r="B189" s="1"/>
      <c r="C189" s="1" t="s">
        <v>430</v>
      </c>
    </row>
    <row r="190" spans="1:16" x14ac:dyDescent="0.25">
      <c r="A190" t="s">
        <v>156</v>
      </c>
      <c r="B190" t="s">
        <v>431</v>
      </c>
      <c r="C190">
        <v>20</v>
      </c>
      <c r="D190">
        <v>8</v>
      </c>
      <c r="E190" t="s">
        <v>432</v>
      </c>
      <c r="F190" t="s">
        <v>433</v>
      </c>
      <c r="G190" t="s">
        <v>16</v>
      </c>
      <c r="H190" t="s">
        <v>434</v>
      </c>
      <c r="I190" t="s">
        <v>435</v>
      </c>
      <c r="J190">
        <v>17.600000000000001</v>
      </c>
      <c r="K190" t="s">
        <v>436</v>
      </c>
      <c r="M190">
        <v>15.2</v>
      </c>
      <c r="N190">
        <v>8.9</v>
      </c>
      <c r="O190">
        <v>113.8</v>
      </c>
    </row>
    <row r="191" spans="1:16" x14ac:dyDescent="0.25">
      <c r="A191" t="s">
        <v>431</v>
      </c>
      <c r="B191" t="s">
        <v>437</v>
      </c>
      <c r="C191">
        <v>12</v>
      </c>
      <c r="D191">
        <v>6</v>
      </c>
      <c r="E191">
        <v>2</v>
      </c>
      <c r="F191" t="s">
        <v>438</v>
      </c>
      <c r="G191" t="s">
        <v>439</v>
      </c>
      <c r="H191" t="s">
        <v>16</v>
      </c>
      <c r="I191" t="s">
        <v>439</v>
      </c>
      <c r="J191">
        <v>36.6</v>
      </c>
      <c r="K191" t="s">
        <v>440</v>
      </c>
      <c r="M191">
        <v>34.1</v>
      </c>
      <c r="N191">
        <v>13.3</v>
      </c>
      <c r="O191">
        <v>122.7</v>
      </c>
    </row>
    <row r="192" spans="1:16" x14ac:dyDescent="0.25">
      <c r="A192" t="s">
        <v>437</v>
      </c>
      <c r="B192" t="s">
        <v>441</v>
      </c>
      <c r="C192">
        <v>20</v>
      </c>
      <c r="D192">
        <v>8</v>
      </c>
      <c r="E192">
        <v>6</v>
      </c>
      <c r="F192">
        <v>2</v>
      </c>
      <c r="G192" t="s">
        <v>16</v>
      </c>
      <c r="H192" t="s">
        <v>442</v>
      </c>
      <c r="I192" t="s">
        <v>443</v>
      </c>
      <c r="J192">
        <v>10.8</v>
      </c>
      <c r="K192" t="str">
        <f>"-38 20"</f>
        <v>-38 20</v>
      </c>
      <c r="M192">
        <v>8.5</v>
      </c>
      <c r="N192">
        <v>-6.7</v>
      </c>
      <c r="O192">
        <v>136</v>
      </c>
    </row>
    <row r="193" spans="1:16" x14ac:dyDescent="0.25">
      <c r="A193" t="s">
        <v>441</v>
      </c>
      <c r="B193" t="s">
        <v>444</v>
      </c>
      <c r="C193">
        <v>12</v>
      </c>
      <c r="D193">
        <v>1</v>
      </c>
      <c r="E193">
        <v>2</v>
      </c>
      <c r="F193">
        <v>6</v>
      </c>
      <c r="G193" t="s">
        <v>445</v>
      </c>
      <c r="H193" t="s">
        <v>16</v>
      </c>
      <c r="I193" t="s">
        <v>445</v>
      </c>
      <c r="J193">
        <v>20.399999999999999</v>
      </c>
      <c r="K193" t="s">
        <v>245</v>
      </c>
      <c r="M193">
        <v>20.399999999999999</v>
      </c>
      <c r="N193">
        <v>0.35</v>
      </c>
      <c r="O193">
        <v>129.30000000000001</v>
      </c>
      <c r="P193" t="s">
        <v>446</v>
      </c>
    </row>
    <row r="194" spans="1:16" x14ac:dyDescent="0.25">
      <c r="A194" t="s">
        <v>444</v>
      </c>
      <c r="B194" t="s">
        <v>447</v>
      </c>
      <c r="C194">
        <v>18</v>
      </c>
      <c r="D194">
        <v>1</v>
      </c>
      <c r="E194">
        <v>4</v>
      </c>
      <c r="F194">
        <v>3</v>
      </c>
      <c r="G194" t="s">
        <v>16</v>
      </c>
      <c r="H194" t="s">
        <v>242</v>
      </c>
      <c r="I194" t="s">
        <v>232</v>
      </c>
      <c r="J194">
        <v>49.6</v>
      </c>
      <c r="K194" t="s">
        <v>448</v>
      </c>
      <c r="M194">
        <v>47.3</v>
      </c>
      <c r="N194">
        <v>15</v>
      </c>
      <c r="O194">
        <v>129.69999999999999</v>
      </c>
    </row>
    <row r="195" spans="1:16" x14ac:dyDescent="0.25">
      <c r="A195" t="s">
        <v>447</v>
      </c>
      <c r="B195" t="s">
        <v>449</v>
      </c>
      <c r="C195">
        <v>25</v>
      </c>
      <c r="D195">
        <v>4</v>
      </c>
      <c r="E195">
        <v>3</v>
      </c>
      <c r="F195">
        <v>6</v>
      </c>
      <c r="G195" t="s">
        <v>450</v>
      </c>
      <c r="H195" t="s">
        <v>16</v>
      </c>
      <c r="I195" t="s">
        <v>450</v>
      </c>
      <c r="J195">
        <v>24.7</v>
      </c>
      <c r="K195" t="str">
        <f>"-26 00"</f>
        <v>-26 00</v>
      </c>
      <c r="M195">
        <v>22.2</v>
      </c>
      <c r="N195">
        <v>-10.8</v>
      </c>
      <c r="O195">
        <v>144.69999999999999</v>
      </c>
      <c r="P195" t="s">
        <v>451</v>
      </c>
    </row>
    <row r="196" spans="1:16" x14ac:dyDescent="0.25">
      <c r="A196" t="s">
        <v>449</v>
      </c>
      <c r="B196" t="s">
        <v>452</v>
      </c>
      <c r="C196">
        <v>30</v>
      </c>
      <c r="D196">
        <v>10</v>
      </c>
      <c r="E196" t="s">
        <v>16</v>
      </c>
      <c r="F196">
        <v>5</v>
      </c>
      <c r="G196" t="s">
        <v>16</v>
      </c>
      <c r="H196" t="s">
        <v>453</v>
      </c>
      <c r="I196" t="s">
        <v>454</v>
      </c>
      <c r="J196">
        <v>13.3</v>
      </c>
      <c r="K196" t="s">
        <v>455</v>
      </c>
      <c r="M196">
        <v>12.9</v>
      </c>
      <c r="N196">
        <v>3.2</v>
      </c>
      <c r="O196">
        <v>133.9</v>
      </c>
      <c r="P196" t="s">
        <v>456</v>
      </c>
    </row>
    <row r="197" spans="1:16" x14ac:dyDescent="0.25">
      <c r="A197" t="s">
        <v>452</v>
      </c>
      <c r="B197" t="s">
        <v>457</v>
      </c>
      <c r="C197">
        <v>25</v>
      </c>
      <c r="D197">
        <v>5</v>
      </c>
      <c r="E197">
        <v>5</v>
      </c>
      <c r="F197" t="str">
        <f>"/"</f>
        <v>/</v>
      </c>
      <c r="G197" t="s">
        <v>458</v>
      </c>
      <c r="H197" t="s">
        <v>16</v>
      </c>
      <c r="I197" t="s">
        <v>458</v>
      </c>
      <c r="J197">
        <v>15.7</v>
      </c>
      <c r="K197" t="s">
        <v>459</v>
      </c>
      <c r="M197">
        <v>15.2</v>
      </c>
      <c r="N197">
        <v>4.0999999999999996</v>
      </c>
      <c r="O197">
        <v>137.1</v>
      </c>
      <c r="P197" t="s">
        <v>460</v>
      </c>
    </row>
    <row r="198" spans="1:16" x14ac:dyDescent="0.25">
      <c r="A198" t="s">
        <v>457</v>
      </c>
      <c r="B198" t="s">
        <v>461</v>
      </c>
      <c r="C198">
        <v>25</v>
      </c>
      <c r="D198">
        <v>5</v>
      </c>
      <c r="E198">
        <v>2</v>
      </c>
      <c r="F198">
        <v>5</v>
      </c>
      <c r="G198" t="s">
        <v>16</v>
      </c>
      <c r="H198" t="s">
        <v>462</v>
      </c>
      <c r="I198" t="s">
        <v>463</v>
      </c>
      <c r="J198">
        <v>36.9</v>
      </c>
      <c r="K198" t="s">
        <v>464</v>
      </c>
      <c r="M198">
        <v>36.1</v>
      </c>
      <c r="N198">
        <v>7.3</v>
      </c>
      <c r="O198">
        <v>141.19999999999999</v>
      </c>
    </row>
    <row r="199" spans="1:16" x14ac:dyDescent="0.25">
      <c r="A199" t="s">
        <v>461</v>
      </c>
      <c r="B199" t="s">
        <v>465</v>
      </c>
      <c r="C199">
        <v>5</v>
      </c>
      <c r="D199">
        <v>5</v>
      </c>
      <c r="E199">
        <v>6</v>
      </c>
      <c r="F199">
        <v>2</v>
      </c>
      <c r="G199" t="s">
        <v>466</v>
      </c>
      <c r="H199" t="s">
        <v>16</v>
      </c>
      <c r="I199" t="s">
        <v>466</v>
      </c>
      <c r="J199">
        <v>24.2</v>
      </c>
      <c r="K199" t="str">
        <f>"-0 30"</f>
        <v>-0 30</v>
      </c>
      <c r="M199">
        <v>24.2</v>
      </c>
      <c r="N199">
        <v>-0.2</v>
      </c>
      <c r="O199">
        <v>148.5</v>
      </c>
    </row>
    <row r="200" spans="1:16" x14ac:dyDescent="0.25">
      <c r="A200" t="s">
        <v>465</v>
      </c>
      <c r="B200" t="s">
        <v>468</v>
      </c>
      <c r="C200">
        <v>25</v>
      </c>
      <c r="D200">
        <v>3</v>
      </c>
      <c r="E200">
        <v>3</v>
      </c>
      <c r="F200" t="s">
        <v>469</v>
      </c>
      <c r="G200" t="s">
        <v>16</v>
      </c>
      <c r="H200" t="s">
        <v>470</v>
      </c>
      <c r="I200" t="s">
        <v>471</v>
      </c>
      <c r="J200">
        <v>17.5</v>
      </c>
      <c r="K200" t="s">
        <v>472</v>
      </c>
      <c r="M200">
        <v>13.6</v>
      </c>
      <c r="N200">
        <v>11</v>
      </c>
      <c r="O200">
        <v>148.30000000000001</v>
      </c>
      <c r="P200" t="s">
        <v>467</v>
      </c>
    </row>
    <row r="201" spans="1:16" x14ac:dyDescent="0.25">
      <c r="A201" t="s">
        <v>468</v>
      </c>
      <c r="B201" t="s">
        <v>473</v>
      </c>
      <c r="C201">
        <v>20</v>
      </c>
      <c r="D201">
        <v>15</v>
      </c>
      <c r="E201">
        <v>8</v>
      </c>
      <c r="F201">
        <v>10</v>
      </c>
      <c r="G201" t="s">
        <v>166</v>
      </c>
      <c r="H201" t="s">
        <v>16</v>
      </c>
      <c r="I201" t="s">
        <v>166</v>
      </c>
      <c r="J201">
        <v>24.8</v>
      </c>
      <c r="K201" t="s">
        <v>214</v>
      </c>
      <c r="M201">
        <v>24.5</v>
      </c>
      <c r="N201">
        <v>3.9</v>
      </c>
      <c r="O201">
        <v>159.30000000000001</v>
      </c>
      <c r="P201" t="s">
        <v>559</v>
      </c>
    </row>
    <row r="202" spans="1:16" x14ac:dyDescent="0.25">
      <c r="A202" t="s">
        <v>473</v>
      </c>
      <c r="B202" t="s">
        <v>474</v>
      </c>
      <c r="C202">
        <v>7</v>
      </c>
      <c r="D202">
        <v>6</v>
      </c>
      <c r="E202">
        <v>5</v>
      </c>
      <c r="F202" t="s">
        <v>16</v>
      </c>
      <c r="G202" t="s">
        <v>16</v>
      </c>
      <c r="H202" t="s">
        <v>475</v>
      </c>
      <c r="I202" t="s">
        <v>476</v>
      </c>
      <c r="J202">
        <v>22.1</v>
      </c>
      <c r="K202" t="str">
        <f>"-0 30"</f>
        <v>-0 30</v>
      </c>
      <c r="M202">
        <v>22.1</v>
      </c>
      <c r="N202">
        <v>-0.2</v>
      </c>
      <c r="O202">
        <v>163.19999999999999</v>
      </c>
      <c r="P202" t="s">
        <v>560</v>
      </c>
    </row>
    <row r="203" spans="1:16" x14ac:dyDescent="0.25">
      <c r="A203" t="s">
        <v>474</v>
      </c>
      <c r="B203" t="s">
        <v>477</v>
      </c>
      <c r="C203">
        <v>30</v>
      </c>
      <c r="D203">
        <v>5</v>
      </c>
      <c r="E203">
        <v>1</v>
      </c>
      <c r="F203">
        <v>3</v>
      </c>
      <c r="G203" t="s">
        <v>178</v>
      </c>
      <c r="H203" t="s">
        <v>16</v>
      </c>
      <c r="I203" t="s">
        <v>178</v>
      </c>
      <c r="J203">
        <v>35.700000000000003</v>
      </c>
      <c r="K203" t="s">
        <v>478</v>
      </c>
      <c r="M203">
        <v>35.4</v>
      </c>
      <c r="N203">
        <v>4.3</v>
      </c>
      <c r="O203">
        <v>163</v>
      </c>
    </row>
    <row r="204" spans="1:16" x14ac:dyDescent="0.25">
      <c r="A204" t="s">
        <v>477</v>
      </c>
      <c r="B204" t="s">
        <v>479</v>
      </c>
      <c r="C204">
        <v>20</v>
      </c>
      <c r="D204">
        <v>8</v>
      </c>
      <c r="E204">
        <v>1</v>
      </c>
      <c r="F204">
        <v>3</v>
      </c>
      <c r="G204" t="s">
        <v>16</v>
      </c>
      <c r="H204" t="s">
        <v>480</v>
      </c>
      <c r="I204" t="s">
        <v>481</v>
      </c>
      <c r="J204">
        <v>9.9</v>
      </c>
      <c r="K204" t="str">
        <f>"-23 30"</f>
        <v>-23 30</v>
      </c>
      <c r="M204">
        <v>9.1</v>
      </c>
      <c r="N204">
        <v>-4</v>
      </c>
      <c r="O204">
        <v>167.3</v>
      </c>
    </row>
    <row r="205" spans="1:16" x14ac:dyDescent="0.25">
      <c r="A205" t="s">
        <v>479</v>
      </c>
      <c r="B205" t="s">
        <v>482</v>
      </c>
      <c r="C205">
        <v>20</v>
      </c>
      <c r="D205">
        <v>3</v>
      </c>
      <c r="E205">
        <v>4</v>
      </c>
      <c r="F205">
        <v>4</v>
      </c>
      <c r="G205" t="s">
        <v>483</v>
      </c>
      <c r="H205" t="s">
        <v>16</v>
      </c>
      <c r="I205" t="s">
        <v>483</v>
      </c>
      <c r="J205">
        <v>7.7</v>
      </c>
      <c r="K205" t="s">
        <v>459</v>
      </c>
      <c r="M205">
        <v>7.4</v>
      </c>
      <c r="N205">
        <v>2</v>
      </c>
      <c r="O205">
        <v>163.30000000000001</v>
      </c>
    </row>
    <row r="206" spans="1:16" x14ac:dyDescent="0.25">
      <c r="A206" t="s">
        <v>482</v>
      </c>
      <c r="B206" t="s">
        <v>484</v>
      </c>
      <c r="C206">
        <v>15</v>
      </c>
      <c r="D206">
        <v>4</v>
      </c>
      <c r="E206">
        <v>3</v>
      </c>
      <c r="F206">
        <v>1</v>
      </c>
      <c r="G206" t="s">
        <v>16</v>
      </c>
      <c r="H206" t="s">
        <v>372</v>
      </c>
      <c r="I206" t="s">
        <v>485</v>
      </c>
      <c r="J206">
        <v>21.2</v>
      </c>
      <c r="K206" t="s">
        <v>486</v>
      </c>
      <c r="M206">
        <v>21</v>
      </c>
      <c r="N206">
        <v>2.5</v>
      </c>
      <c r="O206">
        <v>165.3</v>
      </c>
    </row>
    <row r="207" spans="1:16" x14ac:dyDescent="0.25">
      <c r="A207" t="s">
        <v>484</v>
      </c>
      <c r="B207" t="s">
        <v>487</v>
      </c>
      <c r="C207">
        <v>25</v>
      </c>
      <c r="D207">
        <v>5</v>
      </c>
      <c r="E207">
        <v>1</v>
      </c>
      <c r="F207">
        <v>3</v>
      </c>
      <c r="G207" t="s">
        <v>488</v>
      </c>
      <c r="H207" t="s">
        <v>16</v>
      </c>
      <c r="I207" t="s">
        <v>488</v>
      </c>
      <c r="J207">
        <v>28.5</v>
      </c>
      <c r="K207" t="s">
        <v>185</v>
      </c>
      <c r="M207">
        <v>28.1</v>
      </c>
      <c r="N207">
        <v>4.8</v>
      </c>
      <c r="O207">
        <v>167.8</v>
      </c>
    </row>
    <row r="208" spans="1:16" x14ac:dyDescent="0.25">
      <c r="A208" t="s">
        <v>487</v>
      </c>
      <c r="B208" t="s">
        <v>489</v>
      </c>
      <c r="C208">
        <v>25</v>
      </c>
      <c r="D208">
        <v>7</v>
      </c>
      <c r="E208">
        <v>3</v>
      </c>
      <c r="F208">
        <v>1</v>
      </c>
      <c r="G208" t="s">
        <v>16</v>
      </c>
      <c r="H208" t="s">
        <v>490</v>
      </c>
      <c r="I208" t="s">
        <v>491</v>
      </c>
      <c r="J208">
        <v>29.6</v>
      </c>
      <c r="K208" t="s">
        <v>492</v>
      </c>
      <c r="M208">
        <v>29.6</v>
      </c>
      <c r="N208">
        <v>0.8</v>
      </c>
      <c r="O208">
        <v>172.6</v>
      </c>
    </row>
    <row r="209" spans="1:16" x14ac:dyDescent="0.25">
      <c r="A209" t="s">
        <v>489</v>
      </c>
      <c r="B209" t="s">
        <v>10</v>
      </c>
      <c r="C209">
        <v>10</v>
      </c>
      <c r="D209">
        <v>3</v>
      </c>
      <c r="E209">
        <v>3</v>
      </c>
      <c r="F209" t="s">
        <v>493</v>
      </c>
      <c r="G209" t="s">
        <v>494</v>
      </c>
      <c r="H209" t="s">
        <v>16</v>
      </c>
      <c r="I209" t="s">
        <v>494</v>
      </c>
      <c r="J209">
        <v>20.399999999999999</v>
      </c>
      <c r="K209" t="str">
        <f>"-4 30"</f>
        <v>-4 30</v>
      </c>
      <c r="M209">
        <v>20.3</v>
      </c>
      <c r="N209">
        <v>-1.6</v>
      </c>
      <c r="O209">
        <v>173.4</v>
      </c>
      <c r="P209" t="s">
        <v>561</v>
      </c>
    </row>
    <row r="210" spans="1:16" x14ac:dyDescent="0.25">
      <c r="A210" t="s">
        <v>10</v>
      </c>
      <c r="B210" t="s">
        <v>495</v>
      </c>
      <c r="C210">
        <v>6</v>
      </c>
      <c r="D210">
        <v>1</v>
      </c>
      <c r="E210">
        <v>2</v>
      </c>
      <c r="F210">
        <v>3</v>
      </c>
      <c r="G210" t="s">
        <v>496</v>
      </c>
      <c r="H210" t="s">
        <v>16</v>
      </c>
      <c r="I210" t="s">
        <v>496</v>
      </c>
      <c r="J210">
        <v>1.5</v>
      </c>
      <c r="K210" t="str">
        <f>"-one inch"</f>
        <v>-one inch</v>
      </c>
      <c r="M210">
        <v>1.5</v>
      </c>
      <c r="N210">
        <v>-0.1</v>
      </c>
      <c r="O210">
        <v>171.8</v>
      </c>
      <c r="P210" t="s">
        <v>562</v>
      </c>
    </row>
    <row r="211" spans="1:16" x14ac:dyDescent="0.25">
      <c r="A211" t="s">
        <v>495</v>
      </c>
      <c r="B211" t="s">
        <v>497</v>
      </c>
      <c r="C211">
        <v>6</v>
      </c>
      <c r="D211">
        <v>1</v>
      </c>
      <c r="E211">
        <v>3</v>
      </c>
      <c r="F211" t="s">
        <v>16</v>
      </c>
      <c r="G211" t="s">
        <v>16</v>
      </c>
      <c r="H211" t="s">
        <v>498</v>
      </c>
      <c r="I211" t="s">
        <v>499</v>
      </c>
      <c r="J211">
        <v>21.6</v>
      </c>
      <c r="K211" t="s">
        <v>500</v>
      </c>
      <c r="M211">
        <v>20.9</v>
      </c>
      <c r="N211">
        <v>5.4</v>
      </c>
      <c r="O211">
        <v>171.7</v>
      </c>
    </row>
    <row r="212" spans="1:16" x14ac:dyDescent="0.25">
      <c r="A212" t="s">
        <v>497</v>
      </c>
      <c r="B212" t="s">
        <v>501</v>
      </c>
      <c r="C212">
        <v>6</v>
      </c>
      <c r="D212">
        <v>3</v>
      </c>
      <c r="E212">
        <v>2</v>
      </c>
      <c r="F212">
        <v>3</v>
      </c>
      <c r="G212" t="s">
        <v>502</v>
      </c>
      <c r="H212" t="s">
        <v>16</v>
      </c>
      <c r="I212" t="s">
        <v>502</v>
      </c>
      <c r="J212">
        <v>8.5</v>
      </c>
      <c r="K212" t="str">
        <f>"-6 30"</f>
        <v>-6 30</v>
      </c>
      <c r="M212">
        <v>8.4</v>
      </c>
      <c r="N212">
        <v>-1</v>
      </c>
      <c r="O212">
        <v>177.1</v>
      </c>
    </row>
    <row r="213" spans="1:16" x14ac:dyDescent="0.25">
      <c r="A213" t="s">
        <v>501</v>
      </c>
      <c r="B213" t="s">
        <v>503</v>
      </c>
      <c r="C213">
        <v>9</v>
      </c>
      <c r="D213">
        <v>1</v>
      </c>
      <c r="E213">
        <v>3</v>
      </c>
      <c r="F213">
        <v>1</v>
      </c>
      <c r="G213" t="s">
        <v>16</v>
      </c>
      <c r="H213" t="s">
        <v>504</v>
      </c>
      <c r="I213" t="s">
        <v>505</v>
      </c>
      <c r="J213">
        <v>15.7</v>
      </c>
      <c r="K213" t="s">
        <v>464</v>
      </c>
      <c r="M213">
        <v>15.4</v>
      </c>
      <c r="N213">
        <v>3.1</v>
      </c>
      <c r="O213">
        <v>176.1</v>
      </c>
    </row>
    <row r="214" spans="1:16" x14ac:dyDescent="0.25">
      <c r="A214" t="s">
        <v>503</v>
      </c>
      <c r="B214" t="s">
        <v>506</v>
      </c>
      <c r="C214">
        <v>12</v>
      </c>
      <c r="D214">
        <v>3</v>
      </c>
      <c r="E214" t="s">
        <v>438</v>
      </c>
      <c r="F214">
        <v>3</v>
      </c>
      <c r="G214" t="s">
        <v>299</v>
      </c>
      <c r="H214" t="s">
        <v>16</v>
      </c>
      <c r="I214" t="s">
        <v>299</v>
      </c>
      <c r="J214">
        <v>28.5</v>
      </c>
      <c r="K214" t="s">
        <v>507</v>
      </c>
      <c r="M214">
        <v>24</v>
      </c>
      <c r="N214">
        <v>15.3</v>
      </c>
      <c r="O214">
        <v>179.2</v>
      </c>
    </row>
    <row r="215" spans="1:16" x14ac:dyDescent="0.25">
      <c r="A215" t="s">
        <v>506</v>
      </c>
      <c r="B215" t="s">
        <v>508</v>
      </c>
      <c r="C215">
        <v>20</v>
      </c>
      <c r="D215">
        <v>2.5</v>
      </c>
      <c r="E215">
        <v>8</v>
      </c>
      <c r="F215">
        <v>3</v>
      </c>
      <c r="G215" t="s">
        <v>16</v>
      </c>
      <c r="H215" t="s">
        <v>509</v>
      </c>
      <c r="I215" t="s">
        <v>510</v>
      </c>
      <c r="J215">
        <v>6.9</v>
      </c>
      <c r="K215" t="s">
        <v>511</v>
      </c>
      <c r="M215">
        <v>6.3</v>
      </c>
      <c r="N215">
        <v>2.9</v>
      </c>
      <c r="O215">
        <v>194.5</v>
      </c>
      <c r="P215" t="s">
        <v>563</v>
      </c>
    </row>
    <row r="216" spans="1:16" x14ac:dyDescent="0.25">
      <c r="A216" t="s">
        <v>508</v>
      </c>
      <c r="B216" t="s">
        <v>512</v>
      </c>
      <c r="C216">
        <v>18</v>
      </c>
      <c r="D216">
        <v>4.5</v>
      </c>
      <c r="E216">
        <v>3</v>
      </c>
      <c r="F216">
        <v>2</v>
      </c>
      <c r="G216" t="s">
        <v>513</v>
      </c>
      <c r="H216" t="s">
        <v>16</v>
      </c>
      <c r="I216" t="s">
        <v>513</v>
      </c>
      <c r="J216">
        <v>13.8</v>
      </c>
      <c r="K216" t="str">
        <f>"-4 30"</f>
        <v>-4 30</v>
      </c>
      <c r="M216">
        <v>13.7</v>
      </c>
      <c r="N216">
        <v>-1.1000000000000001</v>
      </c>
      <c r="O216">
        <v>197.4</v>
      </c>
    </row>
    <row r="217" spans="1:16" x14ac:dyDescent="0.25">
      <c r="A217" t="s">
        <v>512</v>
      </c>
      <c r="B217" t="s">
        <v>514</v>
      </c>
      <c r="C217">
        <v>20</v>
      </c>
      <c r="D217">
        <v>4</v>
      </c>
      <c r="E217" t="s">
        <v>16</v>
      </c>
      <c r="F217">
        <v>4</v>
      </c>
      <c r="G217" t="s">
        <v>16</v>
      </c>
      <c r="H217" t="s">
        <v>515</v>
      </c>
      <c r="I217" t="s">
        <v>516</v>
      </c>
      <c r="J217">
        <v>18.5</v>
      </c>
      <c r="K217" t="s">
        <v>517</v>
      </c>
      <c r="M217">
        <v>18.399999999999999</v>
      </c>
      <c r="N217">
        <v>0.7</v>
      </c>
      <c r="O217">
        <v>196.3</v>
      </c>
    </row>
    <row r="218" spans="1:16" x14ac:dyDescent="0.25">
      <c r="A218" t="s">
        <v>514</v>
      </c>
      <c r="B218" t="s">
        <v>518</v>
      </c>
      <c r="C218">
        <v>25</v>
      </c>
      <c r="D218">
        <v>4</v>
      </c>
      <c r="E218">
        <v>6</v>
      </c>
      <c r="F218">
        <v>1</v>
      </c>
      <c r="G218" t="s">
        <v>519</v>
      </c>
      <c r="H218" t="s">
        <v>16</v>
      </c>
      <c r="I218" t="s">
        <v>519</v>
      </c>
      <c r="J218">
        <v>8</v>
      </c>
      <c r="K218" t="s">
        <v>520</v>
      </c>
      <c r="M218">
        <v>7.9</v>
      </c>
      <c r="N218">
        <v>0.6</v>
      </c>
      <c r="O218">
        <v>197</v>
      </c>
      <c r="P218" t="s">
        <v>564</v>
      </c>
    </row>
    <row r="219" spans="1:16" x14ac:dyDescent="0.25">
      <c r="A219" t="s">
        <v>518</v>
      </c>
      <c r="B219" t="s">
        <v>521</v>
      </c>
      <c r="C219">
        <v>25</v>
      </c>
      <c r="D219">
        <v>4</v>
      </c>
      <c r="E219">
        <v>10</v>
      </c>
      <c r="F219">
        <v>3</v>
      </c>
      <c r="G219" t="s">
        <v>16</v>
      </c>
      <c r="H219" t="s">
        <v>522</v>
      </c>
      <c r="I219" t="s">
        <v>466</v>
      </c>
      <c r="J219">
        <v>17.399999999999999</v>
      </c>
      <c r="K219" t="s">
        <v>523</v>
      </c>
      <c r="M219">
        <v>16.8</v>
      </c>
      <c r="N219">
        <v>4.8</v>
      </c>
      <c r="O219">
        <v>197.6</v>
      </c>
    </row>
    <row r="220" spans="1:16" x14ac:dyDescent="0.25">
      <c r="A220" t="s">
        <v>521</v>
      </c>
      <c r="B220" t="s">
        <v>524</v>
      </c>
      <c r="C220">
        <v>20</v>
      </c>
      <c r="D220">
        <v>7</v>
      </c>
      <c r="E220">
        <v>3</v>
      </c>
      <c r="F220">
        <v>3</v>
      </c>
      <c r="G220" t="s">
        <v>525</v>
      </c>
      <c r="H220" t="s">
        <v>16</v>
      </c>
      <c r="I220" t="s">
        <v>525</v>
      </c>
      <c r="J220">
        <v>74.599999999999994</v>
      </c>
      <c r="K220" t="s">
        <v>526</v>
      </c>
      <c r="M220">
        <v>73.900000000000006</v>
      </c>
      <c r="N220">
        <v>9.3000000000000007</v>
      </c>
      <c r="O220">
        <v>202.4</v>
      </c>
    </row>
    <row r="221" spans="1:16" x14ac:dyDescent="0.25">
      <c r="A221" t="s">
        <v>524</v>
      </c>
      <c r="B221" t="s">
        <v>527</v>
      </c>
      <c r="C221">
        <v>25</v>
      </c>
      <c r="D221">
        <v>5</v>
      </c>
      <c r="E221">
        <v>4</v>
      </c>
      <c r="F221">
        <v>3</v>
      </c>
      <c r="G221" t="s">
        <v>16</v>
      </c>
      <c r="H221" t="s">
        <v>355</v>
      </c>
      <c r="I221" t="s">
        <v>528</v>
      </c>
      <c r="J221">
        <v>35</v>
      </c>
      <c r="K221" t="s">
        <v>529</v>
      </c>
      <c r="M221">
        <v>33.1</v>
      </c>
      <c r="N221">
        <v>11.4</v>
      </c>
      <c r="O221">
        <v>211.7</v>
      </c>
    </row>
    <row r="222" spans="1:16" x14ac:dyDescent="0.25">
      <c r="A222" t="s">
        <v>527</v>
      </c>
      <c r="B222" t="s">
        <v>530</v>
      </c>
      <c r="C222">
        <v>15</v>
      </c>
      <c r="D222">
        <v>12</v>
      </c>
      <c r="E222">
        <v>6</v>
      </c>
      <c r="F222">
        <v>10</v>
      </c>
      <c r="G222" t="s">
        <v>531</v>
      </c>
      <c r="H222" t="s">
        <v>16</v>
      </c>
      <c r="I222" t="s">
        <v>531</v>
      </c>
      <c r="J222">
        <v>28.3</v>
      </c>
      <c r="K222" t="str">
        <f>"-13 30"</f>
        <v>-13 30</v>
      </c>
      <c r="M222">
        <v>27.5</v>
      </c>
      <c r="N222">
        <v>-6.6</v>
      </c>
      <c r="O222">
        <v>223.1</v>
      </c>
    </row>
    <row r="223" spans="1:16" x14ac:dyDescent="0.25">
      <c r="A223" t="s">
        <v>530</v>
      </c>
      <c r="B223" t="s">
        <v>532</v>
      </c>
      <c r="C223">
        <v>4</v>
      </c>
      <c r="D223">
        <v>4</v>
      </c>
      <c r="E223">
        <v>2</v>
      </c>
      <c r="F223">
        <v>6</v>
      </c>
      <c r="G223" t="s">
        <v>16</v>
      </c>
      <c r="H223" t="s">
        <v>533</v>
      </c>
      <c r="I223" t="s">
        <v>534</v>
      </c>
      <c r="J223">
        <v>10.6</v>
      </c>
      <c r="K223" t="s">
        <v>315</v>
      </c>
      <c r="M223">
        <v>10.1</v>
      </c>
      <c r="N223">
        <v>3</v>
      </c>
      <c r="O223">
        <v>216.5</v>
      </c>
    </row>
    <row r="224" spans="1:16" x14ac:dyDescent="0.25">
      <c r="A224" t="s">
        <v>532</v>
      </c>
      <c r="B224" t="s">
        <v>535</v>
      </c>
      <c r="C224">
        <v>8</v>
      </c>
      <c r="D224">
        <v>6</v>
      </c>
      <c r="E224" t="s">
        <v>16</v>
      </c>
      <c r="F224">
        <v>4</v>
      </c>
      <c r="G224" t="s">
        <v>536</v>
      </c>
      <c r="H224" t="s">
        <v>16</v>
      </c>
      <c r="I224" t="s">
        <v>536</v>
      </c>
      <c r="J224">
        <v>31.4</v>
      </c>
      <c r="K224" t="str">
        <f>"-3 30"</f>
        <v>-3 30</v>
      </c>
      <c r="M224">
        <v>31.3</v>
      </c>
      <c r="N224">
        <v>-1.9</v>
      </c>
      <c r="O224">
        <v>219.5</v>
      </c>
    </row>
    <row r="225" spans="1:16" x14ac:dyDescent="0.25">
      <c r="A225" t="s">
        <v>535</v>
      </c>
      <c r="B225" t="s">
        <v>537</v>
      </c>
      <c r="C225">
        <v>12</v>
      </c>
      <c r="D225">
        <v>3</v>
      </c>
      <c r="E225">
        <v>4</v>
      </c>
      <c r="F225" t="s">
        <v>16</v>
      </c>
      <c r="G225" t="s">
        <v>16</v>
      </c>
      <c r="H225" t="s">
        <v>538</v>
      </c>
      <c r="I225" t="s">
        <v>539</v>
      </c>
      <c r="J225">
        <v>15.9</v>
      </c>
      <c r="K225" t="s">
        <v>80</v>
      </c>
      <c r="M225">
        <v>15.8</v>
      </c>
      <c r="N225">
        <v>1.2</v>
      </c>
      <c r="O225">
        <v>217.6</v>
      </c>
    </row>
    <row r="226" spans="1:16" x14ac:dyDescent="0.25">
      <c r="A226" t="s">
        <v>537</v>
      </c>
      <c r="B226" t="s">
        <v>540</v>
      </c>
      <c r="C226">
        <v>10</v>
      </c>
      <c r="D226">
        <v>4</v>
      </c>
      <c r="E226">
        <v>4</v>
      </c>
      <c r="F226">
        <v>6</v>
      </c>
      <c r="G226" t="s">
        <v>541</v>
      </c>
      <c r="H226" t="s">
        <v>16</v>
      </c>
      <c r="I226" t="s">
        <v>541</v>
      </c>
      <c r="J226">
        <v>35.200000000000003</v>
      </c>
      <c r="K226" t="str">
        <f>"-3 50"</f>
        <v>-3 50</v>
      </c>
      <c r="M226">
        <v>35.1</v>
      </c>
      <c r="N226">
        <v>-2.4</v>
      </c>
      <c r="O226">
        <v>218.8</v>
      </c>
    </row>
    <row r="227" spans="1:16" x14ac:dyDescent="0.25">
      <c r="A227" t="s">
        <v>540</v>
      </c>
      <c r="B227" t="s">
        <v>542</v>
      </c>
      <c r="C227">
        <v>10</v>
      </c>
      <c r="D227">
        <v>2</v>
      </c>
      <c r="E227">
        <v>3</v>
      </c>
      <c r="F227" t="s">
        <v>16</v>
      </c>
      <c r="G227" t="s">
        <v>543</v>
      </c>
      <c r="H227" t="s">
        <v>16</v>
      </c>
      <c r="I227" t="s">
        <v>543</v>
      </c>
      <c r="J227">
        <v>12.3</v>
      </c>
      <c r="K227" t="str">
        <f>"-one foot"</f>
        <v>-one foot</v>
      </c>
      <c r="M227">
        <v>12.2</v>
      </c>
      <c r="N227">
        <v>-1</v>
      </c>
      <c r="O227">
        <v>216.4</v>
      </c>
      <c r="P227" t="s">
        <v>565</v>
      </c>
    </row>
    <row r="228" spans="1:16" x14ac:dyDescent="0.25">
      <c r="A228" t="s">
        <v>542</v>
      </c>
      <c r="B228" t="s">
        <v>544</v>
      </c>
      <c r="C228" s="7" t="str">
        <f>"/"</f>
        <v>/</v>
      </c>
      <c r="D228">
        <v>1</v>
      </c>
      <c r="E228" s="7" t="str">
        <f>"/"</f>
        <v>/</v>
      </c>
      <c r="F228" s="7" t="str">
        <f>"/"</f>
        <v>/</v>
      </c>
      <c r="G228" t="s">
        <v>16</v>
      </c>
      <c r="H228" t="s">
        <v>545</v>
      </c>
      <c r="I228" t="s">
        <v>546</v>
      </c>
      <c r="J228">
        <v>35.700000000000003</v>
      </c>
      <c r="K228" t="s">
        <v>547</v>
      </c>
      <c r="M228">
        <v>11.6</v>
      </c>
      <c r="N228">
        <v>33.799999999999997</v>
      </c>
      <c r="O228">
        <v>215.4</v>
      </c>
      <c r="P228" t="s">
        <v>566</v>
      </c>
    </row>
    <row r="229" spans="1:16" x14ac:dyDescent="0.25">
      <c r="A229" t="s">
        <v>544</v>
      </c>
      <c r="B229" t="s">
        <v>408</v>
      </c>
      <c r="C229" s="7" t="str">
        <f>"/"</f>
        <v>/</v>
      </c>
      <c r="D229" s="7" t="str">
        <f>"/"</f>
        <v>/</v>
      </c>
      <c r="E229" s="7" t="str">
        <f>"/"</f>
        <v>/</v>
      </c>
      <c r="F229" s="7" t="str">
        <f>"/"</f>
        <v>/</v>
      </c>
      <c r="G229" t="s">
        <v>548</v>
      </c>
      <c r="H229" t="s">
        <v>16</v>
      </c>
      <c r="I229" t="s">
        <v>548</v>
      </c>
      <c r="J229">
        <v>3</v>
      </c>
      <c r="K229" t="str">
        <f>"+two feet"</f>
        <v>+two feet</v>
      </c>
      <c r="M229">
        <v>2.5</v>
      </c>
      <c r="N229">
        <v>2</v>
      </c>
      <c r="O229">
        <v>249.2</v>
      </c>
      <c r="P229" t="s">
        <v>567</v>
      </c>
    </row>
    <row r="230" spans="1:16" x14ac:dyDescent="0.25">
      <c r="A230" t="s">
        <v>408</v>
      </c>
      <c r="O230">
        <v>251.2</v>
      </c>
      <c r="P230" t="s">
        <v>568</v>
      </c>
    </row>
    <row r="231" spans="1:16" x14ac:dyDescent="0.25">
      <c r="A231" s="1" t="s">
        <v>569</v>
      </c>
      <c r="B231" s="1" t="s">
        <v>570</v>
      </c>
      <c r="C231" s="1" t="s">
        <v>571</v>
      </c>
    </row>
    <row r="232" spans="1:16" x14ac:dyDescent="0.25">
      <c r="A232" t="s">
        <v>549</v>
      </c>
      <c r="B232" t="s">
        <v>94</v>
      </c>
      <c r="C232" s="7" t="str">
        <f t="shared" ref="C232:F233" si="24">"/"</f>
        <v>/</v>
      </c>
      <c r="D232" s="7" t="str">
        <f t="shared" si="24"/>
        <v>/</v>
      </c>
      <c r="E232" s="7" t="str">
        <f t="shared" si="24"/>
        <v>/</v>
      </c>
      <c r="F232" s="7" t="str">
        <f t="shared" si="24"/>
        <v>/</v>
      </c>
      <c r="G232" t="s">
        <v>16</v>
      </c>
      <c r="H232" t="s">
        <v>550</v>
      </c>
      <c r="I232" t="s">
        <v>578</v>
      </c>
      <c r="J232">
        <v>3.4</v>
      </c>
      <c r="K232" t="str">
        <f>"-one foot"</f>
        <v>-one foot</v>
      </c>
      <c r="M232">
        <v>3.2</v>
      </c>
      <c r="N232">
        <v>-1</v>
      </c>
      <c r="O232">
        <v>56.5</v>
      </c>
      <c r="P232" t="s">
        <v>572</v>
      </c>
    </row>
    <row r="233" spans="1:16" x14ac:dyDescent="0.25">
      <c r="A233" t="s">
        <v>94</v>
      </c>
      <c r="B233" t="s">
        <v>95</v>
      </c>
      <c r="C233" s="7" t="str">
        <f t="shared" si="24"/>
        <v>/</v>
      </c>
      <c r="D233" s="7" t="str">
        <f t="shared" si="24"/>
        <v>/</v>
      </c>
      <c r="E233" s="7" t="str">
        <f t="shared" si="24"/>
        <v>/</v>
      </c>
      <c r="F233" s="7" t="str">
        <f t="shared" si="24"/>
        <v>/</v>
      </c>
      <c r="G233" t="s">
        <v>551</v>
      </c>
      <c r="H233" t="s">
        <v>16</v>
      </c>
      <c r="I233" t="s">
        <v>551</v>
      </c>
      <c r="J233">
        <v>19.399999999999999</v>
      </c>
      <c r="K233" t="s">
        <v>552</v>
      </c>
      <c r="M233">
        <v>10.7</v>
      </c>
      <c r="N233">
        <v>16.2</v>
      </c>
      <c r="O233">
        <v>55.5</v>
      </c>
    </row>
    <row r="234" spans="1:16" x14ac:dyDescent="0.25">
      <c r="A234" t="s">
        <v>95</v>
      </c>
      <c r="B234" t="s">
        <v>96</v>
      </c>
      <c r="C234">
        <v>20</v>
      </c>
      <c r="D234" s="7" t="str">
        <f>"/"</f>
        <v>/</v>
      </c>
      <c r="E234">
        <v>35</v>
      </c>
      <c r="F234">
        <v>10</v>
      </c>
      <c r="G234" t="s">
        <v>16</v>
      </c>
      <c r="H234" t="s">
        <v>553</v>
      </c>
      <c r="I234" t="s">
        <v>576</v>
      </c>
      <c r="J234">
        <v>10.8</v>
      </c>
      <c r="K234" t="s">
        <v>554</v>
      </c>
      <c r="M234">
        <v>9.3000000000000007</v>
      </c>
      <c r="N234">
        <v>5.4</v>
      </c>
      <c r="O234">
        <v>71.7</v>
      </c>
      <c r="P234" t="s">
        <v>573</v>
      </c>
    </row>
    <row r="235" spans="1:16" x14ac:dyDescent="0.25">
      <c r="A235" t="s">
        <v>96</v>
      </c>
      <c r="B235" t="s">
        <v>97</v>
      </c>
      <c r="C235">
        <v>12</v>
      </c>
      <c r="D235">
        <v>2</v>
      </c>
      <c r="E235">
        <v>20</v>
      </c>
      <c r="F235">
        <v>8</v>
      </c>
      <c r="G235" t="s">
        <v>555</v>
      </c>
      <c r="H235" t="s">
        <v>16</v>
      </c>
      <c r="I235" t="s">
        <v>555</v>
      </c>
      <c r="J235">
        <v>23.8</v>
      </c>
      <c r="K235" t="s">
        <v>556</v>
      </c>
      <c r="M235">
        <v>22.4</v>
      </c>
      <c r="N235">
        <v>8</v>
      </c>
      <c r="O235">
        <v>77.099999999999994</v>
      </c>
      <c r="P235" t="s">
        <v>574</v>
      </c>
    </row>
    <row r="236" spans="1:16" x14ac:dyDescent="0.25">
      <c r="A236" t="s">
        <v>97</v>
      </c>
      <c r="B236" t="s">
        <v>98</v>
      </c>
      <c r="C236">
        <v>4</v>
      </c>
      <c r="D236">
        <v>2</v>
      </c>
      <c r="E236" s="7" t="str">
        <f>"/"</f>
        <v>/</v>
      </c>
      <c r="F236">
        <v>3</v>
      </c>
      <c r="G236" t="s">
        <v>16</v>
      </c>
      <c r="H236" t="s">
        <v>557</v>
      </c>
      <c r="I236" t="s">
        <v>577</v>
      </c>
      <c r="J236">
        <v>52</v>
      </c>
      <c r="K236" t="s">
        <v>558</v>
      </c>
      <c r="M236">
        <v>51.9</v>
      </c>
      <c r="N236">
        <v>2.2999999999999998</v>
      </c>
      <c r="O236">
        <v>85.1</v>
      </c>
      <c r="P236" t="s">
        <v>575</v>
      </c>
    </row>
    <row r="237" spans="1:16" x14ac:dyDescent="0.25">
      <c r="A237" t="s">
        <v>98</v>
      </c>
      <c r="B237" t="s">
        <v>99</v>
      </c>
      <c r="C237">
        <v>2</v>
      </c>
      <c r="D237">
        <v>2</v>
      </c>
      <c r="E237">
        <v>3</v>
      </c>
      <c r="F237">
        <v>1.5</v>
      </c>
      <c r="G237" t="s">
        <v>519</v>
      </c>
      <c r="H237" t="s">
        <v>16</v>
      </c>
      <c r="J237">
        <v>23.5</v>
      </c>
      <c r="K237" t="s">
        <v>655</v>
      </c>
      <c r="M237">
        <v>23.3</v>
      </c>
      <c r="N237">
        <v>3.6</v>
      </c>
      <c r="O237">
        <v>87.4</v>
      </c>
      <c r="P237" t="s">
        <v>669</v>
      </c>
    </row>
    <row r="238" spans="1:16" x14ac:dyDescent="0.25">
      <c r="A238" t="s">
        <v>99</v>
      </c>
      <c r="B238" t="s">
        <v>100</v>
      </c>
      <c r="C238">
        <v>1.5</v>
      </c>
      <c r="D238">
        <v>0.5</v>
      </c>
      <c r="E238" t="s">
        <v>16</v>
      </c>
      <c r="F238">
        <v>1.5</v>
      </c>
      <c r="G238" t="s">
        <v>16</v>
      </c>
      <c r="H238" t="s">
        <v>365</v>
      </c>
      <c r="J238">
        <v>16.899999999999999</v>
      </c>
      <c r="K238" t="str">
        <f>"-5 00"</f>
        <v>-5 00</v>
      </c>
      <c r="M238">
        <v>16.8</v>
      </c>
      <c r="N238">
        <v>-1.5</v>
      </c>
      <c r="O238">
        <v>91</v>
      </c>
    </row>
    <row r="239" spans="1:16" x14ac:dyDescent="0.25">
      <c r="A239" t="s">
        <v>100</v>
      </c>
      <c r="B239" t="s">
        <v>101</v>
      </c>
      <c r="C239">
        <v>1</v>
      </c>
      <c r="D239">
        <v>1</v>
      </c>
      <c r="E239">
        <v>2</v>
      </c>
      <c r="F239">
        <v>1</v>
      </c>
      <c r="G239" t="s">
        <v>16</v>
      </c>
      <c r="H239" t="s">
        <v>621</v>
      </c>
      <c r="J239">
        <v>7.6</v>
      </c>
      <c r="K239" t="str">
        <f>"+0.5 feet"</f>
        <v>+0.5 feet</v>
      </c>
      <c r="M239">
        <v>7.5</v>
      </c>
      <c r="N239">
        <v>0.5</v>
      </c>
      <c r="O239">
        <v>89.5</v>
      </c>
    </row>
    <row r="240" spans="1:16" x14ac:dyDescent="0.25">
      <c r="A240" t="s">
        <v>101</v>
      </c>
      <c r="B240" t="s">
        <v>93</v>
      </c>
      <c r="C240">
        <v>0.5</v>
      </c>
      <c r="D240">
        <v>0.5</v>
      </c>
      <c r="E240">
        <v>3</v>
      </c>
      <c r="F240">
        <v>1</v>
      </c>
      <c r="G240" t="s">
        <v>16</v>
      </c>
      <c r="H240" t="s">
        <v>622</v>
      </c>
      <c r="J240">
        <v>18.2</v>
      </c>
      <c r="K240" t="s">
        <v>656</v>
      </c>
      <c r="M240">
        <v>18</v>
      </c>
      <c r="N240">
        <v>1.7</v>
      </c>
      <c r="O240">
        <v>90</v>
      </c>
    </row>
    <row r="241" spans="1:16" x14ac:dyDescent="0.25">
      <c r="A241" t="s">
        <v>93</v>
      </c>
      <c r="B241" t="s">
        <v>581</v>
      </c>
      <c r="C241">
        <v>2</v>
      </c>
      <c r="D241">
        <v>0.5</v>
      </c>
      <c r="E241">
        <v>1</v>
      </c>
      <c r="F241">
        <v>1.5</v>
      </c>
      <c r="G241" t="s">
        <v>16</v>
      </c>
      <c r="H241" t="s">
        <v>623</v>
      </c>
      <c r="J241">
        <v>7.8</v>
      </c>
      <c r="K241" t="str">
        <f>"-7 00"</f>
        <v>-7 00</v>
      </c>
      <c r="M241">
        <v>7.7</v>
      </c>
      <c r="N241">
        <v>-0.9</v>
      </c>
      <c r="O241">
        <v>91.7</v>
      </c>
      <c r="P241" t="s">
        <v>670</v>
      </c>
    </row>
    <row r="242" spans="1:16" x14ac:dyDescent="0.25">
      <c r="A242" t="s">
        <v>581</v>
      </c>
      <c r="B242" t="s">
        <v>582</v>
      </c>
      <c r="C242">
        <v>2</v>
      </c>
      <c r="D242">
        <v>2</v>
      </c>
      <c r="E242">
        <v>3</v>
      </c>
      <c r="F242">
        <v>2</v>
      </c>
      <c r="G242" t="s">
        <v>624</v>
      </c>
      <c r="H242" t="s">
        <v>16</v>
      </c>
      <c r="J242">
        <v>28.9</v>
      </c>
      <c r="K242" t="str">
        <f>"-17 30"</f>
        <v>-17 30</v>
      </c>
      <c r="M242">
        <v>27.5</v>
      </c>
      <c r="N242">
        <v>-8.6999999999999993</v>
      </c>
      <c r="O242">
        <v>90.8</v>
      </c>
    </row>
    <row r="243" spans="1:16" x14ac:dyDescent="0.25">
      <c r="A243" t="s">
        <v>582</v>
      </c>
      <c r="B243" t="s">
        <v>583</v>
      </c>
      <c r="C243">
        <v>3</v>
      </c>
      <c r="D243">
        <v>0.5</v>
      </c>
      <c r="E243">
        <v>3</v>
      </c>
      <c r="F243">
        <v>4</v>
      </c>
      <c r="G243" t="s">
        <v>16</v>
      </c>
      <c r="H243" t="s">
        <v>627</v>
      </c>
      <c r="J243">
        <v>22.3</v>
      </c>
      <c r="K243" t="s">
        <v>520</v>
      </c>
      <c r="M243">
        <v>22.1</v>
      </c>
      <c r="N243">
        <v>1.6</v>
      </c>
      <c r="O243">
        <v>82.1</v>
      </c>
    </row>
    <row r="244" spans="1:16" x14ac:dyDescent="0.25">
      <c r="A244" t="s">
        <v>583</v>
      </c>
      <c r="B244" t="s">
        <v>584</v>
      </c>
      <c r="C244">
        <v>4</v>
      </c>
      <c r="D244">
        <v>3</v>
      </c>
      <c r="E244">
        <v>5</v>
      </c>
      <c r="F244">
        <v>3</v>
      </c>
      <c r="G244" t="s">
        <v>625</v>
      </c>
      <c r="H244" t="s">
        <v>16</v>
      </c>
      <c r="J244">
        <v>22.9</v>
      </c>
      <c r="K244" t="s">
        <v>657</v>
      </c>
      <c r="M244">
        <v>22.9</v>
      </c>
      <c r="N244">
        <v>0.3</v>
      </c>
      <c r="O244">
        <v>83.7</v>
      </c>
    </row>
    <row r="245" spans="1:16" x14ac:dyDescent="0.25">
      <c r="A245" t="s">
        <v>584</v>
      </c>
      <c r="B245" t="s">
        <v>585</v>
      </c>
      <c r="C245">
        <v>2</v>
      </c>
      <c r="D245">
        <v>1.5</v>
      </c>
      <c r="E245" t="s">
        <v>16</v>
      </c>
      <c r="F245">
        <v>2</v>
      </c>
      <c r="G245" t="s">
        <v>16</v>
      </c>
      <c r="H245" t="s">
        <v>174</v>
      </c>
      <c r="J245">
        <v>18.8</v>
      </c>
      <c r="K245" t="str">
        <f>"-5 30"</f>
        <v>-5 30</v>
      </c>
      <c r="M245">
        <v>18.600000000000001</v>
      </c>
      <c r="N245">
        <v>-1.8</v>
      </c>
      <c r="O245">
        <v>84</v>
      </c>
    </row>
    <row r="246" spans="1:16" x14ac:dyDescent="0.25">
      <c r="A246" t="s">
        <v>585</v>
      </c>
      <c r="B246" t="s">
        <v>586</v>
      </c>
      <c r="C246">
        <v>4</v>
      </c>
      <c r="D246">
        <v>6</v>
      </c>
      <c r="E246">
        <v>3</v>
      </c>
      <c r="F246">
        <v>3</v>
      </c>
      <c r="G246" t="s">
        <v>626</v>
      </c>
      <c r="H246" t="s">
        <v>16</v>
      </c>
      <c r="J246">
        <v>47.1</v>
      </c>
      <c r="K246" t="str">
        <f>"-11 30"</f>
        <v>-11 30</v>
      </c>
      <c r="M246">
        <v>46.2</v>
      </c>
      <c r="N246">
        <v>-9.4</v>
      </c>
      <c r="O246">
        <v>82.2</v>
      </c>
      <c r="P246" t="s">
        <v>668</v>
      </c>
    </row>
    <row r="247" spans="1:16" x14ac:dyDescent="0.25">
      <c r="A247" t="s">
        <v>586</v>
      </c>
      <c r="O247">
        <v>72.8</v>
      </c>
    </row>
    <row r="248" spans="1:16" x14ac:dyDescent="0.25">
      <c r="A248" s="1" t="s">
        <v>628</v>
      </c>
      <c r="B248" s="1" t="s">
        <v>629</v>
      </c>
      <c r="C248" s="1" t="s">
        <v>630</v>
      </c>
    </row>
    <row r="249" spans="1:16" x14ac:dyDescent="0.25">
      <c r="A249" t="s">
        <v>586</v>
      </c>
      <c r="B249" t="s">
        <v>587</v>
      </c>
      <c r="C249">
        <v>3</v>
      </c>
      <c r="D249">
        <v>5</v>
      </c>
      <c r="E249">
        <v>4</v>
      </c>
      <c r="F249">
        <v>11</v>
      </c>
      <c r="G249" t="s">
        <v>16</v>
      </c>
      <c r="H249" t="s">
        <v>307</v>
      </c>
      <c r="J249">
        <v>24</v>
      </c>
      <c r="K249" t="str">
        <f>"-9 15"</f>
        <v>-9 15</v>
      </c>
      <c r="M249">
        <v>23.8</v>
      </c>
      <c r="N249">
        <v>-3.9</v>
      </c>
      <c r="O249">
        <v>72.8</v>
      </c>
      <c r="P249" t="s">
        <v>671</v>
      </c>
    </row>
    <row r="250" spans="1:16" x14ac:dyDescent="0.25">
      <c r="A250" t="s">
        <v>587</v>
      </c>
      <c r="B250" t="s">
        <v>588</v>
      </c>
      <c r="C250">
        <v>15</v>
      </c>
      <c r="D250">
        <v>2</v>
      </c>
      <c r="E250" t="s">
        <v>620</v>
      </c>
      <c r="F250">
        <v>7</v>
      </c>
      <c r="G250" t="s">
        <v>631</v>
      </c>
      <c r="H250" t="s">
        <v>16</v>
      </c>
      <c r="J250">
        <v>34.4</v>
      </c>
      <c r="K250" t="str">
        <f>"-14 30"</f>
        <v>-14 30</v>
      </c>
      <c r="M250">
        <v>33.200000000000003</v>
      </c>
      <c r="N250">
        <v>-8.6</v>
      </c>
      <c r="O250">
        <v>68.900000000000006</v>
      </c>
    </row>
    <row r="251" spans="1:16" x14ac:dyDescent="0.25">
      <c r="A251" t="s">
        <v>588</v>
      </c>
      <c r="B251" t="s">
        <v>589</v>
      </c>
      <c r="C251">
        <v>4</v>
      </c>
      <c r="D251">
        <v>1</v>
      </c>
      <c r="E251">
        <v>3</v>
      </c>
      <c r="F251" s="7" t="str">
        <f t="shared" ref="F251" si="25">"/"</f>
        <v>/</v>
      </c>
      <c r="G251" t="s">
        <v>632</v>
      </c>
      <c r="H251" t="s">
        <v>16</v>
      </c>
      <c r="J251">
        <v>23.1</v>
      </c>
      <c r="K251" t="str">
        <f>"-3.5 feet"</f>
        <v>-3.5 feet</v>
      </c>
      <c r="M251">
        <v>22.5</v>
      </c>
      <c r="N251">
        <v>-3.5</v>
      </c>
      <c r="O251">
        <v>60.3</v>
      </c>
      <c r="P251" t="s">
        <v>672</v>
      </c>
    </row>
    <row r="252" spans="1:16" x14ac:dyDescent="0.25">
      <c r="A252" t="s">
        <v>588</v>
      </c>
      <c r="B252" t="s">
        <v>590</v>
      </c>
      <c r="C252" s="7" t="str">
        <f t="shared" ref="C252:F252" si="26">"/"</f>
        <v>/</v>
      </c>
      <c r="D252" s="7" t="str">
        <f t="shared" si="26"/>
        <v>/</v>
      </c>
      <c r="E252" s="7" t="str">
        <f t="shared" si="26"/>
        <v>/</v>
      </c>
      <c r="F252" s="7" t="str">
        <f t="shared" si="26"/>
        <v>/</v>
      </c>
      <c r="G252" t="s">
        <v>16</v>
      </c>
      <c r="H252" t="s">
        <v>648</v>
      </c>
      <c r="J252">
        <v>21.6</v>
      </c>
      <c r="K252" t="s">
        <v>658</v>
      </c>
      <c r="M252">
        <v>20.2</v>
      </c>
      <c r="N252">
        <v>7.6</v>
      </c>
      <c r="O252" t="s">
        <v>664</v>
      </c>
    </row>
    <row r="253" spans="1:16" x14ac:dyDescent="0.25">
      <c r="A253" t="s">
        <v>590</v>
      </c>
      <c r="B253" t="s">
        <v>591</v>
      </c>
      <c r="C253">
        <v>2</v>
      </c>
      <c r="D253">
        <v>3</v>
      </c>
      <c r="E253">
        <v>25</v>
      </c>
      <c r="F253">
        <v>5</v>
      </c>
      <c r="G253" t="s">
        <v>633</v>
      </c>
      <c r="H253" t="s">
        <v>16</v>
      </c>
      <c r="J253">
        <v>17.399999999999999</v>
      </c>
      <c r="K253" t="str">
        <f>"-7 30"</f>
        <v>-7 30</v>
      </c>
      <c r="M253">
        <v>17.2</v>
      </c>
      <c r="N253">
        <v>-2.2999999999999998</v>
      </c>
      <c r="O253">
        <v>67.900000000000006</v>
      </c>
    </row>
    <row r="254" spans="1:16" x14ac:dyDescent="0.25">
      <c r="A254" t="s">
        <v>591</v>
      </c>
      <c r="B254" t="s">
        <v>592</v>
      </c>
      <c r="C254">
        <v>2</v>
      </c>
      <c r="D254">
        <v>1</v>
      </c>
      <c r="E254" s="7" t="str">
        <f t="shared" ref="E254" si="27">"/"</f>
        <v>/</v>
      </c>
      <c r="F254">
        <v>10</v>
      </c>
      <c r="G254" t="s">
        <v>634</v>
      </c>
      <c r="H254" t="s">
        <v>16</v>
      </c>
      <c r="J254">
        <v>18.2</v>
      </c>
      <c r="K254" t="str">
        <f>"-4 feet"</f>
        <v>-4 feet</v>
      </c>
      <c r="M254">
        <v>17.8</v>
      </c>
      <c r="N254">
        <v>-4</v>
      </c>
      <c r="O254">
        <v>65.599999999999994</v>
      </c>
      <c r="P254" t="s">
        <v>673</v>
      </c>
    </row>
    <row r="255" spans="1:16" x14ac:dyDescent="0.25">
      <c r="A255" t="s">
        <v>591</v>
      </c>
      <c r="B255" t="s">
        <v>593</v>
      </c>
      <c r="C255" s="7" t="str">
        <f t="shared" ref="C255:F255" si="28">"/"</f>
        <v>/</v>
      </c>
      <c r="D255" s="7" t="str">
        <f t="shared" si="28"/>
        <v>/</v>
      </c>
      <c r="E255" s="7" t="str">
        <f t="shared" si="28"/>
        <v>/</v>
      </c>
      <c r="F255" s="7" t="str">
        <f t="shared" si="28"/>
        <v>/</v>
      </c>
      <c r="G255" t="s">
        <v>16</v>
      </c>
      <c r="H255" t="s">
        <v>354</v>
      </c>
      <c r="J255">
        <v>17.3</v>
      </c>
      <c r="K255" t="s">
        <v>658</v>
      </c>
      <c r="M255">
        <v>16.2</v>
      </c>
      <c r="N255">
        <v>6</v>
      </c>
      <c r="O255" t="s">
        <v>665</v>
      </c>
      <c r="P255" t="s">
        <v>674</v>
      </c>
    </row>
    <row r="256" spans="1:16" x14ac:dyDescent="0.25">
      <c r="A256" t="s">
        <v>593</v>
      </c>
      <c r="B256" t="s">
        <v>594</v>
      </c>
      <c r="C256">
        <v>1</v>
      </c>
      <c r="D256">
        <v>1.5</v>
      </c>
      <c r="E256">
        <v>3</v>
      </c>
      <c r="F256">
        <v>3</v>
      </c>
      <c r="G256" t="s">
        <v>635</v>
      </c>
      <c r="H256" t="s">
        <v>16</v>
      </c>
      <c r="J256">
        <v>16.2</v>
      </c>
      <c r="K256" t="str">
        <f>"-2 45"</f>
        <v>-2 45</v>
      </c>
      <c r="M256">
        <v>16.100000000000001</v>
      </c>
      <c r="N256">
        <v>-0.8</v>
      </c>
      <c r="O256">
        <v>71.599999999999994</v>
      </c>
    </row>
    <row r="257" spans="1:16" x14ac:dyDescent="0.25">
      <c r="A257" t="s">
        <v>594</v>
      </c>
      <c r="B257" t="s">
        <v>595</v>
      </c>
      <c r="C257">
        <v>3</v>
      </c>
      <c r="D257" t="s">
        <v>16</v>
      </c>
      <c r="E257">
        <v>4</v>
      </c>
      <c r="F257">
        <v>2</v>
      </c>
      <c r="G257" t="s">
        <v>16</v>
      </c>
      <c r="H257" t="s">
        <v>649</v>
      </c>
      <c r="J257">
        <v>17.8</v>
      </c>
      <c r="K257" t="s">
        <v>556</v>
      </c>
      <c r="M257">
        <v>16.8</v>
      </c>
      <c r="N257">
        <v>6</v>
      </c>
      <c r="O257">
        <v>70.8</v>
      </c>
      <c r="P257" t="s">
        <v>675</v>
      </c>
    </row>
    <row r="258" spans="1:16" x14ac:dyDescent="0.25">
      <c r="A258" t="s">
        <v>595</v>
      </c>
      <c r="B258" t="s">
        <v>596</v>
      </c>
      <c r="C258">
        <v>1</v>
      </c>
      <c r="D258">
        <v>2</v>
      </c>
      <c r="E258">
        <v>2</v>
      </c>
      <c r="F258">
        <v>3</v>
      </c>
      <c r="G258" t="s">
        <v>636</v>
      </c>
      <c r="H258" t="s">
        <v>16</v>
      </c>
      <c r="J258">
        <v>24.3</v>
      </c>
      <c r="K258" t="s">
        <v>247</v>
      </c>
      <c r="M258">
        <v>23.8</v>
      </c>
      <c r="N258">
        <v>4.2</v>
      </c>
      <c r="O258">
        <v>76.8</v>
      </c>
    </row>
    <row r="259" spans="1:16" x14ac:dyDescent="0.25">
      <c r="A259" t="s">
        <v>596</v>
      </c>
      <c r="B259" t="s">
        <v>597</v>
      </c>
      <c r="C259">
        <v>1</v>
      </c>
      <c r="D259" s="7" t="str">
        <f t="shared" ref="D259" si="29">"/"</f>
        <v>/</v>
      </c>
      <c r="E259">
        <v>4</v>
      </c>
      <c r="F259" t="s">
        <v>16</v>
      </c>
      <c r="G259" t="s">
        <v>16</v>
      </c>
      <c r="H259" t="s">
        <v>16</v>
      </c>
      <c r="J259">
        <v>6</v>
      </c>
      <c r="K259" t="str">
        <f>"-90 00"</f>
        <v>-90 00</v>
      </c>
      <c r="M259" t="s">
        <v>16</v>
      </c>
      <c r="N259">
        <v>-6</v>
      </c>
      <c r="O259">
        <v>81</v>
      </c>
    </row>
    <row r="260" spans="1:16" x14ac:dyDescent="0.25">
      <c r="A260" t="s">
        <v>597</v>
      </c>
      <c r="B260" t="s">
        <v>598</v>
      </c>
      <c r="C260" s="7" t="str">
        <f t="shared" ref="C260" si="30">"/"</f>
        <v>/</v>
      </c>
      <c r="D260" t="s">
        <v>16</v>
      </c>
      <c r="E260">
        <v>1</v>
      </c>
      <c r="F260">
        <v>2</v>
      </c>
      <c r="G260" t="s">
        <v>16</v>
      </c>
      <c r="H260" t="s">
        <v>650</v>
      </c>
      <c r="J260">
        <v>12.5</v>
      </c>
      <c r="K260" t="str">
        <f>"-2 40"</f>
        <v>-2 40</v>
      </c>
      <c r="M260">
        <v>12.4</v>
      </c>
      <c r="N260">
        <v>-0.6</v>
      </c>
      <c r="O260">
        <v>75</v>
      </c>
      <c r="P260" t="s">
        <v>676</v>
      </c>
    </row>
    <row r="261" spans="1:16" x14ac:dyDescent="0.25">
      <c r="A261" t="s">
        <v>598</v>
      </c>
      <c r="B261" t="s">
        <v>599</v>
      </c>
      <c r="C261">
        <v>4</v>
      </c>
      <c r="D261">
        <v>4</v>
      </c>
      <c r="E261">
        <v>4</v>
      </c>
      <c r="F261">
        <v>2</v>
      </c>
      <c r="G261" t="s">
        <v>651</v>
      </c>
      <c r="H261" t="s">
        <v>16</v>
      </c>
      <c r="J261">
        <v>11.2</v>
      </c>
      <c r="K261" t="str">
        <f>"-22 30"</f>
        <v>-22 30</v>
      </c>
      <c r="M261">
        <v>10.3</v>
      </c>
      <c r="N261">
        <v>-4.3</v>
      </c>
      <c r="O261">
        <v>74.400000000000006</v>
      </c>
      <c r="P261" t="s">
        <v>677</v>
      </c>
    </row>
    <row r="262" spans="1:16" x14ac:dyDescent="0.25">
      <c r="A262" t="s">
        <v>599</v>
      </c>
      <c r="B262" t="s">
        <v>600</v>
      </c>
      <c r="C262" t="s">
        <v>619</v>
      </c>
      <c r="D262" t="s">
        <v>16</v>
      </c>
      <c r="E262">
        <v>2.5</v>
      </c>
      <c r="F262">
        <v>2.5</v>
      </c>
      <c r="G262" t="s">
        <v>16</v>
      </c>
      <c r="H262" t="s">
        <v>652</v>
      </c>
      <c r="J262">
        <v>8</v>
      </c>
      <c r="K262" t="s">
        <v>464</v>
      </c>
      <c r="M262">
        <v>7.8</v>
      </c>
      <c r="N262">
        <v>1.6</v>
      </c>
      <c r="O262">
        <v>70.099999999999994</v>
      </c>
      <c r="P262" t="s">
        <v>678</v>
      </c>
    </row>
    <row r="263" spans="1:16" x14ac:dyDescent="0.25">
      <c r="A263" t="s">
        <v>600</v>
      </c>
      <c r="B263" t="s">
        <v>601</v>
      </c>
      <c r="C263">
        <v>3</v>
      </c>
      <c r="D263">
        <v>3</v>
      </c>
      <c r="E263">
        <v>4</v>
      </c>
      <c r="F263">
        <v>2</v>
      </c>
      <c r="G263" t="s">
        <v>637</v>
      </c>
      <c r="H263" t="s">
        <v>16</v>
      </c>
      <c r="J263">
        <v>14.3</v>
      </c>
      <c r="K263" t="str">
        <f>"-12 00"</f>
        <v>-12 00</v>
      </c>
      <c r="M263">
        <v>14</v>
      </c>
      <c r="N263">
        <v>-3</v>
      </c>
      <c r="O263">
        <v>71.7</v>
      </c>
      <c r="P263" t="s">
        <v>679</v>
      </c>
    </row>
    <row r="264" spans="1:16" x14ac:dyDescent="0.25">
      <c r="A264" t="s">
        <v>601</v>
      </c>
      <c r="B264" t="s">
        <v>602</v>
      </c>
      <c r="C264">
        <v>4</v>
      </c>
      <c r="D264" t="s">
        <v>16</v>
      </c>
      <c r="E264">
        <v>2</v>
      </c>
      <c r="F264">
        <v>3</v>
      </c>
      <c r="G264" t="s">
        <v>16</v>
      </c>
      <c r="H264" t="s">
        <v>645</v>
      </c>
      <c r="J264">
        <v>12.7</v>
      </c>
      <c r="K264" t="s">
        <v>371</v>
      </c>
      <c r="M264">
        <v>12.6</v>
      </c>
      <c r="N264">
        <v>1.3</v>
      </c>
      <c r="O264">
        <v>68.7</v>
      </c>
    </row>
    <row r="265" spans="1:16" x14ac:dyDescent="0.25">
      <c r="A265" t="s">
        <v>602</v>
      </c>
      <c r="B265" t="s">
        <v>603</v>
      </c>
      <c r="C265">
        <v>7</v>
      </c>
      <c r="D265">
        <v>2</v>
      </c>
      <c r="E265">
        <v>5</v>
      </c>
      <c r="F265">
        <v>2</v>
      </c>
      <c r="G265" t="s">
        <v>638</v>
      </c>
      <c r="H265" t="s">
        <v>16</v>
      </c>
      <c r="J265">
        <v>30.5</v>
      </c>
      <c r="K265" t="str">
        <f>"-8 40"</f>
        <v>-8 40</v>
      </c>
      <c r="M265">
        <v>30.1</v>
      </c>
      <c r="N265">
        <v>-4.5999999999999996</v>
      </c>
      <c r="O265">
        <v>70</v>
      </c>
      <c r="P265" t="s">
        <v>680</v>
      </c>
    </row>
    <row r="266" spans="1:16" x14ac:dyDescent="0.25">
      <c r="A266" t="s">
        <v>603</v>
      </c>
      <c r="B266" t="s">
        <v>604</v>
      </c>
      <c r="C266">
        <v>5</v>
      </c>
      <c r="D266">
        <v>1</v>
      </c>
      <c r="E266">
        <v>1.5</v>
      </c>
      <c r="F266">
        <v>4</v>
      </c>
      <c r="G266" t="s">
        <v>16</v>
      </c>
      <c r="H266" t="s">
        <v>653</v>
      </c>
      <c r="J266">
        <v>27.4</v>
      </c>
      <c r="K266" t="s">
        <v>659</v>
      </c>
      <c r="M266">
        <v>27.4</v>
      </c>
      <c r="N266" t="s">
        <v>16</v>
      </c>
      <c r="O266">
        <v>65.400000000000006</v>
      </c>
    </row>
    <row r="267" spans="1:16" x14ac:dyDescent="0.25">
      <c r="A267" t="s">
        <v>604</v>
      </c>
      <c r="B267" t="s">
        <v>605</v>
      </c>
      <c r="C267">
        <v>2</v>
      </c>
      <c r="D267">
        <v>1.5</v>
      </c>
      <c r="E267">
        <v>8</v>
      </c>
      <c r="F267">
        <v>2.5</v>
      </c>
      <c r="G267" t="s">
        <v>639</v>
      </c>
      <c r="H267" t="s">
        <v>16</v>
      </c>
      <c r="J267">
        <v>13.7</v>
      </c>
      <c r="K267" t="str">
        <f>"-20 20"</f>
        <v>-20 20</v>
      </c>
      <c r="M267">
        <v>12.8</v>
      </c>
      <c r="N267">
        <v>-4.8</v>
      </c>
      <c r="O267">
        <v>65.400000000000006</v>
      </c>
      <c r="P267" t="s">
        <v>681</v>
      </c>
    </row>
    <row r="268" spans="1:16" x14ac:dyDescent="0.25">
      <c r="A268" t="s">
        <v>597</v>
      </c>
      <c r="B268" t="s">
        <v>606</v>
      </c>
      <c r="C268" s="7" t="str">
        <f t="shared" ref="C268:F280" si="31">"/"</f>
        <v>/</v>
      </c>
      <c r="D268" s="7" t="str">
        <f t="shared" si="31"/>
        <v>/</v>
      </c>
      <c r="E268" s="7" t="str">
        <f t="shared" si="31"/>
        <v>/</v>
      </c>
      <c r="F268" s="7" t="str">
        <f t="shared" si="31"/>
        <v>/</v>
      </c>
      <c r="G268" t="s">
        <v>16</v>
      </c>
      <c r="H268" t="s">
        <v>654</v>
      </c>
      <c r="J268">
        <v>19.2</v>
      </c>
      <c r="K268" t="s">
        <v>660</v>
      </c>
      <c r="M268">
        <v>17.8</v>
      </c>
      <c r="N268">
        <v>7.2</v>
      </c>
      <c r="O268" t="s">
        <v>666</v>
      </c>
    </row>
    <row r="269" spans="1:16" x14ac:dyDescent="0.25">
      <c r="A269" t="s">
        <v>606</v>
      </c>
      <c r="B269" t="s">
        <v>607</v>
      </c>
      <c r="C269" s="7" t="str">
        <f t="shared" si="31"/>
        <v>/</v>
      </c>
      <c r="D269" s="7" t="str">
        <f t="shared" si="31"/>
        <v>/</v>
      </c>
      <c r="E269" s="7" t="str">
        <f t="shared" si="31"/>
        <v>/</v>
      </c>
      <c r="F269" s="7" t="str">
        <f t="shared" si="31"/>
        <v>/</v>
      </c>
      <c r="G269" t="s">
        <v>640</v>
      </c>
      <c r="H269" t="s">
        <v>16</v>
      </c>
      <c r="J269">
        <v>7.2</v>
      </c>
      <c r="K269" t="s">
        <v>661</v>
      </c>
      <c r="M269">
        <v>4.0999999999999996</v>
      </c>
      <c r="N269">
        <v>5.9</v>
      </c>
      <c r="O269">
        <v>82.2</v>
      </c>
    </row>
    <row r="270" spans="1:16" x14ac:dyDescent="0.25">
      <c r="A270" t="s">
        <v>607</v>
      </c>
      <c r="B270" t="s">
        <v>608</v>
      </c>
      <c r="C270" s="7" t="str">
        <f t="shared" si="31"/>
        <v>/</v>
      </c>
      <c r="D270" s="7" t="str">
        <f t="shared" si="31"/>
        <v>/</v>
      </c>
      <c r="E270" s="7" t="str">
        <f t="shared" si="31"/>
        <v>/</v>
      </c>
      <c r="F270" s="7" t="str">
        <f t="shared" si="31"/>
        <v>/</v>
      </c>
      <c r="G270" t="s">
        <v>641</v>
      </c>
      <c r="H270" t="s">
        <v>16</v>
      </c>
      <c r="J270">
        <v>19.7</v>
      </c>
      <c r="K270" t="s">
        <v>248</v>
      </c>
      <c r="M270">
        <v>18.8</v>
      </c>
      <c r="N270">
        <v>6.1</v>
      </c>
      <c r="O270">
        <v>88.1</v>
      </c>
    </row>
    <row r="271" spans="1:16" x14ac:dyDescent="0.25">
      <c r="A271" t="s">
        <v>608</v>
      </c>
      <c r="B271" t="s">
        <v>609</v>
      </c>
      <c r="C271" s="7" t="str">
        <f t="shared" si="31"/>
        <v>/</v>
      </c>
      <c r="D271" s="7" t="str">
        <f t="shared" si="31"/>
        <v>/</v>
      </c>
      <c r="E271" s="7" t="str">
        <f t="shared" si="31"/>
        <v>/</v>
      </c>
      <c r="F271" s="7" t="str">
        <f t="shared" si="31"/>
        <v>/</v>
      </c>
      <c r="G271" t="s">
        <v>181</v>
      </c>
      <c r="H271" t="s">
        <v>16</v>
      </c>
      <c r="J271">
        <v>9.1999999999999993</v>
      </c>
      <c r="K271" t="str">
        <f>"-22 00"</f>
        <v>-22 00</v>
      </c>
      <c r="M271">
        <v>8.5</v>
      </c>
      <c r="N271">
        <v>-3.4</v>
      </c>
      <c r="O271">
        <v>94.2</v>
      </c>
    </row>
    <row r="272" spans="1:16" x14ac:dyDescent="0.25">
      <c r="A272" t="s">
        <v>609</v>
      </c>
      <c r="B272" t="s">
        <v>610</v>
      </c>
      <c r="C272" s="7" t="str">
        <f t="shared" si="31"/>
        <v>/</v>
      </c>
      <c r="D272" s="7" t="str">
        <f t="shared" si="31"/>
        <v>/</v>
      </c>
      <c r="E272" s="7" t="str">
        <f t="shared" si="31"/>
        <v>/</v>
      </c>
      <c r="F272" s="7" t="str">
        <f t="shared" si="31"/>
        <v>/</v>
      </c>
      <c r="G272" t="s">
        <v>642</v>
      </c>
      <c r="H272" t="s">
        <v>16</v>
      </c>
      <c r="J272">
        <v>15.8</v>
      </c>
      <c r="K272" t="str">
        <f>"+ 2 feet"</f>
        <v>+ 2 feet</v>
      </c>
      <c r="M272">
        <v>15.5</v>
      </c>
      <c r="N272">
        <v>2</v>
      </c>
      <c r="O272">
        <v>90.8</v>
      </c>
      <c r="P272" t="s">
        <v>682</v>
      </c>
    </row>
    <row r="273" spans="1:16" x14ac:dyDescent="0.25">
      <c r="A273" t="s">
        <v>610</v>
      </c>
      <c r="B273" t="s">
        <v>611</v>
      </c>
      <c r="C273" s="7" t="str">
        <f t="shared" si="31"/>
        <v>/</v>
      </c>
      <c r="D273" s="7" t="str">
        <f t="shared" si="31"/>
        <v>/</v>
      </c>
      <c r="E273" s="7" t="str">
        <f t="shared" si="31"/>
        <v>/</v>
      </c>
      <c r="F273" s="7" t="str">
        <f t="shared" si="31"/>
        <v>/</v>
      </c>
      <c r="G273" t="s">
        <v>643</v>
      </c>
      <c r="H273" t="s">
        <v>16</v>
      </c>
      <c r="J273">
        <v>12.3</v>
      </c>
      <c r="K273" t="s">
        <v>660</v>
      </c>
      <c r="M273">
        <v>11.4</v>
      </c>
      <c r="N273">
        <v>4.5999999999999996</v>
      </c>
      <c r="O273">
        <v>92.8</v>
      </c>
      <c r="P273" t="s">
        <v>683</v>
      </c>
    </row>
    <row r="274" spans="1:16" x14ac:dyDescent="0.25">
      <c r="A274" t="s">
        <v>611</v>
      </c>
      <c r="B274" t="s">
        <v>612</v>
      </c>
      <c r="C274" s="7" t="str">
        <f t="shared" si="31"/>
        <v>/</v>
      </c>
      <c r="D274" s="7" t="str">
        <f t="shared" si="31"/>
        <v>/</v>
      </c>
      <c r="E274" s="7" t="str">
        <f t="shared" si="31"/>
        <v>/</v>
      </c>
      <c r="F274" s="7" t="str">
        <f t="shared" si="31"/>
        <v>/</v>
      </c>
      <c r="G274" t="s">
        <v>644</v>
      </c>
      <c r="H274" t="s">
        <v>16</v>
      </c>
      <c r="J274">
        <v>14.5</v>
      </c>
      <c r="K274" t="s">
        <v>662</v>
      </c>
      <c r="M274">
        <v>9.3000000000000007</v>
      </c>
      <c r="N274">
        <v>11.1</v>
      </c>
      <c r="O274">
        <v>97.4</v>
      </c>
    </row>
    <row r="275" spans="1:16" x14ac:dyDescent="0.25">
      <c r="A275" t="s">
        <v>612</v>
      </c>
      <c r="B275" t="s">
        <v>613</v>
      </c>
      <c r="C275" s="7" t="str">
        <f t="shared" si="31"/>
        <v>/</v>
      </c>
      <c r="D275" s="7" t="str">
        <f t="shared" si="31"/>
        <v>/</v>
      </c>
      <c r="E275" s="7" t="str">
        <f t="shared" si="31"/>
        <v>/</v>
      </c>
      <c r="F275" s="7" t="str">
        <f t="shared" si="31"/>
        <v>/</v>
      </c>
      <c r="G275" t="s">
        <v>356</v>
      </c>
      <c r="H275" t="s">
        <v>16</v>
      </c>
      <c r="J275">
        <v>17.8</v>
      </c>
      <c r="K275" t="str">
        <f>"-6 30"</f>
        <v>-6 30</v>
      </c>
      <c r="M275">
        <v>17.600000000000001</v>
      </c>
      <c r="N275">
        <v>-2</v>
      </c>
      <c r="O275">
        <v>108.5</v>
      </c>
    </row>
    <row r="276" spans="1:16" x14ac:dyDescent="0.25">
      <c r="A276" t="s">
        <v>613</v>
      </c>
      <c r="B276" t="s">
        <v>614</v>
      </c>
      <c r="C276" s="7" t="str">
        <f t="shared" si="31"/>
        <v>/</v>
      </c>
      <c r="D276" s="7" t="str">
        <f t="shared" si="31"/>
        <v>/</v>
      </c>
      <c r="E276" s="7" t="str">
        <f t="shared" si="31"/>
        <v>/</v>
      </c>
      <c r="F276" s="7" t="str">
        <f t="shared" si="31"/>
        <v>/</v>
      </c>
      <c r="G276" t="s">
        <v>645</v>
      </c>
      <c r="H276" t="s">
        <v>16</v>
      </c>
      <c r="J276">
        <v>7.7</v>
      </c>
      <c r="K276" t="str">
        <f>"-53 00"</f>
        <v>-53 00</v>
      </c>
      <c r="M276">
        <v>4.5999999999999996</v>
      </c>
      <c r="N276">
        <v>-6.1</v>
      </c>
      <c r="O276">
        <v>106.5</v>
      </c>
    </row>
    <row r="277" spans="1:16" x14ac:dyDescent="0.25">
      <c r="A277" t="s">
        <v>614</v>
      </c>
      <c r="B277" t="s">
        <v>615</v>
      </c>
      <c r="C277" s="7" t="str">
        <f t="shared" si="31"/>
        <v>/</v>
      </c>
      <c r="D277" s="7" t="str">
        <f t="shared" si="31"/>
        <v>/</v>
      </c>
      <c r="E277" s="7" t="str">
        <f t="shared" si="31"/>
        <v>/</v>
      </c>
      <c r="F277" s="7" t="str">
        <f t="shared" si="31"/>
        <v>/</v>
      </c>
      <c r="G277" t="s">
        <v>646</v>
      </c>
      <c r="H277" t="s">
        <v>16</v>
      </c>
      <c r="J277">
        <v>8.5</v>
      </c>
      <c r="K277" t="s">
        <v>44</v>
      </c>
      <c r="M277">
        <v>8.5</v>
      </c>
      <c r="N277" t="s">
        <v>16</v>
      </c>
      <c r="O277">
        <v>100.4</v>
      </c>
    </row>
    <row r="278" spans="1:16" x14ac:dyDescent="0.25">
      <c r="A278" t="s">
        <v>615</v>
      </c>
      <c r="B278" t="s">
        <v>616</v>
      </c>
      <c r="C278" s="7" t="str">
        <f t="shared" si="31"/>
        <v>/</v>
      </c>
      <c r="D278" s="7" t="str">
        <f t="shared" si="31"/>
        <v>/</v>
      </c>
      <c r="E278" s="7" t="str">
        <f t="shared" si="31"/>
        <v>/</v>
      </c>
      <c r="F278" s="7" t="str">
        <f t="shared" si="31"/>
        <v>/</v>
      </c>
      <c r="G278" t="s">
        <v>647</v>
      </c>
      <c r="H278" t="s">
        <v>16</v>
      </c>
      <c r="J278">
        <v>10.8</v>
      </c>
      <c r="K278" t="s">
        <v>44</v>
      </c>
      <c r="M278">
        <v>10.8</v>
      </c>
      <c r="N278" t="s">
        <v>16</v>
      </c>
      <c r="O278">
        <v>100.4</v>
      </c>
      <c r="P278" t="s">
        <v>684</v>
      </c>
    </row>
    <row r="279" spans="1:16" x14ac:dyDescent="0.25">
      <c r="A279" t="s">
        <v>616</v>
      </c>
      <c r="B279" t="s">
        <v>617</v>
      </c>
      <c r="C279" s="7" t="str">
        <f t="shared" si="31"/>
        <v>/</v>
      </c>
      <c r="D279" s="7" t="str">
        <f t="shared" si="31"/>
        <v>/</v>
      </c>
      <c r="E279" s="7" t="str">
        <f t="shared" si="31"/>
        <v>/</v>
      </c>
      <c r="F279" s="7" t="str">
        <f t="shared" si="31"/>
        <v>/</v>
      </c>
      <c r="G279" t="s">
        <v>646</v>
      </c>
      <c r="H279" t="s">
        <v>16</v>
      </c>
      <c r="J279">
        <v>18.399999999999999</v>
      </c>
      <c r="K279" t="str">
        <f>"-2.5 feet"</f>
        <v>-2.5 feet</v>
      </c>
      <c r="M279">
        <v>18.100000000000001</v>
      </c>
      <c r="N279">
        <v>-2.5</v>
      </c>
      <c r="O279">
        <v>100.4</v>
      </c>
    </row>
    <row r="280" spans="1:16" x14ac:dyDescent="0.25">
      <c r="A280" t="s">
        <v>617</v>
      </c>
      <c r="B280" t="s">
        <v>618</v>
      </c>
      <c r="C280" s="7" t="str">
        <f t="shared" si="31"/>
        <v>/</v>
      </c>
      <c r="D280" s="7" t="str">
        <f t="shared" si="31"/>
        <v>/</v>
      </c>
      <c r="E280" s="7" t="str">
        <f t="shared" si="31"/>
        <v>/</v>
      </c>
      <c r="F280" s="7" t="str">
        <f t="shared" si="31"/>
        <v>/</v>
      </c>
      <c r="G280" t="s">
        <v>222</v>
      </c>
      <c r="H280" t="s">
        <v>16</v>
      </c>
      <c r="J280">
        <v>11</v>
      </c>
      <c r="K280" t="s">
        <v>663</v>
      </c>
      <c r="M280">
        <v>10.6</v>
      </c>
      <c r="N280" t="s">
        <v>16</v>
      </c>
      <c r="O280">
        <v>97.9</v>
      </c>
    </row>
    <row r="281" spans="1:16" x14ac:dyDescent="0.25">
      <c r="C281" s="7"/>
      <c r="D281" s="7"/>
      <c r="E281" s="7"/>
      <c r="F281" s="7"/>
      <c r="O281">
        <v>97.9</v>
      </c>
    </row>
    <row r="282" spans="1:16" x14ac:dyDescent="0.25">
      <c r="N282" t="s">
        <v>667</v>
      </c>
      <c r="O282">
        <v>88.9</v>
      </c>
    </row>
    <row r="283" spans="1:16" x14ac:dyDescent="0.25">
      <c r="A283" s="1" t="s">
        <v>840</v>
      </c>
      <c r="B283" s="1" t="s">
        <v>810</v>
      </c>
    </row>
    <row r="284" spans="1:16" x14ac:dyDescent="0.25">
      <c r="A284" t="s">
        <v>685</v>
      </c>
      <c r="B284" t="s">
        <v>741</v>
      </c>
      <c r="C284" t="s">
        <v>686</v>
      </c>
    </row>
    <row r="285" spans="1:16" x14ac:dyDescent="0.25">
      <c r="A285" t="s">
        <v>332</v>
      </c>
      <c r="B285" t="s">
        <v>687</v>
      </c>
      <c r="C285">
        <v>9</v>
      </c>
      <c r="D285">
        <v>1</v>
      </c>
      <c r="E285">
        <v>4</v>
      </c>
      <c r="F285" s="7" t="str">
        <f t="shared" ref="F285" si="32">"/"</f>
        <v>/</v>
      </c>
      <c r="G285" t="s">
        <v>16</v>
      </c>
      <c r="H285" t="s">
        <v>717</v>
      </c>
      <c r="I285" t="s">
        <v>725</v>
      </c>
      <c r="J285">
        <v>17.5</v>
      </c>
      <c r="K285" t="str">
        <f>"-0 30"</f>
        <v>-0 30</v>
      </c>
      <c r="M285">
        <v>17.5</v>
      </c>
      <c r="N285">
        <v>-0.2</v>
      </c>
      <c r="O285">
        <v>340</v>
      </c>
      <c r="P285" t="s">
        <v>785</v>
      </c>
    </row>
    <row r="286" spans="1:16" x14ac:dyDescent="0.25">
      <c r="A286" t="s">
        <v>687</v>
      </c>
      <c r="B286" t="s">
        <v>688</v>
      </c>
      <c r="C286">
        <v>8</v>
      </c>
      <c r="D286">
        <v>2.5</v>
      </c>
      <c r="E286">
        <v>5</v>
      </c>
      <c r="F286">
        <v>2</v>
      </c>
      <c r="G286" t="s">
        <v>710</v>
      </c>
      <c r="H286" t="s">
        <v>16</v>
      </c>
      <c r="I286" t="s">
        <v>710</v>
      </c>
      <c r="J286">
        <v>4.8</v>
      </c>
      <c r="K286" t="str">
        <f>"-18 30"</f>
        <v>-18 30</v>
      </c>
      <c r="M286">
        <v>4.5</v>
      </c>
      <c r="N286">
        <v>-1.5</v>
      </c>
      <c r="O286">
        <v>339.8</v>
      </c>
      <c r="P286" t="s">
        <v>786</v>
      </c>
    </row>
    <row r="287" spans="1:16" x14ac:dyDescent="0.25">
      <c r="A287" t="s">
        <v>688</v>
      </c>
      <c r="B287" t="s">
        <v>689</v>
      </c>
      <c r="C287">
        <v>6</v>
      </c>
      <c r="D287">
        <v>0.3</v>
      </c>
      <c r="E287">
        <v>4</v>
      </c>
      <c r="F287">
        <v>0.3</v>
      </c>
      <c r="G287" t="s">
        <v>16</v>
      </c>
      <c r="H287" t="s">
        <v>718</v>
      </c>
      <c r="I287" t="s">
        <v>726</v>
      </c>
      <c r="J287">
        <v>9.8000000000000007</v>
      </c>
      <c r="K287" t="s">
        <v>736</v>
      </c>
      <c r="M287">
        <v>8.5</v>
      </c>
      <c r="N287">
        <v>4.8</v>
      </c>
      <c r="O287">
        <v>338.3</v>
      </c>
      <c r="P287" t="s">
        <v>787</v>
      </c>
    </row>
    <row r="288" spans="1:16" x14ac:dyDescent="0.25">
      <c r="A288" t="s">
        <v>689</v>
      </c>
      <c r="B288" t="s">
        <v>690</v>
      </c>
      <c r="C288">
        <v>3</v>
      </c>
      <c r="D288">
        <v>2</v>
      </c>
      <c r="E288">
        <v>1</v>
      </c>
      <c r="F288">
        <v>1</v>
      </c>
      <c r="G288" t="s">
        <v>711</v>
      </c>
      <c r="H288" t="s">
        <v>16</v>
      </c>
      <c r="I288" t="s">
        <v>711</v>
      </c>
      <c r="J288">
        <v>13.3</v>
      </c>
      <c r="K288" t="s">
        <v>492</v>
      </c>
      <c r="M288">
        <v>13.3</v>
      </c>
      <c r="N288">
        <v>0.3</v>
      </c>
      <c r="O288">
        <v>343.1</v>
      </c>
    </row>
    <row r="289" spans="1:16" x14ac:dyDescent="0.25">
      <c r="A289" t="s">
        <v>690</v>
      </c>
      <c r="B289" t="s">
        <v>691</v>
      </c>
      <c r="C289">
        <v>4.5</v>
      </c>
      <c r="D289">
        <v>1</v>
      </c>
      <c r="E289">
        <v>2.5</v>
      </c>
      <c r="F289">
        <v>0.3</v>
      </c>
      <c r="G289" t="s">
        <v>16</v>
      </c>
      <c r="H289" t="s">
        <v>719</v>
      </c>
      <c r="I289" t="s">
        <v>727</v>
      </c>
      <c r="J289">
        <v>8.9</v>
      </c>
      <c r="K289" t="s">
        <v>217</v>
      </c>
      <c r="M289">
        <v>8.6999999999999993</v>
      </c>
      <c r="N289">
        <v>2.1</v>
      </c>
      <c r="O289">
        <v>343.4</v>
      </c>
      <c r="P289" t="s">
        <v>788</v>
      </c>
    </row>
    <row r="290" spans="1:16" x14ac:dyDescent="0.25">
      <c r="A290" t="s">
        <v>691</v>
      </c>
      <c r="B290" t="s">
        <v>692</v>
      </c>
      <c r="C290">
        <v>2</v>
      </c>
      <c r="D290">
        <v>1</v>
      </c>
      <c r="E290">
        <v>7</v>
      </c>
      <c r="F290" s="7" t="str">
        <f t="shared" ref="F290" si="33">"/"</f>
        <v>/</v>
      </c>
      <c r="G290" t="s">
        <v>16</v>
      </c>
      <c r="H290" t="s">
        <v>720</v>
      </c>
      <c r="I290" t="s">
        <v>728</v>
      </c>
      <c r="J290">
        <v>13.4</v>
      </c>
      <c r="K290" t="s">
        <v>217</v>
      </c>
      <c r="M290">
        <v>13</v>
      </c>
      <c r="N290">
        <v>3.1</v>
      </c>
      <c r="O290">
        <v>345.5</v>
      </c>
      <c r="P290" t="s">
        <v>789</v>
      </c>
    </row>
    <row r="291" spans="1:16" x14ac:dyDescent="0.25">
      <c r="A291" t="s">
        <v>692</v>
      </c>
      <c r="B291" t="s">
        <v>693</v>
      </c>
      <c r="C291">
        <v>2</v>
      </c>
      <c r="D291">
        <v>5</v>
      </c>
      <c r="E291">
        <v>3</v>
      </c>
      <c r="F291">
        <v>6</v>
      </c>
      <c r="G291" t="s">
        <v>645</v>
      </c>
      <c r="H291" t="s">
        <v>16</v>
      </c>
      <c r="I291" t="s">
        <v>645</v>
      </c>
      <c r="J291">
        <v>8.6999999999999993</v>
      </c>
      <c r="K291" t="str">
        <f>"-22 30"</f>
        <v>-22 30</v>
      </c>
      <c r="M291">
        <v>8</v>
      </c>
      <c r="N291">
        <v>-3.3</v>
      </c>
      <c r="O291">
        <v>348.6</v>
      </c>
      <c r="P291" t="s">
        <v>790</v>
      </c>
    </row>
    <row r="292" spans="1:16" x14ac:dyDescent="0.25">
      <c r="A292" t="s">
        <v>693</v>
      </c>
      <c r="B292" t="s">
        <v>694</v>
      </c>
      <c r="C292">
        <v>3</v>
      </c>
      <c r="D292">
        <v>2</v>
      </c>
      <c r="E292">
        <v>1.5</v>
      </c>
      <c r="F292" s="7" t="str">
        <f t="shared" ref="F292" si="34">"/"</f>
        <v>/</v>
      </c>
      <c r="G292" t="s">
        <v>16</v>
      </c>
      <c r="H292" t="s">
        <v>721</v>
      </c>
      <c r="I292" t="s">
        <v>729</v>
      </c>
      <c r="J292">
        <v>21.3</v>
      </c>
      <c r="K292" t="s">
        <v>737</v>
      </c>
      <c r="M292">
        <v>20.7</v>
      </c>
      <c r="N292">
        <v>4.8</v>
      </c>
      <c r="O292">
        <v>345.3</v>
      </c>
    </row>
    <row r="293" spans="1:16" x14ac:dyDescent="0.25">
      <c r="A293" t="s">
        <v>694</v>
      </c>
      <c r="B293" t="s">
        <v>695</v>
      </c>
      <c r="C293">
        <v>5</v>
      </c>
      <c r="D293">
        <v>1</v>
      </c>
      <c r="E293">
        <v>6</v>
      </c>
      <c r="F293">
        <v>6</v>
      </c>
      <c r="G293" t="s">
        <v>712</v>
      </c>
      <c r="H293" t="s">
        <v>16</v>
      </c>
      <c r="I293" t="s">
        <v>712</v>
      </c>
      <c r="J293">
        <v>12.8</v>
      </c>
      <c r="K293" t="s">
        <v>212</v>
      </c>
      <c r="M293">
        <v>12.6</v>
      </c>
      <c r="N293">
        <v>2.2999999999999998</v>
      </c>
      <c r="O293">
        <v>350.1</v>
      </c>
    </row>
    <row r="294" spans="1:16" x14ac:dyDescent="0.25">
      <c r="A294" t="s">
        <v>695</v>
      </c>
      <c r="B294" t="s">
        <v>696</v>
      </c>
      <c r="C294">
        <v>1</v>
      </c>
      <c r="D294">
        <v>1.5</v>
      </c>
      <c r="E294">
        <v>3</v>
      </c>
      <c r="F294" t="s">
        <v>16</v>
      </c>
      <c r="G294" t="s">
        <v>16</v>
      </c>
      <c r="H294" t="s">
        <v>722</v>
      </c>
      <c r="I294" t="s">
        <v>730</v>
      </c>
      <c r="J294">
        <v>14.1</v>
      </c>
      <c r="K294" t="str">
        <f>"-44 00"</f>
        <v>-44 00</v>
      </c>
      <c r="M294">
        <v>10.1</v>
      </c>
      <c r="N294">
        <v>-9.8000000000000007</v>
      </c>
      <c r="O294">
        <v>352.4</v>
      </c>
      <c r="P294" t="s">
        <v>791</v>
      </c>
    </row>
    <row r="295" spans="1:16" x14ac:dyDescent="0.25">
      <c r="A295" t="s">
        <v>696</v>
      </c>
      <c r="B295" t="s">
        <v>697</v>
      </c>
      <c r="C295">
        <v>2</v>
      </c>
      <c r="D295">
        <v>2</v>
      </c>
      <c r="E295" s="7" t="str">
        <f t="shared" ref="E295:E296" si="35">"/"</f>
        <v>/</v>
      </c>
      <c r="F295">
        <v>3</v>
      </c>
      <c r="G295" t="s">
        <v>424</v>
      </c>
      <c r="H295" t="s">
        <v>16</v>
      </c>
      <c r="I295" t="s">
        <v>424</v>
      </c>
      <c r="J295">
        <v>35.799999999999997</v>
      </c>
      <c r="K295" t="str">
        <f>"-18 30"</f>
        <v>-18 30</v>
      </c>
      <c r="M295">
        <v>33.9</v>
      </c>
      <c r="N295">
        <v>-11.4</v>
      </c>
      <c r="O295">
        <v>342.6</v>
      </c>
      <c r="P295" t="s">
        <v>792</v>
      </c>
    </row>
    <row r="296" spans="1:16" x14ac:dyDescent="0.25">
      <c r="A296" t="s">
        <v>697</v>
      </c>
      <c r="B296" t="s">
        <v>698</v>
      </c>
      <c r="C296">
        <v>3</v>
      </c>
      <c r="D296">
        <v>4.5</v>
      </c>
      <c r="E296" s="7" t="str">
        <f t="shared" si="35"/>
        <v>/</v>
      </c>
      <c r="F296">
        <v>13</v>
      </c>
      <c r="G296" t="s">
        <v>16</v>
      </c>
      <c r="H296" t="s">
        <v>723</v>
      </c>
      <c r="I296" t="s">
        <v>731</v>
      </c>
      <c r="J296">
        <v>11.2</v>
      </c>
      <c r="K296" t="str">
        <f>"-15 00"</f>
        <v>-15 00</v>
      </c>
      <c r="M296">
        <v>10.8</v>
      </c>
      <c r="N296">
        <v>-2.9</v>
      </c>
      <c r="O296">
        <v>331.2</v>
      </c>
      <c r="P296" t="s">
        <v>793</v>
      </c>
    </row>
    <row r="297" spans="1:16" x14ac:dyDescent="0.25">
      <c r="A297" t="s">
        <v>698</v>
      </c>
      <c r="B297" t="s">
        <v>699</v>
      </c>
      <c r="C297">
        <v>12</v>
      </c>
      <c r="D297">
        <v>2</v>
      </c>
      <c r="E297">
        <v>10</v>
      </c>
      <c r="F297">
        <v>3</v>
      </c>
      <c r="G297" t="s">
        <v>713</v>
      </c>
      <c r="H297" t="s">
        <v>16</v>
      </c>
      <c r="I297" t="s">
        <v>713</v>
      </c>
      <c r="J297">
        <v>44.5</v>
      </c>
      <c r="K297" t="str">
        <f>"-11 00"</f>
        <v>-11 00</v>
      </c>
      <c r="M297">
        <v>43.6</v>
      </c>
      <c r="N297">
        <v>-8.5</v>
      </c>
      <c r="O297">
        <v>328.3</v>
      </c>
      <c r="P297" t="s">
        <v>794</v>
      </c>
    </row>
    <row r="298" spans="1:16" x14ac:dyDescent="0.25">
      <c r="A298" t="s">
        <v>699</v>
      </c>
      <c r="B298" t="s">
        <v>700</v>
      </c>
      <c r="C298">
        <v>8</v>
      </c>
      <c r="D298">
        <v>10</v>
      </c>
      <c r="E298">
        <v>3</v>
      </c>
      <c r="F298">
        <v>1</v>
      </c>
      <c r="G298" t="s">
        <v>16</v>
      </c>
      <c r="H298" t="s">
        <v>653</v>
      </c>
      <c r="I298" t="s">
        <v>732</v>
      </c>
      <c r="J298">
        <v>14.3</v>
      </c>
      <c r="K298" t="s">
        <v>738</v>
      </c>
      <c r="M298">
        <v>13.5</v>
      </c>
      <c r="N298">
        <v>4.5</v>
      </c>
      <c r="O298">
        <v>319.8</v>
      </c>
      <c r="P298" t="s">
        <v>795</v>
      </c>
    </row>
    <row r="299" spans="1:16" x14ac:dyDescent="0.25">
      <c r="A299" t="s">
        <v>700</v>
      </c>
      <c r="B299" t="s">
        <v>701</v>
      </c>
      <c r="C299">
        <v>3</v>
      </c>
      <c r="D299">
        <v>15</v>
      </c>
      <c r="E299">
        <v>3</v>
      </c>
      <c r="F299">
        <v>1</v>
      </c>
      <c r="G299" t="s">
        <v>714</v>
      </c>
      <c r="H299" t="s">
        <v>16</v>
      </c>
      <c r="I299" t="s">
        <v>714</v>
      </c>
      <c r="J299">
        <v>16</v>
      </c>
      <c r="K299" t="s">
        <v>520</v>
      </c>
      <c r="M299">
        <v>15.9</v>
      </c>
      <c r="N299">
        <v>1.1000000000000001</v>
      </c>
      <c r="O299">
        <v>324.3</v>
      </c>
    </row>
    <row r="300" spans="1:16" x14ac:dyDescent="0.25">
      <c r="A300" t="s">
        <v>701</v>
      </c>
      <c r="B300" t="s">
        <v>702</v>
      </c>
      <c r="C300">
        <v>2</v>
      </c>
      <c r="D300">
        <v>12</v>
      </c>
      <c r="E300">
        <v>6</v>
      </c>
      <c r="F300">
        <v>2</v>
      </c>
      <c r="G300" t="s">
        <v>16</v>
      </c>
      <c r="H300" t="s">
        <v>239</v>
      </c>
      <c r="I300" t="s">
        <v>226</v>
      </c>
      <c r="J300">
        <v>15.4</v>
      </c>
      <c r="K300" t="str">
        <f>"-58 00"</f>
        <v>-58 00</v>
      </c>
      <c r="M300">
        <v>8.1999999999999993</v>
      </c>
      <c r="N300">
        <v>-13</v>
      </c>
      <c r="O300">
        <v>325.39999999999998</v>
      </c>
      <c r="P300" t="s">
        <v>796</v>
      </c>
    </row>
    <row r="301" spans="1:16" x14ac:dyDescent="0.25">
      <c r="A301" t="s">
        <v>702</v>
      </c>
      <c r="B301" t="s">
        <v>703</v>
      </c>
      <c r="C301">
        <v>15</v>
      </c>
      <c r="D301">
        <v>6</v>
      </c>
      <c r="E301">
        <v>3</v>
      </c>
      <c r="F301">
        <v>2</v>
      </c>
      <c r="G301" t="s">
        <v>715</v>
      </c>
      <c r="H301" t="s">
        <v>16</v>
      </c>
      <c r="I301" t="s">
        <v>715</v>
      </c>
      <c r="J301">
        <v>12</v>
      </c>
      <c r="K301" t="str">
        <f>"-11 00"</f>
        <v>-11 00</v>
      </c>
      <c r="M301">
        <v>11.8</v>
      </c>
      <c r="N301">
        <v>-2.2999999999999998</v>
      </c>
      <c r="O301">
        <v>312.39999999999998</v>
      </c>
    </row>
    <row r="302" spans="1:16" x14ac:dyDescent="0.25">
      <c r="A302" t="s">
        <v>703</v>
      </c>
      <c r="B302" t="s">
        <v>704</v>
      </c>
      <c r="C302">
        <v>18</v>
      </c>
      <c r="D302">
        <v>5</v>
      </c>
      <c r="E302" t="s">
        <v>16</v>
      </c>
      <c r="F302">
        <v>5</v>
      </c>
      <c r="G302" t="s">
        <v>16</v>
      </c>
      <c r="H302" t="s">
        <v>724</v>
      </c>
      <c r="I302" t="s">
        <v>733</v>
      </c>
      <c r="J302">
        <v>39</v>
      </c>
      <c r="K302" t="str">
        <f>"-6 30"</f>
        <v>-6 30</v>
      </c>
      <c r="M302">
        <v>38.6</v>
      </c>
      <c r="N302">
        <v>-4.4000000000000004</v>
      </c>
      <c r="O302">
        <v>310.10000000000002</v>
      </c>
    </row>
    <row r="303" spans="1:16" x14ac:dyDescent="0.25">
      <c r="A303" t="s">
        <v>704</v>
      </c>
      <c r="B303" t="s">
        <v>349</v>
      </c>
      <c r="C303">
        <v>6</v>
      </c>
      <c r="D303" t="s">
        <v>709</v>
      </c>
      <c r="E303">
        <v>4</v>
      </c>
      <c r="F303">
        <v>10</v>
      </c>
      <c r="G303" t="s">
        <v>716</v>
      </c>
      <c r="H303" t="s">
        <v>16</v>
      </c>
      <c r="I303" t="s">
        <v>734</v>
      </c>
      <c r="J303">
        <v>29.2</v>
      </c>
      <c r="K303" t="str">
        <f>"-24 30"</f>
        <v>-24 30</v>
      </c>
      <c r="M303">
        <v>26.5</v>
      </c>
      <c r="N303">
        <v>-12.1</v>
      </c>
      <c r="O303">
        <v>305.7</v>
      </c>
      <c r="P303" t="s">
        <v>797</v>
      </c>
    </row>
    <row r="304" spans="1:16" x14ac:dyDescent="0.25">
      <c r="A304" t="s">
        <v>349</v>
      </c>
      <c r="O304">
        <v>293.60000000000002</v>
      </c>
      <c r="P304" t="s">
        <v>798</v>
      </c>
    </row>
    <row r="305" spans="1:16" x14ac:dyDescent="0.25">
      <c r="A305" t="s">
        <v>697</v>
      </c>
      <c r="B305" t="s">
        <v>9</v>
      </c>
      <c r="C305" s="7" t="str">
        <f t="shared" ref="C305:F305" si="36">"/"</f>
        <v>/</v>
      </c>
      <c r="D305" s="7" t="str">
        <f t="shared" si="36"/>
        <v>/</v>
      </c>
      <c r="E305" s="7" t="str">
        <f t="shared" si="36"/>
        <v>/</v>
      </c>
      <c r="F305" s="7" t="str">
        <f t="shared" si="36"/>
        <v>/</v>
      </c>
      <c r="G305" t="s">
        <v>16</v>
      </c>
      <c r="H305" t="s">
        <v>735</v>
      </c>
      <c r="I305" t="s">
        <v>531</v>
      </c>
      <c r="J305">
        <v>31.3</v>
      </c>
      <c r="K305" t="s">
        <v>739</v>
      </c>
      <c r="M305">
        <v>30.7</v>
      </c>
      <c r="N305">
        <v>6</v>
      </c>
      <c r="O305">
        <v>331.2</v>
      </c>
    </row>
    <row r="306" spans="1:16" x14ac:dyDescent="0.25">
      <c r="A306" t="s">
        <v>9</v>
      </c>
      <c r="B306" t="s">
        <v>705</v>
      </c>
      <c r="C306">
        <v>10</v>
      </c>
      <c r="D306">
        <v>4</v>
      </c>
      <c r="E306">
        <v>6</v>
      </c>
      <c r="F306">
        <v>7</v>
      </c>
      <c r="G306" t="s">
        <v>358</v>
      </c>
      <c r="H306" t="s">
        <v>16</v>
      </c>
      <c r="I306" t="s">
        <v>358</v>
      </c>
      <c r="J306">
        <v>38.1</v>
      </c>
      <c r="K306" t="s">
        <v>740</v>
      </c>
      <c r="M306">
        <v>36.5</v>
      </c>
      <c r="N306">
        <v>11.2</v>
      </c>
      <c r="O306">
        <v>337.2</v>
      </c>
    </row>
    <row r="307" spans="1:16" x14ac:dyDescent="0.25">
      <c r="A307" t="s">
        <v>705</v>
      </c>
      <c r="B307" t="s">
        <v>706</v>
      </c>
      <c r="C307">
        <v>3</v>
      </c>
      <c r="D307">
        <v>0.5</v>
      </c>
      <c r="E307">
        <v>3.5</v>
      </c>
      <c r="F307">
        <v>3.5</v>
      </c>
      <c r="G307" t="s">
        <v>727</v>
      </c>
      <c r="H307" t="s">
        <v>16</v>
      </c>
      <c r="I307">
        <v>8</v>
      </c>
      <c r="J307">
        <v>18.399999999999999</v>
      </c>
      <c r="K307" t="str">
        <f>"+7 feet"</f>
        <v>+7 feet</v>
      </c>
      <c r="M307">
        <v>17.7</v>
      </c>
      <c r="N307">
        <v>7</v>
      </c>
      <c r="O307">
        <v>348.4</v>
      </c>
      <c r="P307" t="s">
        <v>799</v>
      </c>
    </row>
    <row r="308" spans="1:16" x14ac:dyDescent="0.25">
      <c r="A308" t="s">
        <v>706</v>
      </c>
      <c r="B308" t="s">
        <v>707</v>
      </c>
      <c r="C308">
        <v>1</v>
      </c>
      <c r="D308">
        <v>3</v>
      </c>
      <c r="E308">
        <v>2</v>
      </c>
      <c r="F308">
        <v>2</v>
      </c>
      <c r="G308">
        <v>46</v>
      </c>
      <c r="H308" t="s">
        <v>16</v>
      </c>
      <c r="I308">
        <v>46</v>
      </c>
      <c r="J308">
        <v>13.3</v>
      </c>
      <c r="K308" t="str">
        <f>"+5 feet"</f>
        <v>+5 feet</v>
      </c>
      <c r="M308">
        <v>12.9</v>
      </c>
      <c r="N308">
        <v>5</v>
      </c>
      <c r="O308">
        <v>355.4</v>
      </c>
      <c r="P308" t="s">
        <v>800</v>
      </c>
    </row>
    <row r="309" spans="1:16" x14ac:dyDescent="0.25">
      <c r="A309" t="s">
        <v>707</v>
      </c>
      <c r="B309" t="s">
        <v>708</v>
      </c>
      <c r="C309">
        <v>2</v>
      </c>
      <c r="D309">
        <v>2</v>
      </c>
      <c r="E309">
        <v>10</v>
      </c>
      <c r="F309">
        <v>10</v>
      </c>
      <c r="G309">
        <v>75</v>
      </c>
      <c r="H309" t="s">
        <v>16</v>
      </c>
      <c r="I309">
        <v>75</v>
      </c>
      <c r="J309">
        <v>20.2</v>
      </c>
      <c r="K309" t="str">
        <f>"+3 feet"</f>
        <v>+3 feet</v>
      </c>
      <c r="M309">
        <v>19.899999999999999</v>
      </c>
      <c r="N309">
        <v>3</v>
      </c>
      <c r="O309">
        <v>360.4</v>
      </c>
    </row>
    <row r="310" spans="1:16" x14ac:dyDescent="0.25">
      <c r="A310" t="s">
        <v>708</v>
      </c>
      <c r="C310">
        <v>4</v>
      </c>
      <c r="D310">
        <v>1</v>
      </c>
      <c r="E310">
        <v>12</v>
      </c>
      <c r="F310">
        <v>12</v>
      </c>
      <c r="O310">
        <v>363.4</v>
      </c>
      <c r="P310" t="s">
        <v>801</v>
      </c>
    </row>
    <row r="312" spans="1:16" x14ac:dyDescent="0.25">
      <c r="A312" t="s">
        <v>742</v>
      </c>
      <c r="B312" t="s">
        <v>743</v>
      </c>
      <c r="C312" t="s">
        <v>744</v>
      </c>
    </row>
    <row r="313" spans="1:16" x14ac:dyDescent="0.25">
      <c r="A313" t="s">
        <v>322</v>
      </c>
      <c r="B313" t="s">
        <v>745</v>
      </c>
      <c r="G313" t="s">
        <v>16</v>
      </c>
      <c r="H313" t="s">
        <v>354</v>
      </c>
      <c r="I313" t="s">
        <v>775</v>
      </c>
      <c r="J313">
        <v>9.8000000000000007</v>
      </c>
      <c r="K313" t="s">
        <v>781</v>
      </c>
      <c r="M313">
        <v>6.9</v>
      </c>
      <c r="N313">
        <v>7</v>
      </c>
      <c r="O313">
        <v>367.1</v>
      </c>
      <c r="P313" t="s">
        <v>802</v>
      </c>
    </row>
    <row r="314" spans="1:16" x14ac:dyDescent="0.25">
      <c r="A314" t="s">
        <v>745</v>
      </c>
      <c r="B314" t="s">
        <v>746</v>
      </c>
      <c r="G314" t="s">
        <v>16</v>
      </c>
      <c r="H314" t="s">
        <v>765</v>
      </c>
      <c r="I314" t="s">
        <v>776</v>
      </c>
      <c r="J314">
        <v>38.1</v>
      </c>
      <c r="K314" t="s">
        <v>529</v>
      </c>
      <c r="M314">
        <v>36</v>
      </c>
      <c r="N314">
        <v>12.4</v>
      </c>
      <c r="O314">
        <v>374.1</v>
      </c>
      <c r="P314" t="s">
        <v>803</v>
      </c>
    </row>
    <row r="315" spans="1:16" x14ac:dyDescent="0.25">
      <c r="A315" t="s">
        <v>746</v>
      </c>
      <c r="B315" t="s">
        <v>747</v>
      </c>
      <c r="G315" t="s">
        <v>766</v>
      </c>
      <c r="H315" t="s">
        <v>16</v>
      </c>
      <c r="I315" t="s">
        <v>766</v>
      </c>
      <c r="J315">
        <v>63.3</v>
      </c>
      <c r="K315" t="s">
        <v>782</v>
      </c>
      <c r="M315">
        <v>61.8</v>
      </c>
      <c r="N315">
        <v>13.8</v>
      </c>
      <c r="O315">
        <v>386.5</v>
      </c>
      <c r="P315" t="s">
        <v>804</v>
      </c>
    </row>
    <row r="316" spans="1:16" x14ac:dyDescent="0.25">
      <c r="A316" t="s">
        <v>746</v>
      </c>
      <c r="B316" t="s">
        <v>748</v>
      </c>
      <c r="G316" t="s">
        <v>553</v>
      </c>
      <c r="H316" t="s">
        <v>16</v>
      </c>
      <c r="I316" t="s">
        <v>553</v>
      </c>
      <c r="J316">
        <v>57.3</v>
      </c>
      <c r="K316" t="s">
        <v>247</v>
      </c>
      <c r="M316">
        <v>56.5</v>
      </c>
      <c r="N316">
        <v>9.9</v>
      </c>
      <c r="O316">
        <v>400.3</v>
      </c>
      <c r="P316" t="s">
        <v>805</v>
      </c>
    </row>
    <row r="317" spans="1:16" x14ac:dyDescent="0.25">
      <c r="A317" t="s">
        <v>746</v>
      </c>
      <c r="B317" t="s">
        <v>749</v>
      </c>
      <c r="G317" t="s">
        <v>543</v>
      </c>
      <c r="H317" t="s">
        <v>16</v>
      </c>
      <c r="I317" t="s">
        <v>543</v>
      </c>
      <c r="J317">
        <v>190.3</v>
      </c>
      <c r="K317" t="s">
        <v>318</v>
      </c>
      <c r="M317">
        <v>188.4</v>
      </c>
      <c r="N317">
        <v>26.5</v>
      </c>
      <c r="O317">
        <v>396.4</v>
      </c>
      <c r="P317" t="s">
        <v>806</v>
      </c>
    </row>
    <row r="318" spans="1:16" x14ac:dyDescent="0.25">
      <c r="A318" t="s">
        <v>749</v>
      </c>
      <c r="O318">
        <v>413</v>
      </c>
    </row>
    <row r="320" spans="1:16" x14ac:dyDescent="0.25">
      <c r="A320" t="s">
        <v>751</v>
      </c>
      <c r="B320" t="s">
        <v>752</v>
      </c>
      <c r="C320" t="s">
        <v>750</v>
      </c>
    </row>
    <row r="321" spans="1:16" x14ac:dyDescent="0.25">
      <c r="A321" t="s">
        <v>688</v>
      </c>
      <c r="B321" t="s">
        <v>753</v>
      </c>
      <c r="C321" s="7" t="str">
        <f t="shared" ref="C321:F323" si="37">"/"</f>
        <v>/</v>
      </c>
      <c r="D321" s="7" t="str">
        <f t="shared" si="37"/>
        <v>/</v>
      </c>
      <c r="E321" s="7" t="str">
        <f t="shared" si="37"/>
        <v>/</v>
      </c>
      <c r="F321" s="7" t="str">
        <f t="shared" si="37"/>
        <v>/</v>
      </c>
      <c r="G321" t="s">
        <v>16</v>
      </c>
      <c r="H321" t="s">
        <v>767</v>
      </c>
      <c r="I321" t="s">
        <v>777</v>
      </c>
      <c r="J321">
        <v>15.6</v>
      </c>
      <c r="K321" t="s">
        <v>660</v>
      </c>
      <c r="M321">
        <v>14.4</v>
      </c>
      <c r="N321">
        <v>5.9</v>
      </c>
      <c r="O321">
        <v>338.3</v>
      </c>
      <c r="P321" t="s">
        <v>807</v>
      </c>
    </row>
    <row r="322" spans="1:16" x14ac:dyDescent="0.25">
      <c r="A322" t="s">
        <v>753</v>
      </c>
      <c r="B322" t="s">
        <v>754</v>
      </c>
      <c r="C322">
        <v>2</v>
      </c>
      <c r="D322">
        <v>3</v>
      </c>
      <c r="E322">
        <v>1</v>
      </c>
      <c r="F322">
        <v>3</v>
      </c>
      <c r="G322" t="s">
        <v>768</v>
      </c>
      <c r="H322" t="s">
        <v>16</v>
      </c>
      <c r="I322" t="s">
        <v>768</v>
      </c>
      <c r="J322">
        <v>15.1</v>
      </c>
      <c r="K322" t="str">
        <f>"-33 30"</f>
        <v>-33 30</v>
      </c>
      <c r="M322">
        <v>12.6</v>
      </c>
      <c r="N322">
        <v>-8.3000000000000007</v>
      </c>
      <c r="O322">
        <v>344.2</v>
      </c>
      <c r="P322" t="s">
        <v>808</v>
      </c>
    </row>
    <row r="323" spans="1:16" x14ac:dyDescent="0.25">
      <c r="A323" t="s">
        <v>754</v>
      </c>
      <c r="B323" t="s">
        <v>755</v>
      </c>
      <c r="C323">
        <v>10</v>
      </c>
      <c r="D323">
        <v>0.2</v>
      </c>
      <c r="E323" s="7" t="str">
        <f t="shared" si="37"/>
        <v>/</v>
      </c>
      <c r="F323" s="7" t="str">
        <f t="shared" si="37"/>
        <v>/</v>
      </c>
      <c r="G323" t="s">
        <v>16</v>
      </c>
      <c r="H323" t="s">
        <v>769</v>
      </c>
      <c r="I323" t="s">
        <v>351</v>
      </c>
      <c r="J323">
        <v>16.399999999999999</v>
      </c>
      <c r="K323" t="str">
        <f>"-25 00"</f>
        <v>-25 00</v>
      </c>
      <c r="M323">
        <v>14.8</v>
      </c>
      <c r="N323">
        <v>-6.9</v>
      </c>
      <c r="O323">
        <v>335.8</v>
      </c>
    </row>
    <row r="324" spans="1:16" x14ac:dyDescent="0.25">
      <c r="A324" t="s">
        <v>755</v>
      </c>
      <c r="B324" t="s">
        <v>756</v>
      </c>
      <c r="C324">
        <v>1.7</v>
      </c>
      <c r="D324">
        <v>0.3</v>
      </c>
      <c r="E324">
        <v>0.3</v>
      </c>
      <c r="F324">
        <v>2.5</v>
      </c>
      <c r="G324" t="s">
        <v>16</v>
      </c>
      <c r="H324" t="s">
        <v>770</v>
      </c>
      <c r="I324" t="s">
        <v>778</v>
      </c>
      <c r="J324">
        <v>10</v>
      </c>
      <c r="K324" t="str">
        <f>"-3 00"</f>
        <v>-3 00</v>
      </c>
      <c r="M324">
        <v>10</v>
      </c>
      <c r="N324">
        <v>-0.5</v>
      </c>
      <c r="O324">
        <v>328.9</v>
      </c>
    </row>
    <row r="325" spans="1:16" x14ac:dyDescent="0.25">
      <c r="A325" t="s">
        <v>756</v>
      </c>
      <c r="B325" t="s">
        <v>757</v>
      </c>
      <c r="C325">
        <v>1</v>
      </c>
      <c r="D325">
        <v>3</v>
      </c>
      <c r="E325">
        <v>4</v>
      </c>
      <c r="F325">
        <v>2</v>
      </c>
      <c r="G325" t="s">
        <v>771</v>
      </c>
      <c r="H325" t="s">
        <v>16</v>
      </c>
      <c r="I325" t="s">
        <v>771</v>
      </c>
      <c r="J325">
        <v>11.5</v>
      </c>
      <c r="K325" t="str">
        <f>"-12 15"</f>
        <v>-12 15</v>
      </c>
      <c r="M325">
        <v>11.2</v>
      </c>
      <c r="N325">
        <v>-2.4</v>
      </c>
      <c r="O325">
        <v>328.2</v>
      </c>
    </row>
    <row r="326" spans="1:16" x14ac:dyDescent="0.25">
      <c r="A326" t="s">
        <v>757</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756</v>
      </c>
      <c r="B327" t="s">
        <v>758</v>
      </c>
      <c r="C327" s="7" t="str">
        <f t="shared" si="38"/>
        <v>/</v>
      </c>
      <c r="D327" s="7" t="str">
        <f t="shared" si="38"/>
        <v>/</v>
      </c>
      <c r="E327" s="7" t="str">
        <f t="shared" si="38"/>
        <v>/</v>
      </c>
      <c r="F327" s="7" t="str">
        <f t="shared" si="38"/>
        <v>/</v>
      </c>
      <c r="G327" t="s">
        <v>358</v>
      </c>
      <c r="H327" t="s">
        <v>16</v>
      </c>
      <c r="I327" t="s">
        <v>358</v>
      </c>
      <c r="J327">
        <v>21.6</v>
      </c>
      <c r="K327" t="s">
        <v>783</v>
      </c>
      <c r="M327">
        <v>21.4</v>
      </c>
      <c r="N327">
        <v>2.9</v>
      </c>
      <c r="O327">
        <v>328.2</v>
      </c>
    </row>
    <row r="328" spans="1:16" x14ac:dyDescent="0.25">
      <c r="A328" t="s">
        <v>758</v>
      </c>
      <c r="B328" t="s">
        <v>759</v>
      </c>
      <c r="C328">
        <v>0.5</v>
      </c>
      <c r="D328">
        <v>3</v>
      </c>
      <c r="E328">
        <v>5</v>
      </c>
      <c r="F328" t="s">
        <v>764</v>
      </c>
      <c r="G328" t="s">
        <v>16</v>
      </c>
      <c r="H328" t="s">
        <v>377</v>
      </c>
      <c r="I328" t="s">
        <v>374</v>
      </c>
      <c r="J328">
        <v>17.8</v>
      </c>
      <c r="K328" t="s">
        <v>529</v>
      </c>
      <c r="M328">
        <v>16.8</v>
      </c>
      <c r="N328">
        <v>5.8</v>
      </c>
      <c r="O328">
        <v>331.1</v>
      </c>
    </row>
    <row r="329" spans="1:16" x14ac:dyDescent="0.25">
      <c r="A329" t="s">
        <v>759</v>
      </c>
      <c r="B329" t="s">
        <v>760</v>
      </c>
      <c r="C329">
        <v>1</v>
      </c>
      <c r="D329">
        <v>4</v>
      </c>
      <c r="E329">
        <v>3</v>
      </c>
      <c r="F329">
        <v>3</v>
      </c>
      <c r="G329" t="s">
        <v>240</v>
      </c>
      <c r="H329" t="s">
        <v>16</v>
      </c>
      <c r="I329" t="s">
        <v>240</v>
      </c>
      <c r="J329">
        <v>16.100000000000001</v>
      </c>
      <c r="K329" t="s">
        <v>738</v>
      </c>
      <c r="M329">
        <v>15.2</v>
      </c>
      <c r="N329">
        <v>5.0999999999999996</v>
      </c>
      <c r="O329">
        <v>336.8</v>
      </c>
    </row>
    <row r="330" spans="1:16" x14ac:dyDescent="0.25">
      <c r="A330" t="s">
        <v>760</v>
      </c>
      <c r="B330" t="s">
        <v>761</v>
      </c>
      <c r="C330">
        <v>1.1000000000000001</v>
      </c>
      <c r="D330">
        <v>3</v>
      </c>
      <c r="E330">
        <v>2</v>
      </c>
      <c r="F330">
        <v>4</v>
      </c>
      <c r="G330" t="s">
        <v>16</v>
      </c>
      <c r="H330" t="s">
        <v>772</v>
      </c>
      <c r="I330" t="s">
        <v>779</v>
      </c>
      <c r="J330">
        <v>15.5</v>
      </c>
      <c r="K330" t="s">
        <v>784</v>
      </c>
      <c r="M330">
        <v>15</v>
      </c>
      <c r="N330">
        <v>4.0999999999999996</v>
      </c>
      <c r="O330">
        <v>341.9</v>
      </c>
      <c r="P330" t="s">
        <v>809</v>
      </c>
    </row>
    <row r="331" spans="1:16" x14ac:dyDescent="0.25">
      <c r="A331" t="s">
        <v>761</v>
      </c>
      <c r="B331" t="s">
        <v>762</v>
      </c>
      <c r="C331">
        <v>1</v>
      </c>
      <c r="D331">
        <v>2</v>
      </c>
      <c r="E331">
        <v>20</v>
      </c>
      <c r="F331" s="7" t="str">
        <f t="shared" ref="F331" si="39">"/"</f>
        <v>/</v>
      </c>
      <c r="G331" t="s">
        <v>773</v>
      </c>
      <c r="H331" t="s">
        <v>16</v>
      </c>
      <c r="I331" t="s">
        <v>773</v>
      </c>
      <c r="J331">
        <v>9.3000000000000007</v>
      </c>
      <c r="K331" t="s">
        <v>736</v>
      </c>
      <c r="M331">
        <v>8.1</v>
      </c>
      <c r="N331">
        <v>4.5999999999999996</v>
      </c>
      <c r="O331">
        <v>345.9</v>
      </c>
    </row>
    <row r="332" spans="1:16" x14ac:dyDescent="0.25">
      <c r="A332" t="s">
        <v>762</v>
      </c>
      <c r="B332" t="s">
        <v>763</v>
      </c>
      <c r="C332">
        <v>3</v>
      </c>
      <c r="D332">
        <v>4.5</v>
      </c>
      <c r="E332">
        <v>0.2</v>
      </c>
      <c r="F332">
        <v>20</v>
      </c>
      <c r="G332" t="s">
        <v>16</v>
      </c>
      <c r="H332" t="s">
        <v>774</v>
      </c>
      <c r="I332" t="s">
        <v>780</v>
      </c>
      <c r="J332">
        <v>26.5</v>
      </c>
      <c r="K332" t="s">
        <v>248</v>
      </c>
      <c r="M332">
        <v>25.2</v>
      </c>
      <c r="N332">
        <v>8.1999999999999993</v>
      </c>
      <c r="O332">
        <v>350.5</v>
      </c>
    </row>
    <row r="333" spans="1:16" x14ac:dyDescent="0.25">
      <c r="A333" t="s">
        <v>763</v>
      </c>
    </row>
    <row r="334" spans="1:16" x14ac:dyDescent="0.25">
      <c r="A334" s="1" t="s">
        <v>882</v>
      </c>
      <c r="B334" s="1" t="s">
        <v>881</v>
      </c>
    </row>
    <row r="335" spans="1:16" x14ac:dyDescent="0.25">
      <c r="A335" t="s">
        <v>763</v>
      </c>
      <c r="B335" t="s">
        <v>324</v>
      </c>
      <c r="C335">
        <v>3</v>
      </c>
      <c r="D335">
        <v>3</v>
      </c>
      <c r="E335">
        <v>20</v>
      </c>
      <c r="F335">
        <v>7</v>
      </c>
      <c r="G335" t="s">
        <v>821</v>
      </c>
      <c r="H335" s="7" t="s">
        <v>16</v>
      </c>
      <c r="I335" t="s">
        <v>831</v>
      </c>
      <c r="J335">
        <v>16.2</v>
      </c>
      <c r="K335" t="s">
        <v>835</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842</v>
      </c>
    </row>
    <row r="337" spans="1:16" x14ac:dyDescent="0.25">
      <c r="A337" t="s">
        <v>403</v>
      </c>
      <c r="B337" t="s">
        <v>811</v>
      </c>
      <c r="C337" s="7" t="str">
        <f t="shared" si="41"/>
        <v>/</v>
      </c>
      <c r="D337" s="7" t="str">
        <f t="shared" si="41"/>
        <v>/</v>
      </c>
      <c r="E337" s="7" t="str">
        <f t="shared" si="41"/>
        <v>/</v>
      </c>
      <c r="F337" s="7" t="str">
        <f t="shared" si="41"/>
        <v>/</v>
      </c>
      <c r="G337" t="s">
        <v>822</v>
      </c>
      <c r="H337" s="7" t="s">
        <v>16</v>
      </c>
      <c r="I337" t="s">
        <v>822</v>
      </c>
      <c r="J337">
        <v>26.5</v>
      </c>
      <c r="K337" t="s">
        <v>836</v>
      </c>
      <c r="M337">
        <v>24.3</v>
      </c>
      <c r="N337">
        <v>10.8</v>
      </c>
      <c r="O337">
        <v>260.8</v>
      </c>
      <c r="P337" t="s">
        <v>841</v>
      </c>
    </row>
    <row r="338" spans="1:16" x14ac:dyDescent="0.25">
      <c r="A338" t="str">
        <f t="shared" si="40"/>
        <v>GH</v>
      </c>
      <c r="B338" t="s">
        <v>812</v>
      </c>
      <c r="C338">
        <v>7</v>
      </c>
      <c r="D338">
        <v>4</v>
      </c>
      <c r="E338">
        <v>6</v>
      </c>
      <c r="F338">
        <v>12</v>
      </c>
      <c r="G338" s="7" t="s">
        <v>16</v>
      </c>
      <c r="H338" s="7" t="s">
        <v>828</v>
      </c>
      <c r="I338" t="s">
        <v>832</v>
      </c>
      <c r="J338">
        <v>20</v>
      </c>
      <c r="K338" t="s">
        <v>837</v>
      </c>
      <c r="M338">
        <v>19.899999999999999</v>
      </c>
      <c r="N338">
        <v>1.2</v>
      </c>
      <c r="O338">
        <v>271.60000000000002</v>
      </c>
    </row>
    <row r="339" spans="1:16" x14ac:dyDescent="0.25">
      <c r="A339" t="str">
        <f t="shared" si="40"/>
        <v>GI</v>
      </c>
      <c r="B339" t="s">
        <v>813</v>
      </c>
      <c r="C339">
        <v>10</v>
      </c>
      <c r="D339">
        <v>3</v>
      </c>
      <c r="E339">
        <v>8</v>
      </c>
      <c r="F339" s="7" t="str">
        <f t="shared" si="41"/>
        <v>/</v>
      </c>
      <c r="G339" t="s">
        <v>823</v>
      </c>
      <c r="H339" s="7" t="s">
        <v>16</v>
      </c>
      <c r="I339" t="s">
        <v>823</v>
      </c>
      <c r="J339">
        <v>52.9</v>
      </c>
      <c r="K339" t="s">
        <v>182</v>
      </c>
      <c r="M339">
        <v>52.2</v>
      </c>
      <c r="N339">
        <v>8.6999999999999993</v>
      </c>
      <c r="O339">
        <v>272.8</v>
      </c>
    </row>
    <row r="340" spans="1:16" x14ac:dyDescent="0.25">
      <c r="A340" t="str">
        <f t="shared" si="40"/>
        <v>GJ</v>
      </c>
      <c r="B340" t="s">
        <v>814</v>
      </c>
      <c r="C340">
        <v>14</v>
      </c>
      <c r="D340">
        <v>4</v>
      </c>
      <c r="E340">
        <v>4</v>
      </c>
      <c r="F340" t="s">
        <v>16</v>
      </c>
      <c r="G340" s="7" t="s">
        <v>824</v>
      </c>
      <c r="H340" s="7" t="s">
        <v>16</v>
      </c>
      <c r="I340" t="s">
        <v>824</v>
      </c>
      <c r="J340">
        <v>4</v>
      </c>
      <c r="K340" t="str">
        <f>"-53 30"</f>
        <v>-53 30</v>
      </c>
      <c r="M340">
        <v>2.4</v>
      </c>
      <c r="N340">
        <v>-3.2</v>
      </c>
      <c r="O340">
        <v>281.5</v>
      </c>
    </row>
    <row r="341" spans="1:16" x14ac:dyDescent="0.25">
      <c r="A341" t="str">
        <f t="shared" si="40"/>
        <v>GK</v>
      </c>
      <c r="B341" t="s">
        <v>815</v>
      </c>
      <c r="C341">
        <v>4</v>
      </c>
      <c r="D341">
        <v>0.5</v>
      </c>
      <c r="E341">
        <v>2.5</v>
      </c>
      <c r="F341">
        <v>0.3</v>
      </c>
      <c r="G341" t="s">
        <v>16</v>
      </c>
      <c r="H341" s="7" t="s">
        <v>633</v>
      </c>
      <c r="I341" t="s">
        <v>833</v>
      </c>
      <c r="J341">
        <v>11.7</v>
      </c>
      <c r="K341" t="s">
        <v>210</v>
      </c>
      <c r="M341">
        <v>10.5</v>
      </c>
      <c r="N341">
        <v>5.0999999999999996</v>
      </c>
      <c r="O341">
        <v>278.3</v>
      </c>
    </row>
    <row r="342" spans="1:16" x14ac:dyDescent="0.25">
      <c r="A342" t="str">
        <f t="shared" si="40"/>
        <v>GL</v>
      </c>
      <c r="B342" t="s">
        <v>816</v>
      </c>
      <c r="C342">
        <v>10</v>
      </c>
      <c r="D342">
        <v>2</v>
      </c>
      <c r="E342">
        <v>2</v>
      </c>
      <c r="F342">
        <v>3</v>
      </c>
      <c r="G342" s="7" t="s">
        <v>769</v>
      </c>
      <c r="H342" s="7" t="s">
        <v>16</v>
      </c>
      <c r="I342" t="s">
        <v>769</v>
      </c>
      <c r="J342">
        <v>15.8</v>
      </c>
      <c r="K342" t="s">
        <v>210</v>
      </c>
      <c r="M342">
        <v>14.2</v>
      </c>
      <c r="N342">
        <v>6.9</v>
      </c>
      <c r="O342">
        <v>283.39999999999998</v>
      </c>
    </row>
    <row r="343" spans="1:16" x14ac:dyDescent="0.25">
      <c r="A343" t="str">
        <f t="shared" si="40"/>
        <v>GM</v>
      </c>
      <c r="B343" t="s">
        <v>817</v>
      </c>
      <c r="C343">
        <v>6</v>
      </c>
      <c r="D343">
        <v>2</v>
      </c>
      <c r="E343">
        <v>1</v>
      </c>
      <c r="F343" s="7" t="str">
        <f t="shared" ref="F343" si="42">"/"</f>
        <v>/</v>
      </c>
      <c r="G343" t="s">
        <v>16</v>
      </c>
      <c r="H343" s="7" t="s">
        <v>829</v>
      </c>
      <c r="I343" t="s">
        <v>834</v>
      </c>
      <c r="J343">
        <v>12.8</v>
      </c>
      <c r="K343" t="s">
        <v>210</v>
      </c>
      <c r="M343">
        <v>11.5</v>
      </c>
      <c r="N343">
        <v>5.6</v>
      </c>
      <c r="O343">
        <v>290.3</v>
      </c>
    </row>
    <row r="344" spans="1:16" x14ac:dyDescent="0.25">
      <c r="A344" t="str">
        <f t="shared" si="40"/>
        <v>GN</v>
      </c>
      <c r="B344" t="s">
        <v>818</v>
      </c>
      <c r="C344">
        <v>10</v>
      </c>
      <c r="D344">
        <v>4</v>
      </c>
      <c r="E344">
        <v>0.5</v>
      </c>
      <c r="F344">
        <v>6</v>
      </c>
      <c r="G344" s="7" t="s">
        <v>825</v>
      </c>
      <c r="H344" s="7" t="s">
        <v>16</v>
      </c>
      <c r="I344" t="s">
        <v>825</v>
      </c>
      <c r="J344">
        <v>39.9</v>
      </c>
      <c r="K344" t="s">
        <v>511</v>
      </c>
      <c r="M344">
        <v>36.299999999999997</v>
      </c>
      <c r="N344">
        <v>16.600000000000001</v>
      </c>
      <c r="O344">
        <v>295.89999999999998</v>
      </c>
    </row>
    <row r="345" spans="1:16" x14ac:dyDescent="0.25">
      <c r="A345" t="str">
        <f t="shared" si="40"/>
        <v>GO</v>
      </c>
      <c r="B345" t="s">
        <v>819</v>
      </c>
      <c r="C345">
        <v>1</v>
      </c>
      <c r="D345">
        <v>0.2</v>
      </c>
      <c r="E345">
        <v>4</v>
      </c>
      <c r="F345">
        <v>3</v>
      </c>
      <c r="G345" t="s">
        <v>16</v>
      </c>
      <c r="H345" s="7" t="s">
        <v>830</v>
      </c>
      <c r="I345" t="s">
        <v>831</v>
      </c>
      <c r="J345">
        <v>8.9</v>
      </c>
      <c r="K345" t="s">
        <v>838</v>
      </c>
      <c r="M345">
        <v>8.4</v>
      </c>
      <c r="N345">
        <v>3</v>
      </c>
      <c r="O345">
        <v>312.5</v>
      </c>
      <c r="P345" t="s">
        <v>843</v>
      </c>
    </row>
    <row r="346" spans="1:16" x14ac:dyDescent="0.25">
      <c r="A346" t="str">
        <f t="shared" si="40"/>
        <v>GP</v>
      </c>
      <c r="B346" t="s">
        <v>820</v>
      </c>
      <c r="C346">
        <v>1</v>
      </c>
      <c r="D346">
        <v>3</v>
      </c>
      <c r="E346">
        <v>3</v>
      </c>
      <c r="F346">
        <v>7</v>
      </c>
      <c r="G346" s="7" t="s">
        <v>826</v>
      </c>
      <c r="H346" s="7" t="s">
        <v>16</v>
      </c>
      <c r="I346" t="s">
        <v>826</v>
      </c>
      <c r="J346">
        <v>27.7</v>
      </c>
      <c r="K346" t="s">
        <v>459</v>
      </c>
      <c r="M346">
        <v>26.8</v>
      </c>
      <c r="N346">
        <v>7.2</v>
      </c>
      <c r="O346">
        <v>315.5</v>
      </c>
      <c r="P346" t="s">
        <v>844</v>
      </c>
    </row>
    <row r="347" spans="1:16" x14ac:dyDescent="0.25">
      <c r="A347" t="str">
        <f t="shared" si="40"/>
        <v>GQ</v>
      </c>
      <c r="B347" t="s">
        <v>757</v>
      </c>
      <c r="C347">
        <v>2</v>
      </c>
      <c r="D347">
        <v>2</v>
      </c>
      <c r="E347">
        <v>3.5</v>
      </c>
      <c r="F347">
        <v>1</v>
      </c>
      <c r="G347" t="s">
        <v>827</v>
      </c>
      <c r="H347" s="7" t="s">
        <v>16</v>
      </c>
      <c r="I347" t="s">
        <v>827</v>
      </c>
      <c r="J347">
        <v>9.8000000000000007</v>
      </c>
      <c r="K347" t="s">
        <v>839</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845</v>
      </c>
    </row>
    <row r="349" spans="1:16" x14ac:dyDescent="0.25">
      <c r="A349" s="1"/>
      <c r="B349" s="1"/>
      <c r="P349" t="s">
        <v>899</v>
      </c>
    </row>
    <row r="350" spans="1:16" x14ac:dyDescent="0.25">
      <c r="A350" s="1" t="s">
        <v>846</v>
      </c>
      <c r="C350" t="s">
        <v>847</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848</v>
      </c>
      <c r="I351" t="s">
        <v>849</v>
      </c>
      <c r="J351">
        <v>34.299999999999997</v>
      </c>
      <c r="K351" t="s">
        <v>737</v>
      </c>
      <c r="M351">
        <v>33.4</v>
      </c>
      <c r="N351">
        <v>7.7</v>
      </c>
      <c r="O351">
        <v>95.6</v>
      </c>
    </row>
    <row r="352" spans="1:16" x14ac:dyDescent="0.25">
      <c r="A352">
        <v>60</v>
      </c>
      <c r="B352">
        <v>61</v>
      </c>
      <c r="C352">
        <v>10</v>
      </c>
      <c r="D352">
        <v>8</v>
      </c>
      <c r="E352">
        <v>2</v>
      </c>
      <c r="F352">
        <v>8</v>
      </c>
      <c r="G352" t="s">
        <v>850</v>
      </c>
      <c r="H352" s="7" t="str">
        <f t="shared" si="43"/>
        <v>/</v>
      </c>
      <c r="I352" t="s">
        <v>850</v>
      </c>
      <c r="J352">
        <v>41.8</v>
      </c>
      <c r="K352" t="s">
        <v>837</v>
      </c>
      <c r="M352">
        <v>41.6</v>
      </c>
      <c r="N352">
        <v>2.6</v>
      </c>
      <c r="O352">
        <v>103.3</v>
      </c>
    </row>
    <row r="353" spans="1:15" x14ac:dyDescent="0.25">
      <c r="A353">
        <v>61</v>
      </c>
      <c r="B353">
        <v>62</v>
      </c>
      <c r="C353">
        <v>8</v>
      </c>
      <c r="D353">
        <v>6</v>
      </c>
      <c r="E353" t="s">
        <v>16</v>
      </c>
      <c r="F353">
        <v>3</v>
      </c>
      <c r="G353" s="7" t="str">
        <f t="shared" si="43"/>
        <v>/</v>
      </c>
      <c r="H353" t="s">
        <v>42</v>
      </c>
      <c r="I353" t="s">
        <v>852</v>
      </c>
      <c r="J353">
        <v>22.9</v>
      </c>
      <c r="K353" t="s">
        <v>371</v>
      </c>
      <c r="M353">
        <v>22.7</v>
      </c>
      <c r="N353">
        <v>2.4</v>
      </c>
      <c r="O353">
        <v>105.9</v>
      </c>
    </row>
    <row r="354" spans="1:15" x14ac:dyDescent="0.25">
      <c r="A354">
        <v>62</v>
      </c>
      <c r="B354">
        <v>63</v>
      </c>
      <c r="C354">
        <v>5</v>
      </c>
      <c r="D354">
        <v>7</v>
      </c>
      <c r="E354">
        <v>3</v>
      </c>
      <c r="F354">
        <v>1</v>
      </c>
      <c r="G354" t="s">
        <v>853</v>
      </c>
      <c r="H354" s="7" t="str">
        <f t="shared" si="43"/>
        <v>/</v>
      </c>
      <c r="I354" t="s">
        <v>853</v>
      </c>
      <c r="J354">
        <v>30.3</v>
      </c>
      <c r="K354" t="str">
        <f>"-5 00"</f>
        <v>-5 00</v>
      </c>
      <c r="M354">
        <v>30</v>
      </c>
      <c r="N354">
        <v>-2.6</v>
      </c>
      <c r="O354">
        <v>108.3</v>
      </c>
    </row>
    <row r="355" spans="1:15" x14ac:dyDescent="0.25">
      <c r="A355">
        <v>63</v>
      </c>
      <c r="B355">
        <v>64</v>
      </c>
      <c r="C355">
        <v>8</v>
      </c>
      <c r="D355">
        <v>2</v>
      </c>
      <c r="F355">
        <v>2</v>
      </c>
      <c r="G355" s="7" t="str">
        <f t="shared" si="43"/>
        <v>/</v>
      </c>
      <c r="H355" t="s">
        <v>854</v>
      </c>
      <c r="I355" t="s">
        <v>541</v>
      </c>
      <c r="J355">
        <v>12.5</v>
      </c>
      <c r="K355" t="s">
        <v>313</v>
      </c>
      <c r="M355">
        <v>12.2</v>
      </c>
      <c r="N355">
        <v>2.7</v>
      </c>
      <c r="O355">
        <v>105.7</v>
      </c>
    </row>
    <row r="356" spans="1:15" x14ac:dyDescent="0.25">
      <c r="A356">
        <v>64</v>
      </c>
      <c r="B356">
        <v>65</v>
      </c>
      <c r="C356">
        <v>10</v>
      </c>
      <c r="D356">
        <v>4</v>
      </c>
      <c r="E356">
        <v>3</v>
      </c>
      <c r="F356" t="s">
        <v>16</v>
      </c>
      <c r="G356" s="7" t="str">
        <f t="shared" si="43"/>
        <v>/</v>
      </c>
      <c r="H356" s="7" t="s">
        <v>855</v>
      </c>
      <c r="I356" t="s">
        <v>856</v>
      </c>
      <c r="J356">
        <v>15.7</v>
      </c>
      <c r="K356" t="s">
        <v>837</v>
      </c>
      <c r="M356">
        <v>15.6</v>
      </c>
      <c r="N356">
        <v>1</v>
      </c>
      <c r="O356">
        <v>108.4</v>
      </c>
    </row>
    <row r="357" spans="1:15" x14ac:dyDescent="0.25">
      <c r="A357">
        <v>65</v>
      </c>
      <c r="B357">
        <v>66</v>
      </c>
      <c r="C357" t="s">
        <v>857</v>
      </c>
      <c r="D357">
        <v>3</v>
      </c>
      <c r="E357">
        <v>2</v>
      </c>
      <c r="F357">
        <v>2</v>
      </c>
      <c r="G357" t="s">
        <v>858</v>
      </c>
      <c r="H357" s="7" t="str">
        <f t="shared" si="43"/>
        <v>/</v>
      </c>
      <c r="I357" t="s">
        <v>858</v>
      </c>
      <c r="J357">
        <v>19.3</v>
      </c>
      <c r="K357" t="s">
        <v>217</v>
      </c>
      <c r="M357">
        <v>18.8</v>
      </c>
      <c r="N357">
        <v>4.5</v>
      </c>
      <c r="O357">
        <v>109.4</v>
      </c>
    </row>
    <row r="358" spans="1:15" x14ac:dyDescent="0.25">
      <c r="A358">
        <v>66</v>
      </c>
      <c r="B358">
        <v>67</v>
      </c>
      <c r="C358">
        <v>6</v>
      </c>
      <c r="D358">
        <v>4</v>
      </c>
      <c r="E358">
        <v>3</v>
      </c>
      <c r="F358">
        <v>4</v>
      </c>
      <c r="G358" s="7" t="str">
        <f t="shared" si="43"/>
        <v>/</v>
      </c>
      <c r="H358" s="7" t="s">
        <v>859</v>
      </c>
      <c r="I358" t="s">
        <v>860</v>
      </c>
      <c r="J358">
        <v>30.2</v>
      </c>
      <c r="K358" t="str">
        <f>"-1 00"</f>
        <v>-1 00</v>
      </c>
      <c r="M358">
        <v>30.2</v>
      </c>
      <c r="N358">
        <v>-0.5</v>
      </c>
      <c r="O358">
        <v>113.9</v>
      </c>
    </row>
    <row r="359" spans="1:15" x14ac:dyDescent="0.25">
      <c r="A359">
        <v>67</v>
      </c>
      <c r="B359">
        <v>68</v>
      </c>
      <c r="C359">
        <v>3</v>
      </c>
      <c r="D359">
        <v>2</v>
      </c>
      <c r="E359">
        <v>6</v>
      </c>
      <c r="F359">
        <v>4</v>
      </c>
      <c r="G359" t="s">
        <v>426</v>
      </c>
      <c r="H359" s="7" t="str">
        <f t="shared" si="43"/>
        <v>/</v>
      </c>
      <c r="I359" t="s">
        <v>426</v>
      </c>
      <c r="J359">
        <v>48.9</v>
      </c>
      <c r="K359" t="str">
        <f>"-4 00"</f>
        <v>-4 00</v>
      </c>
      <c r="M359">
        <v>48.6</v>
      </c>
      <c r="N359">
        <v>-3.4</v>
      </c>
      <c r="O359">
        <v>113.4</v>
      </c>
    </row>
    <row r="360" spans="1:15" x14ac:dyDescent="0.25">
      <c r="A360">
        <v>68</v>
      </c>
      <c r="B360">
        <v>69</v>
      </c>
      <c r="C360">
        <v>3</v>
      </c>
      <c r="D360">
        <v>3</v>
      </c>
      <c r="E360">
        <v>1</v>
      </c>
      <c r="F360" t="s">
        <v>16</v>
      </c>
      <c r="G360" s="7" t="str">
        <f t="shared" si="43"/>
        <v>/</v>
      </c>
      <c r="H360" s="7" t="s">
        <v>861</v>
      </c>
      <c r="I360" t="s">
        <v>862</v>
      </c>
      <c r="J360">
        <v>14.8</v>
      </c>
      <c r="K360" t="s">
        <v>656</v>
      </c>
      <c r="M360">
        <v>14.6</v>
      </c>
      <c r="N360">
        <v>1.4</v>
      </c>
      <c r="O360">
        <v>110</v>
      </c>
    </row>
    <row r="361" spans="1:15" x14ac:dyDescent="0.25">
      <c r="A361">
        <v>69</v>
      </c>
      <c r="B361">
        <v>70</v>
      </c>
      <c r="C361">
        <v>6</v>
      </c>
      <c r="D361">
        <v>3</v>
      </c>
      <c r="E361">
        <v>3</v>
      </c>
      <c r="F361">
        <v>3</v>
      </c>
      <c r="G361" t="s">
        <v>863</v>
      </c>
      <c r="H361" s="7" t="str">
        <f t="shared" si="43"/>
        <v>/</v>
      </c>
      <c r="I361" t="s">
        <v>863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363</v>
      </c>
      <c r="I362" t="s">
        <v>356</v>
      </c>
      <c r="J362">
        <v>36.799999999999997</v>
      </c>
      <c r="K362" t="s">
        <v>80</v>
      </c>
      <c r="M362">
        <v>36.6</v>
      </c>
      <c r="N362">
        <v>2.9</v>
      </c>
      <c r="O362">
        <v>109</v>
      </c>
    </row>
    <row r="363" spans="1:15" x14ac:dyDescent="0.25">
      <c r="A363">
        <v>71</v>
      </c>
      <c r="B363">
        <v>72</v>
      </c>
      <c r="C363">
        <v>4</v>
      </c>
      <c r="D363">
        <v>3</v>
      </c>
      <c r="E363" t="s">
        <v>864</v>
      </c>
      <c r="F363">
        <v>5</v>
      </c>
      <c r="G363" t="s">
        <v>865</v>
      </c>
      <c r="H363" s="7" t="str">
        <f t="shared" si="43"/>
        <v>/</v>
      </c>
      <c r="I363" t="s">
        <v>865</v>
      </c>
      <c r="J363">
        <v>38.200000000000003</v>
      </c>
      <c r="K363" t="s">
        <v>317</v>
      </c>
      <c r="M363">
        <v>38</v>
      </c>
      <c r="N363">
        <v>3.3</v>
      </c>
      <c r="O363">
        <v>111.9</v>
      </c>
    </row>
    <row r="364" spans="1:15" x14ac:dyDescent="0.25">
      <c r="A364">
        <v>72</v>
      </c>
      <c r="B364">
        <v>73</v>
      </c>
      <c r="C364">
        <v>8</v>
      </c>
      <c r="D364">
        <v>4</v>
      </c>
      <c r="E364">
        <v>3</v>
      </c>
      <c r="F364" t="s">
        <v>16</v>
      </c>
      <c r="G364" s="7" t="str">
        <f t="shared" si="43"/>
        <v>/</v>
      </c>
      <c r="H364" t="s">
        <v>516</v>
      </c>
      <c r="I364" t="s">
        <v>515</v>
      </c>
      <c r="J364">
        <v>11.9</v>
      </c>
      <c r="K364" t="str">
        <f>"-10 00"</f>
        <v>-10 00</v>
      </c>
      <c r="M364">
        <v>16.7</v>
      </c>
      <c r="N364">
        <v>-2.1</v>
      </c>
      <c r="O364">
        <v>115.2</v>
      </c>
    </row>
    <row r="365" spans="1:15" x14ac:dyDescent="0.25">
      <c r="A365">
        <v>73</v>
      </c>
      <c r="B365">
        <v>74</v>
      </c>
      <c r="C365">
        <v>15</v>
      </c>
      <c r="D365">
        <v>2</v>
      </c>
      <c r="E365">
        <v>3</v>
      </c>
      <c r="F365">
        <v>2</v>
      </c>
      <c r="G365" t="s">
        <v>623</v>
      </c>
      <c r="H365" s="7" t="str">
        <f t="shared" si="43"/>
        <v>/</v>
      </c>
      <c r="I365" t="s">
        <v>623</v>
      </c>
      <c r="J365">
        <v>34.200000000000003</v>
      </c>
      <c r="K365" t="str">
        <f>"-1 30"</f>
        <v>-1 30</v>
      </c>
      <c r="M365">
        <v>34.200000000000003</v>
      </c>
      <c r="N365">
        <v>-0.9</v>
      </c>
      <c r="O365">
        <v>113.1</v>
      </c>
    </row>
    <row r="366" spans="1:15" x14ac:dyDescent="0.25">
      <c r="A366">
        <v>74</v>
      </c>
      <c r="B366">
        <v>75</v>
      </c>
      <c r="C366">
        <v>4</v>
      </c>
      <c r="D366" t="s">
        <v>16</v>
      </c>
      <c r="E366">
        <v>3</v>
      </c>
      <c r="F366" t="s">
        <v>864</v>
      </c>
      <c r="G366" s="7" t="str">
        <f t="shared" ref="F366:H385" si="44">"/"</f>
        <v>/</v>
      </c>
      <c r="H366" t="s">
        <v>866</v>
      </c>
      <c r="I366" t="s">
        <v>548</v>
      </c>
      <c r="J366">
        <v>9.1</v>
      </c>
      <c r="K366" t="s">
        <v>44</v>
      </c>
      <c r="M366">
        <v>9.1</v>
      </c>
      <c r="N366" t="s">
        <v>16</v>
      </c>
      <c r="O366">
        <v>112.2</v>
      </c>
    </row>
    <row r="367" spans="1:15" x14ac:dyDescent="0.25">
      <c r="A367">
        <v>75</v>
      </c>
      <c r="B367">
        <v>76</v>
      </c>
      <c r="C367">
        <v>4</v>
      </c>
      <c r="D367" t="s">
        <v>16</v>
      </c>
      <c r="E367">
        <v>1</v>
      </c>
      <c r="F367">
        <v>2</v>
      </c>
      <c r="G367" s="7" t="str">
        <f t="shared" si="44"/>
        <v>/</v>
      </c>
      <c r="H367" s="7" t="s">
        <v>721</v>
      </c>
      <c r="I367" t="s">
        <v>729</v>
      </c>
      <c r="J367">
        <v>40.700000000000003</v>
      </c>
      <c r="K367" t="s">
        <v>106</v>
      </c>
      <c r="M367">
        <v>40.4</v>
      </c>
      <c r="N367">
        <v>4.5999999999999996</v>
      </c>
      <c r="O367">
        <v>112.2</v>
      </c>
    </row>
    <row r="368" spans="1:15" x14ac:dyDescent="0.25">
      <c r="A368">
        <v>76</v>
      </c>
      <c r="B368">
        <v>77</v>
      </c>
      <c r="C368">
        <v>10</v>
      </c>
      <c r="D368">
        <v>2</v>
      </c>
      <c r="E368">
        <v>1</v>
      </c>
      <c r="F368">
        <v>2</v>
      </c>
      <c r="G368" t="s">
        <v>244</v>
      </c>
      <c r="H368" s="7" t="str">
        <f t="shared" si="44"/>
        <v>/</v>
      </c>
      <c r="I368" t="s">
        <v>244</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306</v>
      </c>
      <c r="I369" t="s">
        <v>290</v>
      </c>
      <c r="J369">
        <v>7.6</v>
      </c>
      <c r="K369" t="s">
        <v>835</v>
      </c>
      <c r="M369">
        <v>6.9</v>
      </c>
      <c r="N369">
        <v>3.3</v>
      </c>
      <c r="O369">
        <v>116.3</v>
      </c>
    </row>
    <row r="370" spans="1:15" x14ac:dyDescent="0.25">
      <c r="A370">
        <v>78</v>
      </c>
      <c r="B370">
        <v>79</v>
      </c>
      <c r="C370">
        <v>10</v>
      </c>
      <c r="D370">
        <v>3</v>
      </c>
      <c r="E370">
        <v>3</v>
      </c>
      <c r="F370">
        <v>4</v>
      </c>
      <c r="G370" t="s">
        <v>867</v>
      </c>
      <c r="H370" s="7" t="str">
        <f t="shared" si="44"/>
        <v>/</v>
      </c>
      <c r="I370" t="s">
        <v>867</v>
      </c>
      <c r="J370">
        <v>35</v>
      </c>
      <c r="K370" t="s">
        <v>520</v>
      </c>
      <c r="M370">
        <v>34.799999999999997</v>
      </c>
      <c r="N370">
        <v>2.4</v>
      </c>
      <c r="O370">
        <v>119.6</v>
      </c>
    </row>
    <row r="371" spans="1:15" x14ac:dyDescent="0.25">
      <c r="A371">
        <v>79</v>
      </c>
      <c r="B371">
        <v>80</v>
      </c>
      <c r="C371">
        <v>10</v>
      </c>
      <c r="D371">
        <v>3</v>
      </c>
      <c r="E371">
        <v>4</v>
      </c>
      <c r="F371">
        <v>4</v>
      </c>
      <c r="G371" s="7" t="str">
        <f t="shared" si="44"/>
        <v>/</v>
      </c>
      <c r="H371" s="7" t="s">
        <v>868</v>
      </c>
      <c r="I371" t="s">
        <v>869</v>
      </c>
      <c r="J371">
        <v>45.7</v>
      </c>
      <c r="K371" t="s">
        <v>183</v>
      </c>
      <c r="M371">
        <v>45.7</v>
      </c>
      <c r="N371">
        <v>0.4</v>
      </c>
      <c r="O371">
        <v>122</v>
      </c>
    </row>
    <row r="372" spans="1:15" x14ac:dyDescent="0.25">
      <c r="A372">
        <v>80</v>
      </c>
      <c r="B372">
        <v>81</v>
      </c>
      <c r="C372">
        <v>10</v>
      </c>
      <c r="D372">
        <v>3</v>
      </c>
      <c r="E372">
        <v>5</v>
      </c>
      <c r="F372">
        <v>2</v>
      </c>
      <c r="G372" t="s">
        <v>870</v>
      </c>
      <c r="H372" s="7" t="str">
        <f t="shared" si="44"/>
        <v>/</v>
      </c>
      <c r="I372" t="s">
        <v>870</v>
      </c>
      <c r="J372">
        <v>27.2</v>
      </c>
      <c r="K372" t="s">
        <v>183</v>
      </c>
      <c r="M372">
        <v>27.2</v>
      </c>
      <c r="N372">
        <v>0.2</v>
      </c>
      <c r="O372">
        <v>122.4</v>
      </c>
    </row>
    <row r="373" spans="1:15" x14ac:dyDescent="0.25">
      <c r="A373">
        <v>81</v>
      </c>
      <c r="B373">
        <v>82</v>
      </c>
      <c r="C373">
        <v>5</v>
      </c>
      <c r="D373" t="s">
        <v>16</v>
      </c>
      <c r="E373">
        <v>7</v>
      </c>
      <c r="F373">
        <v>8</v>
      </c>
      <c r="G373" s="7" t="str">
        <f t="shared" si="44"/>
        <v>/</v>
      </c>
      <c r="H373" t="s">
        <v>871</v>
      </c>
      <c r="I373" t="s">
        <v>872</v>
      </c>
      <c r="J373">
        <v>19.100000000000001</v>
      </c>
      <c r="K373" t="s">
        <v>478</v>
      </c>
      <c r="M373">
        <v>18.899999999999999</v>
      </c>
      <c r="N373">
        <v>2.2999999999999998</v>
      </c>
      <c r="O373">
        <v>122.6</v>
      </c>
    </row>
    <row r="374" spans="1:15" x14ac:dyDescent="0.25">
      <c r="A374">
        <v>82</v>
      </c>
      <c r="B374">
        <v>83</v>
      </c>
      <c r="C374">
        <v>2</v>
      </c>
      <c r="D374">
        <v>2</v>
      </c>
      <c r="E374">
        <v>8</v>
      </c>
      <c r="F374">
        <v>6</v>
      </c>
      <c r="G374" t="s">
        <v>873</v>
      </c>
      <c r="H374" s="7" t="str">
        <f t="shared" si="44"/>
        <v>/</v>
      </c>
      <c r="I374" t="s">
        <v>873</v>
      </c>
      <c r="J374">
        <v>39.700000000000003</v>
      </c>
      <c r="K374" t="s">
        <v>187</v>
      </c>
      <c r="M374">
        <v>39.5</v>
      </c>
      <c r="N374">
        <v>2.1</v>
      </c>
      <c r="O374">
        <v>124.9</v>
      </c>
    </row>
    <row r="375" spans="1:15" x14ac:dyDescent="0.25">
      <c r="A375">
        <v>83</v>
      </c>
      <c r="B375">
        <v>84</v>
      </c>
      <c r="C375">
        <v>3</v>
      </c>
      <c r="D375">
        <v>1</v>
      </c>
      <c r="E375">
        <v>5</v>
      </c>
      <c r="F375">
        <v>5</v>
      </c>
      <c r="G375" s="7" t="str">
        <f t="shared" si="44"/>
        <v>/</v>
      </c>
      <c r="H375" t="s">
        <v>715</v>
      </c>
      <c r="I375" t="s">
        <v>874</v>
      </c>
      <c r="J375">
        <v>35.5</v>
      </c>
      <c r="K375" t="s">
        <v>656</v>
      </c>
      <c r="M375">
        <v>35.299999999999997</v>
      </c>
      <c r="N375">
        <v>3.4</v>
      </c>
      <c r="O375">
        <v>127</v>
      </c>
    </row>
    <row r="376" spans="1:15" x14ac:dyDescent="0.25">
      <c r="A376">
        <v>84</v>
      </c>
      <c r="B376">
        <v>85</v>
      </c>
      <c r="C376">
        <v>1</v>
      </c>
      <c r="D376">
        <v>3</v>
      </c>
      <c r="E376">
        <v>6</v>
      </c>
      <c r="F376">
        <v>3</v>
      </c>
      <c r="G376" t="s">
        <v>875</v>
      </c>
      <c r="H376" s="7" t="str">
        <f t="shared" ref="H376" si="45">"/"</f>
        <v>/</v>
      </c>
      <c r="I376" t="s">
        <v>875</v>
      </c>
      <c r="J376">
        <v>29.1</v>
      </c>
      <c r="K376" t="s">
        <v>523</v>
      </c>
      <c r="M376">
        <v>28</v>
      </c>
      <c r="N376">
        <v>8.1</v>
      </c>
      <c r="O376">
        <v>130.4</v>
      </c>
    </row>
    <row r="377" spans="1:15" x14ac:dyDescent="0.25">
      <c r="A377">
        <v>85</v>
      </c>
      <c r="B377">
        <v>86</v>
      </c>
      <c r="C377">
        <v>3</v>
      </c>
      <c r="D377" t="s">
        <v>876</v>
      </c>
      <c r="E377">
        <v>5</v>
      </c>
      <c r="F377" s="7" t="str">
        <f t="shared" si="44"/>
        <v>/</v>
      </c>
      <c r="G377" s="7" t="str">
        <f t="shared" si="44"/>
        <v>/</v>
      </c>
      <c r="H377" t="s">
        <v>773</v>
      </c>
      <c r="I377" t="s">
        <v>621</v>
      </c>
      <c r="J377">
        <v>25.3</v>
      </c>
      <c r="K377" t="s">
        <v>382</v>
      </c>
      <c r="M377">
        <v>23.7</v>
      </c>
      <c r="N377">
        <v>9.1</v>
      </c>
      <c r="O377">
        <v>138.5</v>
      </c>
    </row>
    <row r="378" spans="1:15" x14ac:dyDescent="0.25">
      <c r="A378">
        <v>86</v>
      </c>
      <c r="B378">
        <v>87</v>
      </c>
      <c r="C378">
        <v>3</v>
      </c>
      <c r="D378">
        <v>2</v>
      </c>
      <c r="E378">
        <v>7</v>
      </c>
      <c r="F378">
        <v>3</v>
      </c>
      <c r="G378" t="s">
        <v>652</v>
      </c>
      <c r="H378" s="7" t="str">
        <f t="shared" si="44"/>
        <v>/</v>
      </c>
      <c r="I378" t="s">
        <v>652</v>
      </c>
      <c r="J378">
        <v>23.1</v>
      </c>
      <c r="K378" t="s">
        <v>738</v>
      </c>
      <c r="M378">
        <v>21.9</v>
      </c>
      <c r="N378">
        <v>7.3</v>
      </c>
      <c r="O378">
        <v>147.6</v>
      </c>
    </row>
    <row r="379" spans="1:15" x14ac:dyDescent="0.25">
      <c r="A379">
        <v>87</v>
      </c>
      <c r="B379">
        <v>88</v>
      </c>
      <c r="C379">
        <v>15</v>
      </c>
      <c r="D379">
        <v>6</v>
      </c>
      <c r="E379">
        <v>15</v>
      </c>
      <c r="F379" t="s">
        <v>877</v>
      </c>
      <c r="G379" s="7" t="str">
        <f t="shared" si="44"/>
        <v>/</v>
      </c>
      <c r="H379" t="s">
        <v>733</v>
      </c>
      <c r="I379" t="s">
        <v>724</v>
      </c>
      <c r="J379">
        <v>51.3</v>
      </c>
      <c r="K379" t="s">
        <v>313</v>
      </c>
      <c r="M379">
        <v>50.1</v>
      </c>
      <c r="N379">
        <v>11.1</v>
      </c>
      <c r="O379">
        <v>154.9</v>
      </c>
    </row>
    <row r="380" spans="1:15" x14ac:dyDescent="0.25">
      <c r="A380">
        <v>88</v>
      </c>
      <c r="B380">
        <v>89</v>
      </c>
      <c r="C380">
        <v>22</v>
      </c>
      <c r="D380">
        <v>3</v>
      </c>
      <c r="E380">
        <v>4</v>
      </c>
      <c r="F380">
        <v>5</v>
      </c>
      <c r="G380" t="s">
        <v>229</v>
      </c>
      <c r="H380" s="7" t="str">
        <f t="shared" si="44"/>
        <v>/</v>
      </c>
      <c r="I380" t="s">
        <v>229</v>
      </c>
      <c r="J380">
        <v>16.5</v>
      </c>
      <c r="K380" t="s">
        <v>184</v>
      </c>
      <c r="M380">
        <v>15.2</v>
      </c>
      <c r="N380">
        <v>6.3</v>
      </c>
      <c r="O380">
        <v>166</v>
      </c>
    </row>
    <row r="381" spans="1:15" x14ac:dyDescent="0.25">
      <c r="A381">
        <v>89</v>
      </c>
      <c r="B381">
        <v>90</v>
      </c>
      <c r="C381">
        <v>24</v>
      </c>
      <c r="D381">
        <v>6</v>
      </c>
      <c r="E381">
        <v>1</v>
      </c>
      <c r="F381">
        <v>4</v>
      </c>
      <c r="G381" s="7" t="str">
        <f t="shared" si="44"/>
        <v>/</v>
      </c>
      <c r="H381" t="s">
        <v>878</v>
      </c>
      <c r="I381" t="s">
        <v>879</v>
      </c>
      <c r="J381">
        <v>26.4</v>
      </c>
      <c r="K381" t="s">
        <v>190</v>
      </c>
      <c r="M381">
        <v>25.5</v>
      </c>
      <c r="N381">
        <v>6.6</v>
      </c>
      <c r="O381">
        <v>172.3</v>
      </c>
    </row>
    <row r="382" spans="1:15" x14ac:dyDescent="0.25">
      <c r="A382" s="1" t="s">
        <v>851</v>
      </c>
      <c r="B382" s="1" t="s">
        <v>880</v>
      </c>
    </row>
    <row r="383" spans="1:15" x14ac:dyDescent="0.25">
      <c r="A383">
        <v>90</v>
      </c>
      <c r="B383">
        <v>91</v>
      </c>
      <c r="C383">
        <v>15</v>
      </c>
      <c r="D383">
        <v>4</v>
      </c>
      <c r="E383">
        <v>3</v>
      </c>
      <c r="F383">
        <v>3</v>
      </c>
      <c r="G383" t="s">
        <v>425</v>
      </c>
      <c r="H383" s="7" t="str">
        <f t="shared" si="44"/>
        <v>/</v>
      </c>
      <c r="I383" t="s">
        <v>425</v>
      </c>
      <c r="J383">
        <v>49</v>
      </c>
      <c r="K383" t="s">
        <v>837</v>
      </c>
      <c r="M383">
        <v>48.7</v>
      </c>
      <c r="N383">
        <v>3</v>
      </c>
      <c r="O383">
        <v>178.9</v>
      </c>
    </row>
    <row r="384" spans="1:15" x14ac:dyDescent="0.25">
      <c r="A384">
        <v>91</v>
      </c>
      <c r="B384">
        <v>92</v>
      </c>
      <c r="C384">
        <v>25</v>
      </c>
      <c r="D384" t="s">
        <v>884</v>
      </c>
      <c r="E384" t="s">
        <v>16</v>
      </c>
      <c r="F384">
        <v>5</v>
      </c>
      <c r="G384" s="7" t="str">
        <f t="shared" si="44"/>
        <v>/</v>
      </c>
      <c r="H384" t="s">
        <v>777</v>
      </c>
      <c r="I384" t="s">
        <v>767</v>
      </c>
      <c r="J384">
        <v>35.799999999999997</v>
      </c>
      <c r="K384" t="s">
        <v>886</v>
      </c>
      <c r="M384">
        <v>32</v>
      </c>
      <c r="N384">
        <v>16</v>
      </c>
      <c r="O384">
        <v>181.9</v>
      </c>
    </row>
    <row r="385" spans="1:15" x14ac:dyDescent="0.25">
      <c r="A385">
        <v>92</v>
      </c>
      <c r="B385">
        <v>93</v>
      </c>
      <c r="C385">
        <v>20</v>
      </c>
      <c r="D385">
        <v>4</v>
      </c>
      <c r="E385">
        <v>8</v>
      </c>
      <c r="F385">
        <v>6</v>
      </c>
      <c r="G385" t="s">
        <v>885</v>
      </c>
      <c r="H385" s="7" t="str">
        <f t="shared" si="44"/>
        <v>/</v>
      </c>
      <c r="I385" t="s">
        <v>885</v>
      </c>
      <c r="J385">
        <v>48.2</v>
      </c>
      <c r="K385" t="s">
        <v>63</v>
      </c>
      <c r="M385">
        <v>47.7</v>
      </c>
      <c r="N385">
        <v>7.1</v>
      </c>
      <c r="O385">
        <v>197.9</v>
      </c>
    </row>
    <row r="386" spans="1:15" x14ac:dyDescent="0.25">
      <c r="A386">
        <v>93</v>
      </c>
      <c r="B386">
        <v>94</v>
      </c>
      <c r="C386">
        <v>8</v>
      </c>
      <c r="D386">
        <v>7</v>
      </c>
      <c r="E386">
        <v>5</v>
      </c>
      <c r="F386">
        <v>2</v>
      </c>
      <c r="G386" s="7" t="str">
        <f t="shared" ref="G386:H387" si="46">"/"</f>
        <v>/</v>
      </c>
      <c r="H386" t="s">
        <v>878</v>
      </c>
      <c r="I386" t="s">
        <v>879</v>
      </c>
      <c r="J386">
        <v>18.5</v>
      </c>
      <c r="K386" t="str">
        <f>"-9 00"</f>
        <v>-9 00</v>
      </c>
      <c r="M386">
        <v>18.3</v>
      </c>
      <c r="N386">
        <v>-2.9</v>
      </c>
      <c r="O386">
        <v>205</v>
      </c>
    </row>
    <row r="387" spans="1:15" x14ac:dyDescent="0.25">
      <c r="A387">
        <v>94</v>
      </c>
      <c r="B387">
        <v>95</v>
      </c>
      <c r="C387" t="s">
        <v>883</v>
      </c>
      <c r="D387">
        <v>3</v>
      </c>
      <c r="E387">
        <v>3</v>
      </c>
      <c r="F387">
        <v>1</v>
      </c>
      <c r="G387" t="s">
        <v>646</v>
      </c>
      <c r="H387" s="7" t="str">
        <f t="shared" si="46"/>
        <v>/</v>
      </c>
      <c r="I387" t="s">
        <v>646</v>
      </c>
      <c r="J387">
        <v>26</v>
      </c>
      <c r="K387" t="str">
        <f>"-4 30"</f>
        <v>-4 30</v>
      </c>
      <c r="M387">
        <v>25.8</v>
      </c>
      <c r="N387">
        <v>-2</v>
      </c>
      <c r="O387">
        <v>202.1</v>
      </c>
    </row>
    <row r="388" spans="1:15" x14ac:dyDescent="0.25">
      <c r="A388">
        <v>95</v>
      </c>
      <c r="C388">
        <v>10</v>
      </c>
      <c r="D388" t="s">
        <v>16</v>
      </c>
      <c r="E388" t="s">
        <v>16</v>
      </c>
      <c r="F388">
        <v>3</v>
      </c>
      <c r="M388">
        <v>52.5</v>
      </c>
      <c r="N388">
        <v>10</v>
      </c>
      <c r="O388">
        <v>200.1</v>
      </c>
    </row>
    <row r="389" spans="1:15" x14ac:dyDescent="0.25">
      <c r="O389">
        <v>210</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82"/>
  <sheetViews>
    <sheetView zoomScale="80" zoomScaleNormal="80" workbookViewId="0">
      <pane xSplit="2" ySplit="4" topLeftCell="C255" activePane="bottomRight" state="frozen"/>
      <selection pane="topRight" activeCell="C1" sqref="C1"/>
      <selection pane="bottomLeft" activeCell="A5" sqref="A5"/>
      <selection pane="bottomRight" activeCell="I236" sqref="I236"/>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255</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19" t="str">
        <f>IF('Raw Data'!E3="","",'Raw Data'!E3)</f>
        <v>Looking Forward</v>
      </c>
      <c r="F3" s="19"/>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278</v>
      </c>
      <c r="Z4" s="17" t="s">
        <v>901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21">
        <f t="shared" ref="U5:U6" si="1">IF(ISERROR(FIND(":",K5)),K5,1*CONCATENATE(LEFT(K5,FIND(":",K5)-1),".",MID(RIGHT(K5,LEN(K5)-FIND(":",K5))/60,3,8)))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21">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21">
        <f t="shared" ref="U8:U9" si="8">IF(ISERROR(FIND(":",K8)),K8,1*CONCATENATE(LEFT(K8,FIND(":",K8)-1),".",MID(RIGHT(K8,LEN(K8)-FIND(":",K8))/60,3,8)))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21">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21">
        <f t="shared" ref="U12:U19" si="12">IF(ISERROR(FIND(":",K12)),K12,1*CONCATENATE(LEFT(K12,FIND(":",K12)-1),".",MID(RIGHT(K12,LEN(K12)-FIND(":",K12))/60,3,8)))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21" t="str">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21" t="str">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21" t="str">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21" t="str">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21" t="str">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21" t="str">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21" t="str">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21">
        <f t="shared" ref="U23" si="14">IF(ISERROR(FIND(":",K23)),K23,1*CONCATENATE(LEFT(K23,FIND(":",K23)-1),".",MID(RIGHT(K23,LEN(K23)-FIND(":",K23))/60,3,8)))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Bearls (sp.?) seen here.    Total = 650'</v>
      </c>
      <c r="Q25" t="str">
        <f t="shared" si="0"/>
        <v xml:space="preserve"> </v>
      </c>
      <c r="U25" s="21"/>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21" t="str">
        <f t="shared" ref="U27" si="15">IF(ISERROR(FIND(":",K27)),K27,1*CONCATENATE(LEFT(K27,FIND(":",K27)-1),".",MID(RIGHT(K27,LEN(K27)-FIND(":",K27))/60,3,8)))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21"/>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21"/>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21" t="str">
        <f t="shared" ref="U30" si="19">IF(ISERROR(FIND(":",K30)),K30,1*CONCATENATE(LEFT(K30,FIND(":",K30)-1),".",MID(RIGHT(K30,LEN(K30)-FIND(":",K30))/60,3,8)))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6"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row>
    <row r="34" spans="1:26"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6"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6"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21"/>
      <c r="W36" s="4"/>
      <c r="X36" s="4"/>
      <c r="Y36" s="3"/>
      <c r="Z36" s="4">
        <f>IF('Raw Data'!O36="","",O35+N35)</f>
        <v>-26.8</v>
      </c>
    </row>
    <row r="37" spans="1:26"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21" t="str">
        <f t="shared" ref="U37:U39" si="27">IF(ISERROR(FIND(":",K37)),K37,1*CONCATENATE(LEFT(K37,FIND(":",K37)-1),".",MID(RIGHT(K37,LEN(K37)-FIND(":",K37))/60,3,8)))</f>
        <v>20</v>
      </c>
      <c r="W37" s="4">
        <f t="shared" si="9"/>
        <v>20.767206919368579</v>
      </c>
      <c r="X37" s="4">
        <f t="shared" si="10"/>
        <v>7.5586451674972794</v>
      </c>
      <c r="Y37" s="3">
        <f t="shared" si="7"/>
        <v>19</v>
      </c>
      <c r="Z37" s="4">
        <f>IF('Raw Data'!O37="","",O23+N23)</f>
        <v>-22.9</v>
      </c>
    </row>
    <row r="38" spans="1:26"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21" t="str">
        <f t="shared" si="27"/>
        <v>-3</v>
      </c>
      <c r="W38" s="4">
        <f t="shared" si="9"/>
        <v>45.936958598710397</v>
      </c>
      <c r="X38" s="4">
        <f t="shared" si="10"/>
        <v>-2.4074539871754159</v>
      </c>
      <c r="Y38" s="3">
        <f t="shared" si="7"/>
        <v>315</v>
      </c>
      <c r="Z38" s="4">
        <f>IF('Raw Data'!O38="","",O37+N37)</f>
        <v>-15.299999999999999</v>
      </c>
    </row>
    <row r="39" spans="1:26"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21" t="str">
        <f t="shared" si="27"/>
        <v>2</v>
      </c>
      <c r="W39" s="4">
        <f t="shared" si="9"/>
        <v>31.980506464611064</v>
      </c>
      <c r="X39" s="4">
        <f t="shared" si="10"/>
        <v>1.116783894480031</v>
      </c>
      <c r="Y39" s="3">
        <f t="shared" si="7"/>
        <v>348</v>
      </c>
      <c r="Z39" s="4">
        <f>IF('Raw Data'!O39="","",O38+N38)</f>
        <v>-17.7</v>
      </c>
    </row>
    <row r="40" spans="1:26"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6"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21" t="str">
        <f t="shared" ref="U41:U43" si="31">IF(ISERROR(FIND(":",K41)),K41,1*CONCATENATE(LEFT(K41,FIND(":",K41)-1),".",MID(RIGHT(K41,LEN(K41)-FIND(":",K41))/60,3,8)))</f>
        <v>15</v>
      </c>
      <c r="W41" s="4">
        <f t="shared" si="9"/>
        <v>41.534810530429937</v>
      </c>
      <c r="X41" s="4">
        <f t="shared" si="10"/>
        <v>11.129218939408393</v>
      </c>
      <c r="Y41" s="3">
        <f t="shared" si="7"/>
        <v>83</v>
      </c>
      <c r="Z41" s="4">
        <f>IF('Raw Data'!O41="","",O40+N40)</f>
        <v>-20.6</v>
      </c>
    </row>
    <row r="42" spans="1:26"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21" t="str">
        <f t="shared" si="31"/>
        <v>8</v>
      </c>
      <c r="W42" s="4">
        <f t="shared" si="9"/>
        <v>20.498549022950506</v>
      </c>
      <c r="X42" s="4">
        <f t="shared" si="10"/>
        <v>2.8808831898733547</v>
      </c>
      <c r="Y42" s="3">
        <f t="shared" si="7"/>
        <v>6</v>
      </c>
      <c r="Z42" s="4">
        <f>IF('Raw Data'!O42="","",O41+N41)</f>
        <v>6.5</v>
      </c>
    </row>
    <row r="43" spans="1:26"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t="str">
        <f>IF('Raw Data'!O43="",IF('Raw Data'!N43="","",0),'Raw Data'!O43)</f>
        <v>17.5 (? indistinct)</v>
      </c>
      <c r="P43" t="str">
        <f>IF('Raw Data'!P43="","",'Raw Data'!P43)</f>
        <v/>
      </c>
      <c r="Q43" t="str">
        <f t="shared" si="0"/>
        <v xml:space="preserve"> </v>
      </c>
      <c r="R43" s="3">
        <f t="shared" si="28"/>
        <v>42</v>
      </c>
      <c r="S43" s="3" t="str">
        <f t="shared" si="29"/>
        <v>-</v>
      </c>
      <c r="T43" s="3">
        <f t="shared" si="30"/>
        <v>42</v>
      </c>
      <c r="U43" s="3">
        <f>IF(ISERROR(FIND(":",K43)),1*K43,1*CONCATENATE(LEFT(K43,FIND(":",K43)-1),".",MID(RIGHT(K43,LEN(K43)-FIND(":",K43))/60,3,8)))</f>
        <v>10</v>
      </c>
      <c r="W43" s="4">
        <f t="shared" si="9"/>
        <v>11.128327609037951</v>
      </c>
      <c r="X43" s="4">
        <f t="shared" si="10"/>
        <v>1.9622244076363129</v>
      </c>
      <c r="Y43" s="3">
        <f t="shared" si="7"/>
        <v>42</v>
      </c>
      <c r="Z43" s="4">
        <f>IF('Raw Data'!O43="","",O42+N42)</f>
        <v>9.4</v>
      </c>
    </row>
    <row r="44" spans="1:26"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t="e">
        <f>IF('Raw Data'!O44="","",O43+N43)</f>
        <v>#VALUE!</v>
      </c>
    </row>
    <row r="45" spans="1:26"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IF(ISERROR(FIND(":",K45)),1*K45,1*CONCATENATE(LEFT(K45,FIND(":",K45)-1),".",MID(RIGHT(K45,LEN(K45)-FIND(":",K45))/60,3,8)))</f>
        <v>60</v>
      </c>
      <c r="W45" s="4">
        <f t="shared" si="9"/>
        <v>5.1500000000000012</v>
      </c>
      <c r="X45" s="4">
        <f t="shared" si="10"/>
        <v>8.9200616589797175</v>
      </c>
      <c r="Y45" s="3">
        <f t="shared" si="7"/>
        <v>245</v>
      </c>
      <c r="Z45" s="4">
        <f>IF('Raw Data'!O45="","",O44+N44)</f>
        <v>11.4</v>
      </c>
    </row>
    <row r="46" spans="1:26"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6"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IF(ISERROR(FIND(":",K47)),1*K47,1*CONCATENATE(LEFT(K47,FIND(":",K47)-1),".",MID(RIGHT(K47,LEN(K47)-FIND(":",K47))/60,3,8)))</f>
        <v>65</v>
      </c>
      <c r="W47" s="4">
        <f t="shared" si="9"/>
        <v>6.7618921878511911</v>
      </c>
      <c r="X47" s="4">
        <f t="shared" si="10"/>
        <v>14.500924592586399</v>
      </c>
      <c r="Y47" s="3">
        <f t="shared" si="7"/>
        <v>237</v>
      </c>
      <c r="Z47" s="4">
        <f>IF('Raw Data'!O47="","",O46+N46)</f>
        <v>20.3</v>
      </c>
    </row>
    <row r="48" spans="1:26"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6"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2">IF(ISERROR(FIND(":",K49)),1*K49,1*CONCATENATE(LEFT(K49,FIND(":",K49)-1),".",MID(RIGHT(K49,LEN(K49)-FIND(":",K49))/60,3,8)))</f>
        <v>-20</v>
      </c>
      <c r="W49" s="4">
        <f t="shared" si="9"/>
        <v>10.994403663195127</v>
      </c>
      <c r="X49" s="4">
        <f t="shared" si="10"/>
        <v>-4.0016356769103236</v>
      </c>
      <c r="Y49" s="3">
        <f t="shared" si="7"/>
        <v>325</v>
      </c>
      <c r="Z49" s="4">
        <f>IF('Raw Data'!O49="","",O48+N48)</f>
        <v>34.799999999999997</v>
      </c>
    </row>
    <row r="50" spans="1:26"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2"/>
        <v>85</v>
      </c>
      <c r="W50" s="4">
        <f t="shared" si="9"/>
        <v>2.4839386683082569</v>
      </c>
      <c r="X50" s="4">
        <f t="shared" si="10"/>
        <v>28.391548895614747</v>
      </c>
      <c r="Y50" s="3">
        <f t="shared" si="7"/>
        <v>35</v>
      </c>
      <c r="Z50" s="4">
        <f>IF('Raw Data'!O50="","",O49+N49)</f>
        <v>-13.9</v>
      </c>
    </row>
    <row r="51" spans="1:26"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2"/>
        <v>16</v>
      </c>
      <c r="W51" s="4">
        <f t="shared" si="9"/>
        <v>19.129107749172544</v>
      </c>
      <c r="X51" s="4">
        <f t="shared" si="10"/>
        <v>5.4851833807582828</v>
      </c>
      <c r="Y51" s="3">
        <f t="shared" si="7"/>
        <v>50</v>
      </c>
      <c r="Z51" s="4">
        <f>IF('Raw Data'!O51="","",O50+N50)</f>
        <v>42.3</v>
      </c>
    </row>
    <row r="52" spans="1:26"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2"/>
        <v>7</v>
      </c>
      <c r="W52" s="4">
        <f t="shared" si="9"/>
        <v>15.880738426261152</v>
      </c>
      <c r="X52" s="4">
        <f t="shared" si="10"/>
        <v>1.9499094944823596</v>
      </c>
      <c r="Y52" s="3">
        <f t="shared" si="7"/>
        <v>122</v>
      </c>
      <c r="Z52" s="4" t="e">
        <f>IF('Raw Data'!O52="","",O51+N51)</f>
        <v>#VALUE!</v>
      </c>
    </row>
    <row r="53" spans="1:26"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2"/>
        <v>15</v>
      </c>
      <c r="W53" s="4">
        <f t="shared" si="9"/>
        <v>17.38666487320323</v>
      </c>
      <c r="X53" s="4">
        <f t="shared" si="10"/>
        <v>4.6587428118453733</v>
      </c>
      <c r="Y53" s="3">
        <f t="shared" si="7"/>
        <v>59</v>
      </c>
      <c r="Z53" s="4">
        <f>IF('Raw Data'!O53="","",O52+N52)</f>
        <v>23.9</v>
      </c>
    </row>
    <row r="54" spans="1:26"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2"/>
        <v>10</v>
      </c>
      <c r="W54" s="4">
        <f t="shared" si="9"/>
        <v>9.3556736536159768</v>
      </c>
      <c r="X54" s="4">
        <f t="shared" si="10"/>
        <v>1.6496576878358382</v>
      </c>
      <c r="Y54" s="3">
        <f t="shared" si="7"/>
        <v>17</v>
      </c>
      <c r="Z54" s="4">
        <f>IF('Raw Data'!O54="","",O53+N53)</f>
        <v>31.599999999999998</v>
      </c>
    </row>
    <row r="55" spans="1:26"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2"/>
        <v>17</v>
      </c>
      <c r="W55" s="4">
        <f t="shared" si="9"/>
        <v>12.910114205500978</v>
      </c>
      <c r="X55" s="4">
        <f t="shared" si="10"/>
        <v>3.9470180137569466</v>
      </c>
      <c r="Y55" s="3">
        <f t="shared" si="7"/>
        <v>46</v>
      </c>
      <c r="Z55" s="4">
        <f>IF('Raw Data'!O55="","",O54+N54)</f>
        <v>35.200000000000003</v>
      </c>
    </row>
    <row r="56" spans="1:26"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2"/>
        <v>13</v>
      </c>
      <c r="W56" s="4">
        <f t="shared" si="9"/>
        <v>23.579755567802692</v>
      </c>
      <c r="X56" s="4">
        <f t="shared" si="10"/>
        <v>5.4438155151215328</v>
      </c>
      <c r="Y56" s="3">
        <f t="shared" si="7"/>
        <v>74</v>
      </c>
      <c r="Z56" s="4">
        <f>IF('Raw Data'!O56="","",O55+N55)</f>
        <v>42.2</v>
      </c>
    </row>
    <row r="57" spans="1:26"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2"/>
        <v>10</v>
      </c>
      <c r="W57" s="4">
        <f t="shared" si="9"/>
        <v>8.6663082265074305</v>
      </c>
      <c r="X57" s="4">
        <f t="shared" si="10"/>
        <v>1.528103963468987</v>
      </c>
      <c r="Y57" s="3">
        <f t="shared" si="7"/>
        <v>137</v>
      </c>
      <c r="Z57" s="4">
        <f>IF('Raw Data'!O57="","",O56+N56)</f>
        <v>51.6</v>
      </c>
    </row>
    <row r="58" spans="1:26"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2"/>
        <v>15</v>
      </c>
      <c r="W58" s="4">
        <f t="shared" si="9"/>
        <v>19.125331360523553</v>
      </c>
      <c r="X58" s="4">
        <f t="shared" si="10"/>
        <v>5.1246170930299106</v>
      </c>
      <c r="Y58" s="3">
        <f t="shared" si="7"/>
        <v>89</v>
      </c>
      <c r="Z58" s="4">
        <f>IF('Raw Data'!O58="","",O57+N57)</f>
        <v>54.1</v>
      </c>
    </row>
    <row r="59" spans="1:26"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2"/>
        <v>12</v>
      </c>
      <c r="W59" s="4">
        <f t="shared" si="9"/>
        <v>8.8033284066042512</v>
      </c>
      <c r="X59" s="4">
        <f t="shared" si="10"/>
        <v>1.8712052173598339</v>
      </c>
      <c r="Y59" s="3">
        <f t="shared" si="7"/>
        <v>26</v>
      </c>
      <c r="Z59" s="4">
        <f>IF('Raw Data'!O59="","",O58+N58)</f>
        <v>61.2</v>
      </c>
    </row>
    <row r="60" spans="1:26"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2"/>
        <v>10</v>
      </c>
      <c r="W60" s="4">
        <f t="shared" si="9"/>
        <v>10.537442957230626</v>
      </c>
      <c r="X60" s="4">
        <f t="shared" si="10"/>
        <v>1.8580355010361544</v>
      </c>
      <c r="Y60" s="3">
        <f t="shared" si="7"/>
        <v>78</v>
      </c>
      <c r="Z60" s="4">
        <f>IF('Raw Data'!O60="","",O59+N59)</f>
        <v>64.100000000000009</v>
      </c>
    </row>
    <row r="61" spans="1:26"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6"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3">IF(ISERROR(FIND(":",K62)),1*K62,1*CONCATENATE(LEFT(K62,FIND(":",K62)-1),".",MID(RIGHT(K62,LEN(K62)-FIND(":",K62))/60,3,8)))</f>
        <v>9</v>
      </c>
      <c r="W62" s="4">
        <f t="shared" si="9"/>
        <v>12.148566589320195</v>
      </c>
      <c r="X62" s="4">
        <f t="shared" si="10"/>
        <v>1.9241439199948398</v>
      </c>
      <c r="Y62" s="3">
        <f t="shared" si="7"/>
        <v>85</v>
      </c>
      <c r="Z62" s="4">
        <f>IF('Raw Data'!O62="","",O61+N61)</f>
        <v>65</v>
      </c>
    </row>
    <row r="63" spans="1:26"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3"/>
        <v>10</v>
      </c>
      <c r="W63" s="4">
        <f t="shared" si="9"/>
        <v>11.423769934941612</v>
      </c>
      <c r="X63" s="4">
        <f t="shared" si="10"/>
        <v>2.0143188609363918</v>
      </c>
      <c r="Y63" s="3">
        <f t="shared" si="7"/>
        <v>63</v>
      </c>
      <c r="Z63" s="4">
        <f>IF('Raw Data'!O63="","",O62+N62)</f>
        <v>66.900000000000006</v>
      </c>
    </row>
    <row r="64" spans="1:26"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6"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6" si="34">IF(ISERROR(FIND(":",K65)),1*K65,1*CONCATENATE(LEFT(K65,FIND(":",K65)-1),".",MID(RIGHT(K65,LEN(K65)-FIND(":",K65))/60,3,8)))</f>
        <v>6</v>
      </c>
      <c r="W65" s="4">
        <f t="shared" si="9"/>
        <v>14.420567482839962</v>
      </c>
      <c r="X65" s="4">
        <f t="shared" si="10"/>
        <v>1.5156627173809751</v>
      </c>
      <c r="Y65" s="3">
        <f t="shared" si="7"/>
        <v>85</v>
      </c>
      <c r="Z65" s="4">
        <f>IF('Raw Data'!O65="","",O64+N64)</f>
        <v>69.400000000000006</v>
      </c>
    </row>
    <row r="66" spans="1:26"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5">" "</f>
        <v xml:space="preserve"> </v>
      </c>
      <c r="R66" s="3">
        <f t="shared" si="28"/>
        <v>22</v>
      </c>
      <c r="S66" s="3" t="str">
        <f t="shared" si="29"/>
        <v>-</v>
      </c>
      <c r="T66" s="3">
        <f t="shared" si="30"/>
        <v>22</v>
      </c>
      <c r="U66" s="3">
        <f t="shared" si="34"/>
        <v>6</v>
      </c>
      <c r="W66" s="4">
        <f t="shared" si="9"/>
        <v>12.530975881640243</v>
      </c>
      <c r="X66" s="4">
        <f t="shared" si="10"/>
        <v>1.3170586371724335</v>
      </c>
      <c r="Y66" s="3">
        <f t="shared" si="7"/>
        <v>22</v>
      </c>
      <c r="Z66" s="4">
        <f>IF('Raw Data'!O66="","",O65+N65)</f>
        <v>72.900000000000006</v>
      </c>
    </row>
    <row r="67" spans="1:26"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5"/>
        <v xml:space="preserve"> </v>
      </c>
      <c r="R67" s="3" t="str">
        <f t="shared" si="28"/>
        <v>-</v>
      </c>
      <c r="S67" s="3" t="str">
        <f t="shared" si="29"/>
        <v>-</v>
      </c>
      <c r="T67" s="3" t="str">
        <f t="shared" si="30"/>
        <v>-</v>
      </c>
      <c r="U67" s="3">
        <f>IF(ISERROR(FIND(":",K67)),1*K67,1*CONCATENATE(LEFT(K67,FIND(":",K67)-1),".",MID(RIGHT(K67,LEN(K67)-FIND(":",K67))/60,3,8)))</f>
        <v>-90</v>
      </c>
      <c r="W67" s="4">
        <f t="shared" si="9"/>
        <v>6.7383165019974101E-16</v>
      </c>
      <c r="X67" s="4">
        <f t="shared" si="10"/>
        <v>-11</v>
      </c>
      <c r="Y67" s="3" t="e">
        <f t="shared" si="7"/>
        <v>#VALUE!</v>
      </c>
      <c r="Z67" s="4">
        <f>IF('Raw Data'!O67="","",O66+N66)</f>
        <v>76.2</v>
      </c>
    </row>
    <row r="68" spans="1:26"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5"/>
        <v xml:space="preserve"> </v>
      </c>
      <c r="W68" s="4"/>
      <c r="X68" s="4"/>
      <c r="Y68" s="3"/>
      <c r="Z68" s="4" t="str">
        <f>IF('Raw Data'!O68="","",O67+N67)</f>
        <v/>
      </c>
    </row>
    <row r="69" spans="1:26"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5"/>
        <v xml:space="preserve"> </v>
      </c>
      <c r="W69" s="4"/>
      <c r="X69" s="4"/>
      <c r="Y69" s="3"/>
      <c r="Z69" s="4" t="str">
        <f>IF('Raw Data'!O69="","",O68+N68)</f>
        <v/>
      </c>
    </row>
    <row r="70" spans="1:26"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5"/>
        <v xml:space="preserve"> </v>
      </c>
      <c r="W70" s="4"/>
      <c r="X70" s="4"/>
      <c r="Y70" s="3"/>
      <c r="Z70" s="4" t="str">
        <f>IF('Raw Data'!O70="","",O69+N69)</f>
        <v/>
      </c>
    </row>
    <row r="71" spans="1:26"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is station B1 of page 45, at entrance to "P.G." passage</v>
      </c>
      <c r="Q71" t="str">
        <f t="shared" si="35"/>
        <v xml:space="preserve"> </v>
      </c>
      <c r="R71" s="3" t="str">
        <f t="shared" si="28"/>
        <v>-</v>
      </c>
      <c r="S71" s="3">
        <f t="shared" si="29"/>
        <v>293.66666666666669</v>
      </c>
      <c r="T71" s="3">
        <f t="shared" si="30"/>
        <v>113.66666666666667</v>
      </c>
      <c r="U71" s="3">
        <f t="shared" ref="U71:U82" si="36">IF(ISERROR(FIND(":",K71)),1*K71,1*CONCATENATE(LEFT(K71,FIND(":",K71)-1),".",MID(RIGHT(K71,LEN(K71)-FIND(":",K71))/60,3,8)))</f>
        <v>9.5</v>
      </c>
      <c r="W71" s="4">
        <f t="shared" si="9"/>
        <v>77.028905480057773</v>
      </c>
      <c r="X71" s="4">
        <f t="shared" si="10"/>
        <v>12.890218017718922</v>
      </c>
      <c r="Y71" s="3">
        <f t="shared" ref="Y71:Y119" si="37">IF(R71="-",IF(S71&gt;180,S71-180,S71+180),R71)</f>
        <v>113.66666666666669</v>
      </c>
      <c r="Z71" s="4" t="e">
        <f>IF('Raw Data'!O71="","",O70+N70)</f>
        <v>#VALUE!</v>
      </c>
    </row>
    <row r="72" spans="1:26"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5"/>
        <v xml:space="preserve"> </v>
      </c>
      <c r="R72" s="3">
        <f t="shared" ref="R72:R86" si="38">IF(ISERROR(FIND(":",G72)),IF(G72&lt;&gt;"-",1*G72,G72),1*LEFT(G72,FIND(":",G72)-1)+RIGHT(G72,LEN(G72)-FIND(":",G72))/60)</f>
        <v>115.5</v>
      </c>
      <c r="S72" s="3" t="str">
        <f t="shared" ref="S72:S86" si="39">IF(ISERROR(FIND(":",H72)),IF(H72&lt;&gt;"-",1*H72,H72),1*LEFT(H72,FIND(":",H72)-1)+RIGHT(H72,LEN(H72)-FIND(":",H72))/60)</f>
        <v>-</v>
      </c>
      <c r="T72" s="3">
        <f t="shared" ref="T72:T86" si="40">IF(ISERROR(FIND(":",I72)),IF(I72&lt;&gt;"-",1*I72,I72),1*LEFT(I72,FIND(":",I72)-1)+RIGHT(I72,LEN(I72)-FIND(":",I72))/60)</f>
        <v>115.5</v>
      </c>
      <c r="U72" s="3">
        <f t="shared" si="36"/>
        <v>-5.5</v>
      </c>
      <c r="W72" s="4">
        <f t="shared" si="9"/>
        <v>23.989048380649013</v>
      </c>
      <c r="X72" s="4">
        <f t="shared" si="10"/>
        <v>-2.3098826357373983</v>
      </c>
      <c r="Y72" s="3">
        <f t="shared" si="37"/>
        <v>115.5</v>
      </c>
      <c r="Z72" s="4">
        <f>IF('Raw Data'!O72="","",O71+N71)</f>
        <v>24.9</v>
      </c>
    </row>
    <row r="73" spans="1:26"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5"/>
        <v xml:space="preserve"> </v>
      </c>
      <c r="R73" s="3" t="str">
        <f t="shared" si="38"/>
        <v>-</v>
      </c>
      <c r="S73" s="3">
        <f t="shared" si="39"/>
        <v>277.83333333333331</v>
      </c>
      <c r="T73" s="3">
        <f t="shared" si="40"/>
        <v>97.833333333333329</v>
      </c>
      <c r="U73" s="3">
        <f t="shared" si="36"/>
        <v>0.5</v>
      </c>
      <c r="W73" s="4">
        <f t="shared" ref="W73:W119" si="41">J73*COS(U73*PI()/180)</f>
        <v>29.198888153473803</v>
      </c>
      <c r="X73" s="4">
        <f t="shared" ref="X73:X119" si="42">J73*SIN(U73*PI()/180)</f>
        <v>0.25481483655251891</v>
      </c>
      <c r="Y73" s="3">
        <f t="shared" si="37"/>
        <v>97.833333333333314</v>
      </c>
      <c r="Z73" s="4">
        <f>IF('Raw Data'!O73="","",O72+N72)</f>
        <v>22.599999999999998</v>
      </c>
    </row>
    <row r="74" spans="1:26"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5"/>
        <v xml:space="preserve"> </v>
      </c>
      <c r="R74" s="3">
        <f t="shared" si="38"/>
        <v>121</v>
      </c>
      <c r="S74" s="3" t="str">
        <f t="shared" si="39"/>
        <v>-</v>
      </c>
      <c r="T74" s="3">
        <f t="shared" si="40"/>
        <v>121</v>
      </c>
      <c r="U74" s="3">
        <f t="shared" si="36"/>
        <v>22.5</v>
      </c>
      <c r="W74" s="4">
        <f t="shared" si="41"/>
        <v>9.7931230446196391</v>
      </c>
      <c r="X74" s="4">
        <f t="shared" si="42"/>
        <v>4.0564443830699517</v>
      </c>
      <c r="Y74" s="3">
        <f t="shared" si="37"/>
        <v>121</v>
      </c>
      <c r="Z74" s="4">
        <f>IF('Raw Data'!O74="","",O73+N73)</f>
        <v>22.900000000000002</v>
      </c>
    </row>
    <row r="75" spans="1:26"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5"/>
        <v xml:space="preserve"> </v>
      </c>
      <c r="R75" s="3" t="str">
        <f t="shared" si="38"/>
        <v>-</v>
      </c>
      <c r="S75" s="3">
        <f t="shared" si="39"/>
        <v>290</v>
      </c>
      <c r="T75" s="3">
        <f t="shared" si="40"/>
        <v>110</v>
      </c>
      <c r="U75" s="3">
        <f t="shared" si="36"/>
        <v>9.6666666600000006</v>
      </c>
      <c r="W75" s="4">
        <f t="shared" si="41"/>
        <v>47.614204018655279</v>
      </c>
      <c r="X75" s="4">
        <f t="shared" si="42"/>
        <v>8.1103375805123683</v>
      </c>
      <c r="Y75" s="3">
        <f t="shared" si="37"/>
        <v>110</v>
      </c>
      <c r="Z75" s="4">
        <f>IF('Raw Data'!O75="","",O74+N74)</f>
        <v>27</v>
      </c>
    </row>
    <row r="76" spans="1:26"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5"/>
        <v xml:space="preserve"> </v>
      </c>
      <c r="R76" s="3">
        <f t="shared" si="38"/>
        <v>50.5</v>
      </c>
      <c r="S76" s="3" t="str">
        <f t="shared" si="39"/>
        <v>-</v>
      </c>
      <c r="T76" s="3">
        <f t="shared" si="40"/>
        <v>50.5</v>
      </c>
      <c r="U76" s="3">
        <f t="shared" si="36"/>
        <v>10.33333333</v>
      </c>
      <c r="W76" s="4">
        <f t="shared" si="41"/>
        <v>16.724274425060901</v>
      </c>
      <c r="X76" s="4">
        <f t="shared" si="42"/>
        <v>3.0493679599637966</v>
      </c>
      <c r="Y76" s="3">
        <f t="shared" si="37"/>
        <v>50.5</v>
      </c>
      <c r="Z76" s="4">
        <f>IF('Raw Data'!O76="","",O75+N75)</f>
        <v>35.1</v>
      </c>
    </row>
    <row r="77" spans="1:26"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5"/>
        <v xml:space="preserve"> </v>
      </c>
      <c r="R77" s="3" t="str">
        <f t="shared" si="38"/>
        <v>-</v>
      </c>
      <c r="S77" s="3">
        <f t="shared" si="39"/>
        <v>313</v>
      </c>
      <c r="T77" s="3">
        <f t="shared" si="40"/>
        <v>133</v>
      </c>
      <c r="U77" s="3">
        <f t="shared" si="36"/>
        <v>3</v>
      </c>
      <c r="W77" s="4">
        <f t="shared" si="41"/>
        <v>20.17231660204239</v>
      </c>
      <c r="X77" s="4">
        <f t="shared" si="42"/>
        <v>1.0571863161074653</v>
      </c>
      <c r="Y77" s="3">
        <f t="shared" si="37"/>
        <v>133</v>
      </c>
      <c r="Z77" s="4">
        <f>IF('Raw Data'!O77="","",O76+N76)</f>
        <v>38.1</v>
      </c>
    </row>
    <row r="78" spans="1:26"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5"/>
        <v xml:space="preserve"> </v>
      </c>
      <c r="R78" s="3">
        <f t="shared" si="38"/>
        <v>195.83333333333334</v>
      </c>
      <c r="S78" s="3" t="str">
        <f t="shared" si="39"/>
        <v>-</v>
      </c>
      <c r="T78" s="3">
        <f t="shared" si="40"/>
        <v>192.83333333333334</v>
      </c>
      <c r="U78" s="3">
        <f t="shared" si="36"/>
        <v>11.33333333</v>
      </c>
      <c r="W78" s="4">
        <f t="shared" si="41"/>
        <v>9.9030550072508632</v>
      </c>
      <c r="X78" s="4">
        <f t="shared" si="42"/>
        <v>1.9848177557054478</v>
      </c>
      <c r="Y78" s="3">
        <f t="shared" si="37"/>
        <v>195.83333333333334</v>
      </c>
      <c r="Z78" s="4">
        <f>IF('Raw Data'!O78="","",O77+N77)</f>
        <v>39.200000000000003</v>
      </c>
    </row>
    <row r="79" spans="1:26"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5"/>
        <v xml:space="preserve"> </v>
      </c>
      <c r="R79" s="3" t="str">
        <f t="shared" si="38"/>
        <v>-</v>
      </c>
      <c r="S79" s="3">
        <f t="shared" si="39"/>
        <v>292.16666666666669</v>
      </c>
      <c r="T79" s="3">
        <f t="shared" si="40"/>
        <v>112.16666666666667</v>
      </c>
      <c r="U79" s="3">
        <f t="shared" si="36"/>
        <v>4.8333333300000003</v>
      </c>
      <c r="W79" s="4">
        <f t="shared" si="41"/>
        <v>41.452070767031543</v>
      </c>
      <c r="X79" s="4">
        <f t="shared" si="42"/>
        <v>3.5051147092512509</v>
      </c>
      <c r="Y79" s="3">
        <f t="shared" si="37"/>
        <v>112.16666666666669</v>
      </c>
      <c r="Z79" s="4">
        <f>IF('Raw Data'!O79="","",O78+N78)</f>
        <v>41.2</v>
      </c>
    </row>
    <row r="80" spans="1:26"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5"/>
        <v xml:space="preserve"> </v>
      </c>
      <c r="R80" s="3">
        <f t="shared" si="38"/>
        <v>138.5</v>
      </c>
      <c r="S80" s="3" t="str">
        <f t="shared" si="39"/>
        <v>-</v>
      </c>
      <c r="T80" s="3">
        <f t="shared" si="40"/>
        <v>138.5</v>
      </c>
      <c r="U80" s="3">
        <f t="shared" si="36"/>
        <v>6.5</v>
      </c>
      <c r="W80" s="4">
        <f t="shared" si="41"/>
        <v>33.980157464139296</v>
      </c>
      <c r="X80" s="4">
        <f t="shared" si="42"/>
        <v>3.8715499108624103</v>
      </c>
      <c r="Y80" s="3">
        <f t="shared" si="37"/>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5"/>
        <v xml:space="preserve"> </v>
      </c>
      <c r="R81" s="3" t="str">
        <f t="shared" si="38"/>
        <v>-</v>
      </c>
      <c r="S81" s="3">
        <f t="shared" si="39"/>
        <v>286</v>
      </c>
      <c r="T81" s="3">
        <f t="shared" si="40"/>
        <v>106</v>
      </c>
      <c r="U81" s="3">
        <f t="shared" si="36"/>
        <v>14.5</v>
      </c>
      <c r="W81" s="4">
        <f t="shared" si="41"/>
        <v>30.787094964023826</v>
      </c>
      <c r="X81" s="4">
        <f t="shared" si="42"/>
        <v>7.9620841289312381</v>
      </c>
      <c r="Y81" s="3">
        <f t="shared" si="37"/>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5"/>
        <v xml:space="preserve"> </v>
      </c>
      <c r="R82" s="3">
        <f t="shared" si="38"/>
        <v>44</v>
      </c>
      <c r="S82" s="3" t="str">
        <f t="shared" si="39"/>
        <v>-</v>
      </c>
      <c r="T82" s="3">
        <f t="shared" si="40"/>
        <v>44</v>
      </c>
      <c r="U82" s="3">
        <f t="shared" si="36"/>
        <v>-0.5</v>
      </c>
      <c r="W82" s="4">
        <f t="shared" si="41"/>
        <v>11.299569730625137</v>
      </c>
      <c r="X82" s="4">
        <f t="shared" si="42"/>
        <v>-9.8609851131625473E-2</v>
      </c>
      <c r="Y82" s="3">
        <f t="shared" si="37"/>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5"/>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5"/>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5"/>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5"/>
        <v xml:space="preserve"> </v>
      </c>
      <c r="R86" s="3" t="str">
        <f t="shared" si="38"/>
        <v>-</v>
      </c>
      <c r="S86" s="3">
        <f t="shared" si="39"/>
        <v>126.66666666666667</v>
      </c>
      <c r="T86" s="3">
        <f t="shared" si="40"/>
        <v>306.66666666666669</v>
      </c>
      <c r="U86" s="3">
        <f t="shared" ref="U86:U97" si="43">IF(ISERROR(FIND(":",K86)),1*K86,1*CONCATENATE(LEFT(K86,FIND(":",K86)-1),".",MID(RIGHT(K86,LEN(K86)-FIND(":",K86))/60,3,8)))</f>
        <v>-4.5</v>
      </c>
      <c r="W86" s="4">
        <f t="shared" si="41"/>
        <v>12.760541871784039</v>
      </c>
      <c r="X86" s="4">
        <f t="shared" si="42"/>
        <v>-1.0042764253164154</v>
      </c>
      <c r="Y86" s="3">
        <f t="shared" si="37"/>
        <v>306.66666666666669</v>
      </c>
      <c r="Z86" s="4" t="e">
        <f>IF('Raw Data'!O86="","",O85+N85)</f>
        <v>#VALUE!</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5"/>
        <v xml:space="preserve"> </v>
      </c>
      <c r="R87" s="3">
        <f t="shared" ref="R87:R101" si="44">IF(ISERROR(FIND(":",G87)),IF(G87&lt;&gt;"-",1*G87,G87),1*LEFT(G87,FIND(":",G87)-1)+RIGHT(G87,LEN(G87)-FIND(":",G87))/60)</f>
        <v>25.333333333333332</v>
      </c>
      <c r="S87" s="3" t="str">
        <f t="shared" ref="S87:S101" si="45">IF(ISERROR(FIND(":",H87)),IF(H87&lt;&gt;"-",1*H87,H87),1*LEFT(H87,FIND(":",H87)-1)+RIGHT(H87,LEN(H87)-FIND(":",H87))/60)</f>
        <v>-</v>
      </c>
      <c r="T87" s="3">
        <f t="shared" ref="T87:T101" si="46">IF(ISERROR(FIND(":",I87)),IF(I87&lt;&gt;"-",1*I87,I87),1*LEFT(I87,FIND(":",I87)-1)+RIGHT(I87,LEN(I87)-FIND(":",I87))/60)</f>
        <v>25.333333333333332</v>
      </c>
      <c r="U87" s="3">
        <f t="shared" si="43"/>
        <v>26</v>
      </c>
      <c r="W87" s="4">
        <f t="shared" si="41"/>
        <v>15.099739977826006</v>
      </c>
      <c r="X87" s="4">
        <f t="shared" si="42"/>
        <v>7.3646352660565011</v>
      </c>
      <c r="Y87" s="3">
        <f t="shared" si="37"/>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5"/>
        <v xml:space="preserve"> </v>
      </c>
      <c r="R88" s="3" t="str">
        <f t="shared" si="44"/>
        <v>-</v>
      </c>
      <c r="S88" s="3">
        <f t="shared" si="45"/>
        <v>243.83333333333334</v>
      </c>
      <c r="T88" s="3">
        <f t="shared" si="46"/>
        <v>63.833333333333336</v>
      </c>
      <c r="U88" s="3">
        <f t="shared" si="43"/>
        <v>12</v>
      </c>
      <c r="W88" s="4">
        <f t="shared" si="41"/>
        <v>27.094688540326416</v>
      </c>
      <c r="X88" s="4">
        <f t="shared" si="42"/>
        <v>5.759153835651933</v>
      </c>
      <c r="Y88" s="3">
        <f t="shared" si="37"/>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5"/>
        <v xml:space="preserve"> </v>
      </c>
      <c r="R89" s="3">
        <f t="shared" si="44"/>
        <v>94</v>
      </c>
      <c r="S89" s="3" t="str">
        <f t="shared" si="45"/>
        <v>-</v>
      </c>
      <c r="T89" s="3">
        <f t="shared" si="46"/>
        <v>94</v>
      </c>
      <c r="U89" s="3">
        <f t="shared" si="43"/>
        <v>10.5</v>
      </c>
      <c r="W89" s="4">
        <f t="shared" si="41"/>
        <v>22.811513855483746</v>
      </c>
      <c r="X89" s="4">
        <f t="shared" si="42"/>
        <v>4.2278641914178214</v>
      </c>
      <c r="Y89" s="3">
        <f t="shared" si="37"/>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5"/>
        <v xml:space="preserve"> </v>
      </c>
      <c r="R90" s="3" t="str">
        <f t="shared" si="44"/>
        <v>-</v>
      </c>
      <c r="S90" s="3">
        <f t="shared" si="45"/>
        <v>316</v>
      </c>
      <c r="T90" s="3">
        <f t="shared" si="46"/>
        <v>136</v>
      </c>
      <c r="U90" s="3">
        <f t="shared" si="43"/>
        <v>-5.5</v>
      </c>
      <c r="W90" s="4">
        <f t="shared" si="41"/>
        <v>10.650739322528812</v>
      </c>
      <c r="X90" s="4">
        <f t="shared" si="42"/>
        <v>-1.0255495519663966</v>
      </c>
      <c r="Y90" s="3">
        <f t="shared" si="37"/>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5"/>
        <v xml:space="preserve"> </v>
      </c>
      <c r="R91" s="3">
        <f t="shared" si="44"/>
        <v>12.333333333333334</v>
      </c>
      <c r="S91" s="3" t="str">
        <f t="shared" si="45"/>
        <v>-</v>
      </c>
      <c r="T91" s="3">
        <f t="shared" si="46"/>
        <v>12.333333333333334</v>
      </c>
      <c r="U91" s="3">
        <f t="shared" si="43"/>
        <v>28.5</v>
      </c>
      <c r="W91" s="4">
        <f t="shared" si="41"/>
        <v>23.288653485542081</v>
      </c>
      <c r="X91" s="4">
        <f t="shared" si="42"/>
        <v>12.644707146879623</v>
      </c>
      <c r="Y91" s="3">
        <f t="shared" si="37"/>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5"/>
        <v xml:space="preserve"> </v>
      </c>
      <c r="R92" s="3" t="str">
        <f t="shared" si="44"/>
        <v>-</v>
      </c>
      <c r="S92" s="3">
        <f t="shared" si="45"/>
        <v>169.5</v>
      </c>
      <c r="T92" s="3">
        <f t="shared" si="46"/>
        <v>349.5</v>
      </c>
      <c r="U92" s="3">
        <f t="shared" si="43"/>
        <v>10.5</v>
      </c>
      <c r="W92" s="4">
        <f t="shared" si="41"/>
        <v>37.953639431968647</v>
      </c>
      <c r="X92" s="4">
        <f t="shared" si="42"/>
        <v>7.0342912839968923</v>
      </c>
      <c r="Y92" s="3">
        <f t="shared" si="37"/>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5"/>
        <v xml:space="preserve"> </v>
      </c>
      <c r="R93" s="3">
        <f t="shared" si="44"/>
        <v>321.66666666666669</v>
      </c>
      <c r="S93" s="3" t="str">
        <f t="shared" si="45"/>
        <v>-</v>
      </c>
      <c r="T93" s="3">
        <f t="shared" si="46"/>
        <v>321.66666666666669</v>
      </c>
      <c r="U93" s="3">
        <f t="shared" si="43"/>
        <v>-4</v>
      </c>
      <c r="W93" s="4">
        <f t="shared" si="41"/>
        <v>23.243242371053906</v>
      </c>
      <c r="X93" s="4">
        <f t="shared" si="42"/>
        <v>-1.6253258382381195</v>
      </c>
      <c r="Y93" s="3">
        <f t="shared" si="37"/>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5"/>
        <v xml:space="preserve"> </v>
      </c>
      <c r="R94" s="3" t="str">
        <f t="shared" si="44"/>
        <v>-</v>
      </c>
      <c r="S94" s="3">
        <f t="shared" si="45"/>
        <v>245.5</v>
      </c>
      <c r="T94" s="3">
        <f t="shared" si="46"/>
        <v>65.5</v>
      </c>
      <c r="U94" s="3">
        <f t="shared" si="43"/>
        <v>9</v>
      </c>
      <c r="W94" s="4">
        <f t="shared" si="41"/>
        <v>23.01313833586671</v>
      </c>
      <c r="X94" s="4">
        <f t="shared" si="42"/>
        <v>3.6449230354373792</v>
      </c>
      <c r="Y94" s="3">
        <f t="shared" si="37"/>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5"/>
        <v xml:space="preserve"> </v>
      </c>
      <c r="R95" s="3">
        <f t="shared" si="44"/>
        <v>108.5</v>
      </c>
      <c r="S95" s="3" t="str">
        <f t="shared" si="45"/>
        <v>-</v>
      </c>
      <c r="T95" s="3">
        <f t="shared" si="46"/>
        <v>108.5</v>
      </c>
      <c r="U95" s="3">
        <f t="shared" si="43"/>
        <v>27.5</v>
      </c>
      <c r="W95" s="4">
        <f t="shared" si="41"/>
        <v>21.376961079595144</v>
      </c>
      <c r="X95" s="4">
        <f t="shared" si="42"/>
        <v>11.128141578964318</v>
      </c>
      <c r="Y95" s="3">
        <f t="shared" si="37"/>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5"/>
        <v xml:space="preserve"> </v>
      </c>
      <c r="R96" s="3" t="str">
        <f t="shared" si="44"/>
        <v>-</v>
      </c>
      <c r="S96" s="3">
        <f t="shared" si="45"/>
        <v>259.66666666666669</v>
      </c>
      <c r="T96" s="3">
        <f t="shared" si="46"/>
        <v>79.666666666666671</v>
      </c>
      <c r="U96" s="3">
        <f t="shared" si="43"/>
        <v>23.5</v>
      </c>
      <c r="W96" s="4">
        <f t="shared" si="41"/>
        <v>13.389077086022811</v>
      </c>
      <c r="X96" s="4">
        <f t="shared" si="42"/>
        <v>5.8217364063085943</v>
      </c>
      <c r="Y96" s="3">
        <f t="shared" si="37"/>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5"/>
        <v xml:space="preserve"> </v>
      </c>
      <c r="R97" s="3">
        <f t="shared" si="44"/>
        <v>128</v>
      </c>
      <c r="S97" s="3" t="str">
        <f t="shared" si="45"/>
        <v>-</v>
      </c>
      <c r="T97" s="3">
        <f t="shared" si="46"/>
        <v>128</v>
      </c>
      <c r="U97" s="3">
        <f t="shared" si="43"/>
        <v>13.5</v>
      </c>
      <c r="W97" s="4">
        <f t="shared" si="41"/>
        <v>14.585548805965148</v>
      </c>
      <c r="X97" s="4">
        <f t="shared" si="42"/>
        <v>3.5016804578385807</v>
      </c>
      <c r="Y97" s="3">
        <f t="shared" si="37"/>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5"/>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5"/>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5"/>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5"/>
        <v xml:space="preserve"> </v>
      </c>
      <c r="R101" s="3" t="str">
        <f t="shared" si="44"/>
        <v>-</v>
      </c>
      <c r="S101" s="3" t="str">
        <f t="shared" si="45"/>
        <v>-</v>
      </c>
      <c r="T101" s="3" t="str">
        <f t="shared" si="46"/>
        <v>-</v>
      </c>
      <c r="U101" s="3">
        <f t="shared" ref="U101:U113" si="47">IF(ISERROR(FIND(":",K101)),1*K101,1*CONCATENATE(LEFT(K101,FIND(":",K101)-1),".",MID(RIGHT(K101,LEN(K101)-FIND(":",K101))/60,3,8)))</f>
        <v>-90</v>
      </c>
      <c r="W101" s="4">
        <f t="shared" si="41"/>
        <v>6.1869996972885311E-16</v>
      </c>
      <c r="X101" s="4">
        <f t="shared" si="42"/>
        <v>-10.1</v>
      </c>
      <c r="Y101" s="3" t="e">
        <f t="shared" si="37"/>
        <v>#VALUE!</v>
      </c>
      <c r="Z101" s="4" t="e">
        <f>IF('Raw Data'!O101="","",O100+N100)</f>
        <v>#VALUE!</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5"/>
        <v xml:space="preserve"> </v>
      </c>
      <c r="R102" s="3" t="str">
        <f t="shared" ref="R102:R119" si="48">IF(ISERROR(FIND(":",G102)),IF(G102&lt;&gt;"-",1*G102,G102),1*LEFT(G102,FIND(":",G102)-1)+RIGHT(G102,LEN(G102)-FIND(":",G102))/60)</f>
        <v>-</v>
      </c>
      <c r="S102" s="3">
        <f t="shared" ref="S102:S119" si="49">IF(ISERROR(FIND(":",H102)),IF(H102&lt;&gt;"-",1*H102,H102),1*LEFT(H102,FIND(":",H102)-1)+RIGHT(H102,LEN(H102)-FIND(":",H102))/60)</f>
        <v>355</v>
      </c>
      <c r="T102" s="3">
        <f t="shared" ref="T102:T119" si="50">IF(ISERROR(FIND(":",I102)),IF(I102&lt;&gt;"-",1*I102,I102),1*LEFT(I102,FIND(":",I102)-1)+RIGHT(I102,LEN(I102)-FIND(":",I102))/60)</f>
        <v>175</v>
      </c>
      <c r="U102" s="3">
        <f t="shared" si="47"/>
        <v>1</v>
      </c>
      <c r="W102" s="4">
        <f t="shared" si="41"/>
        <v>7.9987815612511302</v>
      </c>
      <c r="X102" s="4">
        <f t="shared" si="42"/>
        <v>0.13961925149826809</v>
      </c>
      <c r="Y102" s="3">
        <f t="shared" si="37"/>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5"/>
        <v xml:space="preserve"> </v>
      </c>
      <c r="R103" s="3">
        <f t="shared" si="48"/>
        <v>91</v>
      </c>
      <c r="S103" s="3" t="str">
        <f t="shared" si="49"/>
        <v>-</v>
      </c>
      <c r="T103" s="3">
        <f t="shared" si="50"/>
        <v>91</v>
      </c>
      <c r="U103" s="3">
        <f t="shared" si="47"/>
        <v>23</v>
      </c>
      <c r="W103" s="4">
        <f t="shared" si="41"/>
        <v>22.828520365620523</v>
      </c>
      <c r="X103" s="4">
        <f t="shared" si="42"/>
        <v>9.6901319865339879</v>
      </c>
      <c r="Y103" s="3">
        <f t="shared" si="37"/>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5"/>
        <v xml:space="preserve"> </v>
      </c>
      <c r="R104" s="3" t="str">
        <f t="shared" si="48"/>
        <v>-</v>
      </c>
      <c r="S104" s="3">
        <f t="shared" si="49"/>
        <v>302</v>
      </c>
      <c r="T104" s="3">
        <f t="shared" si="50"/>
        <v>122</v>
      </c>
      <c r="U104" s="3">
        <f t="shared" si="47"/>
        <v>10</v>
      </c>
      <c r="W104" s="4">
        <f t="shared" si="41"/>
        <v>11.029846833736729</v>
      </c>
      <c r="X104" s="4">
        <f t="shared" si="42"/>
        <v>1.9448595898696195</v>
      </c>
      <c r="Y104" s="3">
        <f t="shared" si="37"/>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5"/>
        <v xml:space="preserve"> </v>
      </c>
      <c r="R105" s="3">
        <f t="shared" si="48"/>
        <v>172.66666666666666</v>
      </c>
      <c r="S105" s="3" t="str">
        <f t="shared" si="49"/>
        <v>-</v>
      </c>
      <c r="T105" s="3">
        <f t="shared" si="50"/>
        <v>172.66666666666666</v>
      </c>
      <c r="U105" s="3">
        <f t="shared" si="47"/>
        <v>-9</v>
      </c>
      <c r="W105" s="4">
        <f t="shared" si="41"/>
        <v>25.186052685176012</v>
      </c>
      <c r="X105" s="4">
        <f t="shared" si="42"/>
        <v>-3.989078858525887</v>
      </c>
      <c r="Y105" s="3">
        <f t="shared" si="37"/>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5"/>
        <v xml:space="preserve"> </v>
      </c>
      <c r="R106" s="3" t="str">
        <f t="shared" si="48"/>
        <v>-</v>
      </c>
      <c r="S106" s="3">
        <f t="shared" si="49"/>
        <v>248</v>
      </c>
      <c r="T106" s="3">
        <f t="shared" si="50"/>
        <v>68</v>
      </c>
      <c r="U106" s="3">
        <f t="shared" si="47"/>
        <v>18</v>
      </c>
      <c r="W106" s="4">
        <f t="shared" si="41"/>
        <v>48.218565376164285</v>
      </c>
      <c r="X106" s="4">
        <f t="shared" si="42"/>
        <v>15.667161614809833</v>
      </c>
      <c r="Y106" s="3">
        <f t="shared" si="37"/>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5"/>
        <v xml:space="preserve"> </v>
      </c>
      <c r="R107" s="3">
        <f t="shared" si="48"/>
        <v>46</v>
      </c>
      <c r="S107" s="3" t="str">
        <f t="shared" si="49"/>
        <v>-</v>
      </c>
      <c r="T107" s="3">
        <f t="shared" si="50"/>
        <v>46</v>
      </c>
      <c r="U107" s="3">
        <f t="shared" si="47"/>
        <v>-46</v>
      </c>
      <c r="W107" s="4">
        <f t="shared" si="41"/>
        <v>9.7252171864259633</v>
      </c>
      <c r="X107" s="4">
        <f t="shared" si="42"/>
        <v>-10.070757204741115</v>
      </c>
      <c r="Y107" s="3">
        <f t="shared" si="37"/>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5"/>
        <v xml:space="preserve"> </v>
      </c>
      <c r="R108" s="3" t="str">
        <f t="shared" si="48"/>
        <v>-</v>
      </c>
      <c r="S108" s="3">
        <f t="shared" si="49"/>
        <v>293</v>
      </c>
      <c r="T108" s="3">
        <f t="shared" si="50"/>
        <v>113</v>
      </c>
      <c r="U108" s="3">
        <f t="shared" si="47"/>
        <v>-43</v>
      </c>
      <c r="W108" s="4">
        <f t="shared" si="41"/>
        <v>11.18971163477331</v>
      </c>
      <c r="X108" s="4">
        <f t="shared" si="42"/>
        <v>-10.434574908956227</v>
      </c>
      <c r="Y108" s="3">
        <f t="shared" si="37"/>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5"/>
        <v xml:space="preserve"> </v>
      </c>
      <c r="R109" s="3">
        <f t="shared" si="48"/>
        <v>61</v>
      </c>
      <c r="S109" s="3" t="str">
        <f t="shared" si="49"/>
        <v>-</v>
      </c>
      <c r="T109" s="3">
        <f t="shared" si="50"/>
        <v>61</v>
      </c>
      <c r="U109" s="3">
        <f t="shared" si="47"/>
        <v>-55</v>
      </c>
      <c r="W109" s="4">
        <f t="shared" si="41"/>
        <v>13.30697332334427</v>
      </c>
      <c r="X109" s="4">
        <f t="shared" si="42"/>
        <v>-19.004327427504609</v>
      </c>
      <c r="Y109" s="3">
        <f t="shared" si="37"/>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5"/>
        <v xml:space="preserve"> </v>
      </c>
      <c r="R110" s="3" t="str">
        <f t="shared" si="48"/>
        <v>-</v>
      </c>
      <c r="S110" s="3">
        <f t="shared" si="49"/>
        <v>15.5</v>
      </c>
      <c r="T110" s="3">
        <f t="shared" si="50"/>
        <v>195.5</v>
      </c>
      <c r="U110" s="3">
        <f t="shared" si="47"/>
        <v>-24.5</v>
      </c>
      <c r="W110" s="4">
        <f t="shared" si="41"/>
        <v>23.022020153176545</v>
      </c>
      <c r="X110" s="4">
        <f t="shared" si="42"/>
        <v>-10.491739039202848</v>
      </c>
      <c r="Y110" s="3">
        <f t="shared" si="37"/>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5"/>
        <v xml:space="preserve"> </v>
      </c>
      <c r="R111" s="3">
        <f t="shared" si="48"/>
        <v>242</v>
      </c>
      <c r="S111" s="3" t="str">
        <f t="shared" si="49"/>
        <v>-</v>
      </c>
      <c r="T111" s="3">
        <f t="shared" si="50"/>
        <v>242</v>
      </c>
      <c r="U111" s="3">
        <f t="shared" si="47"/>
        <v>-23.5</v>
      </c>
      <c r="W111" s="4">
        <f t="shared" si="41"/>
        <v>46.770063793641327</v>
      </c>
      <c r="X111" s="4">
        <f t="shared" si="42"/>
        <v>-20.336202515187555</v>
      </c>
      <c r="Y111" s="3">
        <f t="shared" si="37"/>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5"/>
        <v xml:space="preserve"> </v>
      </c>
      <c r="R112" s="3" t="str">
        <f t="shared" si="48"/>
        <v>-</v>
      </c>
      <c r="S112" s="3">
        <f t="shared" si="49"/>
        <v>340</v>
      </c>
      <c r="T112" s="3">
        <f t="shared" si="50"/>
        <v>160</v>
      </c>
      <c r="U112" s="3">
        <f t="shared" si="47"/>
        <v>-3</v>
      </c>
      <c r="W112" s="4">
        <f t="shared" si="41"/>
        <v>13.681224626137661</v>
      </c>
      <c r="X112" s="4">
        <f t="shared" si="42"/>
        <v>-0.71700260052833042</v>
      </c>
      <c r="Y112" s="3">
        <f t="shared" si="37"/>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5"/>
        <v xml:space="preserve"> </v>
      </c>
      <c r="R113" s="3">
        <f t="shared" si="48"/>
        <v>239</v>
      </c>
      <c r="S113" s="3" t="str">
        <f t="shared" si="49"/>
        <v>-</v>
      </c>
      <c r="T113" s="3">
        <f t="shared" si="50"/>
        <v>239</v>
      </c>
      <c r="U113" s="3">
        <f t="shared" si="47"/>
        <v>-19</v>
      </c>
      <c r="W113" s="4">
        <f t="shared" si="41"/>
        <v>24.016171820222645</v>
      </c>
      <c r="X113" s="4">
        <f t="shared" si="42"/>
        <v>-8.2694311232117776</v>
      </c>
      <c r="Y113" s="3">
        <f t="shared" si="37"/>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5"/>
        <v xml:space="preserve"> </v>
      </c>
      <c r="R114" s="3" t="str">
        <f t="shared" si="48"/>
        <v>-</v>
      </c>
      <c r="S114" s="3">
        <f t="shared" si="49"/>
        <v>106</v>
      </c>
      <c r="T114" s="3">
        <f t="shared" si="50"/>
        <v>286</v>
      </c>
      <c r="U114" s="9">
        <f>ASIN(N114/J114)*180/PI()</f>
        <v>-5.1225160997809072</v>
      </c>
      <c r="W114" s="4">
        <f t="shared" si="41"/>
        <v>11.155267813907471</v>
      </c>
      <c r="X114" s="4">
        <f t="shared" si="42"/>
        <v>-1</v>
      </c>
      <c r="Y114" s="3">
        <f t="shared" si="37"/>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5"/>
        <v xml:space="preserve"> </v>
      </c>
      <c r="R115" s="3">
        <f t="shared" si="48"/>
        <v>182</v>
      </c>
      <c r="S115" s="3" t="str">
        <f t="shared" si="49"/>
        <v>-</v>
      </c>
      <c r="T115" s="3">
        <f t="shared" si="50"/>
        <v>182</v>
      </c>
      <c r="U115" s="3">
        <f>IF(ISERROR(FIND(":",K115)),1*K115,1*CONCATENATE(LEFT(K115,FIND(":",K115)-1),".",MID(RIGHT(K115,LEN(K115)-FIND(":",K115))/60,3,8)))</f>
        <v>-9</v>
      </c>
      <c r="W115" s="4">
        <f t="shared" si="41"/>
        <v>13.926405602391442</v>
      </c>
      <c r="X115" s="4">
        <f t="shared" si="42"/>
        <v>-2.2057259570672554</v>
      </c>
      <c r="Y115" s="3">
        <f t="shared" si="37"/>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5"/>
        <v xml:space="preserve"> </v>
      </c>
      <c r="R116" s="3" t="str">
        <f t="shared" si="48"/>
        <v>-</v>
      </c>
      <c r="S116" s="3">
        <f t="shared" si="49"/>
        <v>339</v>
      </c>
      <c r="T116" s="3">
        <f t="shared" si="50"/>
        <v>159</v>
      </c>
      <c r="U116" s="9">
        <f>ASIN(N116/J116)*180/PI()</f>
        <v>3.4064437549947186</v>
      </c>
      <c r="W116" s="4">
        <f t="shared" si="41"/>
        <v>16.8</v>
      </c>
      <c r="X116" s="4">
        <f t="shared" si="42"/>
        <v>0.99999999999999989</v>
      </c>
      <c r="Y116" s="3">
        <f t="shared" si="37"/>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5"/>
        <v xml:space="preserve"> </v>
      </c>
      <c r="R117" s="3" t="str">
        <f t="shared" si="48"/>
        <v>-</v>
      </c>
      <c r="S117" s="3">
        <f t="shared" si="49"/>
        <v>341</v>
      </c>
      <c r="T117" s="3">
        <f t="shared" si="50"/>
        <v>161</v>
      </c>
      <c r="U117" s="3">
        <f>IF(ISERROR(FIND(":",K117)),1*K117,1*CONCATENATE(LEFT(K117,FIND(":",K117)-1),".",MID(RIGHT(K117,LEN(K117)-FIND(":",K117))/60,3,8)))</f>
        <v>-12.5</v>
      </c>
      <c r="W117" s="4">
        <f t="shared" si="41"/>
        <v>13.570514498967075</v>
      </c>
      <c r="X117" s="4">
        <f t="shared" si="42"/>
        <v>-3.0085106337396299</v>
      </c>
      <c r="Y117" s="3">
        <f t="shared" si="37"/>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5"/>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5"/>
        <v xml:space="preserve"> </v>
      </c>
      <c r="R119" s="3">
        <f t="shared" si="48"/>
        <v>234</v>
      </c>
      <c r="S119" s="3" t="str">
        <f t="shared" si="49"/>
        <v>-</v>
      </c>
      <c r="T119" s="3">
        <f t="shared" si="50"/>
        <v>234</v>
      </c>
      <c r="U119" s="3">
        <f t="shared" ref="U119:U120" si="51">IF(ISERROR(FIND(":",K119)),1*K119,1*CONCATENATE(LEFT(K119,FIND(":",K119)-1),".",MID(RIGHT(K119,LEN(K119)-FIND(":",K119))/60,3,8)))</f>
        <v>45</v>
      </c>
      <c r="W119" s="4">
        <f t="shared" si="41"/>
        <v>12.727922061357857</v>
      </c>
      <c r="X119" s="4">
        <f t="shared" si="42"/>
        <v>12.727922061357855</v>
      </c>
      <c r="Y119" s="3">
        <f t="shared" si="37"/>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2">IF(ISERROR(FIND(":",G120)),IF(G120&lt;&gt;"-",1*G120,G120),1*LEFT(G120,FIND(":",G120)-1)+RIGHT(G120,LEN(G120)-FIND(":",G120))/60)</f>
        <v>-</v>
      </c>
      <c r="S120" s="3">
        <f t="shared" ref="S120" si="53">IF(ISERROR(FIND(":",H120)),IF(H120&lt;&gt;"-",1*H120,H120),1*LEFT(H120,FIND(":",H120)-1)+RIGHT(H120,LEN(H120)-FIND(":",H120))/60)</f>
        <v>350</v>
      </c>
      <c r="T120" s="3">
        <f t="shared" ref="T120" si="54">IF(ISERROR(FIND(":",I120)),IF(I120&lt;&gt;"-",1*I120,I120),1*LEFT(I120,FIND(":",I120)-1)+RIGHT(I120,LEN(I120)-FIND(":",I120))/60)</f>
        <v>170</v>
      </c>
      <c r="U120" s="3">
        <f t="shared" si="51"/>
        <v>0</v>
      </c>
      <c r="W120" s="4">
        <f t="shared" ref="W120" si="55">J120*COS(U120*PI()/180)</f>
        <v>10</v>
      </c>
      <c r="X120" s="4">
        <f t="shared" ref="X120" si="56">J120*SIN(U120*PI()/180)</f>
        <v>0</v>
      </c>
      <c r="Y120" s="3">
        <f t="shared" ref="Y120" si="57">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58">IF(ISERROR(FIND(":",G123)),IF(G123&lt;&gt;"-",1*G123,G123),1*LEFT(G123,FIND(":",G123)-1)+RIGHT(G123,LEN(G123)-FIND(":",G123))/60)</f>
        <v>-</v>
      </c>
      <c r="S123" s="3" t="str">
        <f t="shared" ref="S123:S131" si="59">IF(ISERROR(FIND(":",H123)),IF(H123&lt;&gt;"-",1*H123,H123),1*LEFT(H123,FIND(":",H123)-1)+RIGHT(H123,LEN(H123)-FIND(":",H123))/60)</f>
        <v>-</v>
      </c>
      <c r="T123" s="3" t="str">
        <f t="shared" ref="T123:T131" si="60">IF(ISERROR(FIND(":",I123)),IF(I123&lt;&gt;"-",1*I123,I123),1*LEFT(I123,FIND(":",I123)-1)+RIGHT(I123,LEN(I123)-FIND(":",I123))/60)</f>
        <v>-</v>
      </c>
      <c r="U123" s="3">
        <f t="shared" ref="U123:U140" si="61">IF(ISERROR(FIND(":",K123)),1*K123,1*CONCATENATE(LEFT(K123,FIND(":",K123)-1),".",MID(RIGHT(K123,LEN(K123)-FIND(":",K123))/60,3,8)))</f>
        <v>90</v>
      </c>
      <c r="W123" s="4">
        <f t="shared" ref="W123:W131" si="62">J123*COS(U123*PI()/180)</f>
        <v>3.67544536472586E-16</v>
      </c>
      <c r="X123" s="4">
        <f t="shared" ref="X123:X131" si="63">J123*SIN(U123*PI()/180)</f>
        <v>6</v>
      </c>
      <c r="Y123" s="3" t="e">
        <f t="shared" ref="Y123:Y131" si="64">IF(R123="-",IF(S123&gt;180,S123-180,S123+180),R123)</f>
        <v>#VALUE!</v>
      </c>
      <c r="Z123" s="4" t="e">
        <f>IF('Raw Data'!O123="","",O122+N122)</f>
        <v>#VALUE!</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58"/>
        <v>-</v>
      </c>
      <c r="S124" s="3">
        <f t="shared" si="59"/>
        <v>158</v>
      </c>
      <c r="T124" s="3">
        <f t="shared" si="60"/>
        <v>338</v>
      </c>
      <c r="U124" s="3">
        <f t="shared" si="61"/>
        <v>12.5</v>
      </c>
      <c r="W124" s="4">
        <f t="shared" si="62"/>
        <v>28.703102609326038</v>
      </c>
      <c r="X124" s="4">
        <f t="shared" si="63"/>
        <v>6.3633246497802238</v>
      </c>
      <c r="Y124" s="3">
        <f t="shared" si="64"/>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58"/>
        <v>11</v>
      </c>
      <c r="S125" s="3" t="str">
        <f t="shared" si="59"/>
        <v>-</v>
      </c>
      <c r="T125" s="3">
        <f t="shared" si="60"/>
        <v>11</v>
      </c>
      <c r="U125" s="3">
        <f t="shared" si="61"/>
        <v>-38</v>
      </c>
      <c r="W125" s="4">
        <f t="shared" si="62"/>
        <v>9.534930118641336</v>
      </c>
      <c r="X125" s="4">
        <f t="shared" si="63"/>
        <v>-7.4495038514404639</v>
      </c>
      <c r="Y125" s="3">
        <f t="shared" si="64"/>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58"/>
        <v>-</v>
      </c>
      <c r="S126" s="3">
        <f t="shared" si="59"/>
        <v>282</v>
      </c>
      <c r="T126" s="3">
        <f t="shared" si="60"/>
        <v>102</v>
      </c>
      <c r="U126" s="3">
        <f t="shared" si="61"/>
        <v>16.5</v>
      </c>
      <c r="W126" s="4">
        <f t="shared" si="62"/>
        <v>28.956355993019429</v>
      </c>
      <c r="X126" s="4">
        <f t="shared" si="63"/>
        <v>8.5772634100584639</v>
      </c>
      <c r="Y126" s="3">
        <f t="shared" si="64"/>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58"/>
        <v>63.5</v>
      </c>
      <c r="S127" s="3" t="str">
        <f t="shared" si="59"/>
        <v>-</v>
      </c>
      <c r="T127" s="3">
        <f t="shared" si="60"/>
        <v>63.5</v>
      </c>
      <c r="U127" s="3">
        <f t="shared" si="61"/>
        <v>27</v>
      </c>
      <c r="W127" s="4">
        <f t="shared" si="62"/>
        <v>13.365097862825518</v>
      </c>
      <c r="X127" s="4">
        <f t="shared" si="63"/>
        <v>6.8098574960932012</v>
      </c>
      <c r="Y127" s="3">
        <f t="shared" si="64"/>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58"/>
        <v>-</v>
      </c>
      <c r="S128" s="3">
        <f t="shared" si="59"/>
        <v>284</v>
      </c>
      <c r="T128" s="3">
        <f t="shared" si="60"/>
        <v>104</v>
      </c>
      <c r="U128" s="3">
        <f t="shared" si="61"/>
        <v>13.5</v>
      </c>
      <c r="W128" s="4">
        <f t="shared" si="62"/>
        <v>23.725826057703305</v>
      </c>
      <c r="X128" s="4">
        <f t="shared" si="63"/>
        <v>5.6960668780840908</v>
      </c>
      <c r="Y128" s="3">
        <f t="shared" si="64"/>
        <v>104</v>
      </c>
      <c r="Z128" s="4">
        <f>IF('Raw Data'!O128="","",O127+N127)</f>
        <v>70.5</v>
      </c>
    </row>
    <row r="129" spans="1:26"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58"/>
        <v>83</v>
      </c>
      <c r="S129" s="3" t="str">
        <f t="shared" si="59"/>
        <v>-</v>
      </c>
      <c r="T129" s="3">
        <f t="shared" si="60"/>
        <v>83</v>
      </c>
      <c r="U129" s="3">
        <f t="shared" si="61"/>
        <v>10.5</v>
      </c>
      <c r="W129" s="4">
        <f t="shared" si="62"/>
        <v>19.173470697497116</v>
      </c>
      <c r="X129" s="4">
        <f t="shared" si="63"/>
        <v>3.5535927470968756</v>
      </c>
      <c r="Y129" s="3">
        <f t="shared" si="64"/>
        <v>83</v>
      </c>
      <c r="Z129" s="4">
        <f>IF('Raw Data'!O129="","",O128+N128)</f>
        <v>76.3</v>
      </c>
    </row>
    <row r="130" spans="1:26"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58"/>
        <v>-</v>
      </c>
      <c r="S130" s="3">
        <f t="shared" si="59"/>
        <v>296.5</v>
      </c>
      <c r="T130" s="3">
        <f t="shared" si="60"/>
        <v>116.5</v>
      </c>
      <c r="U130" s="3">
        <f t="shared" si="61"/>
        <v>14.5</v>
      </c>
      <c r="W130" s="4">
        <f t="shared" si="62"/>
        <v>14.328585077595996</v>
      </c>
      <c r="X130" s="4">
        <f t="shared" si="63"/>
        <v>3.7056240600057335</v>
      </c>
      <c r="Y130" s="3">
        <f t="shared" si="64"/>
        <v>116.5</v>
      </c>
      <c r="Z130" s="4">
        <f>IF('Raw Data'!O130="","",O129+N129)</f>
        <v>79.8</v>
      </c>
    </row>
    <row r="131" spans="1:26"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58"/>
        <v>74.5</v>
      </c>
      <c r="S131" s="3" t="str">
        <f t="shared" si="59"/>
        <v>-</v>
      </c>
      <c r="T131" s="3">
        <f t="shared" si="60"/>
        <v>74.5</v>
      </c>
      <c r="U131" s="3">
        <f t="shared" si="61"/>
        <v>23</v>
      </c>
      <c r="W131" s="4">
        <f t="shared" si="62"/>
        <v>45.380889275205305</v>
      </c>
      <c r="X131" s="4">
        <f t="shared" si="63"/>
        <v>19.263044634521194</v>
      </c>
      <c r="Y131" s="3">
        <f t="shared" si="64"/>
        <v>74.5</v>
      </c>
      <c r="Z131" s="4">
        <f>IF('Raw Data'!O131="","",O130+N130)</f>
        <v>83.600000000000009</v>
      </c>
    </row>
    <row r="132" spans="1:26"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5">IF(ISERROR(FIND(":",G132)),IF(G132&lt;&gt;"-",1*G132,G132),1*LEFT(G132,FIND(":",G132)-1)+RIGHT(G132,LEN(G132)-FIND(":",G132))/60)</f>
        <v>-</v>
      </c>
      <c r="S132" s="3">
        <f t="shared" ref="S132:S179" si="66">IF(ISERROR(FIND(":",H132)),IF(H132&lt;&gt;"-",1*H132,H132),1*LEFT(H132,FIND(":",H132)-1)+RIGHT(H132,LEN(H132)-FIND(":",H132))/60)</f>
        <v>337</v>
      </c>
      <c r="T132" s="3">
        <f t="shared" ref="T132:T179" si="67">IF(ISERROR(FIND(":",I132)),IF(I132&lt;&gt;"-",1*I132,I132),1*LEFT(I132,FIND(":",I132)-1)+RIGHT(I132,LEN(I132)-FIND(":",I132))/60)</f>
        <v>157</v>
      </c>
      <c r="U132" s="3">
        <f t="shared" si="61"/>
        <v>5</v>
      </c>
      <c r="W132" s="4">
        <f t="shared" ref="W132:W179" si="68">J132*COS(U132*PI()/180)</f>
        <v>7.2722212960697421</v>
      </c>
      <c r="X132" s="4">
        <f t="shared" ref="X132:X179" si="69">J132*SIN(U132*PI()/180)</f>
        <v>0.63623692205790461</v>
      </c>
      <c r="Y132" s="3">
        <f t="shared" ref="Y132:Y179" si="70">IF(R132="-",IF(S132&gt;180,S132-180,S132+180),R132)</f>
        <v>157</v>
      </c>
      <c r="Z132" s="4">
        <f>IF('Raw Data'!O132="","",O131+N131)</f>
        <v>102.8</v>
      </c>
    </row>
    <row r="133" spans="1:26"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5"/>
        <v>117</v>
      </c>
      <c r="S133" s="3" t="str">
        <f t="shared" si="66"/>
        <v>-</v>
      </c>
      <c r="T133" s="3">
        <f t="shared" si="67"/>
        <v>117</v>
      </c>
      <c r="U133" s="3">
        <f t="shared" si="61"/>
        <v>-31</v>
      </c>
      <c r="W133" s="4">
        <f t="shared" si="68"/>
        <v>13.886110271374219</v>
      </c>
      <c r="X133" s="4">
        <f t="shared" si="69"/>
        <v>-8.3436168135428765</v>
      </c>
      <c r="Y133" s="3">
        <f t="shared" si="70"/>
        <v>117</v>
      </c>
      <c r="Z133" s="4">
        <f>IF('Raw Data'!O133="","",O132+N132)</f>
        <v>103.8</v>
      </c>
    </row>
    <row r="134" spans="1:26"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5"/>
        <v>-</v>
      </c>
      <c r="S134" s="3" t="str">
        <f t="shared" si="66"/>
        <v>-</v>
      </c>
      <c r="T134" s="3" t="str">
        <f t="shared" si="67"/>
        <v>-</v>
      </c>
      <c r="U134" s="3">
        <f t="shared" si="61"/>
        <v>-90</v>
      </c>
      <c r="W134" s="4">
        <f t="shared" si="68"/>
        <v>2.144009796090085E-15</v>
      </c>
      <c r="X134" s="4">
        <f t="shared" si="69"/>
        <v>-35</v>
      </c>
      <c r="Y134" s="3" t="e">
        <f t="shared" si="70"/>
        <v>#VALUE!</v>
      </c>
      <c r="Z134" s="4">
        <f>IF('Raw Data'!O134="","",O133+N133)</f>
        <v>95.5</v>
      </c>
    </row>
    <row r="135" spans="1:26"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5"/>
        <v>-</v>
      </c>
      <c r="S135" s="3">
        <f t="shared" si="66"/>
        <v>308</v>
      </c>
      <c r="T135" s="3">
        <f t="shared" si="67"/>
        <v>128</v>
      </c>
      <c r="U135" s="3">
        <f t="shared" si="61"/>
        <v>8</v>
      </c>
      <c r="W135" s="4">
        <f t="shared" si="68"/>
        <v>23.370326422301062</v>
      </c>
      <c r="X135" s="4">
        <f t="shared" si="69"/>
        <v>3.2844851826575447</v>
      </c>
      <c r="Y135" s="3">
        <f t="shared" si="70"/>
        <v>128</v>
      </c>
      <c r="Z135" s="4">
        <f>IF('Raw Data'!O135="","",O134+N134)</f>
        <v>60.599999999999994</v>
      </c>
    </row>
    <row r="136" spans="1:26"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5"/>
        <v>163.5</v>
      </c>
      <c r="S136" s="3" t="str">
        <f t="shared" si="66"/>
        <v>-</v>
      </c>
      <c r="T136" s="3">
        <f t="shared" si="67"/>
        <v>163.5</v>
      </c>
      <c r="U136" s="3">
        <f t="shared" si="61"/>
        <v>-34.5</v>
      </c>
      <c r="W136" s="4">
        <f t="shared" si="68"/>
        <v>22.663470187105432</v>
      </c>
      <c r="X136" s="4">
        <f t="shared" si="69"/>
        <v>-15.576171515432902</v>
      </c>
      <c r="Y136" s="3">
        <f t="shared" si="70"/>
        <v>163.5</v>
      </c>
      <c r="Z136" s="4">
        <f>IF('Raw Data'!O136="","",O135+N135)</f>
        <v>63.9</v>
      </c>
    </row>
    <row r="137" spans="1:26"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5"/>
        <v>-</v>
      </c>
      <c r="S137" s="3">
        <f t="shared" si="66"/>
        <v>20</v>
      </c>
      <c r="T137" s="3">
        <f t="shared" si="67"/>
        <v>200</v>
      </c>
      <c r="U137" s="3">
        <f t="shared" si="61"/>
        <v>-5</v>
      </c>
      <c r="W137" s="4">
        <f t="shared" si="68"/>
        <v>23.41057540515602</v>
      </c>
      <c r="X137" s="4">
        <f t="shared" si="69"/>
        <v>-2.0481599545699667</v>
      </c>
      <c r="Y137" s="3">
        <f t="shared" si="70"/>
        <v>200</v>
      </c>
      <c r="Z137" s="4">
        <f>IF('Raw Data'!O137="","",O136+N136)</f>
        <v>48.4</v>
      </c>
    </row>
    <row r="138" spans="1:26"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5"/>
        <v>186</v>
      </c>
      <c r="S138" s="3" t="str">
        <f t="shared" si="66"/>
        <v>-</v>
      </c>
      <c r="T138" s="3">
        <f t="shared" si="67"/>
        <v>186</v>
      </c>
      <c r="U138" s="3">
        <f t="shared" si="61"/>
        <v>-17.5</v>
      </c>
      <c r="W138" s="4">
        <f t="shared" si="68"/>
        <v>16.117816467645035</v>
      </c>
      <c r="X138" s="4">
        <f t="shared" si="69"/>
        <v>-5.0819280116222156</v>
      </c>
      <c r="Y138" s="3">
        <f t="shared" si="70"/>
        <v>186</v>
      </c>
      <c r="Z138" s="4">
        <f>IF('Raw Data'!O138="","",O137+N137)</f>
        <v>45.8</v>
      </c>
    </row>
    <row r="139" spans="1:26"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5"/>
        <v>-</v>
      </c>
      <c r="S139" s="3">
        <f t="shared" si="66"/>
        <v>102.5</v>
      </c>
      <c r="T139" s="3">
        <f t="shared" si="67"/>
        <v>282.5</v>
      </c>
      <c r="U139" s="3">
        <f t="shared" si="61"/>
        <v>-20.5</v>
      </c>
      <c r="W139" s="4">
        <f t="shared" si="68"/>
        <v>46.365273367795687</v>
      </c>
      <c r="X139" s="4">
        <f t="shared" si="69"/>
        <v>-17.335265372343635</v>
      </c>
      <c r="Y139" s="3">
        <f t="shared" si="70"/>
        <v>282.5</v>
      </c>
      <c r="Z139" s="4">
        <f>IF('Raw Data'!O139="","",O138+N138)</f>
        <v>40.799999999999997</v>
      </c>
    </row>
    <row r="140" spans="1:26"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5"/>
        <v>264</v>
      </c>
      <c r="S140" s="3" t="str">
        <f t="shared" si="66"/>
        <v>-</v>
      </c>
      <c r="T140" s="3">
        <f t="shared" si="67"/>
        <v>264</v>
      </c>
      <c r="U140" s="3">
        <f t="shared" si="61"/>
        <v>-12.5</v>
      </c>
      <c r="W140" s="4">
        <f t="shared" si="68"/>
        <v>49.986355564540588</v>
      </c>
      <c r="X140" s="4">
        <f t="shared" si="69"/>
        <v>-11.081708233630868</v>
      </c>
      <c r="Y140" s="3">
        <f t="shared" si="70"/>
        <v>264</v>
      </c>
      <c r="Z140" s="4">
        <f>IF('Raw Data'!O140="","",O139+N139)</f>
        <v>23.599999999999998</v>
      </c>
    </row>
    <row r="141" spans="1:26"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5"/>
        <v>175</v>
      </c>
      <c r="S141" s="3" t="str">
        <f t="shared" si="66"/>
        <v>-</v>
      </c>
      <c r="T141" s="3">
        <f t="shared" si="67"/>
        <v>175</v>
      </c>
      <c r="U141" s="9">
        <f>ASIN(N141/J141)*180/PI()</f>
        <v>-14.743562836470735</v>
      </c>
      <c r="W141" s="4">
        <f t="shared" si="68"/>
        <v>13.3</v>
      </c>
      <c r="X141" s="4">
        <f t="shared" si="69"/>
        <v>-3.4999999999999996</v>
      </c>
      <c r="Y141" s="3">
        <f t="shared" si="70"/>
        <v>175</v>
      </c>
      <c r="Z141" s="4">
        <f>IF('Raw Data'!O141="","",O140+N140)</f>
        <v>12.799999999999999</v>
      </c>
    </row>
    <row r="142" spans="1:26"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row>
    <row r="143" spans="1:26"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6"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5"/>
        <v>-</v>
      </c>
      <c r="S145" s="3">
        <f t="shared" si="66"/>
        <v>103</v>
      </c>
      <c r="T145" s="3">
        <f t="shared" si="67"/>
        <v>283</v>
      </c>
      <c r="U145" s="3">
        <f t="shared" ref="U145:U161" si="71">IF(ISERROR(FIND(":",K145)),1*K145,1*CONCATENATE(LEFT(K145,FIND(":",K145)-1),".",MID(RIGHT(K145,LEN(K145)-FIND(":",K145))/60,3,8)))</f>
        <v>-6</v>
      </c>
      <c r="W145" s="4">
        <f t="shared" si="68"/>
        <v>11.934262744419279</v>
      </c>
      <c r="X145" s="4">
        <f t="shared" si="69"/>
        <v>-1.2543415592118414</v>
      </c>
      <c r="Y145" s="3">
        <f t="shared" si="70"/>
        <v>283</v>
      </c>
      <c r="Z145" s="4" t="e">
        <f>IF('Raw Data'!O145="","",O144+N144)</f>
        <v>#VALUE!</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5"/>
        <v>11</v>
      </c>
      <c r="S146" s="3" t="str">
        <f t="shared" si="66"/>
        <v>-</v>
      </c>
      <c r="T146" s="3">
        <f t="shared" si="67"/>
        <v>11</v>
      </c>
      <c r="U146" s="3">
        <f t="shared" si="71"/>
        <v>-6</v>
      </c>
      <c r="W146" s="4">
        <f t="shared" si="68"/>
        <v>2.9835656861048196</v>
      </c>
      <c r="X146" s="4">
        <f t="shared" si="69"/>
        <v>-0.31358538980296036</v>
      </c>
      <c r="Y146" s="3">
        <f t="shared" si="70"/>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5"/>
        <v>-</v>
      </c>
      <c r="S147" s="3" t="str">
        <f t="shared" si="66"/>
        <v>-</v>
      </c>
      <c r="T147" s="3" t="str">
        <f t="shared" si="67"/>
        <v>-</v>
      </c>
      <c r="U147" s="3">
        <f t="shared" si="71"/>
        <v>-90</v>
      </c>
      <c r="W147" s="4">
        <f t="shared" si="68"/>
        <v>3.67544536472586E-16</v>
      </c>
      <c r="X147" s="4">
        <f t="shared" si="69"/>
        <v>-6</v>
      </c>
      <c r="Y147" s="3" t="e">
        <f t="shared" si="70"/>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5"/>
        <v>-</v>
      </c>
      <c r="S148" s="3">
        <f t="shared" si="66"/>
        <v>216</v>
      </c>
      <c r="T148" s="3">
        <f t="shared" si="67"/>
        <v>36</v>
      </c>
      <c r="U148" s="3">
        <f t="shared" si="71"/>
        <v>8</v>
      </c>
      <c r="W148" s="4">
        <f t="shared" si="68"/>
        <v>17.329691202977482</v>
      </c>
      <c r="X148" s="4">
        <f t="shared" si="69"/>
        <v>2.435529266801145</v>
      </c>
      <c r="Y148" s="3">
        <f t="shared" si="70"/>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5"/>
        <v>344.5</v>
      </c>
      <c r="S149" s="3" t="str">
        <f t="shared" si="66"/>
        <v>-</v>
      </c>
      <c r="T149" s="3">
        <f t="shared" si="67"/>
        <v>344.5</v>
      </c>
      <c r="U149" s="3">
        <f t="shared" si="71"/>
        <v>6</v>
      </c>
      <c r="W149" s="4">
        <f t="shared" si="68"/>
        <v>4.8731572873045392</v>
      </c>
      <c r="X149" s="4">
        <f t="shared" si="69"/>
        <v>0.51218947001150195</v>
      </c>
      <c r="Y149" s="3">
        <f t="shared" si="70"/>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5"/>
        <v>-</v>
      </c>
      <c r="S150" s="3">
        <f t="shared" si="66"/>
        <v>162</v>
      </c>
      <c r="T150" s="3">
        <f t="shared" si="67"/>
        <v>342</v>
      </c>
      <c r="U150" s="3">
        <f t="shared" si="71"/>
        <v>-12</v>
      </c>
      <c r="W150" s="4">
        <f t="shared" si="68"/>
        <v>22.986468617244434</v>
      </c>
      <c r="X150" s="4">
        <f t="shared" si="69"/>
        <v>-4.885924734217344</v>
      </c>
      <c r="Y150" s="3">
        <f t="shared" si="70"/>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5"/>
        <v>259</v>
      </c>
      <c r="S151" s="3" t="str">
        <f t="shared" si="66"/>
        <v>-</v>
      </c>
      <c r="T151" s="3">
        <f t="shared" si="67"/>
        <v>259</v>
      </c>
      <c r="U151" s="3">
        <f t="shared" si="71"/>
        <v>-21</v>
      </c>
      <c r="W151" s="4">
        <f t="shared" si="68"/>
        <v>7.655359497277054</v>
      </c>
      <c r="X151" s="4">
        <f t="shared" si="69"/>
        <v>-2.9386171862714621</v>
      </c>
      <c r="Y151" s="3">
        <f t="shared" si="70"/>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5"/>
        <v>-</v>
      </c>
      <c r="S152" s="3">
        <f t="shared" si="66"/>
        <v>119</v>
      </c>
      <c r="T152" s="3">
        <f t="shared" si="67"/>
        <v>299</v>
      </c>
      <c r="U152" s="3">
        <f t="shared" si="71"/>
        <v>-17</v>
      </c>
      <c r="W152" s="4">
        <f t="shared" si="68"/>
        <v>8.6067428036673181</v>
      </c>
      <c r="X152" s="4">
        <f t="shared" si="69"/>
        <v>-2.6313453425046309</v>
      </c>
      <c r="Y152" s="3">
        <f t="shared" si="70"/>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5"/>
        <v>-</v>
      </c>
      <c r="S153" s="3" t="str">
        <f t="shared" si="66"/>
        <v>-</v>
      </c>
      <c r="T153" s="3" t="str">
        <f t="shared" si="67"/>
        <v>-</v>
      </c>
      <c r="U153" s="3">
        <f t="shared" si="71"/>
        <v>-90</v>
      </c>
      <c r="W153" s="4">
        <f t="shared" si="68"/>
        <v>3.06287113727155E-17</v>
      </c>
      <c r="X153" s="4">
        <f t="shared" si="69"/>
        <v>-0.5</v>
      </c>
      <c r="Y153" s="3" t="e">
        <f t="shared" si="70"/>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5"/>
        <v>277</v>
      </c>
      <c r="S154" s="3" t="str">
        <f t="shared" si="66"/>
        <v>-</v>
      </c>
      <c r="T154" s="3">
        <f t="shared" si="67"/>
        <v>227</v>
      </c>
      <c r="U154" s="3">
        <f t="shared" si="71"/>
        <v>-53</v>
      </c>
      <c r="W154" s="4">
        <f t="shared" si="68"/>
        <v>8.9068623426503173</v>
      </c>
      <c r="X154" s="4">
        <f t="shared" si="69"/>
        <v>-11.819805548699934</v>
      </c>
      <c r="Y154" s="3">
        <f t="shared" si="70"/>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5"/>
        <v>-</v>
      </c>
      <c r="S155" s="3">
        <f t="shared" si="66"/>
        <v>261</v>
      </c>
      <c r="T155" s="3">
        <f t="shared" si="67"/>
        <v>81</v>
      </c>
      <c r="U155" s="3">
        <f t="shared" si="71"/>
        <v>-47</v>
      </c>
      <c r="W155" s="4">
        <f t="shared" si="68"/>
        <v>9.0705781888312309</v>
      </c>
      <c r="X155" s="4">
        <f t="shared" si="69"/>
        <v>-9.7270042315349681</v>
      </c>
      <c r="Y155" s="3">
        <f t="shared" si="70"/>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5"/>
        <v>-</v>
      </c>
      <c r="S156" s="3" t="str">
        <f t="shared" si="66"/>
        <v>-</v>
      </c>
      <c r="T156" s="3" t="str">
        <f t="shared" si="67"/>
        <v>-</v>
      </c>
      <c r="U156" s="3">
        <f t="shared" si="71"/>
        <v>90</v>
      </c>
      <c r="W156" s="4">
        <f t="shared" si="68"/>
        <v>3.06287113727155E-17</v>
      </c>
      <c r="X156" s="4">
        <f t="shared" si="69"/>
        <v>0.5</v>
      </c>
      <c r="Y156" s="3" t="e">
        <f t="shared" si="70"/>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5"/>
        <v>348.5</v>
      </c>
      <c r="S157" s="3" t="str">
        <f t="shared" si="66"/>
        <v>-</v>
      </c>
      <c r="T157" s="3">
        <f t="shared" si="67"/>
        <v>348.5</v>
      </c>
      <c r="U157" s="3">
        <f t="shared" si="71"/>
        <v>-6</v>
      </c>
      <c r="W157" s="4">
        <f t="shared" si="68"/>
        <v>14.420567482839962</v>
      </c>
      <c r="X157" s="4">
        <f t="shared" si="69"/>
        <v>-1.5156627173809751</v>
      </c>
      <c r="Y157" s="3">
        <f t="shared" si="70"/>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5"/>
        <v>-</v>
      </c>
      <c r="S158" s="3">
        <f t="shared" si="66"/>
        <v>112</v>
      </c>
      <c r="T158" s="3">
        <f t="shared" si="67"/>
        <v>292</v>
      </c>
      <c r="U158" s="3">
        <f t="shared" si="71"/>
        <v>-20</v>
      </c>
      <c r="W158" s="4">
        <f t="shared" si="68"/>
        <v>16.256682339596217</v>
      </c>
      <c r="X158" s="4">
        <f t="shared" si="69"/>
        <v>-5.916948479534069</v>
      </c>
      <c r="Y158" s="3">
        <f t="shared" si="70"/>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5"/>
        <v>346</v>
      </c>
      <c r="S159" s="3" t="str">
        <f t="shared" si="66"/>
        <v>-</v>
      </c>
      <c r="T159" s="3">
        <f t="shared" si="67"/>
        <v>346</v>
      </c>
      <c r="U159" s="3">
        <f t="shared" si="71"/>
        <v>-22</v>
      </c>
      <c r="W159" s="4">
        <f t="shared" si="68"/>
        <v>15.947562298548743</v>
      </c>
      <c r="X159" s="4">
        <f t="shared" si="69"/>
        <v>-6.4432334067536861</v>
      </c>
      <c r="Y159" s="3">
        <f t="shared" si="70"/>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5"/>
        <v>-</v>
      </c>
      <c r="S160" s="3">
        <f t="shared" si="66"/>
        <v>138</v>
      </c>
      <c r="T160" s="3">
        <f t="shared" si="67"/>
        <v>318</v>
      </c>
      <c r="U160" s="3">
        <f t="shared" si="71"/>
        <v>-13.5</v>
      </c>
      <c r="W160" s="4">
        <f t="shared" si="68"/>
        <v>8.654092291539321</v>
      </c>
      <c r="X160" s="4">
        <f t="shared" si="69"/>
        <v>-2.077663738317558</v>
      </c>
      <c r="Y160" s="3">
        <f t="shared" si="70"/>
        <v>318</v>
      </c>
      <c r="Z160" s="4">
        <f>IF('Raw Data'!O160="","",O159+N159)</f>
        <v>316.60000000000002</v>
      </c>
    </row>
    <row r="161" spans="1:26"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5"/>
        <v>304</v>
      </c>
      <c r="S161" s="3" t="str">
        <f t="shared" si="66"/>
        <v>-</v>
      </c>
      <c r="T161" s="3">
        <f t="shared" si="67"/>
        <v>304</v>
      </c>
      <c r="U161" s="3">
        <f t="shared" si="71"/>
        <v>-17</v>
      </c>
      <c r="W161" s="4">
        <f t="shared" si="68"/>
        <v>30.601752190817134</v>
      </c>
      <c r="X161" s="4">
        <f t="shared" si="69"/>
        <v>-9.3558945511275766</v>
      </c>
      <c r="Y161" s="3">
        <f t="shared" si="70"/>
        <v>304</v>
      </c>
      <c r="Z161" s="4">
        <f>IF('Raw Data'!O161="","",O160+N160)</f>
        <v>314.5</v>
      </c>
    </row>
    <row r="162" spans="1:26"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6"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6"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6"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5"/>
        <v>-</v>
      </c>
      <c r="S165" s="3">
        <f t="shared" si="66"/>
        <v>175</v>
      </c>
      <c r="T165" s="3">
        <f t="shared" si="67"/>
        <v>355</v>
      </c>
      <c r="U165" s="3">
        <f t="shared" ref="U165:U182" si="72">IF(ISERROR(FIND(":",K165)),1*K165,1*CONCATENATE(LEFT(K165,FIND(":",K165)-1),".",MID(RIGHT(K165,LEN(K165)-FIND(":",K165))/60,3,8)))</f>
        <v>30</v>
      </c>
      <c r="W165" s="4">
        <f t="shared" si="68"/>
        <v>4.8497422611928567</v>
      </c>
      <c r="X165" s="4">
        <f t="shared" si="69"/>
        <v>2.7999999999999994</v>
      </c>
      <c r="Y165" s="3">
        <f t="shared" si="70"/>
        <v>355</v>
      </c>
      <c r="Z165" s="4" t="e">
        <f>IF('Raw Data'!O165="","",O164+N164)</f>
        <v>#VALUE!</v>
      </c>
    </row>
    <row r="166" spans="1:26"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5"/>
        <v>317</v>
      </c>
      <c r="S166" s="3" t="str">
        <f t="shared" si="66"/>
        <v>-</v>
      </c>
      <c r="T166" s="3">
        <f t="shared" si="67"/>
        <v>317</v>
      </c>
      <c r="U166" s="3">
        <f t="shared" si="72"/>
        <v>2</v>
      </c>
      <c r="W166" s="4">
        <f t="shared" si="68"/>
        <v>8.6947001950661331</v>
      </c>
      <c r="X166" s="4">
        <f t="shared" si="69"/>
        <v>0.30362562131175841</v>
      </c>
      <c r="Y166" s="3">
        <f t="shared" si="70"/>
        <v>317</v>
      </c>
      <c r="Z166" s="4">
        <f>IF('Raw Data'!O166="","",O165+N165)</f>
        <v>307.90000000000003</v>
      </c>
    </row>
    <row r="167" spans="1:26"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5"/>
        <v>-</v>
      </c>
      <c r="S167" s="3">
        <f t="shared" si="66"/>
        <v>87</v>
      </c>
      <c r="T167" s="3">
        <f t="shared" si="67"/>
        <v>267</v>
      </c>
      <c r="U167" s="3">
        <f t="shared" si="72"/>
        <v>21</v>
      </c>
      <c r="W167" s="4">
        <f t="shared" si="68"/>
        <v>2.8940993221413254</v>
      </c>
      <c r="X167" s="4">
        <f t="shared" si="69"/>
        <v>1.1109406435904308</v>
      </c>
      <c r="Y167" s="3">
        <f t="shared" si="70"/>
        <v>267</v>
      </c>
      <c r="Z167" s="4">
        <f>IF('Raw Data'!O167="","",O166+N166)</f>
        <v>308.2</v>
      </c>
    </row>
    <row r="168" spans="1:26"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5"/>
        <v>299</v>
      </c>
      <c r="S168" s="3" t="str">
        <f t="shared" si="66"/>
        <v>-</v>
      </c>
      <c r="T168" s="3">
        <f t="shared" si="67"/>
        <v>299</v>
      </c>
      <c r="U168" s="3">
        <f t="shared" si="72"/>
        <v>-15</v>
      </c>
      <c r="W168" s="4">
        <f t="shared" si="68"/>
        <v>12.943406072273516</v>
      </c>
      <c r="X168" s="4">
        <f t="shared" si="69"/>
        <v>-3.4681752043737779</v>
      </c>
      <c r="Y168" s="3">
        <f t="shared" si="70"/>
        <v>299</v>
      </c>
      <c r="Z168" s="4">
        <f>IF('Raw Data'!O168="","",O167+N167)</f>
        <v>308.89999999999998</v>
      </c>
    </row>
    <row r="169" spans="1:26"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5"/>
        <v>-</v>
      </c>
      <c r="S169" s="3">
        <f t="shared" si="66"/>
        <v>145.5</v>
      </c>
      <c r="T169" s="3">
        <f t="shared" si="67"/>
        <v>325.5</v>
      </c>
      <c r="U169" s="3">
        <f t="shared" si="72"/>
        <v>-2.5</v>
      </c>
      <c r="W169" s="4">
        <f t="shared" si="68"/>
        <v>19.18172585437167</v>
      </c>
      <c r="X169" s="4">
        <f t="shared" si="69"/>
        <v>-0.83749223741445122</v>
      </c>
      <c r="Y169" s="3">
        <f t="shared" si="70"/>
        <v>325.5</v>
      </c>
      <c r="Z169" s="4">
        <f>IF('Raw Data'!O169="","",O168+N168)</f>
        <v>305.39999999999998</v>
      </c>
    </row>
    <row r="170" spans="1:26"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5"/>
        <v>319.5</v>
      </c>
      <c r="S170" s="3" t="str">
        <f t="shared" si="66"/>
        <v>-</v>
      </c>
      <c r="T170" s="3">
        <f t="shared" si="67"/>
        <v>319.5</v>
      </c>
      <c r="U170" s="3">
        <f t="shared" si="72"/>
        <v>-13</v>
      </c>
      <c r="W170" s="4">
        <f t="shared" si="68"/>
        <v>19.584838302183229</v>
      </c>
      <c r="X170" s="4">
        <f t="shared" si="69"/>
        <v>-4.5215161923116867</v>
      </c>
      <c r="Y170" s="3">
        <f t="shared" si="70"/>
        <v>319.5</v>
      </c>
      <c r="Z170" s="4">
        <f>IF('Raw Data'!O170="","",O169+N169)</f>
        <v>304.59999999999997</v>
      </c>
    </row>
    <row r="171" spans="1:26"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5"/>
        <v>-</v>
      </c>
      <c r="S171" s="3">
        <f t="shared" si="66"/>
        <v>89</v>
      </c>
      <c r="T171" s="3">
        <f t="shared" si="67"/>
        <v>269</v>
      </c>
      <c r="U171" s="3">
        <f t="shared" si="72"/>
        <v>-15</v>
      </c>
      <c r="W171" s="4">
        <f t="shared" si="68"/>
        <v>22.409479169906383</v>
      </c>
      <c r="X171" s="4">
        <f t="shared" si="69"/>
        <v>-6.0046018463784812</v>
      </c>
      <c r="Y171" s="3">
        <f t="shared" si="70"/>
        <v>269</v>
      </c>
      <c r="Z171" s="4">
        <f>IF('Raw Data'!O171="","",O170+N170)</f>
        <v>300.10000000000002</v>
      </c>
    </row>
    <row r="172" spans="1:26"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5"/>
        <v>202.33333333333334</v>
      </c>
      <c r="S172" s="3" t="str">
        <f t="shared" si="66"/>
        <v>-</v>
      </c>
      <c r="T172" s="3">
        <f t="shared" si="67"/>
        <v>202.33333333333334</v>
      </c>
      <c r="U172" s="3">
        <f t="shared" si="72"/>
        <v>-41.5</v>
      </c>
      <c r="W172" s="4">
        <f t="shared" si="68"/>
        <v>20.89586461001316</v>
      </c>
      <c r="X172" s="4">
        <f t="shared" si="69"/>
        <v>-18.487099345219075</v>
      </c>
      <c r="Y172" s="3">
        <f t="shared" si="70"/>
        <v>202.33333333333334</v>
      </c>
      <c r="Z172" s="4">
        <f>IF('Raw Data'!O172="","",O171+N171)</f>
        <v>294.10000000000002</v>
      </c>
    </row>
    <row r="173" spans="1:26"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5"/>
        <v>-</v>
      </c>
      <c r="S173" s="3">
        <f t="shared" si="66"/>
        <v>69</v>
      </c>
      <c r="T173" s="3">
        <f t="shared" si="67"/>
        <v>249</v>
      </c>
      <c r="U173" s="3">
        <f t="shared" si="72"/>
        <v>-17</v>
      </c>
      <c r="W173" s="4">
        <f t="shared" si="68"/>
        <v>21.612487484764603</v>
      </c>
      <c r="X173" s="4">
        <f t="shared" si="69"/>
        <v>-6.6076005267338518</v>
      </c>
      <c r="Y173" s="3">
        <f t="shared" si="70"/>
        <v>249</v>
      </c>
      <c r="Z173" s="4">
        <f>IF('Raw Data'!O173="","",O172+N172)</f>
        <v>275.60000000000002</v>
      </c>
    </row>
    <row r="174" spans="1:26"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5"/>
        <v>292</v>
      </c>
      <c r="S174" s="3" t="str">
        <f t="shared" si="66"/>
        <v>-</v>
      </c>
      <c r="T174" s="3">
        <f t="shared" si="67"/>
        <v>292</v>
      </c>
      <c r="U174" s="3">
        <f t="shared" si="72"/>
        <v>-6.6666666599999997</v>
      </c>
      <c r="W174" s="4">
        <f t="shared" si="68"/>
        <v>27.214731002499356</v>
      </c>
      <c r="X174" s="4">
        <f t="shared" si="69"/>
        <v>-3.18094584386473</v>
      </c>
      <c r="Y174" s="3">
        <f t="shared" si="70"/>
        <v>292</v>
      </c>
      <c r="Z174" s="4">
        <f>IF('Raw Data'!O174="","",O173+N173)</f>
        <v>269</v>
      </c>
    </row>
    <row r="175" spans="1:26"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5"/>
        <v>-</v>
      </c>
      <c r="S175" s="3">
        <f t="shared" si="66"/>
        <v>30</v>
      </c>
      <c r="T175" s="3">
        <f t="shared" si="67"/>
        <v>210</v>
      </c>
      <c r="U175" s="3">
        <f t="shared" si="72"/>
        <v>-1.66666666</v>
      </c>
      <c r="W175" s="4">
        <f t="shared" si="68"/>
        <v>22.190608291899981</v>
      </c>
      <c r="X175" s="4">
        <f t="shared" si="69"/>
        <v>-0.64568075351507859</v>
      </c>
      <c r="Y175" s="3">
        <f t="shared" si="70"/>
        <v>210</v>
      </c>
      <c r="Z175" s="4">
        <f>IF('Raw Data'!O175="","",O174+N174)</f>
        <v>265.8</v>
      </c>
    </row>
    <row r="176" spans="1:26"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5"/>
        <v>192</v>
      </c>
      <c r="S176" s="3" t="str">
        <f t="shared" si="66"/>
        <v>-</v>
      </c>
      <c r="T176" s="3">
        <f t="shared" si="67"/>
        <v>192</v>
      </c>
      <c r="U176" s="3">
        <f t="shared" si="72"/>
        <v>6.5</v>
      </c>
      <c r="W176" s="4">
        <f t="shared" si="68"/>
        <v>16.195221247528377</v>
      </c>
      <c r="X176" s="4">
        <f t="shared" si="69"/>
        <v>1.8452123844168797</v>
      </c>
      <c r="Y176" s="3">
        <f t="shared" si="70"/>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5"/>
        <v>-</v>
      </c>
      <c r="S177" s="3">
        <f t="shared" si="66"/>
        <v>73</v>
      </c>
      <c r="T177" s="3">
        <f t="shared" si="67"/>
        <v>253</v>
      </c>
      <c r="U177" s="3">
        <f t="shared" si="72"/>
        <v>6</v>
      </c>
      <c r="W177" s="4">
        <f t="shared" si="68"/>
        <v>13.525497777008516</v>
      </c>
      <c r="X177" s="4">
        <f t="shared" si="69"/>
        <v>1.4215871004400871</v>
      </c>
      <c r="Y177" s="3">
        <f t="shared" si="70"/>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5"/>
        <v>259.5</v>
      </c>
      <c r="S178" s="3" t="str">
        <f t="shared" si="66"/>
        <v>-</v>
      </c>
      <c r="T178" s="3">
        <f t="shared" si="67"/>
        <v>259.5</v>
      </c>
      <c r="U178" s="3">
        <f t="shared" si="72"/>
        <v>-28</v>
      </c>
      <c r="W178" s="4">
        <f t="shared" si="68"/>
        <v>17.747246616464434</v>
      </c>
      <c r="X178" s="4">
        <f t="shared" si="69"/>
        <v>-9.4363784119964063</v>
      </c>
      <c r="Y178" s="3">
        <f t="shared" si="70"/>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5"/>
        <v>-</v>
      </c>
      <c r="S179" s="3" t="str">
        <f t="shared" si="66"/>
        <v>-</v>
      </c>
      <c r="T179" s="3" t="str">
        <f t="shared" si="67"/>
        <v>-</v>
      </c>
      <c r="U179" s="3">
        <f t="shared" si="72"/>
        <v>90</v>
      </c>
      <c r="W179" s="4">
        <f t="shared" si="68"/>
        <v>1.102633609417758E-16</v>
      </c>
      <c r="X179" s="4">
        <f t="shared" si="69"/>
        <v>1.8</v>
      </c>
      <c r="Y179" s="3" t="e">
        <f t="shared" si="70"/>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si="72"/>
        <v>-1</v>
      </c>
      <c r="W180" s="4">
        <f t="shared" ref="W180:W185" si="76">J180*COS(U180*PI()/180)</f>
        <v>15.797593583470983</v>
      </c>
      <c r="X180" s="4">
        <f t="shared" ref="X180:X185" si="77">J180*SIN(U180*PI()/180)</f>
        <v>-0.27574802170907947</v>
      </c>
      <c r="Y180" s="3">
        <f t="shared" ref="Y180:Y185" si="78">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3"/>
        <v>-</v>
      </c>
      <c r="S181" s="3">
        <f t="shared" si="74"/>
        <v>144</v>
      </c>
      <c r="T181" s="3">
        <f t="shared" si="75"/>
        <v>324</v>
      </c>
      <c r="U181" s="3">
        <f t="shared" si="72"/>
        <v>-5</v>
      </c>
      <c r="W181" s="4">
        <f t="shared" si="76"/>
        <v>16.63645145813215</v>
      </c>
      <c r="X181" s="4">
        <f t="shared" si="77"/>
        <v>-1.4555009038858913</v>
      </c>
      <c r="Y181" s="3">
        <f t="shared" si="78"/>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3"/>
        <v>325.5</v>
      </c>
      <c r="S182" s="3" t="str">
        <f t="shared" si="74"/>
        <v>-</v>
      </c>
      <c r="T182" s="3">
        <f t="shared" si="75"/>
        <v>325.5</v>
      </c>
      <c r="U182" s="3">
        <f t="shared" si="72"/>
        <v>3</v>
      </c>
      <c r="W182" s="4">
        <f t="shared" si="76"/>
        <v>14.48012825394132</v>
      </c>
      <c r="X182" s="4">
        <f t="shared" si="77"/>
        <v>0.75887136552268553</v>
      </c>
      <c r="Y182" s="3">
        <f t="shared" si="78"/>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3"/>
        <v>-</v>
      </c>
      <c r="S183" s="3">
        <f t="shared" si="74"/>
        <v>171</v>
      </c>
      <c r="T183" s="3">
        <f t="shared" si="75"/>
        <v>351</v>
      </c>
      <c r="U183" s="9">
        <f>ASIN(N183/J183)*180/PI()</f>
        <v>0</v>
      </c>
      <c r="W183" s="4">
        <f t="shared" si="76"/>
        <v>4.0999999999999996</v>
      </c>
      <c r="X183" s="4">
        <f t="shared" si="77"/>
        <v>0</v>
      </c>
      <c r="Y183" s="3">
        <f t="shared" si="78"/>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3"/>
        <v>-</v>
      </c>
      <c r="S184" s="3">
        <f t="shared" si="74"/>
        <v>168</v>
      </c>
      <c r="T184" s="3">
        <f t="shared" si="75"/>
        <v>348</v>
      </c>
      <c r="U184" s="3">
        <f t="shared" ref="U184:U185" si="79">IF(ISERROR(FIND(":",K184)),1*K184,1*CONCATENATE(LEFT(K184,FIND(":",K184)-1),".",MID(RIGHT(K184,LEN(K184)-FIND(":",K184))/60,3,8)))</f>
        <v>4.5</v>
      </c>
      <c r="W184" s="4">
        <f t="shared" si="76"/>
        <v>9.4707146704647158</v>
      </c>
      <c r="X184" s="4">
        <f t="shared" si="77"/>
        <v>0.745361409414527</v>
      </c>
      <c r="Y184" s="3">
        <f t="shared" si="78"/>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3"/>
        <v>335</v>
      </c>
      <c r="S185" s="3" t="str">
        <f t="shared" si="74"/>
        <v>-</v>
      </c>
      <c r="T185" s="3">
        <f t="shared" si="75"/>
        <v>335</v>
      </c>
      <c r="U185" s="3">
        <f t="shared" si="79"/>
        <v>-21.5</v>
      </c>
      <c r="W185" s="4">
        <f t="shared" si="76"/>
        <v>23.725647983541627</v>
      </c>
      <c r="X185" s="4">
        <f t="shared" si="77"/>
        <v>-9.3457812814695806</v>
      </c>
      <c r="Y185" s="3">
        <f t="shared" si="78"/>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9" si="83">IF(ISERROR(FIND(":",K190)),1*K190,1*CONCATENATE(LEFT(K190,FIND(":",K190)-1),".",MID(RIGHT(K190,LEN(K190)-FIND(":",K190))/60,3,8)))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c r="Z190" s="4" t="e">
        <f>IF('Raw Data'!O190="","",O189+N189)</f>
        <v>#VALUE!</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si="83"/>
        <v>-23.5</v>
      </c>
      <c r="W204" s="4">
        <f t="shared" ref="W204:W238" si="90">J204*COS(U204*PI()/180)</f>
        <v>9.0788947364127282</v>
      </c>
      <c r="X204" s="4">
        <f t="shared" ref="X204:X238" si="91">J204*SIN(U204*PI()/180)</f>
        <v>-3.9476157823599376</v>
      </c>
      <c r="Y204" s="3">
        <f t="shared" ref="Y204:Y238" si="92">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87"/>
        <v>102.33333333333333</v>
      </c>
      <c r="S205" s="3" t="str">
        <f t="shared" si="88"/>
        <v>-</v>
      </c>
      <c r="T205" s="3">
        <f t="shared" si="89"/>
        <v>102.33333333333333</v>
      </c>
      <c r="U205" s="3">
        <f t="shared" si="83"/>
        <v>15</v>
      </c>
      <c r="W205" s="4">
        <f t="shared" si="90"/>
        <v>7.437628862425826</v>
      </c>
      <c r="X205" s="4">
        <f t="shared" si="91"/>
        <v>1.9929066472894097</v>
      </c>
      <c r="Y205" s="3">
        <f t="shared" si="92"/>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87"/>
        <v>-</v>
      </c>
      <c r="S206" s="3">
        <f t="shared" si="88"/>
        <v>317</v>
      </c>
      <c r="T206" s="3">
        <f t="shared" si="89"/>
        <v>137</v>
      </c>
      <c r="U206" s="3">
        <f t="shared" si="83"/>
        <v>6.8333333300000003</v>
      </c>
      <c r="W206" s="4">
        <f t="shared" si="90"/>
        <v>21.049404855315935</v>
      </c>
      <c r="X206" s="4">
        <f t="shared" si="91"/>
        <v>2.522410600398334</v>
      </c>
      <c r="Y206" s="3">
        <f t="shared" si="92"/>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87"/>
        <v>152.5</v>
      </c>
      <c r="S207" s="3" t="str">
        <f t="shared" si="88"/>
        <v>-</v>
      </c>
      <c r="T207" s="3">
        <f t="shared" si="89"/>
        <v>152.5</v>
      </c>
      <c r="U207" s="3">
        <f t="shared" si="83"/>
        <v>9.6666666600000006</v>
      </c>
      <c r="W207" s="4">
        <f t="shared" si="90"/>
        <v>28.09533777498293</v>
      </c>
      <c r="X207" s="4">
        <f t="shared" si="91"/>
        <v>4.7856029201781061</v>
      </c>
      <c r="Y207" s="3">
        <f t="shared" si="92"/>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87"/>
        <v>-</v>
      </c>
      <c r="S208" s="3">
        <f t="shared" si="88"/>
        <v>313.16666666666669</v>
      </c>
      <c r="T208" s="3">
        <f t="shared" si="89"/>
        <v>133.16666666666666</v>
      </c>
      <c r="U208" s="3">
        <f t="shared" si="83"/>
        <v>1.5</v>
      </c>
      <c r="W208" s="4">
        <f t="shared" si="90"/>
        <v>29.589856819276495</v>
      </c>
      <c r="X208" s="4">
        <f t="shared" si="91"/>
        <v>0.77483766991304526</v>
      </c>
      <c r="Y208" s="3">
        <f t="shared" si="92"/>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87"/>
        <v>137.5</v>
      </c>
      <c r="S209" s="3" t="str">
        <f t="shared" si="88"/>
        <v>-</v>
      </c>
      <c r="T209" s="3">
        <f t="shared" si="89"/>
        <v>137.5</v>
      </c>
      <c r="U209" s="3">
        <f t="shared" si="83"/>
        <v>-4.5</v>
      </c>
      <c r="W209" s="4">
        <f t="shared" si="90"/>
        <v>20.337113608155811</v>
      </c>
      <c r="X209" s="4">
        <f t="shared" si="91"/>
        <v>-1.6005655528480367</v>
      </c>
      <c r="Y209" s="3">
        <f t="shared" si="92"/>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87"/>
        <v>149</v>
      </c>
      <c r="S210" s="3" t="str">
        <f t="shared" si="88"/>
        <v>-</v>
      </c>
      <c r="T210" s="3">
        <f t="shared" si="89"/>
        <v>149</v>
      </c>
      <c r="U210" s="9">
        <f>ASIN(N210/J210)*180/PI()</f>
        <v>-3.8225537292743446</v>
      </c>
      <c r="W210" s="4">
        <f t="shared" si="90"/>
        <v>1.4966629547095767</v>
      </c>
      <c r="X210" s="4">
        <f t="shared" si="91"/>
        <v>-0.1</v>
      </c>
      <c r="Y210" s="3">
        <f t="shared" si="92"/>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87"/>
        <v>-</v>
      </c>
      <c r="S211" s="3">
        <f t="shared" si="88"/>
        <v>265.83333333333331</v>
      </c>
      <c r="T211" s="3">
        <f t="shared" si="89"/>
        <v>85.833333333333329</v>
      </c>
      <c r="U211" s="3">
        <f t="shared" ref="U211:U226" si="93">IF(ISERROR(FIND(":",K211)),1*K211,1*CONCATENATE(LEFT(K211,FIND(":",K211)-1),".",MID(RIGHT(K211,LEN(K211)-FIND(":",K211))/60,3,8)))</f>
        <v>14.33333333</v>
      </c>
      <c r="W211" s="4">
        <f t="shared" si="90"/>
        <v>20.927632375590552</v>
      </c>
      <c r="X211" s="4">
        <f t="shared" si="91"/>
        <v>5.3473547808364188</v>
      </c>
      <c r="Y211" s="3">
        <f t="shared" si="92"/>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87"/>
        <v>116</v>
      </c>
      <c r="S212" s="3" t="str">
        <f t="shared" si="88"/>
        <v>-</v>
      </c>
      <c r="T212" s="3">
        <f t="shared" si="89"/>
        <v>116</v>
      </c>
      <c r="U212" s="3">
        <f t="shared" si="93"/>
        <v>-6.5</v>
      </c>
      <c r="W212" s="4">
        <f t="shared" si="90"/>
        <v>8.445360773250993</v>
      </c>
      <c r="X212" s="4">
        <f t="shared" si="91"/>
        <v>-0.9622273170272071</v>
      </c>
      <c r="Y212" s="3">
        <f t="shared" si="92"/>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87"/>
        <v>-</v>
      </c>
      <c r="S213" s="3">
        <f t="shared" si="88"/>
        <v>266.33333333333331</v>
      </c>
      <c r="T213" s="3">
        <f t="shared" si="89"/>
        <v>86.333333333333329</v>
      </c>
      <c r="U213" s="3">
        <f t="shared" si="93"/>
        <v>11.5</v>
      </c>
      <c r="W213" s="4">
        <f t="shared" si="90"/>
        <v>15.384817862547024</v>
      </c>
      <c r="X213" s="4">
        <f t="shared" si="91"/>
        <v>3.1300765703499951</v>
      </c>
      <c r="Y213" s="3">
        <f t="shared" si="92"/>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87"/>
        <v>117</v>
      </c>
      <c r="S214" s="3" t="str">
        <f t="shared" si="88"/>
        <v>-</v>
      </c>
      <c r="T214" s="3">
        <f t="shared" si="89"/>
        <v>117</v>
      </c>
      <c r="U214" s="3">
        <f t="shared" si="93"/>
        <v>32.5</v>
      </c>
      <c r="W214" s="4">
        <f t="shared" si="90"/>
        <v>24.036656205667242</v>
      </c>
      <c r="X214" s="4">
        <f t="shared" si="91"/>
        <v>15.313038837884481</v>
      </c>
      <c r="Y214" s="3">
        <f t="shared" si="92"/>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87"/>
        <v>-</v>
      </c>
      <c r="S215" s="3">
        <f t="shared" si="88"/>
        <v>326</v>
      </c>
      <c r="T215" s="3">
        <f t="shared" si="89"/>
        <v>146</v>
      </c>
      <c r="U215" s="3">
        <f t="shared" si="93"/>
        <v>24.5</v>
      </c>
      <c r="W215" s="4">
        <f t="shared" si="90"/>
        <v>6.2787327690481485</v>
      </c>
      <c r="X215" s="4">
        <f t="shared" si="91"/>
        <v>2.8613833743280495</v>
      </c>
      <c r="Y215" s="3">
        <f t="shared" si="92"/>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87"/>
        <v>125.33333333333333</v>
      </c>
      <c r="S216" s="3" t="str">
        <f t="shared" si="88"/>
        <v>-</v>
      </c>
      <c r="T216" s="3">
        <f t="shared" si="89"/>
        <v>125.33333333333333</v>
      </c>
      <c r="U216" s="3">
        <f t="shared" si="93"/>
        <v>-4.5</v>
      </c>
      <c r="W216" s="4">
        <f t="shared" si="90"/>
        <v>13.757459205517167</v>
      </c>
      <c r="X216" s="4">
        <f t="shared" si="91"/>
        <v>-1.0827355210442602</v>
      </c>
      <c r="Y216" s="3">
        <f t="shared" si="92"/>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87"/>
        <v>-</v>
      </c>
      <c r="S217" s="3">
        <f t="shared" si="88"/>
        <v>352</v>
      </c>
      <c r="T217" s="3">
        <f t="shared" si="89"/>
        <v>172</v>
      </c>
      <c r="U217" s="3">
        <f t="shared" si="93"/>
        <v>2.25</v>
      </c>
      <c r="W217" s="4">
        <f t="shared" si="90"/>
        <v>18.485737170453373</v>
      </c>
      <c r="X217" s="4">
        <f t="shared" si="91"/>
        <v>0.72630659154276933</v>
      </c>
      <c r="Y217" s="3">
        <f t="shared" si="92"/>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87"/>
        <v>125</v>
      </c>
      <c r="S218" s="3" t="str">
        <f t="shared" si="88"/>
        <v>-</v>
      </c>
      <c r="T218" s="3">
        <f t="shared" si="89"/>
        <v>125</v>
      </c>
      <c r="U218" s="3">
        <f t="shared" si="93"/>
        <v>4</v>
      </c>
      <c r="W218" s="4">
        <f t="shared" si="90"/>
        <v>7.9805124020785936</v>
      </c>
      <c r="X218" s="4">
        <f t="shared" si="91"/>
        <v>0.55805178995300242</v>
      </c>
      <c r="Y218" s="3">
        <f t="shared" si="92"/>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87"/>
        <v>-</v>
      </c>
      <c r="S219" s="3">
        <f t="shared" si="88"/>
        <v>284.16666666666669</v>
      </c>
      <c r="T219" s="3">
        <f t="shared" si="89"/>
        <v>104.16666666666667</v>
      </c>
      <c r="U219" s="3">
        <f t="shared" si="93"/>
        <v>16</v>
      </c>
      <c r="W219" s="4">
        <f t="shared" si="90"/>
        <v>16.725953509326747</v>
      </c>
      <c r="X219" s="4">
        <f t="shared" si="91"/>
        <v>4.7960899912157853</v>
      </c>
      <c r="Y219" s="3">
        <f t="shared" si="92"/>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87"/>
        <v>137.16666666666666</v>
      </c>
      <c r="S220" s="3" t="str">
        <f t="shared" si="88"/>
        <v>-</v>
      </c>
      <c r="T220" s="3">
        <f t="shared" si="89"/>
        <v>137.16666666666666</v>
      </c>
      <c r="U220" s="3">
        <f t="shared" si="93"/>
        <v>7.1666666599999997</v>
      </c>
      <c r="W220" s="4">
        <f t="shared" si="90"/>
        <v>74.017183721288077</v>
      </c>
      <c r="X220" s="4">
        <f t="shared" si="91"/>
        <v>9.3067993407555161</v>
      </c>
      <c r="Y220" s="3">
        <f t="shared" si="92"/>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87"/>
        <v>-</v>
      </c>
      <c r="S221" s="3">
        <f t="shared" si="88"/>
        <v>304</v>
      </c>
      <c r="T221" s="3">
        <f t="shared" si="89"/>
        <v>124</v>
      </c>
      <c r="U221" s="3">
        <f t="shared" si="93"/>
        <v>19</v>
      </c>
      <c r="W221" s="4">
        <f t="shared" si="90"/>
        <v>33.09315014597609</v>
      </c>
      <c r="X221" s="4">
        <f t="shared" si="91"/>
        <v>11.394885406000483</v>
      </c>
      <c r="Y221" s="3">
        <f t="shared" si="92"/>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87"/>
        <v>91.666666666666671</v>
      </c>
      <c r="S222" s="3" t="str">
        <f t="shared" si="88"/>
        <v>-</v>
      </c>
      <c r="T222" s="3">
        <f t="shared" si="89"/>
        <v>91.666666666666671</v>
      </c>
      <c r="U222" s="3">
        <f t="shared" si="93"/>
        <v>-13.5</v>
      </c>
      <c r="W222" s="4">
        <f t="shared" si="90"/>
        <v>27.518068747254247</v>
      </c>
      <c r="X222" s="4">
        <f t="shared" si="91"/>
        <v>-6.606503797122123</v>
      </c>
      <c r="Y222" s="3">
        <f t="shared" si="92"/>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87"/>
        <v>-</v>
      </c>
      <c r="S223" s="3">
        <f t="shared" si="88"/>
        <v>294.5</v>
      </c>
      <c r="T223" s="3">
        <f t="shared" si="89"/>
        <v>114.5</v>
      </c>
      <c r="U223" s="3">
        <f t="shared" si="93"/>
        <v>16.5</v>
      </c>
      <c r="W223" s="4">
        <f t="shared" si="90"/>
        <v>10.163489189602846</v>
      </c>
      <c r="X223" s="4">
        <f t="shared" si="91"/>
        <v>3.0105626538615797</v>
      </c>
      <c r="Y223" s="3">
        <f t="shared" si="92"/>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87"/>
        <v>14.333333333333334</v>
      </c>
      <c r="S224" s="3" t="str">
        <f t="shared" si="88"/>
        <v>-</v>
      </c>
      <c r="T224" s="3">
        <f t="shared" si="89"/>
        <v>14.333333333333334</v>
      </c>
      <c r="U224" s="3">
        <f t="shared" si="93"/>
        <v>-3.5</v>
      </c>
      <c r="W224" s="4">
        <f t="shared" si="90"/>
        <v>31.341432670446618</v>
      </c>
      <c r="X224" s="4">
        <f t="shared" si="91"/>
        <v>-1.9169241413945057</v>
      </c>
      <c r="Y224" s="3">
        <f t="shared" si="92"/>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87"/>
        <v>-</v>
      </c>
      <c r="S225" s="3">
        <f t="shared" si="88"/>
        <v>169</v>
      </c>
      <c r="T225" s="3">
        <f t="shared" si="89"/>
        <v>349</v>
      </c>
      <c r="U225" s="3">
        <f t="shared" si="93"/>
        <v>4.5</v>
      </c>
      <c r="W225" s="4">
        <f t="shared" si="90"/>
        <v>15.850985606356735</v>
      </c>
      <c r="X225" s="4">
        <f t="shared" si="91"/>
        <v>1.2474996220727346</v>
      </c>
      <c r="Y225" s="3">
        <f t="shared" si="92"/>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87"/>
        <v>23</v>
      </c>
      <c r="S226" s="3" t="str">
        <f t="shared" si="88"/>
        <v>-</v>
      </c>
      <c r="T226" s="3">
        <f t="shared" si="89"/>
        <v>23</v>
      </c>
      <c r="U226" s="3">
        <f t="shared" si="93"/>
        <v>-3.8333333299999999</v>
      </c>
      <c r="W226" s="4">
        <f t="shared" si="90"/>
        <v>35.121248548177221</v>
      </c>
      <c r="X226" s="4">
        <f t="shared" si="91"/>
        <v>-2.3532744032856843</v>
      </c>
      <c r="Y226" s="3">
        <f t="shared" si="92"/>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87"/>
        <v>328</v>
      </c>
      <c r="S227" s="3" t="str">
        <f t="shared" si="88"/>
        <v>-</v>
      </c>
      <c r="T227" s="3">
        <f t="shared" si="89"/>
        <v>328</v>
      </c>
      <c r="U227" s="9">
        <f>ASIN(N227/J227)*180/PI()</f>
        <v>-4.6633404187377394</v>
      </c>
      <c r="W227" s="4">
        <f t="shared" si="90"/>
        <v>12.259282197584001</v>
      </c>
      <c r="X227" s="4">
        <f t="shared" si="91"/>
        <v>-1</v>
      </c>
      <c r="Y227" s="3">
        <f t="shared" si="92"/>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87"/>
        <v>-</v>
      </c>
      <c r="S228" s="3">
        <f t="shared" si="88"/>
        <v>272</v>
      </c>
      <c r="T228" s="3">
        <f t="shared" si="89"/>
        <v>92</v>
      </c>
      <c r="U228" s="3">
        <f>IF(ISERROR(FIND(":",K228)),1*K228,1*CONCATENATE(LEFT(K228,FIND(":",K228)-1),".",MID(RIGHT(K228,LEN(K228)-FIND(":",K228))/60,3,8)))</f>
        <v>71</v>
      </c>
      <c r="W228" s="4">
        <f t="shared" si="90"/>
        <v>11.622783114120496</v>
      </c>
      <c r="X228" s="4">
        <f t="shared" si="91"/>
        <v>33.755013148895607</v>
      </c>
      <c r="Y228" s="3">
        <f t="shared" si="92"/>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87"/>
        <v>100</v>
      </c>
      <c r="S229" s="3" t="str">
        <f t="shared" si="88"/>
        <v>-</v>
      </c>
      <c r="T229" s="3">
        <f t="shared" si="89"/>
        <v>100</v>
      </c>
      <c r="U229" s="9">
        <f>ASIN(N229/J229)*180/PI()</f>
        <v>38.659808254090095</v>
      </c>
      <c r="W229" s="4">
        <f t="shared" si="90"/>
        <v>2.5</v>
      </c>
      <c r="X229" s="4">
        <f t="shared" si="91"/>
        <v>2</v>
      </c>
      <c r="Y229" s="3">
        <f t="shared" si="92"/>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87"/>
        <v>-</v>
      </c>
      <c r="S232" s="3">
        <f t="shared" si="88"/>
        <v>48</v>
      </c>
      <c r="T232" s="3">
        <f t="shared" si="89"/>
        <v>228</v>
      </c>
      <c r="U232" s="9">
        <f>ASIN(N232/J232)*180/PI()</f>
        <v>-17.104635176643804</v>
      </c>
      <c r="W232" s="4">
        <f t="shared" si="90"/>
        <v>3.2496153618543842</v>
      </c>
      <c r="X232" s="4">
        <f t="shared" si="91"/>
        <v>-1.0000000000000002</v>
      </c>
      <c r="Y232" s="3">
        <f t="shared" si="92"/>
        <v>228</v>
      </c>
      <c r="Z232" s="4" t="e">
        <f>IF('Raw Data'!O232="","",O231+N231)</f>
        <v>#VALUE!</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87"/>
        <v>184</v>
      </c>
      <c r="S233" s="3" t="str">
        <f t="shared" si="88"/>
        <v>-</v>
      </c>
      <c r="T233" s="3">
        <f t="shared" si="89"/>
        <v>184</v>
      </c>
      <c r="U233" s="3">
        <f t="shared" ref="U233:U238" si="94">IF(ISERROR(FIND(":",K233)),1*K233,1*CONCATENATE(LEFT(K233,FIND(":",K233)-1),".",MID(RIGHT(K233,LEN(K233)-FIND(":",K233))/60,3,8)))</f>
        <v>56.5</v>
      </c>
      <c r="W233" s="4">
        <f t="shared" si="90"/>
        <v>10.707577515053929</v>
      </c>
      <c r="X233" s="4">
        <f t="shared" si="91"/>
        <v>16.177384948103061</v>
      </c>
      <c r="Y233" s="3">
        <f t="shared" si="92"/>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87"/>
        <v>-</v>
      </c>
      <c r="S234" s="3">
        <f t="shared" si="88"/>
        <v>229.66666666666666</v>
      </c>
      <c r="T234" s="3">
        <f t="shared" si="89"/>
        <v>49.666666666666664</v>
      </c>
      <c r="U234" s="3">
        <f t="shared" si="94"/>
        <v>30.25</v>
      </c>
      <c r="W234" s="4">
        <f t="shared" si="90"/>
        <v>9.3294234562074738</v>
      </c>
      <c r="X234" s="4">
        <f t="shared" si="91"/>
        <v>5.4407589520916844</v>
      </c>
      <c r="Y234" s="3">
        <f t="shared" si="92"/>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87"/>
        <v>203.66666666666666</v>
      </c>
      <c r="S235" s="3" t="str">
        <f t="shared" si="88"/>
        <v>-</v>
      </c>
      <c r="T235" s="3">
        <f t="shared" si="89"/>
        <v>203.66666666666666</v>
      </c>
      <c r="U235" s="3">
        <f t="shared" si="94"/>
        <v>19.666666660000001</v>
      </c>
      <c r="W235" s="4">
        <f t="shared" si="90"/>
        <v>22.411662690123819</v>
      </c>
      <c r="X235" s="4">
        <f t="shared" si="91"/>
        <v>8.0098299272900935</v>
      </c>
      <c r="Y235" s="3">
        <f t="shared" si="92"/>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87"/>
        <v>-</v>
      </c>
      <c r="S236" s="3">
        <f t="shared" si="88"/>
        <v>305.16666666666669</v>
      </c>
      <c r="T236" s="3">
        <f t="shared" si="89"/>
        <v>125.16666666666667</v>
      </c>
      <c r="U236" s="3">
        <f t="shared" si="94"/>
        <v>2.5</v>
      </c>
      <c r="W236" s="4">
        <f t="shared" si="90"/>
        <v>51.950507522256608</v>
      </c>
      <c r="X236" s="4">
        <f t="shared" si="91"/>
        <v>2.2682081429974721</v>
      </c>
      <c r="Y236" s="3">
        <f t="shared" si="92"/>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87"/>
        <v>125</v>
      </c>
      <c r="S237" s="3" t="str">
        <f t="shared" si="88"/>
        <v>-</v>
      </c>
      <c r="T237" s="3" t="str">
        <f t="shared" si="89"/>
        <v>-</v>
      </c>
      <c r="U237" s="3">
        <f t="shared" si="94"/>
        <v>8.75</v>
      </c>
      <c r="W237" s="4">
        <f t="shared" si="90"/>
        <v>23.226495495992374</v>
      </c>
      <c r="X237" s="4">
        <f t="shared" si="91"/>
        <v>3.5748995754630424</v>
      </c>
      <c r="Y237" s="3">
        <f t="shared" si="92"/>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87"/>
        <v>-</v>
      </c>
      <c r="S238" s="3">
        <f t="shared" si="88"/>
        <v>342</v>
      </c>
      <c r="T238" s="3" t="str">
        <f t="shared" si="89"/>
        <v>-</v>
      </c>
      <c r="U238" s="3">
        <f t="shared" si="94"/>
        <v>-5</v>
      </c>
      <c r="W238" s="4">
        <f t="shared" si="90"/>
        <v>16.835690397750497</v>
      </c>
      <c r="X238" s="4">
        <f t="shared" si="91"/>
        <v>-1.4729320524354228</v>
      </c>
      <c r="Y238" s="3">
        <f t="shared" si="92"/>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95">IF(ISERROR(FIND(":",G239)),IF(G239&lt;&gt;"-",1*G239,G239),1*LEFT(G239,FIND(":",G239)-1)+RIGHT(G239,LEN(G239)-FIND(":",G239))/60)</f>
        <v>-</v>
      </c>
      <c r="S239" s="3">
        <f t="shared" ref="S239:S280" si="96">IF(ISERROR(FIND(":",H239)),IF(H239&lt;&gt;"-",1*H239,H239),1*LEFT(H239,FIND(":",H239)-1)+RIGHT(H239,LEN(H239)-FIND(":",H239))/60)</f>
        <v>13</v>
      </c>
      <c r="T239" s="3" t="str">
        <f t="shared" ref="T239:T280" si="97">IF(ISERROR(FIND(":",I239)),IF(I239&lt;&gt;"-",1*I239,I239),1*LEFT(I239,FIND(":",I239)-1)+RIGHT(I239,LEN(I239)-FIND(":",I239))/60)</f>
        <v>-</v>
      </c>
      <c r="U239" s="9">
        <f>ASIN(N239/J239)*180/PI()</f>
        <v>3.7721836850570951</v>
      </c>
      <c r="W239" s="4">
        <f t="shared" ref="W239:W280" si="98">J239*COS(U239*PI()/180)</f>
        <v>7.5835347958587223</v>
      </c>
      <c r="X239" s="4">
        <f t="shared" ref="X239:X280" si="99">J239*SIN(U239*PI()/180)</f>
        <v>0.49999999999999994</v>
      </c>
      <c r="Y239" s="3">
        <f t="shared" ref="Y239:Y280" si="100">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95"/>
        <v>-</v>
      </c>
      <c r="S240" s="3">
        <f t="shared" si="96"/>
        <v>2</v>
      </c>
      <c r="T240" s="3" t="str">
        <f t="shared" si="97"/>
        <v>-</v>
      </c>
      <c r="U240" s="3">
        <f t="shared" ref="U240:U246" si="101">IF(ISERROR(FIND(":",K240)),1*K240,1*CONCATENATE(LEFT(K240,FIND(":",K240)-1),".",MID(RIGHT(K240,LEN(K240)-FIND(":",K240))/60,3,8)))</f>
        <v>5.5</v>
      </c>
      <c r="W240" s="4">
        <f t="shared" si="98"/>
        <v>18.116210810282656</v>
      </c>
      <c r="X240" s="4">
        <f t="shared" si="99"/>
        <v>1.7443926958680764</v>
      </c>
      <c r="Y240" s="3">
        <f t="shared" si="100"/>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95"/>
        <v>-</v>
      </c>
      <c r="S241" s="3">
        <f t="shared" si="96"/>
        <v>7</v>
      </c>
      <c r="T241" s="3" t="str">
        <f t="shared" si="97"/>
        <v>-</v>
      </c>
      <c r="U241" s="3">
        <f t="shared" si="101"/>
        <v>-7</v>
      </c>
      <c r="W241" s="4">
        <f t="shared" si="98"/>
        <v>7.7418599828023114</v>
      </c>
      <c r="X241" s="4">
        <f t="shared" si="99"/>
        <v>-0.95058087856015028</v>
      </c>
      <c r="Y241" s="3">
        <f t="shared" si="100"/>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95"/>
        <v>194</v>
      </c>
      <c r="S242" s="3" t="str">
        <f t="shared" si="96"/>
        <v>-</v>
      </c>
      <c r="T242" s="3" t="str">
        <f t="shared" si="97"/>
        <v>-</v>
      </c>
      <c r="U242" s="3">
        <f t="shared" si="101"/>
        <v>-17.5</v>
      </c>
      <c r="W242" s="4">
        <f t="shared" si="98"/>
        <v>27.562419876623757</v>
      </c>
      <c r="X242" s="4">
        <f t="shared" si="99"/>
        <v>-8.6903976056734926</v>
      </c>
      <c r="Y242" s="3">
        <f t="shared" si="100"/>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95"/>
        <v>-</v>
      </c>
      <c r="S243" s="3">
        <f t="shared" si="96"/>
        <v>27.5</v>
      </c>
      <c r="T243" s="3" t="str">
        <f t="shared" si="97"/>
        <v>-</v>
      </c>
      <c r="U243" s="3">
        <f t="shared" si="101"/>
        <v>4</v>
      </c>
      <c r="W243" s="4">
        <f t="shared" si="98"/>
        <v>22.245678320794081</v>
      </c>
      <c r="X243" s="4">
        <f t="shared" si="99"/>
        <v>1.5555693644939943</v>
      </c>
      <c r="Y243" s="3">
        <f t="shared" si="100"/>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95"/>
        <v>187</v>
      </c>
      <c r="S244" s="3" t="str">
        <f t="shared" si="96"/>
        <v>-</v>
      </c>
      <c r="T244" s="3" t="str">
        <f t="shared" si="97"/>
        <v>-</v>
      </c>
      <c r="U244" s="3">
        <f t="shared" si="101"/>
        <v>0.66666665999999997</v>
      </c>
      <c r="W244" s="4">
        <f t="shared" si="98"/>
        <v>22.898449853317157</v>
      </c>
      <c r="X244" s="4">
        <f t="shared" si="99"/>
        <v>0.26644758418763598</v>
      </c>
      <c r="Y244" s="3">
        <f t="shared" si="100"/>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95"/>
        <v>-</v>
      </c>
      <c r="S245" s="3">
        <f t="shared" si="96"/>
        <v>44</v>
      </c>
      <c r="T245" s="3" t="str">
        <f t="shared" si="97"/>
        <v>-</v>
      </c>
      <c r="U245" s="3">
        <f t="shared" si="101"/>
        <v>-5.5</v>
      </c>
      <c r="W245" s="4">
        <f t="shared" si="98"/>
        <v>18.713448529302962</v>
      </c>
      <c r="X245" s="4">
        <f t="shared" si="99"/>
        <v>-1.801900147380211</v>
      </c>
      <c r="Y245" s="3">
        <f t="shared" si="100"/>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95"/>
        <v>251</v>
      </c>
      <c r="S246" s="3" t="str">
        <f t="shared" si="96"/>
        <v>-</v>
      </c>
      <c r="T246" s="3" t="str">
        <f t="shared" si="97"/>
        <v>-</v>
      </c>
      <c r="U246" s="3">
        <f t="shared" si="101"/>
        <v>-11.5</v>
      </c>
      <c r="W246" s="4">
        <f t="shared" si="98"/>
        <v>46.154453587641072</v>
      </c>
      <c r="X246" s="4">
        <f t="shared" si="99"/>
        <v>-9.3902297110499866</v>
      </c>
      <c r="Y246" s="3">
        <f t="shared" si="100"/>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95"/>
        <v>-</v>
      </c>
      <c r="S249" s="3">
        <f t="shared" si="96"/>
        <v>102</v>
      </c>
      <c r="T249" s="3" t="str">
        <f t="shared" si="97"/>
        <v>-</v>
      </c>
      <c r="U249" s="3">
        <f t="shared" ref="U249:U250" si="102">IF(ISERROR(FIND(":",K249)),1*K249,1*CONCATENATE(LEFT(K249,FIND(":",K249)-1),".",MID(RIGHT(K249,LEN(K249)-FIND(":",K249))/60,3,8)))</f>
        <v>-9.25</v>
      </c>
      <c r="W249" s="4">
        <f t="shared" si="98"/>
        <v>23.687912797445566</v>
      </c>
      <c r="X249" s="4">
        <f t="shared" si="99"/>
        <v>-3.8578215744918265</v>
      </c>
      <c r="Y249" s="3">
        <f t="shared" si="100"/>
        <v>282</v>
      </c>
      <c r="Z249" s="4" t="e">
        <f>IF('Raw Data'!O249="","",O248+N248)</f>
        <v>#VALUE!</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95"/>
        <v>250</v>
      </c>
      <c r="S250" s="3" t="str">
        <f t="shared" si="96"/>
        <v>-</v>
      </c>
      <c r="T250" s="3" t="str">
        <f t="shared" si="97"/>
        <v>-</v>
      </c>
      <c r="U250" s="3">
        <f t="shared" si="102"/>
        <v>-14.5</v>
      </c>
      <c r="W250" s="4">
        <f t="shared" si="98"/>
        <v>33.304278829006904</v>
      </c>
      <c r="X250" s="4">
        <f t="shared" si="99"/>
        <v>-8.613072139472786</v>
      </c>
      <c r="Y250" s="3">
        <f t="shared" si="100"/>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95"/>
        <v>320</v>
      </c>
      <c r="S251" s="3" t="str">
        <f t="shared" si="96"/>
        <v>-</v>
      </c>
      <c r="T251" s="3" t="str">
        <f t="shared" si="97"/>
        <v>-</v>
      </c>
      <c r="U251" s="9">
        <f>ASIN(N251/J251)*180/PI()</f>
        <v>-8.841814560191672</v>
      </c>
      <c r="W251" s="4">
        <f t="shared" si="98"/>
        <v>22.5</v>
      </c>
      <c r="X251" s="4">
        <f t="shared" si="99"/>
        <v>-3.5</v>
      </c>
      <c r="Y251" s="3">
        <f t="shared" si="100"/>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t="str">
        <f>IF('Raw Data'!O252="",IF('Raw Data'!N252="","",0),'Raw Data'!O252)</f>
        <v>(r=56.8)</v>
      </c>
      <c r="P252" t="str">
        <f>IF('Raw Data'!P252="","",'Raw Data'!P252)</f>
        <v/>
      </c>
      <c r="R252" s="3" t="str">
        <f t="shared" si="95"/>
        <v>-</v>
      </c>
      <c r="S252" s="3">
        <f t="shared" si="96"/>
        <v>330</v>
      </c>
      <c r="T252" s="3" t="str">
        <f t="shared" si="97"/>
        <v>-</v>
      </c>
      <c r="U252" s="3">
        <f t="shared" ref="U252:U253" si="103">IF(ISERROR(FIND(":",K252)),1*K252,1*CONCATENATE(LEFT(K252,FIND(":",K252)-1),".",MID(RIGHT(K252,LEN(K252)-FIND(":",K252))/60,3,8)))</f>
        <v>20.5</v>
      </c>
      <c r="W252" s="4">
        <f t="shared" si="98"/>
        <v>20.232119287765393</v>
      </c>
      <c r="X252" s="4">
        <f t="shared" si="99"/>
        <v>7.5644794352044959</v>
      </c>
      <c r="Y252" s="3">
        <f t="shared" si="100"/>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95"/>
        <v>246</v>
      </c>
      <c r="S253" s="3" t="str">
        <f t="shared" si="96"/>
        <v>-</v>
      </c>
      <c r="T253" s="3" t="str">
        <f t="shared" si="97"/>
        <v>-</v>
      </c>
      <c r="U253" s="3">
        <f t="shared" si="103"/>
        <v>-7.5</v>
      </c>
      <c r="W253" s="4">
        <f t="shared" si="98"/>
        <v>17.251140587904299</v>
      </c>
      <c r="X253" s="4">
        <f t="shared" si="99"/>
        <v>-2.271155744628897</v>
      </c>
      <c r="Y253" s="3">
        <f t="shared" si="100"/>
        <v>246</v>
      </c>
      <c r="Z253" s="4" t="e">
        <f>IF('Raw Data'!O253="","",O252+N252)</f>
        <v>#VALUE!</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95"/>
        <v>255</v>
      </c>
      <c r="S254" s="3" t="str">
        <f t="shared" si="96"/>
        <v>-</v>
      </c>
      <c r="T254" s="3" t="str">
        <f t="shared" si="97"/>
        <v>-</v>
      </c>
      <c r="U254" s="9">
        <f>ASIN(N254/J254)*180/PI()</f>
        <v>-12.696124577303539</v>
      </c>
      <c r="W254" s="4">
        <f t="shared" si="98"/>
        <v>17.754999295972951</v>
      </c>
      <c r="X254" s="4">
        <f t="shared" si="99"/>
        <v>-4</v>
      </c>
      <c r="Y254" s="3">
        <f t="shared" si="100"/>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t="str">
        <f>IF('Raw Data'!O255="",IF('Raw Data'!N255="","",0),'Raw Data'!O255)</f>
        <v>(u=61.6)</v>
      </c>
      <c r="P255" t="str">
        <f>IF('Raw Data'!P255="","",'Raw Data'!P255)</f>
        <v>v in a cross rift 4' from Pearly Gate</v>
      </c>
      <c r="R255" s="3" t="str">
        <f t="shared" si="95"/>
        <v>-</v>
      </c>
      <c r="S255" s="3">
        <f t="shared" si="96"/>
        <v>346</v>
      </c>
      <c r="T255" s="3" t="str">
        <f t="shared" si="97"/>
        <v>-</v>
      </c>
      <c r="U255" s="3">
        <f t="shared" ref="U255:U271" si="104">IF(ISERROR(FIND(":",K255)),1*K255,1*CONCATENATE(LEFT(K255,FIND(":",K255)-1),".",MID(RIGHT(K255,LEN(K255)-FIND(":",K255))/60,3,8)))</f>
        <v>20.5</v>
      </c>
      <c r="W255" s="4">
        <f t="shared" si="98"/>
        <v>16.20442887399728</v>
      </c>
      <c r="X255" s="4">
        <f t="shared" si="99"/>
        <v>6.0585876957887859</v>
      </c>
      <c r="Y255" s="3">
        <f t="shared" si="100"/>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95"/>
        <v>165.66666666666666</v>
      </c>
      <c r="S256" s="3" t="str">
        <f t="shared" si="96"/>
        <v>-</v>
      </c>
      <c r="T256" s="3" t="str">
        <f t="shared" si="97"/>
        <v>-</v>
      </c>
      <c r="U256" s="3">
        <f t="shared" si="104"/>
        <v>-2.75</v>
      </c>
      <c r="W256" s="4">
        <f t="shared" si="98"/>
        <v>16.181343861056199</v>
      </c>
      <c r="X256" s="4">
        <f t="shared" si="99"/>
        <v>-0.77724568204577182</v>
      </c>
      <c r="Y256" s="3">
        <f t="shared" si="100"/>
        <v>165.66666666666666</v>
      </c>
      <c r="Z256" s="4" t="e">
        <f>IF('Raw Data'!O256="","",O255+N255)</f>
        <v>#VALUE!</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95"/>
        <v>-</v>
      </c>
      <c r="S257" s="3">
        <f t="shared" si="96"/>
        <v>272.5</v>
      </c>
      <c r="T257" s="3" t="str">
        <f t="shared" si="97"/>
        <v>-</v>
      </c>
      <c r="U257" s="3">
        <f t="shared" si="104"/>
        <v>19.666666660000001</v>
      </c>
      <c r="W257" s="4">
        <f t="shared" si="98"/>
        <v>16.761663692613613</v>
      </c>
      <c r="X257" s="4">
        <f t="shared" si="99"/>
        <v>5.9905450716707422</v>
      </c>
      <c r="Y257" s="3">
        <f t="shared" si="100"/>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95"/>
        <v>147</v>
      </c>
      <c r="S258" s="3" t="str">
        <f t="shared" si="96"/>
        <v>-</v>
      </c>
      <c r="T258" s="3" t="str">
        <f t="shared" si="97"/>
        <v>-</v>
      </c>
      <c r="U258" s="3">
        <f t="shared" si="104"/>
        <v>10</v>
      </c>
      <c r="W258" s="4">
        <f t="shared" si="98"/>
        <v>23.930828398196656</v>
      </c>
      <c r="X258" s="4">
        <f t="shared" si="99"/>
        <v>4.2196507173064068</v>
      </c>
      <c r="Y258" s="3">
        <f t="shared" si="100"/>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95"/>
        <v>-</v>
      </c>
      <c r="S259" s="3" t="str">
        <f t="shared" si="96"/>
        <v>-</v>
      </c>
      <c r="T259" s="3" t="str">
        <f t="shared" si="97"/>
        <v>-</v>
      </c>
      <c r="U259" s="3">
        <f t="shared" si="104"/>
        <v>-90</v>
      </c>
      <c r="W259" s="4">
        <f t="shared" si="98"/>
        <v>3.67544536472586E-16</v>
      </c>
      <c r="X259" s="4">
        <f t="shared" si="99"/>
        <v>-6</v>
      </c>
      <c r="Y259" s="3" t="e">
        <f t="shared" si="100"/>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95"/>
        <v>-</v>
      </c>
      <c r="S260" s="3">
        <f t="shared" si="96"/>
        <v>327</v>
      </c>
      <c r="T260" s="3" t="str">
        <f t="shared" si="97"/>
        <v>-</v>
      </c>
      <c r="U260" s="3">
        <f t="shared" si="104"/>
        <v>-2.6666666600000002</v>
      </c>
      <c r="W260" s="4">
        <f t="shared" si="98"/>
        <v>12.486463891799225</v>
      </c>
      <c r="X260" s="4">
        <f t="shared" si="99"/>
        <v>-0.58156640101896706</v>
      </c>
      <c r="Y260" s="3">
        <f t="shared" si="100"/>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95"/>
        <v>212.5</v>
      </c>
      <c r="S261" s="3" t="str">
        <f t="shared" si="96"/>
        <v>-</v>
      </c>
      <c r="T261" s="3" t="str">
        <f t="shared" si="97"/>
        <v>-</v>
      </c>
      <c r="U261" s="3">
        <f t="shared" si="104"/>
        <v>-22.5</v>
      </c>
      <c r="W261" s="4">
        <f t="shared" si="98"/>
        <v>10.34745076412641</v>
      </c>
      <c r="X261" s="4">
        <f t="shared" si="99"/>
        <v>-4.2860544424890055</v>
      </c>
      <c r="Y261" s="3">
        <f t="shared" si="100"/>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95"/>
        <v>-</v>
      </c>
      <c r="S262" s="3">
        <f t="shared" si="96"/>
        <v>353</v>
      </c>
      <c r="T262" s="3" t="str">
        <f t="shared" si="97"/>
        <v>-</v>
      </c>
      <c r="U262" s="3">
        <f t="shared" si="104"/>
        <v>11.5</v>
      </c>
      <c r="W262" s="4">
        <f t="shared" si="98"/>
        <v>7.8393976369666367</v>
      </c>
      <c r="X262" s="4">
        <f t="shared" si="99"/>
        <v>1.5949434753375773</v>
      </c>
      <c r="Y262" s="3">
        <f t="shared" si="100"/>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95"/>
        <v>202</v>
      </c>
      <c r="S263" s="3" t="str">
        <f t="shared" si="96"/>
        <v>-</v>
      </c>
      <c r="T263" s="3" t="str">
        <f t="shared" si="97"/>
        <v>-</v>
      </c>
      <c r="U263" s="3">
        <f t="shared" si="104"/>
        <v>-12</v>
      </c>
      <c r="W263" s="4">
        <f t="shared" si="98"/>
        <v>13.987510690493423</v>
      </c>
      <c r="X263" s="4">
        <f t="shared" si="99"/>
        <v>-2.9731371786939582</v>
      </c>
      <c r="Y263" s="3">
        <f t="shared" si="100"/>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95"/>
        <v>-</v>
      </c>
      <c r="S264" s="3">
        <f t="shared" si="96"/>
        <v>26</v>
      </c>
      <c r="T264" s="3" t="str">
        <f t="shared" si="97"/>
        <v>-</v>
      </c>
      <c r="U264" s="3">
        <f t="shared" si="104"/>
        <v>6</v>
      </c>
      <c r="W264" s="4">
        <f t="shared" si="98"/>
        <v>12.63042807117707</v>
      </c>
      <c r="X264" s="4">
        <f t="shared" si="99"/>
        <v>1.3275114834991988</v>
      </c>
      <c r="Y264" s="3">
        <f t="shared" si="100"/>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95"/>
        <v>263</v>
      </c>
      <c r="S265" s="3" t="str">
        <f t="shared" si="96"/>
        <v>-</v>
      </c>
      <c r="T265" s="3" t="str">
        <f t="shared" si="97"/>
        <v>-</v>
      </c>
      <c r="U265" s="3">
        <f t="shared" si="104"/>
        <v>-8.6666666600000006</v>
      </c>
      <c r="W265" s="4">
        <f t="shared" si="98"/>
        <v>30.151742445196668</v>
      </c>
      <c r="X265" s="4">
        <f t="shared" si="99"/>
        <v>-4.5959142201009211</v>
      </c>
      <c r="Y265" s="3">
        <f t="shared" si="100"/>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95"/>
        <v>-</v>
      </c>
      <c r="S266" s="3">
        <f t="shared" si="96"/>
        <v>112.25</v>
      </c>
      <c r="T266" s="3" t="str">
        <f t="shared" si="97"/>
        <v>-</v>
      </c>
      <c r="U266" s="3">
        <f t="shared" si="104"/>
        <v>0.25</v>
      </c>
      <c r="W266" s="4">
        <f t="shared" si="98"/>
        <v>27.399739171748124</v>
      </c>
      <c r="X266" s="4">
        <f t="shared" si="99"/>
        <v>0.11955467440205604</v>
      </c>
      <c r="Y266" s="3">
        <f t="shared" si="100"/>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95"/>
        <v>253.5</v>
      </c>
      <c r="S267" s="3" t="str">
        <f t="shared" si="96"/>
        <v>-</v>
      </c>
      <c r="T267" s="3" t="str">
        <f t="shared" si="97"/>
        <v>-</v>
      </c>
      <c r="U267" s="3">
        <f t="shared" si="104"/>
        <v>-20.333333329999999</v>
      </c>
      <c r="W267" s="4">
        <f t="shared" si="98"/>
        <v>12.846311036110338</v>
      </c>
      <c r="X267" s="4">
        <f t="shared" si="99"/>
        <v>-4.7604929118222312</v>
      </c>
      <c r="Y267" s="3">
        <f t="shared" si="100"/>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t="str">
        <f>IF('Raw Data'!O268="",IF('Raw Data'!N268="","",0),'Raw Data'!O268)</f>
        <v>(ah=60.6)</v>
      </c>
      <c r="P268" t="str">
        <f>IF('Raw Data'!P268="","",'Raw Data'!P268)</f>
        <v/>
      </c>
      <c r="R268" s="3" t="str">
        <f t="shared" si="95"/>
        <v>-</v>
      </c>
      <c r="S268" s="3">
        <f t="shared" si="96"/>
        <v>322</v>
      </c>
      <c r="T268" s="3" t="str">
        <f t="shared" si="97"/>
        <v>-</v>
      </c>
      <c r="U268" s="3">
        <f t="shared" si="104"/>
        <v>22</v>
      </c>
      <c r="W268" s="4">
        <f t="shared" si="98"/>
        <v>17.801930007682319</v>
      </c>
      <c r="X268" s="4">
        <f t="shared" si="99"/>
        <v>7.1924465935855109</v>
      </c>
      <c r="Y268" s="3">
        <f t="shared" si="100"/>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95"/>
        <v>97</v>
      </c>
      <c r="S269" s="3" t="str">
        <f t="shared" si="96"/>
        <v>-</v>
      </c>
      <c r="T269" s="3" t="str">
        <f t="shared" si="97"/>
        <v>-</v>
      </c>
      <c r="U269" s="3">
        <f t="shared" si="104"/>
        <v>55</v>
      </c>
      <c r="W269" s="4">
        <f t="shared" si="98"/>
        <v>4.1297503417275321</v>
      </c>
      <c r="X269" s="4">
        <f t="shared" si="99"/>
        <v>5.8978947188807407</v>
      </c>
      <c r="Y269" s="3">
        <f t="shared" si="100"/>
        <v>97</v>
      </c>
      <c r="Z269" s="4" t="e">
        <f>IF('Raw Data'!O269="","",O268+N268)</f>
        <v>#VALUE!</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95"/>
        <v>99</v>
      </c>
      <c r="S270" s="3" t="str">
        <f t="shared" si="96"/>
        <v>-</v>
      </c>
      <c r="T270" s="3" t="str">
        <f t="shared" si="97"/>
        <v>-</v>
      </c>
      <c r="U270" s="3">
        <f t="shared" si="104"/>
        <v>18</v>
      </c>
      <c r="W270" s="4">
        <f t="shared" si="98"/>
        <v>18.735813371014522</v>
      </c>
      <c r="X270" s="4">
        <f t="shared" si="99"/>
        <v>6.0876347891864633</v>
      </c>
      <c r="Y270" s="3">
        <f t="shared" si="100"/>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95"/>
        <v>106</v>
      </c>
      <c r="S271" s="3" t="str">
        <f t="shared" si="96"/>
        <v>-</v>
      </c>
      <c r="T271" s="3" t="str">
        <f t="shared" si="97"/>
        <v>-</v>
      </c>
      <c r="U271" s="3">
        <f t="shared" si="104"/>
        <v>-22</v>
      </c>
      <c r="W271" s="4">
        <f t="shared" si="98"/>
        <v>8.5300914620144432</v>
      </c>
      <c r="X271" s="4">
        <f t="shared" si="99"/>
        <v>-3.4463806594263904</v>
      </c>
      <c r="Y271" s="3">
        <f t="shared" si="100"/>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95"/>
        <v>101</v>
      </c>
      <c r="S272" s="3" t="str">
        <f t="shared" si="96"/>
        <v>-</v>
      </c>
      <c r="T272" s="3" t="str">
        <f t="shared" si="97"/>
        <v>-</v>
      </c>
      <c r="U272" s="9">
        <f>ASIN(N272/J272)*180/PI()</f>
        <v>7.3523793598923577</v>
      </c>
      <c r="W272" s="4">
        <f t="shared" si="98"/>
        <v>15.5</v>
      </c>
      <c r="X272" s="4">
        <f t="shared" si="99"/>
        <v>1.9999999999999998</v>
      </c>
      <c r="Y272" s="3">
        <f t="shared" si="100"/>
        <v>101</v>
      </c>
      <c r="Z272" s="4">
        <f>IF('Raw Data'!O272="","",O271+N271)</f>
        <v>90.8</v>
      </c>
    </row>
    <row r="273" spans="1:26"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95"/>
        <v>80</v>
      </c>
      <c r="S273" s="3" t="str">
        <f t="shared" si="96"/>
        <v>-</v>
      </c>
      <c r="T273" s="3" t="str">
        <f t="shared" si="97"/>
        <v>-</v>
      </c>
      <c r="U273" s="3">
        <f t="shared" ref="U273:U276" si="105">IF(ISERROR(FIND(":",K273)),1*K273,1*CONCATENATE(LEFT(K273,FIND(":",K273)-1),".",MID(RIGHT(K273,LEN(K273)-FIND(":",K273))/60,3,8)))</f>
        <v>22</v>
      </c>
      <c r="W273" s="4">
        <f t="shared" si="98"/>
        <v>11.404361411171486</v>
      </c>
      <c r="X273" s="4">
        <f t="shared" si="99"/>
        <v>4.6076610990157176</v>
      </c>
      <c r="Y273" s="3">
        <f t="shared" si="100"/>
        <v>80</v>
      </c>
      <c r="Z273" s="4">
        <f>IF('Raw Data'!O273="","",O272+N272)</f>
        <v>92.8</v>
      </c>
    </row>
    <row r="274" spans="1:26"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95"/>
        <v>114</v>
      </c>
      <c r="S274" s="3" t="str">
        <f t="shared" si="96"/>
        <v>-</v>
      </c>
      <c r="T274" s="3" t="str">
        <f t="shared" si="97"/>
        <v>-</v>
      </c>
      <c r="U274" s="3">
        <f t="shared" si="105"/>
        <v>50</v>
      </c>
      <c r="W274" s="4">
        <f t="shared" si="98"/>
        <v>9.3204203404548203</v>
      </c>
      <c r="X274" s="4">
        <f t="shared" si="99"/>
        <v>11.107644425225182</v>
      </c>
      <c r="Y274" s="3">
        <f t="shared" si="100"/>
        <v>114</v>
      </c>
      <c r="Z274" s="4">
        <f>IF('Raw Data'!O274="","",O273+N273)</f>
        <v>97.399999999999991</v>
      </c>
    </row>
    <row r="275" spans="1:26"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95"/>
        <v>103</v>
      </c>
      <c r="S275" s="3" t="str">
        <f t="shared" si="96"/>
        <v>-</v>
      </c>
      <c r="T275" s="3" t="str">
        <f t="shared" si="97"/>
        <v>-</v>
      </c>
      <c r="U275" s="3">
        <f t="shared" si="105"/>
        <v>-6.5</v>
      </c>
      <c r="W275" s="4">
        <f t="shared" si="98"/>
        <v>17.685579031043257</v>
      </c>
      <c r="X275" s="4">
        <f t="shared" si="99"/>
        <v>-2.0150172050687396</v>
      </c>
      <c r="Y275" s="3">
        <f t="shared" si="100"/>
        <v>103</v>
      </c>
      <c r="Z275" s="4">
        <f>IF('Raw Data'!O275="","",O274+N274)</f>
        <v>108.5</v>
      </c>
    </row>
    <row r="276" spans="1:26"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95"/>
        <v>26</v>
      </c>
      <c r="S276" s="3" t="str">
        <f t="shared" si="96"/>
        <v>-</v>
      </c>
      <c r="T276" s="3" t="str">
        <f t="shared" si="97"/>
        <v>-</v>
      </c>
      <c r="U276" s="3">
        <f t="shared" si="105"/>
        <v>-53</v>
      </c>
      <c r="W276" s="4">
        <f t="shared" si="98"/>
        <v>4.6339756782707724</v>
      </c>
      <c r="X276" s="4">
        <f t="shared" si="99"/>
        <v>-6.1494934273641553</v>
      </c>
      <c r="Y276" s="3">
        <f t="shared" si="100"/>
        <v>26</v>
      </c>
      <c r="Z276" s="4">
        <f>IF('Raw Data'!O276="","",O275+N275)</f>
        <v>106.5</v>
      </c>
    </row>
    <row r="277" spans="1:26"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95"/>
        <v>3</v>
      </c>
      <c r="S277" s="3" t="str">
        <f t="shared" si="96"/>
        <v>-</v>
      </c>
      <c r="T277" s="3" t="str">
        <f t="shared" si="97"/>
        <v>-</v>
      </c>
      <c r="U277" s="9">
        <f>ASIN(N277/J277)*180/PI()</f>
        <v>0</v>
      </c>
      <c r="W277" s="4">
        <f t="shared" si="98"/>
        <v>8.5</v>
      </c>
      <c r="X277" s="4">
        <f t="shared" si="99"/>
        <v>0</v>
      </c>
      <c r="Y277" s="3">
        <f t="shared" si="100"/>
        <v>3</v>
      </c>
      <c r="Z277" s="4">
        <f>IF('Raw Data'!O277="","",O276+N276)</f>
        <v>100.4</v>
      </c>
    </row>
    <row r="278" spans="1:26"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95"/>
        <v>22</v>
      </c>
      <c r="S278" s="3" t="str">
        <f t="shared" si="96"/>
        <v>-</v>
      </c>
      <c r="T278" s="3" t="str">
        <f t="shared" si="97"/>
        <v>-</v>
      </c>
      <c r="U278" s="9">
        <f>ASIN(N278/J278)*180/PI()</f>
        <v>0</v>
      </c>
      <c r="W278" s="4">
        <f t="shared" si="98"/>
        <v>10.8</v>
      </c>
      <c r="X278" s="4">
        <f t="shared" si="99"/>
        <v>0</v>
      </c>
      <c r="Y278" s="3">
        <f t="shared" si="100"/>
        <v>22</v>
      </c>
      <c r="Z278" s="4">
        <f>IF('Raw Data'!O278="","",O277+N277)</f>
        <v>100.4</v>
      </c>
    </row>
    <row r="279" spans="1:26"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95"/>
        <v>3</v>
      </c>
      <c r="S279" s="3" t="str">
        <f t="shared" si="96"/>
        <v>-</v>
      </c>
      <c r="T279" s="3" t="str">
        <f t="shared" si="97"/>
        <v>-</v>
      </c>
      <c r="U279" s="9">
        <f>ASIN(N279/J279)*180/PI()</f>
        <v>-7.8089056267920371</v>
      </c>
      <c r="W279" s="4">
        <f t="shared" si="98"/>
        <v>18.229371903606552</v>
      </c>
      <c r="X279" s="4">
        <f t="shared" si="99"/>
        <v>-2.5000000000000009</v>
      </c>
      <c r="Y279" s="3">
        <f t="shared" si="100"/>
        <v>3</v>
      </c>
      <c r="Z279" s="4">
        <f>IF('Raw Data'!O279="","",O278+N278)</f>
        <v>100.4</v>
      </c>
    </row>
    <row r="280" spans="1:26"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95"/>
        <v>355</v>
      </c>
      <c r="S280" s="3" t="str">
        <f t="shared" si="96"/>
        <v>-</v>
      </c>
      <c r="T280" s="3" t="str">
        <f t="shared" si="97"/>
        <v>-</v>
      </c>
      <c r="U280" s="9">
        <f>ASIN(N280/J280)*180/PI()</f>
        <v>0</v>
      </c>
      <c r="W280" s="4">
        <f t="shared" si="98"/>
        <v>10.6</v>
      </c>
      <c r="X280" s="4">
        <f t="shared" si="99"/>
        <v>0</v>
      </c>
      <c r="Y280" s="3">
        <f t="shared" si="100"/>
        <v>355</v>
      </c>
      <c r="Z280" s="4">
        <f>IF('Raw Data'!O280="","",O279+N279)</f>
        <v>97.9</v>
      </c>
    </row>
    <row r="281" spans="1:26"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6"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t="e">
        <f>IF('Raw Data'!O282="","",O281+N281)</f>
        <v>#VALUE!</v>
      </c>
    </row>
    <row r="283" spans="1:26"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6"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6"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06">IF(ISERROR(FIND(":",G285)),IF(G285&lt;&gt;"-",1*G285,G285),1*LEFT(G285,FIND(":",G285)-1)+RIGHT(G285,LEN(G285)-FIND(":",G285))/60)</f>
        <v>-</v>
      </c>
      <c r="S285" s="3">
        <f t="shared" ref="S285:S288" si="107">IF(ISERROR(FIND(":",H285)),IF(H285&lt;&gt;"-",1*H285,H285),1*LEFT(H285,FIND(":",H285)-1)+RIGHT(H285,LEN(H285)-FIND(":",H285))/60)</f>
        <v>171.5</v>
      </c>
      <c r="T285" s="3">
        <f t="shared" ref="T285:T288" si="108">IF(ISERROR(FIND(":",I285)),IF(I285&lt;&gt;"-",1*I285,I285),1*LEFT(I285,FIND(":",I285)-1)+RIGHT(I285,LEN(I285)-FIND(":",I285))/60)</f>
        <v>351.5</v>
      </c>
      <c r="U285" s="3">
        <f t="shared" ref="U285:U303" si="109">IF(ISERROR(FIND(":",K285)),1*K285,1*CONCATENATE(LEFT(K285,FIND(":",K285)-1),".",MID(RIGHT(K285,LEN(K285)-FIND(":",K285))/60,3,8)))</f>
        <v>-0.5</v>
      </c>
      <c r="W285" s="4">
        <f t="shared" ref="W285:W288" si="110">J285*COS(U285*PI()/180)</f>
        <v>17.499333653622998</v>
      </c>
      <c r="X285" s="4">
        <f t="shared" ref="X285:X288" si="111">J285*SIN(U285*PI()/180)</f>
        <v>-0.15271437122154385</v>
      </c>
      <c r="Y285" s="3">
        <f t="shared" ref="Y285:Y288" si="112">IF(R285="-",IF(S285&gt;180,S285-180,S285+180),R285)</f>
        <v>351.5</v>
      </c>
      <c r="Z285" s="4" t="e">
        <f>IF('Raw Data'!O285="","",O284+N284)</f>
        <v>#VALUE!</v>
      </c>
    </row>
    <row r="286" spans="1:26"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06"/>
        <v>358.16666666666669</v>
      </c>
      <c r="S286" s="3" t="str">
        <f t="shared" si="107"/>
        <v>-</v>
      </c>
      <c r="T286" s="3">
        <f t="shared" si="108"/>
        <v>358.16666666666669</v>
      </c>
      <c r="U286" s="3">
        <f t="shared" si="109"/>
        <v>-18.5</v>
      </c>
      <c r="W286" s="4">
        <f t="shared" si="110"/>
        <v>4.5519535449897566</v>
      </c>
      <c r="X286" s="4">
        <f t="shared" si="111"/>
        <v>-1.5230623507444423</v>
      </c>
      <c r="Y286" s="3">
        <f t="shared" si="112"/>
        <v>358.16666666666669</v>
      </c>
      <c r="Z286" s="4">
        <f>IF('Raw Data'!O286="","",O285+N285)</f>
        <v>339.8</v>
      </c>
    </row>
    <row r="287" spans="1:26"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06"/>
        <v>-</v>
      </c>
      <c r="S287" s="3">
        <f t="shared" si="107"/>
        <v>144.16666666666666</v>
      </c>
      <c r="T287" s="3">
        <f t="shared" si="108"/>
        <v>324.16666666666669</v>
      </c>
      <c r="U287" s="3">
        <f t="shared" si="109"/>
        <v>29.5</v>
      </c>
      <c r="W287" s="4">
        <f t="shared" si="110"/>
        <v>8.5294858202110184</v>
      </c>
      <c r="X287" s="4">
        <f t="shared" si="111"/>
        <v>4.8257508890139773</v>
      </c>
      <c r="Y287" s="3">
        <f t="shared" si="112"/>
        <v>324.16666666666663</v>
      </c>
      <c r="Z287" s="4">
        <f>IF('Raw Data'!O287="","",O286+N286)</f>
        <v>338.3</v>
      </c>
    </row>
    <row r="288" spans="1:26"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06"/>
        <v>358</v>
      </c>
      <c r="S288" s="3" t="str">
        <f t="shared" si="107"/>
        <v>-</v>
      </c>
      <c r="T288" s="3">
        <f t="shared" si="108"/>
        <v>358</v>
      </c>
      <c r="U288" s="3">
        <f t="shared" si="109"/>
        <v>1.5</v>
      </c>
      <c r="W288" s="4">
        <f t="shared" si="110"/>
        <v>13.295442422174911</v>
      </c>
      <c r="X288" s="4">
        <f t="shared" si="111"/>
        <v>0.34815341249471288</v>
      </c>
      <c r="Y288" s="3">
        <f t="shared" si="112"/>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3">IF(ISERROR(FIND(":",G289)),IF(G289&lt;&gt;"-",1*G289,G289),1*LEFT(G289,FIND(":",G289)-1)+RIGHT(G289,LEN(G289)-FIND(":",G289))/60)</f>
        <v>-</v>
      </c>
      <c r="S289" s="3">
        <f t="shared" ref="S289:S352" si="114">IF(ISERROR(FIND(":",H289)),IF(H289&lt;&gt;"-",1*H289,H289),1*LEFT(H289,FIND(":",H289)-1)+RIGHT(H289,LEN(H289)-FIND(":",H289))/60)</f>
        <v>188</v>
      </c>
      <c r="T289" s="3">
        <f t="shared" ref="T289:T352" si="115">IF(ISERROR(FIND(":",I289)),IF(I289&lt;&gt;"-",1*I289,I289),1*LEFT(I289,FIND(":",I289)-1)+RIGHT(I289,LEN(I289)-FIND(":",I289))/60)</f>
        <v>8</v>
      </c>
      <c r="U289" s="3">
        <f t="shared" si="109"/>
        <v>13.5</v>
      </c>
      <c r="W289" s="4">
        <f t="shared" ref="W289:W352" si="116">J289*COS(U289*PI()/180)</f>
        <v>8.654092291539321</v>
      </c>
      <c r="X289" s="4">
        <f t="shared" ref="X289:X352" si="117">J289*SIN(U289*PI()/180)</f>
        <v>2.077663738317558</v>
      </c>
      <c r="Y289" s="3">
        <f t="shared" ref="Y289:Y352" si="118">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3"/>
        <v>-</v>
      </c>
      <c r="S290" s="3">
        <f t="shared" si="114"/>
        <v>232.16666666666666</v>
      </c>
      <c r="T290" s="3">
        <f t="shared" si="115"/>
        <v>52.166666666666664</v>
      </c>
      <c r="U290" s="3">
        <f t="shared" si="109"/>
        <v>13.5</v>
      </c>
      <c r="W290" s="4">
        <f t="shared" si="116"/>
        <v>13.029756933328866</v>
      </c>
      <c r="X290" s="4">
        <f t="shared" si="117"/>
        <v>3.1281678756691322</v>
      </c>
      <c r="Y290" s="3">
        <f t="shared" si="118"/>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3"/>
        <v>26</v>
      </c>
      <c r="S291" s="3" t="str">
        <f t="shared" si="114"/>
        <v>-</v>
      </c>
      <c r="T291" s="3">
        <f t="shared" si="115"/>
        <v>26</v>
      </c>
      <c r="U291" s="3">
        <f t="shared" si="109"/>
        <v>-22.5</v>
      </c>
      <c r="W291" s="4">
        <f t="shared" si="116"/>
        <v>8.0377519328481934</v>
      </c>
      <c r="X291" s="4">
        <f t="shared" si="117"/>
        <v>-3.329345861576281</v>
      </c>
      <c r="Y291" s="3">
        <f t="shared" si="118"/>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3"/>
        <v>-</v>
      </c>
      <c r="S292" s="3">
        <f t="shared" si="114"/>
        <v>310</v>
      </c>
      <c r="T292" s="3">
        <f t="shared" si="115"/>
        <v>130</v>
      </c>
      <c r="U292" s="3">
        <f t="shared" si="109"/>
        <v>13</v>
      </c>
      <c r="W292" s="4">
        <f t="shared" si="116"/>
        <v>20.75408237992551</v>
      </c>
      <c r="X292" s="4">
        <f t="shared" si="117"/>
        <v>4.7914574575243245</v>
      </c>
      <c r="Y292" s="3">
        <f t="shared" si="118"/>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3"/>
        <v>155.5</v>
      </c>
      <c r="S293" s="3" t="str">
        <f t="shared" si="114"/>
        <v>-</v>
      </c>
      <c r="T293" s="3">
        <f t="shared" si="115"/>
        <v>155.5</v>
      </c>
      <c r="U293" s="3">
        <f t="shared" si="109"/>
        <v>10.5</v>
      </c>
      <c r="W293" s="4">
        <f t="shared" si="116"/>
        <v>12.585662816818619</v>
      </c>
      <c r="X293" s="4">
        <f t="shared" si="117"/>
        <v>2.3326147262994876</v>
      </c>
      <c r="Y293" s="3">
        <f t="shared" si="118"/>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3"/>
        <v>-</v>
      </c>
      <c r="S294" s="3">
        <f t="shared" si="114"/>
        <v>240</v>
      </c>
      <c r="T294" s="3">
        <f t="shared" si="115"/>
        <v>60</v>
      </c>
      <c r="U294" s="3">
        <f t="shared" si="109"/>
        <v>-44</v>
      </c>
      <c r="W294" s="4">
        <f t="shared" si="116"/>
        <v>10.142691184774982</v>
      </c>
      <c r="X294" s="4">
        <f t="shared" si="117"/>
        <v>-9.7946830234718618</v>
      </c>
      <c r="Y294" s="3">
        <f t="shared" si="118"/>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3"/>
        <v>324</v>
      </c>
      <c r="S295" s="3" t="str">
        <f t="shared" si="114"/>
        <v>-</v>
      </c>
      <c r="T295" s="3">
        <f t="shared" si="115"/>
        <v>324</v>
      </c>
      <c r="U295" s="3">
        <f t="shared" si="109"/>
        <v>-18.5</v>
      </c>
      <c r="W295" s="4">
        <f t="shared" si="116"/>
        <v>33.949986856381933</v>
      </c>
      <c r="X295" s="4">
        <f t="shared" si="117"/>
        <v>-11.359506699302298</v>
      </c>
      <c r="Y295" s="3">
        <f t="shared" si="118"/>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3"/>
        <v>-</v>
      </c>
      <c r="S296" s="3">
        <f t="shared" si="114"/>
        <v>238</v>
      </c>
      <c r="T296" s="3">
        <f t="shared" si="115"/>
        <v>58</v>
      </c>
      <c r="U296" s="3">
        <f t="shared" si="109"/>
        <v>-15</v>
      </c>
      <c r="W296" s="4">
        <f t="shared" si="116"/>
        <v>10.818369254437565</v>
      </c>
      <c r="X296" s="4">
        <f t="shared" si="117"/>
        <v>-2.8987733051482323</v>
      </c>
      <c r="Y296" s="3">
        <f t="shared" si="118"/>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3"/>
        <v>287.16666666666669</v>
      </c>
      <c r="S297" s="3" t="str">
        <f t="shared" si="114"/>
        <v>-</v>
      </c>
      <c r="T297" s="3">
        <f t="shared" si="115"/>
        <v>287.16666666666669</v>
      </c>
      <c r="U297" s="3">
        <f t="shared" si="109"/>
        <v>-11</v>
      </c>
      <c r="W297" s="4">
        <f t="shared" si="116"/>
        <v>43.682409663421048</v>
      </c>
      <c r="X297" s="4">
        <f t="shared" si="117"/>
        <v>-8.4910002942562439</v>
      </c>
      <c r="Y297" s="3">
        <f t="shared" si="118"/>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3"/>
        <v>-</v>
      </c>
      <c r="S298" s="3">
        <f t="shared" si="114"/>
        <v>112.25</v>
      </c>
      <c r="T298" s="3">
        <f t="shared" si="115"/>
        <v>292.25</v>
      </c>
      <c r="U298" s="3">
        <f t="shared" si="109"/>
        <v>18.5</v>
      </c>
      <c r="W298" s="4">
        <f t="shared" si="116"/>
        <v>13.56102826944865</v>
      </c>
      <c r="X298" s="4">
        <f t="shared" si="117"/>
        <v>4.5374565865928176</v>
      </c>
      <c r="Y298" s="3">
        <f t="shared" si="118"/>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3"/>
        <v>340.5</v>
      </c>
      <c r="S299" s="3" t="str">
        <f t="shared" si="114"/>
        <v>-</v>
      </c>
      <c r="T299" s="3">
        <f t="shared" si="115"/>
        <v>340.5</v>
      </c>
      <c r="U299" s="3">
        <f t="shared" si="109"/>
        <v>4</v>
      </c>
      <c r="W299" s="4">
        <f t="shared" si="116"/>
        <v>15.961024804157187</v>
      </c>
      <c r="X299" s="4">
        <f t="shared" si="117"/>
        <v>1.1161035799060048</v>
      </c>
      <c r="Y299" s="3">
        <f t="shared" si="118"/>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3"/>
        <v>-</v>
      </c>
      <c r="S300" s="3">
        <f t="shared" si="114"/>
        <v>68</v>
      </c>
      <c r="T300" s="3">
        <f t="shared" si="115"/>
        <v>248</v>
      </c>
      <c r="U300" s="3">
        <f t="shared" si="109"/>
        <v>-58</v>
      </c>
      <c r="W300" s="4">
        <f t="shared" si="116"/>
        <v>8.1607566691913558</v>
      </c>
      <c r="X300" s="4">
        <f t="shared" si="117"/>
        <v>-13.05994068080896</v>
      </c>
      <c r="Y300" s="3">
        <f t="shared" si="118"/>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3"/>
        <v>319</v>
      </c>
      <c r="S301" s="3" t="str">
        <f t="shared" si="114"/>
        <v>-</v>
      </c>
      <c r="T301" s="3">
        <f t="shared" si="115"/>
        <v>319</v>
      </c>
      <c r="U301" s="3">
        <f t="shared" si="109"/>
        <v>-11</v>
      </c>
      <c r="W301" s="4">
        <f t="shared" si="116"/>
        <v>11.779526201371969</v>
      </c>
      <c r="X301" s="4">
        <f t="shared" si="117"/>
        <v>-2.2897079445185375</v>
      </c>
      <c r="Y301" s="3">
        <f t="shared" si="118"/>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3"/>
        <v>-</v>
      </c>
      <c r="S302" s="3">
        <f t="shared" si="114"/>
        <v>88</v>
      </c>
      <c r="T302" s="3">
        <f t="shared" si="115"/>
        <v>268</v>
      </c>
      <c r="U302" s="3">
        <f t="shared" si="109"/>
        <v>-6.5</v>
      </c>
      <c r="W302" s="4">
        <f t="shared" si="116"/>
        <v>38.749302371386911</v>
      </c>
      <c r="X302" s="4">
        <f t="shared" si="117"/>
        <v>-4.4149253369483619</v>
      </c>
      <c r="Y302" s="3">
        <f t="shared" si="118"/>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3"/>
        <v>252.5</v>
      </c>
      <c r="S303" s="3" t="str">
        <f t="shared" si="114"/>
        <v>-</v>
      </c>
      <c r="T303" s="3">
        <f t="shared" si="115"/>
        <v>252</v>
      </c>
      <c r="U303" s="3">
        <f t="shared" si="109"/>
        <v>-24.5</v>
      </c>
      <c r="W303" s="4">
        <f t="shared" si="116"/>
        <v>26.570869109595062</v>
      </c>
      <c r="X303" s="4">
        <f t="shared" si="117"/>
        <v>-12.10904268556218</v>
      </c>
      <c r="Y303" s="3">
        <f t="shared" si="118"/>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6"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3"/>
        <v>-</v>
      </c>
      <c r="S305" s="3">
        <f t="shared" si="114"/>
        <v>271.66666666666669</v>
      </c>
      <c r="T305" s="3">
        <f t="shared" si="115"/>
        <v>91.666666666666671</v>
      </c>
      <c r="U305" s="3">
        <f t="shared" ref="U305:U306" si="119">IF(ISERROR(FIND(":",K305)),1*K305,1*CONCATENATE(LEFT(K305,FIND(":",K305)-1),".",MID(RIGHT(K305,LEN(K305)-FIND(":",K305))/60,3,8)))</f>
        <v>11</v>
      </c>
      <c r="W305" s="4">
        <f t="shared" si="116"/>
        <v>30.724930841911885</v>
      </c>
      <c r="X305" s="4">
        <f t="shared" si="117"/>
        <v>5.9723215552858528</v>
      </c>
      <c r="Y305" s="3">
        <f t="shared" si="118"/>
        <v>91.666666666666686</v>
      </c>
      <c r="Z305" s="4" t="e">
        <f>IF('Raw Data'!O305="","",O304+N304)</f>
        <v>#VALUE!</v>
      </c>
    </row>
    <row r="306" spans="1:26"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3"/>
        <v>162</v>
      </c>
      <c r="S306" s="3" t="str">
        <f t="shared" si="114"/>
        <v>-</v>
      </c>
      <c r="T306" s="3">
        <f t="shared" si="115"/>
        <v>162</v>
      </c>
      <c r="U306" s="3">
        <f t="shared" si="119"/>
        <v>17</v>
      </c>
      <c r="W306" s="4">
        <f t="shared" si="116"/>
        <v>36.435211202191653</v>
      </c>
      <c r="X306" s="4">
        <f t="shared" si="117"/>
        <v>11.139361949936271</v>
      </c>
      <c r="Y306" s="3">
        <f t="shared" si="118"/>
        <v>162</v>
      </c>
      <c r="Z306" s="4">
        <f>IF('Raw Data'!O306="","",O305+N305)</f>
        <v>337.2</v>
      </c>
    </row>
    <row r="307" spans="1:26"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3"/>
        <v>8</v>
      </c>
      <c r="S307" s="3" t="str">
        <f t="shared" si="114"/>
        <v>-</v>
      </c>
      <c r="T307" s="3">
        <f t="shared" si="115"/>
        <v>8</v>
      </c>
      <c r="U307" s="9">
        <f t="shared" ref="U307:U309" si="120">ASIN(N307/J307)*180/PI()</f>
        <v>21.577817335473043</v>
      </c>
      <c r="W307" s="4">
        <f t="shared" si="116"/>
        <v>17.700000000000003</v>
      </c>
      <c r="X307" s="4">
        <f t="shared" si="117"/>
        <v>7.0000000000000009</v>
      </c>
      <c r="Y307" s="3">
        <f t="shared" si="118"/>
        <v>8</v>
      </c>
      <c r="Z307" s="4">
        <f>IF('Raw Data'!O307="","",O306+N306)</f>
        <v>348.4</v>
      </c>
    </row>
    <row r="308" spans="1:26"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v>
      </c>
      <c r="R308" s="3">
        <f t="shared" si="113"/>
        <v>46</v>
      </c>
      <c r="S308" s="3" t="str">
        <f t="shared" si="114"/>
        <v>-</v>
      </c>
      <c r="T308" s="3">
        <f t="shared" si="115"/>
        <v>46</v>
      </c>
      <c r="U308" s="9">
        <f t="shared" si="120"/>
        <v>21.186176440399141</v>
      </c>
      <c r="W308" s="4">
        <f t="shared" si="116"/>
        <v>12.899999999999999</v>
      </c>
      <c r="X308" s="4">
        <f t="shared" si="117"/>
        <v>5</v>
      </c>
      <c r="Y308" s="3">
        <f t="shared" si="118"/>
        <v>46</v>
      </c>
      <c r="Z308" s="4">
        <f>IF('Raw Data'!O308="","",O307+N307)</f>
        <v>355.4</v>
      </c>
    </row>
    <row r="309" spans="1:26"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3"/>
        <v>75</v>
      </c>
      <c r="S309" s="3" t="str">
        <f t="shared" si="114"/>
        <v>-</v>
      </c>
      <c r="T309" s="3">
        <f t="shared" si="115"/>
        <v>75</v>
      </c>
      <c r="U309" s="9">
        <f t="shared" si="120"/>
        <v>8.5408698328699355</v>
      </c>
      <c r="W309" s="4">
        <f t="shared" si="116"/>
        <v>19.975985582694037</v>
      </c>
      <c r="X309" s="4">
        <f t="shared" si="117"/>
        <v>2.9999999999999991</v>
      </c>
      <c r="Y309" s="3">
        <f t="shared" si="118"/>
        <v>75</v>
      </c>
      <c r="Z309" s="4">
        <f>IF('Raw Data'!O309="","",O308+N308)</f>
        <v>360.4</v>
      </c>
    </row>
    <row r="310" spans="1:26"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6"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6" x14ac:dyDescent="0.25">
      <c r="A312" t="str">
        <f>IF('Raw Data'!A312="","",'Raw Data'!A312)</f>
        <v>16th May '53</v>
      </c>
      <c r="B312" t="str">
        <f>IF('Raw Data'!B312="","",'Raw Data'!B312)</f>
        <v>Luke (a little)</v>
      </c>
      <c r="C312" t="str">
        <f>IF('Raw Data'!C312="","",'Raw Data'!C312)</f>
        <v>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6"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3"/>
        <v>-</v>
      </c>
      <c r="S313" s="3">
        <f t="shared" si="114"/>
        <v>346</v>
      </c>
      <c r="T313" s="3">
        <f t="shared" si="115"/>
        <v>166</v>
      </c>
      <c r="U313" s="3">
        <f t="shared" ref="U313:U317" si="121">IF(ISERROR(FIND(":",K313)),1*K313,1*CONCATENATE(LEFT(K313,FIND(":",K313)-1),".",MID(RIGHT(K313,LEN(K313)-FIND(":",K313))/60,3,8)))</f>
        <v>45.25</v>
      </c>
      <c r="W313" s="4">
        <f t="shared" si="116"/>
        <v>6.8993442996684902</v>
      </c>
      <c r="X313" s="4">
        <f t="shared" si="117"/>
        <v>6.9598166811081965</v>
      </c>
      <c r="Y313" s="3">
        <f t="shared" si="118"/>
        <v>166</v>
      </c>
      <c r="Z313" s="4" t="e">
        <f>IF('Raw Data'!O313="","",O312+N312)</f>
        <v>#VALUE!</v>
      </c>
    </row>
    <row r="314" spans="1:26"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3"/>
        <v>-</v>
      </c>
      <c r="S314" s="3">
        <f t="shared" si="114"/>
        <v>42</v>
      </c>
      <c r="T314" s="3">
        <f t="shared" si="115"/>
        <v>222</v>
      </c>
      <c r="U314" s="3">
        <f t="shared" si="121"/>
        <v>19</v>
      </c>
      <c r="W314" s="4">
        <f t="shared" si="116"/>
        <v>36.024257730333971</v>
      </c>
      <c r="X314" s="4">
        <f t="shared" si="117"/>
        <v>12.404146684817668</v>
      </c>
      <c r="Y314" s="3">
        <f t="shared" si="118"/>
        <v>222</v>
      </c>
      <c r="Z314" s="4">
        <f>IF('Raw Data'!O314="","",O313+N313)</f>
        <v>374.1</v>
      </c>
    </row>
    <row r="315" spans="1:26"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3"/>
        <v>190.5</v>
      </c>
      <c r="S315" s="3" t="str">
        <f t="shared" si="114"/>
        <v>-</v>
      </c>
      <c r="T315" s="3">
        <f t="shared" si="115"/>
        <v>190.5</v>
      </c>
      <c r="U315" s="3">
        <f t="shared" si="121"/>
        <v>12.666666660000001</v>
      </c>
      <c r="W315" s="4">
        <f t="shared" si="116"/>
        <v>61.759422337275815</v>
      </c>
      <c r="X315" s="4">
        <f t="shared" si="117"/>
        <v>13.880336903908246</v>
      </c>
      <c r="Y315" s="3">
        <f t="shared" si="118"/>
        <v>190.5</v>
      </c>
      <c r="Z315" s="4">
        <f>IF('Raw Data'!O315="","",O314+N314)</f>
        <v>386.5</v>
      </c>
    </row>
    <row r="316" spans="1:26"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3"/>
        <v>229.66666666666666</v>
      </c>
      <c r="S316" s="3" t="str">
        <f t="shared" si="114"/>
        <v>-</v>
      </c>
      <c r="T316" s="3">
        <f t="shared" si="115"/>
        <v>229.66666666666666</v>
      </c>
      <c r="U316" s="3">
        <f t="shared" si="121"/>
        <v>10</v>
      </c>
      <c r="W316" s="4">
        <f t="shared" si="116"/>
        <v>56.429484247599518</v>
      </c>
      <c r="X316" s="4">
        <f t="shared" si="117"/>
        <v>9.9500405803151075</v>
      </c>
      <c r="Y316" s="3">
        <f t="shared" si="118"/>
        <v>229.66666666666666</v>
      </c>
      <c r="Z316" s="4">
        <f>IF('Raw Data'!O316="","",O315+N315)</f>
        <v>400.3</v>
      </c>
    </row>
    <row r="317" spans="1:26"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3"/>
        <v>328</v>
      </c>
      <c r="S317" s="3" t="str">
        <f t="shared" si="114"/>
        <v>-</v>
      </c>
      <c r="T317" s="3">
        <f t="shared" si="115"/>
        <v>328</v>
      </c>
      <c r="U317" s="3">
        <f t="shared" si="121"/>
        <v>8</v>
      </c>
      <c r="W317" s="4">
        <f t="shared" si="116"/>
        <v>188.44801348152086</v>
      </c>
      <c r="X317" s="4">
        <f t="shared" si="117"/>
        <v>26.484641112700455</v>
      </c>
      <c r="Y317" s="3">
        <f t="shared" si="118"/>
        <v>328</v>
      </c>
      <c r="Z317" s="4">
        <f>IF('Raw Data'!O317="","",O316+N316)</f>
        <v>410.2</v>
      </c>
    </row>
    <row r="318" spans="1:26"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row>
    <row r="319" spans="1:26"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6"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6"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3"/>
        <v>-</v>
      </c>
      <c r="S321" s="3">
        <f t="shared" si="114"/>
        <v>35</v>
      </c>
      <c r="T321" s="3">
        <f t="shared" si="115"/>
        <v>215</v>
      </c>
      <c r="U321" s="3">
        <f t="shared" ref="U321:U325" si="122">IF(ISERROR(FIND(":",K321)),1*K321,1*CONCATENATE(LEFT(K321,FIND(":",K321)-1),".",MID(RIGHT(K321,LEN(K321)-FIND(":",K321))/60,3,8)))</f>
        <v>22</v>
      </c>
      <c r="W321" s="4">
        <f t="shared" si="116"/>
        <v>14.464068131241884</v>
      </c>
      <c r="X321" s="4">
        <f t="shared" si="117"/>
        <v>5.8438628572882276</v>
      </c>
      <c r="Y321" s="3">
        <f t="shared" si="118"/>
        <v>215</v>
      </c>
      <c r="Z321" s="4" t="e">
        <f>IF('Raw Data'!O321="","",O320+N320)</f>
        <v>#VALUE!</v>
      </c>
    </row>
    <row r="322" spans="1:26"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3"/>
        <v>173</v>
      </c>
      <c r="S322" s="3" t="str">
        <f t="shared" si="114"/>
        <v>-</v>
      </c>
      <c r="T322" s="3">
        <f t="shared" si="115"/>
        <v>173</v>
      </c>
      <c r="U322" s="3">
        <f t="shared" si="122"/>
        <v>-33.5</v>
      </c>
      <c r="W322" s="4">
        <f t="shared" si="116"/>
        <v>12.591675913214241</v>
      </c>
      <c r="X322" s="4">
        <f t="shared" si="117"/>
        <v>-8.3342484782120785</v>
      </c>
      <c r="Y322" s="3">
        <f t="shared" si="118"/>
        <v>173</v>
      </c>
      <c r="Z322" s="4">
        <f>IF('Raw Data'!O322="","",O321+N321)</f>
        <v>344.2</v>
      </c>
    </row>
    <row r="323" spans="1:26"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3"/>
        <v>-</v>
      </c>
      <c r="S323" s="3">
        <f t="shared" si="114"/>
        <v>79</v>
      </c>
      <c r="T323" s="3">
        <f t="shared" si="115"/>
        <v>259</v>
      </c>
      <c r="U323" s="3">
        <f t="shared" si="122"/>
        <v>-25</v>
      </c>
      <c r="W323" s="4">
        <f t="shared" si="116"/>
        <v>14.863447707401058</v>
      </c>
      <c r="X323" s="4">
        <f t="shared" si="117"/>
        <v>-6.9309394925474699</v>
      </c>
      <c r="Y323" s="3">
        <f t="shared" si="118"/>
        <v>259</v>
      </c>
      <c r="Z323" s="4">
        <f>IF('Raw Data'!O323="","",O322+N322)</f>
        <v>335.9</v>
      </c>
    </row>
    <row r="324" spans="1:26"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3"/>
        <v>-</v>
      </c>
      <c r="S324" s="3">
        <f t="shared" si="114"/>
        <v>24.5</v>
      </c>
      <c r="T324" s="3">
        <f t="shared" si="115"/>
        <v>204.5</v>
      </c>
      <c r="U324" s="3">
        <f t="shared" si="122"/>
        <v>-3</v>
      </c>
      <c r="W324" s="4">
        <f t="shared" si="116"/>
        <v>9.9862953475457381</v>
      </c>
      <c r="X324" s="4">
        <f t="shared" si="117"/>
        <v>-0.52335956242943826</v>
      </c>
      <c r="Y324" s="3">
        <f t="shared" si="118"/>
        <v>204.5</v>
      </c>
      <c r="Z324" s="4">
        <f>IF('Raw Data'!O324="","",O323+N323)</f>
        <v>328.90000000000003</v>
      </c>
    </row>
    <row r="325" spans="1:26"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3"/>
        <v>229.16666666666666</v>
      </c>
      <c r="S325" s="3" t="str">
        <f t="shared" si="114"/>
        <v>-</v>
      </c>
      <c r="T325" s="3">
        <f t="shared" si="115"/>
        <v>229.16666666666666</v>
      </c>
      <c r="U325" s="3">
        <f t="shared" si="122"/>
        <v>-12.25</v>
      </c>
      <c r="W325" s="4">
        <f t="shared" si="116"/>
        <v>11.238157724320807</v>
      </c>
      <c r="X325" s="4">
        <f t="shared" si="117"/>
        <v>-2.4400432297991319</v>
      </c>
      <c r="Y325" s="3">
        <f t="shared" si="118"/>
        <v>229.16666666666666</v>
      </c>
      <c r="Z325" s="4">
        <f>IF('Raw Data'!O325="","",O324+N324)</f>
        <v>328.4</v>
      </c>
    </row>
    <row r="326" spans="1:26"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6"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3"/>
        <v>162</v>
      </c>
      <c r="S327" s="3" t="str">
        <f t="shared" si="114"/>
        <v>-</v>
      </c>
      <c r="T327" s="3">
        <f t="shared" si="115"/>
        <v>162</v>
      </c>
      <c r="U327" s="3">
        <f t="shared" ref="U327:U332" si="123">IF(ISERROR(FIND(":",K327)),1*K327,1*CONCATENATE(LEFT(K327,FIND(":",K327)-1),".",MID(RIGHT(K327,LEN(K327)-FIND(":",K327))/60,3,8)))</f>
        <v>7.6666666599999997</v>
      </c>
      <c r="W327" s="4">
        <f t="shared" si="116"/>
        <v>21.406917211695109</v>
      </c>
      <c r="X327" s="4">
        <f t="shared" si="117"/>
        <v>2.8816480513122658</v>
      </c>
      <c r="Y327" s="3">
        <f t="shared" si="118"/>
        <v>162</v>
      </c>
      <c r="Z327" s="4">
        <f>IF('Raw Data'!O327="","",O326+N326)</f>
        <v>325.89999999999998</v>
      </c>
    </row>
    <row r="328" spans="1:26"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3"/>
        <v>-</v>
      </c>
      <c r="S328" s="3">
        <f t="shared" si="114"/>
        <v>267</v>
      </c>
      <c r="T328" s="3">
        <f t="shared" si="115"/>
        <v>87</v>
      </c>
      <c r="U328" s="3">
        <f t="shared" si="123"/>
        <v>19</v>
      </c>
      <c r="W328" s="4">
        <f t="shared" si="116"/>
        <v>16.830230645667839</v>
      </c>
      <c r="X328" s="4">
        <f t="shared" si="117"/>
        <v>5.7951131493373884</v>
      </c>
      <c r="Y328" s="3">
        <f t="shared" si="118"/>
        <v>87</v>
      </c>
      <c r="Z328" s="4">
        <f>IF('Raw Data'!O328="","",O327+N327)</f>
        <v>331.09999999999997</v>
      </c>
    </row>
    <row r="329" spans="1:26"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3"/>
        <v>113</v>
      </c>
      <c r="S329" s="3" t="str">
        <f t="shared" si="114"/>
        <v>-</v>
      </c>
      <c r="T329" s="3">
        <f t="shared" si="115"/>
        <v>113</v>
      </c>
      <c r="U329" s="3">
        <f t="shared" si="123"/>
        <v>18.5</v>
      </c>
      <c r="W329" s="4">
        <f t="shared" si="116"/>
        <v>15.268010848819811</v>
      </c>
      <c r="X329" s="4">
        <f t="shared" si="117"/>
        <v>5.1086049681219841</v>
      </c>
      <c r="Y329" s="3">
        <f t="shared" si="118"/>
        <v>113</v>
      </c>
      <c r="Z329" s="4">
        <f>IF('Raw Data'!O329="","",O328+N328)</f>
        <v>336.90000000000003</v>
      </c>
    </row>
    <row r="330" spans="1:26"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3"/>
        <v>-</v>
      </c>
      <c r="S330" s="3">
        <f t="shared" si="114"/>
        <v>324.5</v>
      </c>
      <c r="T330" s="3">
        <f t="shared" si="115"/>
        <v>144.5</v>
      </c>
      <c r="U330" s="3">
        <f t="shared" si="123"/>
        <v>15.5</v>
      </c>
      <c r="W330" s="4">
        <f t="shared" si="116"/>
        <v>14.936272024733656</v>
      </c>
      <c r="X330" s="4">
        <f t="shared" si="117"/>
        <v>4.1421948292129809</v>
      </c>
      <c r="Y330" s="3">
        <f t="shared" si="118"/>
        <v>144.5</v>
      </c>
      <c r="Z330" s="4">
        <f>IF('Raw Data'!O330="","",O329+N329)</f>
        <v>341.90000000000003</v>
      </c>
    </row>
    <row r="331" spans="1:26"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3"/>
        <v>193</v>
      </c>
      <c r="S331" s="3" t="str">
        <f t="shared" si="114"/>
        <v>-</v>
      </c>
      <c r="T331" s="3">
        <f t="shared" si="115"/>
        <v>193</v>
      </c>
      <c r="U331" s="3">
        <f t="shared" si="123"/>
        <v>29.5</v>
      </c>
      <c r="W331" s="4">
        <f t="shared" si="116"/>
        <v>8.0943079722410687</v>
      </c>
      <c r="X331" s="4">
        <f t="shared" si="117"/>
        <v>4.5795391089622441</v>
      </c>
      <c r="Y331" s="3">
        <f t="shared" si="118"/>
        <v>193</v>
      </c>
      <c r="Z331" s="4">
        <f>IF('Raw Data'!O331="","",O330+N330)</f>
        <v>346</v>
      </c>
    </row>
    <row r="332" spans="1:26"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3"/>
        <v>-</v>
      </c>
      <c r="S332" s="3">
        <f t="shared" si="114"/>
        <v>156.5</v>
      </c>
      <c r="T332" s="3">
        <f t="shared" si="115"/>
        <v>336.5</v>
      </c>
      <c r="U332" s="3">
        <f t="shared" si="123"/>
        <v>18</v>
      </c>
      <c r="W332" s="4">
        <f t="shared" si="116"/>
        <v>25.202997681821568</v>
      </c>
      <c r="X332" s="4">
        <f t="shared" si="117"/>
        <v>8.1889503509361052</v>
      </c>
      <c r="Y332" s="3">
        <f t="shared" si="118"/>
        <v>336.5</v>
      </c>
      <c r="Z332" s="4">
        <f>IF('Raw Data'!O332="","",O331+N331)</f>
        <v>350.5</v>
      </c>
    </row>
    <row r="333" spans="1:26"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6"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6"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3"/>
        <v>93.5</v>
      </c>
      <c r="S335" s="3" t="str">
        <f t="shared" si="114"/>
        <v>-</v>
      </c>
      <c r="T335" s="3">
        <f t="shared" si="115"/>
        <v>93</v>
      </c>
      <c r="U335" s="3">
        <f>IF(ISERROR(FIND(":",K335)),1*K335,1*CONCATENATE(LEFT(K335,FIND(":",K335)-1),".",MID(RIGHT(K335,LEN(K335)-FIND(":",K335))/60,3,8)))</f>
        <v>25.5</v>
      </c>
      <c r="W335" s="4">
        <f t="shared" si="116"/>
        <v>14.621881606467742</v>
      </c>
      <c r="X335" s="4">
        <f t="shared" si="117"/>
        <v>6.9742797682943802</v>
      </c>
      <c r="Y335" s="3">
        <f t="shared" si="118"/>
        <v>93.5</v>
      </c>
      <c r="Z335" s="4" t="e">
        <f>IF('Raw Data'!O335="","",O334+N334)</f>
        <v>#VALUE!</v>
      </c>
    </row>
    <row r="336" spans="1:26"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3"/>
        <v>111</v>
      </c>
      <c r="S337" s="3" t="str">
        <f t="shared" si="114"/>
        <v>-</v>
      </c>
      <c r="T337" s="3">
        <f t="shared" si="115"/>
        <v>111</v>
      </c>
      <c r="U337" s="3">
        <f t="shared" ref="U337:U347" si="124">IF(ISERROR(FIND(":",K337)),1*K337,1*CONCATENATE(LEFT(K337,FIND(":",K337)-1),".",MID(RIGHT(K337,LEN(K337)-FIND(":",K337))/60,3,8)))</f>
        <v>24</v>
      </c>
      <c r="W337" s="4">
        <f t="shared" si="116"/>
        <v>24.208954627528922</v>
      </c>
      <c r="X337" s="4">
        <f t="shared" si="117"/>
        <v>10.778521041508704</v>
      </c>
      <c r="Y337" s="3">
        <f t="shared" si="118"/>
        <v>111</v>
      </c>
      <c r="Z337" s="4" t="e">
        <f>IF('Raw Data'!O337="","",O336+N336)</f>
        <v>#VALUE!</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3"/>
        <v>-</v>
      </c>
      <c r="S338" s="3">
        <f t="shared" si="114"/>
        <v>316.5</v>
      </c>
      <c r="T338" s="3">
        <f t="shared" si="115"/>
        <v>136.5</v>
      </c>
      <c r="U338" s="3">
        <f t="shared" si="124"/>
        <v>3.5</v>
      </c>
      <c r="W338" s="4">
        <f t="shared" si="116"/>
        <v>19.962695968437338</v>
      </c>
      <c r="X338" s="4">
        <f t="shared" si="117"/>
        <v>1.2209707906971374</v>
      </c>
      <c r="Y338" s="3">
        <f t="shared" si="118"/>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3"/>
        <v>88.5</v>
      </c>
      <c r="S339" s="3" t="str">
        <f t="shared" si="114"/>
        <v>-</v>
      </c>
      <c r="T339" s="3">
        <f t="shared" si="115"/>
        <v>88.5</v>
      </c>
      <c r="U339" s="3">
        <f t="shared" si="124"/>
        <v>9.5</v>
      </c>
      <c r="W339" s="4">
        <f t="shared" si="116"/>
        <v>52.174508321319543</v>
      </c>
      <c r="X339" s="4">
        <f t="shared" si="117"/>
        <v>8.7310183500298457</v>
      </c>
      <c r="Y339" s="3">
        <f t="shared" si="118"/>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3"/>
        <v>108</v>
      </c>
      <c r="S340" s="3" t="str">
        <f t="shared" si="114"/>
        <v>-</v>
      </c>
      <c r="T340" s="3">
        <f t="shared" si="115"/>
        <v>108</v>
      </c>
      <c r="U340" s="3">
        <f t="shared" si="124"/>
        <v>-53.5</v>
      </c>
      <c r="W340" s="4">
        <f t="shared" si="116"/>
        <v>2.3792911470053655</v>
      </c>
      <c r="X340" s="4">
        <f t="shared" si="117"/>
        <v>-3.2154274424688691</v>
      </c>
      <c r="Y340" s="3">
        <f t="shared" si="118"/>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3"/>
        <v>-</v>
      </c>
      <c r="S341" s="3">
        <f t="shared" si="114"/>
        <v>246</v>
      </c>
      <c r="T341" s="3">
        <f t="shared" si="115"/>
        <v>66</v>
      </c>
      <c r="U341" s="3">
        <f t="shared" si="124"/>
        <v>26</v>
      </c>
      <c r="W341" s="4">
        <f t="shared" si="116"/>
        <v>10.515890341700254</v>
      </c>
      <c r="X341" s="4">
        <f t="shared" si="117"/>
        <v>5.1289424174322056</v>
      </c>
      <c r="Y341" s="3">
        <f t="shared" si="118"/>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3"/>
        <v>79</v>
      </c>
      <c r="S342" s="3" t="str">
        <f t="shared" si="114"/>
        <v>-</v>
      </c>
      <c r="T342" s="3">
        <f t="shared" si="115"/>
        <v>79</v>
      </c>
      <c r="U342" s="3">
        <f t="shared" si="124"/>
        <v>26</v>
      </c>
      <c r="W342" s="4">
        <f t="shared" si="116"/>
        <v>14.20094593152684</v>
      </c>
      <c r="X342" s="4">
        <f t="shared" si="117"/>
        <v>6.9262641192674232</v>
      </c>
      <c r="Y342" s="3">
        <f t="shared" si="118"/>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3"/>
        <v>-</v>
      </c>
      <c r="S343" s="3">
        <f t="shared" si="114"/>
        <v>355.5</v>
      </c>
      <c r="T343" s="3">
        <f t="shared" si="115"/>
        <v>175.5</v>
      </c>
      <c r="U343" s="3">
        <f t="shared" si="124"/>
        <v>26</v>
      </c>
      <c r="W343" s="4">
        <f t="shared" si="116"/>
        <v>11.504563792629339</v>
      </c>
      <c r="X343" s="4">
        <f t="shared" si="117"/>
        <v>5.6111506789001915</v>
      </c>
      <c r="Y343" s="3">
        <f t="shared" si="118"/>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3"/>
        <v>148</v>
      </c>
      <c r="S344" s="3" t="str">
        <f t="shared" si="114"/>
        <v>-</v>
      </c>
      <c r="T344" s="3">
        <f t="shared" si="115"/>
        <v>148</v>
      </c>
      <c r="U344" s="3">
        <f t="shared" si="124"/>
        <v>24.5</v>
      </c>
      <c r="W344" s="4">
        <f t="shared" si="116"/>
        <v>36.307454707974074</v>
      </c>
      <c r="X344" s="4">
        <f t="shared" si="117"/>
        <v>16.546260381983938</v>
      </c>
      <c r="Y344" s="3">
        <f t="shared" si="118"/>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3"/>
        <v>-</v>
      </c>
      <c r="S345" s="3">
        <f t="shared" si="114"/>
        <v>273</v>
      </c>
      <c r="T345" s="3">
        <f t="shared" si="115"/>
        <v>93</v>
      </c>
      <c r="U345" s="3">
        <f t="shared" si="124"/>
        <v>20</v>
      </c>
      <c r="W345" s="4">
        <f t="shared" si="116"/>
        <v>8.3632643249945851</v>
      </c>
      <c r="X345" s="4">
        <f t="shared" si="117"/>
        <v>3.0439792755984518</v>
      </c>
      <c r="Y345" s="3">
        <f t="shared" si="118"/>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3"/>
        <v>121.16666666666667</v>
      </c>
      <c r="S346" s="3" t="str">
        <f t="shared" si="114"/>
        <v>-</v>
      </c>
      <c r="T346" s="3">
        <f t="shared" si="115"/>
        <v>121.16666666666667</v>
      </c>
      <c r="U346" s="3">
        <f t="shared" si="124"/>
        <v>15</v>
      </c>
      <c r="W346" s="4">
        <f t="shared" si="116"/>
        <v>26.756145388207191</v>
      </c>
      <c r="X346" s="4">
        <f t="shared" si="117"/>
        <v>7.169287549339824</v>
      </c>
      <c r="Y346" s="3">
        <f t="shared" si="118"/>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3"/>
        <v>92.5</v>
      </c>
      <c r="S347" s="3" t="str">
        <f t="shared" si="114"/>
        <v>-</v>
      </c>
      <c r="T347" s="3">
        <f t="shared" si="115"/>
        <v>92.5</v>
      </c>
      <c r="U347" s="3">
        <f t="shared" si="124"/>
        <v>19.5</v>
      </c>
      <c r="W347" s="4">
        <f t="shared" si="116"/>
        <v>9.237886612703349</v>
      </c>
      <c r="X347" s="4">
        <f t="shared" si="117"/>
        <v>3.271307220490955</v>
      </c>
      <c r="Y347" s="3">
        <f t="shared" si="118"/>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W349" s="4"/>
      <c r="X349" s="4"/>
      <c r="Y349" s="3"/>
      <c r="Z349" s="4" t="str">
        <f>IF('Raw Data'!O349="","",O348+N348)</f>
        <v/>
      </c>
    </row>
    <row r="350" spans="1:26" x14ac:dyDescent="0.25">
      <c r="A350" t="str">
        <f>IF('Raw Data'!A350="","",'Raw Data'!A350)</f>
        <v>Aug. 1953</v>
      </c>
      <c r="B350" t="str">
        <f>IF('Raw Data'!B350="","",'Raw Data'!B350)</f>
        <v/>
      </c>
      <c r="C350" t="str">
        <f>IF('Raw Data'!C350="","",'Raw Data'!C350)</f>
        <v>Too faint to read. 'something' hole.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3"/>
        <v>-</v>
      </c>
      <c r="S351" s="3">
        <f t="shared" si="114"/>
        <v>195</v>
      </c>
      <c r="T351" s="3">
        <f t="shared" si="115"/>
        <v>15</v>
      </c>
      <c r="U351" s="3">
        <f t="shared" ref="U351:U365" si="125">IF(ISERROR(FIND(":",K351)),1*K351,1*CONCATENATE(LEFT(K351,FIND(":",K351)-1),".",MID(RIGHT(K351,LEN(K351)-FIND(":",K351))/60,3,8)))</f>
        <v>13</v>
      </c>
      <c r="W351" s="4">
        <f t="shared" si="116"/>
        <v>33.420893222133564</v>
      </c>
      <c r="X351" s="4">
        <f t="shared" si="117"/>
        <v>7.7158211639945691</v>
      </c>
      <c r="Y351" s="3">
        <f t="shared" si="118"/>
        <v>15</v>
      </c>
      <c r="Z351" s="4" t="e">
        <f>IF('Raw Data'!O351="","",O350+N350)</f>
        <v>#VALUE!</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3"/>
        <v>133.5</v>
      </c>
      <c r="S352" s="3" t="str">
        <f t="shared" si="114"/>
        <v>-</v>
      </c>
      <c r="T352" s="3">
        <f t="shared" si="115"/>
        <v>133.5</v>
      </c>
      <c r="U352" s="3">
        <f t="shared" si="125"/>
        <v>3.5</v>
      </c>
      <c r="W352" s="4">
        <f t="shared" si="116"/>
        <v>41.722034574034033</v>
      </c>
      <c r="X352" s="4">
        <f t="shared" si="117"/>
        <v>2.5518289525570172</v>
      </c>
      <c r="Y352" s="3">
        <f t="shared" si="118"/>
        <v>133.5</v>
      </c>
      <c r="Z352" s="4">
        <f>IF('Raw Data'!O352="","",O351+N351)</f>
        <v>103.3</v>
      </c>
    </row>
    <row r="353" spans="1:26"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9" si="126">IF(ISERROR(FIND(":",G353)),IF(G353&lt;&gt;"-",1*G353,G353),1*LEFT(G353,FIND(":",G353)-1)+RIGHT(G353,LEN(G353)-FIND(":",G353))/60)</f>
        <v>-</v>
      </c>
      <c r="S353" s="3">
        <f t="shared" ref="S353:S389" si="127">IF(ISERROR(FIND(":",H353)),IF(H353&lt;&gt;"-",1*H353,H353),1*LEFT(H353,FIND(":",H353)-1)+RIGHT(H353,LEN(H353)-FIND(":",H353))/60)</f>
        <v>192.5</v>
      </c>
      <c r="T353" s="3">
        <f t="shared" ref="T353:T389" si="128">IF(ISERROR(FIND(":",I353)),IF(I353&lt;&gt;"-",1*I353,I353),1*LEFT(I353,FIND(":",I353)-1)+RIGHT(I353,LEN(I353)-FIND(":",I353))/60)</f>
        <v>12.5</v>
      </c>
      <c r="U353" s="3">
        <f t="shared" si="125"/>
        <v>6</v>
      </c>
      <c r="W353" s="4">
        <f t="shared" ref="W353:W387" si="129">J353*COS(U353*PI()/180)</f>
        <v>22.774551403933458</v>
      </c>
      <c r="X353" s="4">
        <f t="shared" ref="X353:X387" si="130">J353*SIN(U353*PI()/180)</f>
        <v>2.3937018088292641</v>
      </c>
      <c r="Y353" s="3">
        <f t="shared" ref="Y353:Y387" si="131">IF(R353="-",IF(S353&gt;180,S353-180,S353+180),R353)</f>
        <v>12.5</v>
      </c>
      <c r="Z353" s="4">
        <f>IF('Raw Data'!O353="","",O352+N352)</f>
        <v>105.89999999999999</v>
      </c>
    </row>
    <row r="354" spans="1:26"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26"/>
        <v>357</v>
      </c>
      <c r="S354" s="3" t="str">
        <f t="shared" si="127"/>
        <v>-</v>
      </c>
      <c r="T354" s="3">
        <f t="shared" si="128"/>
        <v>357</v>
      </c>
      <c r="U354" s="3">
        <f t="shared" si="125"/>
        <v>-5</v>
      </c>
      <c r="W354" s="4">
        <f t="shared" si="129"/>
        <v>30.184699352179891</v>
      </c>
      <c r="X354" s="4">
        <f t="shared" si="130"/>
        <v>-2.6408190052540426</v>
      </c>
      <c r="Y354" s="3">
        <f t="shared" si="131"/>
        <v>357</v>
      </c>
      <c r="Z354" s="4">
        <f>IF('Raw Data'!O354="","",O353+N353)</f>
        <v>108.30000000000001</v>
      </c>
    </row>
    <row r="355" spans="1:26"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26"/>
        <v>-</v>
      </c>
      <c r="S355" s="3">
        <f t="shared" si="127"/>
        <v>203</v>
      </c>
      <c r="T355" s="3">
        <f t="shared" si="128"/>
        <v>23</v>
      </c>
      <c r="U355" s="3">
        <f t="shared" si="125"/>
        <v>12.5</v>
      </c>
      <c r="W355" s="4">
        <f t="shared" si="129"/>
        <v>12.203700088999167</v>
      </c>
      <c r="X355" s="4">
        <f t="shared" si="130"/>
        <v>2.7054951742262858</v>
      </c>
      <c r="Y355" s="3">
        <f t="shared" si="131"/>
        <v>23</v>
      </c>
      <c r="Z355" s="4">
        <f>IF('Raw Data'!O355="","",O354+N354)</f>
        <v>105.7</v>
      </c>
    </row>
    <row r="356" spans="1:26"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26"/>
        <v>-</v>
      </c>
      <c r="S356" s="3">
        <f t="shared" si="127"/>
        <v>165</v>
      </c>
      <c r="T356" s="3">
        <f t="shared" si="128"/>
        <v>345</v>
      </c>
      <c r="U356" s="3">
        <f t="shared" si="125"/>
        <v>3.5</v>
      </c>
      <c r="W356" s="4">
        <f t="shared" si="129"/>
        <v>15.670716335223309</v>
      </c>
      <c r="X356" s="4">
        <f t="shared" si="130"/>
        <v>0.95846207069725287</v>
      </c>
      <c r="Y356" s="3">
        <f t="shared" si="131"/>
        <v>345</v>
      </c>
      <c r="Z356" s="4">
        <f>IF('Raw Data'!O356="","",O355+N355)</f>
        <v>108.4</v>
      </c>
    </row>
    <row r="357" spans="1:26"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26"/>
        <v>6.5</v>
      </c>
      <c r="S357" s="3" t="str">
        <f t="shared" si="127"/>
        <v>-</v>
      </c>
      <c r="T357" s="3">
        <f t="shared" si="128"/>
        <v>6.5</v>
      </c>
      <c r="U357" s="3">
        <f t="shared" si="125"/>
        <v>13.5</v>
      </c>
      <c r="W357" s="4">
        <f t="shared" si="129"/>
        <v>18.766739463675158</v>
      </c>
      <c r="X357" s="4">
        <f t="shared" si="130"/>
        <v>4.5054955224189746</v>
      </c>
      <c r="Y357" s="3">
        <f t="shared" si="131"/>
        <v>6.5</v>
      </c>
      <c r="Z357" s="4">
        <f>IF('Raw Data'!O357="","",O356+N356)</f>
        <v>109.4</v>
      </c>
    </row>
    <row r="358" spans="1:26"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26"/>
        <v>-</v>
      </c>
      <c r="S358" s="3">
        <f t="shared" si="127"/>
        <v>180</v>
      </c>
      <c r="T358" s="3">
        <f t="shared" si="128"/>
        <v>0</v>
      </c>
      <c r="U358" s="3">
        <f t="shared" si="125"/>
        <v>-1</v>
      </c>
      <c r="W358" s="4">
        <f t="shared" si="129"/>
        <v>30.195400393723016</v>
      </c>
      <c r="X358" s="4">
        <f t="shared" si="130"/>
        <v>-0.527062674405962</v>
      </c>
      <c r="Y358" s="3">
        <f t="shared" si="131"/>
        <v>360</v>
      </c>
      <c r="Z358" s="4">
        <f>IF('Raw Data'!O358="","",O357+N357)</f>
        <v>113.9</v>
      </c>
    </row>
    <row r="359" spans="1:26"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26"/>
        <v>348</v>
      </c>
      <c r="S359" s="3" t="str">
        <f t="shared" si="127"/>
        <v>-</v>
      </c>
      <c r="T359" s="3">
        <f t="shared" si="128"/>
        <v>348</v>
      </c>
      <c r="U359" s="3">
        <f t="shared" si="125"/>
        <v>-4</v>
      </c>
      <c r="W359" s="4">
        <f t="shared" si="129"/>
        <v>48.780882057705405</v>
      </c>
      <c r="X359" s="4">
        <f t="shared" si="130"/>
        <v>-3.4110915660877272</v>
      </c>
      <c r="Y359" s="3">
        <f t="shared" si="131"/>
        <v>348</v>
      </c>
      <c r="Z359" s="4">
        <f>IF('Raw Data'!O359="","",O358+N358)</f>
        <v>113.4</v>
      </c>
    </row>
    <row r="360" spans="1:26"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26"/>
        <v>-</v>
      </c>
      <c r="S360" s="3">
        <f t="shared" si="127"/>
        <v>221.5</v>
      </c>
      <c r="T360" s="3">
        <f t="shared" si="128"/>
        <v>41.5</v>
      </c>
      <c r="U360" s="3">
        <f t="shared" si="125"/>
        <v>5.5</v>
      </c>
      <c r="W360" s="4">
        <f t="shared" si="129"/>
        <v>14.731863735834247</v>
      </c>
      <c r="X360" s="4">
        <f t="shared" si="130"/>
        <v>1.4185171372993151</v>
      </c>
      <c r="Y360" s="3">
        <f t="shared" si="131"/>
        <v>41.5</v>
      </c>
      <c r="Z360" s="4">
        <f>IF('Raw Data'!O360="","",O359+N359)</f>
        <v>110</v>
      </c>
    </row>
    <row r="361" spans="1:26"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26"/>
        <v>5</v>
      </c>
      <c r="S361" s="3" t="str">
        <f t="shared" si="127"/>
        <v>-</v>
      </c>
      <c r="T361" s="3">
        <f t="shared" si="128"/>
        <v>5</v>
      </c>
      <c r="U361" s="3">
        <f t="shared" si="125"/>
        <v>-6.5</v>
      </c>
      <c r="W361" s="4">
        <f t="shared" si="129"/>
        <v>20.865008969208336</v>
      </c>
      <c r="X361" s="4">
        <f t="shared" si="130"/>
        <v>-2.3772674891260412</v>
      </c>
      <c r="Y361" s="3">
        <f t="shared" si="131"/>
        <v>5</v>
      </c>
      <c r="Z361" s="4">
        <f>IF('Raw Data'!O361="","",O360+N360)</f>
        <v>111.4</v>
      </c>
    </row>
    <row r="362" spans="1:26"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26"/>
        <v>-</v>
      </c>
      <c r="S362" s="3">
        <f t="shared" si="127"/>
        <v>283</v>
      </c>
      <c r="T362" s="3">
        <f t="shared" si="128"/>
        <v>103</v>
      </c>
      <c r="U362" s="3">
        <f t="shared" si="125"/>
        <v>4.5</v>
      </c>
      <c r="W362" s="4">
        <f t="shared" si="129"/>
        <v>36.686557881379109</v>
      </c>
      <c r="X362" s="4">
        <f t="shared" si="130"/>
        <v>2.8872947227846937</v>
      </c>
      <c r="Y362" s="3">
        <f t="shared" si="131"/>
        <v>103</v>
      </c>
      <c r="Z362" s="4">
        <f>IF('Raw Data'!O362="","",O361+N361)</f>
        <v>109</v>
      </c>
    </row>
    <row r="363" spans="1:26"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26"/>
        <v>19</v>
      </c>
      <c r="S363" s="3" t="str">
        <f t="shared" si="127"/>
        <v>-</v>
      </c>
      <c r="T363" s="3">
        <f t="shared" si="128"/>
        <v>19</v>
      </c>
      <c r="U363" s="3">
        <f t="shared" si="125"/>
        <v>5</v>
      </c>
      <c r="W363" s="4">
        <f t="shared" si="129"/>
        <v>38.054637467104683</v>
      </c>
      <c r="X363" s="4">
        <f t="shared" si="130"/>
        <v>3.3293493729605421</v>
      </c>
      <c r="Y363" s="3">
        <f t="shared" si="131"/>
        <v>19</v>
      </c>
      <c r="Z363" s="4">
        <f>IF('Raw Data'!O363="","",O362+N362)</f>
        <v>111.9</v>
      </c>
    </row>
    <row r="364" spans="1:26"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16.7</v>
      </c>
      <c r="N364">
        <f>IF('Raw Data'!N364="","",IF('Raw Data'!N364="-",0,'Raw Data'!N364))</f>
        <v>-2.1</v>
      </c>
      <c r="O364">
        <f>IF('Raw Data'!O364="",IF('Raw Data'!N364="","",0),'Raw Data'!O364)</f>
        <v>115.2</v>
      </c>
      <c r="P364" t="str">
        <f>IF('Raw Data'!P364="","",'Raw Data'!P364)</f>
        <v/>
      </c>
      <c r="R364" s="3" t="str">
        <f t="shared" si="126"/>
        <v>-</v>
      </c>
      <c r="S364" s="3">
        <f t="shared" si="127"/>
        <v>172</v>
      </c>
      <c r="T364" s="3">
        <f t="shared" si="128"/>
        <v>352</v>
      </c>
      <c r="U364" s="3">
        <f t="shared" si="125"/>
        <v>-10</v>
      </c>
      <c r="W364" s="4">
        <f t="shared" si="129"/>
        <v>11.719212260845277</v>
      </c>
      <c r="X364" s="4">
        <f t="shared" si="130"/>
        <v>-2.0664133142364709</v>
      </c>
      <c r="Y364" s="3">
        <f t="shared" si="131"/>
        <v>352</v>
      </c>
      <c r="Z364" s="4">
        <f>IF('Raw Data'!O364="","",O363+N363)</f>
        <v>115.2</v>
      </c>
    </row>
    <row r="365" spans="1:26"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26"/>
        <v>7</v>
      </c>
      <c r="S365" s="3" t="str">
        <f t="shared" si="127"/>
        <v>-</v>
      </c>
      <c r="T365" s="3">
        <f t="shared" si="128"/>
        <v>7</v>
      </c>
      <c r="U365" s="3">
        <f t="shared" si="125"/>
        <v>-1.5</v>
      </c>
      <c r="W365" s="4">
        <f t="shared" si="129"/>
        <v>34.188280514164063</v>
      </c>
      <c r="X365" s="4">
        <f t="shared" si="130"/>
        <v>-0.89525163212926173</v>
      </c>
      <c r="Y365" s="3">
        <f t="shared" si="131"/>
        <v>7</v>
      </c>
      <c r="Z365" s="4">
        <f>IF('Raw Data'!O365="","",O364+N364)</f>
        <v>113.10000000000001</v>
      </c>
    </row>
    <row r="366" spans="1:26"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26"/>
        <v>-</v>
      </c>
      <c r="S366" s="3">
        <f t="shared" si="127"/>
        <v>280</v>
      </c>
      <c r="T366" s="3">
        <f t="shared" si="128"/>
        <v>100</v>
      </c>
      <c r="U366" s="9">
        <f t="shared" ref="U366" si="132">ASIN(N366/J366)*180/PI()</f>
        <v>0</v>
      </c>
      <c r="W366" s="4">
        <f t="shared" si="129"/>
        <v>9.1</v>
      </c>
      <c r="X366" s="4">
        <f t="shared" si="130"/>
        <v>0</v>
      </c>
      <c r="Y366" s="3">
        <f t="shared" si="131"/>
        <v>100</v>
      </c>
      <c r="Z366" s="4">
        <f>IF('Raw Data'!O366="","",O365+N365)</f>
        <v>112.19999999999999</v>
      </c>
    </row>
    <row r="367" spans="1:26"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26"/>
        <v>-</v>
      </c>
      <c r="S367" s="3">
        <f t="shared" si="127"/>
        <v>310</v>
      </c>
      <c r="T367" s="3">
        <f t="shared" si="128"/>
        <v>130</v>
      </c>
      <c r="U367" s="3">
        <f t="shared" ref="U367:U381" si="133">IF(ISERROR(FIND(":",K367)),1*K367,1*CONCATENATE(LEFT(K367,FIND(":",K367)-1),".",MID(RIGHT(K367,LEN(K367)-FIND(":",K367))/60,3,8)))</f>
        <v>6.5</v>
      </c>
      <c r="W367" s="4">
        <f t="shared" si="129"/>
        <v>40.438374526037116</v>
      </c>
      <c r="X367" s="4">
        <f t="shared" si="130"/>
        <v>4.6073708003538041</v>
      </c>
      <c r="Y367" s="3">
        <f t="shared" si="131"/>
        <v>130</v>
      </c>
      <c r="Z367" s="4">
        <f>IF('Raw Data'!O367="","",O366+N366)</f>
        <v>112.2</v>
      </c>
    </row>
    <row r="368" spans="1:26"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26"/>
        <v>161</v>
      </c>
      <c r="S368" s="3" t="str">
        <f t="shared" si="127"/>
        <v>-</v>
      </c>
      <c r="T368" s="3">
        <f t="shared" si="128"/>
        <v>161</v>
      </c>
      <c r="U368" s="3">
        <f t="shared" si="133"/>
        <v>-1.5</v>
      </c>
      <c r="W368" s="4">
        <f t="shared" si="129"/>
        <v>17.494003187072252</v>
      </c>
      <c r="X368" s="4">
        <f t="shared" si="130"/>
        <v>-0.45809659538778014</v>
      </c>
      <c r="Y368" s="3">
        <f t="shared" si="131"/>
        <v>161</v>
      </c>
      <c r="Z368" s="4">
        <f>IF('Raw Data'!O368="","",O367+N367)</f>
        <v>116.8</v>
      </c>
    </row>
    <row r="369" spans="1:26"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26"/>
        <v>-</v>
      </c>
      <c r="S369" s="3">
        <f t="shared" si="127"/>
        <v>338</v>
      </c>
      <c r="T369" s="3">
        <f t="shared" si="128"/>
        <v>158</v>
      </c>
      <c r="U369" s="3">
        <f t="shared" si="133"/>
        <v>25.5</v>
      </c>
      <c r="W369" s="4">
        <f t="shared" si="129"/>
        <v>6.8596481610589404</v>
      </c>
      <c r="X369" s="4">
        <f t="shared" si="130"/>
        <v>3.2718843357430423</v>
      </c>
      <c r="Y369" s="3">
        <f t="shared" si="131"/>
        <v>158</v>
      </c>
      <c r="Z369" s="4">
        <f>IF('Raw Data'!O369="","",O368+N368)</f>
        <v>116.3</v>
      </c>
    </row>
    <row r="370" spans="1:26"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26"/>
        <v>176</v>
      </c>
      <c r="S370" s="3" t="str">
        <f t="shared" si="127"/>
        <v>-</v>
      </c>
      <c r="T370" s="3">
        <f t="shared" si="128"/>
        <v>176</v>
      </c>
      <c r="U370" s="3">
        <f t="shared" si="133"/>
        <v>4</v>
      </c>
      <c r="W370" s="4">
        <f t="shared" si="129"/>
        <v>34.91474175909385</v>
      </c>
      <c r="X370" s="4">
        <f t="shared" si="130"/>
        <v>2.4414765810443857</v>
      </c>
      <c r="Y370" s="3">
        <f t="shared" si="131"/>
        <v>176</v>
      </c>
      <c r="Z370" s="4">
        <f>IF('Raw Data'!O370="","",O369+N369)</f>
        <v>119.6</v>
      </c>
    </row>
    <row r="371" spans="1:26"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26"/>
        <v>-</v>
      </c>
      <c r="S371" s="3">
        <f t="shared" si="127"/>
        <v>325</v>
      </c>
      <c r="T371" s="3">
        <f t="shared" si="128"/>
        <v>145</v>
      </c>
      <c r="U371" s="3">
        <f t="shared" si="133"/>
        <v>0.5</v>
      </c>
      <c r="W371" s="4">
        <f t="shared" si="129"/>
        <v>45.69825988403263</v>
      </c>
      <c r="X371" s="4">
        <f t="shared" si="130"/>
        <v>0.39880267227568883</v>
      </c>
      <c r="Y371" s="3">
        <f t="shared" si="131"/>
        <v>145</v>
      </c>
      <c r="Z371" s="4">
        <f>IF('Raw Data'!O371="","",O370+N370)</f>
        <v>122</v>
      </c>
    </row>
    <row r="372" spans="1:26"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26"/>
        <v>157.5</v>
      </c>
      <c r="S372" s="3" t="str">
        <f t="shared" si="127"/>
        <v>-</v>
      </c>
      <c r="T372" s="3">
        <f t="shared" si="128"/>
        <v>157.5</v>
      </c>
      <c r="U372" s="3">
        <f t="shared" si="133"/>
        <v>0.5</v>
      </c>
      <c r="W372" s="4">
        <f t="shared" si="129"/>
        <v>27.198964307345459</v>
      </c>
      <c r="X372" s="4">
        <f t="shared" si="130"/>
        <v>0.23736176555577101</v>
      </c>
      <c r="Y372" s="3">
        <f t="shared" si="131"/>
        <v>157.5</v>
      </c>
      <c r="Z372" s="4">
        <f>IF('Raw Data'!O372="","",O371+N371)</f>
        <v>122.4</v>
      </c>
    </row>
    <row r="373" spans="1:26"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26"/>
        <v>-</v>
      </c>
      <c r="S373" s="3">
        <f t="shared" si="127"/>
        <v>283.5</v>
      </c>
      <c r="T373" s="3">
        <f t="shared" si="128"/>
        <v>103.5</v>
      </c>
      <c r="U373" s="3">
        <f t="shared" si="133"/>
        <v>7</v>
      </c>
      <c r="W373" s="4">
        <f t="shared" si="129"/>
        <v>18.957631496349251</v>
      </c>
      <c r="X373" s="4">
        <f t="shared" si="130"/>
        <v>2.3277044590383169</v>
      </c>
      <c r="Y373" s="3">
        <f t="shared" si="131"/>
        <v>103.5</v>
      </c>
      <c r="Z373" s="4">
        <f>IF('Raw Data'!O373="","",O372+N372)</f>
        <v>122.60000000000001</v>
      </c>
    </row>
    <row r="374" spans="1:26"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26"/>
        <v>140</v>
      </c>
      <c r="S374" s="3" t="str">
        <f t="shared" si="127"/>
        <v>-</v>
      </c>
      <c r="T374" s="3">
        <f t="shared" si="128"/>
        <v>140</v>
      </c>
      <c r="U374" s="3">
        <f t="shared" si="133"/>
        <v>3</v>
      </c>
      <c r="W374" s="4">
        <f t="shared" si="129"/>
        <v>39.645592529756584</v>
      </c>
      <c r="X374" s="4">
        <f t="shared" si="130"/>
        <v>2.0777374628448699</v>
      </c>
      <c r="Y374" s="3">
        <f t="shared" si="131"/>
        <v>140</v>
      </c>
      <c r="Z374" s="4">
        <f>IF('Raw Data'!O374="","",O373+N373)</f>
        <v>124.89999999999999</v>
      </c>
    </row>
    <row r="375" spans="1:26"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26"/>
        <v>-</v>
      </c>
      <c r="S375" s="3">
        <f t="shared" si="127"/>
        <v>319</v>
      </c>
      <c r="T375" s="3">
        <f t="shared" si="128"/>
        <v>139</v>
      </c>
      <c r="U375" s="3">
        <f t="shared" si="133"/>
        <v>5.5</v>
      </c>
      <c r="W375" s="4">
        <f t="shared" si="129"/>
        <v>35.336565042034849</v>
      </c>
      <c r="X375" s="4">
        <f t="shared" si="130"/>
        <v>3.4025242144679515</v>
      </c>
      <c r="Y375" s="3">
        <f t="shared" si="131"/>
        <v>139</v>
      </c>
      <c r="Z375" s="4">
        <f>IF('Raw Data'!O375="","",O374+N374)</f>
        <v>127</v>
      </c>
    </row>
    <row r="376" spans="1:26"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26"/>
        <v>74</v>
      </c>
      <c r="S376" s="3" t="str">
        <f t="shared" si="127"/>
        <v>-</v>
      </c>
      <c r="T376" s="3">
        <f t="shared" si="128"/>
        <v>74</v>
      </c>
      <c r="U376" s="3">
        <f t="shared" si="133"/>
        <v>16</v>
      </c>
      <c r="W376" s="4">
        <f t="shared" si="129"/>
        <v>27.972715351805082</v>
      </c>
      <c r="X376" s="4">
        <f t="shared" si="130"/>
        <v>8.0210470542746766</v>
      </c>
      <c r="Y376" s="3">
        <f t="shared" si="131"/>
        <v>74</v>
      </c>
      <c r="Z376" s="4">
        <f>IF('Raw Data'!O376="","",O375+N375)</f>
        <v>130.4</v>
      </c>
    </row>
    <row r="377" spans="1:26"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26"/>
        <v>-</v>
      </c>
      <c r="S377" s="3">
        <f t="shared" si="127"/>
        <v>193</v>
      </c>
      <c r="T377" s="3">
        <f t="shared" si="128"/>
        <v>13</v>
      </c>
      <c r="U377" s="3">
        <f t="shared" si="133"/>
        <v>21</v>
      </c>
      <c r="W377" s="4">
        <f t="shared" si="129"/>
        <v>23.619584790379204</v>
      </c>
      <c r="X377" s="4">
        <f t="shared" si="130"/>
        <v>9.0667091234960964</v>
      </c>
      <c r="Y377" s="3">
        <f t="shared" si="131"/>
        <v>13</v>
      </c>
      <c r="Z377" s="4">
        <f>IF('Raw Data'!O377="","",O376+N376)</f>
        <v>138.5</v>
      </c>
    </row>
    <row r="378" spans="1:26"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26"/>
        <v>353</v>
      </c>
      <c r="S378" s="3" t="str">
        <f t="shared" si="127"/>
        <v>-</v>
      </c>
      <c r="T378" s="3">
        <f t="shared" si="128"/>
        <v>353</v>
      </c>
      <c r="U378" s="3">
        <f t="shared" si="133"/>
        <v>18.5</v>
      </c>
      <c r="W378" s="4">
        <f t="shared" si="129"/>
        <v>21.906276435263205</v>
      </c>
      <c r="X378" s="4">
        <f t="shared" si="130"/>
        <v>7.3297375629576287</v>
      </c>
      <c r="Y378" s="3">
        <f t="shared" si="131"/>
        <v>353</v>
      </c>
      <c r="Z378" s="4">
        <f>IF('Raw Data'!O378="","",O377+N377)</f>
        <v>147.6</v>
      </c>
    </row>
    <row r="379" spans="1:26"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26"/>
        <v>-</v>
      </c>
      <c r="S379" s="3">
        <f t="shared" si="127"/>
        <v>268</v>
      </c>
      <c r="T379" s="3">
        <f t="shared" si="128"/>
        <v>88</v>
      </c>
      <c r="U379" s="3">
        <f t="shared" si="133"/>
        <v>12.5</v>
      </c>
      <c r="W379" s="4">
        <f t="shared" si="129"/>
        <v>50.083985165252578</v>
      </c>
      <c r="X379" s="4">
        <f t="shared" si="130"/>
        <v>11.103352195024677</v>
      </c>
      <c r="Y379" s="3">
        <f t="shared" si="131"/>
        <v>88</v>
      </c>
      <c r="Z379" s="4">
        <f>IF('Raw Data'!O379="","",O378+N378)</f>
        <v>154.9</v>
      </c>
    </row>
    <row r="380" spans="1:26"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26"/>
        <v>61</v>
      </c>
      <c r="S380" s="3" t="str">
        <f t="shared" si="127"/>
        <v>-</v>
      </c>
      <c r="T380" s="3">
        <f t="shared" si="128"/>
        <v>61</v>
      </c>
      <c r="U380" s="3">
        <f t="shared" si="133"/>
        <v>22.5</v>
      </c>
      <c r="W380" s="4">
        <f t="shared" si="129"/>
        <v>15.244012286436231</v>
      </c>
      <c r="X380" s="4">
        <f t="shared" si="130"/>
        <v>6.3142766340239813</v>
      </c>
      <c r="Y380" s="3">
        <f t="shared" si="131"/>
        <v>61</v>
      </c>
      <c r="Z380" s="4">
        <f>IF('Raw Data'!O380="","",O379+N379)</f>
        <v>166</v>
      </c>
    </row>
    <row r="381" spans="1:26"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26"/>
        <v>-</v>
      </c>
      <c r="S381" s="3">
        <f t="shared" si="127"/>
        <v>211</v>
      </c>
      <c r="T381" s="3">
        <f t="shared" si="128"/>
        <v>31</v>
      </c>
      <c r="U381" s="3">
        <f t="shared" si="133"/>
        <v>14.5</v>
      </c>
      <c r="W381" s="4">
        <f t="shared" si="129"/>
        <v>25.559097705982044</v>
      </c>
      <c r="X381" s="4">
        <f t="shared" si="130"/>
        <v>6.6100321070372541</v>
      </c>
      <c r="Y381" s="3">
        <f t="shared" si="131"/>
        <v>31</v>
      </c>
      <c r="Z381" s="4">
        <f>IF('Raw Data'!O381="","",O380+N380)</f>
        <v>172.3</v>
      </c>
    </row>
    <row r="382" spans="1:26"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6"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26"/>
        <v>351</v>
      </c>
      <c r="S383" s="3" t="str">
        <f t="shared" si="127"/>
        <v>-</v>
      </c>
      <c r="T383" s="3">
        <f t="shared" si="128"/>
        <v>351</v>
      </c>
      <c r="U383" s="3">
        <f t="shared" ref="U383:U389" si="134">IF(ISERROR(FIND(":",K383)),1*K383,1*CONCATENATE(LEFT(K383,FIND(":",K383)-1),".",MID(RIGHT(K383,LEN(K383)-FIND(":",K383))/60,3,8)))</f>
        <v>3.5</v>
      </c>
      <c r="W383" s="4">
        <f t="shared" si="129"/>
        <v>48.908605122671482</v>
      </c>
      <c r="X383" s="4">
        <f t="shared" si="130"/>
        <v>2.9913784372079868</v>
      </c>
      <c r="Y383" s="3">
        <f t="shared" si="131"/>
        <v>351</v>
      </c>
      <c r="Z383" s="4" t="e">
        <f>IF('Raw Data'!O383="","",O382+N382)</f>
        <v>#VALUE!</v>
      </c>
    </row>
    <row r="384" spans="1:26"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26"/>
        <v>-</v>
      </c>
      <c r="S384" s="3">
        <f t="shared" si="127"/>
        <v>215</v>
      </c>
      <c r="T384" s="3">
        <f t="shared" si="128"/>
        <v>35</v>
      </c>
      <c r="U384" s="3">
        <f t="shared" si="134"/>
        <v>26.5</v>
      </c>
      <c r="W384" s="4">
        <f t="shared" si="129"/>
        <v>32.038650145352499</v>
      </c>
      <c r="X384" s="4">
        <f t="shared" si="130"/>
        <v>15.973881709331152</v>
      </c>
      <c r="Y384" s="3">
        <f t="shared" si="131"/>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26"/>
        <v>18</v>
      </c>
      <c r="S385" s="3" t="str">
        <f t="shared" si="127"/>
        <v>-</v>
      </c>
      <c r="T385" s="3">
        <f t="shared" si="128"/>
        <v>18</v>
      </c>
      <c r="U385" s="3">
        <f t="shared" si="134"/>
        <v>8.5</v>
      </c>
      <c r="W385" s="4">
        <f t="shared" si="129"/>
        <v>47.670564614044395</v>
      </c>
      <c r="X385" s="4">
        <f t="shared" si="130"/>
        <v>7.1244136164472325</v>
      </c>
      <c r="Y385" s="3">
        <f t="shared" si="131"/>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26"/>
        <v>-</v>
      </c>
      <c r="S386" s="3">
        <f t="shared" si="127"/>
        <v>211</v>
      </c>
      <c r="T386" s="3">
        <f t="shared" si="128"/>
        <v>31</v>
      </c>
      <c r="U386" s="3">
        <f t="shared" si="134"/>
        <v>-9</v>
      </c>
      <c r="W386" s="4">
        <f t="shared" si="129"/>
        <v>18.272234301010048</v>
      </c>
      <c r="X386" s="4">
        <f t="shared" si="130"/>
        <v>-2.894037603244271</v>
      </c>
      <c r="Y386" s="3">
        <f t="shared" si="131"/>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26"/>
        <v>3</v>
      </c>
      <c r="S387" s="3" t="str">
        <f t="shared" si="127"/>
        <v>-</v>
      </c>
      <c r="T387" s="3">
        <f t="shared" si="128"/>
        <v>3</v>
      </c>
      <c r="U387" s="3">
        <f t="shared" si="134"/>
        <v>-4.5</v>
      </c>
      <c r="W387" s="4">
        <f t="shared" si="129"/>
        <v>25.919850677061326</v>
      </c>
      <c r="X387" s="4">
        <f t="shared" si="130"/>
        <v>-2.0399364889239684</v>
      </c>
      <c r="Y387" s="3">
        <f t="shared" si="131"/>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R388" s="3" t="str">
        <f t="shared" si="126"/>
        <v>-</v>
      </c>
      <c r="S388" s="3" t="str">
        <f t="shared" si="127"/>
        <v>-</v>
      </c>
      <c r="T388" s="3" t="str">
        <f t="shared" si="128"/>
        <v>-</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R389" s="3" t="str">
        <f t="shared" si="126"/>
        <v>-</v>
      </c>
      <c r="S389" s="3" t="str">
        <f t="shared" si="127"/>
        <v>-</v>
      </c>
      <c r="T389" s="3" t="str">
        <f t="shared" si="128"/>
        <v>-</v>
      </c>
      <c r="W389" s="4"/>
      <c r="X389" s="4"/>
      <c r="Y389" s="3"/>
      <c r="Z389" s="4">
        <f>IF('Raw Data'!O389="","",O388+N388)</f>
        <v>210.1</v>
      </c>
    </row>
    <row r="390" spans="1:26" x14ac:dyDescent="0.25">
      <c r="G390" s="7"/>
      <c r="H390" s="7"/>
      <c r="I390" s="7"/>
      <c r="J390" s="12"/>
      <c r="K390" s="7"/>
      <c r="W390" s="4"/>
      <c r="X390" s="4"/>
      <c r="Y390" s="3"/>
    </row>
    <row r="391" spans="1:26" x14ac:dyDescent="0.25">
      <c r="G391" s="7"/>
      <c r="H391" s="7"/>
      <c r="I391" s="7"/>
      <c r="J391" s="12"/>
      <c r="K391" s="7"/>
      <c r="W391" s="4"/>
      <c r="X391" s="4"/>
      <c r="Y391" s="3"/>
    </row>
    <row r="392" spans="1:26" x14ac:dyDescent="0.25">
      <c r="G392" s="7"/>
      <c r="H392" s="7"/>
      <c r="I392" s="7"/>
      <c r="J392" s="12"/>
      <c r="K392" s="7"/>
      <c r="W392" s="4"/>
      <c r="X392" s="4"/>
      <c r="Y392" s="3"/>
    </row>
    <row r="393" spans="1:26" x14ac:dyDescent="0.25">
      <c r="G393" s="7"/>
      <c r="H393" s="7"/>
      <c r="I393" s="7"/>
      <c r="J393" s="12"/>
      <c r="K393" s="7"/>
      <c r="W393" s="4"/>
      <c r="X393" s="4"/>
      <c r="Y393" s="3"/>
    </row>
    <row r="394" spans="1:26" x14ac:dyDescent="0.25">
      <c r="G394" s="7"/>
      <c r="H394" s="7"/>
      <c r="I394" s="7"/>
      <c r="J394" s="12"/>
      <c r="K394" s="7"/>
      <c r="W394" s="4"/>
      <c r="X394" s="4"/>
      <c r="Y394" s="3"/>
    </row>
    <row r="395" spans="1:26" x14ac:dyDescent="0.25">
      <c r="G395" s="7"/>
      <c r="H395" s="7"/>
      <c r="I395" s="7"/>
      <c r="J395" s="12"/>
      <c r="K395" s="7"/>
      <c r="W395" s="4"/>
      <c r="X395" s="4"/>
      <c r="Y395" s="3"/>
    </row>
    <row r="396" spans="1:26" x14ac:dyDescent="0.25">
      <c r="G396" s="7"/>
      <c r="H396" s="7"/>
      <c r="I396" s="7"/>
      <c r="J396" s="12"/>
      <c r="K396" s="7"/>
      <c r="W396" s="4"/>
      <c r="X396" s="4"/>
      <c r="Y396" s="3"/>
    </row>
    <row r="397" spans="1:26" x14ac:dyDescent="0.25">
      <c r="G397" s="7"/>
      <c r="H397" s="7"/>
      <c r="I397" s="7"/>
      <c r="J397" s="12"/>
      <c r="K397" s="7"/>
      <c r="W397" s="4"/>
      <c r="X397" s="4"/>
      <c r="Y397" s="3"/>
    </row>
    <row r="398" spans="1:26" x14ac:dyDescent="0.25">
      <c r="G398" s="7"/>
      <c r="H398" s="7"/>
      <c r="I398" s="7"/>
      <c r="J398" s="12"/>
      <c r="K398" s="7"/>
      <c r="W398" s="4"/>
      <c r="X398" s="4"/>
      <c r="Y398" s="3"/>
    </row>
    <row r="399" spans="1:26" x14ac:dyDescent="0.25">
      <c r="G399" s="7"/>
      <c r="H399" s="7"/>
      <c r="I399" s="7"/>
      <c r="J399" s="12"/>
      <c r="K399" s="7"/>
      <c r="W399" s="4"/>
      <c r="X399" s="4"/>
      <c r="Y399" s="3"/>
    </row>
    <row r="400" spans="1:26" x14ac:dyDescent="0.25">
      <c r="G400" s="7"/>
      <c r="H400" s="7"/>
      <c r="I400" s="7"/>
      <c r="J400" s="12"/>
      <c r="K400" s="7"/>
      <c r="W400" s="4"/>
      <c r="X400" s="4"/>
      <c r="Y400" s="3"/>
    </row>
    <row r="401" spans="7:25" x14ac:dyDescent="0.25">
      <c r="G401" s="7"/>
      <c r="H401" s="7"/>
      <c r="I401" s="7"/>
      <c r="J401" s="12"/>
      <c r="K401" s="7"/>
      <c r="W401" s="4"/>
      <c r="X401" s="4"/>
      <c r="Y401" s="3"/>
    </row>
    <row r="402" spans="7:25" x14ac:dyDescent="0.25">
      <c r="G402" s="7"/>
      <c r="H402" s="7"/>
      <c r="I402" s="7"/>
      <c r="J402" s="12"/>
      <c r="K402" s="7"/>
      <c r="W402" s="4"/>
      <c r="X402" s="4"/>
      <c r="Y402" s="3"/>
    </row>
    <row r="403" spans="7:25" x14ac:dyDescent="0.25">
      <c r="G403" s="7"/>
      <c r="H403" s="7"/>
      <c r="I403" s="7"/>
      <c r="J403" s="12"/>
      <c r="K403" s="7"/>
      <c r="W403" s="4"/>
      <c r="X403" s="4"/>
      <c r="Y403" s="3"/>
    </row>
    <row r="404" spans="7:25" x14ac:dyDescent="0.25">
      <c r="G404" s="7"/>
      <c r="H404" s="7"/>
      <c r="I404" s="7"/>
      <c r="J404" s="12"/>
      <c r="K404" s="7"/>
      <c r="W404" s="4"/>
      <c r="X404" s="4"/>
      <c r="Y404" s="3"/>
    </row>
    <row r="405" spans="7:25" x14ac:dyDescent="0.25">
      <c r="G405" s="7"/>
      <c r="H405" s="7"/>
      <c r="I405" s="7"/>
      <c r="J405" s="12"/>
      <c r="K405" s="7"/>
      <c r="W405" s="4"/>
      <c r="X405" s="4"/>
      <c r="Y405" s="3"/>
    </row>
    <row r="406" spans="7:25" x14ac:dyDescent="0.25">
      <c r="G406" s="7"/>
      <c r="H406" s="7"/>
      <c r="I406" s="7"/>
      <c r="J406" s="12"/>
      <c r="K406" s="7"/>
      <c r="W406" s="4"/>
      <c r="X406" s="4"/>
      <c r="Y406" s="3"/>
    </row>
    <row r="407" spans="7:25" x14ac:dyDescent="0.25">
      <c r="G407" s="7"/>
      <c r="H407" s="7"/>
      <c r="I407" s="7"/>
      <c r="J407" s="12"/>
      <c r="K407" s="7"/>
      <c r="W407" s="4"/>
      <c r="X407" s="4"/>
      <c r="Y407" s="3"/>
    </row>
    <row r="408" spans="7:25" x14ac:dyDescent="0.25">
      <c r="G408" s="7"/>
      <c r="H408" s="7"/>
      <c r="I408" s="7"/>
      <c r="J408" s="12"/>
      <c r="K408" s="7"/>
      <c r="W408" s="4"/>
      <c r="X408" s="4"/>
      <c r="Y408" s="3"/>
    </row>
    <row r="409" spans="7:25" x14ac:dyDescent="0.25">
      <c r="G409" s="7"/>
      <c r="H409" s="7"/>
      <c r="I409" s="7"/>
      <c r="J409" s="12"/>
      <c r="K409" s="7"/>
      <c r="W409" s="4"/>
      <c r="X409" s="4"/>
      <c r="Y409" s="3"/>
    </row>
    <row r="410" spans="7:25" x14ac:dyDescent="0.25">
      <c r="G410" s="7"/>
      <c r="H410" s="7"/>
      <c r="I410" s="7"/>
      <c r="J410" s="12"/>
      <c r="K410" s="7"/>
      <c r="W410" s="4"/>
      <c r="X410" s="4"/>
      <c r="Y410" s="3"/>
    </row>
    <row r="411" spans="7:25" x14ac:dyDescent="0.25">
      <c r="G411" s="7"/>
      <c r="H411" s="7"/>
      <c r="I411" s="7"/>
      <c r="J411" s="12"/>
      <c r="K411" s="7"/>
      <c r="W411" s="4"/>
      <c r="X411" s="4"/>
      <c r="Y411" s="3"/>
    </row>
    <row r="412" spans="7:25" x14ac:dyDescent="0.25">
      <c r="G412" s="7"/>
      <c r="H412" s="7"/>
      <c r="I412" s="7"/>
      <c r="J412" s="12"/>
      <c r="K412" s="7"/>
      <c r="W412" s="4"/>
      <c r="X412" s="4"/>
      <c r="Y412" s="3"/>
    </row>
    <row r="413" spans="7:25" x14ac:dyDescent="0.25">
      <c r="G413" s="7"/>
      <c r="H413" s="7"/>
      <c r="I413" s="7"/>
      <c r="J413" s="12"/>
      <c r="K413" s="7"/>
      <c r="W413" s="4"/>
      <c r="X413" s="4"/>
      <c r="Y413" s="3"/>
    </row>
    <row r="414" spans="7:25" x14ac:dyDescent="0.25">
      <c r="G414" s="7"/>
      <c r="H414" s="7"/>
      <c r="I414" s="7"/>
      <c r="J414" s="12"/>
      <c r="K414" s="7"/>
      <c r="W414" s="4"/>
      <c r="X414" s="4"/>
      <c r="Y414" s="3"/>
    </row>
    <row r="415" spans="7:25" x14ac:dyDescent="0.25">
      <c r="G415" s="7"/>
      <c r="H415" s="7"/>
      <c r="I415" s="7"/>
      <c r="J415" s="12"/>
      <c r="K415" s="7"/>
      <c r="W415" s="4"/>
      <c r="X415" s="4"/>
      <c r="Y415" s="3"/>
    </row>
    <row r="416" spans="7:25" x14ac:dyDescent="0.25">
      <c r="G416" s="7"/>
      <c r="H416" s="7"/>
      <c r="I416" s="7"/>
      <c r="J416" s="12"/>
      <c r="K416" s="7"/>
      <c r="W416" s="4"/>
      <c r="X416" s="4"/>
      <c r="Y416" s="3"/>
    </row>
    <row r="417" spans="7:25" x14ac:dyDescent="0.25">
      <c r="G417" s="7"/>
      <c r="H417" s="7"/>
      <c r="I417" s="7"/>
      <c r="J417" s="12"/>
      <c r="K417" s="7"/>
      <c r="W417" s="4"/>
      <c r="X417" s="4"/>
      <c r="Y417" s="3"/>
    </row>
    <row r="418" spans="7:25" x14ac:dyDescent="0.25">
      <c r="G418" s="7"/>
      <c r="H418" s="7"/>
      <c r="I418" s="7"/>
      <c r="J418" s="12"/>
      <c r="K418" s="7"/>
      <c r="W418" s="4"/>
      <c r="X418" s="4"/>
      <c r="Y418" s="3"/>
    </row>
    <row r="419" spans="7:25" x14ac:dyDescent="0.25">
      <c r="G419" s="7"/>
      <c r="H419" s="7"/>
      <c r="I419" s="7"/>
      <c r="J419" s="12"/>
      <c r="K419" s="7"/>
      <c r="W419" s="4"/>
      <c r="X419" s="4"/>
      <c r="Y419" s="3"/>
    </row>
    <row r="420" spans="7:25" x14ac:dyDescent="0.25">
      <c r="G420" s="7"/>
      <c r="H420" s="7"/>
      <c r="I420" s="7"/>
      <c r="J420" s="12"/>
      <c r="K420" s="7"/>
      <c r="W420" s="4"/>
      <c r="X420" s="4"/>
      <c r="Y420" s="3"/>
    </row>
    <row r="421" spans="7:25" x14ac:dyDescent="0.25">
      <c r="G421" s="7"/>
      <c r="H421" s="7"/>
      <c r="I421" s="7"/>
      <c r="J421" s="12"/>
      <c r="K421" s="7"/>
      <c r="W421" s="4"/>
      <c r="X421" s="4"/>
      <c r="Y421" s="3"/>
    </row>
    <row r="422" spans="7:25" x14ac:dyDescent="0.25">
      <c r="G422" s="7"/>
      <c r="H422" s="7"/>
      <c r="I422" s="7"/>
      <c r="J422" s="12"/>
      <c r="K422" s="7"/>
      <c r="W422" s="4"/>
      <c r="X422" s="4"/>
      <c r="Y422" s="3"/>
    </row>
    <row r="423" spans="7:25" x14ac:dyDescent="0.25">
      <c r="G423" s="7"/>
      <c r="H423" s="7"/>
      <c r="I423" s="7"/>
      <c r="J423" s="12"/>
      <c r="K423" s="7"/>
      <c r="W423" s="4"/>
      <c r="X423" s="4"/>
      <c r="Y423" s="3"/>
    </row>
    <row r="424" spans="7:25" x14ac:dyDescent="0.25">
      <c r="G424" s="7"/>
      <c r="H424" s="7"/>
      <c r="I424" s="7"/>
      <c r="J424" s="12"/>
      <c r="K424" s="7"/>
      <c r="W424" s="4"/>
      <c r="X424" s="4"/>
      <c r="Y424" s="3"/>
    </row>
    <row r="425" spans="7:25" x14ac:dyDescent="0.25">
      <c r="G425" s="7"/>
      <c r="H425" s="7"/>
      <c r="I425" s="7"/>
      <c r="J425" s="12"/>
      <c r="K425" s="7"/>
      <c r="W425" s="4"/>
      <c r="X425" s="4"/>
      <c r="Y425" s="3"/>
    </row>
    <row r="426" spans="7:25" x14ac:dyDescent="0.25">
      <c r="G426" s="7"/>
      <c r="H426" s="7"/>
      <c r="I426" s="7"/>
      <c r="J426" s="12"/>
      <c r="K426" s="7"/>
      <c r="W426" s="4"/>
      <c r="X426" s="4"/>
      <c r="Y426" s="3"/>
    </row>
    <row r="427" spans="7:25" x14ac:dyDescent="0.25">
      <c r="G427" s="7"/>
      <c r="H427" s="7"/>
      <c r="I427" s="7"/>
      <c r="J427" s="12"/>
      <c r="K427" s="7"/>
      <c r="W427" s="4"/>
      <c r="X427" s="4"/>
      <c r="Y427" s="3"/>
    </row>
    <row r="428" spans="7:25" x14ac:dyDescent="0.25">
      <c r="G428" s="7"/>
      <c r="H428" s="7"/>
      <c r="I428" s="7"/>
      <c r="J428" s="12"/>
      <c r="K428" s="7"/>
      <c r="W428" s="4"/>
      <c r="X428" s="4"/>
      <c r="Y428" s="3"/>
    </row>
    <row r="429" spans="7:25" x14ac:dyDescent="0.25">
      <c r="G429" s="7"/>
      <c r="H429" s="7"/>
      <c r="I429" s="7"/>
      <c r="J429" s="12"/>
      <c r="K429" s="7"/>
      <c r="W429" s="4"/>
      <c r="X429" s="4"/>
      <c r="Y429" s="3"/>
    </row>
    <row r="430" spans="7:25" x14ac:dyDescent="0.25">
      <c r="G430" s="7"/>
      <c r="H430" s="7"/>
      <c r="I430" s="7"/>
      <c r="J430" s="12"/>
      <c r="K430" s="7"/>
      <c r="W430" s="4"/>
      <c r="X430" s="4"/>
      <c r="Y430" s="3"/>
    </row>
    <row r="431" spans="7:25" x14ac:dyDescent="0.25">
      <c r="G431" s="7"/>
      <c r="H431" s="7"/>
      <c r="I431" s="7"/>
      <c r="J431" s="12"/>
      <c r="K431" s="7"/>
      <c r="W431" s="4"/>
      <c r="X431" s="4"/>
      <c r="Y431" s="3"/>
    </row>
    <row r="432" spans="7:25" x14ac:dyDescent="0.25">
      <c r="G432" s="7"/>
      <c r="H432" s="7"/>
      <c r="I432" s="7"/>
      <c r="J432" s="12"/>
      <c r="K432" s="7"/>
      <c r="W432" s="4"/>
      <c r="X432" s="4"/>
      <c r="Y432" s="3"/>
    </row>
    <row r="433" spans="7:25" x14ac:dyDescent="0.25">
      <c r="G433" s="7"/>
      <c r="H433" s="7"/>
      <c r="I433" s="7"/>
      <c r="J433" s="12"/>
      <c r="K433" s="7"/>
      <c r="W433" s="4"/>
      <c r="X433" s="4"/>
      <c r="Y433" s="3"/>
    </row>
    <row r="434" spans="7:25" x14ac:dyDescent="0.25">
      <c r="G434" s="7"/>
      <c r="H434" s="7"/>
      <c r="I434" s="7"/>
      <c r="J434" s="12"/>
      <c r="K434" s="7"/>
      <c r="W434" s="4"/>
      <c r="X434" s="4"/>
      <c r="Y434" s="3"/>
    </row>
    <row r="435" spans="7:25" x14ac:dyDescent="0.25">
      <c r="G435" s="7"/>
      <c r="H435" s="7"/>
      <c r="I435" s="7"/>
      <c r="J435" s="12"/>
      <c r="K435" s="7"/>
      <c r="W435" s="4"/>
      <c r="X435" s="4"/>
      <c r="Y435" s="3"/>
    </row>
    <row r="436" spans="7:25" x14ac:dyDescent="0.25">
      <c r="G436" s="7"/>
      <c r="H436" s="7"/>
      <c r="I436" s="7"/>
      <c r="J436" s="12"/>
      <c r="K436" s="7"/>
      <c r="W436" s="4"/>
      <c r="X436" s="4"/>
      <c r="Y436" s="3"/>
    </row>
    <row r="437" spans="7:25" x14ac:dyDescent="0.25">
      <c r="G437" s="7"/>
      <c r="H437" s="7"/>
      <c r="I437" s="7"/>
      <c r="J437" s="12"/>
      <c r="K437" s="7"/>
      <c r="W437" s="4"/>
      <c r="X437" s="4"/>
      <c r="Y437" s="3"/>
    </row>
    <row r="438" spans="7:25" x14ac:dyDescent="0.25">
      <c r="G438" s="7"/>
      <c r="H438" s="7"/>
      <c r="I438" s="7"/>
      <c r="J438" s="12"/>
      <c r="K438" s="7"/>
      <c r="W438" s="4"/>
      <c r="X438" s="4"/>
      <c r="Y438" s="3"/>
    </row>
    <row r="439" spans="7:25" x14ac:dyDescent="0.25">
      <c r="G439" s="7"/>
      <c r="H439" s="7"/>
      <c r="I439" s="7"/>
      <c r="J439" s="12"/>
      <c r="K439" s="7"/>
      <c r="W439" s="4"/>
      <c r="X439" s="4"/>
      <c r="Y439" s="3"/>
    </row>
    <row r="440" spans="7:25" x14ac:dyDescent="0.25">
      <c r="G440" s="7"/>
      <c r="H440" s="7"/>
      <c r="I440" s="7"/>
      <c r="J440" s="12"/>
      <c r="K440" s="7"/>
      <c r="W440" s="4"/>
      <c r="X440" s="4"/>
      <c r="Y440" s="3"/>
    </row>
    <row r="441" spans="7:25" x14ac:dyDescent="0.25">
      <c r="G441" s="7"/>
      <c r="H441" s="7"/>
      <c r="I441" s="7"/>
      <c r="J441" s="12"/>
      <c r="K441" s="7"/>
      <c r="W441" s="4"/>
      <c r="X441" s="4"/>
      <c r="Y441" s="3"/>
    </row>
    <row r="442" spans="7:25" x14ac:dyDescent="0.25">
      <c r="G442" s="7"/>
      <c r="H442" s="7"/>
      <c r="I442" s="7"/>
      <c r="J442" s="12"/>
      <c r="K442" s="7"/>
      <c r="W442" s="4"/>
      <c r="X442" s="4"/>
      <c r="Y442" s="3"/>
    </row>
    <row r="443" spans="7:25" x14ac:dyDescent="0.25">
      <c r="G443" s="7"/>
      <c r="H443" s="7"/>
      <c r="I443" s="7"/>
      <c r="J443" s="12"/>
      <c r="K443" s="7"/>
      <c r="W443" s="4"/>
      <c r="X443" s="4"/>
      <c r="Y443" s="3"/>
    </row>
    <row r="444" spans="7:25" x14ac:dyDescent="0.25">
      <c r="G444" s="7"/>
      <c r="H444" s="7"/>
      <c r="I444" s="7"/>
      <c r="J444" s="12"/>
      <c r="K444" s="7"/>
      <c r="W444" s="4"/>
      <c r="X444" s="4"/>
      <c r="Y444" s="3"/>
    </row>
    <row r="445" spans="7:25" x14ac:dyDescent="0.25">
      <c r="G445" s="7"/>
      <c r="H445" s="7"/>
      <c r="I445" s="7"/>
      <c r="J445" s="12"/>
      <c r="K445" s="7"/>
      <c r="W445" s="4"/>
      <c r="X445" s="4"/>
      <c r="Y445" s="3"/>
    </row>
    <row r="446" spans="7:25" x14ac:dyDescent="0.25">
      <c r="G446" s="7"/>
      <c r="H446" s="7"/>
      <c r="I446" s="7"/>
      <c r="J446" s="12"/>
      <c r="K446" s="7"/>
      <c r="W446" s="4"/>
      <c r="X446" s="4"/>
      <c r="Y446" s="3"/>
    </row>
    <row r="447" spans="7:25" x14ac:dyDescent="0.25">
      <c r="G447" s="7"/>
      <c r="H447" s="7"/>
      <c r="I447" s="7"/>
      <c r="J447" s="12"/>
      <c r="K447" s="7"/>
      <c r="W447" s="4"/>
      <c r="X447" s="4"/>
      <c r="Y447" s="3"/>
    </row>
    <row r="448" spans="7:25"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6" priority="12">
      <formula>ABS(X5-N5)&gt;0.15</formula>
    </cfRule>
  </conditionalFormatting>
  <conditionalFormatting sqref="W5:W281">
    <cfRule type="expression" dxfId="5" priority="9">
      <formula>ABS(W5-M5)&gt;0.15</formula>
    </cfRule>
  </conditionalFormatting>
  <conditionalFormatting sqref="Y5:Y281">
    <cfRule type="expression" dxfId="4" priority="8">
      <formula>T5-Y5&gt;0.001</formula>
    </cfRule>
  </conditionalFormatting>
  <conditionalFormatting sqref="X282:X482">
    <cfRule type="expression" dxfId="3" priority="4">
      <formula>ABS(X282-N282)&gt;0.15</formula>
    </cfRule>
  </conditionalFormatting>
  <conditionalFormatting sqref="W282:W482">
    <cfRule type="expression" dxfId="2" priority="3">
      <formula>ABS(W282-M282)&gt;0.15</formula>
    </cfRule>
  </conditionalFormatting>
  <conditionalFormatting sqref="Y282:Y482">
    <cfRule type="expression" dxfId="1" priority="2">
      <formula>T282-Y282&gt;0.001</formula>
    </cfRule>
  </conditionalFormatting>
  <conditionalFormatting sqref="Z6:Z389">
    <cfRule type="expression" dxfId="0" priority="1">
      <formula>ABS(Z6-O6)&gt;0.15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3"/>
  <sheetViews>
    <sheetView tabSelected="1" zoomScaleNormal="100" workbookViewId="0">
      <pane ySplit="4" topLeftCell="A105" activePane="bottomLeft" state="frozen"/>
      <selection pane="bottomLeft" activeCell="A120" sqref="A120"/>
    </sheetView>
  </sheetViews>
  <sheetFormatPr defaultRowHeight="15" x14ac:dyDescent="0.25"/>
  <cols>
    <col min="1" max="1" width="15.5703125" bestFit="1" customWidth="1"/>
  </cols>
  <sheetData>
    <row r="1" spans="1:7" x14ac:dyDescent="0.25">
      <c r="A1" t="str">
        <f>'Interpreted Data'!A1</f>
        <v>p. 45-46</v>
      </c>
      <c r="B1" t="str">
        <f>'Interpreted Data'!B1</f>
        <v>(=PDF p.49-50)</v>
      </c>
      <c r="F1" t="s">
        <v>288</v>
      </c>
      <c r="G1">
        <v>3.28</v>
      </c>
    </row>
    <row r="2" spans="1:7" x14ac:dyDescent="0.25">
      <c r="A2" t="str">
        <f>'Interpreted Data'!A2</f>
        <v>21st July 1951</v>
      </c>
      <c r="B2" t="str">
        <f>'Interpreted Data'!B2</f>
        <v>W.I.Stanton</v>
      </c>
    </row>
    <row r="3" spans="1:7" x14ac:dyDescent="0.25">
      <c r="C3" t="s">
        <v>256</v>
      </c>
      <c r="D3" s="19" t="s">
        <v>257</v>
      </c>
      <c r="E3" s="19"/>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row>
    <row r="13" spans="1:7" x14ac:dyDescent="0.25">
      <c r="A13" t="str">
        <f>'Interpreted Data'!A13</f>
        <v>I</v>
      </c>
      <c r="B13" t="str">
        <f>'Interpreted Data'!B13</f>
        <v>J</v>
      </c>
      <c r="C13" s="2">
        <f>'Interpreted Data'!J13/$G$1</f>
        <v>7.9268292682926838</v>
      </c>
      <c r="D13" s="10">
        <f>'Interpreted Data'!T13</f>
        <v>275</v>
      </c>
      <c r="E13" s="11" t="str">
        <f>IF(D13="-",IF('Interpreted Data'!U13=-90,"-V",IF('Interpreted Data'!U13=90,"+V",'Interpreted Data'!U13)),'Interpreted Data'!U13)</f>
        <v>2</v>
      </c>
    </row>
    <row r="14" spans="1:7" x14ac:dyDescent="0.25">
      <c r="A14" t="str">
        <f>'Interpreted Data'!A14</f>
        <v>J</v>
      </c>
      <c r="B14" t="str">
        <f>'Interpreted Data'!B14</f>
        <v>K</v>
      </c>
      <c r="C14" s="2">
        <f>'Interpreted Data'!J14/$G$1</f>
        <v>8.0792682926829276</v>
      </c>
      <c r="D14" s="10">
        <f>'Interpreted Data'!T14</f>
        <v>320</v>
      </c>
      <c r="E14" s="11" t="str">
        <f>IF(D14="-",IF('Interpreted Data'!U14=-90,"-V",IF('Interpreted Data'!U14=90,"+V",'Interpreted Data'!U14)),'Interpreted Data'!U14)</f>
        <v>1</v>
      </c>
    </row>
    <row r="15" spans="1:7" x14ac:dyDescent="0.25">
      <c r="A15" t="str">
        <f>'Interpreted Data'!A15</f>
        <v>K</v>
      </c>
      <c r="B15" t="str">
        <f>'Interpreted Data'!B15</f>
        <v>L</v>
      </c>
      <c r="C15" s="2">
        <f>'Interpreted Data'!J15/$G$1</f>
        <v>5.3353658536585371</v>
      </c>
      <c r="D15" s="10">
        <f>'Interpreted Data'!T15</f>
        <v>13</v>
      </c>
      <c r="E15" s="11" t="str">
        <f>IF(D15="-",IF('Interpreted Data'!U15=-90,"-V",IF('Interpreted Data'!U15=90,"+V",'Interpreted Data'!U15)),'Interpreted Data'!U15)</f>
        <v>-9</v>
      </c>
    </row>
    <row r="16" spans="1:7" x14ac:dyDescent="0.25">
      <c r="A16" t="str">
        <f>'Interpreted Data'!A16</f>
        <v>L</v>
      </c>
      <c r="B16" t="str">
        <f>'Interpreted Data'!B16</f>
        <v>M</v>
      </c>
      <c r="C16" s="2">
        <f>'Interpreted Data'!J16/$G$1</f>
        <v>10.060975609756099</v>
      </c>
      <c r="D16" s="10">
        <f>'Interpreted Data'!T16</f>
        <v>299</v>
      </c>
      <c r="E16" s="11" t="str">
        <f>IF(D16="-",IF('Interpreted Data'!U16=-90,"-V",IF('Interpreted Data'!U16=90,"+V",'Interpreted Data'!U16)),'Interpreted Data'!U16)</f>
        <v>-3</v>
      </c>
    </row>
    <row r="17" spans="1:5" x14ac:dyDescent="0.25">
      <c r="A17" t="str">
        <f>'Interpreted Data'!A17</f>
        <v>M</v>
      </c>
      <c r="B17" t="str">
        <f>'Interpreted Data'!B17</f>
        <v>N</v>
      </c>
      <c r="C17" s="2">
        <f>'Interpreted Data'!J17/$G$1</f>
        <v>13.109756097560977</v>
      </c>
      <c r="D17" s="10">
        <f>'Interpreted Data'!T17</f>
        <v>322</v>
      </c>
      <c r="E17" s="11" t="str">
        <f>IF(D17="-",IF('Interpreted Data'!U17=-90,"-V",IF('Interpreted Data'!U17=90,"+V",'Interpreted Data'!U17)),'Interpreted Data'!U17)</f>
        <v>-7.3</v>
      </c>
    </row>
    <row r="18" spans="1:5" x14ac:dyDescent="0.25">
      <c r="A18" t="str">
        <f>'Interpreted Data'!A18</f>
        <v>N</v>
      </c>
      <c r="B18" t="str">
        <f>'Interpreted Data'!B18</f>
        <v>O</v>
      </c>
      <c r="C18" s="2">
        <f>'Interpreted Data'!J18/$G$1</f>
        <v>4.725609756097561</v>
      </c>
      <c r="D18" s="10">
        <f>'Interpreted Data'!T18</f>
        <v>281</v>
      </c>
      <c r="E18" s="11" t="str">
        <f>IF(D18="-",IF('Interpreted Data'!U18=-90,"-V",IF('Interpreted Data'!U18=90,"+V",'Interpreted Data'!U18)),'Interpreted Data'!U18)</f>
        <v>-2</v>
      </c>
    </row>
    <row r="19" spans="1:5" x14ac:dyDescent="0.25">
      <c r="A19" t="str">
        <f>'Interpreted Data'!A19</f>
        <v>O</v>
      </c>
      <c r="B19" t="str">
        <f>'Interpreted Data'!B19</f>
        <v>P</v>
      </c>
      <c r="C19" s="2">
        <f>'Interpreted Data'!J19/$G$1</f>
        <v>17.073170731707318</v>
      </c>
      <c r="D19" s="10">
        <f>'Interpreted Data'!T19</f>
        <v>307</v>
      </c>
      <c r="E19" s="11" t="str">
        <f>IF(D19="-",IF('Interpreted Data'!U19=-90,"-V",IF('Interpreted Data'!U19=90,"+V",'Interpreted Data'!U19)),'Interpreted Data'!U19)</f>
        <v>-5</v>
      </c>
    </row>
    <row r="20" spans="1:5"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row>
    <row r="21" spans="1:5"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row>
    <row r="22" spans="1:5"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row>
    <row r="23" spans="1:5"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row>
    <row r="24" spans="1:5"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row>
    <row r="25" spans="1:5" x14ac:dyDescent="0.25">
      <c r="A25" s="20" t="str">
        <f>CONCATENATE(";",'Interpreted Data'!A25)</f>
        <v>;U</v>
      </c>
      <c r="B25" t="str">
        <f>'Interpreted Data'!B25</f>
        <v/>
      </c>
      <c r="C25" s="2"/>
      <c r="D25" s="10"/>
      <c r="E25" s="11"/>
    </row>
    <row r="26" spans="1:5"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row>
    <row r="27" spans="1:5" x14ac:dyDescent="0.25">
      <c r="A27" t="str">
        <f>'Interpreted Data'!A27</f>
        <v>B1</v>
      </c>
      <c r="B27" t="str">
        <f>'Interpreted Data'!B27</f>
        <v>C1</v>
      </c>
      <c r="C27" s="2">
        <f>'Interpreted Data'!J27/$G$1</f>
        <v>11.432926829268293</v>
      </c>
      <c r="D27" s="10">
        <f>'Interpreted Data'!T27</f>
        <v>248</v>
      </c>
      <c r="E27" s="11" t="str">
        <f>IF(D27="-",IF('Interpreted Data'!U27=-90,"-V",IF('Interpreted Data'!U27=90,"+V",'Interpreted Data'!U27)),'Interpreted Data'!U27)</f>
        <v>-6</v>
      </c>
    </row>
    <row r="28" spans="1:5" x14ac:dyDescent="0.25">
      <c r="A28" s="20" t="str">
        <f>CONCATENATE(";",'Interpreted Data'!A28)</f>
        <v>;p. 47-50</v>
      </c>
      <c r="B28" t="str">
        <f>'Interpreted Data'!B28</f>
        <v>(=PDF p.51-54)</v>
      </c>
      <c r="C28" s="2"/>
      <c r="D28" s="10"/>
      <c r="E28" s="11"/>
    </row>
    <row r="29" spans="1:5" x14ac:dyDescent="0.25">
      <c r="A29" s="20" t="str">
        <f>CONCATENATE(";",'Interpreted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Data'!J30/$G$1</f>
        <v>3.5975609756097566</v>
      </c>
      <c r="D30" s="10">
        <f>'Interpreted Data'!T30</f>
        <v>265</v>
      </c>
      <c r="E30" s="11" t="str">
        <f>IF(D30="-",IF('Interpreted Data'!U30=-90,"-V",IF('Interpreted Data'!U30=90,"+V",'Interpreted Data'!U30)),'Interpreted Data'!U30)</f>
        <v>-24</v>
      </c>
    </row>
    <row r="31" spans="1:5"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row>
    <row r="32" spans="1:5"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row>
    <row r="36" spans="1:6" x14ac:dyDescent="0.25">
      <c r="A36" s="20" t="str">
        <f>CONCATENATE(";",'Interpreted Data'!A36)</f>
        <v>;Y</v>
      </c>
      <c r="B36" t="str">
        <f>'Interpreted Data'!B36</f>
        <v/>
      </c>
      <c r="C36" s="2"/>
      <c r="D36" s="10"/>
      <c r="E36" s="11"/>
    </row>
    <row r="37" spans="1:6" x14ac:dyDescent="0.25">
      <c r="A37" t="str">
        <f>'Interpreted Data'!A37</f>
        <v>T</v>
      </c>
      <c r="B37" t="str">
        <f>'Interpreted Data'!B37</f>
        <v>Ri</v>
      </c>
      <c r="C37" s="2">
        <f>'Interpreted Data'!J37/$G$1</f>
        <v>6.7378048780487809</v>
      </c>
      <c r="D37" s="10">
        <f>'Interpreted Data'!T37</f>
        <v>19</v>
      </c>
      <c r="E37" s="11" t="str">
        <f>IF(D37="-",IF('Interpreted Data'!U37=-90,"-V",IF('Interpreted Data'!U37=90,"+V",'Interpreted Data'!U37)),'Interpreted Data'!U37)</f>
        <v>20</v>
      </c>
    </row>
    <row r="38" spans="1:6" x14ac:dyDescent="0.25">
      <c r="A38" t="str">
        <f>'Interpreted Data'!A38</f>
        <v>Ri</v>
      </c>
      <c r="B38" t="str">
        <f>'Interpreted Data'!B38</f>
        <v>Rii</v>
      </c>
      <c r="C38" s="2">
        <f>'Interpreted Data'!J38/$G$1</f>
        <v>14.02439024390244</v>
      </c>
      <c r="D38" s="10">
        <f>'Interpreted Data'!T38</f>
        <v>315</v>
      </c>
      <c r="E38" s="11" t="str">
        <f>IF(D38="-",IF('Interpreted Data'!U38=-90,"-V",IF('Interpreted Data'!U38=90,"+V",'Interpreted Data'!U38)),'Interpreted Data'!U38)</f>
        <v>-3</v>
      </c>
    </row>
    <row r="39" spans="1:6" x14ac:dyDescent="0.25">
      <c r="A39" t="str">
        <f>'Interpreted Data'!A39</f>
        <v>Rii</v>
      </c>
      <c r="B39" t="str">
        <f>'Interpreted Data'!B39</f>
        <v>Riii</v>
      </c>
      <c r="C39" s="2">
        <f>'Interpreted Data'!J39/$G$1</f>
        <v>9.7560975609756095</v>
      </c>
      <c r="D39" s="10">
        <f>'Interpreted Data'!T39</f>
        <v>348</v>
      </c>
      <c r="E39" s="11" t="str">
        <f>IF(D39="-",IF('Interpreted Data'!U39=-90,"-V",IF('Interpreted Data'!U39=90,"+V",'Interpreted Data'!U39)),'Interpreted Data'!U39)</f>
        <v>2</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row>
    <row r="41" spans="1:6" x14ac:dyDescent="0.25">
      <c r="A41" t="str">
        <f>CONCATENATE('Interpreted Data'!A41,"2")</f>
        <v>a2</v>
      </c>
      <c r="B41" t="str">
        <f>CONCATENATE('Interpreted Data'!B41,"2")</f>
        <v>b2</v>
      </c>
      <c r="C41" s="2">
        <f>'Interpreted Data'!J41/$G$1</f>
        <v>13.109756097560977</v>
      </c>
      <c r="D41" s="10">
        <f>'Interpreted Data'!T41</f>
        <v>83</v>
      </c>
      <c r="E41" s="11" t="str">
        <f>IF(D41="-",IF('Interpreted Data'!U41=-90,"-V",IF('Interpreted Data'!U41=90,"+V",'Interpreted Data'!U41)),'Interpreted Data'!U41)</f>
        <v>15</v>
      </c>
      <c r="F41" t="s">
        <v>902</v>
      </c>
    </row>
    <row r="42" spans="1:6" x14ac:dyDescent="0.25">
      <c r="A42" t="str">
        <f>CONCATENATE('Interpreted Data'!A42,"2")</f>
        <v>b2</v>
      </c>
      <c r="B42" t="str">
        <f>CONCATENATE('Interpreted Data'!B42,"2")</f>
        <v>c2</v>
      </c>
      <c r="C42" s="2">
        <f>'Interpreted Data'!J42/$G$1</f>
        <v>6.3109756097560981</v>
      </c>
      <c r="D42" s="10">
        <f>'Interpreted Data'!T42</f>
        <v>6</v>
      </c>
      <c r="E42" s="11" t="str">
        <f>IF(D42="-",IF('Interpreted Data'!U42=-90,"-V",IF('Interpreted Data'!U42=90,"+V",'Interpreted Data'!U42)),'Interpreted Data'!U42)</f>
        <v>8</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row>
    <row r="49" spans="1:5"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row>
    <row r="50" spans="1:5"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row>
    <row r="51" spans="1:5"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row>
    <row r="52" spans="1:5"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row>
    <row r="53" spans="1:5"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row>
    <row r="54" spans="1:5"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row>
    <row r="55" spans="1:5"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row>
    <row r="56" spans="1:5"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row>
    <row r="57" spans="1:5"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row>
    <row r="58" spans="1:5"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row>
    <row r="59" spans="1:5"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row>
    <row r="60" spans="1:5"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row>
    <row r="61" spans="1:5"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row>
    <row r="62" spans="1:5"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row>
    <row r="63" spans="1:5"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row>
    <row r="64" spans="1:5"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row>
    <row r="65" spans="1:5"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row>
    <row r="66" spans="1:5"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row>
    <row r="67" spans="1:5" x14ac:dyDescent="0.25">
      <c r="A67">
        <f>'Interpreted Data'!A67</f>
        <v>18</v>
      </c>
      <c r="B67">
        <f>'Interpreted Data'!B67</f>
        <v>19</v>
      </c>
      <c r="C67" s="2">
        <f>'Interpreted Data'!J67/$G$1</f>
        <v>3.3536585365853662</v>
      </c>
      <c r="D67" s="10" t="str">
        <f>'Interpreted Data'!T67</f>
        <v>-</v>
      </c>
      <c r="E67" s="11" t="str">
        <f>IF(D67="-",IF('Interpreted Data'!U67=-90,"-V",IF('Interpreted Data'!U67=90,"+V",'Interpreted Data'!U67)),'Interpreted Data'!U67)</f>
        <v>-V</v>
      </c>
    </row>
    <row r="68" spans="1:5" x14ac:dyDescent="0.25">
      <c r="A68" t="str">
        <f>'Interpreted Data'!A68</f>
        <v/>
      </c>
      <c r="B68" t="str">
        <f>'Interpreted Data'!B68</f>
        <v/>
      </c>
      <c r="C68" s="2"/>
      <c r="D68" s="10"/>
      <c r="E68" s="11"/>
    </row>
    <row r="69" spans="1:5" x14ac:dyDescent="0.25">
      <c r="A69" s="20" t="str">
        <f>CONCATENATE(";",'Interpreted Data'!A69)</f>
        <v>;p. 51-52</v>
      </c>
      <c r="B69" t="str">
        <f>'Interpreted Data'!B69</f>
        <v>(=PDF p.55-56)</v>
      </c>
      <c r="C69" s="2"/>
      <c r="D69" s="10"/>
      <c r="E69" s="11"/>
    </row>
    <row r="70" spans="1:5" x14ac:dyDescent="0.25">
      <c r="A70" s="20" t="str">
        <f>CONCATENATE(";",'Interpreted Data'!A70)</f>
        <v>;30th March 1952</v>
      </c>
      <c r="B70" t="str">
        <f>'Interpreted Data'!B70</f>
        <v/>
      </c>
      <c r="C70" s="2"/>
      <c r="D70" s="10"/>
      <c r="E70" s="11"/>
    </row>
    <row r="71" spans="1:5"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row>
    <row r="72" spans="1:5"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row>
    <row r="73" spans="1:5"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row>
    <row r="74" spans="1:5"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row>
    <row r="75" spans="1:5"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row>
    <row r="76" spans="1:5"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row>
    <row r="77" spans="1:5"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row>
    <row r="78" spans="1:5"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row>
    <row r="79" spans="1:5"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row>
    <row r="80" spans="1:5"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row>
    <row r="81" spans="1:5"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row>
    <row r="82" spans="1:5"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row>
    <row r="83" spans="1:5" x14ac:dyDescent="0.25">
      <c r="A83" s="20" t="str">
        <f>CONCATENATE(";",'Interpreted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s="20" t="str">
        <f>CONCATENATE(";",'Interpreted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row>
    <row r="87" spans="1:5"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row>
    <row r="88" spans="1:5"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row>
    <row r="89" spans="1:5"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row>
    <row r="90" spans="1:5"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row>
    <row r="91" spans="1:5"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row>
    <row r="92" spans="1:5"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row>
    <row r="93" spans="1:5"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row>
    <row r="94" spans="1:5"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row>
    <row r="95" spans="1:5"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row>
    <row r="96" spans="1:5"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row>
    <row r="97" spans="1:5"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row>
    <row r="98" spans="1:5" x14ac:dyDescent="0.25">
      <c r="A98" s="20" t="str">
        <f>CONCATENATE(";",'Interpreted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s="20" t="str">
        <f>CONCATENATE(";",'Interpreted Data'!A100)</f>
        <v>;14th August '52</v>
      </c>
      <c r="B100" t="str">
        <f>'Interpreted Data'!B100</f>
        <v>Colin</v>
      </c>
      <c r="C100" s="2"/>
      <c r="D100" s="10"/>
      <c r="E100" s="11"/>
    </row>
    <row r="101" spans="1:5"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row>
    <row r="102" spans="1:5"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row>
    <row r="103" spans="1:5"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row>
    <row r="104" spans="1:5"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row>
    <row r="105" spans="1:5"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row>
    <row r="106" spans="1:5"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row>
    <row r="107" spans="1:5"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row>
    <row r="108" spans="1:5"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row>
    <row r="109" spans="1:5"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row>
    <row r="110" spans="1:5"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row>
    <row r="111" spans="1:5"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row>
    <row r="112" spans="1:5"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row>
    <row r="113" spans="1:5"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row>
    <row r="114" spans="1:5"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row>
    <row r="115" spans="1:5"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row>
    <row r="116" spans="1:5"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row>
    <row r="117" spans="1:5"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row>
    <row r="118" spans="1:5" x14ac:dyDescent="0.25">
      <c r="A118" s="20" t="str">
        <f>CONCATENATE(";",'Interpreted Data'!A118)</f>
        <v>;35</v>
      </c>
      <c r="C118" s="2"/>
      <c r="D118" s="10"/>
      <c r="E118" s="11"/>
    </row>
    <row r="119" spans="1:5"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row>
    <row r="120" spans="1:5"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row>
    <row r="121" spans="1:5" x14ac:dyDescent="0.25">
      <c r="A121" t="str">
        <f>'Interpreted Data'!A121</f>
        <v/>
      </c>
      <c r="B121" t="str">
        <f>'Interpreted Data'!B121</f>
        <v/>
      </c>
      <c r="C121" s="2"/>
      <c r="D121" s="10"/>
      <c r="E121" s="11"/>
    </row>
    <row r="122" spans="1:5" x14ac:dyDescent="0.25">
      <c r="A122" s="20" t="str">
        <f>CONCATENATE(";",'Interpreted Data'!A122)</f>
        <v>;p. 53-56</v>
      </c>
      <c r="B122" t="str">
        <f>'Interpreted Data'!B122</f>
        <v>(=PDF p.57-60)</v>
      </c>
      <c r="C122" s="2"/>
      <c r="D122" s="10"/>
      <c r="E122" s="11"/>
    </row>
    <row r="123" spans="1:5"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row>
    <row r="124" spans="1:5"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row>
    <row r="125" spans="1:5"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row>
    <row r="126" spans="1:5"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row>
    <row r="127" spans="1:5"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row>
    <row r="128" spans="1:5"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row>
    <row r="129" spans="1:5"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row>
    <row r="130" spans="1:5"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row>
    <row r="131" spans="1:5"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row>
    <row r="132" spans="1:5"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row>
    <row r="133" spans="1:5"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row>
    <row r="134" spans="1:5"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row>
    <row r="135" spans="1:5"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row>
    <row r="136" spans="1:5"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row>
    <row r="137" spans="1:5"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row>
    <row r="138" spans="1:5"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row>
    <row r="139" spans="1:5"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row>
    <row r="140" spans="1:5"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row>
    <row r="141" spans="1:5"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row>
    <row r="142" spans="1:5" x14ac:dyDescent="0.25">
      <c r="A142" s="20" t="str">
        <f>CONCATENATE(";",'Interpreted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s="20" t="str">
        <f>CONCATENATE(";",'Interpreted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row>
    <row r="146" spans="1:5"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row>
    <row r="147" spans="1:5"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row>
    <row r="148" spans="1:5"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row>
    <row r="149" spans="1:5"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row>
    <row r="150" spans="1:5"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row>
    <row r="151" spans="1:5"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row>
    <row r="152" spans="1:5"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row>
    <row r="153" spans="1:5"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row>
    <row r="154" spans="1:5"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row>
    <row r="155" spans="1:5"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row>
    <row r="156" spans="1:5"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row>
    <row r="157" spans="1:5"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row>
    <row r="158" spans="1:5"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row>
    <row r="159" spans="1:5"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row>
    <row r="160" spans="1:5"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row>
    <row r="161" spans="1:5"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row>
    <row r="162" spans="1:5" x14ac:dyDescent="0.25">
      <c r="A162" s="20" t="str">
        <f>CONCATENATE(";",'Interpreted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s="20" t="str">
        <f>CONCATENATE(";",'Interpreted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row>
    <row r="166" spans="1:5"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row>
    <row r="167" spans="1:5"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row>
    <row r="168" spans="1:5"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row>
    <row r="169" spans="1:5"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row>
    <row r="170" spans="1:5"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row>
    <row r="171" spans="1:5"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row>
    <row r="172" spans="1:5"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row>
    <row r="173" spans="1:5"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row>
    <row r="174" spans="1:5"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row>
    <row r="175" spans="1:5"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row>
    <row r="176" spans="1:5"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row>
    <row r="177" spans="1:5"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row>
    <row r="178" spans="1:5"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row>
    <row r="179" spans="1:5"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row>
    <row r="180" spans="1:5"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row>
    <row r="181" spans="1:5"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row>
    <row r="182" spans="1:5"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row>
    <row r="183" spans="1:5"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row>
    <row r="184" spans="1:5"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row>
    <row r="185" spans="1:5"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row>
    <row r="186" spans="1:5" x14ac:dyDescent="0.25">
      <c r="A186" s="20" t="str">
        <f>CONCATENATE(";",'Interpreted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s="20" t="str">
        <f>CONCATENATE(";",'Interpreted Data'!A188)</f>
        <v>;p. 61-64</v>
      </c>
      <c r="B188" t="str">
        <f>'Interpreted Data'!B188</f>
        <v>(=PDF p.65-68)</v>
      </c>
      <c r="C188" s="2"/>
      <c r="D188" s="10"/>
      <c r="E188" s="11"/>
    </row>
    <row r="189" spans="1:5" x14ac:dyDescent="0.25">
      <c r="A189" s="20" t="str">
        <f>CONCATENATE(";",'Interpreted Data'!A189)</f>
        <v>;8th Feb '53</v>
      </c>
      <c r="B189" t="str">
        <f>'Interpreted Data'!B189</f>
        <v/>
      </c>
      <c r="C189" s="2"/>
      <c r="D189" s="10"/>
      <c r="E189" s="11"/>
    </row>
    <row r="190" spans="1:5"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row>
    <row r="191" spans="1:5"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row>
    <row r="192" spans="1:5"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row>
    <row r="193" spans="1:5"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row>
    <row r="194" spans="1:5"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row>
    <row r="195" spans="1:5"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row>
    <row r="196" spans="1:5"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row>
    <row r="197" spans="1:5"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row>
    <row r="198" spans="1:5"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row>
    <row r="199" spans="1:5"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row>
    <row r="200" spans="1:5"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row>
    <row r="201" spans="1:5"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row>
    <row r="202" spans="1:5"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row>
    <row r="203" spans="1:5"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row>
    <row r="204" spans="1:5"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row>
    <row r="205" spans="1:5"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row>
    <row r="206" spans="1:5"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row>
    <row r="207" spans="1:5"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row>
    <row r="208" spans="1:5"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row>
    <row r="209" spans="1:5"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row>
    <row r="210" spans="1:5"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row>
    <row r="211" spans="1:5"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row>
    <row r="212" spans="1:5"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row>
    <row r="213" spans="1:5"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row>
    <row r="214" spans="1:5"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row>
    <row r="215" spans="1:5"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row>
    <row r="216" spans="1:5"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row>
    <row r="217" spans="1:5"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row>
    <row r="218" spans="1:5"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row>
    <row r="219" spans="1:5"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row>
    <row r="220" spans="1:5"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row>
    <row r="221" spans="1:5"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row>
    <row r="222" spans="1:5"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row>
    <row r="223" spans="1:5"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row>
    <row r="224" spans="1:5"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row>
    <row r="230" spans="1:6" x14ac:dyDescent="0.25">
      <c r="A230" s="20" t="str">
        <f>CONCATENATE(";",'Interpreted Data'!A230)</f>
        <v>;CN</v>
      </c>
      <c r="B230" t="str">
        <f>'Interpreted Data'!B230</f>
        <v/>
      </c>
      <c r="C230" s="2"/>
      <c r="D230" s="10"/>
      <c r="E230" s="11"/>
    </row>
    <row r="231" spans="1:6" x14ac:dyDescent="0.25">
      <c r="A231" s="20" t="str">
        <f>CONCATENATE(";",'Interpreted Data'!A231)</f>
        <v>;1st March 1953</v>
      </c>
      <c r="B231" t="str">
        <f>'Interpreted Data'!B231</f>
        <v>Phil, Don, Oliver, Colin</v>
      </c>
      <c r="C231" s="2"/>
      <c r="D231" s="10"/>
      <c r="E231" s="11"/>
    </row>
    <row r="232" spans="1:6" x14ac:dyDescent="0.25">
      <c r="A232" t="s">
        <v>147</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t="s">
        <v>903</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row>
    <row r="237" spans="1:6" x14ac:dyDescent="0.25">
      <c r="A237" t="str">
        <f>CONCATENATE('Interpreted Data'!A237,"3")</f>
        <v>e3</v>
      </c>
      <c r="B237" t="str">
        <f>CONCATENATE('Interpreted Data'!B237,"3")</f>
        <v>f3</v>
      </c>
      <c r="C237" s="2">
        <f>'Interpreted Data'!J237/$G$1</f>
        <v>7.1646341463414638</v>
      </c>
      <c r="D237" s="22">
        <f>'Interpreted Data'!Y237</f>
        <v>125</v>
      </c>
      <c r="E237" s="11">
        <f>IF(D237="-",IF('Interpreted Data'!U237=-90,"-V",IF('Interpreted Data'!U237=90,"+V",'Interpreted Data'!U237)),'Interpreted Data'!U237)</f>
        <v>8.75</v>
      </c>
    </row>
    <row r="238" spans="1:6" x14ac:dyDescent="0.25">
      <c r="A238" t="str">
        <f>CONCATENATE('Interpreted Data'!A238,"3")</f>
        <v>f3</v>
      </c>
      <c r="B238" t="str">
        <f>CONCATENATE('Interpreted Data'!B238,"3")</f>
        <v>g3</v>
      </c>
      <c r="C238" s="2">
        <f>'Interpreted Data'!J238/$G$1</f>
        <v>5.1524390243902438</v>
      </c>
      <c r="D238" s="22">
        <f>'Interpreted Data'!Y238</f>
        <v>162</v>
      </c>
      <c r="E238" s="11">
        <f>IF(D238="-",IF('Interpreted Data'!U238=-90,"-V",IF('Interpreted Data'!U238=90,"+V",'Interpreted Data'!U238)),'Interpreted Data'!U238)</f>
        <v>-5</v>
      </c>
    </row>
    <row r="239" spans="1:6" x14ac:dyDescent="0.25">
      <c r="A239" t="str">
        <f>CONCATENATE('Interpreted Data'!A239,"3")</f>
        <v>g3</v>
      </c>
      <c r="B239" t="str">
        <f>CONCATENATE('Interpreted Data'!B239,"3")</f>
        <v>h3</v>
      </c>
      <c r="C239" s="2">
        <f>'Interpreted Data'!J239/$G$1</f>
        <v>2.3170731707317072</v>
      </c>
      <c r="D239" s="22">
        <f>'Interpreted Data'!Y239</f>
        <v>193</v>
      </c>
      <c r="E239" s="11">
        <f>IF(D239="-",IF('Interpreted Data'!U239=-90,"-V",IF('Interpreted Data'!U239=90,"+V",'Interpreted Data'!U239)),'Interpreted Data'!U239)</f>
        <v>3.7721836850570951</v>
      </c>
    </row>
    <row r="240" spans="1:6" x14ac:dyDescent="0.25">
      <c r="A240" t="str">
        <f>CONCATENATE('Interpreted Data'!A240,"3")</f>
        <v>h3</v>
      </c>
      <c r="B240" t="str">
        <f>CONCATENATE('Interpreted Data'!B240,"3")</f>
        <v>i3</v>
      </c>
      <c r="C240" s="2">
        <f>'Interpreted Data'!J240/$G$1</f>
        <v>5.5487804878048781</v>
      </c>
      <c r="D240" s="22">
        <f>'Interpreted Data'!Y240</f>
        <v>182</v>
      </c>
      <c r="E240" s="11">
        <f>IF(D240="-",IF('Interpreted Data'!U240=-90,"-V",IF('Interpreted Data'!U240=90,"+V",'Interpreted Data'!U240)),'Interpreted Data'!U240)</f>
        <v>5.5</v>
      </c>
    </row>
    <row r="241" spans="1:5" x14ac:dyDescent="0.25">
      <c r="A241" t="str">
        <f>CONCATENATE('Interpreted Data'!A241,"3")</f>
        <v>i3</v>
      </c>
      <c r="B241" t="str">
        <f>CONCATENATE('Interpreted Data'!B241,"3")</f>
        <v>j3</v>
      </c>
      <c r="C241" s="2">
        <f>'Interpreted Data'!J241/$G$1</f>
        <v>2.3780487804878048</v>
      </c>
      <c r="D241" s="22">
        <f>'Interpreted Data'!Y241</f>
        <v>187</v>
      </c>
      <c r="E241" s="11">
        <f>IF(D241="-",IF('Interpreted Data'!U241=-90,"-V",IF('Interpreted Data'!U241=90,"+V",'Interpreted Data'!U241)),'Interpreted Data'!U241)</f>
        <v>-7</v>
      </c>
    </row>
    <row r="242" spans="1:5" x14ac:dyDescent="0.25">
      <c r="A242" t="str">
        <f>CONCATENATE('Interpreted Data'!A242,"3")</f>
        <v>j3</v>
      </c>
      <c r="B242" t="str">
        <f>CONCATENATE('Interpreted Data'!B242,"3")</f>
        <v>k3</v>
      </c>
      <c r="C242" s="2">
        <f>'Interpreted Data'!J242/$G$1</f>
        <v>8.8109756097560972</v>
      </c>
      <c r="D242" s="22">
        <f>'Interpreted Data'!Y242</f>
        <v>194</v>
      </c>
      <c r="E242" s="11">
        <f>IF(D242="-",IF('Interpreted Data'!U242=-90,"-V",IF('Interpreted Data'!U242=90,"+V",'Interpreted Data'!U242)),'Interpreted Data'!U242)</f>
        <v>-17.5</v>
      </c>
    </row>
    <row r="243" spans="1:5" x14ac:dyDescent="0.25">
      <c r="A243" t="str">
        <f>CONCATENATE('Interpreted Data'!A243,"3")</f>
        <v>k3</v>
      </c>
      <c r="B243" t="str">
        <f>CONCATENATE('Interpreted Data'!B243,"3")</f>
        <v>l3</v>
      </c>
      <c r="C243" s="2">
        <f>'Interpreted Data'!J243/$G$1</f>
        <v>6.798780487804879</v>
      </c>
      <c r="D243" s="22">
        <f>'Interpreted Data'!Y243</f>
        <v>207.5</v>
      </c>
      <c r="E243" s="11">
        <f>IF(D243="-",IF('Interpreted Data'!U243=-90,"-V",IF('Interpreted Data'!U243=90,"+V",'Interpreted Data'!U243)),'Interpreted Data'!U243)</f>
        <v>4</v>
      </c>
    </row>
    <row r="244" spans="1:5" x14ac:dyDescent="0.25">
      <c r="A244" t="str">
        <f>CONCATENATE('Interpreted Data'!A244,"3")</f>
        <v>l3</v>
      </c>
      <c r="B244" t="str">
        <f>CONCATENATE('Interpreted Data'!B244,"3")</f>
        <v>m3</v>
      </c>
      <c r="C244" s="2">
        <f>'Interpreted Data'!J244/$G$1</f>
        <v>6.9817073170731705</v>
      </c>
      <c r="D244" s="22">
        <f>'Interpreted Data'!Y244</f>
        <v>187</v>
      </c>
      <c r="E244" s="11">
        <f>IF(D244="-",IF('Interpreted Data'!U244=-90,"-V",IF('Interpreted Data'!U244=90,"+V",'Interpreted Data'!U244)),'Interpreted Data'!U244)</f>
        <v>0.66666665999999997</v>
      </c>
    </row>
    <row r="245" spans="1:5" x14ac:dyDescent="0.25">
      <c r="A245" t="str">
        <f>CONCATENATE('Interpreted Data'!A245,"3")</f>
        <v>m3</v>
      </c>
      <c r="B245" t="str">
        <f>CONCATENATE('Interpreted Data'!B245,"3")</f>
        <v>n3</v>
      </c>
      <c r="C245" s="2">
        <f>'Interpreted Data'!J245/$G$1</f>
        <v>5.7317073170731714</v>
      </c>
      <c r="D245" s="22">
        <f>'Interpreted Data'!Y245</f>
        <v>224</v>
      </c>
      <c r="E245" s="11">
        <f>IF(D245="-",IF('Interpreted Data'!U245=-90,"-V",IF('Interpreted Data'!U245=90,"+V",'Interpreted Data'!U245)),'Interpreted Data'!U245)</f>
        <v>-5.5</v>
      </c>
    </row>
    <row r="246" spans="1:5" x14ac:dyDescent="0.25">
      <c r="A246" t="str">
        <f>CONCATENATE('Interpreted Data'!A246,"3")</f>
        <v>n3</v>
      </c>
      <c r="B246" t="str">
        <f>CONCATENATE('Interpreted Data'!B246,"3")</f>
        <v>o3</v>
      </c>
      <c r="C246" s="2">
        <f>'Interpreted Data'!J246/$G$1</f>
        <v>14.359756097560977</v>
      </c>
      <c r="D246" s="22">
        <f>'Interpreted Data'!Y246</f>
        <v>251</v>
      </c>
      <c r="E246" s="11">
        <f>IF(D246="-",IF('Interpreted Data'!U246=-90,"-V",IF('Interpreted Data'!U246=90,"+V",'Interpreted Data'!U246)),'Interpreted Data'!U246)</f>
        <v>-11.5</v>
      </c>
    </row>
    <row r="247" spans="1:5" x14ac:dyDescent="0.25">
      <c r="A247" s="20" t="str">
        <f>CONCATENATE(";",'Interpreted Data'!A247,3)</f>
        <v>;o3</v>
      </c>
      <c r="B247" t="str">
        <f>'Interpreted Data'!B247</f>
        <v/>
      </c>
      <c r="C247" s="2"/>
      <c r="D247" s="22"/>
      <c r="E247" s="11"/>
    </row>
    <row r="248" spans="1:5" x14ac:dyDescent="0.25">
      <c r="A248" s="20" t="str">
        <f>CONCATENATE(";",'Interpreted Data'!A248)</f>
        <v>;14th March 1953</v>
      </c>
      <c r="B248" t="str">
        <f>'Interpreted Data'!B248</f>
        <v>Howard</v>
      </c>
      <c r="C248" s="2"/>
      <c r="D248" s="22"/>
      <c r="E248" s="11"/>
    </row>
    <row r="249" spans="1:5" x14ac:dyDescent="0.25">
      <c r="A249" t="str">
        <f>CONCATENATE('Interpreted Data'!A249,"3")</f>
        <v>o3</v>
      </c>
      <c r="B249" t="str">
        <f>CONCATENATE('Interpreted Data'!B249,"3")</f>
        <v>p3</v>
      </c>
      <c r="C249" s="2">
        <f>'Interpreted Data'!J249/$G$1</f>
        <v>7.3170731707317076</v>
      </c>
      <c r="D249" s="22">
        <f>'Interpreted Data'!Y249</f>
        <v>282</v>
      </c>
      <c r="E249" s="11">
        <f>IF(D249="-",IF('Interpreted Data'!U249=-90,"-V",IF('Interpreted Data'!U249=90,"+V",'Interpreted Data'!U249)),'Interpreted Data'!U249)</f>
        <v>-9.25</v>
      </c>
    </row>
    <row r="250" spans="1:5" x14ac:dyDescent="0.25">
      <c r="A250" t="str">
        <f>CONCATENATE('Interpreted Data'!A250,"3")</f>
        <v>p3</v>
      </c>
      <c r="B250" t="str">
        <f>CONCATENATE('Interpreted Data'!B250,"3")</f>
        <v>q3</v>
      </c>
      <c r="C250" s="2">
        <f>'Interpreted Data'!J250/$G$1</f>
        <v>10.487804878048781</v>
      </c>
      <c r="D250" s="22">
        <f>'Interpreted Data'!Y250</f>
        <v>250</v>
      </c>
      <c r="E250" s="11">
        <f>IF(D250="-",IF('Interpreted Data'!U250=-90,"-V",IF('Interpreted Data'!U250=90,"+V",'Interpreted Data'!U250)),'Interpreted Data'!U250)</f>
        <v>-14.5</v>
      </c>
    </row>
    <row r="251" spans="1:5" x14ac:dyDescent="0.25">
      <c r="A251" t="str">
        <f>CONCATENATE('Interpreted Data'!A251,"3")</f>
        <v>q3</v>
      </c>
      <c r="B251" t="str">
        <f>CONCATENATE('Interpreted Data'!B251,"3")</f>
        <v>r3</v>
      </c>
      <c r="C251" s="2">
        <f>'Interpreted Data'!J251/$G$1</f>
        <v>6.9422545955705495</v>
      </c>
      <c r="D251" s="22">
        <f>'Interpreted Data'!Y251</f>
        <v>320</v>
      </c>
      <c r="E251" s="11">
        <f>IF(D251="-",IF('Interpreted Data'!U251=-90,"-V",IF('Interpreted Data'!U251=90,"+V",'Interpreted Data'!U251)),'Interpreted Data'!U251)</f>
        <v>-8.841814560191672</v>
      </c>
    </row>
    <row r="252" spans="1:5" x14ac:dyDescent="0.25">
      <c r="A252" t="str">
        <f>CONCATENATE('Interpreted Data'!A252,"3")</f>
        <v>q3</v>
      </c>
      <c r="B252" t="str">
        <f>CONCATENATE('Interpreted Data'!B252,"3")</f>
        <v>s3</v>
      </c>
      <c r="C252" s="2">
        <f>'Interpreted Data'!J252/$G$1</f>
        <v>6.5853658536585371</v>
      </c>
      <c r="D252" s="22">
        <f>'Interpreted Data'!Y252</f>
        <v>150</v>
      </c>
      <c r="E252" s="11">
        <f>IF(D252="-",IF('Interpreted Data'!U252=-90,"-V",IF('Interpreted Data'!U252=90,"+V",'Interpreted Data'!U252)),'Interpreted Data'!U252)</f>
        <v>20.5</v>
      </c>
    </row>
    <row r="253" spans="1:5" x14ac:dyDescent="0.25">
      <c r="A253" t="str">
        <f>CONCATENATE('Interpreted Data'!A253,"3")</f>
        <v>s3</v>
      </c>
      <c r="B253" t="str">
        <f>CONCATENATE('Interpreted Data'!B253,"3")</f>
        <v>t3</v>
      </c>
      <c r="C253" s="2">
        <f>'Interpreted Data'!J253/$G$1</f>
        <v>5.3048780487804876</v>
      </c>
      <c r="D253" s="22">
        <f>'Interpreted Data'!Y253</f>
        <v>246</v>
      </c>
      <c r="E253" s="11">
        <f>IF(D253="-",IF('Interpreted Data'!U253=-90,"-V",IF('Interpreted Data'!U253=90,"+V",'Interpreted Data'!U253)),'Interpreted Data'!U253)</f>
        <v>-7.5</v>
      </c>
    </row>
    <row r="254" spans="1:5" x14ac:dyDescent="0.25">
      <c r="A254" t="str">
        <f>CONCATENATE('Interpreted Data'!A254,"3")</f>
        <v>t3</v>
      </c>
      <c r="B254" t="str">
        <f>CONCATENATE('Interpreted Data'!B254,"3")</f>
        <v>u3</v>
      </c>
      <c r="C254" s="2">
        <f>'Interpreted Data'!J254/$G$1</f>
        <v>5.5487804878048781</v>
      </c>
      <c r="D254" s="22">
        <f>'Interpreted Data'!Y254</f>
        <v>255</v>
      </c>
      <c r="E254" s="11">
        <f>IF(D254="-",IF('Interpreted Data'!U254=-90,"-V",IF('Interpreted Data'!U254=90,"+V",'Interpreted Data'!U254)),'Interpreted Data'!U254)</f>
        <v>-12.696124577303539</v>
      </c>
    </row>
    <row r="255" spans="1:5" x14ac:dyDescent="0.25">
      <c r="A255" t="str">
        <f>CONCATENATE('Interpreted Data'!A255,"3")</f>
        <v>t3</v>
      </c>
      <c r="B255" t="str">
        <f>CONCATENATE('Interpreted Data'!B255,"3")</f>
        <v>v3</v>
      </c>
      <c r="C255" s="2">
        <f>'Interpreted Data'!J255/$G$1</f>
        <v>5.2743902439024399</v>
      </c>
      <c r="D255" s="22">
        <f>'Interpreted Data'!Y255</f>
        <v>166</v>
      </c>
      <c r="E255" s="11">
        <f>IF(D255="-",IF('Interpreted Data'!U255=-90,"-V",IF('Interpreted Data'!U255=90,"+V",'Interpreted Data'!U255)),'Interpreted Data'!U255)</f>
        <v>20.5</v>
      </c>
    </row>
    <row r="256" spans="1:5" x14ac:dyDescent="0.25">
      <c r="A256" t="str">
        <f>CONCATENATE('Interpreted Data'!A256,"3")</f>
        <v>v3</v>
      </c>
      <c r="B256" t="str">
        <f>CONCATENATE('Interpreted Data'!B256,"3")</f>
        <v>w3</v>
      </c>
      <c r="C256" s="2">
        <f>'Interpreted Data'!J256/$G$1</f>
        <v>4.9390243902439028</v>
      </c>
      <c r="D256" s="22">
        <f>'Interpreted Data'!Y256</f>
        <v>165.66666666666666</v>
      </c>
      <c r="E256" s="11">
        <f>IF(D256="-",IF('Interpreted Data'!U256=-90,"-V",IF('Interpreted Data'!U256=90,"+V",'Interpreted Data'!U256)),'Interpreted Data'!U256)</f>
        <v>-2.75</v>
      </c>
    </row>
    <row r="257" spans="1:6" x14ac:dyDescent="0.25">
      <c r="A257" t="str">
        <f>CONCATENATE('Interpreted Data'!A257,"3")</f>
        <v>w3</v>
      </c>
      <c r="B257" t="str">
        <f>CONCATENATE('Interpreted Data'!B257,"3")</f>
        <v>x3</v>
      </c>
      <c r="C257" s="2">
        <f>'Interpreted Data'!J257/$G$1</f>
        <v>5.4268292682926838</v>
      </c>
      <c r="D257" s="22">
        <f>'Interpreted Data'!Y257</f>
        <v>92.5</v>
      </c>
      <c r="E257" s="11">
        <f>IF(D257="-",IF('Interpreted Data'!U257=-90,"-V",IF('Interpreted Data'!U257=90,"+V",'Interpreted Data'!U257)),'Interpreted Data'!U257)</f>
        <v>19.666666660000001</v>
      </c>
    </row>
    <row r="258" spans="1:6" x14ac:dyDescent="0.25">
      <c r="A258" t="str">
        <f>CONCATENATE('Interpreted Data'!A258,"3")</f>
        <v>x3</v>
      </c>
      <c r="B258" t="str">
        <f>CONCATENATE('Interpreted Data'!B258,"3")</f>
        <v>y3</v>
      </c>
      <c r="C258" s="2">
        <f>'Interpreted Data'!J258/$G$1</f>
        <v>7.4085365853658542</v>
      </c>
      <c r="D258" s="22">
        <f>'Interpreted Data'!Y258</f>
        <v>147</v>
      </c>
      <c r="E258" s="11">
        <f>IF(D258="-",IF('Interpreted Data'!U258=-90,"-V",IF('Interpreted Data'!U258=90,"+V",'Interpreted Data'!U258)),'Interpreted Data'!U258)</f>
        <v>10</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row>
    <row r="260" spans="1:6" x14ac:dyDescent="0.25">
      <c r="A260" t="str">
        <f>CONCATENATE('Interpreted Data'!A260,"3")</f>
        <v>z3</v>
      </c>
      <c r="B260" t="str">
        <f>CONCATENATE('Interpreted Data'!B260,"3")</f>
        <v>aa3</v>
      </c>
      <c r="C260" s="2">
        <f>'Interpreted Data'!J260/$G$1</f>
        <v>3.8109756097560976</v>
      </c>
      <c r="D260" s="22">
        <f>'Interpreted Data'!Y260</f>
        <v>147</v>
      </c>
      <c r="E260" s="11">
        <f>IF(D260="-",IF('Interpreted Data'!U260=-90,"-V",IF('Interpreted Data'!U260=90,"+V",'Interpreted Data'!U260)),'Interpreted Data'!U260)</f>
        <v>-2.6666666600000002</v>
      </c>
      <c r="F260" t="s">
        <v>904</v>
      </c>
    </row>
    <row r="261" spans="1:6" x14ac:dyDescent="0.25">
      <c r="A261" t="str">
        <f>CONCATENATE('Interpreted Data'!A261,"3")</f>
        <v>aa3</v>
      </c>
      <c r="B261" t="str">
        <f>CONCATENATE('Interpreted Data'!B261,"3")</f>
        <v>ab3</v>
      </c>
      <c r="C261" s="2">
        <f>'Interpreted Data'!J261/$G$1</f>
        <v>3.4146341463414633</v>
      </c>
      <c r="D261" s="22">
        <f>'Interpreted Data'!Y261</f>
        <v>212.5</v>
      </c>
      <c r="E261" s="11">
        <f>IF(D261="-",IF('Interpreted Data'!U261=-90,"-V",IF('Interpreted Data'!U261=90,"+V",'Interpreted Data'!U261)),'Interpreted Data'!U261)</f>
        <v>-22.5</v>
      </c>
    </row>
    <row r="262" spans="1:6" x14ac:dyDescent="0.25">
      <c r="A262" t="str">
        <f>CONCATENATE('Interpreted Data'!A262,"3")</f>
        <v>ab3</v>
      </c>
      <c r="B262" t="str">
        <f>CONCATENATE('Interpreted Data'!B262,"3")</f>
        <v>ac3</v>
      </c>
      <c r="C262" s="2">
        <f>'Interpreted Data'!J262/$G$1</f>
        <v>2.4390243902439024</v>
      </c>
      <c r="D262" s="22">
        <f>'Interpreted Data'!Y262</f>
        <v>173</v>
      </c>
      <c r="E262" s="11">
        <f>IF(D262="-",IF('Interpreted Data'!U262=-90,"-V",IF('Interpreted Data'!U262=90,"+V",'Interpreted Data'!U262)),'Interpreted Data'!U262)</f>
        <v>11.5</v>
      </c>
    </row>
    <row r="263" spans="1:6" x14ac:dyDescent="0.25">
      <c r="A263" t="str">
        <f>CONCATENATE('Interpreted Data'!A263,"3")</f>
        <v>ac3</v>
      </c>
      <c r="B263" t="str">
        <f>CONCATENATE('Interpreted Data'!B263,"3")</f>
        <v>ad3</v>
      </c>
      <c r="C263" s="2">
        <f>'Interpreted Data'!J263/$G$1</f>
        <v>4.3597560975609762</v>
      </c>
      <c r="D263" s="22">
        <f>'Interpreted Data'!Y263</f>
        <v>202</v>
      </c>
      <c r="E263" s="11">
        <f>IF(D263="-",IF('Interpreted Data'!U263=-90,"-V",IF('Interpreted Data'!U263=90,"+V",'Interpreted Data'!U263)),'Interpreted Data'!U263)</f>
        <v>-12</v>
      </c>
    </row>
    <row r="264" spans="1:6" x14ac:dyDescent="0.25">
      <c r="A264" t="str">
        <f>CONCATENATE('Interpreted Data'!A264,"3")</f>
        <v>ad3</v>
      </c>
      <c r="B264" t="str">
        <f>CONCATENATE('Interpreted Data'!B264,"3")</f>
        <v>ae3</v>
      </c>
      <c r="C264" s="2">
        <f>'Interpreted Data'!J264/$G$1</f>
        <v>3.8719512195121952</v>
      </c>
      <c r="D264" s="22">
        <f>'Interpreted Data'!Y264</f>
        <v>206</v>
      </c>
      <c r="E264" s="11">
        <f>IF(D264="-",IF('Interpreted Data'!U264=-90,"-V",IF('Interpreted Data'!U264=90,"+V",'Interpreted Data'!U264)),'Interpreted Data'!U264)</f>
        <v>6</v>
      </c>
    </row>
    <row r="265" spans="1:6" x14ac:dyDescent="0.25">
      <c r="A265" t="str">
        <f>CONCATENATE('Interpreted Data'!A265,"3")</f>
        <v>ae3</v>
      </c>
      <c r="B265" t="str">
        <f>CONCATENATE('Interpreted Data'!B265,"3")</f>
        <v>af3</v>
      </c>
      <c r="C265" s="2">
        <f>'Interpreted Data'!J265/$G$1</f>
        <v>9.2987804878048781</v>
      </c>
      <c r="D265" s="22">
        <f>'Interpreted Data'!Y265</f>
        <v>263</v>
      </c>
      <c r="E265" s="11">
        <f>IF(D265="-",IF('Interpreted Data'!U265=-90,"-V",IF('Interpreted Data'!U265=90,"+V",'Interpreted Data'!U265)),'Interpreted Data'!U265)</f>
        <v>-8.6666666600000006</v>
      </c>
    </row>
    <row r="266" spans="1:6" x14ac:dyDescent="0.25">
      <c r="A266" t="str">
        <f>CONCATENATE('Interpreted Data'!A266,"3")</f>
        <v>af3</v>
      </c>
      <c r="B266" t="str">
        <f>CONCATENATE('Interpreted Data'!B266,"3")</f>
        <v>ag3</v>
      </c>
      <c r="C266" s="2">
        <f>'Interpreted Data'!J266/$G$1</f>
        <v>8.3536585365853657</v>
      </c>
      <c r="D266" s="22">
        <f>'Interpreted Data'!Y266</f>
        <v>292.25</v>
      </c>
      <c r="E266" s="11">
        <f>IF(D266="-",IF('Interpreted Data'!U266=-90,"-V",IF('Interpreted Data'!U266=90,"+V",'Interpreted Data'!U266)),'Interpreted Data'!U266)</f>
        <v>0.25</v>
      </c>
    </row>
    <row r="267" spans="1:6" x14ac:dyDescent="0.25">
      <c r="A267" t="str">
        <f>CONCATENATE('Interpreted Data'!A267,"3")</f>
        <v>ag3</v>
      </c>
      <c r="B267" t="str">
        <f>CONCATENATE('Interpreted Data'!B267,"3")</f>
        <v>ah3</v>
      </c>
      <c r="C267" s="2">
        <f>'Interpreted Data'!J267/$G$1</f>
        <v>4.1768292682926829</v>
      </c>
      <c r="D267" s="22">
        <f>'Interpreted Data'!Y267</f>
        <v>253.5</v>
      </c>
      <c r="E267" s="11">
        <f>IF(D267="-",IF('Interpreted Data'!U267=-90,"-V",IF('Interpreted Data'!U267=90,"+V",'Interpreted Data'!U267)),'Interpreted Data'!U267)</f>
        <v>-20.333333329999999</v>
      </c>
    </row>
    <row r="268" spans="1:6" x14ac:dyDescent="0.25">
      <c r="A268" t="str">
        <f>CONCATENATE('Interpreted Data'!A268,"3")</f>
        <v>z3</v>
      </c>
      <c r="B268" t="str">
        <f>CONCATENATE('Interpreted Data'!B268,"3")</f>
        <v>ai3</v>
      </c>
      <c r="C268" s="2">
        <f>'Interpreted Data'!J268/$G$1</f>
        <v>5.8536585365853657</v>
      </c>
      <c r="D268" s="22">
        <f>'Interpreted Data'!Y268</f>
        <v>142</v>
      </c>
      <c r="E268" s="11">
        <f>IF(D268="-",IF('Interpreted Data'!U268=-90,"-V",IF('Interpreted Data'!U268=90,"+V",'Interpreted Data'!U268)),'Interpreted Data'!U268)</f>
        <v>22</v>
      </c>
    </row>
    <row r="269" spans="1:6" x14ac:dyDescent="0.25">
      <c r="A269" t="str">
        <f>CONCATENATE('Interpreted Data'!A269,"3")</f>
        <v>ai3</v>
      </c>
      <c r="B269" t="str">
        <f>CONCATENATE('Interpreted Data'!B269,"3")</f>
        <v>aj3</v>
      </c>
      <c r="C269" s="2">
        <f>'Interpreted Data'!J269/$G$1</f>
        <v>2.1951219512195124</v>
      </c>
      <c r="D269" s="22">
        <f>'Interpreted Data'!Y269</f>
        <v>97</v>
      </c>
      <c r="E269" s="11">
        <f>IF(D269="-",IF('Interpreted Data'!U269=-90,"-V",IF('Interpreted Data'!U269=90,"+V",'Interpreted Data'!U269)),'Interpreted Data'!U269)</f>
        <v>55</v>
      </c>
    </row>
    <row r="270" spans="1:6" x14ac:dyDescent="0.25">
      <c r="A270" t="str">
        <f>CONCATENATE('Interpreted Data'!A270,"3")</f>
        <v>aj3</v>
      </c>
      <c r="B270" t="str">
        <f>CONCATENATE('Interpreted Data'!B270,"3")</f>
        <v>ak3</v>
      </c>
      <c r="C270" s="2">
        <f>'Interpreted Data'!J270/$G$1</f>
        <v>6.0060975609756095</v>
      </c>
      <c r="D270" s="22">
        <f>'Interpreted Data'!Y270</f>
        <v>99</v>
      </c>
      <c r="E270" s="11">
        <f>IF(D270="-",IF('Interpreted Data'!U270=-90,"-V",IF('Interpreted Data'!U270=90,"+V",'Interpreted Data'!U270)),'Interpreted Data'!U270)</f>
        <v>18</v>
      </c>
    </row>
    <row r="271" spans="1:6" x14ac:dyDescent="0.25">
      <c r="A271" t="str">
        <f>CONCATENATE('Interpreted Data'!A271,"3")</f>
        <v>ak3</v>
      </c>
      <c r="B271" t="str">
        <f>CONCATENATE('Interpreted Data'!B271,"3")</f>
        <v>al3</v>
      </c>
      <c r="C271" s="2">
        <f>'Interpreted Data'!J271/$G$1</f>
        <v>2.8048780487804876</v>
      </c>
      <c r="D271" s="22">
        <f>'Interpreted Data'!Y271</f>
        <v>106</v>
      </c>
      <c r="E271" s="11">
        <f>IF(D271="-",IF('Interpreted Data'!U271=-90,"-V",IF('Interpreted Data'!U271=90,"+V",'Interpreted Data'!U271)),'Interpreted Data'!U271)</f>
        <v>-22</v>
      </c>
    </row>
    <row r="272" spans="1:6" x14ac:dyDescent="0.25">
      <c r="A272" t="str">
        <f>CONCATENATE('Interpreted Data'!A272,"3")</f>
        <v>al3</v>
      </c>
      <c r="B272" t="str">
        <f>CONCATENATE('Interpreted Data'!B272,"3")</f>
        <v>am3</v>
      </c>
      <c r="C272" s="2">
        <f>'Interpreted Data'!J272/$G$1</f>
        <v>4.7647864658804222</v>
      </c>
      <c r="D272" s="22">
        <f>'Interpreted Data'!Y272</f>
        <v>101</v>
      </c>
      <c r="E272" s="11">
        <f>IF(D272="-",IF('Interpreted Data'!U272=-90,"-V",IF('Interpreted Data'!U272=90,"+V",'Interpreted Data'!U272)),'Interpreted Data'!U272)</f>
        <v>7.3523793598923577</v>
      </c>
    </row>
    <row r="273" spans="1:5" x14ac:dyDescent="0.25">
      <c r="A273" t="str">
        <f>CONCATENATE('Interpreted Data'!A273,"3")</f>
        <v>am3</v>
      </c>
      <c r="B273" t="str">
        <f>CONCATENATE('Interpreted Data'!B273,"3")</f>
        <v>an3</v>
      </c>
      <c r="C273" s="2">
        <f>'Interpreted Data'!J273/$G$1</f>
        <v>3.7500000000000004</v>
      </c>
      <c r="D273" s="22">
        <f>'Interpreted Data'!Y273</f>
        <v>80</v>
      </c>
      <c r="E273" s="11">
        <f>IF(D273="-",IF('Interpreted Data'!U273=-90,"-V",IF('Interpreted Data'!U273=90,"+V",'Interpreted Data'!U273)),'Interpreted Data'!U273)</f>
        <v>22</v>
      </c>
    </row>
    <row r="274" spans="1:5" x14ac:dyDescent="0.25">
      <c r="A274" t="str">
        <f>CONCATENATE('Interpreted Data'!A274,"3")</f>
        <v>an3</v>
      </c>
      <c r="B274" t="str">
        <f>CONCATENATE('Interpreted Data'!B274,"3")</f>
        <v>ao3</v>
      </c>
      <c r="C274" s="2">
        <f>'Interpreted Data'!J274/$G$1</f>
        <v>4.4207317073170733</v>
      </c>
      <c r="D274" s="22">
        <f>'Interpreted Data'!Y274</f>
        <v>114</v>
      </c>
      <c r="E274" s="11">
        <f>IF(D274="-",IF('Interpreted Data'!U274=-90,"-V",IF('Interpreted Data'!U274=90,"+V",'Interpreted Data'!U274)),'Interpreted Data'!U274)</f>
        <v>50</v>
      </c>
    </row>
    <row r="275" spans="1:5" x14ac:dyDescent="0.25">
      <c r="A275" t="str">
        <f>CONCATENATE('Interpreted Data'!A275,"3")</f>
        <v>ao3</v>
      </c>
      <c r="B275" t="str">
        <f>CONCATENATE('Interpreted Data'!B275,"3")</f>
        <v>ap3</v>
      </c>
      <c r="C275" s="2">
        <f>'Interpreted Data'!J275/$G$1</f>
        <v>5.4268292682926838</v>
      </c>
      <c r="D275" s="22">
        <f>'Interpreted Data'!Y275</f>
        <v>103</v>
      </c>
      <c r="E275" s="11">
        <f>IF(D275="-",IF('Interpreted Data'!U275=-90,"-V",IF('Interpreted Data'!U275=90,"+V",'Interpreted Data'!U275)),'Interpreted Data'!U275)</f>
        <v>-6.5</v>
      </c>
    </row>
    <row r="276" spans="1:5" x14ac:dyDescent="0.25">
      <c r="A276" t="str">
        <f>CONCATENATE('Interpreted Data'!A276,"3")</f>
        <v>ap3</v>
      </c>
      <c r="B276" t="str">
        <f>CONCATENATE('Interpreted Data'!B276,"3")</f>
        <v>aq3</v>
      </c>
      <c r="C276" s="2">
        <f>'Interpreted Data'!J276/$G$1</f>
        <v>2.3475609756097562</v>
      </c>
      <c r="D276" s="22">
        <f>'Interpreted Data'!Y276</f>
        <v>26</v>
      </c>
      <c r="E276" s="11">
        <f>IF(D276="-",IF('Interpreted Data'!U276=-90,"-V",IF('Interpreted Data'!U276=90,"+V",'Interpreted Data'!U276)),'Interpreted Data'!U276)</f>
        <v>-53</v>
      </c>
    </row>
    <row r="277" spans="1:5" x14ac:dyDescent="0.25">
      <c r="A277" t="str">
        <f>CONCATENATE('Interpreted Data'!A277,"3")</f>
        <v>aq3</v>
      </c>
      <c r="B277" t="str">
        <f>CONCATENATE('Interpreted Data'!B277,"3")</f>
        <v>ar3</v>
      </c>
      <c r="C277" s="2">
        <f>'Interpreted Data'!J277/$G$1</f>
        <v>2.5914634146341466</v>
      </c>
      <c r="D277" s="22">
        <f>'Interpreted Data'!Y277</f>
        <v>3</v>
      </c>
      <c r="E277" s="11">
        <f>IF(D277="-",IF('Interpreted Data'!U277=-90,"-V",IF('Interpreted Data'!U277=90,"+V",'Interpreted Data'!U277)),'Interpreted Data'!U277)</f>
        <v>0</v>
      </c>
    </row>
    <row r="278" spans="1:5" x14ac:dyDescent="0.25">
      <c r="A278" t="str">
        <f>CONCATENATE('Interpreted Data'!A278,"3")</f>
        <v>ar3</v>
      </c>
      <c r="B278" t="str">
        <f>CONCATENATE('Interpreted Data'!B278,"3")</f>
        <v>as3</v>
      </c>
      <c r="C278" s="2">
        <f>'Interpreted Data'!J278/$G$1</f>
        <v>3.2926829268292686</v>
      </c>
      <c r="D278" s="22">
        <f>'Interpreted Data'!Y278</f>
        <v>22</v>
      </c>
      <c r="E278" s="11">
        <f>IF(D278="-",IF('Interpreted Data'!U278=-90,"-V",IF('Interpreted Data'!U278=90,"+V",'Interpreted Data'!U278)),'Interpreted Data'!U278)</f>
        <v>0</v>
      </c>
    </row>
    <row r="279" spans="1:5" x14ac:dyDescent="0.25">
      <c r="A279" t="str">
        <f>CONCATENATE('Interpreted Data'!A279,"3")</f>
        <v>as3</v>
      </c>
      <c r="B279" t="str">
        <f>CONCATENATE('Interpreted Data'!B279,"3")</f>
        <v>at3</v>
      </c>
      <c r="C279" s="2">
        <f>'Interpreted Data'!J279/$G$1</f>
        <v>5.6097560975609753</v>
      </c>
      <c r="D279" s="22">
        <f>'Interpreted Data'!Y279</f>
        <v>3</v>
      </c>
      <c r="E279" s="11">
        <f>IF(D279="-",IF('Interpreted Data'!U279=-90,"-V",IF('Interpreted Data'!U279=90,"+V",'Interpreted Data'!U279)),'Interpreted Data'!U279)</f>
        <v>-7.8089056267920371</v>
      </c>
    </row>
    <row r="280" spans="1:5" x14ac:dyDescent="0.25">
      <c r="A280" t="str">
        <f>CONCATENATE('Interpreted Data'!A280,"3")</f>
        <v>at3</v>
      </c>
      <c r="B280" t="str">
        <f>CONCATENATE('Interpreted Data'!B280,"3")</f>
        <v>au3</v>
      </c>
      <c r="C280" s="2">
        <f>'Interpreted Data'!J280/$G$1</f>
        <v>3.2317073170731709</v>
      </c>
      <c r="D280" s="22">
        <f>'Interpreted Data'!Y280</f>
        <v>355</v>
      </c>
      <c r="E280" s="11">
        <f>IF(D280="-",IF('Interpreted Data'!U280=-90,"-V",IF('Interpreted Data'!U280=90,"+V",'Interpreted Data'!U280)),'Interpreted Data'!U280)</f>
        <v>0</v>
      </c>
    </row>
    <row r="281" spans="1:5" x14ac:dyDescent="0.25">
      <c r="A281" t="str">
        <f>'Interpreted Data'!A281</f>
        <v/>
      </c>
      <c r="B281" t="str">
        <f>'Interpreted Data'!B281</f>
        <v/>
      </c>
      <c r="C281" s="2"/>
      <c r="D281" s="10"/>
      <c r="E281" s="11"/>
    </row>
    <row r="282" spans="1:5" x14ac:dyDescent="0.25">
      <c r="A282" t="str">
        <f>'Interpreted Data'!A282</f>
        <v/>
      </c>
      <c r="B282" t="str">
        <f>'Interpreted Data'!B282</f>
        <v/>
      </c>
      <c r="C282" s="2"/>
      <c r="D282" s="10"/>
      <c r="E282" s="11"/>
    </row>
    <row r="283" spans="1:5" x14ac:dyDescent="0.25">
      <c r="A283" s="20" t="str">
        <f>CONCATENATE(";",'Interpreted Data'!A283)</f>
        <v>;p. 65-69</v>
      </c>
      <c r="B283" t="str">
        <f>'Interpreted Data'!B283</f>
        <v>(=PDF p.69-72)</v>
      </c>
      <c r="C283" s="2"/>
      <c r="D283" s="10"/>
      <c r="E283" s="11"/>
    </row>
    <row r="284" spans="1:5" x14ac:dyDescent="0.25">
      <c r="A284" s="20" t="str">
        <f>CONCATENATE(";",'Interpreted Data'!A284)</f>
        <v>;2nd May 1953</v>
      </c>
      <c r="B284" t="str">
        <f>'Interpreted Data'!B284</f>
        <v>Oliver</v>
      </c>
      <c r="C284" s="2"/>
      <c r="D284" s="10"/>
      <c r="E284" s="11"/>
    </row>
    <row r="285" spans="1:5"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row>
    <row r="286" spans="1:5"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row>
    <row r="287" spans="1:5"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row>
    <row r="288" spans="1:5"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row>
    <row r="289" spans="1:5"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row>
    <row r="290" spans="1:5"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row>
    <row r="291" spans="1:5"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row>
    <row r="292" spans="1:5"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row>
    <row r="293" spans="1:5"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row>
    <row r="294" spans="1:5"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row>
    <row r="295" spans="1:5"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row>
    <row r="296" spans="1:5"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row>
    <row r="297" spans="1:5"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row>
    <row r="298" spans="1:5"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row>
    <row r="299" spans="1:5"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row>
    <row r="300" spans="1:5"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row>
    <row r="301" spans="1:5"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row>
    <row r="302" spans="1:5"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row>
    <row r="303" spans="1:5"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row>
    <row r="304" spans="1:5" x14ac:dyDescent="0.25">
      <c r="A304" s="20" t="str">
        <f>CONCATENATE(";",'Interpreted Data'!A304)</f>
        <v>;DA</v>
      </c>
      <c r="B304" t="str">
        <f>'Interpreted Data'!B304</f>
        <v/>
      </c>
      <c r="C304" s="2"/>
      <c r="D304" s="10"/>
      <c r="E304" s="11"/>
    </row>
    <row r="305" spans="1:5"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row>
    <row r="306" spans="1:5"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row>
    <row r="307" spans="1:5"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row>
    <row r="308" spans="1:5"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row>
    <row r="309" spans="1:5"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row>
    <row r="310" spans="1:5" x14ac:dyDescent="0.25">
      <c r="A310" s="20" t="str">
        <f>CONCATENATE(";",'Interpreted Data'!A310)</f>
        <v>;FW</v>
      </c>
      <c r="B310" t="str">
        <f>'Interpreted Data'!B310</f>
        <v/>
      </c>
      <c r="C310" s="2"/>
      <c r="D310" s="10"/>
      <c r="E310" s="11"/>
    </row>
    <row r="311" spans="1:5" x14ac:dyDescent="0.25">
      <c r="A311" t="str">
        <f>'Interpreted Data'!A311</f>
        <v/>
      </c>
      <c r="B311" t="str">
        <f>'Interpreted Data'!B311</f>
        <v/>
      </c>
      <c r="C311" s="2"/>
      <c r="D311" s="10"/>
      <c r="E311" s="11"/>
    </row>
    <row r="312" spans="1:5" x14ac:dyDescent="0.25">
      <c r="A312" s="20" t="str">
        <f>CONCATENATE(";",'Interpreted Data'!A312)</f>
        <v>;16th May '53</v>
      </c>
      <c r="B312" t="str">
        <f>'Interpreted Data'!B312</f>
        <v>Luke (a little)</v>
      </c>
      <c r="C312" s="2"/>
      <c r="D312" s="10"/>
      <c r="E312" s="11"/>
    </row>
    <row r="313" spans="1:5"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row>
    <row r="314" spans="1:5"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row>
    <row r="315" spans="1:5"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row>
    <row r="316" spans="1:5"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row>
    <row r="317" spans="1:5"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row>
    <row r="318" spans="1:5" x14ac:dyDescent="0.25">
      <c r="A318" s="20" t="str">
        <f>CONCATENATE(";",'Interpreted Data'!A318)</f>
        <v>;EH</v>
      </c>
      <c r="B318" t="str">
        <f>'Interpreted Data'!B318</f>
        <v/>
      </c>
      <c r="C318" s="2"/>
      <c r="D318" s="10"/>
      <c r="E318" s="11"/>
    </row>
    <row r="319" spans="1:5" x14ac:dyDescent="0.25">
      <c r="A319" t="str">
        <f>'Interpreted Data'!A319</f>
        <v/>
      </c>
      <c r="B319" t="str">
        <f>'Interpreted Data'!B319</f>
        <v/>
      </c>
      <c r="C319" s="2"/>
      <c r="D319" s="10"/>
      <c r="E319" s="11"/>
    </row>
    <row r="320" spans="1:5" x14ac:dyDescent="0.25">
      <c r="A320" s="20" t="str">
        <f>CONCATENATE(";",'Interpreted Data'!A320)</f>
        <v>;24th May '53</v>
      </c>
      <c r="B320" t="str">
        <f>'Interpreted Data'!B320</f>
        <v>Oliver (+ Richard)</v>
      </c>
      <c r="C320" s="2"/>
      <c r="D320" s="10"/>
      <c r="E320" s="11"/>
    </row>
    <row r="321" spans="1:5"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row>
    <row r="322" spans="1:5"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row>
    <row r="323" spans="1:5"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row>
    <row r="324" spans="1:5"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row>
    <row r="325" spans="1:5"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row>
    <row r="326" spans="1:5" x14ac:dyDescent="0.25">
      <c r="A326" s="20" t="str">
        <f>CONCATENATE(";",'Interpreted Data'!A326)</f>
        <v>;GR</v>
      </c>
      <c r="B326" t="str">
        <f>'Interpreted Data'!B326</f>
        <v/>
      </c>
      <c r="C326" s="2"/>
      <c r="D326" s="10"/>
      <c r="E326" s="11"/>
    </row>
    <row r="327" spans="1:5"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row>
    <row r="328" spans="1:5"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row>
    <row r="329" spans="1:5"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row>
    <row r="330" spans="1:5"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row>
    <row r="331" spans="1:5"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row>
    <row r="332" spans="1:5"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row>
    <row r="333" spans="1:5" x14ac:dyDescent="0.25">
      <c r="A333" s="20" t="str">
        <f>CONCATENATE(";",'Interpreted Data'!A333)</f>
        <v>;GG</v>
      </c>
      <c r="B333" t="str">
        <f>'Interpreted Data'!B333</f>
        <v/>
      </c>
      <c r="C333" s="2"/>
      <c r="D333" s="10"/>
      <c r="E333" s="11"/>
    </row>
    <row r="334" spans="1:5" x14ac:dyDescent="0.25">
      <c r="A334" s="20" t="str">
        <f>CONCATENATE(";",'Interpreted Data'!A334)</f>
        <v>;p. 69-70</v>
      </c>
      <c r="B334" t="str">
        <f>'Interpreted Data'!B334</f>
        <v>(=PDF p.71-72)</v>
      </c>
      <c r="C334" s="2"/>
      <c r="D334" s="10"/>
      <c r="E334" s="11"/>
    </row>
    <row r="335" spans="1:5"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row>
    <row r="336" spans="1:5" x14ac:dyDescent="0.25">
      <c r="A336" s="20" t="str">
        <f>CONCATENATE(";",'Interpreted Data'!A336)</f>
        <v>;EA</v>
      </c>
      <c r="B336" t="str">
        <f>'Interpreted Data'!B336</f>
        <v/>
      </c>
      <c r="C336" s="2"/>
      <c r="D336" s="10"/>
      <c r="E336" s="11"/>
    </row>
    <row r="337" spans="1:5"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row>
    <row r="338" spans="1:5"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row>
    <row r="339" spans="1:5"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row>
    <row r="340" spans="1:5"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row>
    <row r="341" spans="1:5"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row>
    <row r="342" spans="1:5"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row>
    <row r="343" spans="1:5"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row>
    <row r="344" spans="1:5"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row>
    <row r="345" spans="1:5"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row>
    <row r="346" spans="1:5"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row>
    <row r="347" spans="1:5"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row>
    <row r="348" spans="1:5" x14ac:dyDescent="0.25">
      <c r="A348" s="20" t="str">
        <f>CONCATENATE(";",'Interpreted Data'!A348)</f>
        <v>;GR</v>
      </c>
      <c r="B348" t="str">
        <f>'Interpreted Data'!B348</f>
        <v/>
      </c>
      <c r="C348" s="2"/>
      <c r="D348" s="10"/>
      <c r="E348" s="11"/>
    </row>
    <row r="349" spans="1:5" x14ac:dyDescent="0.25">
      <c r="A349" t="str">
        <f>'Interpreted Data'!A349</f>
        <v/>
      </c>
      <c r="B349" t="str">
        <f>'Interpreted Data'!B349</f>
        <v/>
      </c>
      <c r="C349" s="2"/>
      <c r="D349" s="10"/>
      <c r="E349" s="11"/>
    </row>
    <row r="350" spans="1:5" x14ac:dyDescent="0.25">
      <c r="A350" s="20" t="str">
        <f>CONCATENATE(";",'Interpreted Data'!A350)</f>
        <v>;Aug. 1953</v>
      </c>
      <c r="B350" t="str">
        <f>'Interpreted Data'!B350</f>
        <v/>
      </c>
      <c r="C350" s="2"/>
      <c r="D350" s="10"/>
      <c r="E350" s="11"/>
    </row>
    <row r="351" spans="1:5"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row>
    <row r="352" spans="1:5"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row>
    <row r="353" spans="1:5"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row>
    <row r="354" spans="1:5"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row>
    <row r="355" spans="1:5"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row>
    <row r="356" spans="1:5"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row>
    <row r="357" spans="1:5"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row>
    <row r="358" spans="1:5"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row>
    <row r="359" spans="1:5"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row>
    <row r="360" spans="1:5"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row>
    <row r="361" spans="1:5"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row>
    <row r="362" spans="1:5"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row>
    <row r="363" spans="1:5"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row>
    <row r="364" spans="1:5"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row>
    <row r="365" spans="1:5"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row>
    <row r="366" spans="1:5"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row>
    <row r="367" spans="1:5"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row>
    <row r="368" spans="1:5"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row>
    <row r="369" spans="1:5"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row>
    <row r="370" spans="1:5"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row>
    <row r="371" spans="1:5"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row>
    <row r="372" spans="1:5"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row>
    <row r="373" spans="1:5"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row>
    <row r="374" spans="1:5"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row>
    <row r="375" spans="1:5"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row>
    <row r="376" spans="1:5"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row>
    <row r="377" spans="1:5"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row>
    <row r="378" spans="1:5"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row>
    <row r="379" spans="1:5"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row>
    <row r="380" spans="1:5"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row>
    <row r="381" spans="1:5"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row>
    <row r="382" spans="1:5" x14ac:dyDescent="0.25">
      <c r="A382" s="20" t="str">
        <f>CONCATENATE(";",'Interpreted Data'!A382)</f>
        <v>;p. 71-72</v>
      </c>
      <c r="B382" t="str">
        <f>'Interpreted Data'!B382</f>
        <v>(=PDF p.73-74)</v>
      </c>
      <c r="C382" s="2"/>
      <c r="D382" s="10"/>
      <c r="E382" s="11"/>
    </row>
    <row r="383" spans="1:5"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row>
    <row r="384" spans="1:5"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row>
    <row r="385" spans="1:5"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row>
    <row r="386" spans="1:5"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row>
    <row r="387" spans="1:5"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row>
    <row r="388" spans="1:5" x14ac:dyDescent="0.25">
      <c r="A388" s="20" t="str">
        <f>CONCATENATE(";",'Interpreted Data'!A388)</f>
        <v>;95</v>
      </c>
      <c r="B388" t="str">
        <f>'Interpreted Data'!B388</f>
        <v/>
      </c>
      <c r="C388" s="2"/>
      <c r="D388" s="10"/>
      <c r="E388" s="11"/>
    </row>
    <row r="389" spans="1:5" x14ac:dyDescent="0.25">
      <c r="C389" s="2"/>
      <c r="D389" s="10"/>
      <c r="E389" s="11"/>
    </row>
    <row r="390" spans="1:5" x14ac:dyDescent="0.25">
      <c r="C390" s="2"/>
      <c r="D390" s="10"/>
      <c r="E390" s="11"/>
    </row>
    <row r="391" spans="1:5" x14ac:dyDescent="0.25">
      <c r="C391" s="2"/>
      <c r="D391" s="10"/>
      <c r="E391" s="11"/>
    </row>
    <row r="392" spans="1:5" x14ac:dyDescent="0.25">
      <c r="C392" s="2"/>
      <c r="D392" s="10"/>
      <c r="E392" s="11"/>
    </row>
    <row r="393" spans="1:5" x14ac:dyDescent="0.25">
      <c r="C393" s="2"/>
      <c r="D393" s="10"/>
      <c r="E393" s="11"/>
    </row>
    <row r="394" spans="1:5" x14ac:dyDescent="0.25">
      <c r="C394" s="2"/>
      <c r="D394" s="10"/>
      <c r="E394" s="11"/>
    </row>
    <row r="395" spans="1:5" x14ac:dyDescent="0.25">
      <c r="C395" s="2"/>
      <c r="D395" s="10"/>
      <c r="E395" s="11"/>
    </row>
    <row r="396" spans="1:5" x14ac:dyDescent="0.25">
      <c r="C396" s="2"/>
      <c r="D396" s="10"/>
      <c r="E396" s="11"/>
    </row>
    <row r="397" spans="1:5" x14ac:dyDescent="0.25">
      <c r="C397" s="2"/>
      <c r="D397" s="10"/>
      <c r="E397" s="11"/>
    </row>
    <row r="398" spans="1:5" x14ac:dyDescent="0.25">
      <c r="C398" s="2"/>
      <c r="D398" s="10"/>
      <c r="E398" s="11"/>
    </row>
    <row r="399" spans="1:5" x14ac:dyDescent="0.25">
      <c r="C399" s="2"/>
      <c r="D399" s="10"/>
      <c r="E399" s="11"/>
    </row>
    <row r="400" spans="1:5" x14ac:dyDescent="0.25">
      <c r="C400" s="2"/>
      <c r="D400" s="10"/>
      <c r="E400" s="11"/>
    </row>
    <row r="401" spans="3:5" x14ac:dyDescent="0.25">
      <c r="C401" s="2"/>
      <c r="D401" s="10"/>
      <c r="E401" s="11"/>
    </row>
    <row r="402" spans="3:5" x14ac:dyDescent="0.25">
      <c r="C402" s="2"/>
      <c r="D402" s="10"/>
      <c r="E402" s="11"/>
    </row>
    <row r="403" spans="3:5" x14ac:dyDescent="0.25">
      <c r="C403" s="2"/>
      <c r="D403" s="10"/>
      <c r="E403" s="11"/>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7"/>
  <sheetViews>
    <sheetView workbookViewId="0">
      <pane xSplit="2" ySplit="3" topLeftCell="C307" activePane="bottomRight" state="frozen"/>
      <selection pane="topRight" activeCell="C1" sqref="C1"/>
      <selection pane="bottomLeft" activeCell="A4" sqref="A4"/>
      <selection pane="bottomRight" activeCell="J287" sqref="J287:L287"/>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78</v>
      </c>
    </row>
    <row r="2" spans="1:16" x14ac:dyDescent="0.25">
      <c r="A2" s="8" t="s">
        <v>64</v>
      </c>
      <c r="I2" t="str">
        <f t="shared" ref="I2:I66" si="0">" "</f>
        <v xml:space="preserve"> </v>
      </c>
      <c r="J2" s="3" t="s">
        <v>79</v>
      </c>
    </row>
    <row r="3" spans="1:16" x14ac:dyDescent="0.25">
      <c r="A3" t="s">
        <v>61</v>
      </c>
      <c r="B3" t="s">
        <v>53</v>
      </c>
      <c r="C3" t="s">
        <v>54</v>
      </c>
      <c r="D3" t="s">
        <v>59</v>
      </c>
      <c r="E3" t="s">
        <v>60</v>
      </c>
      <c r="F3" t="s">
        <v>56</v>
      </c>
      <c r="G3" t="s">
        <v>62</v>
      </c>
      <c r="H3" t="s">
        <v>51</v>
      </c>
      <c r="I3" t="str">
        <f t="shared" si="0"/>
        <v xml:space="preserve"> </v>
      </c>
    </row>
    <row r="4" spans="1:16" x14ac:dyDescent="0.25">
      <c r="A4" t="str">
        <f>'Raw Data'!A2</f>
        <v>21st July 1951</v>
      </c>
      <c r="B4" t="str">
        <f>'Raw Data'!B2</f>
        <v>W.I.Stanton</v>
      </c>
      <c r="C4" t="str">
        <f>'Raw Data'!C2</f>
        <v>SWILDONS HOLE</v>
      </c>
      <c r="I4" t="str">
        <f t="shared" si="0"/>
        <v xml:space="preserve"> </v>
      </c>
      <c r="J4" t="str">
        <f>A4</f>
        <v>21st July 1951</v>
      </c>
      <c r="K4" t="str">
        <f t="shared" ref="K4:L4" si="1">B4</f>
        <v>W.I.Stanton</v>
      </c>
      <c r="L4" t="str">
        <f t="shared" si="1"/>
        <v>SWILDONS HOLE</v>
      </c>
    </row>
    <row r="5" spans="1:16" x14ac:dyDescent="0.25">
      <c r="J5" t="str">
        <f>$J$1</f>
        <v>data normal from to tape compass backcompass clino ignoreall</v>
      </c>
    </row>
    <row r="6" spans="1:16" x14ac:dyDescent="0.25">
      <c r="A6" t="str">
        <f>'Raw Data'!A5</f>
        <v>A</v>
      </c>
      <c r="B6" t="str">
        <f>'Raw Data'!B5</f>
        <v>B</v>
      </c>
      <c r="C6">
        <f>'Raw Data'!J5</f>
        <v>21</v>
      </c>
      <c r="D6" t="str">
        <f>'Interpreted Data'!G5</f>
        <v>-</v>
      </c>
      <c r="E6" t="str">
        <f>'Interpreted Data'!H5</f>
        <v>103</v>
      </c>
      <c r="F6" t="str">
        <f>SUBSTITUTE('Raw Data'!K5," ",":",1)</f>
        <v>8:30</v>
      </c>
      <c r="G6">
        <f>'Interpreted Data'!N5</f>
        <v>3.1</v>
      </c>
      <c r="H6" t="str">
        <f>'Interpreted Data'!P5</f>
        <v>A is at the base of the cable spike on the downstream side of Sump I</v>
      </c>
      <c r="I6" t="str">
        <f t="shared" si="0"/>
        <v xml:space="preserve"> </v>
      </c>
      <c r="J6" t="str">
        <f t="shared" ref="J6:N7" si="2">A6</f>
        <v>A</v>
      </c>
      <c r="K6" t="str">
        <f t="shared" si="2"/>
        <v>B</v>
      </c>
      <c r="L6">
        <f t="shared" si="2"/>
        <v>21</v>
      </c>
      <c r="M6" t="str">
        <f t="shared" si="2"/>
        <v>-</v>
      </c>
      <c r="N6" t="str">
        <f t="shared" si="2"/>
        <v>103</v>
      </c>
      <c r="O6" t="str">
        <f t="shared" ref="O6:O7" si="3">IF(AND(D6="-",E6="-"),IF(1*F6=-90,"DOWN",IF(1*F6=90,"UP","no compass")),F6)</f>
        <v>8:30</v>
      </c>
      <c r="P6" t="str">
        <f>H6</f>
        <v>A is at the base of the cable spike on the downstream side of Sump I</v>
      </c>
    </row>
    <row r="7" spans="1:16" x14ac:dyDescent="0.25">
      <c r="A7" t="str">
        <f>'Raw Data'!A6</f>
        <v>B</v>
      </c>
      <c r="B7" t="str">
        <f>'Raw Data'!B6</f>
        <v>C</v>
      </c>
      <c r="C7">
        <f>'Raw Data'!J6</f>
        <v>27</v>
      </c>
      <c r="D7" t="str">
        <f>'Interpreted Data'!G6</f>
        <v>322:30</v>
      </c>
      <c r="E7" t="str">
        <f>'Interpreted Data'!H6</f>
        <v>-</v>
      </c>
      <c r="F7" t="str">
        <f>SUBSTITUTE('Raw Data'!K6," ",":",1)</f>
        <v>-9:30</v>
      </c>
      <c r="G7">
        <f>'Interpreted Data'!N6</f>
        <v>-4.5</v>
      </c>
      <c r="H7" t="str">
        <f>'Interpreted Data'!P6</f>
        <v>B is on a rock at upstream end of pool</v>
      </c>
      <c r="I7" t="str">
        <f t="shared" si="0"/>
        <v xml:space="preserve"> </v>
      </c>
      <c r="J7" t="str">
        <f t="shared" si="2"/>
        <v>B</v>
      </c>
      <c r="K7" t="str">
        <f t="shared" si="2"/>
        <v>C</v>
      </c>
      <c r="L7">
        <f t="shared" si="2"/>
        <v>27</v>
      </c>
      <c r="M7" t="str">
        <f t="shared" si="2"/>
        <v>322:30</v>
      </c>
      <c r="N7" t="str">
        <f t="shared" si="2"/>
        <v>-</v>
      </c>
      <c r="O7" t="str">
        <f t="shared" si="3"/>
        <v>-9:30</v>
      </c>
      <c r="P7" t="str">
        <f>H7</f>
        <v>B is on a rock at upstream end of pool</v>
      </c>
    </row>
    <row r="8" spans="1:16" x14ac:dyDescent="0.25">
      <c r="A8" t="str">
        <f>'Raw Data'!A7</f>
        <v>C</v>
      </c>
      <c r="B8" t="str">
        <f>'Raw Data'!B7</f>
        <v>D</v>
      </c>
      <c r="C8">
        <f>'Raw Data'!J7</f>
        <v>37</v>
      </c>
      <c r="D8" t="str">
        <f>'Interpreted Data'!G7</f>
        <v>-</v>
      </c>
      <c r="E8" t="str">
        <f>'Interpreted Data'!H7</f>
        <v>83</v>
      </c>
      <c r="F8" t="str">
        <f>SUBSTITUTE('Raw Data'!K7," ",":",1)</f>
        <v>rise:of 1.5 feet</v>
      </c>
      <c r="G8">
        <f>'Interpreted Data'!N7</f>
        <v>1.5</v>
      </c>
      <c r="H8" t="str">
        <f>'Interpreted Data'!P7</f>
        <v>C is on edge of pool 10' before Duck I</v>
      </c>
      <c r="I8" t="str">
        <f t="shared" si="0"/>
        <v xml:space="preserve"> </v>
      </c>
      <c r="J8" t="str">
        <f>$J$2</f>
        <v>data diving from to tape compass backcompass depthchange ignoreall</v>
      </c>
    </row>
    <row r="9" spans="1:16" x14ac:dyDescent="0.25">
      <c r="A9" t="str">
        <f>'Raw Data'!A8</f>
        <v>D</v>
      </c>
      <c r="B9" t="str">
        <f>'Raw Data'!B8</f>
        <v>E</v>
      </c>
      <c r="C9">
        <f>'Raw Data'!J8</f>
        <v>16.2</v>
      </c>
      <c r="D9" t="str">
        <f>'Interpreted Data'!G8</f>
        <v>192:30</v>
      </c>
      <c r="E9" t="str">
        <f>'Interpreted Data'!H8</f>
        <v>-</v>
      </c>
      <c r="F9" t="str">
        <f>SUBSTITUTE('Raw Data'!K8," ",":",1)</f>
        <v>4:30</v>
      </c>
      <c r="G9">
        <f>'Interpreted Data'!N8</f>
        <v>1.3</v>
      </c>
      <c r="H9" t="str">
        <f>'Interpreted Data'!P8</f>
        <v>D is in stream. Big rock (start of New Series survey) 10' away at 350 (deg). Big passage starts as continuation of Howards Dig.</v>
      </c>
      <c r="I9" t="str">
        <f t="shared" si="0"/>
        <v xml:space="preserve"> </v>
      </c>
      <c r="J9" t="str">
        <f>A8</f>
        <v>C</v>
      </c>
      <c r="K9" t="str">
        <f>B8</f>
        <v>D</v>
      </c>
      <c r="L9">
        <f>C8</f>
        <v>37</v>
      </c>
      <c r="M9" t="str">
        <f>D8</f>
        <v>-</v>
      </c>
      <c r="N9" t="str">
        <f>E8</f>
        <v>83</v>
      </c>
      <c r="O9">
        <f>G8</f>
        <v>1.5</v>
      </c>
      <c r="P9" t="str">
        <f>H8</f>
        <v>C is on edge of pool 10' before Duck I</v>
      </c>
    </row>
    <row r="10" spans="1:16" x14ac:dyDescent="0.25">
      <c r="A10" t="str">
        <f>'Raw Data'!A9</f>
        <v>E</v>
      </c>
      <c r="B10" t="str">
        <f>'Raw Data'!B9</f>
        <v>F</v>
      </c>
      <c r="C10">
        <f>'Raw Data'!J9</f>
        <v>47</v>
      </c>
      <c r="D10" t="str">
        <f>'Interpreted Data'!G9</f>
        <v>-</v>
      </c>
      <c r="E10" t="str">
        <f>'Interpreted Data'!H9</f>
        <v>78</v>
      </c>
      <c r="F10" t="str">
        <f>SUBSTITUTE('Raw Data'!K9," ",":",1)</f>
        <v>-5:30</v>
      </c>
      <c r="G10">
        <f>'Interpreted Data'!N9</f>
        <v>-4.5</v>
      </c>
      <c r="H10" t="str">
        <f>'Interpreted Data'!P9</f>
        <v/>
      </c>
      <c r="I10" t="str">
        <f t="shared" si="0"/>
        <v xml:space="preserve"> </v>
      </c>
      <c r="J10" t="str">
        <f>$J$1</f>
        <v>data normal from to tape compass backcompass clino ignoreall</v>
      </c>
    </row>
    <row r="11" spans="1:16" x14ac:dyDescent="0.25">
      <c r="A11" t="str">
        <f>'Raw Data'!A10</f>
        <v>F</v>
      </c>
      <c r="B11" t="str">
        <f>'Raw Data'!B10</f>
        <v>G</v>
      </c>
      <c r="C11">
        <f>'Raw Data'!J10</f>
        <v>48</v>
      </c>
      <c r="D11" t="str">
        <f>'Interpreted Data'!G10</f>
        <v>292</v>
      </c>
      <c r="E11" t="str">
        <f>'Interpreted Data'!H10</f>
        <v>-</v>
      </c>
      <c r="F11" t="str">
        <f>SUBSTITUTE('Raw Data'!K10," ",":",1)</f>
        <v>fall:of 2.5 feet</v>
      </c>
      <c r="G11">
        <f>'Interpreted Data'!N10</f>
        <v>-2.5</v>
      </c>
      <c r="H11" t="str">
        <f>'Interpreted Data'!P10</f>
        <v>At 40' the roof lowers suddenly to Creep I. The big Bedding Plane passage comes in on the right, from -5' to 40'</v>
      </c>
      <c r="I11" t="str">
        <f t="shared" si="0"/>
        <v xml:space="preserve"> </v>
      </c>
      <c r="J11" t="str">
        <f t="shared" ref="J11:N12" si="4">A9</f>
        <v>D</v>
      </c>
      <c r="K11" t="str">
        <f t="shared" si="4"/>
        <v>E</v>
      </c>
      <c r="L11">
        <f t="shared" si="4"/>
        <v>16.2</v>
      </c>
      <c r="M11" t="str">
        <f t="shared" si="4"/>
        <v>192:30</v>
      </c>
      <c r="N11" t="str">
        <f t="shared" si="4"/>
        <v>-</v>
      </c>
      <c r="O11" t="str">
        <f t="shared" ref="O11:O12" si="5">IF(AND(D9="-",E9="-"),IF(1*F9=-90,"DOWN",IF(1*F9=90,"UP","no compass")),F9)</f>
        <v>4:30</v>
      </c>
      <c r="P11" t="str">
        <f>H9</f>
        <v>D is in stream. Big rock (start of New Series survey) 10' away at 350 (deg). Big passage starts as continuation of Howards Dig.</v>
      </c>
    </row>
    <row r="12" spans="1:16" x14ac:dyDescent="0.25">
      <c r="A12" t="str">
        <f>'Raw Data'!A11</f>
        <v>G</v>
      </c>
      <c r="B12" t="str">
        <f>'Raw Data'!B11</f>
        <v>H</v>
      </c>
      <c r="C12">
        <f>'Raw Data'!J11</f>
        <v>36</v>
      </c>
      <c r="D12" t="str">
        <f>'Interpreted Data'!G11</f>
        <v>-</v>
      </c>
      <c r="E12" t="str">
        <f>'Interpreted Data'!H11</f>
        <v>159</v>
      </c>
      <c r="F12" t="str">
        <f>SUBSTITUTE('Raw Data'!K11," ",":",1)</f>
        <v>level</v>
      </c>
      <c r="G12">
        <f>'Interpreted Data'!N11</f>
        <v>0</v>
      </c>
      <c r="H12" t="str">
        <f>'Interpreted Data'!P11</f>
        <v/>
      </c>
      <c r="I12" t="str">
        <f t="shared" si="0"/>
        <v xml:space="preserve"> </v>
      </c>
      <c r="J12" t="str">
        <f t="shared" si="4"/>
        <v>E</v>
      </c>
      <c r="K12" t="str">
        <f t="shared" si="4"/>
        <v>F</v>
      </c>
      <c r="L12">
        <f t="shared" si="4"/>
        <v>47</v>
      </c>
      <c r="M12" t="str">
        <f t="shared" si="4"/>
        <v>-</v>
      </c>
      <c r="N12" t="str">
        <f t="shared" si="4"/>
        <v>78</v>
      </c>
      <c r="O12" t="str">
        <f t="shared" si="5"/>
        <v>-5:30</v>
      </c>
      <c r="P12" t="str">
        <f>H10</f>
        <v/>
      </c>
    </row>
    <row r="13" spans="1:16" x14ac:dyDescent="0.25">
      <c r="A13" t="str">
        <f>'Raw Data'!A12</f>
        <v>H</v>
      </c>
      <c r="B13" t="str">
        <f>'Raw Data'!B12</f>
        <v>I</v>
      </c>
      <c r="C13">
        <f>'Raw Data'!J12</f>
        <v>31</v>
      </c>
      <c r="D13" t="str">
        <f>'Interpreted Data'!G12</f>
        <v>247</v>
      </c>
      <c r="E13" t="str">
        <f>'Interpreted Data'!H12</f>
        <v>-</v>
      </c>
      <c r="F13" t="str">
        <f>SUBSTITUTE('Raw Data'!K12," ",":",1)</f>
        <v>-2:30</v>
      </c>
      <c r="G13">
        <f>'Interpreted Data'!N12</f>
        <v>-1.3</v>
      </c>
      <c r="H13" t="str">
        <f>'Interpreted Data'!P12</f>
        <v/>
      </c>
      <c r="I13" t="str">
        <f t="shared" si="0"/>
        <v xml:space="preserve"> </v>
      </c>
      <c r="J13" t="str">
        <f>$J$2</f>
        <v>data diving from to tape compass backcompass depthchange ignoreall</v>
      </c>
    </row>
    <row r="14" spans="1:16" x14ac:dyDescent="0.25">
      <c r="A14" t="str">
        <f>'Raw Data'!A13</f>
        <v>I</v>
      </c>
      <c r="B14" t="str">
        <f>'Raw Data'!B13</f>
        <v>J</v>
      </c>
      <c r="C14">
        <f>'Raw Data'!J13</f>
        <v>26</v>
      </c>
      <c r="D14" t="str">
        <f>'Interpreted Data'!G13</f>
        <v>-</v>
      </c>
      <c r="E14" t="str">
        <f>'Interpreted Data'!H13</f>
        <v>95</v>
      </c>
      <c r="F14" t="str">
        <f>SUBSTITUTE('Raw Data'!K13," ",":",1)</f>
        <v>2</v>
      </c>
      <c r="G14">
        <f>'Interpreted Data'!N13</f>
        <v>0.9</v>
      </c>
      <c r="H14" t="str">
        <f>'Interpreted Data'!P13</f>
        <v/>
      </c>
      <c r="I14" t="str">
        <f t="shared" si="0"/>
        <v xml:space="preserve"> </v>
      </c>
      <c r="J14" t="str">
        <f t="shared" ref="J14:N15" si="6">A11</f>
        <v>F</v>
      </c>
      <c r="K14" t="str">
        <f t="shared" si="6"/>
        <v>G</v>
      </c>
      <c r="L14">
        <f t="shared" si="6"/>
        <v>48</v>
      </c>
      <c r="M14" t="str">
        <f t="shared" si="6"/>
        <v>292</v>
      </c>
      <c r="N14" t="str">
        <f t="shared" si="6"/>
        <v>-</v>
      </c>
      <c r="O14">
        <f>G11</f>
        <v>-2.5</v>
      </c>
      <c r="P14" t="str">
        <f>H11</f>
        <v>At 40' the roof lowers suddenly to Creep I. The big Bedding Plane passage comes in on the right, from -5' to 40'</v>
      </c>
    </row>
    <row r="15" spans="1:16" x14ac:dyDescent="0.25">
      <c r="A15" t="str">
        <f>'Raw Data'!A14</f>
        <v>J</v>
      </c>
      <c r="B15" t="str">
        <f>'Raw Data'!B14</f>
        <v>K</v>
      </c>
      <c r="C15">
        <f>'Raw Data'!J14</f>
        <v>26.5</v>
      </c>
      <c r="D15" t="str">
        <f>'Interpreted Data'!G14</f>
        <v>320</v>
      </c>
      <c r="E15" t="str">
        <f>'Interpreted Data'!H14</f>
        <v>-</v>
      </c>
      <c r="F15" t="str">
        <f>SUBSTITUTE('Raw Data'!K14," ",":",1)</f>
        <v>1</v>
      </c>
      <c r="G15">
        <f>'Interpreted Data'!N14</f>
        <v>0.5</v>
      </c>
      <c r="H15" t="str">
        <f>'Interpreted Data'!P14</f>
        <v>Pots</v>
      </c>
      <c r="I15" t="str">
        <f t="shared" si="0"/>
        <v xml:space="preserve"> </v>
      </c>
      <c r="J15" t="str">
        <f t="shared" si="6"/>
        <v>G</v>
      </c>
      <c r="K15" t="str">
        <f t="shared" si="6"/>
        <v>H</v>
      </c>
      <c r="L15">
        <f t="shared" si="6"/>
        <v>36</v>
      </c>
      <c r="M15" t="str">
        <f t="shared" si="6"/>
        <v>-</v>
      </c>
      <c r="N15" t="str">
        <f t="shared" si="6"/>
        <v>159</v>
      </c>
      <c r="O15">
        <f>G12</f>
        <v>0</v>
      </c>
      <c r="P15" t="str">
        <f>H12</f>
        <v/>
      </c>
    </row>
    <row r="16" spans="1:16" x14ac:dyDescent="0.25">
      <c r="A16" t="str">
        <f>'Raw Data'!A15</f>
        <v>K</v>
      </c>
      <c r="B16" t="str">
        <f>'Raw Data'!B15</f>
        <v>L</v>
      </c>
      <c r="C16">
        <f>'Raw Data'!J15</f>
        <v>17.5</v>
      </c>
      <c r="D16" t="str">
        <f>'Interpreted Data'!G15</f>
        <v>-</v>
      </c>
      <c r="E16" t="str">
        <f>'Interpreted Data'!H15</f>
        <v>193</v>
      </c>
      <c r="F16" t="str">
        <f>SUBSTITUTE('Raw Data'!K15," ",":",1)</f>
        <v>-9</v>
      </c>
      <c r="G16">
        <f>'Interpreted Data'!N15</f>
        <v>-2.7</v>
      </c>
      <c r="H16" t="str">
        <f>'Interpreted Data'!P15</f>
        <v>Pots</v>
      </c>
      <c r="I16" t="str">
        <f t="shared" si="0"/>
        <v xml:space="preserve"> </v>
      </c>
      <c r="J16" t="str">
        <f>$J$1</f>
        <v>data normal from to tape compass backcompass clino ignoreall</v>
      </c>
    </row>
    <row r="17" spans="1:16" x14ac:dyDescent="0.25">
      <c r="A17" t="str">
        <f>'Raw Data'!A16</f>
        <v>L</v>
      </c>
      <c r="B17" t="str">
        <f>'Raw Data'!B16</f>
        <v>M</v>
      </c>
      <c r="C17">
        <f>'Raw Data'!J16</f>
        <v>33</v>
      </c>
      <c r="D17" t="str">
        <f>'Interpreted Data'!G16</f>
        <v>299</v>
      </c>
      <c r="E17" t="str">
        <f>'Interpreted Data'!H16</f>
        <v>-</v>
      </c>
      <c r="F17" t="str">
        <f>SUBSTITUTE('Raw Data'!K16," ",":",1)</f>
        <v>-3</v>
      </c>
      <c r="G17">
        <f>'Interpreted Data'!N16</f>
        <v>-1.7</v>
      </c>
      <c r="H17" t="str">
        <f>'Interpreted Data'!P16</f>
        <v>L is at foot of climb to Approach passage. Clay fill remains 6' up on left wall.</v>
      </c>
      <c r="I17" t="str">
        <f t="shared" si="0"/>
        <v xml:space="preserve"> </v>
      </c>
      <c r="J17" t="str">
        <f t="shared" ref="J17:J25" si="7">A13</f>
        <v>H</v>
      </c>
      <c r="K17" t="str">
        <f t="shared" ref="K17:K25" si="8">B13</f>
        <v>I</v>
      </c>
      <c r="L17">
        <f t="shared" ref="L17:L25" si="9">C13</f>
        <v>31</v>
      </c>
      <c r="M17" t="str">
        <f t="shared" ref="M17:M25" si="10">D13</f>
        <v>247</v>
      </c>
      <c r="N17" t="str">
        <f t="shared" ref="N17:N25" si="11">E13</f>
        <v>-</v>
      </c>
      <c r="O17" t="str">
        <f t="shared" ref="O17:O21" si="12">IF(AND(D13="-",E13="-"),IF(1*F13=-90,"DOWN",IF(1*F13=90,"UP","no compass")),F13)</f>
        <v>-2:30</v>
      </c>
      <c r="P17" t="str">
        <f t="shared" ref="P17:P25" si="13">H13</f>
        <v/>
      </c>
    </row>
    <row r="18" spans="1:16" x14ac:dyDescent="0.25">
      <c r="A18" t="str">
        <f>'Raw Data'!A17</f>
        <v>M</v>
      </c>
      <c r="B18" t="str">
        <f>'Raw Data'!B17</f>
        <v>N</v>
      </c>
      <c r="C18">
        <f>'Raw Data'!J17</f>
        <v>43</v>
      </c>
      <c r="D18" t="str">
        <f>'Interpreted Data'!G17</f>
        <v>-</v>
      </c>
      <c r="E18" t="str">
        <f>'Interpreted Data'!H17</f>
        <v>142</v>
      </c>
      <c r="F18" t="str">
        <f>SUBSTITUTE('Raw Data'!K17," ",":",1)</f>
        <v>-7.3</v>
      </c>
      <c r="G18">
        <f>'Interpreted Data'!N17</f>
        <v>-5.6</v>
      </c>
      <c r="H18" t="str">
        <f>'Interpreted Data'!P17</f>
        <v>Pots</v>
      </c>
      <c r="I18" t="str">
        <f t="shared" si="0"/>
        <v xml:space="preserve"> </v>
      </c>
      <c r="J18" t="str">
        <f t="shared" si="7"/>
        <v>I</v>
      </c>
      <c r="K18" t="str">
        <f t="shared" si="8"/>
        <v>J</v>
      </c>
      <c r="L18">
        <f t="shared" si="9"/>
        <v>26</v>
      </c>
      <c r="M18" t="str">
        <f t="shared" si="10"/>
        <v>-</v>
      </c>
      <c r="N18" t="str">
        <f t="shared" si="11"/>
        <v>95</v>
      </c>
      <c r="O18" t="str">
        <f t="shared" si="12"/>
        <v>2</v>
      </c>
      <c r="P18" t="str">
        <f t="shared" si="13"/>
        <v/>
      </c>
    </row>
    <row r="19" spans="1:16" x14ac:dyDescent="0.25">
      <c r="A19" t="str">
        <f>'Raw Data'!A18</f>
        <v>N</v>
      </c>
      <c r="B19" t="str">
        <f>'Raw Data'!B18</f>
        <v>O</v>
      </c>
      <c r="C19">
        <f>'Raw Data'!J18</f>
        <v>15.5</v>
      </c>
      <c r="D19" t="str">
        <f>'Interpreted Data'!G18</f>
        <v>281</v>
      </c>
      <c r="E19" t="str">
        <f>'Interpreted Data'!H18</f>
        <v>-</v>
      </c>
      <c r="F19" t="str">
        <f>SUBSTITUTE('Raw Data'!K18," ",":",1)</f>
        <v>-2</v>
      </c>
      <c r="G19">
        <f>'Interpreted Data'!N18</f>
        <v>-0.5</v>
      </c>
      <c r="H19" t="str">
        <f>'Interpreted Data'!P18</f>
        <v>Pots</v>
      </c>
      <c r="I19" t="str">
        <f t="shared" si="0"/>
        <v xml:space="preserve"> </v>
      </c>
      <c r="J19" t="str">
        <f t="shared" si="7"/>
        <v>J</v>
      </c>
      <c r="K19" t="str">
        <f t="shared" si="8"/>
        <v>K</v>
      </c>
      <c r="L19">
        <f t="shared" si="9"/>
        <v>26.5</v>
      </c>
      <c r="M19" t="str">
        <f t="shared" si="10"/>
        <v>320</v>
      </c>
      <c r="N19" t="str">
        <f t="shared" si="11"/>
        <v>-</v>
      </c>
      <c r="O19" t="str">
        <f t="shared" si="12"/>
        <v>1</v>
      </c>
      <c r="P19" t="str">
        <f t="shared" si="13"/>
        <v>Pots</v>
      </c>
    </row>
    <row r="20" spans="1:16" x14ac:dyDescent="0.25">
      <c r="A20" t="str">
        <f>'Raw Data'!A19</f>
        <v>O</v>
      </c>
      <c r="B20" t="str">
        <f>'Raw Data'!B19</f>
        <v>P</v>
      </c>
      <c r="C20">
        <f>'Raw Data'!J19</f>
        <v>56</v>
      </c>
      <c r="D20" t="str">
        <f>'Interpreted Data'!G19</f>
        <v>-</v>
      </c>
      <c r="E20" t="str">
        <f>'Interpreted Data'!H19</f>
        <v>127</v>
      </c>
      <c r="F20" t="str">
        <f>SUBSTITUTE('Raw Data'!K19," ",":",1)</f>
        <v>-5</v>
      </c>
      <c r="G20">
        <f>'Interpreted Data'!N19</f>
        <v>-4.9000000000000004</v>
      </c>
      <c r="H20" t="str">
        <f>'Interpreted Data'!P19</f>
        <v>Pots. Very pretty coral on left wall</v>
      </c>
      <c r="I20" t="str">
        <f t="shared" si="0"/>
        <v xml:space="preserve"> </v>
      </c>
      <c r="J20" t="str">
        <f t="shared" si="7"/>
        <v>K</v>
      </c>
      <c r="K20" t="str">
        <f t="shared" si="8"/>
        <v>L</v>
      </c>
      <c r="L20">
        <f t="shared" si="9"/>
        <v>17.5</v>
      </c>
      <c r="M20" t="str">
        <f t="shared" si="10"/>
        <v>-</v>
      </c>
      <c r="N20" t="str">
        <f t="shared" si="11"/>
        <v>193</v>
      </c>
      <c r="O20" t="str">
        <f t="shared" si="12"/>
        <v>-9</v>
      </c>
      <c r="P20" t="str">
        <f t="shared" si="13"/>
        <v>Pots</v>
      </c>
    </row>
    <row r="21" spans="1:16" x14ac:dyDescent="0.25">
      <c r="A21" t="str">
        <f>'Raw Data'!A20</f>
        <v>P</v>
      </c>
      <c r="B21" t="str">
        <f>'Raw Data'!B20</f>
        <v>Q</v>
      </c>
      <c r="C21">
        <f>'Raw Data'!J20</f>
        <v>15.8</v>
      </c>
      <c r="D21" t="str">
        <f>'Interpreted Data'!G20</f>
        <v>283</v>
      </c>
      <c r="E21" t="str">
        <f>'Interpreted Data'!H20</f>
        <v>-</v>
      </c>
      <c r="F21" t="str">
        <f>SUBSTITUTE('Raw Data'!K20," ",":",1)</f>
        <v>-0:15</v>
      </c>
      <c r="G21">
        <f>'Interpreted Data'!N20</f>
        <v>-0.1</v>
      </c>
      <c r="H21" t="str">
        <f>'Interpreted Data'!P20</f>
        <v/>
      </c>
      <c r="I21" t="str">
        <f t="shared" si="0"/>
        <v xml:space="preserve"> </v>
      </c>
      <c r="J21" t="str">
        <f t="shared" si="7"/>
        <v>L</v>
      </c>
      <c r="K21" t="str">
        <f t="shared" si="8"/>
        <v>M</v>
      </c>
      <c r="L21">
        <f t="shared" si="9"/>
        <v>33</v>
      </c>
      <c r="M21" t="str">
        <f t="shared" si="10"/>
        <v>299</v>
      </c>
      <c r="N21" t="str">
        <f t="shared" si="11"/>
        <v>-</v>
      </c>
      <c r="O21" t="str">
        <f t="shared" si="12"/>
        <v>-3</v>
      </c>
      <c r="P21" t="str">
        <f t="shared" si="13"/>
        <v>L is at foot of climb to Approach passage. Clay fill remains 6' up on left wall.</v>
      </c>
    </row>
    <row r="22" spans="1:16" x14ac:dyDescent="0.25">
      <c r="A22" t="str">
        <f>'Raw Data'!A21</f>
        <v>Q</v>
      </c>
      <c r="B22" t="str">
        <f>'Raw Data'!B21</f>
        <v>R</v>
      </c>
      <c r="C22">
        <f>'Raw Data'!J21</f>
        <v>15.3</v>
      </c>
      <c r="D22" t="str">
        <f>'Interpreted Data'!G21</f>
        <v>-</v>
      </c>
      <c r="E22" t="str">
        <f>'Interpreted Data'!H21</f>
        <v>37</v>
      </c>
      <c r="F22" t="str">
        <f>SUBSTITUTE('Raw Data'!K21," ",":",1)</f>
        <v>fall:of 4 feet</v>
      </c>
      <c r="G22">
        <f>'Interpreted Data'!N21</f>
        <v>-4</v>
      </c>
      <c r="H22" t="str">
        <f>'Interpreted Data'!P21</f>
        <v>1.5 foot deep pool starts at P.</v>
      </c>
      <c r="I22" t="str">
        <f t="shared" si="0"/>
        <v xml:space="preserve"> </v>
      </c>
      <c r="J22" t="str">
        <f t="shared" si="7"/>
        <v>M</v>
      </c>
      <c r="K22" t="str">
        <f t="shared" si="8"/>
        <v>N</v>
      </c>
      <c r="L22">
        <f t="shared" si="9"/>
        <v>43</v>
      </c>
      <c r="M22" t="str">
        <f t="shared" si="10"/>
        <v>-</v>
      </c>
      <c r="N22" t="str">
        <f t="shared" si="11"/>
        <v>142</v>
      </c>
      <c r="O22" t="str">
        <f>IF(AND(D18="-",E18="-"),IF(1*F18=-90,"DOWN",IF(1*F18=90,"UP","no compass")),F18)</f>
        <v>-7.3</v>
      </c>
      <c r="P22" t="str">
        <f t="shared" si="13"/>
        <v>Pots</v>
      </c>
    </row>
    <row r="23" spans="1:16" x14ac:dyDescent="0.25">
      <c r="A23" t="str">
        <f>'Raw Data'!A22</f>
        <v>R</v>
      </c>
      <c r="B23" t="str">
        <f>'Raw Data'!B22</f>
        <v>S</v>
      </c>
      <c r="C23">
        <f>'Raw Data'!J22</f>
        <v>39.5</v>
      </c>
      <c r="D23" t="str">
        <f>'Interpreted Data'!G22</f>
        <v>310</v>
      </c>
      <c r="E23" t="str">
        <f>'Interpreted Data'!H22</f>
        <v>-</v>
      </c>
      <c r="F23" t="str">
        <f>SUBSTITUTE('Raw Data'!K22," ",":",1)</f>
        <v>rise:of 4 feet</v>
      </c>
      <c r="G23">
        <f>'Interpreted Data'!N22</f>
        <v>4</v>
      </c>
      <c r="H23" t="str">
        <f>'Interpreted Data'!P22</f>
        <v>Pool 2.5' deep at R, ends 15' on. Scalloping as in Goughs 1st Sandy Chamber.</v>
      </c>
      <c r="I23" t="str">
        <f t="shared" si="0"/>
        <v xml:space="preserve"> </v>
      </c>
      <c r="J23" t="str">
        <f t="shared" si="7"/>
        <v>N</v>
      </c>
      <c r="K23" t="str">
        <f t="shared" si="8"/>
        <v>O</v>
      </c>
      <c r="L23">
        <f t="shared" si="9"/>
        <v>15.5</v>
      </c>
      <c r="M23" t="str">
        <f t="shared" si="10"/>
        <v>281</v>
      </c>
      <c r="N23" t="str">
        <f t="shared" si="11"/>
        <v>-</v>
      </c>
      <c r="O23" t="str">
        <f t="shared" ref="O23:O25" si="14">IF(AND(D19="-",E19="-"),IF(1*F19=-90,"DOWN",IF(1*F19=90,"UP","no compass")),F19)</f>
        <v>-2</v>
      </c>
      <c r="P23" t="str">
        <f t="shared" si="13"/>
        <v>Pots</v>
      </c>
    </row>
    <row r="24" spans="1:16" x14ac:dyDescent="0.25">
      <c r="A24" t="str">
        <f>'Raw Data'!A23</f>
        <v>S</v>
      </c>
      <c r="B24" t="str">
        <f>'Raw Data'!B23</f>
        <v>T</v>
      </c>
      <c r="C24">
        <f>'Raw Data'!J23</f>
        <v>39.6</v>
      </c>
      <c r="D24" t="str">
        <f>'Interpreted Data'!G23</f>
        <v>-</v>
      </c>
      <c r="E24" t="str">
        <f>'Interpreted Data'!H23</f>
        <v>58</v>
      </c>
      <c r="F24" t="str">
        <f>SUBSTITUTE('Raw Data'!K23," ",":",1)</f>
        <v>-2:30</v>
      </c>
      <c r="G24">
        <f>'Interpreted Data'!N23</f>
        <v>-1.9</v>
      </c>
      <c r="H24" t="str">
        <f>'Interpreted Data'!P23</f>
        <v>S is marked on wall. At 20' there is a muddy chamber overhead.</v>
      </c>
      <c r="I24" t="str">
        <f t="shared" si="0"/>
        <v xml:space="preserve"> </v>
      </c>
      <c r="J24" t="str">
        <f t="shared" si="7"/>
        <v>O</v>
      </c>
      <c r="K24" t="str">
        <f t="shared" si="8"/>
        <v>P</v>
      </c>
      <c r="L24">
        <f t="shared" si="9"/>
        <v>56</v>
      </c>
      <c r="M24" t="str">
        <f t="shared" si="10"/>
        <v>-</v>
      </c>
      <c r="N24" t="str">
        <f t="shared" si="11"/>
        <v>127</v>
      </c>
      <c r="O24" t="str">
        <f t="shared" si="14"/>
        <v>-5</v>
      </c>
      <c r="P24" t="str">
        <f t="shared" si="13"/>
        <v>Pots. Very pretty coral on left wall</v>
      </c>
    </row>
    <row r="25" spans="1:16" x14ac:dyDescent="0.25">
      <c r="A25" t="str">
        <f>'Raw Data'!A24</f>
        <v>T</v>
      </c>
      <c r="B25" t="str">
        <f>'Raw Data'!B24</f>
        <v>U</v>
      </c>
      <c r="C25">
        <f>'Raw Data'!J24</f>
        <v>49</v>
      </c>
      <c r="D25" t="str">
        <f>'Interpreted Data'!G24</f>
        <v>148</v>
      </c>
      <c r="E25" t="str">
        <f>'Interpreted Data'!H24</f>
        <v>-</v>
      </c>
      <c r="F25" t="str">
        <f>SUBSTITUTE('Raw Data'!K24," ",":",1)</f>
        <v>fall:of 1.7 feet</v>
      </c>
      <c r="G25">
        <f>'Interpreted Data'!N24</f>
        <v>-1.7</v>
      </c>
      <c r="H25" t="str">
        <f>'Interpreted Data'!P24</f>
        <v/>
      </c>
      <c r="I25" t="str">
        <f t="shared" si="0"/>
        <v xml:space="preserve"> </v>
      </c>
      <c r="J25" t="str">
        <f t="shared" si="7"/>
        <v>P</v>
      </c>
      <c r="K25" t="str">
        <f t="shared" si="8"/>
        <v>Q</v>
      </c>
      <c r="L25">
        <f t="shared" si="9"/>
        <v>15.8</v>
      </c>
      <c r="M25" t="str">
        <f t="shared" si="10"/>
        <v>283</v>
      </c>
      <c r="N25" t="str">
        <f t="shared" si="11"/>
        <v>-</v>
      </c>
      <c r="O25" t="str">
        <f t="shared" si="14"/>
        <v>-0:15</v>
      </c>
      <c r="P25" t="str">
        <f t="shared" si="13"/>
        <v/>
      </c>
    </row>
    <row r="26" spans="1:16" x14ac:dyDescent="0.25">
      <c r="A26" t="str">
        <f>'Raw Data'!A25</f>
        <v>U</v>
      </c>
      <c r="B26">
        <f>'Raw Data'!B25</f>
        <v>0</v>
      </c>
      <c r="C26">
        <f>'Raw Data'!J25</f>
        <v>0</v>
      </c>
      <c r="D26" t="str">
        <f>'Interpreted Data'!G25</f>
        <v>-</v>
      </c>
      <c r="E26" t="str">
        <f>'Interpreted Data'!H25</f>
        <v>-</v>
      </c>
      <c r="F26" t="str">
        <f>SUBSTITUTE('Raw Data'!K25," ",":",1)</f>
        <v/>
      </c>
      <c r="G26" t="str">
        <f>'Interpreted Data'!N25</f>
        <v/>
      </c>
      <c r="H26" t="str">
        <f>'Interpreted Data'!P25</f>
        <v>Bearls (sp.?) seen here.    Total = 650'</v>
      </c>
      <c r="I26" t="str">
        <f t="shared" si="0"/>
        <v xml:space="preserve"> </v>
      </c>
      <c r="J26" t="str">
        <f>$J$2</f>
        <v>data diving from to tape compass backcompass depthchange ignoreall</v>
      </c>
    </row>
    <row r="27" spans="1:16" x14ac:dyDescent="0.25">
      <c r="A27" t="str">
        <f>'Raw Data'!A26</f>
        <v>A1</v>
      </c>
      <c r="B27" t="str">
        <f>'Raw Data'!B26</f>
        <v>B1</v>
      </c>
      <c r="C27">
        <f>'Raw Data'!J26</f>
        <v>30.4</v>
      </c>
      <c r="D27" t="str">
        <f>'Interpreted Data'!G26</f>
        <v>-</v>
      </c>
      <c r="E27" t="str">
        <f>'Interpreted Data'!H26</f>
        <v>326</v>
      </c>
      <c r="F27" t="str">
        <f>SUBSTITUTE('Raw Data'!K26," ",":",1)</f>
        <v>level</v>
      </c>
      <c r="G27">
        <f>'Interpreted Data'!N26</f>
        <v>0</v>
      </c>
      <c r="H27" t="str">
        <f>'Interpreted Data'!P26</f>
        <v>A1 is far end of "Priddy Green" passage. At choke</v>
      </c>
      <c r="I27" t="str">
        <f t="shared" si="0"/>
        <v xml:space="preserve"> </v>
      </c>
      <c r="J27" t="str">
        <f t="shared" ref="J27:N28" si="15">A22</f>
        <v>Q</v>
      </c>
      <c r="K27" t="str">
        <f t="shared" si="15"/>
        <v>R</v>
      </c>
      <c r="L27">
        <f t="shared" si="15"/>
        <v>15.3</v>
      </c>
      <c r="M27" t="str">
        <f t="shared" si="15"/>
        <v>-</v>
      </c>
      <c r="N27" t="str">
        <f t="shared" si="15"/>
        <v>37</v>
      </c>
      <c r="O27">
        <f>G22</f>
        <v>-4</v>
      </c>
      <c r="P27" t="str">
        <f>H22</f>
        <v>1.5 foot deep pool starts at P.</v>
      </c>
    </row>
    <row r="28" spans="1:16" x14ac:dyDescent="0.25">
      <c r="A28" t="str">
        <f>'Raw Data'!A27</f>
        <v>B1</v>
      </c>
      <c r="B28" t="str">
        <f>'Raw Data'!B27</f>
        <v>C1</v>
      </c>
      <c r="C28">
        <f>'Raw Data'!J27</f>
        <v>37.5</v>
      </c>
      <c r="D28" t="str">
        <f>'Interpreted Data'!G27</f>
        <v>248</v>
      </c>
      <c r="E28" t="str">
        <f>'Interpreted Data'!H27</f>
        <v>-</v>
      </c>
      <c r="F28" t="str">
        <f>SUBSTITUTE('Raw Data'!K27," ",":",1)</f>
        <v>-6</v>
      </c>
      <c r="G28">
        <f>'Interpreted Data'!N27</f>
        <v>-3.9</v>
      </c>
      <c r="H28" t="str">
        <f>'Interpreted Data'!P27</f>
        <v>B1 is ent to P.G. pass, above stalagmite keloid (sp.?)</v>
      </c>
      <c r="I28" t="str">
        <f t="shared" si="0"/>
        <v xml:space="preserve"> </v>
      </c>
      <c r="J28" t="str">
        <f t="shared" si="15"/>
        <v>R</v>
      </c>
      <c r="K28" t="str">
        <f t="shared" si="15"/>
        <v>S</v>
      </c>
      <c r="L28">
        <f t="shared" si="15"/>
        <v>39.5</v>
      </c>
      <c r="M28" t="str">
        <f t="shared" si="15"/>
        <v>310</v>
      </c>
      <c r="N28" t="str">
        <f t="shared" si="15"/>
        <v>-</v>
      </c>
      <c r="O28">
        <f>G23</f>
        <v>4</v>
      </c>
      <c r="P28" t="str">
        <f>H23</f>
        <v>Pool 2.5' deep at R, ends 15' on. Scalloping as in Goughs 1st Sandy Chamber.</v>
      </c>
    </row>
    <row r="29" spans="1:16" x14ac:dyDescent="0.25">
      <c r="I29" t="str">
        <f t="shared" si="0"/>
        <v xml:space="preserve"> </v>
      </c>
      <c r="J29" t="str">
        <f>$J$1</f>
        <v>data normal from to tape compass backcompass clino ignoreall</v>
      </c>
    </row>
    <row r="30" spans="1:16" x14ac:dyDescent="0.25">
      <c r="I30" t="str">
        <f t="shared" si="0"/>
        <v xml:space="preserve"> </v>
      </c>
      <c r="J30" t="str">
        <f>A24</f>
        <v>S</v>
      </c>
      <c r="K30" t="str">
        <f>B24</f>
        <v>T</v>
      </c>
      <c r="L30">
        <f>C24</f>
        <v>39.6</v>
      </c>
      <c r="M30" t="str">
        <f>D24</f>
        <v>-</v>
      </c>
      <c r="N30" t="str">
        <f>E24</f>
        <v>58</v>
      </c>
      <c r="O30" t="str">
        <f>IF(AND(D24="-",E24="-"),IF(1*F24=-90,"DOWN",IF(1*F24=90,"UP","no compass")),F24)</f>
        <v>-2:30</v>
      </c>
      <c r="P30" t="str">
        <f>H24</f>
        <v>S is marked on wall. At 20' there is a muddy chamber overhead.</v>
      </c>
    </row>
    <row r="31" spans="1:16" x14ac:dyDescent="0.25">
      <c r="I31" t="str">
        <f t="shared" si="0"/>
        <v xml:space="preserve"> </v>
      </c>
      <c r="J31" t="str">
        <f>$J$2</f>
        <v>data diving from to tape compass backcompass depthchange ignoreall</v>
      </c>
    </row>
    <row r="32" spans="1:16" x14ac:dyDescent="0.25">
      <c r="I32" t="str">
        <f t="shared" si="0"/>
        <v xml:space="preserve"> </v>
      </c>
      <c r="J32" t="str">
        <f>A25</f>
        <v>T</v>
      </c>
      <c r="K32" t="str">
        <f>B25</f>
        <v>U</v>
      </c>
      <c r="L32">
        <f>C25</f>
        <v>49</v>
      </c>
      <c r="M32" t="str">
        <f>D25</f>
        <v>148</v>
      </c>
      <c r="N32" t="str">
        <f>E25</f>
        <v>-</v>
      </c>
      <c r="O32">
        <f>G25</f>
        <v>-1.7</v>
      </c>
      <c r="P32" t="str">
        <f>H25</f>
        <v/>
      </c>
    </row>
    <row r="33" spans="1:16" x14ac:dyDescent="0.25">
      <c r="I33" t="str">
        <f t="shared" si="0"/>
        <v xml:space="preserve"> </v>
      </c>
      <c r="J33" t="s">
        <v>77</v>
      </c>
      <c r="K33" t="s">
        <v>39</v>
      </c>
      <c r="P33" t="str">
        <f>H26</f>
        <v>Bearls (sp.?) seen here.    Total = 650'</v>
      </c>
    </row>
    <row r="34" spans="1:16" x14ac:dyDescent="0.25">
      <c r="I34" t="str">
        <f t="shared" si="0"/>
        <v xml:space="preserve"> </v>
      </c>
      <c r="J34" t="str">
        <f>A27</f>
        <v>A1</v>
      </c>
      <c r="K34" t="str">
        <f>B27</f>
        <v>B1</v>
      </c>
      <c r="L34">
        <f>C27</f>
        <v>30.4</v>
      </c>
      <c r="M34" t="str">
        <f>D27</f>
        <v>-</v>
      </c>
      <c r="N34" t="str">
        <f>E27</f>
        <v>326</v>
      </c>
      <c r="O34">
        <f>G27</f>
        <v>0</v>
      </c>
      <c r="P34" t="str">
        <f>H27</f>
        <v>A1 is far end of "Priddy Green" passage. At choke</v>
      </c>
    </row>
    <row r="35" spans="1:16" x14ac:dyDescent="0.25">
      <c r="I35" t="str">
        <f t="shared" si="0"/>
        <v xml:space="preserve"> </v>
      </c>
      <c r="J35" t="str">
        <f t="shared" ref="J35:N35" si="16">A28</f>
        <v>B1</v>
      </c>
      <c r="K35" t="str">
        <f t="shared" si="16"/>
        <v>C1</v>
      </c>
      <c r="L35">
        <f t="shared" si="16"/>
        <v>37.5</v>
      </c>
      <c r="M35" t="str">
        <f t="shared" si="16"/>
        <v>248</v>
      </c>
      <c r="N35" t="str">
        <f t="shared" si="16"/>
        <v>-</v>
      </c>
      <c r="O35">
        <f t="shared" ref="O35:P35" si="17">G28</f>
        <v>-3.9</v>
      </c>
      <c r="P35" t="str">
        <f t="shared" si="17"/>
        <v>B1 is ent to P.G. pass, above stalagmite keloid (sp.?)</v>
      </c>
    </row>
    <row r="36" spans="1:16" x14ac:dyDescent="0.25">
      <c r="I36" t="str">
        <f t="shared" si="0"/>
        <v xml:space="preserve"> </v>
      </c>
    </row>
    <row r="37" spans="1:16" x14ac:dyDescent="0.25">
      <c r="I37" t="str">
        <f t="shared" si="0"/>
        <v xml:space="preserve"> </v>
      </c>
      <c r="J37" t="str">
        <f>A39</f>
        <v>5th August 1951</v>
      </c>
      <c r="K37" t="str">
        <f>B39</f>
        <v>SWILDONS HOLE SURVEY</v>
      </c>
    </row>
    <row r="38" spans="1:16" x14ac:dyDescent="0.25">
      <c r="I38" t="str">
        <f t="shared" si="0"/>
        <v xml:space="preserve"> </v>
      </c>
      <c r="J38" t="str">
        <f>$J$1</f>
        <v>data normal from to tape compass backcompass clino ignoreall</v>
      </c>
    </row>
    <row r="39" spans="1:16" x14ac:dyDescent="0.25">
      <c r="A39" t="str">
        <f>'Raw Data'!A29</f>
        <v>5th August 1951</v>
      </c>
      <c r="B39" t="str">
        <f>'Raw Data'!B29</f>
        <v>SWILDONS HOLE SURVEY</v>
      </c>
      <c r="I39" t="str">
        <f t="shared" si="0"/>
        <v xml:space="preserve"> </v>
      </c>
      <c r="J39" t="str">
        <f t="shared" ref="J39:N43" si="18">A40</f>
        <v>C1</v>
      </c>
      <c r="K39" t="str">
        <f t="shared" si="18"/>
        <v>D1</v>
      </c>
      <c r="L39">
        <f t="shared" si="18"/>
        <v>11.8</v>
      </c>
      <c r="M39" t="str">
        <f t="shared" si="18"/>
        <v>-</v>
      </c>
      <c r="N39" t="str">
        <f t="shared" si="18"/>
        <v>85</v>
      </c>
      <c r="O39" t="str">
        <f>IF(AND(D40="-",E40="-"),IF(1*F40=-90,"DOWN",IF(1*F40=90,"UP","no compass")),F40)</f>
        <v>-24</v>
      </c>
      <c r="P39" t="str">
        <f>H40</f>
        <v>On rocky bank.</v>
      </c>
    </row>
    <row r="40" spans="1:16" x14ac:dyDescent="0.25">
      <c r="A40" t="str">
        <f>'Raw Data'!A30</f>
        <v>C1</v>
      </c>
      <c r="B40" t="str">
        <f>'Raw Data'!B30</f>
        <v>D1</v>
      </c>
      <c r="C40">
        <f>'Raw Data'!J30</f>
        <v>11.8</v>
      </c>
      <c r="D40" t="str">
        <f>'Interpreted Data'!G30</f>
        <v>-</v>
      </c>
      <c r="E40" t="str">
        <f>'Interpreted Data'!H30</f>
        <v>85</v>
      </c>
      <c r="F40" t="str">
        <f>SUBSTITUTE('Raw Data'!K30," ",":",1)</f>
        <v>-24</v>
      </c>
      <c r="G40">
        <f>'Interpreted Data'!N30</f>
        <v>-4.8</v>
      </c>
      <c r="H40" t="str">
        <f>'Interpreted Data'!P30</f>
        <v>On rocky bank.</v>
      </c>
      <c r="I40" t="str">
        <f t="shared" si="0"/>
        <v xml:space="preserve"> </v>
      </c>
      <c r="J40" t="str">
        <f t="shared" si="18"/>
        <v>D1</v>
      </c>
      <c r="K40" t="str">
        <f t="shared" si="18"/>
        <v>A</v>
      </c>
      <c r="L40">
        <f t="shared" si="18"/>
        <v>36.799999999999997</v>
      </c>
      <c r="M40" t="str">
        <f t="shared" si="18"/>
        <v>251</v>
      </c>
      <c r="N40" t="str">
        <f t="shared" si="18"/>
        <v>-</v>
      </c>
      <c r="O40">
        <v>0</v>
      </c>
      <c r="P40" t="str">
        <f>H41</f>
        <v>D1 to near side of Sump I 11.8'. D1 to far side of Sump I 18'. D1 is in pool at stake for cable.</v>
      </c>
    </row>
    <row r="41" spans="1:16" x14ac:dyDescent="0.25">
      <c r="A41" t="str">
        <f>'Raw Data'!A31</f>
        <v>D1</v>
      </c>
      <c r="B41" t="str">
        <f>'Raw Data'!B31</f>
        <v>A</v>
      </c>
      <c r="C41">
        <f>'Raw Data'!J31</f>
        <v>36.799999999999997</v>
      </c>
      <c r="D41" t="str">
        <f>'Interpreted Data'!G31</f>
        <v>251</v>
      </c>
      <c r="E41" t="str">
        <f>'Interpreted Data'!H31</f>
        <v>-</v>
      </c>
      <c r="F41" t="str">
        <f>SUBSTITUTE('Raw Data'!K31," ",":",1)</f>
        <v>water:level</v>
      </c>
      <c r="G41">
        <f>'Interpreted Data'!N31</f>
        <v>-2.2999999999999998</v>
      </c>
      <c r="H41" t="str">
        <f>'Interpreted Data'!P31</f>
        <v>D1 to near side of Sump I 11.8'. D1 to far side of Sump I 18'. D1 is in pool at stake for cable.</v>
      </c>
      <c r="I41" t="str">
        <f t="shared" si="0"/>
        <v xml:space="preserve"> </v>
      </c>
      <c r="J41" t="str">
        <f t="shared" si="18"/>
        <v>U</v>
      </c>
      <c r="K41" t="str">
        <f t="shared" si="18"/>
        <v>V</v>
      </c>
      <c r="L41">
        <f t="shared" si="18"/>
        <v>29</v>
      </c>
      <c r="M41" t="str">
        <f t="shared" si="18"/>
        <v>-</v>
      </c>
      <c r="N41" t="str">
        <f t="shared" si="18"/>
        <v>6:30</v>
      </c>
      <c r="O41">
        <f t="shared" ref="O41:O43" si="19">G42</f>
        <v>0</v>
      </c>
      <c r="P41" t="str">
        <f>H42</f>
        <v>Lake begins as 10'. (Little sketch)</v>
      </c>
    </row>
    <row r="42" spans="1:16" x14ac:dyDescent="0.25">
      <c r="A42" t="str">
        <f>'Raw Data'!A32</f>
        <v>U</v>
      </c>
      <c r="B42" t="str">
        <f>'Raw Data'!B32</f>
        <v>V</v>
      </c>
      <c r="C42">
        <f>'Raw Data'!J32</f>
        <v>29</v>
      </c>
      <c r="D42" t="str">
        <f>'Interpreted Data'!G32</f>
        <v>-</v>
      </c>
      <c r="E42" t="str">
        <f>'Interpreted Data'!H32</f>
        <v>6:30</v>
      </c>
      <c r="F42" t="str">
        <f>SUBSTITUTE('Raw Data'!K32," ",":",1)</f>
        <v>water:level</v>
      </c>
      <c r="G42">
        <f>'Interpreted Data'!N32</f>
        <v>0</v>
      </c>
      <c r="H42" t="str">
        <f>'Interpreted Data'!P32</f>
        <v>Lake begins as 10'. (Little sketch)</v>
      </c>
      <c r="I42" t="str">
        <f t="shared" si="0"/>
        <v xml:space="preserve"> </v>
      </c>
      <c r="J42" t="str">
        <f t="shared" si="18"/>
        <v>V</v>
      </c>
      <c r="K42" t="str">
        <f t="shared" si="18"/>
        <v>W</v>
      </c>
      <c r="L42">
        <f t="shared" si="18"/>
        <v>33.799999999999997</v>
      </c>
      <c r="M42" t="str">
        <f t="shared" si="18"/>
        <v>141:30</v>
      </c>
      <c r="N42" t="str">
        <f t="shared" si="18"/>
        <v>-</v>
      </c>
      <c r="O42">
        <f t="shared" si="19"/>
        <v>0</v>
      </c>
      <c r="P42" t="str">
        <f>H43</f>
        <v>Lake</v>
      </c>
    </row>
    <row r="43" spans="1:16" x14ac:dyDescent="0.25">
      <c r="A43" t="str">
        <f>'Raw Data'!A33</f>
        <v>V</v>
      </c>
      <c r="B43" t="str">
        <f>'Raw Data'!B33</f>
        <v>W</v>
      </c>
      <c r="C43">
        <f>'Raw Data'!J33</f>
        <v>33.799999999999997</v>
      </c>
      <c r="D43" t="str">
        <f>'Interpreted Data'!G33</f>
        <v>141:30</v>
      </c>
      <c r="E43" t="str">
        <f>'Interpreted Data'!H33</f>
        <v>-</v>
      </c>
      <c r="F43" t="str">
        <f>SUBSTITUTE('Raw Data'!K33," ",":",1)</f>
        <v>water:level</v>
      </c>
      <c r="G43">
        <f>'Interpreted Data'!N33</f>
        <v>0</v>
      </c>
      <c r="H43" t="str">
        <f>'Interpreted Data'!P33</f>
        <v>Lake</v>
      </c>
      <c r="I43" t="str">
        <f t="shared" si="0"/>
        <v xml:space="preserve"> </v>
      </c>
      <c r="J43" t="str">
        <f t="shared" si="18"/>
        <v>W</v>
      </c>
      <c r="K43" t="str">
        <f t="shared" si="18"/>
        <v>X</v>
      </c>
      <c r="L43">
        <f t="shared" si="18"/>
        <v>47</v>
      </c>
      <c r="M43" t="str">
        <f t="shared" si="18"/>
        <v>132:10</v>
      </c>
      <c r="N43" t="str">
        <f t="shared" si="18"/>
        <v>-</v>
      </c>
      <c r="O43">
        <f t="shared" si="19"/>
        <v>0</v>
      </c>
      <c r="P43" t="str">
        <f>H44</f>
        <v>Bearing from 2' to right. W to near side Duck II = 3.5. W to far side Duck II = 20.4</v>
      </c>
    </row>
    <row r="44" spans="1:16" x14ac:dyDescent="0.25">
      <c r="A44" t="str">
        <f>'Raw Data'!A34</f>
        <v>W</v>
      </c>
      <c r="B44" t="str">
        <f>'Raw Data'!B34</f>
        <v>X</v>
      </c>
      <c r="C44">
        <f>'Raw Data'!J34</f>
        <v>47</v>
      </c>
      <c r="D44" t="str">
        <f>'Interpreted Data'!G34</f>
        <v>132:10</v>
      </c>
      <c r="E44" t="str">
        <f>'Interpreted Data'!H34</f>
        <v>-</v>
      </c>
      <c r="F44" t="str">
        <f>SUBSTITUTE('Raw Data'!K34," ",":",1)</f>
        <v>water:level</v>
      </c>
      <c r="G44">
        <f>'Interpreted Data'!N34</f>
        <v>0</v>
      </c>
      <c r="H44" t="str">
        <f>'Interpreted Data'!P34</f>
        <v>Bearing from 2' to right. W to near side Duck II = 3.5. W to far side Duck II = 20.4</v>
      </c>
      <c r="I44" t="str">
        <f t="shared" si="0"/>
        <v xml:space="preserve"> </v>
      </c>
      <c r="J44" t="str">
        <f>$J$2</f>
        <v>data diving from to tape compass backcompass depthchange ignoreall</v>
      </c>
    </row>
    <row r="45" spans="1:16" x14ac:dyDescent="0.25">
      <c r="A45" t="str">
        <f>'Raw Data'!A35</f>
        <v>X</v>
      </c>
      <c r="B45" t="str">
        <f>'Raw Data'!B35</f>
        <v>Y</v>
      </c>
      <c r="C45">
        <f>'Raw Data'!J35</f>
        <v>83.5</v>
      </c>
      <c r="D45" t="str">
        <f>'Interpreted Data'!G35</f>
        <v>-</v>
      </c>
      <c r="E45" t="str">
        <f>'Interpreted Data'!H35</f>
        <v>354</v>
      </c>
      <c r="F45" t="str">
        <f>SUBSTITUTE('Raw Data'!K35," ",":",1)</f>
        <v>fall:0.7'</v>
      </c>
      <c r="G45">
        <f>'Interpreted Data'!N35</f>
        <v>-0.7</v>
      </c>
      <c r="H45" t="str">
        <f>'Interpreted Data'!P35</f>
        <v>Y at lip of Sump II, 3" air space goes on 10 more</v>
      </c>
      <c r="I45" t="str">
        <f t="shared" si="0"/>
        <v xml:space="preserve"> </v>
      </c>
      <c r="J45" t="str">
        <f>A45</f>
        <v>X</v>
      </c>
      <c r="K45" t="str">
        <f>B45</f>
        <v>Y</v>
      </c>
      <c r="L45">
        <f>C45</f>
        <v>83.5</v>
      </c>
      <c r="M45" t="str">
        <f>D45</f>
        <v>-</v>
      </c>
      <c r="N45" t="str">
        <f>E45</f>
        <v>354</v>
      </c>
      <c r="O45">
        <f>G45</f>
        <v>-0.7</v>
      </c>
      <c r="P45" t="str">
        <f>H45</f>
        <v>Y at lip of Sump II, 3" air space goes on 10 more</v>
      </c>
    </row>
    <row r="46" spans="1:16" x14ac:dyDescent="0.25">
      <c r="A46" t="str">
        <f>'Raw Data'!A36</f>
        <v>Y</v>
      </c>
      <c r="B46">
        <f>'Raw Data'!B36</f>
        <v>0</v>
      </c>
      <c r="C46">
        <f>'Raw Data'!J36</f>
        <v>0</v>
      </c>
      <c r="D46" t="str">
        <f>'Interpreted Data'!G36</f>
        <v>-</v>
      </c>
      <c r="E46" t="str">
        <f>'Interpreted Data'!H36</f>
        <v>-</v>
      </c>
      <c r="F46" t="str">
        <f>SUBSTITUTE('Raw Data'!K36," ",":",1)</f>
        <v/>
      </c>
      <c r="G46" t="str">
        <f>'Interpreted Data'!N36</f>
        <v/>
      </c>
      <c r="H46" t="str">
        <f>'Interpreted Data'!P36</f>
        <v>(Little sketch). Total 1010'</v>
      </c>
      <c r="I46" t="str">
        <f t="shared" si="0"/>
        <v xml:space="preserve"> </v>
      </c>
      <c r="J46" t="str">
        <f>$J$1</f>
        <v>data normal from to tape compass backcompass clino ignoreall</v>
      </c>
    </row>
    <row r="47" spans="1:16" x14ac:dyDescent="0.25">
      <c r="A47" t="str">
        <f>'Raw Data'!A37</f>
        <v>T</v>
      </c>
      <c r="B47" t="str">
        <f>'Raw Data'!B37</f>
        <v>Ri</v>
      </c>
      <c r="C47">
        <f>'Raw Data'!J37</f>
        <v>22.1</v>
      </c>
      <c r="D47" t="str">
        <f>'Interpreted Data'!G37</f>
        <v>19</v>
      </c>
      <c r="E47" t="str">
        <f>'Interpreted Data'!H37</f>
        <v>-</v>
      </c>
      <c r="F47" t="str">
        <f>SUBSTITUTE('Raw Data'!K37," ",":",1)</f>
        <v>20</v>
      </c>
      <c r="G47">
        <f>'Interpreted Data'!N37</f>
        <v>7.6</v>
      </c>
      <c r="H47" t="str">
        <f>'Interpreted Data'!P37</f>
        <v/>
      </c>
      <c r="I47" t="str">
        <f t="shared" si="0"/>
        <v xml:space="preserve"> </v>
      </c>
      <c r="J47" t="s">
        <v>77</v>
      </c>
      <c r="K47" t="str">
        <f>A46</f>
        <v>Y</v>
      </c>
      <c r="M47" t="str">
        <f>D46</f>
        <v>-</v>
      </c>
      <c r="N47" t="str">
        <f>E46</f>
        <v>-</v>
      </c>
      <c r="O47" t="str">
        <f>F46</f>
        <v/>
      </c>
      <c r="P47" t="str">
        <f>H46</f>
        <v>(Little sketch). Total 1010'</v>
      </c>
    </row>
    <row r="48" spans="1:16" x14ac:dyDescent="0.25">
      <c r="A48" t="str">
        <f>'Raw Data'!A38</f>
        <v>Ri</v>
      </c>
      <c r="B48" t="str">
        <f>'Raw Data'!B38</f>
        <v>Rii</v>
      </c>
      <c r="C48">
        <f>'Raw Data'!J38</f>
        <v>46</v>
      </c>
      <c r="D48" t="str">
        <f>'Interpreted Data'!G38</f>
        <v>315</v>
      </c>
      <c r="E48" t="str">
        <f>'Interpreted Data'!H38</f>
        <v>-</v>
      </c>
      <c r="F48" t="str">
        <f>SUBSTITUTE('Raw Data'!K38," ",":",1)</f>
        <v>-3</v>
      </c>
      <c r="G48">
        <f>'Interpreted Data'!N38</f>
        <v>-2.4</v>
      </c>
      <c r="H48" t="str">
        <f>'Interpreted Data'!P38</f>
        <v>Sump on left at 41' feet</v>
      </c>
      <c r="I48" t="str">
        <f t="shared" si="0"/>
        <v xml:space="preserve"> </v>
      </c>
      <c r="J48" t="str">
        <f t="shared" ref="J48:N50" si="20">A47</f>
        <v>T</v>
      </c>
      <c r="K48" t="str">
        <f t="shared" si="20"/>
        <v>Ri</v>
      </c>
      <c r="L48">
        <f t="shared" si="20"/>
        <v>22.1</v>
      </c>
      <c r="M48" t="str">
        <f t="shared" si="20"/>
        <v>19</v>
      </c>
      <c r="N48" t="str">
        <f t="shared" si="20"/>
        <v>-</v>
      </c>
      <c r="O48" t="str">
        <f>IF(AND(D47="-",E47="-"),IF(1*F47=-90,"DOWN",IF(1*F47=90,"UP","no compass")),F47)</f>
        <v>20</v>
      </c>
      <c r="P48" t="str">
        <f>H47</f>
        <v/>
      </c>
    </row>
    <row r="49" spans="1:16" x14ac:dyDescent="0.25">
      <c r="A49" t="str">
        <f>'Raw Data'!A39</f>
        <v>Rii</v>
      </c>
      <c r="B49" t="str">
        <f>'Raw Data'!B39</f>
        <v>Riii</v>
      </c>
      <c r="C49">
        <f>'Raw Data'!J39</f>
        <v>32</v>
      </c>
      <c r="D49" t="str">
        <f>'Interpreted Data'!G39</f>
        <v>348</v>
      </c>
      <c r="E49" t="str">
        <f>'Interpreted Data'!H39</f>
        <v>-</v>
      </c>
      <c r="F49" t="str">
        <f>SUBSTITUTE('Raw Data'!K39," ",":",1)</f>
        <v>2</v>
      </c>
      <c r="G49">
        <f>'Interpreted Data'!N39</f>
        <v>1.1000000000000001</v>
      </c>
      <c r="H49" t="str">
        <f>'Interpreted Data'!P39</f>
        <v>Bearing from 3 feet to left</v>
      </c>
      <c r="I49" t="str">
        <f t="shared" si="0"/>
        <v xml:space="preserve"> </v>
      </c>
      <c r="J49" t="str">
        <f t="shared" si="20"/>
        <v>Ri</v>
      </c>
      <c r="K49" t="str">
        <f t="shared" si="20"/>
        <v>Rii</v>
      </c>
      <c r="L49">
        <f t="shared" si="20"/>
        <v>46</v>
      </c>
      <c r="M49" t="str">
        <f t="shared" si="20"/>
        <v>315</v>
      </c>
      <c r="N49" t="str">
        <f t="shared" si="20"/>
        <v>-</v>
      </c>
      <c r="O49" t="str">
        <f t="shared" ref="O49:O50" si="21">IF(AND(D48="-",E48="-"),IF(1*F48=-90,"DOWN",IF(1*F48=90,"UP","no compass")),F48)</f>
        <v>-3</v>
      </c>
      <c r="P49" t="str">
        <f>H48</f>
        <v>Sump on left at 41' feet</v>
      </c>
    </row>
    <row r="50" spans="1:16" x14ac:dyDescent="0.25">
      <c r="A50" t="str">
        <f>'Raw Data'!A40</f>
        <v>Riii</v>
      </c>
      <c r="B50" t="str">
        <f>'Raw Data'!B40</f>
        <v>Riv</v>
      </c>
      <c r="C50">
        <f>'Raw Data'!J40</f>
        <v>27.3</v>
      </c>
      <c r="D50" t="str">
        <f>'Interpreted Data'!G40</f>
        <v>284</v>
      </c>
      <c r="E50" t="str">
        <f>'Interpreted Data'!H40</f>
        <v>-</v>
      </c>
      <c r="F50" t="str">
        <f>SUBSTITUTE('Raw Data'!K40," ",":",1)</f>
        <v>fall:4 feet</v>
      </c>
      <c r="G50">
        <f>'Interpreted Data'!N40</f>
        <v>-4</v>
      </c>
      <c r="H50" t="str">
        <f>'Interpreted Data'!P40</f>
        <v>Bearing from 2' to left. Iv is Muddy Sump. Dp below Sump I is 20.6 feet. Total 1127'</v>
      </c>
      <c r="I50" t="str">
        <f t="shared" si="0"/>
        <v xml:space="preserve"> </v>
      </c>
      <c r="J50" t="str">
        <f t="shared" si="20"/>
        <v>Rii</v>
      </c>
      <c r="K50" t="str">
        <f t="shared" si="20"/>
        <v>Riii</v>
      </c>
      <c r="L50">
        <f t="shared" si="20"/>
        <v>32</v>
      </c>
      <c r="M50" t="str">
        <f t="shared" si="20"/>
        <v>348</v>
      </c>
      <c r="N50" t="str">
        <f t="shared" si="20"/>
        <v>-</v>
      </c>
      <c r="O50" t="str">
        <f t="shared" si="21"/>
        <v>2</v>
      </c>
      <c r="P50" t="str">
        <f>H49</f>
        <v>Bearing from 3 feet to left</v>
      </c>
    </row>
    <row r="51" spans="1:16" x14ac:dyDescent="0.25">
      <c r="A51" t="str">
        <f>'Raw Data'!A41</f>
        <v>a</v>
      </c>
      <c r="B51" t="str">
        <f>'Raw Data'!B41</f>
        <v>b</v>
      </c>
      <c r="C51">
        <f>'Raw Data'!J41</f>
        <v>43</v>
      </c>
      <c r="D51" t="str">
        <f>'Interpreted Data'!G41</f>
        <v>83</v>
      </c>
      <c r="E51" t="str">
        <f>'Interpreted Data'!H41</f>
        <v>-</v>
      </c>
      <c r="F51" t="str">
        <f>SUBSTITUTE('Raw Data'!K41," ",":",1)</f>
        <v>15</v>
      </c>
      <c r="G51">
        <f>'Interpreted Data'!N41</f>
        <v>11.1</v>
      </c>
      <c r="H51" t="str">
        <f>'Interpreted Data'!P41</f>
        <v>a is on N.Side of passage just before Creep I -&gt; (sketch)</v>
      </c>
      <c r="I51" t="str">
        <f t="shared" si="0"/>
        <v xml:space="preserve"> </v>
      </c>
      <c r="J51" t="str">
        <f>$J$2</f>
        <v>data diving from to tape compass backcompass depthchange ignoreall</v>
      </c>
    </row>
    <row r="52" spans="1:16" x14ac:dyDescent="0.25">
      <c r="A52" t="str">
        <f>'Raw Data'!A42</f>
        <v>b</v>
      </c>
      <c r="B52" t="str">
        <f>'Raw Data'!B42</f>
        <v>c</v>
      </c>
      <c r="C52">
        <f>'Raw Data'!J42</f>
        <v>20.7</v>
      </c>
      <c r="D52" t="str">
        <f>'Interpreted Data'!G42</f>
        <v>6</v>
      </c>
      <c r="E52" t="str">
        <f>'Interpreted Data'!H42</f>
        <v>-</v>
      </c>
      <c r="F52" t="str">
        <f>SUBSTITUTE('Raw Data'!K42," ",":",1)</f>
        <v>8</v>
      </c>
      <c r="G52">
        <f>'Interpreted Data'!N42</f>
        <v>2.9</v>
      </c>
      <c r="H52" t="str">
        <f>'Interpreted Data'!P42</f>
        <v/>
      </c>
      <c r="I52" t="str">
        <f t="shared" si="0"/>
        <v xml:space="preserve"> </v>
      </c>
      <c r="J52" t="str">
        <f>A50</f>
        <v>Riii</v>
      </c>
      <c r="K52" t="str">
        <f>B50</f>
        <v>Riv</v>
      </c>
      <c r="L52">
        <f>C50</f>
        <v>27.3</v>
      </c>
      <c r="M52" t="str">
        <f>D50</f>
        <v>284</v>
      </c>
      <c r="N52" t="str">
        <f>E50</f>
        <v>-</v>
      </c>
      <c r="O52">
        <f>G50</f>
        <v>-4</v>
      </c>
      <c r="P52" t="str">
        <f>H50</f>
        <v>Bearing from 2' to left. Iv is Muddy Sump. Dp below Sump I is 20.6 feet. Total 1127'</v>
      </c>
    </row>
    <row r="53" spans="1:16" x14ac:dyDescent="0.25">
      <c r="A53" t="str">
        <f>'Raw Data'!A43</f>
        <v>c</v>
      </c>
      <c r="B53" t="str">
        <f>'Raw Data'!B43</f>
        <v>d</v>
      </c>
      <c r="C53">
        <f>'Raw Data'!J43</f>
        <v>11.3</v>
      </c>
      <c r="D53" t="str">
        <f>'Interpreted Data'!G43</f>
        <v>42</v>
      </c>
      <c r="E53" t="str">
        <f>'Interpreted Data'!H43</f>
        <v>-</v>
      </c>
      <c r="F53" t="str">
        <f>SUBSTITUTE('Raw Data'!K43," ",":",1)</f>
        <v>10</v>
      </c>
      <c r="G53">
        <f>'Interpreted Data'!N43</f>
        <v>2</v>
      </c>
      <c r="H53" t="str">
        <f>'Interpreted Data'!P43</f>
        <v/>
      </c>
      <c r="I53" t="str">
        <f t="shared" si="0"/>
        <v xml:space="preserve"> </v>
      </c>
      <c r="J53" t="str">
        <f>$J$1</f>
        <v>data normal from to tape compass backcompass clino ignoreall</v>
      </c>
    </row>
    <row r="54" spans="1:16" x14ac:dyDescent="0.25">
      <c r="A54" t="str">
        <f>'Raw Data'!A44</f>
        <v>d</v>
      </c>
      <c r="B54" t="str">
        <f>'Raw Data'!B44</f>
        <v>e</v>
      </c>
      <c r="C54">
        <f>'Raw Data'!J44</f>
        <v>18.899999999999999</v>
      </c>
      <c r="D54" t="str">
        <f>'Interpreted Data'!G44</f>
        <v>139</v>
      </c>
      <c r="E54" t="str">
        <f>'Interpreted Data'!H44</f>
        <v>-</v>
      </c>
      <c r="F54" t="str">
        <f>SUBSTITUTE('Raw Data'!K44," ",":",1)</f>
        <v>level</v>
      </c>
      <c r="G54">
        <f>'Interpreted Data'!N44</f>
        <v>0</v>
      </c>
      <c r="H54" t="str">
        <f>'Interpreted Data'!P44</f>
        <v>(e) is where passage rejoins streamway. Stn 35 (p.52)-(e) is F.S. 234 (TRUE), Dist 18', Clino +45 (deg), HD 12.7, VD +12.7</v>
      </c>
      <c r="I54" t="str">
        <f t="shared" si="0"/>
        <v xml:space="preserve"> </v>
      </c>
      <c r="J54" t="str">
        <f>CONCATENATE(A51,"2")</f>
        <v>a2</v>
      </c>
      <c r="K54" t="str">
        <f>CONCATENATE(B51,"2")</f>
        <v>b2</v>
      </c>
      <c r="L54">
        <f t="shared" ref="L54:L73" si="22">C51</f>
        <v>43</v>
      </c>
      <c r="M54" t="str">
        <f t="shared" ref="M54:M73" si="23">D51</f>
        <v>83</v>
      </c>
      <c r="N54" t="str">
        <f t="shared" ref="N54:N73" si="24">E51</f>
        <v>-</v>
      </c>
      <c r="O54" t="str">
        <f>IF(AND(D51="-",E51="-"),IF(1*F51=-90,"DOWN",IF(1*F51=90,"UP","no compass")),F51)</f>
        <v>15</v>
      </c>
      <c r="P54" t="str">
        <f t="shared" ref="P54:P73" si="25">H51</f>
        <v>a is on N.Side of passage just before Creep I -&gt; (sketch)</v>
      </c>
    </row>
    <row r="55" spans="1:16" x14ac:dyDescent="0.25">
      <c r="A55" t="str">
        <f>'Raw Data'!A45</f>
        <v>d</v>
      </c>
      <c r="B55" t="str">
        <f>'Raw Data'!B45</f>
        <v>f</v>
      </c>
      <c r="C55">
        <f>'Raw Data'!J45</f>
        <v>10.3</v>
      </c>
      <c r="D55" t="str">
        <f>'Interpreted Data'!G45</f>
        <v>245</v>
      </c>
      <c r="E55" t="str">
        <f>'Interpreted Data'!H45</f>
        <v>-</v>
      </c>
      <c r="F55" t="str">
        <f>SUBSTITUTE('Raw Data'!K45," ",":",1)</f>
        <v>60</v>
      </c>
      <c r="G55">
        <f>'Interpreted Data'!N45</f>
        <v>8.9</v>
      </c>
      <c r="H55" t="str">
        <f>'Interpreted Data'!P45</f>
        <v/>
      </c>
      <c r="I55" t="str">
        <f t="shared" si="0"/>
        <v xml:space="preserve"> </v>
      </c>
      <c r="J55" t="str">
        <f t="shared" ref="J55:K55" si="26">CONCATENATE(A52,"2")</f>
        <v>b2</v>
      </c>
      <c r="K55" t="str">
        <f t="shared" si="26"/>
        <v>c2</v>
      </c>
      <c r="L55">
        <f t="shared" si="22"/>
        <v>20.7</v>
      </c>
      <c r="M55" t="str">
        <f t="shared" si="23"/>
        <v>6</v>
      </c>
      <c r="N55" t="str">
        <f t="shared" si="24"/>
        <v>-</v>
      </c>
      <c r="O55" t="str">
        <f>IF(AND(D52="-",E52="-"),IF(1*F52=-90,"DOWN",IF(1*F52=90,"UP","no compass")),F52)</f>
        <v>8</v>
      </c>
      <c r="P55" t="str">
        <f t="shared" si="25"/>
        <v/>
      </c>
    </row>
    <row r="56" spans="1:16" x14ac:dyDescent="0.25">
      <c r="A56" t="str">
        <f>'Raw Data'!A46</f>
        <v>f</v>
      </c>
      <c r="B56" t="str">
        <f>'Raw Data'!B46</f>
        <v>g</v>
      </c>
      <c r="C56">
        <f>'Raw Data'!J46</f>
        <v>6.2</v>
      </c>
      <c r="D56" t="str">
        <f>'Interpreted Data'!G46</f>
        <v>319</v>
      </c>
      <c r="E56" t="str">
        <f>'Interpreted Data'!H46</f>
        <v>-</v>
      </c>
      <c r="F56" t="str">
        <f>SUBSTITUTE('Raw Data'!K46," ",":",1)</f>
        <v>level</v>
      </c>
      <c r="G56">
        <f>'Interpreted Data'!N46</f>
        <v>0</v>
      </c>
      <c r="H56" t="str">
        <f>'Interpreted Data'!P46</f>
        <v/>
      </c>
      <c r="I56" t="str">
        <f t="shared" si="0"/>
        <v xml:space="preserve"> </v>
      </c>
      <c r="J56" t="str">
        <f t="shared" ref="J56:K56" si="27">CONCATENATE(A53,"2")</f>
        <v>c2</v>
      </c>
      <c r="K56" t="str">
        <f t="shared" si="27"/>
        <v>d2</v>
      </c>
      <c r="L56">
        <f t="shared" si="22"/>
        <v>11.3</v>
      </c>
      <c r="M56" t="str">
        <f t="shared" si="23"/>
        <v>42</v>
      </c>
      <c r="N56" t="str">
        <f t="shared" si="24"/>
        <v>-</v>
      </c>
      <c r="O56" t="str">
        <f>IF(AND(D53="-",E53="-"),IF(1*F53=-90,"DOWN",IF(1*F53=90,"UP","no compass")),F53)</f>
        <v>10</v>
      </c>
      <c r="P56" t="str">
        <f t="shared" si="25"/>
        <v/>
      </c>
    </row>
    <row r="57" spans="1:16" x14ac:dyDescent="0.25">
      <c r="A57" t="str">
        <f>'Raw Data'!A47</f>
        <v>g</v>
      </c>
      <c r="B57" t="str">
        <f>'Raw Data'!B47</f>
        <v>h</v>
      </c>
      <c r="C57">
        <f>'Raw Data'!J47</f>
        <v>16</v>
      </c>
      <c r="D57" t="str">
        <f>'Interpreted Data'!G47</f>
        <v>237</v>
      </c>
      <c r="E57" t="str">
        <f>'Interpreted Data'!H47</f>
        <v>-</v>
      </c>
      <c r="F57" t="str">
        <f>SUBSTITUTE('Raw Data'!K47," ",":",1)</f>
        <v>65</v>
      </c>
      <c r="G57">
        <f>'Interpreted Data'!N47</f>
        <v>14.5</v>
      </c>
      <c r="H57" t="str">
        <f>'Interpreted Data'!P47</f>
        <v/>
      </c>
      <c r="I57" t="str">
        <f t="shared" si="0"/>
        <v xml:space="preserve"> </v>
      </c>
      <c r="J57" t="str">
        <f t="shared" ref="J57:K57" si="28">CONCATENATE(A54,"2")</f>
        <v>d2</v>
      </c>
      <c r="K57" t="str">
        <f t="shared" si="28"/>
        <v>e2</v>
      </c>
      <c r="L57">
        <f t="shared" si="22"/>
        <v>18.899999999999999</v>
      </c>
      <c r="M57" t="str">
        <f t="shared" si="23"/>
        <v>139</v>
      </c>
      <c r="N57" t="str">
        <f t="shared" si="24"/>
        <v>-</v>
      </c>
      <c r="O57">
        <f>G54</f>
        <v>0</v>
      </c>
      <c r="P57" t="str">
        <f t="shared" si="25"/>
        <v>(e) is where passage rejoins streamway. Stn 35 (p.52)-(e) is F.S. 234 (TRUE), Dist 18', Clino +45 (deg), HD 12.7, VD +12.7</v>
      </c>
    </row>
    <row r="58" spans="1:16" x14ac:dyDescent="0.25">
      <c r="A58" t="str">
        <f>'Raw Data'!A48</f>
        <v>h</v>
      </c>
      <c r="B58" t="str">
        <f>'Raw Data'!B48</f>
        <v>i</v>
      </c>
      <c r="C58">
        <f>'Raw Data'!J48</f>
        <v>46</v>
      </c>
      <c r="D58" t="str">
        <f>'Interpreted Data'!G48</f>
        <v>329</v>
      </c>
      <c r="E58" t="str">
        <f>'Interpreted Data'!H48</f>
        <v>-</v>
      </c>
      <c r="F58" t="str">
        <f>SUBSTITUTE('Raw Data'!K48," ",":",1)</f>
        <v>level</v>
      </c>
      <c r="G58">
        <f>'Interpreted Data'!N48</f>
        <v>0</v>
      </c>
      <c r="H58" t="str">
        <f>'Interpreted Data'!P48</f>
        <v>(i) is where passage gets too low. (some indistinct numbers follow. Too faint to read on logbook scan). Total 1207' (?)</v>
      </c>
      <c r="I58" t="str">
        <f t="shared" si="0"/>
        <v xml:space="preserve"> </v>
      </c>
      <c r="J58" t="str">
        <f t="shared" ref="J58:K58" si="29">CONCATENATE(A55,"2")</f>
        <v>d2</v>
      </c>
      <c r="K58" t="str">
        <f t="shared" si="29"/>
        <v>f2</v>
      </c>
      <c r="L58">
        <f t="shared" si="22"/>
        <v>10.3</v>
      </c>
      <c r="M58" t="str">
        <f t="shared" si="23"/>
        <v>245</v>
      </c>
      <c r="N58" t="str">
        <f t="shared" si="24"/>
        <v>-</v>
      </c>
      <c r="O58" t="str">
        <f>IF(AND(D55="-",E55="-"),IF(1*F55=-90,"DOWN",IF(1*F55=90,"UP","no compass")),F55)</f>
        <v>60</v>
      </c>
      <c r="P58" t="str">
        <f t="shared" si="25"/>
        <v/>
      </c>
    </row>
    <row r="59" spans="1:16" x14ac:dyDescent="0.25">
      <c r="A59" t="str">
        <f>'Raw Data'!A49</f>
        <v>M</v>
      </c>
      <c r="B59">
        <f>'Raw Data'!B49</f>
        <v>1</v>
      </c>
      <c r="C59">
        <f>'Raw Data'!J49</f>
        <v>11.7</v>
      </c>
      <c r="D59" t="str">
        <f>'Interpreted Data'!G49</f>
        <v>-</v>
      </c>
      <c r="E59" t="str">
        <f>'Interpreted Data'!H49</f>
        <v>145</v>
      </c>
      <c r="F59" t="str">
        <f>SUBSTITUTE('Raw Data'!K49," ",":",1)</f>
        <v>-20</v>
      </c>
      <c r="G59">
        <f>'Interpreted Data'!N49</f>
        <v>-4</v>
      </c>
      <c r="H59" t="str">
        <f>'Interpreted Data'!P49</f>
        <v/>
      </c>
      <c r="I59" t="str">
        <f t="shared" si="0"/>
        <v xml:space="preserve"> </v>
      </c>
      <c r="J59" t="str">
        <f t="shared" ref="J59:K59" si="30">CONCATENATE(A56,"2")</f>
        <v>f2</v>
      </c>
      <c r="K59" t="str">
        <f t="shared" si="30"/>
        <v>g2</v>
      </c>
      <c r="L59">
        <f t="shared" si="22"/>
        <v>6.2</v>
      </c>
      <c r="M59" t="str">
        <f t="shared" si="23"/>
        <v>319</v>
      </c>
      <c r="N59" t="str">
        <f t="shared" si="24"/>
        <v>-</v>
      </c>
      <c r="O59">
        <f>G56</f>
        <v>0</v>
      </c>
      <c r="P59" t="str">
        <f t="shared" si="25"/>
        <v/>
      </c>
    </row>
    <row r="60" spans="1:16" x14ac:dyDescent="0.25">
      <c r="A60">
        <f>'Raw Data'!A50</f>
        <v>1</v>
      </c>
      <c r="B60">
        <f>'Raw Data'!B50</f>
        <v>2</v>
      </c>
      <c r="C60">
        <f>'Raw Data'!J50</f>
        <v>28.5</v>
      </c>
      <c r="D60" t="str">
        <f>'Interpreted Data'!G50</f>
        <v>35</v>
      </c>
      <c r="E60" t="str">
        <f>'Interpreted Data'!H50</f>
        <v>-</v>
      </c>
      <c r="F60" t="str">
        <f>SUBSTITUTE('Raw Data'!K50," ",":",1)</f>
        <v>85</v>
      </c>
      <c r="G60">
        <f>'Interpreted Data'!N50</f>
        <v>28.4</v>
      </c>
      <c r="H60" t="str">
        <f>'Interpreted Data'!P50</f>
        <v/>
      </c>
      <c r="I60" t="str">
        <f t="shared" si="0"/>
        <v xml:space="preserve"> </v>
      </c>
      <c r="J60" t="str">
        <f t="shared" ref="J60:K60" si="31">CONCATENATE(A57,"2")</f>
        <v>g2</v>
      </c>
      <c r="K60" t="str">
        <f t="shared" si="31"/>
        <v>h2</v>
      </c>
      <c r="L60">
        <f t="shared" si="22"/>
        <v>16</v>
      </c>
      <c r="M60" t="str">
        <f t="shared" si="23"/>
        <v>237</v>
      </c>
      <c r="N60" t="str">
        <f t="shared" si="24"/>
        <v>-</v>
      </c>
      <c r="O60" t="str">
        <f>IF(AND(D57="-",E57="-"),IF(1*F57=-90,"DOWN",IF(1*F57=90,"UP","no compass")),F57)</f>
        <v>65</v>
      </c>
      <c r="P60" t="str">
        <f t="shared" si="25"/>
        <v/>
      </c>
    </row>
    <row r="61" spans="1:16" x14ac:dyDescent="0.25">
      <c r="A61">
        <f>'Raw Data'!A51</f>
        <v>2</v>
      </c>
      <c r="B61">
        <f>'Raw Data'!B51</f>
        <v>3</v>
      </c>
      <c r="C61">
        <f>'Raw Data'!J51</f>
        <v>19.899999999999999</v>
      </c>
      <c r="D61" t="str">
        <f>'Interpreted Data'!G51</f>
        <v>-</v>
      </c>
      <c r="E61" t="str">
        <f>'Interpreted Data'!H51</f>
        <v>230</v>
      </c>
      <c r="F61" t="str">
        <f>SUBSTITUTE('Raw Data'!K51," ",":",1)</f>
        <v>16</v>
      </c>
      <c r="G61">
        <f>'Interpreted Data'!N51</f>
        <v>5.5</v>
      </c>
      <c r="H61" t="str">
        <f>'Interpreted Data'!P51</f>
        <v>2 is on lip of Approach passage. Little passage starts 15 back.</v>
      </c>
      <c r="I61" t="str">
        <f t="shared" si="0"/>
        <v xml:space="preserve"> </v>
      </c>
      <c r="J61" t="str">
        <f t="shared" ref="J61:K61" si="32">CONCATENATE(A58,"2")</f>
        <v>h2</v>
      </c>
      <c r="K61" t="str">
        <f t="shared" si="32"/>
        <v>i2</v>
      </c>
      <c r="L61">
        <f t="shared" si="22"/>
        <v>46</v>
      </c>
      <c r="M61" t="str">
        <f t="shared" si="23"/>
        <v>329</v>
      </c>
      <c r="N61" t="str">
        <f t="shared" si="24"/>
        <v>-</v>
      </c>
      <c r="O61">
        <f>G58</f>
        <v>0</v>
      </c>
      <c r="P61" t="str">
        <f t="shared" si="25"/>
        <v>(i) is where passage gets too low. (some indistinct numbers follow. Too faint to read on logbook scan). Total 1207' (?)</v>
      </c>
    </row>
    <row r="62" spans="1:16" x14ac:dyDescent="0.25">
      <c r="A62">
        <f>'Raw Data'!A52</f>
        <v>3</v>
      </c>
      <c r="B62">
        <f>'Raw Data'!B52</f>
        <v>4</v>
      </c>
      <c r="C62">
        <f>'Raw Data'!J52</f>
        <v>16</v>
      </c>
      <c r="D62" t="str">
        <f>'Interpreted Data'!G52</f>
        <v>122</v>
      </c>
      <c r="E62" t="str">
        <f>'Interpreted Data'!H52</f>
        <v>-</v>
      </c>
      <c r="F62" t="str">
        <f>SUBSTITUTE('Raw Data'!K52," ",":",1)</f>
        <v>7</v>
      </c>
      <c r="G62">
        <f>'Interpreted Data'!N52</f>
        <v>1.9</v>
      </c>
      <c r="H62" t="str">
        <f>'Interpreted Data'!P52</f>
        <v>3 - 12 Trench up to 2 feet deep in floor of this passage</v>
      </c>
      <c r="I62" t="str">
        <f t="shared" si="0"/>
        <v xml:space="preserve"> </v>
      </c>
      <c r="J62" t="str">
        <f t="shared" ref="J62:J73" si="33">A59</f>
        <v>M</v>
      </c>
      <c r="K62">
        <f t="shared" ref="K62:K73" si="34">B59</f>
        <v>1</v>
      </c>
      <c r="L62">
        <f t="shared" si="22"/>
        <v>11.7</v>
      </c>
      <c r="M62" t="str">
        <f t="shared" si="23"/>
        <v>-</v>
      </c>
      <c r="N62" t="str">
        <f t="shared" si="24"/>
        <v>145</v>
      </c>
      <c r="O62" t="str">
        <f t="shared" ref="O62:O71" si="35">IF(AND(D59="-",E59="-"),IF(1*F59=-90,"DOWN",IF(1*F59=90,"UP","no compass")),F59)</f>
        <v>-20</v>
      </c>
      <c r="P62" t="str">
        <f t="shared" si="25"/>
        <v/>
      </c>
    </row>
    <row r="63" spans="1:16" x14ac:dyDescent="0.25">
      <c r="A63">
        <f>'Raw Data'!A53</f>
        <v>4</v>
      </c>
      <c r="B63">
        <f>'Raw Data'!B53</f>
        <v>5</v>
      </c>
      <c r="C63">
        <f>'Raw Data'!J53</f>
        <v>18</v>
      </c>
      <c r="D63" t="str">
        <f>'Interpreted Data'!G53</f>
        <v>59</v>
      </c>
      <c r="E63" t="str">
        <f>'Interpreted Data'!H53</f>
        <v>-</v>
      </c>
      <c r="F63" t="str">
        <f>SUBSTITUTE('Raw Data'!K53," ",":",1)</f>
        <v>15</v>
      </c>
      <c r="G63">
        <f>'Interpreted Data'!N53</f>
        <v>4.7</v>
      </c>
      <c r="H63" t="str">
        <f>'Interpreted Data'!P53</f>
        <v>Little passage off to South from 4</v>
      </c>
      <c r="I63" t="str">
        <f t="shared" si="0"/>
        <v xml:space="preserve"> </v>
      </c>
      <c r="J63">
        <f t="shared" si="33"/>
        <v>1</v>
      </c>
      <c r="K63">
        <f t="shared" si="34"/>
        <v>2</v>
      </c>
      <c r="L63">
        <f t="shared" si="22"/>
        <v>28.5</v>
      </c>
      <c r="M63" t="str">
        <f t="shared" si="23"/>
        <v>35</v>
      </c>
      <c r="N63" t="str">
        <f t="shared" si="24"/>
        <v>-</v>
      </c>
      <c r="O63" t="str">
        <f t="shared" si="35"/>
        <v>85</v>
      </c>
      <c r="P63" t="str">
        <f t="shared" si="25"/>
        <v/>
      </c>
    </row>
    <row r="64" spans="1:16" x14ac:dyDescent="0.25">
      <c r="A64">
        <f>'Raw Data'!A54</f>
        <v>5</v>
      </c>
      <c r="B64">
        <f>'Raw Data'!B54</f>
        <v>6</v>
      </c>
      <c r="C64">
        <f>'Raw Data'!J54</f>
        <v>9.5</v>
      </c>
      <c r="D64" t="str">
        <f>'Interpreted Data'!G54</f>
        <v>17</v>
      </c>
      <c r="E64" t="str">
        <f>'Interpreted Data'!H54</f>
        <v>-</v>
      </c>
      <c r="F64" t="str">
        <f>SUBSTITUTE('Raw Data'!K54," ",":",1)</f>
        <v>10</v>
      </c>
      <c r="G64">
        <f>'Interpreted Data'!N54</f>
        <v>1.6</v>
      </c>
      <c r="H64" t="str">
        <f>'Interpreted Data'!P54</f>
        <v/>
      </c>
      <c r="I64" t="str">
        <f t="shared" si="0"/>
        <v xml:space="preserve"> </v>
      </c>
      <c r="J64">
        <f t="shared" si="33"/>
        <v>2</v>
      </c>
      <c r="K64">
        <f t="shared" si="34"/>
        <v>3</v>
      </c>
      <c r="L64">
        <f t="shared" si="22"/>
        <v>19.899999999999999</v>
      </c>
      <c r="M64" t="str">
        <f t="shared" si="23"/>
        <v>-</v>
      </c>
      <c r="N64" t="str">
        <f t="shared" si="24"/>
        <v>230</v>
      </c>
      <c r="O64" t="str">
        <f t="shared" si="35"/>
        <v>16</v>
      </c>
      <c r="P64" t="str">
        <f t="shared" si="25"/>
        <v>2 is on lip of Approach passage. Little passage starts 15 back.</v>
      </c>
    </row>
    <row r="65" spans="1:16" x14ac:dyDescent="0.25">
      <c r="A65">
        <f>'Raw Data'!A55</f>
        <v>6</v>
      </c>
      <c r="B65">
        <f>'Raw Data'!B55</f>
        <v>7</v>
      </c>
      <c r="C65">
        <f>'Raw Data'!J55</f>
        <v>13.5</v>
      </c>
      <c r="D65" t="str">
        <f>'Interpreted Data'!G55</f>
        <v>46</v>
      </c>
      <c r="E65" t="str">
        <f>'Interpreted Data'!H55</f>
        <v>-</v>
      </c>
      <c r="F65" t="str">
        <f>SUBSTITUTE('Raw Data'!K55," ",":",1)</f>
        <v>17</v>
      </c>
      <c r="G65">
        <f>'Interpreted Data'!N55</f>
        <v>4</v>
      </c>
      <c r="H65" t="str">
        <f>'Interpreted Data'!P55</f>
        <v/>
      </c>
      <c r="I65" t="str">
        <f t="shared" si="0"/>
        <v xml:space="preserve"> </v>
      </c>
      <c r="J65">
        <f t="shared" si="33"/>
        <v>3</v>
      </c>
      <c r="K65">
        <f t="shared" si="34"/>
        <v>4</v>
      </c>
      <c r="L65">
        <f t="shared" si="22"/>
        <v>16</v>
      </c>
      <c r="M65" t="str">
        <f t="shared" si="23"/>
        <v>122</v>
      </c>
      <c r="N65" t="str">
        <f t="shared" si="24"/>
        <v>-</v>
      </c>
      <c r="O65" t="str">
        <f t="shared" si="35"/>
        <v>7</v>
      </c>
      <c r="P65" t="str">
        <f t="shared" si="25"/>
        <v>3 - 12 Trench up to 2 feet deep in floor of this passage</v>
      </c>
    </row>
    <row r="66" spans="1:16" x14ac:dyDescent="0.25">
      <c r="A66">
        <f>'Raw Data'!A56</f>
        <v>7</v>
      </c>
      <c r="B66">
        <f>'Raw Data'!B56</f>
        <v>8</v>
      </c>
      <c r="C66">
        <f>'Raw Data'!J56</f>
        <v>24.2</v>
      </c>
      <c r="D66" t="str">
        <f>'Interpreted Data'!G56</f>
        <v>74</v>
      </c>
      <c r="E66" t="str">
        <f>'Interpreted Data'!H56</f>
        <v>-</v>
      </c>
      <c r="F66" t="str">
        <f>SUBSTITUTE('Raw Data'!K56," ",":",1)</f>
        <v>13</v>
      </c>
      <c r="G66">
        <f>'Interpreted Data'!N56</f>
        <v>5.4</v>
      </c>
      <c r="H66" t="str">
        <f>'Interpreted Data'!P56</f>
        <v/>
      </c>
      <c r="I66" t="str">
        <f t="shared" si="0"/>
        <v xml:space="preserve"> </v>
      </c>
      <c r="J66">
        <f t="shared" si="33"/>
        <v>4</v>
      </c>
      <c r="K66">
        <f t="shared" si="34"/>
        <v>5</v>
      </c>
      <c r="L66">
        <f t="shared" si="22"/>
        <v>18</v>
      </c>
      <c r="M66" t="str">
        <f t="shared" si="23"/>
        <v>59</v>
      </c>
      <c r="N66" t="str">
        <f t="shared" si="24"/>
        <v>-</v>
      </c>
      <c r="O66" t="str">
        <f t="shared" si="35"/>
        <v>15</v>
      </c>
      <c r="P66" t="str">
        <f t="shared" si="25"/>
        <v>Little passage off to South from 4</v>
      </c>
    </row>
    <row r="67" spans="1:16" x14ac:dyDescent="0.25">
      <c r="A67">
        <f>'Raw Data'!A57</f>
        <v>8</v>
      </c>
      <c r="B67">
        <f>'Raw Data'!B57</f>
        <v>9</v>
      </c>
      <c r="C67">
        <f>'Raw Data'!J57</f>
        <v>8.8000000000000007</v>
      </c>
      <c r="D67" t="str">
        <f>'Interpreted Data'!G57</f>
        <v>137</v>
      </c>
      <c r="E67" t="str">
        <f>'Interpreted Data'!H57</f>
        <v>-</v>
      </c>
      <c r="F67" t="str">
        <f>SUBSTITUTE('Raw Data'!K57," ",":",1)</f>
        <v>10</v>
      </c>
      <c r="G67">
        <f>'Interpreted Data'!N57</f>
        <v>1.5</v>
      </c>
      <c r="H67" t="str">
        <f>'Interpreted Data'!P57</f>
        <v/>
      </c>
      <c r="I67" t="str">
        <f t="shared" ref="I67:I133" si="36">" "</f>
        <v xml:space="preserve"> </v>
      </c>
      <c r="J67">
        <f t="shared" si="33"/>
        <v>5</v>
      </c>
      <c r="K67">
        <f t="shared" si="34"/>
        <v>6</v>
      </c>
      <c r="L67">
        <f t="shared" si="22"/>
        <v>9.5</v>
      </c>
      <c r="M67" t="str">
        <f t="shared" si="23"/>
        <v>17</v>
      </c>
      <c r="N67" t="str">
        <f t="shared" si="24"/>
        <v>-</v>
      </c>
      <c r="O67" t="str">
        <f t="shared" si="35"/>
        <v>10</v>
      </c>
      <c r="P67" t="str">
        <f t="shared" si="25"/>
        <v/>
      </c>
    </row>
    <row r="68" spans="1:16" x14ac:dyDescent="0.25">
      <c r="A68">
        <f>'Raw Data'!A58</f>
        <v>9</v>
      </c>
      <c r="B68">
        <f>'Raw Data'!B58</f>
        <v>10</v>
      </c>
      <c r="C68">
        <f>'Raw Data'!J58</f>
        <v>19.8</v>
      </c>
      <c r="D68" t="str">
        <f>'Interpreted Data'!G58</f>
        <v>89</v>
      </c>
      <c r="E68" t="str">
        <f>'Interpreted Data'!H58</f>
        <v>-</v>
      </c>
      <c r="F68" t="str">
        <f>SUBSTITUTE('Raw Data'!K58," ",":",1)</f>
        <v>15</v>
      </c>
      <c r="G68">
        <f>'Interpreted Data'!N58</f>
        <v>5.0999999999999996</v>
      </c>
      <c r="H68" t="str">
        <f>'Interpreted Data'!P58</f>
        <v/>
      </c>
      <c r="I68" t="str">
        <f t="shared" si="36"/>
        <v xml:space="preserve"> </v>
      </c>
      <c r="J68">
        <f t="shared" si="33"/>
        <v>6</v>
      </c>
      <c r="K68">
        <f t="shared" si="34"/>
        <v>7</v>
      </c>
      <c r="L68">
        <f t="shared" si="22"/>
        <v>13.5</v>
      </c>
      <c r="M68" t="str">
        <f t="shared" si="23"/>
        <v>46</v>
      </c>
      <c r="N68" t="str">
        <f t="shared" si="24"/>
        <v>-</v>
      </c>
      <c r="O68" t="str">
        <f t="shared" si="35"/>
        <v>17</v>
      </c>
      <c r="P68" t="str">
        <f t="shared" si="25"/>
        <v/>
      </c>
    </row>
    <row r="69" spans="1:16" x14ac:dyDescent="0.25">
      <c r="A69">
        <f>'Raw Data'!A59</f>
        <v>10</v>
      </c>
      <c r="B69">
        <f>'Raw Data'!B59</f>
        <v>11</v>
      </c>
      <c r="C69">
        <f>'Raw Data'!J59</f>
        <v>9</v>
      </c>
      <c r="D69" t="str">
        <f>'Interpreted Data'!G59</f>
        <v>26</v>
      </c>
      <c r="E69" t="str">
        <f>'Interpreted Data'!H59</f>
        <v>-</v>
      </c>
      <c r="F69" t="str">
        <f>SUBSTITUTE('Raw Data'!K59," ",":",1)</f>
        <v>12</v>
      </c>
      <c r="G69">
        <f>'Interpreted Data'!N59</f>
        <v>1.9</v>
      </c>
      <c r="H69" t="str">
        <f>'Interpreted Data'!P59</f>
        <v/>
      </c>
      <c r="I69" t="str">
        <f t="shared" si="36"/>
        <v xml:space="preserve"> </v>
      </c>
      <c r="J69">
        <f t="shared" si="33"/>
        <v>7</v>
      </c>
      <c r="K69">
        <f t="shared" si="34"/>
        <v>8</v>
      </c>
      <c r="L69">
        <f t="shared" si="22"/>
        <v>24.2</v>
      </c>
      <c r="M69" t="str">
        <f t="shared" si="23"/>
        <v>74</v>
      </c>
      <c r="N69" t="str">
        <f t="shared" si="24"/>
        <v>-</v>
      </c>
      <c r="O69" t="str">
        <f t="shared" si="35"/>
        <v>13</v>
      </c>
      <c r="P69" t="str">
        <f t="shared" si="25"/>
        <v/>
      </c>
    </row>
    <row r="70" spans="1:16" x14ac:dyDescent="0.25">
      <c r="A70">
        <f>'Raw Data'!A60</f>
        <v>11</v>
      </c>
      <c r="B70">
        <f>'Raw Data'!B60</f>
        <v>12</v>
      </c>
      <c r="C70">
        <f>'Raw Data'!J60</f>
        <v>10.7</v>
      </c>
      <c r="D70" t="str">
        <f>'Interpreted Data'!G60</f>
        <v>78</v>
      </c>
      <c r="E70" t="str">
        <f>'Interpreted Data'!H60</f>
        <v>-</v>
      </c>
      <c r="F70" t="str">
        <f>SUBSTITUTE('Raw Data'!K60," ",":",1)</f>
        <v>10</v>
      </c>
      <c r="G70">
        <f>'Interpreted Data'!N60</f>
        <v>1.9</v>
      </c>
      <c r="H70" t="str">
        <f>'Interpreted Data'!P60</f>
        <v/>
      </c>
      <c r="I70" t="str">
        <f t="shared" si="36"/>
        <v xml:space="preserve"> </v>
      </c>
      <c r="J70">
        <f t="shared" si="33"/>
        <v>8</v>
      </c>
      <c r="K70">
        <f t="shared" si="34"/>
        <v>9</v>
      </c>
      <c r="L70">
        <f t="shared" si="22"/>
        <v>8.8000000000000007</v>
      </c>
      <c r="M70" t="str">
        <f t="shared" si="23"/>
        <v>137</v>
      </c>
      <c r="N70" t="str">
        <f t="shared" si="24"/>
        <v>-</v>
      </c>
      <c r="O70" t="str">
        <f t="shared" si="35"/>
        <v>10</v>
      </c>
      <c r="P70" t="str">
        <f t="shared" si="25"/>
        <v/>
      </c>
    </row>
    <row r="71" spans="1:16" x14ac:dyDescent="0.25">
      <c r="A71">
        <f>'Raw Data'!A61</f>
        <v>12</v>
      </c>
      <c r="B71">
        <f>'Raw Data'!B61</f>
        <v>13</v>
      </c>
      <c r="C71">
        <f>'Raw Data'!J61</f>
        <v>8.5</v>
      </c>
      <c r="D71" t="str">
        <f>'Interpreted Data'!G61</f>
        <v>25</v>
      </c>
      <c r="E71" t="str">
        <f>'Interpreted Data'!H61</f>
        <v>-</v>
      </c>
      <c r="F71" t="str">
        <f>SUBSTITUTE('Raw Data'!K61," ",":",1)</f>
        <v>fall:2 feet</v>
      </c>
      <c r="G71">
        <f>'Interpreted Data'!N61</f>
        <v>-2</v>
      </c>
      <c r="H71" t="str">
        <f>'Interpreted Data'!P61</f>
        <v>Little passage goes uphill straight on</v>
      </c>
      <c r="I71" t="str">
        <f t="shared" si="36"/>
        <v xml:space="preserve"> </v>
      </c>
      <c r="J71">
        <f t="shared" si="33"/>
        <v>9</v>
      </c>
      <c r="K71">
        <f t="shared" si="34"/>
        <v>10</v>
      </c>
      <c r="L71">
        <f t="shared" si="22"/>
        <v>19.8</v>
      </c>
      <c r="M71" t="str">
        <f t="shared" si="23"/>
        <v>89</v>
      </c>
      <c r="N71" t="str">
        <f t="shared" si="24"/>
        <v>-</v>
      </c>
      <c r="O71" t="str">
        <f t="shared" si="35"/>
        <v>15</v>
      </c>
      <c r="P71" t="str">
        <f t="shared" si="25"/>
        <v/>
      </c>
    </row>
    <row r="72" spans="1:16" x14ac:dyDescent="0.25">
      <c r="A72">
        <f>'Raw Data'!A62</f>
        <v>13</v>
      </c>
      <c r="B72">
        <f>'Raw Data'!B62</f>
        <v>14</v>
      </c>
      <c r="C72">
        <f>'Raw Data'!J62</f>
        <v>12.3</v>
      </c>
      <c r="D72" t="str">
        <f>'Interpreted Data'!G62</f>
        <v>85</v>
      </c>
      <c r="E72" t="str">
        <f>'Interpreted Data'!H62</f>
        <v>-</v>
      </c>
      <c r="F72" t="str">
        <f>SUBSTITUTE('Raw Data'!K62," ",":",1)</f>
        <v>9</v>
      </c>
      <c r="G72">
        <f>'Interpreted Data'!N62</f>
        <v>1.9</v>
      </c>
      <c r="H72" t="str">
        <f>'Interpreted Data'!P62</f>
        <v/>
      </c>
      <c r="I72" t="str">
        <f t="shared" si="36"/>
        <v xml:space="preserve"> </v>
      </c>
      <c r="J72">
        <f t="shared" si="33"/>
        <v>10</v>
      </c>
      <c r="K72">
        <f t="shared" si="34"/>
        <v>11</v>
      </c>
      <c r="L72">
        <f t="shared" si="22"/>
        <v>9</v>
      </c>
      <c r="M72" t="str">
        <f t="shared" si="23"/>
        <v>26</v>
      </c>
      <c r="N72" t="str">
        <f t="shared" si="24"/>
        <v>-</v>
      </c>
      <c r="O72" t="str">
        <f t="shared" ref="O72:O73" si="37">IF(AND(D69="-",E69="-"),IF(1*F69=-90,"DOWN",IF(1*F69=90,"UP","no compass")),F69)</f>
        <v>12</v>
      </c>
      <c r="P72" t="str">
        <f t="shared" si="25"/>
        <v/>
      </c>
    </row>
    <row r="73" spans="1:16" x14ac:dyDescent="0.25">
      <c r="A73">
        <f>'Raw Data'!A63</f>
        <v>14</v>
      </c>
      <c r="B73">
        <f>'Raw Data'!B63</f>
        <v>15</v>
      </c>
      <c r="C73">
        <f>'Raw Data'!J63</f>
        <v>11.6</v>
      </c>
      <c r="D73" t="str">
        <f>'Interpreted Data'!G63</f>
        <v>63</v>
      </c>
      <c r="E73" t="str">
        <f>'Interpreted Data'!H63</f>
        <v>-</v>
      </c>
      <c r="F73" t="str">
        <f>SUBSTITUTE('Raw Data'!K63," ",":",1)</f>
        <v>10</v>
      </c>
      <c r="G73">
        <f>'Interpreted Data'!N63</f>
        <v>2</v>
      </c>
      <c r="H73" t="str">
        <f>'Interpreted Data'!P63</f>
        <v/>
      </c>
      <c r="I73" t="str">
        <f t="shared" si="36"/>
        <v xml:space="preserve"> </v>
      </c>
      <c r="J73">
        <f t="shared" si="33"/>
        <v>11</v>
      </c>
      <c r="K73">
        <f t="shared" si="34"/>
        <v>12</v>
      </c>
      <c r="L73">
        <f t="shared" si="22"/>
        <v>10.7</v>
      </c>
      <c r="M73" t="str">
        <f t="shared" si="23"/>
        <v>78</v>
      </c>
      <c r="N73" t="str">
        <f t="shared" si="24"/>
        <v>-</v>
      </c>
      <c r="O73" t="str">
        <f t="shared" si="37"/>
        <v>10</v>
      </c>
      <c r="P73" t="str">
        <f t="shared" si="25"/>
        <v/>
      </c>
    </row>
    <row r="74" spans="1:16" x14ac:dyDescent="0.25">
      <c r="A74">
        <f>'Raw Data'!A64</f>
        <v>15</v>
      </c>
      <c r="B74">
        <f>'Raw Data'!B64</f>
        <v>16</v>
      </c>
      <c r="C74">
        <f>'Raw Data'!J64</f>
        <v>12</v>
      </c>
      <c r="D74" t="str">
        <f>'Interpreted Data'!G64</f>
        <v>125</v>
      </c>
      <c r="E74" t="str">
        <f>'Interpreted Data'!H64</f>
        <v>-</v>
      </c>
      <c r="F74" t="str">
        <f>SUBSTITUTE('Raw Data'!K64," ",":",1)</f>
        <v>fall:3.5 feet</v>
      </c>
      <c r="G74">
        <f>'Interpreted Data'!N64</f>
        <v>-3.5</v>
      </c>
      <c r="H74" t="str">
        <f>'Interpreted Data'!P64</f>
        <v>Low creep at 4-10 feet. Chamber goes 15' in same line</v>
      </c>
      <c r="I74" t="str">
        <f t="shared" si="36"/>
        <v xml:space="preserve"> </v>
      </c>
      <c r="J74" t="str">
        <f>$J$2</f>
        <v>data diving from to tape compass backcompass depthchange ignoreall</v>
      </c>
    </row>
    <row r="75" spans="1:16" x14ac:dyDescent="0.25">
      <c r="A75">
        <f>'Raw Data'!A65</f>
        <v>16</v>
      </c>
      <c r="B75">
        <f>'Raw Data'!B65</f>
        <v>17</v>
      </c>
      <c r="C75">
        <f>'Raw Data'!J65</f>
        <v>14.5</v>
      </c>
      <c r="D75" t="str">
        <f>'Interpreted Data'!G65</f>
        <v>-</v>
      </c>
      <c r="E75" t="str">
        <f>'Interpreted Data'!H65</f>
        <v>265</v>
      </c>
      <c r="F75" t="str">
        <f>SUBSTITUTE('Raw Data'!K65," ",":",1)</f>
        <v>6</v>
      </c>
      <c r="G75">
        <f>'Interpreted Data'!N65</f>
        <v>1.5</v>
      </c>
      <c r="H75" t="str">
        <f>'Interpreted Data'!P65</f>
        <v/>
      </c>
      <c r="I75" t="str">
        <f t="shared" si="36"/>
        <v xml:space="preserve"> </v>
      </c>
      <c r="J75">
        <f>A71</f>
        <v>12</v>
      </c>
      <c r="K75">
        <f>B71</f>
        <v>13</v>
      </c>
      <c r="L75">
        <f>C71</f>
        <v>8.5</v>
      </c>
      <c r="M75" t="str">
        <f>D71</f>
        <v>25</v>
      </c>
      <c r="N75" t="str">
        <f>E71</f>
        <v>-</v>
      </c>
      <c r="O75">
        <f>G71</f>
        <v>-2</v>
      </c>
      <c r="P75" t="str">
        <f>H71</f>
        <v>Little passage goes uphill straight on</v>
      </c>
    </row>
    <row r="76" spans="1:16" x14ac:dyDescent="0.25">
      <c r="A76">
        <f>'Raw Data'!A66</f>
        <v>17</v>
      </c>
      <c r="B76">
        <f>'Raw Data'!B66</f>
        <v>18</v>
      </c>
      <c r="C76">
        <f>'Raw Data'!J66</f>
        <v>12.6</v>
      </c>
      <c r="D76" t="str">
        <f>'Interpreted Data'!G66</f>
        <v>22</v>
      </c>
      <c r="E76" t="str">
        <f>'Interpreted Data'!H66</f>
        <v>-</v>
      </c>
      <c r="F76" t="str">
        <f>SUBSTITUTE('Raw Data'!K66," ",":",1)</f>
        <v>6</v>
      </c>
      <c r="G76">
        <f>'Interpreted Data'!N66</f>
        <v>1.3</v>
      </c>
      <c r="H76" t="str">
        <f>'Interpreted Data'!P66</f>
        <v/>
      </c>
      <c r="I76" t="str">
        <f t="shared" si="36"/>
        <v xml:space="preserve"> </v>
      </c>
      <c r="J76" t="str">
        <f>$J$1</f>
        <v>data normal from to tape compass backcompass clino ignoreall</v>
      </c>
    </row>
    <row r="77" spans="1:16" x14ac:dyDescent="0.25">
      <c r="A77">
        <f>'Raw Data'!A67</f>
        <v>18</v>
      </c>
      <c r="B77">
        <f>'Raw Data'!B67</f>
        <v>19</v>
      </c>
      <c r="C77">
        <f>'Raw Data'!J67</f>
        <v>11</v>
      </c>
      <c r="D77" t="str">
        <f>'Interpreted Data'!G67</f>
        <v>-</v>
      </c>
      <c r="E77" t="str">
        <f>'Interpreted Data'!H67</f>
        <v>-</v>
      </c>
      <c r="F77" t="str">
        <f>SUBSTITUTE('Raw Data'!K67," ",":",1)</f>
        <v>-90</v>
      </c>
      <c r="G77">
        <f>'Interpreted Data'!N67</f>
        <v>-11</v>
      </c>
      <c r="H77" t="str">
        <f>'Interpreted Data'!P67</f>
        <v>18 is in crack at top of "11 foot drop"</v>
      </c>
      <c r="I77" t="str">
        <f t="shared" si="36"/>
        <v xml:space="preserve"> </v>
      </c>
      <c r="J77">
        <f t="shared" ref="J77:N78" si="38">A72</f>
        <v>13</v>
      </c>
      <c r="K77">
        <f t="shared" si="38"/>
        <v>14</v>
      </c>
      <c r="L77">
        <f t="shared" si="38"/>
        <v>12.3</v>
      </c>
      <c r="M77" t="str">
        <f t="shared" si="38"/>
        <v>85</v>
      </c>
      <c r="N77" t="str">
        <f t="shared" si="38"/>
        <v>-</v>
      </c>
      <c r="O77" t="str">
        <f>IF(AND(D72="-",E72="-"),IF(1*SUBSTITUTE(F72,":",".")=-90,"DOWN",IF(1*SUBSTITUTE(F72,":",".")=90,"UP","no compass")),F72)</f>
        <v>9</v>
      </c>
      <c r="P77" t="str">
        <f>H72</f>
        <v/>
      </c>
    </row>
    <row r="78" spans="1:16" x14ac:dyDescent="0.25">
      <c r="I78" t="str">
        <f t="shared" si="36"/>
        <v xml:space="preserve"> </v>
      </c>
      <c r="J78">
        <f t="shared" si="38"/>
        <v>14</v>
      </c>
      <c r="K78">
        <f t="shared" si="38"/>
        <v>15</v>
      </c>
      <c r="L78">
        <f t="shared" si="38"/>
        <v>11.6</v>
      </c>
      <c r="M78" t="str">
        <f t="shared" si="38"/>
        <v>63</v>
      </c>
      <c r="N78" t="str">
        <f t="shared" si="38"/>
        <v>-</v>
      </c>
      <c r="O78" t="str">
        <f>IF(AND(D73="-",E73="-"),IF(1*SUBSTITUTE(F73,":",".")=-90,"DOWN",IF(1*SUBSTITUTE(F73,":",".")=90,"UP","no compass")),F73)</f>
        <v>10</v>
      </c>
      <c r="P78" t="str">
        <f>H73</f>
        <v/>
      </c>
    </row>
    <row r="79" spans="1:16" x14ac:dyDescent="0.25">
      <c r="I79" t="str">
        <f t="shared" si="36"/>
        <v xml:space="preserve"> </v>
      </c>
      <c r="J79" t="str">
        <f>$J$2</f>
        <v>data diving from to tape compass backcompass depthchange ignoreall</v>
      </c>
    </row>
    <row r="80" spans="1:16" x14ac:dyDescent="0.25">
      <c r="I80" t="str">
        <f t="shared" si="36"/>
        <v xml:space="preserve"> </v>
      </c>
      <c r="J80">
        <f>A74</f>
        <v>15</v>
      </c>
      <c r="K80">
        <f>B74</f>
        <v>16</v>
      </c>
      <c r="L80">
        <f>C74</f>
        <v>12</v>
      </c>
      <c r="M80" t="str">
        <f>D74</f>
        <v>125</v>
      </c>
      <c r="N80" t="str">
        <f>E74</f>
        <v>-</v>
      </c>
      <c r="O80">
        <f>G74</f>
        <v>-3.5</v>
      </c>
      <c r="P80" t="str">
        <f>H74</f>
        <v>Low creep at 4-10 feet. Chamber goes 15' in same line</v>
      </c>
    </row>
    <row r="81" spans="1:16" x14ac:dyDescent="0.25">
      <c r="I81" t="str">
        <f t="shared" si="36"/>
        <v xml:space="preserve"> </v>
      </c>
      <c r="J81" t="str">
        <f>$J$1</f>
        <v>data normal from to tape compass backcompass clino ignoreall</v>
      </c>
    </row>
    <row r="82" spans="1:16" x14ac:dyDescent="0.25">
      <c r="I82" t="str">
        <f t="shared" si="36"/>
        <v xml:space="preserve"> </v>
      </c>
      <c r="J82">
        <f t="shared" ref="J82:N83" si="39">A75</f>
        <v>16</v>
      </c>
      <c r="K82">
        <f t="shared" si="39"/>
        <v>17</v>
      </c>
      <c r="L82">
        <f t="shared" si="39"/>
        <v>14.5</v>
      </c>
      <c r="M82" t="str">
        <f t="shared" si="39"/>
        <v>-</v>
      </c>
      <c r="N82" t="str">
        <f t="shared" si="39"/>
        <v>265</v>
      </c>
      <c r="O82" t="str">
        <f t="shared" ref="O82:O83" si="40">IF(AND(D75="-",E75="-"),IF(1*SUBSTITUTE(F75,":",".")=-90,"DOWN",IF(1*SUBSTITUTE(F75,":",".")=90,"UP","no compass")),F75)</f>
        <v>6</v>
      </c>
      <c r="P82" t="str">
        <f>H75</f>
        <v/>
      </c>
    </row>
    <row r="83" spans="1:16" x14ac:dyDescent="0.25">
      <c r="I83" t="str">
        <f t="shared" si="36"/>
        <v xml:space="preserve"> </v>
      </c>
      <c r="J83">
        <f t="shared" si="39"/>
        <v>17</v>
      </c>
      <c r="K83">
        <f t="shared" si="39"/>
        <v>18</v>
      </c>
      <c r="L83">
        <f t="shared" si="39"/>
        <v>12.6</v>
      </c>
      <c r="M83" t="str">
        <f t="shared" si="39"/>
        <v>22</v>
      </c>
      <c r="N83" t="str">
        <f t="shared" si="39"/>
        <v>-</v>
      </c>
      <c r="O83" t="str">
        <f t="shared" si="40"/>
        <v>6</v>
      </c>
      <c r="P83" t="str">
        <f>H76</f>
        <v/>
      </c>
    </row>
    <row r="84" spans="1:16" x14ac:dyDescent="0.25">
      <c r="I84" t="str">
        <f t="shared" si="36"/>
        <v xml:space="preserve"> </v>
      </c>
      <c r="J84" t="s">
        <v>279</v>
      </c>
      <c r="K84">
        <f>B77</f>
        <v>19</v>
      </c>
      <c r="L84">
        <f>C77</f>
        <v>11</v>
      </c>
      <c r="M84" t="str">
        <f>D77</f>
        <v>-</v>
      </c>
      <c r="N84" t="str">
        <f>E77</f>
        <v>-</v>
      </c>
      <c r="O84" t="str">
        <f>IF(AND(D77="-",E77="-"),IF(1*SUBSTITUTE(F77,":",".")=-90,"DOWN",IF(1*SUBSTITUTE(F77,":",".")=90,"UP","no compass")),F77)</f>
        <v>DOWN</v>
      </c>
      <c r="P84" t="str">
        <f>H77</f>
        <v>18 is in crack at top of "11 foot drop"</v>
      </c>
    </row>
    <row r="85" spans="1:16" x14ac:dyDescent="0.25">
      <c r="I85" t="str">
        <f t="shared" si="36"/>
        <v xml:space="preserve"> </v>
      </c>
    </row>
    <row r="86" spans="1:16" x14ac:dyDescent="0.25">
      <c r="I86" t="str">
        <f t="shared" si="36"/>
        <v xml:space="preserve"> </v>
      </c>
    </row>
    <row r="87" spans="1:16" x14ac:dyDescent="0.25">
      <c r="A87" t="str">
        <f>'Raw Data'!A70</f>
        <v>30th March 1952</v>
      </c>
      <c r="I87" t="str">
        <f t="shared" si="36"/>
        <v xml:space="preserve"> </v>
      </c>
      <c r="J87" t="str">
        <f>A87</f>
        <v>30th March 1952</v>
      </c>
    </row>
    <row r="88" spans="1:16" x14ac:dyDescent="0.25">
      <c r="I88" t="str">
        <f t="shared" si="36"/>
        <v xml:space="preserve"> </v>
      </c>
      <c r="J88" t="str">
        <f>$J$1</f>
        <v>data normal from to tape compass backcompass clino ignoreall</v>
      </c>
    </row>
    <row r="89" spans="1:16" x14ac:dyDescent="0.25">
      <c r="A89" t="str">
        <f>'Raw Data'!A71</f>
        <v>B1</v>
      </c>
      <c r="B89" t="str">
        <f>'Raw Data'!B71</f>
        <v>AA</v>
      </c>
      <c r="C89">
        <f>'Raw Data'!J71</f>
        <v>78.099999999999994</v>
      </c>
      <c r="D89" t="str">
        <f>'Interpreted Data'!G71</f>
        <v>-</v>
      </c>
      <c r="E89" t="str">
        <f>'Interpreted Data'!H71</f>
        <v>293:40</v>
      </c>
      <c r="F89" t="str">
        <f>SUBSTITUTE('Raw Data'!K71," ",":",1)</f>
        <v>9:30</v>
      </c>
      <c r="G89">
        <f>'Interpreted Data'!N71</f>
        <v>12.9</v>
      </c>
      <c r="H89" t="str">
        <f>'Interpreted Data'!P71</f>
        <v>B1 is station B1 of page 45, at entrance to "P.G." passage</v>
      </c>
      <c r="J89" t="str">
        <f t="shared" ref="J89:J100" si="41">A89</f>
        <v>B1</v>
      </c>
      <c r="K89" t="str">
        <f t="shared" ref="K89:K100" si="42">B89</f>
        <v>AA</v>
      </c>
      <c r="L89">
        <f t="shared" ref="L89:L100" si="43">C89</f>
        <v>78.099999999999994</v>
      </c>
      <c r="M89" t="str">
        <f t="shared" ref="M89:M100" si="44">D89</f>
        <v>-</v>
      </c>
      <c r="N89" t="str">
        <f t="shared" ref="N89:N100" si="45">E89</f>
        <v>293:40</v>
      </c>
      <c r="O89" t="str">
        <f t="shared" ref="O89:O100" si="46">IF(AND(D89="-",E89="-"),IF(1*SUBSTITUTE(F89,":",".")=-90,"DOWN",IF(1*SUBSTITUTE(F89,":",".")=90,"UP","no compass")),F89)</f>
        <v>9:30</v>
      </c>
      <c r="P89" t="str">
        <f t="shared" ref="P89:P103" si="47">H89</f>
        <v>B1 is station B1 of page 45, at entrance to "P.G." passage</v>
      </c>
    </row>
    <row r="90" spans="1:16" x14ac:dyDescent="0.25">
      <c r="A90" t="str">
        <f>'Raw Data'!A72</f>
        <v>AA</v>
      </c>
      <c r="B90" t="str">
        <f>'Raw Data'!B72</f>
        <v>AB</v>
      </c>
      <c r="C90">
        <f>'Raw Data'!J72</f>
        <v>24.1</v>
      </c>
      <c r="D90" t="str">
        <f>'Interpreted Data'!G72</f>
        <v>115:30</v>
      </c>
      <c r="E90" t="str">
        <f>'Interpreted Data'!H72</f>
        <v>-</v>
      </c>
      <c r="F90" t="str">
        <f>SUBSTITUTE('Raw Data'!K72," ",":",1)</f>
        <v>-5:30</v>
      </c>
      <c r="G90">
        <f>'Interpreted Data'!N72</f>
        <v>-2.2999999999999998</v>
      </c>
      <c r="H90" t="str">
        <f>'Interpreted Data'!P72</f>
        <v>AA on a big high rock</v>
      </c>
      <c r="I90" t="str">
        <f t="shared" si="36"/>
        <v xml:space="preserve"> </v>
      </c>
      <c r="J90" t="str">
        <f t="shared" si="41"/>
        <v>AA</v>
      </c>
      <c r="K90" t="str">
        <f t="shared" si="42"/>
        <v>AB</v>
      </c>
      <c r="L90">
        <f t="shared" si="43"/>
        <v>24.1</v>
      </c>
      <c r="M90" t="str">
        <f t="shared" si="44"/>
        <v>115:30</v>
      </c>
      <c r="N90" t="str">
        <f t="shared" si="45"/>
        <v>-</v>
      </c>
      <c r="O90" t="str">
        <f t="shared" si="46"/>
        <v>-5:30</v>
      </c>
      <c r="P90" t="str">
        <f t="shared" si="47"/>
        <v>AA on a big high rock</v>
      </c>
    </row>
    <row r="91" spans="1:16" x14ac:dyDescent="0.25">
      <c r="A91" t="str">
        <f>'Raw Data'!A73</f>
        <v>AB</v>
      </c>
      <c r="B91" t="str">
        <f>'Raw Data'!B73</f>
        <v>AC</v>
      </c>
      <c r="C91">
        <f>'Raw Data'!J73</f>
        <v>29.2</v>
      </c>
      <c r="D91" t="str">
        <f>'Interpreted Data'!G73</f>
        <v>-</v>
      </c>
      <c r="E91" t="str">
        <f>'Interpreted Data'!H73</f>
        <v>277:50</v>
      </c>
      <c r="F91" t="str">
        <f>SUBSTITUTE('Raw Data'!K73," ",":",1)</f>
        <v>0:30</v>
      </c>
      <c r="G91">
        <f>'Interpreted Data'!N73</f>
        <v>0.3</v>
      </c>
      <c r="H91" t="str">
        <f>'Interpreted Data'!P73</f>
        <v>AB on big rock. Stream sinks below boulders.</v>
      </c>
      <c r="I91" t="str">
        <f t="shared" si="36"/>
        <v xml:space="preserve"> </v>
      </c>
      <c r="J91" t="str">
        <f t="shared" si="41"/>
        <v>AB</v>
      </c>
      <c r="K91" t="str">
        <f t="shared" si="42"/>
        <v>AC</v>
      </c>
      <c r="L91">
        <f t="shared" si="43"/>
        <v>29.2</v>
      </c>
      <c r="M91" t="str">
        <f t="shared" si="44"/>
        <v>-</v>
      </c>
      <c r="N91" t="str">
        <f t="shared" si="45"/>
        <v>277:50</v>
      </c>
      <c r="O91" t="str">
        <f t="shared" si="46"/>
        <v>0:30</v>
      </c>
      <c r="P91" t="str">
        <f t="shared" si="47"/>
        <v>AB on big rock. Stream sinks below boulders.</v>
      </c>
    </row>
    <row r="92" spans="1:16" x14ac:dyDescent="0.25">
      <c r="A92" t="str">
        <f>'Raw Data'!A74</f>
        <v>AC</v>
      </c>
      <c r="B92" t="str">
        <f>'Raw Data'!B74</f>
        <v>AD</v>
      </c>
      <c r="C92">
        <f>'Raw Data'!J74</f>
        <v>10.6</v>
      </c>
      <c r="D92" t="str">
        <f>'Interpreted Data'!G74</f>
        <v>121:00</v>
      </c>
      <c r="E92" t="str">
        <f>'Interpreted Data'!H74</f>
        <v>-</v>
      </c>
      <c r="F92" t="str">
        <f>SUBSTITUTE('Raw Data'!K74," ",":",1)</f>
        <v>22:30</v>
      </c>
      <c r="G92">
        <f>'Interpreted Data'!N74</f>
        <v>4.0999999999999996</v>
      </c>
      <c r="H92" t="str">
        <f>'Interpreted Data'!P74</f>
        <v>AC on dirty great big rock.</v>
      </c>
      <c r="I92" t="str">
        <f t="shared" si="36"/>
        <v xml:space="preserve"> </v>
      </c>
      <c r="J92" t="str">
        <f t="shared" si="41"/>
        <v>AC</v>
      </c>
      <c r="K92" t="str">
        <f t="shared" si="42"/>
        <v>AD</v>
      </c>
      <c r="L92">
        <f t="shared" si="43"/>
        <v>10.6</v>
      </c>
      <c r="M92" t="str">
        <f t="shared" si="44"/>
        <v>121:00</v>
      </c>
      <c r="N92" t="str">
        <f t="shared" si="45"/>
        <v>-</v>
      </c>
      <c r="O92" t="str">
        <f t="shared" si="46"/>
        <v>22:30</v>
      </c>
      <c r="P92" t="str">
        <f t="shared" si="47"/>
        <v>AC on dirty great big rock.</v>
      </c>
    </row>
    <row r="93" spans="1:16" x14ac:dyDescent="0.25">
      <c r="A93" t="str">
        <f>'Raw Data'!A75</f>
        <v>AD</v>
      </c>
      <c r="B93" t="str">
        <f>'Raw Data'!B75</f>
        <v>AE</v>
      </c>
      <c r="C93">
        <f>'Raw Data'!J75</f>
        <v>48.3</v>
      </c>
      <c r="D93" t="str">
        <f>'Interpreted Data'!G75</f>
        <v>-</v>
      </c>
      <c r="E93" t="str">
        <f>'Interpreted Data'!H75</f>
        <v>290:00</v>
      </c>
      <c r="F93" t="str">
        <f>SUBSTITUTE('Raw Data'!K75," ",":",1)</f>
        <v>9:40</v>
      </c>
      <c r="G93">
        <f>'Interpreted Data'!N75</f>
        <v>8.1</v>
      </c>
      <c r="H93" t="str">
        <f>'Interpreted Data'!P75</f>
        <v>Stream rises from boulders.</v>
      </c>
      <c r="I93" t="str">
        <f t="shared" si="36"/>
        <v xml:space="preserve"> </v>
      </c>
      <c r="J93" t="str">
        <f t="shared" si="41"/>
        <v>AD</v>
      </c>
      <c r="K93" t="str">
        <f t="shared" si="42"/>
        <v>AE</v>
      </c>
      <c r="L93">
        <f t="shared" si="43"/>
        <v>48.3</v>
      </c>
      <c r="M93" t="str">
        <f t="shared" si="44"/>
        <v>-</v>
      </c>
      <c r="N93" t="str">
        <f t="shared" si="45"/>
        <v>290:00</v>
      </c>
      <c r="O93" t="str">
        <f t="shared" si="46"/>
        <v>9:40</v>
      </c>
      <c r="P93" t="str">
        <f t="shared" si="47"/>
        <v>Stream rises from boulders.</v>
      </c>
    </row>
    <row r="94" spans="1:16" x14ac:dyDescent="0.25">
      <c r="A94" t="str">
        <f>'Raw Data'!A76</f>
        <v>AE</v>
      </c>
      <c r="B94" t="str">
        <f>'Raw Data'!B76</f>
        <v>AF</v>
      </c>
      <c r="C94">
        <f>'Raw Data'!J76</f>
        <v>17</v>
      </c>
      <c r="D94" t="str">
        <f>'Interpreted Data'!G76</f>
        <v>050:30</v>
      </c>
      <c r="E94" t="str">
        <f>'Interpreted Data'!H76</f>
        <v>-</v>
      </c>
      <c r="F94" t="str">
        <f>SUBSTITUTE('Raw Data'!K76," ",":",1)</f>
        <v>10:20</v>
      </c>
      <c r="G94">
        <f>'Interpreted Data'!N76</f>
        <v>3</v>
      </c>
      <c r="H94" t="str">
        <f>'Interpreted Data'!P76</f>
        <v>Stream sinks below boulders.</v>
      </c>
      <c r="I94" t="str">
        <f t="shared" si="36"/>
        <v xml:space="preserve"> </v>
      </c>
      <c r="J94" t="str">
        <f t="shared" si="41"/>
        <v>AE</v>
      </c>
      <c r="K94" t="str">
        <f t="shared" si="42"/>
        <v>AF</v>
      </c>
      <c r="L94">
        <f t="shared" si="43"/>
        <v>17</v>
      </c>
      <c r="M94" t="str">
        <f t="shared" si="44"/>
        <v>050:30</v>
      </c>
      <c r="N94" t="str">
        <f t="shared" si="45"/>
        <v>-</v>
      </c>
      <c r="O94" t="str">
        <f t="shared" si="46"/>
        <v>10:20</v>
      </c>
      <c r="P94" t="str">
        <f t="shared" si="47"/>
        <v>Stream sinks below boulders.</v>
      </c>
    </row>
    <row r="95" spans="1:16" x14ac:dyDescent="0.25">
      <c r="A95" t="str">
        <f>'Raw Data'!A77</f>
        <v>AF</v>
      </c>
      <c r="B95" t="str">
        <f>'Raw Data'!B77</f>
        <v>AG</v>
      </c>
      <c r="C95">
        <f>'Raw Data'!J77</f>
        <v>20.2</v>
      </c>
      <c r="D95" t="str">
        <f>'Interpreted Data'!G77</f>
        <v>-</v>
      </c>
      <c r="E95" t="str">
        <f>'Interpreted Data'!H77</f>
        <v>313:00</v>
      </c>
      <c r="F95" t="str">
        <f>SUBSTITUTE('Raw Data'!K77," ",":",1)</f>
        <v>3:00</v>
      </c>
      <c r="G95">
        <f>'Interpreted Data'!N77</f>
        <v>1.1000000000000001</v>
      </c>
      <c r="H95" t="str">
        <f>'Interpreted Data'!P77</f>
        <v>AF above waterfall.</v>
      </c>
      <c r="I95" t="str">
        <f t="shared" si="36"/>
        <v xml:space="preserve"> </v>
      </c>
      <c r="J95" t="str">
        <f t="shared" si="41"/>
        <v>AF</v>
      </c>
      <c r="K95" t="str">
        <f t="shared" si="42"/>
        <v>AG</v>
      </c>
      <c r="L95">
        <f t="shared" si="43"/>
        <v>20.2</v>
      </c>
      <c r="M95" t="str">
        <f t="shared" si="44"/>
        <v>-</v>
      </c>
      <c r="N95" t="str">
        <f t="shared" si="45"/>
        <v>313:00</v>
      </c>
      <c r="O95" t="str">
        <f t="shared" si="46"/>
        <v>3:00</v>
      </c>
      <c r="P95" t="str">
        <f t="shared" si="47"/>
        <v>AF above waterfall.</v>
      </c>
    </row>
    <row r="96" spans="1:16" x14ac:dyDescent="0.25">
      <c r="A96" t="str">
        <f>'Raw Data'!A78</f>
        <v>AG</v>
      </c>
      <c r="B96" t="str">
        <f>'Raw Data'!B78</f>
        <v>AH</v>
      </c>
      <c r="C96">
        <f>'Raw Data'!J78</f>
        <v>10.1</v>
      </c>
      <c r="D96" t="str">
        <f>'Interpreted Data'!G78</f>
        <v>195:50</v>
      </c>
      <c r="E96" t="str">
        <f>'Interpreted Data'!H78</f>
        <v>-</v>
      </c>
      <c r="F96" t="str">
        <f>SUBSTITUTE('Raw Data'!K78," ",":",1)</f>
        <v>11:20</v>
      </c>
      <c r="G96">
        <f>'Interpreted Data'!N78</f>
        <v>2</v>
      </c>
      <c r="H96" t="str">
        <f>'Interpreted Data'!P78</f>
        <v/>
      </c>
      <c r="I96" t="str">
        <f t="shared" si="36"/>
        <v xml:space="preserve"> </v>
      </c>
      <c r="J96" t="str">
        <f t="shared" si="41"/>
        <v>AG</v>
      </c>
      <c r="K96" t="str">
        <f t="shared" si="42"/>
        <v>AH</v>
      </c>
      <c r="L96">
        <f t="shared" si="43"/>
        <v>10.1</v>
      </c>
      <c r="M96" t="str">
        <f t="shared" si="44"/>
        <v>195:50</v>
      </c>
      <c r="N96" t="str">
        <f t="shared" si="45"/>
        <v>-</v>
      </c>
      <c r="O96" t="str">
        <f t="shared" si="46"/>
        <v>11:20</v>
      </c>
      <c r="P96" t="str">
        <f t="shared" si="47"/>
        <v/>
      </c>
    </row>
    <row r="97" spans="1:16" x14ac:dyDescent="0.25">
      <c r="A97" t="str">
        <f>'Raw Data'!A79</f>
        <v>AH</v>
      </c>
      <c r="B97" t="str">
        <f>'Raw Data'!B79</f>
        <v>AI</v>
      </c>
      <c r="C97">
        <f>'Raw Data'!J79</f>
        <v>41.6</v>
      </c>
      <c r="D97" t="str">
        <f>'Interpreted Data'!G79</f>
        <v>-</v>
      </c>
      <c r="E97" t="str">
        <f>'Interpreted Data'!H79</f>
        <v>292:10</v>
      </c>
      <c r="F97" t="str">
        <f>SUBSTITUTE('Raw Data'!K79," ",":",1)</f>
        <v>4:50</v>
      </c>
      <c r="G97">
        <f>'Interpreted Data'!N79</f>
        <v>3.5</v>
      </c>
      <c r="H97" t="str">
        <f>'Interpreted Data'!P79</f>
        <v/>
      </c>
      <c r="I97" t="str">
        <f t="shared" si="36"/>
        <v xml:space="preserve"> </v>
      </c>
      <c r="J97" t="str">
        <f t="shared" si="41"/>
        <v>AH</v>
      </c>
      <c r="K97" t="str">
        <f t="shared" si="42"/>
        <v>AI</v>
      </c>
      <c r="L97">
        <f t="shared" si="43"/>
        <v>41.6</v>
      </c>
      <c r="M97" t="str">
        <f t="shared" si="44"/>
        <v>-</v>
      </c>
      <c r="N97" t="str">
        <f t="shared" si="45"/>
        <v>292:10</v>
      </c>
      <c r="O97" t="str">
        <f t="shared" si="46"/>
        <v>4:50</v>
      </c>
      <c r="P97" t="str">
        <f t="shared" si="47"/>
        <v/>
      </c>
    </row>
    <row r="98" spans="1:16" x14ac:dyDescent="0.25">
      <c r="A98" t="str">
        <f>'Raw Data'!A80</f>
        <v>AI</v>
      </c>
      <c r="B98" t="str">
        <f>'Raw Data'!B80</f>
        <v>AJ</v>
      </c>
      <c r="C98">
        <f>'Raw Data'!J80</f>
        <v>34.200000000000003</v>
      </c>
      <c r="D98" t="str">
        <f>'Interpreted Data'!G80</f>
        <v>138:30</v>
      </c>
      <c r="E98" t="str">
        <f>'Interpreted Data'!H80</f>
        <v>-</v>
      </c>
      <c r="F98" t="str">
        <f>SUBSTITUTE('Raw Data'!K80," ",":",1)</f>
        <v>6:30</v>
      </c>
      <c r="G98">
        <f>'Interpreted Data'!N80</f>
        <v>3.9</v>
      </c>
      <c r="H98" t="str">
        <f>'Interpreted Data'!P80</f>
        <v/>
      </c>
      <c r="I98" t="str">
        <f t="shared" si="36"/>
        <v xml:space="preserve"> </v>
      </c>
      <c r="J98" t="str">
        <f t="shared" si="41"/>
        <v>AI</v>
      </c>
      <c r="K98" t="str">
        <f t="shared" si="42"/>
        <v>AJ</v>
      </c>
      <c r="L98">
        <f t="shared" si="43"/>
        <v>34.200000000000003</v>
      </c>
      <c r="M98" t="str">
        <f t="shared" si="44"/>
        <v>138:30</v>
      </c>
      <c r="N98" t="str">
        <f t="shared" si="45"/>
        <v>-</v>
      </c>
      <c r="O98" t="str">
        <f t="shared" si="46"/>
        <v>6:30</v>
      </c>
      <c r="P98" t="str">
        <f t="shared" si="47"/>
        <v/>
      </c>
    </row>
    <row r="99" spans="1:16" x14ac:dyDescent="0.25">
      <c r="A99" t="str">
        <f>'Raw Data'!A81</f>
        <v>AJ</v>
      </c>
      <c r="B99" t="str">
        <f>'Raw Data'!B81</f>
        <v>AK</v>
      </c>
      <c r="C99">
        <f>'Raw Data'!J81</f>
        <v>31.8</v>
      </c>
      <c r="D99" t="str">
        <f>'Interpreted Data'!G81</f>
        <v>-</v>
      </c>
      <c r="E99" t="str">
        <f>'Interpreted Data'!H81</f>
        <v>286:00</v>
      </c>
      <c r="F99" t="str">
        <f>SUBSTITUTE('Raw Data'!K81," ",":",1)</f>
        <v>14:30</v>
      </c>
      <c r="G99">
        <f>'Interpreted Data'!N81</f>
        <v>8</v>
      </c>
      <c r="H99" t="str">
        <f>'Interpreted Data'!P81</f>
        <v/>
      </c>
      <c r="I99" t="str">
        <f t="shared" si="36"/>
        <v xml:space="preserve"> </v>
      </c>
      <c r="J99" t="str">
        <f t="shared" si="41"/>
        <v>AJ</v>
      </c>
      <c r="K99" t="str">
        <f t="shared" si="42"/>
        <v>AK</v>
      </c>
      <c r="L99">
        <f t="shared" si="43"/>
        <v>31.8</v>
      </c>
      <c r="M99" t="str">
        <f t="shared" si="44"/>
        <v>-</v>
      </c>
      <c r="N99" t="str">
        <f t="shared" si="45"/>
        <v>286:00</v>
      </c>
      <c r="O99" t="str">
        <f t="shared" si="46"/>
        <v>14:30</v>
      </c>
      <c r="P99" t="str">
        <f t="shared" si="47"/>
        <v/>
      </c>
    </row>
    <row r="100" spans="1:16" x14ac:dyDescent="0.25">
      <c r="A100" t="str">
        <f>'Raw Data'!A82</f>
        <v>AK</v>
      </c>
      <c r="B100" t="str">
        <f>'Raw Data'!B82</f>
        <v>AL</v>
      </c>
      <c r="C100">
        <f>'Raw Data'!J82</f>
        <v>11.3</v>
      </c>
      <c r="D100" t="str">
        <f>'Interpreted Data'!G82</f>
        <v>044:00</v>
      </c>
      <c r="E100" t="str">
        <f>'Interpreted Data'!H82</f>
        <v>-</v>
      </c>
      <c r="F100" t="str">
        <f>SUBSTITUTE('Raw Data'!K82," ",":",1)</f>
        <v>-0:30</v>
      </c>
      <c r="G100">
        <f>'Interpreted Data'!N82</f>
        <v>-0.1</v>
      </c>
      <c r="H100" t="str">
        <f>'Interpreted Data'!P82</f>
        <v>AK is below hole into Upper Grottos. Asellus (sp?) present.</v>
      </c>
      <c r="I100" t="str">
        <f t="shared" si="36"/>
        <v xml:space="preserve"> </v>
      </c>
      <c r="J100" t="str">
        <f t="shared" si="41"/>
        <v>AK</v>
      </c>
      <c r="K100" t="str">
        <f t="shared" si="42"/>
        <v>AL</v>
      </c>
      <c r="L100">
        <f t="shared" si="43"/>
        <v>11.3</v>
      </c>
      <c r="M100" t="str">
        <f t="shared" si="44"/>
        <v>044:00</v>
      </c>
      <c r="N100" t="str">
        <f t="shared" si="45"/>
        <v>-</v>
      </c>
      <c r="O100" t="str">
        <f t="shared" si="46"/>
        <v>-0:30</v>
      </c>
      <c r="P100" t="str">
        <f t="shared" si="47"/>
        <v>AK is below hole into Upper Grottos. Asellus (sp?) present.</v>
      </c>
    </row>
    <row r="101" spans="1:16" x14ac:dyDescent="0.25">
      <c r="A101" t="str">
        <f>'Raw Data'!A83</f>
        <v>AL</v>
      </c>
      <c r="B101">
        <f>'Raw Data'!B83</f>
        <v>0</v>
      </c>
      <c r="C101">
        <f>'Raw Data'!J83</f>
        <v>0</v>
      </c>
      <c r="D101" t="str">
        <f>'Interpreted Data'!G83</f>
        <v>-</v>
      </c>
      <c r="E101" t="str">
        <f>'Interpreted Data'!H83</f>
        <v>-</v>
      </c>
      <c r="F101" t="str">
        <f>SUBSTITUTE('Raw Data'!K83," ",":",1)</f>
        <v/>
      </c>
      <c r="G101" t="str">
        <f>'Interpreted Data'!N83</f>
        <v/>
      </c>
      <c r="H101" t="str">
        <f>'Interpreted Data'!P83</f>
        <v>Total = 1,918'</v>
      </c>
      <c r="I101" t="str">
        <f t="shared" si="36"/>
        <v xml:space="preserve"> </v>
      </c>
      <c r="J101" t="s">
        <v>77</v>
      </c>
      <c r="K101" t="str">
        <f>A101</f>
        <v>AL</v>
      </c>
      <c r="M101" t="str">
        <f t="shared" ref="M101:O102" si="48">D101</f>
        <v>-</v>
      </c>
      <c r="N101" t="str">
        <f t="shared" si="48"/>
        <v>-</v>
      </c>
      <c r="O101" t="str">
        <f t="shared" si="48"/>
        <v/>
      </c>
      <c r="P101" t="str">
        <f t="shared" si="47"/>
        <v>Total = 1,918'</v>
      </c>
    </row>
    <row r="102" spans="1:16" x14ac:dyDescent="0.25">
      <c r="A102">
        <f>'Raw Data'!A84</f>
        <v>0</v>
      </c>
      <c r="B102">
        <f>'Raw Data'!B84</f>
        <v>0</v>
      </c>
      <c r="C102">
        <f>'Raw Data'!J84</f>
        <v>0</v>
      </c>
      <c r="D102" t="str">
        <f>'Interpreted Data'!G84</f>
        <v>-</v>
      </c>
      <c r="E102" t="str">
        <f>'Interpreted Data'!H84</f>
        <v>-</v>
      </c>
      <c r="F102" t="str">
        <f>SUBSTITUTE('Raw Data'!K84," ",":",1)</f>
        <v/>
      </c>
      <c r="G102" t="str">
        <f>'Interpreted Data'!N84</f>
        <v/>
      </c>
      <c r="H102" t="str">
        <f>'Interpreted Data'!P84</f>
        <v/>
      </c>
      <c r="I102" t="str">
        <f t="shared" si="36"/>
        <v xml:space="preserve"> </v>
      </c>
      <c r="M102" t="str">
        <f t="shared" si="48"/>
        <v>-</v>
      </c>
      <c r="N102" t="str">
        <f t="shared" si="48"/>
        <v>-</v>
      </c>
      <c r="O102" t="str">
        <f t="shared" si="48"/>
        <v/>
      </c>
      <c r="P102" t="str">
        <f t="shared" si="47"/>
        <v/>
      </c>
    </row>
    <row r="103" spans="1:16" x14ac:dyDescent="0.25">
      <c r="A103" t="str">
        <f>'Raw Data'!A85</f>
        <v>2nd April 1952</v>
      </c>
      <c r="B103" t="str">
        <f>'Raw Data'!B85</f>
        <v>Cono &amp; Roy Blewett</v>
      </c>
      <c r="G103" t="str">
        <f>'Interpreted Data'!N85</f>
        <v/>
      </c>
      <c r="H103" t="str">
        <f>'Interpreted Data'!P85</f>
        <v/>
      </c>
      <c r="I103" t="str">
        <f t="shared" si="36"/>
        <v xml:space="preserve"> </v>
      </c>
      <c r="J103" t="str">
        <f>A103</f>
        <v>2nd April 1952</v>
      </c>
      <c r="K103" t="str">
        <f>B103</f>
        <v>Cono &amp; Roy Blewett</v>
      </c>
      <c r="P103" t="str">
        <f t="shared" si="47"/>
        <v/>
      </c>
    </row>
    <row r="104" spans="1:16" x14ac:dyDescent="0.25">
      <c r="I104" t="str">
        <f t="shared" si="36"/>
        <v xml:space="preserve"> </v>
      </c>
      <c r="J104" t="str">
        <f>$J$1</f>
        <v>data normal from to tape compass backcompass clino ignoreall</v>
      </c>
    </row>
    <row r="105" spans="1:16" x14ac:dyDescent="0.25">
      <c r="A105" t="str">
        <f>'Raw Data'!A86</f>
        <v>AL</v>
      </c>
      <c r="B105" t="str">
        <f>'Raw Data'!B86</f>
        <v>AN</v>
      </c>
      <c r="C105">
        <f>'Raw Data'!J86</f>
        <v>12.8</v>
      </c>
      <c r="D105" t="str">
        <f>'Interpreted Data'!G86</f>
        <v>-</v>
      </c>
      <c r="E105" t="str">
        <f>'Interpreted Data'!H86</f>
        <v>126:40</v>
      </c>
      <c r="F105" t="str">
        <f>SUBSTITUTE('Raw Data'!K86," ",":",1)</f>
        <v>-4:30</v>
      </c>
      <c r="G105">
        <f>'Interpreted Data'!N86</f>
        <v>-1</v>
      </c>
      <c r="H105" t="str">
        <f>'Interpreted Data'!P86</f>
        <v>AL is start of St. Pauls survey</v>
      </c>
      <c r="J105" t="str">
        <f t="shared" ref="J105:J116" si="49">A105</f>
        <v>AL</v>
      </c>
      <c r="K105" t="str">
        <f t="shared" ref="K105:K116" si="50">B105</f>
        <v>AN</v>
      </c>
      <c r="L105">
        <f t="shared" ref="L105:L116" si="51">C105</f>
        <v>12.8</v>
      </c>
      <c r="M105" t="str">
        <f t="shared" ref="M105:M116" si="52">D105</f>
        <v>-</v>
      </c>
      <c r="N105" t="str">
        <f t="shared" ref="N105:N116" si="53">E105</f>
        <v>126:40</v>
      </c>
      <c r="O105" t="str">
        <f t="shared" ref="O105:O116" si="54">IF(AND(D105="-",E105="-"),IF(1*SUBSTITUTE(F105,":",".")=-90,"DOWN",IF(1*SUBSTITUTE(F105,":",".")=90,"UP","no compass")),F105)</f>
        <v>-4:30</v>
      </c>
      <c r="P105" t="str">
        <f t="shared" ref="P105:P119" si="55">H105</f>
        <v>AL is start of St. Pauls survey</v>
      </c>
    </row>
    <row r="106" spans="1:16" x14ac:dyDescent="0.25">
      <c r="A106" t="str">
        <f>'Raw Data'!A87</f>
        <v>AN</v>
      </c>
      <c r="B106" t="str">
        <f>'Raw Data'!B87</f>
        <v>AO</v>
      </c>
      <c r="C106">
        <f>'Raw Data'!J87</f>
        <v>16.8</v>
      </c>
      <c r="D106" t="str">
        <f>'Interpreted Data'!G87</f>
        <v>025:20</v>
      </c>
      <c r="E106" t="str">
        <f>'Interpreted Data'!H87</f>
        <v>-</v>
      </c>
      <c r="F106" t="str">
        <f>SUBSTITUTE('Raw Data'!K87," ",":",1)</f>
        <v>26:00</v>
      </c>
      <c r="G106">
        <f>'Interpreted Data'!N87</f>
        <v>7.4</v>
      </c>
      <c r="H106" t="str">
        <f>'Interpreted Data'!P87</f>
        <v>AN is at S. end of lower big pot.</v>
      </c>
      <c r="I106" t="str">
        <f t="shared" si="36"/>
        <v xml:space="preserve"> </v>
      </c>
      <c r="J106" t="str">
        <f t="shared" si="49"/>
        <v>AN</v>
      </c>
      <c r="K106" t="str">
        <f t="shared" si="50"/>
        <v>AO</v>
      </c>
      <c r="L106">
        <f t="shared" si="51"/>
        <v>16.8</v>
      </c>
      <c r="M106" t="str">
        <f t="shared" si="52"/>
        <v>025:20</v>
      </c>
      <c r="N106" t="str">
        <f t="shared" si="53"/>
        <v>-</v>
      </c>
      <c r="O106" t="str">
        <f t="shared" si="54"/>
        <v>26:00</v>
      </c>
      <c r="P106" t="str">
        <f t="shared" si="55"/>
        <v>AN is at S. end of lower big pot.</v>
      </c>
    </row>
    <row r="107" spans="1:16" x14ac:dyDescent="0.25">
      <c r="A107" t="str">
        <f>'Raw Data'!A88</f>
        <v>AO</v>
      </c>
      <c r="B107" t="str">
        <f>'Raw Data'!B88</f>
        <v>AP</v>
      </c>
      <c r="C107">
        <f>'Raw Data'!J88</f>
        <v>27.7</v>
      </c>
      <c r="D107" t="str">
        <f>'Interpreted Data'!G88</f>
        <v>-</v>
      </c>
      <c r="E107" t="str">
        <f>'Interpreted Data'!H88</f>
        <v>243:50</v>
      </c>
      <c r="F107" t="str">
        <f>SUBSTITUTE('Raw Data'!K88," ",":",1)</f>
        <v>12:00</v>
      </c>
      <c r="G107">
        <f>'Interpreted Data'!N88</f>
        <v>5.8</v>
      </c>
      <c r="H107" t="str">
        <f>'Interpreted Data'!P88</f>
        <v/>
      </c>
      <c r="I107" t="str">
        <f t="shared" si="36"/>
        <v xml:space="preserve"> </v>
      </c>
      <c r="J107" t="str">
        <f t="shared" si="49"/>
        <v>AO</v>
      </c>
      <c r="K107" t="str">
        <f t="shared" si="50"/>
        <v>AP</v>
      </c>
      <c r="L107">
        <f t="shared" si="51"/>
        <v>27.7</v>
      </c>
      <c r="M107" t="str">
        <f t="shared" si="52"/>
        <v>-</v>
      </c>
      <c r="N107" t="str">
        <f t="shared" si="53"/>
        <v>243:50</v>
      </c>
      <c r="O107" t="str">
        <f t="shared" si="54"/>
        <v>12:00</v>
      </c>
      <c r="P107" t="str">
        <f t="shared" si="55"/>
        <v/>
      </c>
    </row>
    <row r="108" spans="1:16" x14ac:dyDescent="0.25">
      <c r="A108" t="str">
        <f>'Raw Data'!A89</f>
        <v>AP</v>
      </c>
      <c r="B108" t="str">
        <f>'Raw Data'!B89</f>
        <v>AQ</v>
      </c>
      <c r="C108">
        <f>'Raw Data'!J89</f>
        <v>23.2</v>
      </c>
      <c r="D108" t="str">
        <f>'Interpreted Data'!G89</f>
        <v>094:00</v>
      </c>
      <c r="E108" t="str">
        <f>'Interpreted Data'!H89</f>
        <v>-</v>
      </c>
      <c r="F108" t="str">
        <f>SUBSTITUTE('Raw Data'!K89," ",":",1)</f>
        <v>10:30</v>
      </c>
      <c r="G108">
        <f>'Interpreted Data'!N89</f>
        <v>4.0999999999999996</v>
      </c>
      <c r="H108" t="str">
        <f>'Interpreted Data'!P89</f>
        <v/>
      </c>
      <c r="I108" t="str">
        <f t="shared" si="36"/>
        <v xml:space="preserve"> </v>
      </c>
      <c r="J108" t="str">
        <f t="shared" si="49"/>
        <v>AP</v>
      </c>
      <c r="K108" t="str">
        <f t="shared" si="50"/>
        <v>AQ</v>
      </c>
      <c r="L108">
        <f t="shared" si="51"/>
        <v>23.2</v>
      </c>
      <c r="M108" t="str">
        <f t="shared" si="52"/>
        <v>094:00</v>
      </c>
      <c r="N108" t="str">
        <f t="shared" si="53"/>
        <v>-</v>
      </c>
      <c r="O108" t="str">
        <f t="shared" si="54"/>
        <v>10:30</v>
      </c>
      <c r="P108" t="str">
        <f t="shared" si="55"/>
        <v/>
      </c>
    </row>
    <row r="109" spans="1:16" x14ac:dyDescent="0.25">
      <c r="A109" t="str">
        <f>'Raw Data'!A90</f>
        <v>AQ</v>
      </c>
      <c r="B109" t="str">
        <f>'Raw Data'!B90</f>
        <v>AR</v>
      </c>
      <c r="C109">
        <f>'Raw Data'!J90</f>
        <v>10.7</v>
      </c>
      <c r="D109" t="str">
        <f>'Interpreted Data'!G90</f>
        <v>-</v>
      </c>
      <c r="E109" t="str">
        <f>'Interpreted Data'!H90</f>
        <v>316:00</v>
      </c>
      <c r="F109" t="str">
        <f>SUBSTITUTE('Raw Data'!K90," ",":",1)</f>
        <v>-5:30</v>
      </c>
      <c r="G109">
        <f>'Interpreted Data'!N90</f>
        <v>-1</v>
      </c>
      <c r="H109" t="str">
        <f>'Interpreted Data'!P90</f>
        <v/>
      </c>
      <c r="I109" t="str">
        <f t="shared" si="36"/>
        <v xml:space="preserve"> </v>
      </c>
      <c r="J109" t="str">
        <f t="shared" si="49"/>
        <v>AQ</v>
      </c>
      <c r="K109" t="str">
        <f t="shared" si="50"/>
        <v>AR</v>
      </c>
      <c r="L109">
        <f t="shared" si="51"/>
        <v>10.7</v>
      </c>
      <c r="M109" t="str">
        <f t="shared" si="52"/>
        <v>-</v>
      </c>
      <c r="N109" t="str">
        <f t="shared" si="53"/>
        <v>316:00</v>
      </c>
      <c r="O109" t="str">
        <f t="shared" si="54"/>
        <v>-5:30</v>
      </c>
      <c r="P109" t="str">
        <f t="shared" si="55"/>
        <v/>
      </c>
    </row>
    <row r="110" spans="1:16" x14ac:dyDescent="0.25">
      <c r="A110" t="str">
        <f>'Raw Data'!A91</f>
        <v>AR</v>
      </c>
      <c r="B110" t="str">
        <f>'Raw Data'!B91</f>
        <v>AS</v>
      </c>
      <c r="C110">
        <f>'Raw Data'!J91</f>
        <v>26.5</v>
      </c>
      <c r="D110" t="str">
        <f>'Interpreted Data'!G91</f>
        <v>012:20</v>
      </c>
      <c r="E110" t="str">
        <f>'Interpreted Data'!H91</f>
        <v>-</v>
      </c>
      <c r="F110" t="str">
        <f>SUBSTITUTE('Raw Data'!K91," ",":",1)</f>
        <v>28:30</v>
      </c>
      <c r="G110">
        <f>'Interpreted Data'!N91</f>
        <v>12.6</v>
      </c>
      <c r="H110" t="str">
        <f>'Interpreted Data'!P91</f>
        <v/>
      </c>
      <c r="I110" t="str">
        <f t="shared" si="36"/>
        <v xml:space="preserve"> </v>
      </c>
      <c r="J110" t="str">
        <f t="shared" si="49"/>
        <v>AR</v>
      </c>
      <c r="K110" t="str">
        <f t="shared" si="50"/>
        <v>AS</v>
      </c>
      <c r="L110">
        <f t="shared" si="51"/>
        <v>26.5</v>
      </c>
      <c r="M110" t="str">
        <f t="shared" si="52"/>
        <v>012:20</v>
      </c>
      <c r="N110" t="str">
        <f t="shared" si="53"/>
        <v>-</v>
      </c>
      <c r="O110" t="str">
        <f t="shared" si="54"/>
        <v>28:30</v>
      </c>
      <c r="P110" t="str">
        <f t="shared" si="55"/>
        <v/>
      </c>
    </row>
    <row r="111" spans="1:16" x14ac:dyDescent="0.25">
      <c r="A111" t="str">
        <f>'Raw Data'!A92</f>
        <v>AS</v>
      </c>
      <c r="B111" t="str">
        <f>'Raw Data'!B92</f>
        <v>AT</v>
      </c>
      <c r="C111">
        <f>'Raw Data'!J92</f>
        <v>38.6</v>
      </c>
      <c r="D111" t="str">
        <f>'Interpreted Data'!G92</f>
        <v>-</v>
      </c>
      <c r="E111" t="str">
        <f>'Interpreted Data'!H92</f>
        <v>169:30</v>
      </c>
      <c r="F111" t="str">
        <f>SUBSTITUTE('Raw Data'!K92," ",":",1)</f>
        <v>10:30</v>
      </c>
      <c r="G111">
        <f>'Interpreted Data'!N92</f>
        <v>7</v>
      </c>
      <c r="H111" t="str">
        <f>'Interpreted Data'!P92</f>
        <v/>
      </c>
      <c r="I111" t="str">
        <f t="shared" si="36"/>
        <v xml:space="preserve"> </v>
      </c>
      <c r="J111" t="str">
        <f t="shared" si="49"/>
        <v>AS</v>
      </c>
      <c r="K111" t="str">
        <f t="shared" si="50"/>
        <v>AT</v>
      </c>
      <c r="L111">
        <f t="shared" si="51"/>
        <v>38.6</v>
      </c>
      <c r="M111" t="str">
        <f t="shared" si="52"/>
        <v>-</v>
      </c>
      <c r="N111" t="str">
        <f t="shared" si="53"/>
        <v>169:30</v>
      </c>
      <c r="O111" t="str">
        <f t="shared" si="54"/>
        <v>10:30</v>
      </c>
      <c r="P111" t="str">
        <f t="shared" si="55"/>
        <v/>
      </c>
    </row>
    <row r="112" spans="1:16" x14ac:dyDescent="0.25">
      <c r="A112" t="str">
        <f>'Raw Data'!A93</f>
        <v>AT</v>
      </c>
      <c r="B112" t="str">
        <f>'Raw Data'!B93</f>
        <v>AU</v>
      </c>
      <c r="C112">
        <f>'Raw Data'!J93</f>
        <v>23.3</v>
      </c>
      <c r="D112" t="str">
        <f>'Interpreted Data'!G93</f>
        <v>321:40</v>
      </c>
      <c r="E112" t="str">
        <f>'Interpreted Data'!H93</f>
        <v>-</v>
      </c>
      <c r="F112" t="str">
        <f>SUBSTITUTE('Raw Data'!K93," ",":",1)</f>
        <v>-4:00</v>
      </c>
      <c r="G112">
        <f>'Interpreted Data'!N93</f>
        <v>-1.6</v>
      </c>
      <c r="H112" t="str">
        <f>'Interpreted Data'!P93</f>
        <v/>
      </c>
      <c r="I112" t="str">
        <f t="shared" si="36"/>
        <v xml:space="preserve"> </v>
      </c>
      <c r="J112" t="str">
        <f t="shared" si="49"/>
        <v>AT</v>
      </c>
      <c r="K112" t="str">
        <f t="shared" si="50"/>
        <v>AU</v>
      </c>
      <c r="L112">
        <f t="shared" si="51"/>
        <v>23.3</v>
      </c>
      <c r="M112" t="str">
        <f t="shared" si="52"/>
        <v>321:40</v>
      </c>
      <c r="N112" t="str">
        <f t="shared" si="53"/>
        <v>-</v>
      </c>
      <c r="O112" t="str">
        <f t="shared" si="54"/>
        <v>-4:00</v>
      </c>
      <c r="P112" t="str">
        <f t="shared" si="55"/>
        <v/>
      </c>
    </row>
    <row r="113" spans="1:16" x14ac:dyDescent="0.25">
      <c r="A113" t="str">
        <f>'Raw Data'!A94</f>
        <v>AU</v>
      </c>
      <c r="B113" t="str">
        <f>'Raw Data'!B94</f>
        <v>AV</v>
      </c>
      <c r="C113">
        <f>'Raw Data'!J94</f>
        <v>23.3</v>
      </c>
      <c r="D113" t="str">
        <f>'Interpreted Data'!G94</f>
        <v>-</v>
      </c>
      <c r="E113" t="str">
        <f>'Interpreted Data'!H94</f>
        <v>245:30</v>
      </c>
      <c r="F113" t="str">
        <f>SUBSTITUTE('Raw Data'!K94," ",":",1)</f>
        <v>9:00</v>
      </c>
      <c r="G113">
        <f>'Interpreted Data'!N94</f>
        <v>3.6</v>
      </c>
      <c r="H113" t="str">
        <f>'Interpreted Data'!P94</f>
        <v/>
      </c>
      <c r="I113" t="str">
        <f t="shared" si="36"/>
        <v xml:space="preserve"> </v>
      </c>
      <c r="J113" t="str">
        <f t="shared" si="49"/>
        <v>AU</v>
      </c>
      <c r="K113" t="str">
        <f t="shared" si="50"/>
        <v>AV</v>
      </c>
      <c r="L113">
        <f t="shared" si="51"/>
        <v>23.3</v>
      </c>
      <c r="M113" t="str">
        <f t="shared" si="52"/>
        <v>-</v>
      </c>
      <c r="N113" t="str">
        <f t="shared" si="53"/>
        <v>245:30</v>
      </c>
      <c r="O113" t="str">
        <f t="shared" si="54"/>
        <v>9:00</v>
      </c>
      <c r="P113" t="str">
        <f t="shared" si="55"/>
        <v/>
      </c>
    </row>
    <row r="114" spans="1:16" x14ac:dyDescent="0.25">
      <c r="A114" t="str">
        <f>'Raw Data'!A95</f>
        <v>AV</v>
      </c>
      <c r="B114" t="str">
        <f>'Raw Data'!B95</f>
        <v>AW</v>
      </c>
      <c r="C114">
        <f>'Raw Data'!J95</f>
        <v>24.1</v>
      </c>
      <c r="D114" t="str">
        <f>'Interpreted Data'!G95</f>
        <v>108:30</v>
      </c>
      <c r="E114" t="str">
        <f>'Interpreted Data'!H95</f>
        <v>-</v>
      </c>
      <c r="F114" t="str">
        <f>SUBSTITUTE('Raw Data'!K95," ",":",1)</f>
        <v>27:30</v>
      </c>
      <c r="G114">
        <f>'Interpreted Data'!N95</f>
        <v>11.1</v>
      </c>
      <c r="H114" t="str">
        <f>'Interpreted Data'!P95</f>
        <v>AV is in middle of upper big pot.</v>
      </c>
      <c r="I114" t="str">
        <f t="shared" si="36"/>
        <v xml:space="preserve"> </v>
      </c>
      <c r="J114" t="str">
        <f t="shared" si="49"/>
        <v>AV</v>
      </c>
      <c r="K114" t="str">
        <f t="shared" si="50"/>
        <v>AW</v>
      </c>
      <c r="L114">
        <f t="shared" si="51"/>
        <v>24.1</v>
      </c>
      <c r="M114" t="str">
        <f t="shared" si="52"/>
        <v>108:30</v>
      </c>
      <c r="N114" t="str">
        <f t="shared" si="53"/>
        <v>-</v>
      </c>
      <c r="O114" t="str">
        <f t="shared" si="54"/>
        <v>27:30</v>
      </c>
      <c r="P114" t="str">
        <f t="shared" si="55"/>
        <v>AV is in middle of upper big pot.</v>
      </c>
    </row>
    <row r="115" spans="1:16" x14ac:dyDescent="0.25">
      <c r="A115" t="str">
        <f>'Raw Data'!A96</f>
        <v>AW</v>
      </c>
      <c r="B115" t="str">
        <f>'Raw Data'!B96</f>
        <v>AX</v>
      </c>
      <c r="C115">
        <f>'Raw Data'!J96</f>
        <v>14.6</v>
      </c>
      <c r="D115" t="str">
        <f>'Interpreted Data'!G96</f>
        <v>-</v>
      </c>
      <c r="E115" t="str">
        <f>'Interpreted Data'!H96</f>
        <v>259:40</v>
      </c>
      <c r="F115" t="str">
        <f>SUBSTITUTE('Raw Data'!K96," ",":",1)</f>
        <v>23:30</v>
      </c>
      <c r="G115">
        <f>'Interpreted Data'!N96</f>
        <v>5.8</v>
      </c>
      <c r="H115" t="str">
        <f>'Interpreted Data'!P96</f>
        <v/>
      </c>
      <c r="I115" t="str">
        <f t="shared" si="36"/>
        <v xml:space="preserve"> </v>
      </c>
      <c r="J115" t="str">
        <f t="shared" si="49"/>
        <v>AW</v>
      </c>
      <c r="K115" t="str">
        <f t="shared" si="50"/>
        <v>AX</v>
      </c>
      <c r="L115">
        <f t="shared" si="51"/>
        <v>14.6</v>
      </c>
      <c r="M115" t="str">
        <f t="shared" si="52"/>
        <v>-</v>
      </c>
      <c r="N115" t="str">
        <f t="shared" si="53"/>
        <v>259:40</v>
      </c>
      <c r="O115" t="str">
        <f t="shared" si="54"/>
        <v>23:30</v>
      </c>
      <c r="P115" t="str">
        <f t="shared" si="55"/>
        <v/>
      </c>
    </row>
    <row r="116" spans="1:16" x14ac:dyDescent="0.25">
      <c r="A116" t="str">
        <f>'Raw Data'!A97</f>
        <v>AX</v>
      </c>
      <c r="B116" t="str">
        <f>'Raw Data'!B97</f>
        <v>AY</v>
      </c>
      <c r="C116">
        <f>'Raw Data'!J97</f>
        <v>15</v>
      </c>
      <c r="D116" t="str">
        <f>'Interpreted Data'!G97</f>
        <v>128:00</v>
      </c>
      <c r="E116" t="str">
        <f>'Interpreted Data'!H97</f>
        <v>-</v>
      </c>
      <c r="F116" t="str">
        <f>SUBSTITUTE('Raw Data'!K97," ",":",1)</f>
        <v>13:30</v>
      </c>
      <c r="G116">
        <f>'Interpreted Data'!N97</f>
        <v>3.5</v>
      </c>
      <c r="H116" t="str">
        <f>'Interpreted Data'!P97</f>
        <v>AY is on stumpy stalagmite on cascade on E side of passage.</v>
      </c>
      <c r="I116" t="str">
        <f t="shared" si="36"/>
        <v xml:space="preserve"> </v>
      </c>
      <c r="J116" t="str">
        <f t="shared" si="49"/>
        <v>AX</v>
      </c>
      <c r="K116" t="str">
        <f t="shared" si="50"/>
        <v>AY</v>
      </c>
      <c r="L116">
        <f t="shared" si="51"/>
        <v>15</v>
      </c>
      <c r="M116" t="str">
        <f t="shared" si="52"/>
        <v>128:00</v>
      </c>
      <c r="N116" t="str">
        <f t="shared" si="53"/>
        <v>-</v>
      </c>
      <c r="O116" t="str">
        <f t="shared" si="54"/>
        <v>13:30</v>
      </c>
      <c r="P116" t="str">
        <f t="shared" si="55"/>
        <v>AY is on stumpy stalagmite on cascade on E side of passage.</v>
      </c>
    </row>
    <row r="117" spans="1:16" x14ac:dyDescent="0.25">
      <c r="A117" t="str">
        <f>'Raw Data'!A98</f>
        <v>AY</v>
      </c>
      <c r="B117">
        <f>'Raw Data'!B98</f>
        <v>0</v>
      </c>
      <c r="C117">
        <f>'Raw Data'!J98</f>
        <v>0</v>
      </c>
      <c r="D117" t="str">
        <f>'Interpreted Data'!G98</f>
        <v>-</v>
      </c>
      <c r="E117" t="str">
        <f>'Interpreted Data'!H98</f>
        <v>-</v>
      </c>
      <c r="F117" t="str">
        <f>SUBSTITUTE('Raw Data'!K98," ",":",1)</f>
        <v/>
      </c>
      <c r="G117" t="str">
        <f>'Interpreted Data'!N98</f>
        <v/>
      </c>
      <c r="H117" t="str">
        <f>'Interpreted Data'!P98</f>
        <v>Total = 2,188'</v>
      </c>
      <c r="I117" t="str">
        <f t="shared" si="36"/>
        <v xml:space="preserve"> </v>
      </c>
      <c r="J117" t="s">
        <v>77</v>
      </c>
      <c r="K117" t="str">
        <f>A117</f>
        <v>AY</v>
      </c>
      <c r="M117" t="str">
        <f t="shared" ref="M117:O119" si="56">D117</f>
        <v>-</v>
      </c>
      <c r="N117" t="str">
        <f t="shared" si="56"/>
        <v>-</v>
      </c>
      <c r="O117" t="str">
        <f t="shared" si="56"/>
        <v/>
      </c>
      <c r="P117" t="str">
        <f t="shared" si="55"/>
        <v>Total = 2,188'</v>
      </c>
    </row>
    <row r="118" spans="1:16" x14ac:dyDescent="0.25">
      <c r="A118">
        <f>'Raw Data'!A99</f>
        <v>0</v>
      </c>
      <c r="B118">
        <f>'Raw Data'!B99</f>
        <v>0</v>
      </c>
      <c r="C118">
        <f>'Raw Data'!J99</f>
        <v>0</v>
      </c>
      <c r="D118" t="str">
        <f>'Interpreted Data'!G99</f>
        <v>-</v>
      </c>
      <c r="E118" t="str">
        <f>'Interpreted Data'!H99</f>
        <v>-</v>
      </c>
      <c r="F118" t="str">
        <f>SUBSTITUTE('Raw Data'!K99," ",":",1)</f>
        <v/>
      </c>
      <c r="G118" t="str">
        <f>'Interpreted Data'!N99</f>
        <v/>
      </c>
      <c r="H118" t="str">
        <f>'Interpreted Data'!P99</f>
        <v/>
      </c>
      <c r="I118" t="str">
        <f t="shared" si="36"/>
        <v xml:space="preserve"> </v>
      </c>
      <c r="M118" t="str">
        <f t="shared" si="56"/>
        <v>-</v>
      </c>
      <c r="N118" t="str">
        <f t="shared" si="56"/>
        <v>-</v>
      </c>
      <c r="O118" t="str">
        <f t="shared" si="56"/>
        <v/>
      </c>
      <c r="P118" t="str">
        <f t="shared" si="55"/>
        <v/>
      </c>
    </row>
    <row r="119" spans="1:16" x14ac:dyDescent="0.25">
      <c r="A119" t="str">
        <f>'Raw Data'!A100</f>
        <v>14th August '52</v>
      </c>
      <c r="B119" t="str">
        <f>'Raw Data'!B100</f>
        <v>Colin</v>
      </c>
      <c r="C119" t="str">
        <f>'Raw Data'!C100</f>
        <v>Contd from P.49. Upper Mud Series</v>
      </c>
      <c r="E119" t="str">
        <f>'Interpreted Data'!H100</f>
        <v>-</v>
      </c>
      <c r="F119" t="str">
        <f>SUBSTITUTE('Raw Data'!K100," ",":",1)</f>
        <v/>
      </c>
      <c r="G119" t="str">
        <f>'Interpreted Data'!N100</f>
        <v/>
      </c>
      <c r="H119" t="str">
        <f>'Interpreted Data'!P100</f>
        <v/>
      </c>
      <c r="I119" t="str">
        <f t="shared" si="36"/>
        <v xml:space="preserve"> </v>
      </c>
      <c r="J119" t="str">
        <f>A119</f>
        <v>14th August '52</v>
      </c>
      <c r="K119" t="str">
        <f>B119</f>
        <v>Colin</v>
      </c>
      <c r="L119" t="str">
        <f>C119</f>
        <v>Contd from P.49. Upper Mud Series</v>
      </c>
      <c r="N119" t="str">
        <f t="shared" si="56"/>
        <v>-</v>
      </c>
      <c r="O119" t="str">
        <f t="shared" si="56"/>
        <v/>
      </c>
      <c r="P119" t="str">
        <f t="shared" si="55"/>
        <v/>
      </c>
    </row>
    <row r="120" spans="1:16" x14ac:dyDescent="0.25">
      <c r="I120" t="str">
        <f t="shared" si="36"/>
        <v xml:space="preserve"> </v>
      </c>
      <c r="J120" t="str">
        <f>$J$1</f>
        <v>data normal from to tape compass backcompass clino ignoreall</v>
      </c>
    </row>
    <row r="121" spans="1:16" x14ac:dyDescent="0.25">
      <c r="A121">
        <f>'Raw Data'!A101</f>
        <v>18</v>
      </c>
      <c r="B121">
        <f>'Raw Data'!B101</f>
        <v>19</v>
      </c>
      <c r="C121">
        <f>'Raw Data'!J101</f>
        <v>10.1</v>
      </c>
      <c r="D121" t="str">
        <f>'Interpreted Data'!G101</f>
        <v>-</v>
      </c>
      <c r="E121" t="str">
        <f>'Interpreted Data'!H101</f>
        <v>-</v>
      </c>
      <c r="F121" t="str">
        <f>SUBSTITUTE('Raw Data'!K101," ",":",1)</f>
        <v>-90:00</v>
      </c>
      <c r="G121">
        <f>'Interpreted Data'!N101</f>
        <v>-10.1</v>
      </c>
      <c r="H121" t="str">
        <f>'Interpreted Data'!P101</f>
        <v>18 is in crack at top of 11 Foot Drop.</v>
      </c>
      <c r="J121">
        <f t="shared" ref="J121:J133" si="57">A121</f>
        <v>18</v>
      </c>
      <c r="K121">
        <f t="shared" ref="K121:K133" si="58">B121</f>
        <v>19</v>
      </c>
      <c r="L121">
        <f t="shared" ref="L121:L133" si="59">C121</f>
        <v>10.1</v>
      </c>
      <c r="M121" t="str">
        <f t="shared" ref="M121:M133" si="60">D121</f>
        <v>-</v>
      </c>
      <c r="N121" t="str">
        <f t="shared" ref="N121:N133" si="61">E121</f>
        <v>-</v>
      </c>
      <c r="O121" t="str">
        <f>IF(AND(D121="-",E121="-"),IF(1*SUBSTITUTE(F121,":",".")=-90,"DOWN",IF(1*SUBSTITUTE(F121,":",".")=90,"UP","no compass")),F121)</f>
        <v>DOWN</v>
      </c>
      <c r="P121" t="str">
        <f t="shared" ref="P121:P133" si="62">H121</f>
        <v>18 is in crack at top of 11 Foot Drop.</v>
      </c>
    </row>
    <row r="122" spans="1:16" x14ac:dyDescent="0.25">
      <c r="A122">
        <f>'Raw Data'!A102</f>
        <v>19</v>
      </c>
      <c r="B122">
        <f>'Raw Data'!B102</f>
        <v>20</v>
      </c>
      <c r="C122">
        <f>'Raw Data'!J102</f>
        <v>8</v>
      </c>
      <c r="D122" t="str">
        <f>'Interpreted Data'!G102</f>
        <v>-</v>
      </c>
      <c r="E122" t="str">
        <f>'Interpreted Data'!H102</f>
        <v>355:00</v>
      </c>
      <c r="F122" t="str">
        <f>SUBSTITUTE('Raw Data'!K102," ",":",1)</f>
        <v>1:00</v>
      </c>
      <c r="G122">
        <f>'Interpreted Data'!N102</f>
        <v>0.1</v>
      </c>
      <c r="H122" t="str">
        <f>'Interpreted Data'!P102</f>
        <v>(sketch of 18 - 24)</v>
      </c>
      <c r="I122" t="str">
        <f t="shared" si="36"/>
        <v xml:space="preserve"> </v>
      </c>
      <c r="J122">
        <f t="shared" si="57"/>
        <v>19</v>
      </c>
      <c r="K122">
        <f t="shared" si="58"/>
        <v>20</v>
      </c>
      <c r="L122">
        <f t="shared" si="59"/>
        <v>8</v>
      </c>
      <c r="M122" t="str">
        <f t="shared" si="60"/>
        <v>-</v>
      </c>
      <c r="N122" t="str">
        <f t="shared" si="61"/>
        <v>355:00</v>
      </c>
      <c r="O122" t="str">
        <f t="shared" ref="O122:O143" si="63">IF(AND(D122="-",E122="-"),IF(1*SUBSTITUTE(F122,":",".")=-90,"DOWN",IF(1*SUBSTITUTE(F122,":",".")=90,"UP","no compass")),F122)</f>
        <v>1:00</v>
      </c>
      <c r="P122" t="str">
        <f t="shared" si="62"/>
        <v>(sketch of 18 - 24)</v>
      </c>
    </row>
    <row r="123" spans="1:16" x14ac:dyDescent="0.25">
      <c r="A123">
        <f>'Raw Data'!A103</f>
        <v>20</v>
      </c>
      <c r="B123">
        <f>'Raw Data'!B103</f>
        <v>21</v>
      </c>
      <c r="C123">
        <f>'Raw Data'!J103</f>
        <v>24.8</v>
      </c>
      <c r="D123" t="str">
        <f>'Interpreted Data'!G103</f>
        <v>091:00</v>
      </c>
      <c r="E123" t="str">
        <f>'Interpreted Data'!H103</f>
        <v>-</v>
      </c>
      <c r="F123" t="str">
        <f>SUBSTITUTE('Raw Data'!K103," ",":",1)</f>
        <v>23:00</v>
      </c>
      <c r="G123">
        <f>'Interpreted Data'!N103</f>
        <v>9.6999999999999993</v>
      </c>
      <c r="H123" t="str">
        <f>'Interpreted Data'!P103</f>
        <v/>
      </c>
      <c r="I123" t="str">
        <f t="shared" si="36"/>
        <v xml:space="preserve"> </v>
      </c>
      <c r="J123">
        <f t="shared" si="57"/>
        <v>20</v>
      </c>
      <c r="K123">
        <f t="shared" si="58"/>
        <v>21</v>
      </c>
      <c r="L123">
        <f t="shared" si="59"/>
        <v>24.8</v>
      </c>
      <c r="M123" t="str">
        <f t="shared" si="60"/>
        <v>091:00</v>
      </c>
      <c r="N123" t="str">
        <f t="shared" si="61"/>
        <v>-</v>
      </c>
      <c r="O123" t="str">
        <f t="shared" si="63"/>
        <v>23:00</v>
      </c>
      <c r="P123" t="str">
        <f t="shared" si="62"/>
        <v/>
      </c>
    </row>
    <row r="124" spans="1:16" x14ac:dyDescent="0.25">
      <c r="A124">
        <f>'Raw Data'!A104</f>
        <v>21</v>
      </c>
      <c r="B124">
        <f>'Raw Data'!B104</f>
        <v>22</v>
      </c>
      <c r="C124">
        <f>'Raw Data'!J104</f>
        <v>11.2</v>
      </c>
      <c r="D124" t="str">
        <f>'Interpreted Data'!G104</f>
        <v>-</v>
      </c>
      <c r="E124" t="str">
        <f>'Interpreted Data'!H104</f>
        <v>302:00</v>
      </c>
      <c r="F124" t="str">
        <f>SUBSTITUTE('Raw Data'!K104," ",":",1)</f>
        <v>10:00</v>
      </c>
      <c r="G124">
        <f>'Interpreted Data'!N104</f>
        <v>1.9</v>
      </c>
      <c r="H124" t="str">
        <f>'Interpreted Data'!P104</f>
        <v/>
      </c>
      <c r="I124" t="str">
        <f t="shared" si="36"/>
        <v xml:space="preserve"> </v>
      </c>
      <c r="J124">
        <f t="shared" si="57"/>
        <v>21</v>
      </c>
      <c r="K124">
        <f t="shared" si="58"/>
        <v>22</v>
      </c>
      <c r="L124">
        <f t="shared" si="59"/>
        <v>11.2</v>
      </c>
      <c r="M124" t="str">
        <f t="shared" si="60"/>
        <v>-</v>
      </c>
      <c r="N124" t="str">
        <f t="shared" si="61"/>
        <v>302:00</v>
      </c>
      <c r="O124" t="str">
        <f t="shared" si="63"/>
        <v>10:00</v>
      </c>
      <c r="P124" t="str">
        <f t="shared" si="62"/>
        <v/>
      </c>
    </row>
    <row r="125" spans="1:16" x14ac:dyDescent="0.25">
      <c r="A125">
        <f>'Raw Data'!A105</f>
        <v>22</v>
      </c>
      <c r="B125">
        <f>'Raw Data'!B105</f>
        <v>23</v>
      </c>
      <c r="C125">
        <f>'Raw Data'!J105</f>
        <v>25.5</v>
      </c>
      <c r="D125" t="str">
        <f>'Interpreted Data'!G105</f>
        <v>172:40</v>
      </c>
      <c r="E125" t="str">
        <f>'Interpreted Data'!H105</f>
        <v>-</v>
      </c>
      <c r="F125" t="str">
        <f>SUBSTITUTE('Raw Data'!K105," ",":",1)</f>
        <v>-9:00</v>
      </c>
      <c r="G125">
        <f>'Interpreted Data'!N105</f>
        <v>-4</v>
      </c>
      <c r="H125" t="str">
        <f>'Interpreted Data'!P105</f>
        <v/>
      </c>
      <c r="I125" t="str">
        <f t="shared" si="36"/>
        <v xml:space="preserve"> </v>
      </c>
      <c r="J125">
        <f t="shared" si="57"/>
        <v>22</v>
      </c>
      <c r="K125">
        <f t="shared" si="58"/>
        <v>23</v>
      </c>
      <c r="L125">
        <f t="shared" si="59"/>
        <v>25.5</v>
      </c>
      <c r="M125" t="str">
        <f t="shared" si="60"/>
        <v>172:40</v>
      </c>
      <c r="N125" t="str">
        <f t="shared" si="61"/>
        <v>-</v>
      </c>
      <c r="O125" t="str">
        <f t="shared" si="63"/>
        <v>-9:00</v>
      </c>
      <c r="P125" t="str">
        <f t="shared" si="62"/>
        <v/>
      </c>
    </row>
    <row r="126" spans="1:16" x14ac:dyDescent="0.25">
      <c r="A126">
        <f>'Raw Data'!A106</f>
        <v>23</v>
      </c>
      <c r="B126">
        <f>'Raw Data'!B106</f>
        <v>24</v>
      </c>
      <c r="C126">
        <f>'Raw Data'!J106</f>
        <v>50.7</v>
      </c>
      <c r="D126" t="str">
        <f>'Interpreted Data'!G106</f>
        <v>-</v>
      </c>
      <c r="E126" t="str">
        <f>'Interpreted Data'!H106</f>
        <v>248:00</v>
      </c>
      <c r="F126" t="str">
        <f>SUBSTITUTE('Raw Data'!K106," ",":",1)</f>
        <v>18:00</v>
      </c>
      <c r="G126">
        <f>'Interpreted Data'!N106</f>
        <v>15.6</v>
      </c>
      <c r="H126" t="str">
        <f>'Interpreted Data'!P106</f>
        <v/>
      </c>
      <c r="I126" t="str">
        <f t="shared" si="36"/>
        <v xml:space="preserve"> </v>
      </c>
      <c r="J126">
        <f t="shared" si="57"/>
        <v>23</v>
      </c>
      <c r="K126">
        <f t="shared" si="58"/>
        <v>24</v>
      </c>
      <c r="L126">
        <f t="shared" si="59"/>
        <v>50.7</v>
      </c>
      <c r="M126" t="str">
        <f t="shared" si="60"/>
        <v>-</v>
      </c>
      <c r="N126" t="str">
        <f t="shared" si="61"/>
        <v>248:00</v>
      </c>
      <c r="O126" t="str">
        <f t="shared" si="63"/>
        <v>18:00</v>
      </c>
      <c r="P126" t="str">
        <f t="shared" si="62"/>
        <v/>
      </c>
    </row>
    <row r="127" spans="1:16" x14ac:dyDescent="0.25">
      <c r="A127">
        <f>'Raw Data'!A107</f>
        <v>24</v>
      </c>
      <c r="B127">
        <f>'Raw Data'!B107</f>
        <v>25</v>
      </c>
      <c r="C127">
        <f>'Raw Data'!J107</f>
        <v>14</v>
      </c>
      <c r="D127" t="str">
        <f>'Interpreted Data'!G107</f>
        <v>046:00</v>
      </c>
      <c r="E127" t="str">
        <f>'Interpreted Data'!H107</f>
        <v>-</v>
      </c>
      <c r="F127" t="str">
        <f>SUBSTITUTE('Raw Data'!K107," ",":",1)</f>
        <v>-46:00</v>
      </c>
      <c r="G127">
        <f>'Interpreted Data'!N107</f>
        <v>-10.1</v>
      </c>
      <c r="H127" t="str">
        <f>'Interpreted Data'!P107</f>
        <v>(sketch of 24 - 35)</v>
      </c>
      <c r="I127" t="str">
        <f t="shared" si="36"/>
        <v xml:space="preserve"> </v>
      </c>
      <c r="J127">
        <f t="shared" si="57"/>
        <v>24</v>
      </c>
      <c r="K127">
        <f t="shared" si="58"/>
        <v>25</v>
      </c>
      <c r="L127">
        <f t="shared" si="59"/>
        <v>14</v>
      </c>
      <c r="M127" t="str">
        <f t="shared" si="60"/>
        <v>046:00</v>
      </c>
      <c r="N127" t="str">
        <f t="shared" si="61"/>
        <v>-</v>
      </c>
      <c r="O127" t="str">
        <f t="shared" si="63"/>
        <v>-46:00</v>
      </c>
      <c r="P127" t="str">
        <f t="shared" si="62"/>
        <v>(sketch of 24 - 35)</v>
      </c>
    </row>
    <row r="128" spans="1:16" x14ac:dyDescent="0.25">
      <c r="A128">
        <f>'Raw Data'!A108</f>
        <v>25</v>
      </c>
      <c r="B128">
        <f>'Raw Data'!B108</f>
        <v>26</v>
      </c>
      <c r="C128">
        <f>'Raw Data'!J108</f>
        <v>15.3</v>
      </c>
      <c r="D128" t="str">
        <f>'Interpreted Data'!G108</f>
        <v>-</v>
      </c>
      <c r="E128" t="str">
        <f>'Interpreted Data'!H108</f>
        <v>293:00</v>
      </c>
      <c r="F128" t="str">
        <f>SUBSTITUTE('Raw Data'!K108," ",":",1)</f>
        <v>-43:00</v>
      </c>
      <c r="G128">
        <f>'Interpreted Data'!N108</f>
        <v>-10.4</v>
      </c>
      <c r="H128" t="str">
        <f>'Interpreted Data'!P108</f>
        <v/>
      </c>
      <c r="I128" t="str">
        <f t="shared" si="36"/>
        <v xml:space="preserve"> </v>
      </c>
      <c r="J128">
        <f t="shared" si="57"/>
        <v>25</v>
      </c>
      <c r="K128">
        <f t="shared" si="58"/>
        <v>26</v>
      </c>
      <c r="L128">
        <f t="shared" si="59"/>
        <v>15.3</v>
      </c>
      <c r="M128" t="str">
        <f t="shared" si="60"/>
        <v>-</v>
      </c>
      <c r="N128" t="str">
        <f t="shared" si="61"/>
        <v>293:00</v>
      </c>
      <c r="O128" t="str">
        <f t="shared" si="63"/>
        <v>-43:00</v>
      </c>
      <c r="P128" t="str">
        <f t="shared" si="62"/>
        <v/>
      </c>
    </row>
    <row r="129" spans="1:16" x14ac:dyDescent="0.25">
      <c r="A129">
        <f>'Raw Data'!A109</f>
        <v>26</v>
      </c>
      <c r="B129">
        <f>'Raw Data'!B109</f>
        <v>27</v>
      </c>
      <c r="C129">
        <f>'Raw Data'!J109</f>
        <v>23.2</v>
      </c>
      <c r="D129" t="str">
        <f>'Interpreted Data'!G109</f>
        <v>061:00</v>
      </c>
      <c r="E129" t="str">
        <f>'Interpreted Data'!H109</f>
        <v>-</v>
      </c>
      <c r="F129" t="str">
        <f>SUBSTITUTE('Raw Data'!K109," ",":",1)</f>
        <v>-55:00</v>
      </c>
      <c r="G129">
        <f>'Interpreted Data'!N109</f>
        <v>-19</v>
      </c>
      <c r="H129" t="str">
        <f>'Interpreted Data'!P109</f>
        <v/>
      </c>
      <c r="I129" t="str">
        <f t="shared" si="36"/>
        <v xml:space="preserve"> </v>
      </c>
      <c r="J129">
        <f t="shared" si="57"/>
        <v>26</v>
      </c>
      <c r="K129">
        <f t="shared" si="58"/>
        <v>27</v>
      </c>
      <c r="L129">
        <f t="shared" si="59"/>
        <v>23.2</v>
      </c>
      <c r="M129" t="str">
        <f t="shared" si="60"/>
        <v>061:00</v>
      </c>
      <c r="N129" t="str">
        <f t="shared" si="61"/>
        <v>-</v>
      </c>
      <c r="O129" t="str">
        <f t="shared" si="63"/>
        <v>-55:00</v>
      </c>
      <c r="P129" t="str">
        <f t="shared" si="62"/>
        <v/>
      </c>
    </row>
    <row r="130" spans="1:16" x14ac:dyDescent="0.25">
      <c r="A130">
        <f>'Raw Data'!A110</f>
        <v>27</v>
      </c>
      <c r="B130">
        <f>'Raw Data'!B110</f>
        <v>28</v>
      </c>
      <c r="C130">
        <f>'Raw Data'!J110</f>
        <v>25.3</v>
      </c>
      <c r="D130" t="str">
        <f>'Interpreted Data'!G110</f>
        <v>-</v>
      </c>
      <c r="E130" t="str">
        <f>'Interpreted Data'!H110</f>
        <v>015:30</v>
      </c>
      <c r="F130" t="str">
        <f>SUBSTITUTE('Raw Data'!K110," ",":",1)</f>
        <v>-24:30</v>
      </c>
      <c r="G130">
        <f>'Interpreted Data'!N110</f>
        <v>-10.5</v>
      </c>
      <c r="H130" t="str">
        <f>'Interpreted Data'!P110</f>
        <v/>
      </c>
      <c r="I130" t="str">
        <f t="shared" si="36"/>
        <v xml:space="preserve"> </v>
      </c>
      <c r="J130">
        <f t="shared" si="57"/>
        <v>27</v>
      </c>
      <c r="K130">
        <f t="shared" si="58"/>
        <v>28</v>
      </c>
      <c r="L130">
        <f t="shared" si="59"/>
        <v>25.3</v>
      </c>
      <c r="M130" t="str">
        <f t="shared" si="60"/>
        <v>-</v>
      </c>
      <c r="N130" t="str">
        <f t="shared" si="61"/>
        <v>015:30</v>
      </c>
      <c r="O130" t="str">
        <f t="shared" si="63"/>
        <v>-24:30</v>
      </c>
      <c r="P130" t="str">
        <f t="shared" si="62"/>
        <v/>
      </c>
    </row>
    <row r="131" spans="1:16" x14ac:dyDescent="0.25">
      <c r="A131">
        <f>'Raw Data'!A111</f>
        <v>28</v>
      </c>
      <c r="B131">
        <f>'Raw Data'!B111</f>
        <v>29</v>
      </c>
      <c r="C131">
        <f>'Raw Data'!J111</f>
        <v>51</v>
      </c>
      <c r="D131" t="str">
        <f>'Interpreted Data'!G111</f>
        <v>242:00</v>
      </c>
      <c r="E131" t="str">
        <f>'Interpreted Data'!H111</f>
        <v>-</v>
      </c>
      <c r="F131" t="str">
        <f>SUBSTITUTE('Raw Data'!K111," ",":",1)</f>
        <v>-23:30</v>
      </c>
      <c r="G131">
        <f>'Interpreted Data'!N111</f>
        <v>-20.3</v>
      </c>
      <c r="H131" t="str">
        <f>'Interpreted Data'!P111</f>
        <v/>
      </c>
      <c r="I131" t="str">
        <f t="shared" si="36"/>
        <v xml:space="preserve"> </v>
      </c>
      <c r="J131">
        <f t="shared" si="57"/>
        <v>28</v>
      </c>
      <c r="K131">
        <f t="shared" si="58"/>
        <v>29</v>
      </c>
      <c r="L131">
        <f t="shared" si="59"/>
        <v>51</v>
      </c>
      <c r="M131" t="str">
        <f t="shared" si="60"/>
        <v>242:00</v>
      </c>
      <c r="N131" t="str">
        <f t="shared" si="61"/>
        <v>-</v>
      </c>
      <c r="O131" t="str">
        <f t="shared" si="63"/>
        <v>-23:30</v>
      </c>
      <c r="P131" t="str">
        <f t="shared" si="62"/>
        <v/>
      </c>
    </row>
    <row r="132" spans="1:16" x14ac:dyDescent="0.25">
      <c r="A132">
        <f>'Raw Data'!A112</f>
        <v>29</v>
      </c>
      <c r="B132">
        <f>'Raw Data'!B112</f>
        <v>30</v>
      </c>
      <c r="C132">
        <f>'Raw Data'!J112</f>
        <v>13.7</v>
      </c>
      <c r="D132" t="str">
        <f>'Interpreted Data'!G112</f>
        <v>-</v>
      </c>
      <c r="E132" t="str">
        <f>'Interpreted Data'!H112</f>
        <v>340:00</v>
      </c>
      <c r="F132" t="str">
        <f>SUBSTITUTE('Raw Data'!K112," ",":",1)</f>
        <v>-3:00</v>
      </c>
      <c r="G132">
        <f>'Interpreted Data'!N112</f>
        <v>-0.7</v>
      </c>
      <c r="H132" t="str">
        <f>'Interpreted Data'!P112</f>
        <v/>
      </c>
      <c r="I132" t="str">
        <f t="shared" si="36"/>
        <v xml:space="preserve"> </v>
      </c>
      <c r="J132">
        <f t="shared" si="57"/>
        <v>29</v>
      </c>
      <c r="K132">
        <f t="shared" si="58"/>
        <v>30</v>
      </c>
      <c r="L132">
        <f t="shared" si="59"/>
        <v>13.7</v>
      </c>
      <c r="M132" t="str">
        <f t="shared" si="60"/>
        <v>-</v>
      </c>
      <c r="N132" t="str">
        <f t="shared" si="61"/>
        <v>340:00</v>
      </c>
      <c r="O132" t="str">
        <f t="shared" si="63"/>
        <v>-3:00</v>
      </c>
      <c r="P132" t="str">
        <f t="shared" si="62"/>
        <v/>
      </c>
    </row>
    <row r="133" spans="1:16" x14ac:dyDescent="0.25">
      <c r="A133">
        <f>'Raw Data'!A113</f>
        <v>30</v>
      </c>
      <c r="B133">
        <f>'Raw Data'!B113</f>
        <v>31</v>
      </c>
      <c r="C133">
        <f>'Raw Data'!J113</f>
        <v>25.4</v>
      </c>
      <c r="D133" t="str">
        <f>'Interpreted Data'!G113</f>
        <v>239:00</v>
      </c>
      <c r="E133" t="str">
        <f>'Interpreted Data'!H113</f>
        <v>-</v>
      </c>
      <c r="F133" t="str">
        <f>SUBSTITUTE('Raw Data'!K113," ",":",1)</f>
        <v>-19:00</v>
      </c>
      <c r="G133">
        <f>'Interpreted Data'!N113</f>
        <v>-8.3000000000000007</v>
      </c>
      <c r="H133" t="str">
        <f>'Interpreted Data'!P113</f>
        <v/>
      </c>
      <c r="I133" t="str">
        <f t="shared" si="36"/>
        <v xml:space="preserve"> </v>
      </c>
      <c r="J133">
        <f t="shared" si="57"/>
        <v>30</v>
      </c>
      <c r="K133">
        <f t="shared" si="58"/>
        <v>31</v>
      </c>
      <c r="L133">
        <f t="shared" si="59"/>
        <v>25.4</v>
      </c>
      <c r="M133" t="str">
        <f t="shared" si="60"/>
        <v>239:00</v>
      </c>
      <c r="N133" t="str">
        <f t="shared" si="61"/>
        <v>-</v>
      </c>
      <c r="O133" t="str">
        <f t="shared" si="63"/>
        <v>-19:00</v>
      </c>
      <c r="P133" t="str">
        <f t="shared" si="62"/>
        <v/>
      </c>
    </row>
    <row r="134" spans="1:16" x14ac:dyDescent="0.25">
      <c r="J134" t="str">
        <f>$J$2</f>
        <v>data diving from to tape compass backcompass depthchange ignoreall</v>
      </c>
    </row>
    <row r="135" spans="1:16" x14ac:dyDescent="0.25">
      <c r="A135">
        <f>'Raw Data'!A114</f>
        <v>31</v>
      </c>
      <c r="B135">
        <f>'Raw Data'!B114</f>
        <v>32</v>
      </c>
      <c r="C135">
        <f>'Raw Data'!J114</f>
        <v>11.2</v>
      </c>
      <c r="D135" t="str">
        <f>'Interpreted Data'!G114</f>
        <v>-</v>
      </c>
      <c r="E135" t="str">
        <f>'Interpreted Data'!H114</f>
        <v>106:00</v>
      </c>
      <c r="F135" t="str">
        <f>SUBSTITUTE('Raw Data'!K114," ",":",1)</f>
        <v>fall:1 foot</v>
      </c>
      <c r="G135">
        <f>'Interpreted Data'!N114</f>
        <v>-1</v>
      </c>
      <c r="H135" t="str">
        <f>'Interpreted Data'!P114</f>
        <v/>
      </c>
      <c r="I135" t="str">
        <f t="shared" ref="I135:I201" si="64">" "</f>
        <v xml:space="preserve"> </v>
      </c>
      <c r="J135">
        <f>A135</f>
        <v>31</v>
      </c>
      <c r="K135">
        <f>B135</f>
        <v>32</v>
      </c>
      <c r="L135">
        <f>C135</f>
        <v>11.2</v>
      </c>
      <c r="M135" t="str">
        <f>D135</f>
        <v>-</v>
      </c>
      <c r="N135" t="str">
        <f>E135</f>
        <v>106:00</v>
      </c>
      <c r="O135">
        <f>G135</f>
        <v>-1</v>
      </c>
      <c r="P135" t="str">
        <f>H135</f>
        <v/>
      </c>
    </row>
    <row r="136" spans="1:16" x14ac:dyDescent="0.25">
      <c r="J136" t="str">
        <f>$J$1</f>
        <v>data normal from to tape compass backcompass clino ignoreall</v>
      </c>
    </row>
    <row r="137" spans="1:16" x14ac:dyDescent="0.25">
      <c r="A137">
        <f>'Raw Data'!A115</f>
        <v>32</v>
      </c>
      <c r="B137">
        <f>'Raw Data'!B115</f>
        <v>33</v>
      </c>
      <c r="C137">
        <f>'Raw Data'!J115</f>
        <v>14.1</v>
      </c>
      <c r="D137" t="str">
        <f>'Interpreted Data'!G115</f>
        <v>182:00</v>
      </c>
      <c r="E137" t="str">
        <f>'Interpreted Data'!H115</f>
        <v>-</v>
      </c>
      <c r="F137" t="str">
        <f>SUBSTITUTE('Raw Data'!K115," ",":",1)</f>
        <v>-9:00</v>
      </c>
      <c r="G137">
        <f>'Interpreted Data'!N115</f>
        <v>-2.2000000000000002</v>
      </c>
      <c r="H137" t="str">
        <f>'Interpreted Data'!P115</f>
        <v/>
      </c>
      <c r="I137" t="str">
        <f t="shared" si="64"/>
        <v xml:space="preserve"> </v>
      </c>
      <c r="J137">
        <f>A137</f>
        <v>32</v>
      </c>
      <c r="K137">
        <f>B137</f>
        <v>33</v>
      </c>
      <c r="L137">
        <f>C137</f>
        <v>14.1</v>
      </c>
      <c r="M137" t="str">
        <f>D137</f>
        <v>182:00</v>
      </c>
      <c r="N137" t="str">
        <f>E137</f>
        <v>-</v>
      </c>
      <c r="O137" t="str">
        <f t="shared" si="63"/>
        <v>-9:00</v>
      </c>
      <c r="P137" t="str">
        <f>H137</f>
        <v/>
      </c>
    </row>
    <row r="138" spans="1:16" x14ac:dyDescent="0.25">
      <c r="J138" t="str">
        <f>$J$2</f>
        <v>data diving from to tape compass backcompass depthchange ignoreall</v>
      </c>
    </row>
    <row r="139" spans="1:16" x14ac:dyDescent="0.25">
      <c r="A139">
        <f>'Raw Data'!A116</f>
        <v>33</v>
      </c>
      <c r="B139">
        <f>'Raw Data'!B116</f>
        <v>34</v>
      </c>
      <c r="C139">
        <f>'Raw Data'!J116</f>
        <v>17</v>
      </c>
      <c r="D139" t="str">
        <f>'Interpreted Data'!G116</f>
        <v>-</v>
      </c>
      <c r="E139" t="str">
        <f>'Interpreted Data'!H116</f>
        <v>339:00</v>
      </c>
      <c r="F139" t="str">
        <f>SUBSTITUTE('Raw Data'!K116," ",":",1)</f>
        <v>rise:1 foot</v>
      </c>
      <c r="G139">
        <f>'Interpreted Data'!N116</f>
        <v>1</v>
      </c>
      <c r="H139" t="str">
        <f>'Interpreted Data'!P116</f>
        <v/>
      </c>
      <c r="I139" t="str">
        <f t="shared" si="64"/>
        <v xml:space="preserve"> </v>
      </c>
      <c r="J139">
        <f>A139</f>
        <v>33</v>
      </c>
      <c r="K139">
        <f>B139</f>
        <v>34</v>
      </c>
      <c r="L139">
        <f>C139</f>
        <v>17</v>
      </c>
      <c r="M139" t="str">
        <f>D139</f>
        <v>-</v>
      </c>
      <c r="N139" t="str">
        <f>E139</f>
        <v>339:00</v>
      </c>
      <c r="O139">
        <f>G139</f>
        <v>1</v>
      </c>
      <c r="P139" t="str">
        <f>H139</f>
        <v/>
      </c>
    </row>
    <row r="140" spans="1:16" x14ac:dyDescent="0.25">
      <c r="J140" t="str">
        <f>$J$1</f>
        <v>data normal from to tape compass backcompass clino ignoreall</v>
      </c>
    </row>
    <row r="141" spans="1:16" x14ac:dyDescent="0.25">
      <c r="A141">
        <f>'Raw Data'!A117</f>
        <v>34</v>
      </c>
      <c r="B141">
        <f>'Raw Data'!B117</f>
        <v>35</v>
      </c>
      <c r="C141">
        <f>'Raw Data'!J117</f>
        <v>13.9</v>
      </c>
      <c r="D141" t="str">
        <f>'Interpreted Data'!G117</f>
        <v>-</v>
      </c>
      <c r="E141" t="str">
        <f>'Interpreted Data'!H117</f>
        <v>341:00</v>
      </c>
      <c r="F141" t="str">
        <f>SUBSTITUTE('Raw Data'!K117," ",":",1)</f>
        <v>-12:30</v>
      </c>
      <c r="G141">
        <f>'Interpreted Data'!N117</f>
        <v>-3</v>
      </c>
      <c r="H141" t="str">
        <f>'Interpreted Data'!P117</f>
        <v>35 = A on p.25 = Big rock by D on p.46 (Top of)</v>
      </c>
      <c r="I141" t="str">
        <f t="shared" si="64"/>
        <v xml:space="preserve"> </v>
      </c>
      <c r="J141">
        <f>A141</f>
        <v>34</v>
      </c>
      <c r="K141">
        <f>B141</f>
        <v>35</v>
      </c>
      <c r="L141">
        <f>C141</f>
        <v>13.9</v>
      </c>
      <c r="M141" t="str">
        <f>D141</f>
        <v>-</v>
      </c>
      <c r="N141" t="str">
        <f>E141</f>
        <v>341:00</v>
      </c>
      <c r="O141" t="str">
        <f t="shared" si="63"/>
        <v>-12:30</v>
      </c>
      <c r="P141" t="str">
        <f>H141</f>
        <v>35 = A on p.25 = Big rock by D on p.46 (Top of)</v>
      </c>
    </row>
    <row r="142" spans="1:16" x14ac:dyDescent="0.25">
      <c r="A142">
        <f>'Raw Data'!A118</f>
        <v>35</v>
      </c>
      <c r="B142">
        <f>'Raw Data'!B118</f>
        <v>0</v>
      </c>
      <c r="C142">
        <f>'Raw Data'!J118</f>
        <v>0</v>
      </c>
      <c r="D142" t="str">
        <f>'Interpreted Data'!G118</f>
        <v>-</v>
      </c>
      <c r="E142" t="str">
        <f>'Interpreted Data'!H118</f>
        <v>-</v>
      </c>
      <c r="F142" t="str">
        <f>SUBSTITUTE('Raw Data'!K118," ",":",1)</f>
        <v/>
      </c>
      <c r="G142" t="str">
        <f>'Interpreted Data'!N118</f>
        <v/>
      </c>
      <c r="H142" t="str">
        <f>'Interpreted Data'!P118</f>
        <v>Total = 2,642'</v>
      </c>
      <c r="I142" t="str">
        <f t="shared" si="64"/>
        <v xml:space="preserve"> </v>
      </c>
      <c r="J142" t="s">
        <v>77</v>
      </c>
      <c r="K142">
        <f>A142</f>
        <v>35</v>
      </c>
      <c r="M142" t="str">
        <f t="shared" ref="M142:N144" si="65">D142</f>
        <v>-</v>
      </c>
      <c r="N142" t="str">
        <f t="shared" si="65"/>
        <v>-</v>
      </c>
      <c r="O142" t="e">
        <f t="shared" si="63"/>
        <v>#VALUE!</v>
      </c>
      <c r="P142" t="str">
        <f>H142</f>
        <v>Total = 2,642'</v>
      </c>
    </row>
    <row r="143" spans="1:16" x14ac:dyDescent="0.25">
      <c r="A143">
        <f>'Raw Data'!A119</f>
        <v>35</v>
      </c>
      <c r="B143" t="str">
        <f>'Raw Data'!B119</f>
        <v>e</v>
      </c>
      <c r="C143">
        <f>'Raw Data'!J119</f>
        <v>18</v>
      </c>
      <c r="D143" t="str">
        <f>'Interpreted Data'!G119</f>
        <v>234</v>
      </c>
      <c r="E143" t="str">
        <f>'Interpreted Data'!H119</f>
        <v>-</v>
      </c>
      <c r="F143" t="str">
        <f>SUBSTITUTE('Raw Data'!K119," ",":",1)</f>
        <v>45</v>
      </c>
      <c r="G143">
        <f>'Interpreted Data'!N119</f>
        <v>12.7</v>
      </c>
      <c r="H143" t="str">
        <f>'Interpreted Data'!P119</f>
        <v>(e) is where passage rejoins streamway. Stn 35 (p.52)-(e) is F.S. 234 (TRUE), Dist 18', Clino +45 (deg), HD 12.7, VD +12.7</v>
      </c>
      <c r="I143" t="str">
        <f t="shared" si="64"/>
        <v xml:space="preserve"> </v>
      </c>
      <c r="J143">
        <f>A143</f>
        <v>35</v>
      </c>
      <c r="K143" t="str">
        <f>CONCATENATE(B143,"2")</f>
        <v>e2</v>
      </c>
      <c r="L143">
        <f>C143</f>
        <v>18</v>
      </c>
      <c r="M143" t="str">
        <f t="shared" si="65"/>
        <v>234</v>
      </c>
      <c r="N143" t="str">
        <f t="shared" si="65"/>
        <v>-</v>
      </c>
      <c r="O143" t="str">
        <f t="shared" si="63"/>
        <v>45</v>
      </c>
      <c r="P143" t="str">
        <f>H143</f>
        <v>(e) is where passage rejoins streamway. Stn 35 (p.52)-(e) is F.S. 234 (TRUE), Dist 18', Clino +45 (deg), HD 12.7, VD +12.7</v>
      </c>
    </row>
    <row r="144" spans="1:16" x14ac:dyDescent="0.25">
      <c r="A144">
        <f>'Raw Data'!A120</f>
        <v>35</v>
      </c>
      <c r="B144" t="str">
        <f>'Raw Data'!B120</f>
        <v>D</v>
      </c>
      <c r="C144">
        <f>'Raw Data'!J120</f>
        <v>10</v>
      </c>
      <c r="D144" t="str">
        <f>'Interpreted Data'!G120</f>
        <v>-</v>
      </c>
      <c r="E144" t="str">
        <f>'Interpreted Data'!H120</f>
        <v>350</v>
      </c>
      <c r="F144" t="str">
        <f>SUBSTITUTE('Raw Data'!K120," ",":",1)</f>
        <v>0</v>
      </c>
      <c r="G144">
        <f>'Interpreted Data'!N120</f>
        <v>0</v>
      </c>
      <c r="H144" t="str">
        <f>'Interpreted Data'!P120</f>
        <v>D is in stream. Big rock (start of New Series survey) 10' away at 350 (deg). Big passage starts as continuation of Howards Dig.</v>
      </c>
      <c r="I144" t="str">
        <f t="shared" si="64"/>
        <v xml:space="preserve"> </v>
      </c>
      <c r="J144">
        <f>A144</f>
        <v>35</v>
      </c>
      <c r="K144" t="str">
        <f>B144</f>
        <v>D</v>
      </c>
      <c r="L144">
        <f>C144</f>
        <v>10</v>
      </c>
      <c r="M144" t="str">
        <f t="shared" si="65"/>
        <v>-</v>
      </c>
      <c r="N144" t="str">
        <f t="shared" si="65"/>
        <v>350</v>
      </c>
      <c r="O144" t="str">
        <f t="shared" ref="O144" si="66">IF(AND(D144="-",E144="-"),IF(1*SUBSTITUTE(F144,":",".")=-90,"DOWN",IF(1*SUBSTITUTE(F144,":",".")=90,"UP","no compass")),F144)</f>
        <v>0</v>
      </c>
      <c r="P144" t="str">
        <f>H144</f>
        <v>D is in stream. Big rock (start of New Series survey) 10' away at 350 (deg). Big passage starts as continuation of Howards Dig.</v>
      </c>
    </row>
    <row r="145" spans="1:16" x14ac:dyDescent="0.25">
      <c r="A145">
        <f>'Raw Data'!A121</f>
        <v>0</v>
      </c>
      <c r="B145">
        <f>'Raw Data'!B121</f>
        <v>0</v>
      </c>
      <c r="C145">
        <f>'Raw Data'!J121</f>
        <v>0</v>
      </c>
      <c r="D145" t="str">
        <f>'Interpreted Data'!G121</f>
        <v>-</v>
      </c>
      <c r="E145" t="str">
        <f>'Interpreted Data'!H121</f>
        <v>-</v>
      </c>
      <c r="F145" t="str">
        <f>SUBSTITUTE('Raw Data'!K121," ",":",1)</f>
        <v/>
      </c>
      <c r="G145">
        <f>'Interpreted Data'!N121</f>
        <v>0</v>
      </c>
      <c r="H145">
        <f>'Interpreted Data'!P121</f>
        <v>0</v>
      </c>
      <c r="I145" t="str">
        <f t="shared" si="64"/>
        <v xml:space="preserve"> </v>
      </c>
      <c r="J145">
        <f t="shared" ref="J145:J147" si="67">A145</f>
        <v>0</v>
      </c>
      <c r="K145">
        <f t="shared" ref="K145:K147" si="68">B145</f>
        <v>0</v>
      </c>
      <c r="L145">
        <f t="shared" ref="L145:L147" si="69">C145</f>
        <v>0</v>
      </c>
      <c r="M145" t="str">
        <f t="shared" ref="M145:M147" si="70">D145</f>
        <v>-</v>
      </c>
      <c r="N145" t="str">
        <f t="shared" ref="N145:N147" si="71">E145</f>
        <v>-</v>
      </c>
      <c r="O145" t="e">
        <f t="shared" ref="O145:O147" si="72">IF(AND(D145="-",E145="-"),IF(1*SUBSTITUTE(F145,":",".")=-90,"DOWN",IF(1*SUBSTITUTE(F145,":",".")=90,"UP","no compass")),F145)</f>
        <v>#VALUE!</v>
      </c>
      <c r="P145">
        <f t="shared" ref="P145:P147" si="73">H145</f>
        <v>0</v>
      </c>
    </row>
    <row r="146" spans="1:16" x14ac:dyDescent="0.25">
      <c r="A146" t="str">
        <f>'Raw Data'!A122</f>
        <v>p. 53-56</v>
      </c>
      <c r="B146" t="str">
        <f>'Raw Data'!B122</f>
        <v>(=PDF p.57-60)</v>
      </c>
      <c r="C146">
        <f>'Raw Data'!J122</f>
        <v>0</v>
      </c>
      <c r="D146" t="str">
        <f>'Interpreted Data'!G122</f>
        <v>-</v>
      </c>
      <c r="E146" t="str">
        <f>'Interpreted Data'!H122</f>
        <v>-</v>
      </c>
      <c r="F146" t="str">
        <f>SUBSTITUTE('Raw Data'!K122," ",":",1)</f>
        <v/>
      </c>
      <c r="G146">
        <f>'Interpreted Data'!N122</f>
        <v>0</v>
      </c>
      <c r="H146">
        <f>'Interpreted Data'!P122</f>
        <v>0</v>
      </c>
      <c r="I146" t="str">
        <f t="shared" si="64"/>
        <v xml:space="preserve"> </v>
      </c>
      <c r="J146" t="str">
        <f t="shared" si="67"/>
        <v>p. 53-56</v>
      </c>
      <c r="K146" t="str">
        <f t="shared" si="68"/>
        <v>(=PDF p.57-60)</v>
      </c>
      <c r="L146">
        <f t="shared" si="69"/>
        <v>0</v>
      </c>
      <c r="M146" t="str">
        <f t="shared" si="70"/>
        <v>-</v>
      </c>
      <c r="N146" t="str">
        <f t="shared" si="71"/>
        <v>-</v>
      </c>
      <c r="O146" t="e">
        <f t="shared" si="72"/>
        <v>#VALUE!</v>
      </c>
      <c r="P146">
        <f t="shared" si="73"/>
        <v>0</v>
      </c>
    </row>
    <row r="147" spans="1:16" x14ac:dyDescent="0.25">
      <c r="A147">
        <f>'Raw Data'!A123</f>
        <v>27</v>
      </c>
      <c r="B147">
        <f>'Raw Data'!B123</f>
        <v>36</v>
      </c>
      <c r="C147">
        <f>'Raw Data'!J123</f>
        <v>6</v>
      </c>
      <c r="D147" t="str">
        <f>'Interpreted Data'!G123</f>
        <v>-</v>
      </c>
      <c r="E147" t="str">
        <f>'Interpreted Data'!H123</f>
        <v>-</v>
      </c>
      <c r="F147" t="str">
        <f>SUBSTITUTE('Raw Data'!K123," ",":",1)</f>
        <v>90:00</v>
      </c>
      <c r="G147">
        <f>'Interpreted Data'!N123</f>
        <v>6</v>
      </c>
      <c r="H147" t="str">
        <f>'Interpreted Data'!P123</f>
        <v>27 = 27 of p.52</v>
      </c>
      <c r="I147" t="str">
        <f t="shared" si="64"/>
        <v xml:space="preserve"> </v>
      </c>
      <c r="J147">
        <f t="shared" si="67"/>
        <v>27</v>
      </c>
      <c r="K147">
        <f t="shared" si="68"/>
        <v>36</v>
      </c>
      <c r="L147">
        <f t="shared" si="69"/>
        <v>6</v>
      </c>
      <c r="M147" t="str">
        <f t="shared" si="70"/>
        <v>-</v>
      </c>
      <c r="N147" t="str">
        <f t="shared" si="71"/>
        <v>-</v>
      </c>
      <c r="O147" t="str">
        <f t="shared" si="72"/>
        <v>UP</v>
      </c>
      <c r="P147" t="str">
        <f t="shared" si="73"/>
        <v>27 = 27 of p.52</v>
      </c>
    </row>
    <row r="148" spans="1:16" x14ac:dyDescent="0.25">
      <c r="A148">
        <f>'Raw Data'!A124</f>
        <v>36</v>
      </c>
      <c r="B148">
        <f>'Raw Data'!B124</f>
        <v>37</v>
      </c>
      <c r="C148">
        <f>'Raw Data'!J124</f>
        <v>29.4</v>
      </c>
      <c r="D148" t="str">
        <f>'Interpreted Data'!G124</f>
        <v>-</v>
      </c>
      <c r="E148" t="str">
        <f>'Interpreted Data'!H124</f>
        <v>158:00</v>
      </c>
      <c r="F148" t="str">
        <f>SUBSTITUTE('Raw Data'!K124," ",":",1)</f>
        <v>12:30</v>
      </c>
      <c r="G148">
        <f>'Interpreted Data'!N124</f>
        <v>6.4</v>
      </c>
      <c r="H148" t="str">
        <f>'Interpreted Data'!P124</f>
        <v/>
      </c>
      <c r="I148" t="str">
        <f t="shared" si="64"/>
        <v xml:space="preserve"> </v>
      </c>
      <c r="J148">
        <f t="shared" ref="J148:J154" si="74">A148</f>
        <v>36</v>
      </c>
      <c r="K148">
        <f t="shared" ref="K148:K154" si="75">B148</f>
        <v>37</v>
      </c>
      <c r="L148">
        <f t="shared" ref="L148:L154" si="76">C148</f>
        <v>29.4</v>
      </c>
      <c r="M148" t="str">
        <f t="shared" ref="M148:M154" si="77">D148</f>
        <v>-</v>
      </c>
      <c r="N148" t="str">
        <f t="shared" ref="N148:N154" si="78">E148</f>
        <v>158:00</v>
      </c>
      <c r="O148" t="str">
        <f t="shared" ref="O148:O154" si="79">IF(AND(D148="-",E148="-"),IF(1*SUBSTITUTE(F148,":",".")=-90,"DOWN",IF(1*SUBSTITUTE(F148,":",".")=90,"UP","no compass")),F148)</f>
        <v>12:30</v>
      </c>
      <c r="P148" t="str">
        <f t="shared" ref="P148:P154" si="80">H148</f>
        <v/>
      </c>
    </row>
    <row r="149" spans="1:16" x14ac:dyDescent="0.25">
      <c r="A149">
        <f>'Raw Data'!A125</f>
        <v>37</v>
      </c>
      <c r="B149">
        <f>'Raw Data'!B125</f>
        <v>38</v>
      </c>
      <c r="C149">
        <f>'Raw Data'!J125</f>
        <v>12.1</v>
      </c>
      <c r="D149" t="str">
        <f>'Interpreted Data'!G125</f>
        <v>011:00</v>
      </c>
      <c r="E149" t="str">
        <f>'Interpreted Data'!H125</f>
        <v>-</v>
      </c>
      <c r="F149" t="str">
        <f>SUBSTITUTE('Raw Data'!K125," ",":",1)</f>
        <v>-38:00</v>
      </c>
      <c r="G149">
        <f>'Interpreted Data'!N125</f>
        <v>-7.4</v>
      </c>
      <c r="H149" t="str">
        <f>'Interpreted Data'!P125</f>
        <v>(sketch of 36-54)</v>
      </c>
      <c r="I149" t="str">
        <f t="shared" si="64"/>
        <v xml:space="preserve"> </v>
      </c>
      <c r="J149">
        <f t="shared" si="74"/>
        <v>37</v>
      </c>
      <c r="K149">
        <f t="shared" si="75"/>
        <v>38</v>
      </c>
      <c r="L149">
        <f t="shared" si="76"/>
        <v>12.1</v>
      </c>
      <c r="M149" t="str">
        <f t="shared" si="77"/>
        <v>011:00</v>
      </c>
      <c r="N149" t="str">
        <f t="shared" si="78"/>
        <v>-</v>
      </c>
      <c r="O149" t="str">
        <f t="shared" si="79"/>
        <v>-38:00</v>
      </c>
      <c r="P149" t="str">
        <f t="shared" si="80"/>
        <v>(sketch of 36-54)</v>
      </c>
    </row>
    <row r="150" spans="1:16" x14ac:dyDescent="0.25">
      <c r="A150">
        <f>'Raw Data'!A126</f>
        <v>38</v>
      </c>
      <c r="B150">
        <f>'Raw Data'!B126</f>
        <v>39</v>
      </c>
      <c r="C150">
        <f>'Raw Data'!J126</f>
        <v>30.2</v>
      </c>
      <c r="D150" t="str">
        <f>'Interpreted Data'!G126</f>
        <v>-</v>
      </c>
      <c r="E150" t="str">
        <f>'Interpreted Data'!H126</f>
        <v>282:00</v>
      </c>
      <c r="F150" t="str">
        <f>SUBSTITUTE('Raw Data'!K126," ",":",1)</f>
        <v>16:30</v>
      </c>
      <c r="G150">
        <f>'Interpreted Data'!N126</f>
        <v>8.6</v>
      </c>
      <c r="H150" t="str">
        <f>'Interpreted Data'!P126</f>
        <v/>
      </c>
      <c r="I150" t="str">
        <f t="shared" si="64"/>
        <v xml:space="preserve"> </v>
      </c>
      <c r="J150">
        <f t="shared" si="74"/>
        <v>38</v>
      </c>
      <c r="K150">
        <f t="shared" si="75"/>
        <v>39</v>
      </c>
      <c r="L150">
        <f t="shared" si="76"/>
        <v>30.2</v>
      </c>
      <c r="M150" t="str">
        <f t="shared" si="77"/>
        <v>-</v>
      </c>
      <c r="N150" t="str">
        <f t="shared" si="78"/>
        <v>282:00</v>
      </c>
      <c r="O150" t="str">
        <f t="shared" si="79"/>
        <v>16:30</v>
      </c>
      <c r="P150" t="str">
        <f t="shared" si="80"/>
        <v/>
      </c>
    </row>
    <row r="151" spans="1:16" x14ac:dyDescent="0.25">
      <c r="A151">
        <f>'Raw Data'!A127</f>
        <v>39</v>
      </c>
      <c r="B151">
        <f>'Raw Data'!B127</f>
        <v>40</v>
      </c>
      <c r="C151">
        <f>'Raw Data'!J127</f>
        <v>15</v>
      </c>
      <c r="D151" t="str">
        <f>'Interpreted Data'!G127</f>
        <v>063:30</v>
      </c>
      <c r="E151" t="str">
        <f>'Interpreted Data'!H127</f>
        <v>-</v>
      </c>
      <c r="F151" t="str">
        <f>SUBSTITUTE('Raw Data'!K127," ",":",1)</f>
        <v>27:00</v>
      </c>
      <c r="G151">
        <f>'Interpreted Data'!N127</f>
        <v>6.8</v>
      </c>
      <c r="H151" t="str">
        <f>'Interpreted Data'!P127</f>
        <v/>
      </c>
      <c r="I151" t="str">
        <f t="shared" si="64"/>
        <v xml:space="preserve"> </v>
      </c>
      <c r="J151">
        <f t="shared" si="74"/>
        <v>39</v>
      </c>
      <c r="K151">
        <f t="shared" si="75"/>
        <v>40</v>
      </c>
      <c r="L151">
        <f t="shared" si="76"/>
        <v>15</v>
      </c>
      <c r="M151" t="str">
        <f t="shared" si="77"/>
        <v>063:30</v>
      </c>
      <c r="N151" t="str">
        <f t="shared" si="78"/>
        <v>-</v>
      </c>
      <c r="O151" t="str">
        <f t="shared" si="79"/>
        <v>27:00</v>
      </c>
      <c r="P151" t="str">
        <f t="shared" si="80"/>
        <v/>
      </c>
    </row>
    <row r="152" spans="1:16" x14ac:dyDescent="0.25">
      <c r="A152">
        <f>'Raw Data'!A128</f>
        <v>40</v>
      </c>
      <c r="B152">
        <f>'Raw Data'!B128</f>
        <v>41</v>
      </c>
      <c r="C152">
        <f>'Raw Data'!J128</f>
        <v>24.4</v>
      </c>
      <c r="D152" t="str">
        <f>'Interpreted Data'!G128</f>
        <v>-</v>
      </c>
      <c r="E152" t="str">
        <f>'Interpreted Data'!H128</f>
        <v>284:00</v>
      </c>
      <c r="F152" t="str">
        <f>SUBSTITUTE('Raw Data'!K128," ",":",1)</f>
        <v>13:30</v>
      </c>
      <c r="G152">
        <f>'Interpreted Data'!N128</f>
        <v>5.7</v>
      </c>
      <c r="H152" t="str">
        <f>'Interpreted Data'!P128</f>
        <v/>
      </c>
      <c r="I152" t="str">
        <f t="shared" si="64"/>
        <v xml:space="preserve"> </v>
      </c>
      <c r="J152">
        <f t="shared" si="74"/>
        <v>40</v>
      </c>
      <c r="K152">
        <f t="shared" si="75"/>
        <v>41</v>
      </c>
      <c r="L152">
        <f t="shared" si="76"/>
        <v>24.4</v>
      </c>
      <c r="M152" t="str">
        <f t="shared" si="77"/>
        <v>-</v>
      </c>
      <c r="N152" t="str">
        <f t="shared" si="78"/>
        <v>284:00</v>
      </c>
      <c r="O152" t="str">
        <f t="shared" si="79"/>
        <v>13:30</v>
      </c>
      <c r="P152" t="str">
        <f t="shared" si="80"/>
        <v/>
      </c>
    </row>
    <row r="153" spans="1:16" x14ac:dyDescent="0.25">
      <c r="A153">
        <f>'Raw Data'!A129</f>
        <v>41</v>
      </c>
      <c r="B153">
        <f>'Raw Data'!B129</f>
        <v>42</v>
      </c>
      <c r="C153">
        <f>'Raw Data'!J129</f>
        <v>19.5</v>
      </c>
      <c r="D153" t="str">
        <f>'Interpreted Data'!G129</f>
        <v>083:00</v>
      </c>
      <c r="E153" t="str">
        <f>'Interpreted Data'!H129</f>
        <v>-</v>
      </c>
      <c r="F153" t="str">
        <f>SUBSTITUTE('Raw Data'!K129," ",":",1)</f>
        <v>10:30</v>
      </c>
      <c r="G153">
        <f>'Interpreted Data'!N129</f>
        <v>3.5</v>
      </c>
      <c r="H153" t="str">
        <f>'Interpreted Data'!P129</f>
        <v/>
      </c>
      <c r="I153" t="str">
        <f t="shared" si="64"/>
        <v xml:space="preserve"> </v>
      </c>
      <c r="J153">
        <f t="shared" si="74"/>
        <v>41</v>
      </c>
      <c r="K153">
        <f t="shared" si="75"/>
        <v>42</v>
      </c>
      <c r="L153">
        <f t="shared" si="76"/>
        <v>19.5</v>
      </c>
      <c r="M153" t="str">
        <f t="shared" si="77"/>
        <v>083:00</v>
      </c>
      <c r="N153" t="str">
        <f t="shared" si="78"/>
        <v>-</v>
      </c>
      <c r="O153" t="str">
        <f t="shared" si="79"/>
        <v>10:30</v>
      </c>
      <c r="P153" t="str">
        <f t="shared" si="80"/>
        <v/>
      </c>
    </row>
    <row r="154" spans="1:16" x14ac:dyDescent="0.25">
      <c r="A154">
        <f>'Raw Data'!A130</f>
        <v>42</v>
      </c>
      <c r="B154">
        <f>'Raw Data'!B130</f>
        <v>43</v>
      </c>
      <c r="C154">
        <f>'Raw Data'!J130</f>
        <v>14.8</v>
      </c>
      <c r="D154" t="str">
        <f>'Interpreted Data'!G130</f>
        <v>-</v>
      </c>
      <c r="E154" t="str">
        <f>'Interpreted Data'!H130</f>
        <v>296:30</v>
      </c>
      <c r="F154" t="str">
        <f>SUBSTITUTE('Raw Data'!K130," ",":",1)</f>
        <v>14:30</v>
      </c>
      <c r="G154">
        <f>'Interpreted Data'!N130</f>
        <v>3.7</v>
      </c>
      <c r="H154" t="str">
        <f>'Interpreted Data'!P130</f>
        <v/>
      </c>
      <c r="I154" t="str">
        <f t="shared" si="64"/>
        <v xml:space="preserve"> </v>
      </c>
      <c r="J154">
        <f t="shared" si="74"/>
        <v>42</v>
      </c>
      <c r="K154">
        <f t="shared" si="75"/>
        <v>43</v>
      </c>
      <c r="L154">
        <f t="shared" si="76"/>
        <v>14.8</v>
      </c>
      <c r="M154" t="str">
        <f t="shared" si="77"/>
        <v>-</v>
      </c>
      <c r="N154" t="str">
        <f t="shared" si="78"/>
        <v>296:30</v>
      </c>
      <c r="O154" t="str">
        <f t="shared" si="79"/>
        <v>14:30</v>
      </c>
      <c r="P154" t="str">
        <f t="shared" si="80"/>
        <v/>
      </c>
    </row>
    <row r="155" spans="1:16" x14ac:dyDescent="0.25">
      <c r="A155">
        <f>'Raw Data'!A131</f>
        <v>43</v>
      </c>
      <c r="B155">
        <f>'Raw Data'!B131</f>
        <v>44</v>
      </c>
      <c r="C155">
        <f>'Raw Data'!J131</f>
        <v>49.3</v>
      </c>
      <c r="D155" t="str">
        <f>'Interpreted Data'!G131</f>
        <v>074:30</v>
      </c>
      <c r="E155" t="str">
        <f>'Interpreted Data'!H131</f>
        <v>-</v>
      </c>
      <c r="F155" t="str">
        <f>SUBSTITUTE('Raw Data'!K131," ",":",1)</f>
        <v>23:00</v>
      </c>
      <c r="G155">
        <f>'Interpreted Data'!N131</f>
        <v>19.2</v>
      </c>
      <c r="H155" t="str">
        <f>'Interpreted Data'!P131</f>
        <v/>
      </c>
      <c r="I155" t="str">
        <f t="shared" si="64"/>
        <v xml:space="preserve"> </v>
      </c>
      <c r="J155">
        <f t="shared" ref="J155:J190" si="81">A155</f>
        <v>43</v>
      </c>
      <c r="K155">
        <f t="shared" ref="K155:K190" si="82">B155</f>
        <v>44</v>
      </c>
      <c r="L155">
        <f t="shared" ref="L155:L190" si="83">C155</f>
        <v>49.3</v>
      </c>
      <c r="M155" t="str">
        <f t="shared" ref="M155:M190" si="84">D155</f>
        <v>074:30</v>
      </c>
      <c r="N155" t="str">
        <f t="shared" ref="N155:N190" si="85">E155</f>
        <v>-</v>
      </c>
      <c r="O155" t="str">
        <f t="shared" ref="O155:O190" si="86">IF(AND(D155="-",E155="-"),IF(1*SUBSTITUTE(F155,":",".")=-90,"DOWN",IF(1*SUBSTITUTE(F155,":",".")=90,"UP","no compass")),F155)</f>
        <v>23:00</v>
      </c>
      <c r="P155" t="str">
        <f t="shared" ref="P155:P190" si="87">H155</f>
        <v/>
      </c>
    </row>
    <row r="156" spans="1:16" x14ac:dyDescent="0.25">
      <c r="A156">
        <f>'Raw Data'!A132</f>
        <v>44</v>
      </c>
      <c r="B156">
        <f>'Raw Data'!B132</f>
        <v>45</v>
      </c>
      <c r="C156">
        <f>'Raw Data'!J132</f>
        <v>7.3</v>
      </c>
      <c r="D156" t="str">
        <f>'Interpreted Data'!G132</f>
        <v>-</v>
      </c>
      <c r="E156" t="str">
        <f>'Interpreted Data'!H132</f>
        <v>337:00</v>
      </c>
      <c r="F156" t="str">
        <f>SUBSTITUTE('Raw Data'!K132," ",":",1)</f>
        <v>5:00</v>
      </c>
      <c r="G156">
        <f>'Interpreted Data'!N132</f>
        <v>0.8</v>
      </c>
      <c r="H156" t="str">
        <f>'Interpreted Data'!P132</f>
        <v/>
      </c>
      <c r="I156" t="str">
        <f t="shared" si="64"/>
        <v xml:space="preserve"> </v>
      </c>
      <c r="J156">
        <f t="shared" si="81"/>
        <v>44</v>
      </c>
      <c r="K156">
        <f t="shared" si="82"/>
        <v>45</v>
      </c>
      <c r="L156">
        <f t="shared" si="83"/>
        <v>7.3</v>
      </c>
      <c r="M156" t="str">
        <f t="shared" si="84"/>
        <v>-</v>
      </c>
      <c r="N156" t="str">
        <f t="shared" si="85"/>
        <v>337:00</v>
      </c>
      <c r="O156" t="str">
        <f t="shared" si="86"/>
        <v>5:00</v>
      </c>
      <c r="P156" t="str">
        <f t="shared" si="87"/>
        <v/>
      </c>
    </row>
    <row r="157" spans="1:16" x14ac:dyDescent="0.25">
      <c r="A157">
        <f>'Raw Data'!A133</f>
        <v>45</v>
      </c>
      <c r="B157">
        <f>'Raw Data'!B133</f>
        <v>46</v>
      </c>
      <c r="C157">
        <f>'Raw Data'!J133</f>
        <v>16.2</v>
      </c>
      <c r="D157" t="str">
        <f>'Interpreted Data'!G133</f>
        <v>117:00</v>
      </c>
      <c r="E157" t="str">
        <f>'Interpreted Data'!H133</f>
        <v>-</v>
      </c>
      <c r="F157" t="str">
        <f>SUBSTITUTE('Raw Data'!K133," ",":",1)</f>
        <v>-31:00</v>
      </c>
      <c r="G157">
        <f>'Interpreted Data'!N133</f>
        <v>-8.3000000000000007</v>
      </c>
      <c r="H157" t="str">
        <f>'Interpreted Data'!P133</f>
        <v/>
      </c>
      <c r="I157" t="str">
        <f t="shared" si="64"/>
        <v xml:space="preserve"> </v>
      </c>
      <c r="J157">
        <f t="shared" si="81"/>
        <v>45</v>
      </c>
      <c r="K157">
        <f t="shared" si="82"/>
        <v>46</v>
      </c>
      <c r="L157">
        <f t="shared" si="83"/>
        <v>16.2</v>
      </c>
      <c r="M157" t="str">
        <f t="shared" si="84"/>
        <v>117:00</v>
      </c>
      <c r="N157" t="str">
        <f t="shared" si="85"/>
        <v>-</v>
      </c>
      <c r="O157" t="str">
        <f t="shared" si="86"/>
        <v>-31:00</v>
      </c>
      <c r="P157" t="str">
        <f t="shared" si="87"/>
        <v/>
      </c>
    </row>
    <row r="158" spans="1:16" x14ac:dyDescent="0.25">
      <c r="A158">
        <f>'Raw Data'!A134</f>
        <v>46</v>
      </c>
      <c r="B158">
        <f>'Raw Data'!B134</f>
        <v>47</v>
      </c>
      <c r="C158">
        <f>'Raw Data'!J134</f>
        <v>35</v>
      </c>
      <c r="D158" t="str">
        <f>'Interpreted Data'!G134</f>
        <v>-</v>
      </c>
      <c r="E158" t="str">
        <f>'Interpreted Data'!H134</f>
        <v>-</v>
      </c>
      <c r="F158" t="str">
        <f>SUBSTITUTE('Raw Data'!K134," ",":",1)</f>
        <v>-90:00</v>
      </c>
      <c r="G158">
        <f>'Interpreted Data'!N134</f>
        <v>-35</v>
      </c>
      <c r="H158" t="str">
        <f>'Interpreted Data'!P134</f>
        <v>46 marked by candle 4' beyond lip of Black Hole</v>
      </c>
      <c r="I158" t="str">
        <f t="shared" si="64"/>
        <v xml:space="preserve"> </v>
      </c>
      <c r="J158">
        <f t="shared" si="81"/>
        <v>46</v>
      </c>
      <c r="K158">
        <f t="shared" si="82"/>
        <v>47</v>
      </c>
      <c r="L158">
        <f t="shared" si="83"/>
        <v>35</v>
      </c>
      <c r="M158" t="str">
        <f t="shared" si="84"/>
        <v>-</v>
      </c>
      <c r="N158" t="str">
        <f t="shared" si="85"/>
        <v>-</v>
      </c>
      <c r="O158" t="str">
        <f t="shared" si="86"/>
        <v>DOWN</v>
      </c>
      <c r="P158" t="str">
        <f t="shared" si="87"/>
        <v>46 marked by candle 4' beyond lip of Black Hole</v>
      </c>
    </row>
    <row r="159" spans="1:16" x14ac:dyDescent="0.25">
      <c r="A159">
        <f>'Raw Data'!A135</f>
        <v>47</v>
      </c>
      <c r="B159">
        <f>'Raw Data'!B135</f>
        <v>48</v>
      </c>
      <c r="C159">
        <f>'Raw Data'!J135</f>
        <v>23.6</v>
      </c>
      <c r="D159" t="str">
        <f>'Interpreted Data'!G135</f>
        <v>-</v>
      </c>
      <c r="E159" t="str">
        <f>'Interpreted Data'!H135</f>
        <v>308:00</v>
      </c>
      <c r="F159" t="str">
        <f>SUBSTITUTE('Raw Data'!K135," ",":",1)</f>
        <v>8:00</v>
      </c>
      <c r="G159">
        <f>'Interpreted Data'!N135</f>
        <v>3.3</v>
      </c>
      <c r="H159" t="str">
        <f>'Interpreted Data'!P135</f>
        <v/>
      </c>
      <c r="I159" t="str">
        <f t="shared" si="64"/>
        <v xml:space="preserve"> </v>
      </c>
      <c r="J159">
        <f t="shared" si="81"/>
        <v>47</v>
      </c>
      <c r="K159">
        <f t="shared" si="82"/>
        <v>48</v>
      </c>
      <c r="L159">
        <f t="shared" si="83"/>
        <v>23.6</v>
      </c>
      <c r="M159" t="str">
        <f t="shared" si="84"/>
        <v>-</v>
      </c>
      <c r="N159" t="str">
        <f t="shared" si="85"/>
        <v>308:00</v>
      </c>
      <c r="O159" t="str">
        <f t="shared" si="86"/>
        <v>8:00</v>
      </c>
      <c r="P159" t="str">
        <f t="shared" si="87"/>
        <v/>
      </c>
    </row>
    <row r="160" spans="1:16" x14ac:dyDescent="0.25">
      <c r="A160">
        <f>'Raw Data'!A136</f>
        <v>48</v>
      </c>
      <c r="B160">
        <f>'Raw Data'!B136</f>
        <v>49</v>
      </c>
      <c r="C160">
        <f>'Raw Data'!J136</f>
        <v>27.5</v>
      </c>
      <c r="D160" t="str">
        <f>'Interpreted Data'!G136</f>
        <v>163:30</v>
      </c>
      <c r="E160" t="str">
        <f>'Interpreted Data'!H136</f>
        <v>-</v>
      </c>
      <c r="F160" t="str">
        <f>SUBSTITUTE('Raw Data'!K136," ",":",1)</f>
        <v>-34:30</v>
      </c>
      <c r="G160">
        <f>'Interpreted Data'!N136</f>
        <v>-15.6</v>
      </c>
      <c r="H160" t="str">
        <f>'Interpreted Data'!P136</f>
        <v/>
      </c>
      <c r="I160" t="str">
        <f t="shared" si="64"/>
        <v xml:space="preserve"> </v>
      </c>
      <c r="J160">
        <f t="shared" si="81"/>
        <v>48</v>
      </c>
      <c r="K160">
        <f t="shared" si="82"/>
        <v>49</v>
      </c>
      <c r="L160">
        <f t="shared" si="83"/>
        <v>27.5</v>
      </c>
      <c r="M160" t="str">
        <f t="shared" si="84"/>
        <v>163:30</v>
      </c>
      <c r="N160" t="str">
        <f t="shared" si="85"/>
        <v>-</v>
      </c>
      <c r="O160" t="str">
        <f t="shared" si="86"/>
        <v>-34:30</v>
      </c>
      <c r="P160" t="str">
        <f t="shared" si="87"/>
        <v/>
      </c>
    </row>
    <row r="161" spans="1:16" x14ac:dyDescent="0.25">
      <c r="A161">
        <f>'Raw Data'!A137</f>
        <v>49</v>
      </c>
      <c r="B161">
        <f>'Raw Data'!B137</f>
        <v>50</v>
      </c>
      <c r="C161">
        <f>'Raw Data'!J137</f>
        <v>23.5</v>
      </c>
      <c r="D161" t="str">
        <f>'Interpreted Data'!G137</f>
        <v>-</v>
      </c>
      <c r="E161" t="str">
        <f>'Interpreted Data'!H137</f>
        <v>020:00</v>
      </c>
      <c r="F161" t="str">
        <f>SUBSTITUTE('Raw Data'!K137," ",":",1)</f>
        <v>-5:00</v>
      </c>
      <c r="G161">
        <f>'Interpreted Data'!N137</f>
        <v>-2.7</v>
      </c>
      <c r="H161" t="str">
        <f>'Interpreted Data'!P137</f>
        <v/>
      </c>
      <c r="I161" t="str">
        <f t="shared" si="64"/>
        <v xml:space="preserve"> </v>
      </c>
      <c r="J161">
        <f t="shared" si="81"/>
        <v>49</v>
      </c>
      <c r="K161">
        <f t="shared" si="82"/>
        <v>50</v>
      </c>
      <c r="L161">
        <f t="shared" si="83"/>
        <v>23.5</v>
      </c>
      <c r="M161" t="str">
        <f t="shared" si="84"/>
        <v>-</v>
      </c>
      <c r="N161" t="str">
        <f t="shared" si="85"/>
        <v>020:00</v>
      </c>
      <c r="O161" t="str">
        <f t="shared" si="86"/>
        <v>-5:00</v>
      </c>
      <c r="P161" t="str">
        <f t="shared" si="87"/>
        <v/>
      </c>
    </row>
    <row r="162" spans="1:16" x14ac:dyDescent="0.25">
      <c r="A162">
        <f>'Raw Data'!A138</f>
        <v>50</v>
      </c>
      <c r="B162">
        <f>'Raw Data'!B138</f>
        <v>51</v>
      </c>
      <c r="C162">
        <f>'Raw Data'!J138</f>
        <v>16.899999999999999</v>
      </c>
      <c r="D162" t="str">
        <f>'Interpreted Data'!G138</f>
        <v>186:00</v>
      </c>
      <c r="E162" t="str">
        <f>'Interpreted Data'!H138</f>
        <v>-</v>
      </c>
      <c r="F162" t="str">
        <f>SUBSTITUTE('Raw Data'!K138," ",":",1)</f>
        <v>-17:30</v>
      </c>
      <c r="G162">
        <f>'Interpreted Data'!N138</f>
        <v>-5.0999999999999996</v>
      </c>
      <c r="H162" t="str">
        <f>'Interpreted Data'!P138</f>
        <v>"Dry" passage starts 3' back.</v>
      </c>
      <c r="I162" t="str">
        <f t="shared" si="64"/>
        <v xml:space="preserve"> </v>
      </c>
      <c r="J162">
        <f t="shared" si="81"/>
        <v>50</v>
      </c>
      <c r="K162">
        <f t="shared" si="82"/>
        <v>51</v>
      </c>
      <c r="L162">
        <f t="shared" si="83"/>
        <v>16.899999999999999</v>
      </c>
      <c r="M162" t="str">
        <f t="shared" si="84"/>
        <v>186:00</v>
      </c>
      <c r="N162" t="str">
        <f t="shared" si="85"/>
        <v>-</v>
      </c>
      <c r="O162" t="str">
        <f t="shared" si="86"/>
        <v>-17:30</v>
      </c>
      <c r="P162" t="str">
        <f t="shared" si="87"/>
        <v>"Dry" passage starts 3' back.</v>
      </c>
    </row>
    <row r="163" spans="1:16" x14ac:dyDescent="0.25">
      <c r="A163">
        <f>'Raw Data'!A139</f>
        <v>51</v>
      </c>
      <c r="B163">
        <f>'Raw Data'!B139</f>
        <v>52</v>
      </c>
      <c r="C163">
        <f>'Raw Data'!J139</f>
        <v>49.5</v>
      </c>
      <c r="D163" t="str">
        <f>'Interpreted Data'!G139</f>
        <v>-</v>
      </c>
      <c r="E163" t="str">
        <f>'Interpreted Data'!H139</f>
        <v>102:30</v>
      </c>
      <c r="F163" t="str">
        <f>SUBSTITUTE('Raw Data'!K139," ",":",1)</f>
        <v>-20:30</v>
      </c>
      <c r="G163">
        <f>'Interpreted Data'!N139</f>
        <v>-17.3</v>
      </c>
      <c r="H163" t="str">
        <f>'Interpreted Data'!P139</f>
        <v/>
      </c>
      <c r="I163" t="str">
        <f t="shared" si="64"/>
        <v xml:space="preserve"> </v>
      </c>
      <c r="J163">
        <f t="shared" si="81"/>
        <v>51</v>
      </c>
      <c r="K163">
        <f t="shared" si="82"/>
        <v>52</v>
      </c>
      <c r="L163">
        <f t="shared" si="83"/>
        <v>49.5</v>
      </c>
      <c r="M163" t="str">
        <f t="shared" si="84"/>
        <v>-</v>
      </c>
      <c r="N163" t="str">
        <f t="shared" si="85"/>
        <v>102:30</v>
      </c>
      <c r="O163" t="str">
        <f t="shared" si="86"/>
        <v>-20:30</v>
      </c>
      <c r="P163" t="str">
        <f t="shared" si="87"/>
        <v/>
      </c>
    </row>
    <row r="164" spans="1:16" x14ac:dyDescent="0.25">
      <c r="A164">
        <f>'Raw Data'!A140</f>
        <v>52</v>
      </c>
      <c r="B164">
        <f>'Raw Data'!B140</f>
        <v>53</v>
      </c>
      <c r="C164">
        <f>'Raw Data'!J140</f>
        <v>51.2</v>
      </c>
      <c r="D164" t="str">
        <f>'Interpreted Data'!G140</f>
        <v>264:00</v>
      </c>
      <c r="E164" t="str">
        <f>'Interpreted Data'!H140</f>
        <v>-</v>
      </c>
      <c r="F164" t="str">
        <f>SUBSTITUTE('Raw Data'!K140," ",":",1)</f>
        <v>-12:30</v>
      </c>
      <c r="G164">
        <f>'Interpreted Data'!N140</f>
        <v>-11.1</v>
      </c>
      <c r="H164" t="str">
        <f>'Interpreted Data'!P140</f>
        <v/>
      </c>
      <c r="I164" t="str">
        <f t="shared" si="64"/>
        <v xml:space="preserve"> </v>
      </c>
      <c r="J164">
        <f t="shared" si="81"/>
        <v>52</v>
      </c>
      <c r="K164">
        <f t="shared" si="82"/>
        <v>53</v>
      </c>
      <c r="L164">
        <f t="shared" si="83"/>
        <v>51.2</v>
      </c>
      <c r="M164" t="str">
        <f t="shared" si="84"/>
        <v>264:00</v>
      </c>
      <c r="N164" t="str">
        <f t="shared" si="85"/>
        <v>-</v>
      </c>
      <c r="O164" t="str">
        <f t="shared" si="86"/>
        <v>-12:30</v>
      </c>
      <c r="P164" t="str">
        <f t="shared" si="87"/>
        <v/>
      </c>
    </row>
    <row r="165" spans="1:16" x14ac:dyDescent="0.25">
      <c r="J165" t="str">
        <f>$J$2</f>
        <v>data diving from to tape compass backcompass depthchange ignoreall</v>
      </c>
    </row>
    <row r="166" spans="1:16" x14ac:dyDescent="0.25">
      <c r="A166">
        <f>'Raw Data'!A141</f>
        <v>53</v>
      </c>
      <c r="B166">
        <f>'Raw Data'!B141</f>
        <v>54</v>
      </c>
      <c r="C166">
        <f>'Raw Data'!J141</f>
        <v>14.2</v>
      </c>
      <c r="D166" t="str">
        <f>'Interpreted Data'!G141</f>
        <v>175:00</v>
      </c>
      <c r="E166" t="str">
        <f>'Interpreted Data'!H141</f>
        <v>-</v>
      </c>
      <c r="F166" t="str">
        <f>SUBSTITUTE('Raw Data'!K141," ",":",1)</f>
        <v>fall:3.5 feet</v>
      </c>
      <c r="G166">
        <f>'Interpreted Data'!N141</f>
        <v>-3.5</v>
      </c>
      <c r="H166" t="str">
        <f>'Interpreted Data'!P141</f>
        <v>Dry passage enters 2' on North. 53 is marked by a candle 1' below (.) on roof. 54 is H2O level in sump.</v>
      </c>
      <c r="I166" t="str">
        <f t="shared" si="64"/>
        <v xml:space="preserve"> </v>
      </c>
      <c r="J166">
        <f t="shared" si="81"/>
        <v>53</v>
      </c>
      <c r="K166">
        <f t="shared" si="82"/>
        <v>54</v>
      </c>
      <c r="L166">
        <f t="shared" si="83"/>
        <v>14.2</v>
      </c>
      <c r="M166" t="str">
        <f t="shared" si="84"/>
        <v>175:00</v>
      </c>
      <c r="N166" t="str">
        <f t="shared" si="85"/>
        <v>-</v>
      </c>
      <c r="O166">
        <f>G166</f>
        <v>-3.5</v>
      </c>
      <c r="P166" t="str">
        <f t="shared" si="87"/>
        <v>Dry passage enters 2' on North. 53 is marked by a candle 1' below (.) on roof. 54 is H2O level in sump.</v>
      </c>
    </row>
    <row r="167" spans="1:16" x14ac:dyDescent="0.25">
      <c r="A167">
        <f>'Raw Data'!A142</f>
        <v>54</v>
      </c>
      <c r="B167">
        <f>'Raw Data'!B142</f>
        <v>0</v>
      </c>
      <c r="C167">
        <f>'Raw Data'!J142</f>
        <v>0</v>
      </c>
      <c r="D167" t="str">
        <f>'Interpreted Data'!G142</f>
        <v>-</v>
      </c>
      <c r="E167" t="str">
        <f>'Interpreted Data'!H142</f>
        <v>-</v>
      </c>
      <c r="F167" t="str">
        <f>SUBSTITUTE('Raw Data'!K142," ",":",1)</f>
        <v/>
      </c>
      <c r="G167" t="str">
        <f>'Interpreted Data'!N142</f>
        <v/>
      </c>
      <c r="H167" t="str">
        <f>'Interpreted Data'!P142</f>
        <v>Closed on levels to 1.9 feet.  Not bad! Total 2,208 (? faint)</v>
      </c>
      <c r="I167" t="str">
        <f t="shared" si="64"/>
        <v xml:space="preserve"> </v>
      </c>
      <c r="J167" t="s">
        <v>77</v>
      </c>
      <c r="K167">
        <f>A167</f>
        <v>54</v>
      </c>
      <c r="L167">
        <f t="shared" si="83"/>
        <v>0</v>
      </c>
      <c r="M167" t="str">
        <f t="shared" si="84"/>
        <v>-</v>
      </c>
      <c r="N167" t="str">
        <f t="shared" si="85"/>
        <v>-</v>
      </c>
      <c r="O167" t="e">
        <f t="shared" si="86"/>
        <v>#VALUE!</v>
      </c>
      <c r="P167" t="str">
        <f t="shared" si="87"/>
        <v>Closed on levels to 1.9 feet.  Not bad! Total 2,208 (? faint)</v>
      </c>
    </row>
    <row r="169" spans="1:16" x14ac:dyDescent="0.25">
      <c r="A169" t="str">
        <f>'Raw Data'!A144</f>
        <v>Nov. 23rd '52</v>
      </c>
      <c r="B169" t="str">
        <f>'Raw Data'!B144</f>
        <v>Jack Broadley</v>
      </c>
      <c r="C169" t="str">
        <f>'Raw Data'!C144</f>
        <v>Short Dry Way - Entrance</v>
      </c>
      <c r="D169" t="str">
        <f>'Interpreted Data'!G144</f>
        <v>-</v>
      </c>
      <c r="E169" t="str">
        <f>'Interpreted Data'!H144</f>
        <v>-</v>
      </c>
      <c r="F169" t="str">
        <f>SUBSTITUTE('Raw Data'!K144," ",":",1)</f>
        <v/>
      </c>
      <c r="G169" t="str">
        <f>'Interpreted Data'!N144</f>
        <v/>
      </c>
      <c r="H169" t="str">
        <f>'Interpreted Data'!P144</f>
        <v/>
      </c>
      <c r="I169" t="str">
        <f t="shared" si="64"/>
        <v xml:space="preserve"> </v>
      </c>
      <c r="J169" t="str">
        <f t="shared" si="81"/>
        <v>Nov. 23rd '52</v>
      </c>
      <c r="K169" t="str">
        <f t="shared" si="82"/>
        <v>Jack Broadley</v>
      </c>
      <c r="L169" t="str">
        <f t="shared" si="83"/>
        <v>Short Dry Way - Entrance</v>
      </c>
      <c r="M169" t="str">
        <f t="shared" si="84"/>
        <v>-</v>
      </c>
      <c r="N169" t="str">
        <f t="shared" si="85"/>
        <v>-</v>
      </c>
      <c r="O169" t="e">
        <f t="shared" si="86"/>
        <v>#VALUE!</v>
      </c>
      <c r="P169" t="str">
        <f t="shared" si="87"/>
        <v/>
      </c>
    </row>
    <row r="170" spans="1:16" x14ac:dyDescent="0.25">
      <c r="J170" t="str">
        <f>$J$1</f>
        <v>data normal from to tape compass backcompass clino ignoreall</v>
      </c>
    </row>
    <row r="171" spans="1:16" x14ac:dyDescent="0.25">
      <c r="A171" t="str">
        <f>'Raw Data'!A145</f>
        <v>EC</v>
      </c>
      <c r="B171" t="str">
        <f>'Raw Data'!B145</f>
        <v>EB</v>
      </c>
      <c r="C171">
        <f>'Raw Data'!J145</f>
        <v>12</v>
      </c>
      <c r="D171" t="str">
        <f>'Interpreted Data'!G145</f>
        <v>-</v>
      </c>
      <c r="E171" t="str">
        <f>'Interpreted Data'!H145</f>
        <v>103:00</v>
      </c>
      <c r="F171" t="str">
        <f>SUBSTITUTE('Raw Data'!K145," ",":",1)</f>
        <v>-6:00</v>
      </c>
      <c r="G171">
        <f>'Interpreted Data'!N145</f>
        <v>-1.3</v>
      </c>
      <c r="H171" t="str">
        <f>'Interpreted Data'!P145</f>
        <v>EC is on dimple in projecting rock 10' below entrance on E.</v>
      </c>
      <c r="I171" t="str">
        <f t="shared" si="64"/>
        <v xml:space="preserve"> </v>
      </c>
      <c r="J171" t="str">
        <f t="shared" si="81"/>
        <v>EC</v>
      </c>
      <c r="K171" t="str">
        <f t="shared" si="82"/>
        <v>EB</v>
      </c>
      <c r="L171">
        <f t="shared" si="83"/>
        <v>12</v>
      </c>
      <c r="M171" t="str">
        <f t="shared" si="84"/>
        <v>-</v>
      </c>
      <c r="N171" t="str">
        <f t="shared" si="85"/>
        <v>103:00</v>
      </c>
      <c r="O171" t="str">
        <f t="shared" si="86"/>
        <v>-6:00</v>
      </c>
      <c r="P171" t="str">
        <f t="shared" si="87"/>
        <v>EC is on dimple in projecting rock 10' below entrance on E.</v>
      </c>
    </row>
    <row r="172" spans="1:16" x14ac:dyDescent="0.25">
      <c r="A172" t="str">
        <f>'Raw Data'!A146</f>
        <v>EB</v>
      </c>
      <c r="B172" t="str">
        <f>'Raw Data'!B146</f>
        <v>EA</v>
      </c>
      <c r="C172">
        <f>'Raw Data'!J146</f>
        <v>3</v>
      </c>
      <c r="D172" t="str">
        <f>'Interpreted Data'!G146</f>
        <v>011:00</v>
      </c>
      <c r="E172" t="str">
        <f>'Interpreted Data'!H146</f>
        <v>-</v>
      </c>
      <c r="F172" t="str">
        <f>SUBSTITUTE('Raw Data'!K146," ",":",1)</f>
        <v>-6:00</v>
      </c>
      <c r="G172">
        <f>'Interpreted Data'!N146</f>
        <v>-0.3</v>
      </c>
      <c r="H172" t="str">
        <f>'Interpreted Data'!P146</f>
        <v/>
      </c>
      <c r="I172" t="str">
        <f t="shared" si="64"/>
        <v xml:space="preserve"> </v>
      </c>
      <c r="J172" t="str">
        <f t="shared" si="81"/>
        <v>EB</v>
      </c>
      <c r="K172" t="str">
        <f t="shared" si="82"/>
        <v>EA</v>
      </c>
      <c r="L172">
        <f t="shared" si="83"/>
        <v>3</v>
      </c>
      <c r="M172" t="str">
        <f t="shared" si="84"/>
        <v>011:00</v>
      </c>
      <c r="N172" t="str">
        <f t="shared" si="85"/>
        <v>-</v>
      </c>
      <c r="O172" t="str">
        <f t="shared" si="86"/>
        <v>-6:00</v>
      </c>
      <c r="P172" t="str">
        <f t="shared" si="87"/>
        <v/>
      </c>
    </row>
    <row r="173" spans="1:16" x14ac:dyDescent="0.25">
      <c r="A173" t="str">
        <f>'Raw Data'!A147</f>
        <v>EA</v>
      </c>
      <c r="B173" t="str">
        <f>'Raw Data'!B147</f>
        <v>DZ</v>
      </c>
      <c r="C173">
        <f>'Raw Data'!J147</f>
        <v>6</v>
      </c>
      <c r="D173" t="str">
        <f>'Interpreted Data'!G147</f>
        <v>-</v>
      </c>
      <c r="E173" t="str">
        <f>'Interpreted Data'!H147</f>
        <v>-</v>
      </c>
      <c r="F173" t="str">
        <f>SUBSTITUTE('Raw Data'!K147," ",":",1)</f>
        <v>-90:00</v>
      </c>
      <c r="G173">
        <f>'Interpreted Data'!N147</f>
        <v>-6</v>
      </c>
      <c r="H173" t="str">
        <f>'Interpreted Data'!P147</f>
        <v>(sketch from Ent. EC-DO)</v>
      </c>
      <c r="I173" t="str">
        <f t="shared" si="64"/>
        <v xml:space="preserve"> </v>
      </c>
      <c r="J173" t="str">
        <f t="shared" si="81"/>
        <v>EA</v>
      </c>
      <c r="K173" t="str">
        <f t="shared" si="82"/>
        <v>DZ</v>
      </c>
      <c r="L173">
        <f t="shared" si="83"/>
        <v>6</v>
      </c>
      <c r="M173" t="str">
        <f t="shared" si="84"/>
        <v>-</v>
      </c>
      <c r="N173" t="str">
        <f t="shared" si="85"/>
        <v>-</v>
      </c>
      <c r="O173" t="str">
        <f t="shared" si="86"/>
        <v>DOWN</v>
      </c>
      <c r="P173" t="str">
        <f t="shared" si="87"/>
        <v>(sketch from Ent. EC-DO)</v>
      </c>
    </row>
    <row r="174" spans="1:16" x14ac:dyDescent="0.25">
      <c r="A174" t="str">
        <f>'Raw Data'!A148</f>
        <v>DZ</v>
      </c>
      <c r="B174" t="str">
        <f>'Raw Data'!B148</f>
        <v>DY</v>
      </c>
      <c r="C174">
        <f>'Raw Data'!J148</f>
        <v>17.5</v>
      </c>
      <c r="D174" t="str">
        <f>'Interpreted Data'!G148</f>
        <v>-</v>
      </c>
      <c r="E174" t="str">
        <f>'Interpreted Data'!H148</f>
        <v>216:00</v>
      </c>
      <c r="F174" t="str">
        <f>SUBSTITUTE('Raw Data'!K148," ",":",1)</f>
        <v>8:00</v>
      </c>
      <c r="G174">
        <f>'Interpreted Data'!N148</f>
        <v>2.4</v>
      </c>
      <c r="H174" t="str">
        <f>'Interpreted Data'!P148</f>
        <v/>
      </c>
      <c r="I174" t="str">
        <f t="shared" si="64"/>
        <v xml:space="preserve"> </v>
      </c>
      <c r="J174" t="str">
        <f t="shared" si="81"/>
        <v>DZ</v>
      </c>
      <c r="K174" t="str">
        <f t="shared" si="82"/>
        <v>DY</v>
      </c>
      <c r="L174">
        <f t="shared" si="83"/>
        <v>17.5</v>
      </c>
      <c r="M174" t="str">
        <f t="shared" si="84"/>
        <v>-</v>
      </c>
      <c r="N174" t="str">
        <f t="shared" si="85"/>
        <v>216:00</v>
      </c>
      <c r="O174" t="str">
        <f t="shared" si="86"/>
        <v>8:00</v>
      </c>
      <c r="P174" t="str">
        <f t="shared" si="87"/>
        <v/>
      </c>
    </row>
    <row r="175" spans="1:16" x14ac:dyDescent="0.25">
      <c r="A175" t="str">
        <f>'Raw Data'!A149</f>
        <v>DY</v>
      </c>
      <c r="B175" t="str">
        <f>'Raw Data'!B149</f>
        <v>DX</v>
      </c>
      <c r="C175">
        <f>'Raw Data'!J149</f>
        <v>4.9000000000000004</v>
      </c>
      <c r="D175" t="str">
        <f>'Interpreted Data'!G149</f>
        <v>344:30</v>
      </c>
      <c r="E175" t="str">
        <f>'Interpreted Data'!H149</f>
        <v>-</v>
      </c>
      <c r="F175" t="str">
        <f>SUBSTITUTE('Raw Data'!K149," ",":",1)</f>
        <v>6:00</v>
      </c>
      <c r="G175">
        <f>'Interpreted Data'!N149</f>
        <v>0.5</v>
      </c>
      <c r="H175" t="str">
        <f>'Interpreted Data'!P149</f>
        <v/>
      </c>
      <c r="I175" t="str">
        <f t="shared" si="64"/>
        <v xml:space="preserve"> </v>
      </c>
      <c r="J175" t="str">
        <f t="shared" si="81"/>
        <v>DY</v>
      </c>
      <c r="K175" t="str">
        <f t="shared" si="82"/>
        <v>DX</v>
      </c>
      <c r="L175">
        <f t="shared" si="83"/>
        <v>4.9000000000000004</v>
      </c>
      <c r="M175" t="str">
        <f t="shared" si="84"/>
        <v>344:30</v>
      </c>
      <c r="N175" t="str">
        <f t="shared" si="85"/>
        <v>-</v>
      </c>
      <c r="O175" t="str">
        <f t="shared" si="86"/>
        <v>6:00</v>
      </c>
      <c r="P175" t="str">
        <f t="shared" si="87"/>
        <v/>
      </c>
    </row>
    <row r="176" spans="1:16" x14ac:dyDescent="0.25">
      <c r="A176" t="str">
        <f>'Raw Data'!A150</f>
        <v>DX</v>
      </c>
      <c r="B176" t="str">
        <f>'Raw Data'!B150</f>
        <v>DW</v>
      </c>
      <c r="C176">
        <f>'Raw Data'!J150</f>
        <v>23.5</v>
      </c>
      <c r="D176" t="str">
        <f>'Interpreted Data'!G150</f>
        <v>-</v>
      </c>
      <c r="E176" t="str">
        <f>'Interpreted Data'!H150</f>
        <v>162:00</v>
      </c>
      <c r="F176" t="str">
        <f>SUBSTITUTE('Raw Data'!K150," ",":",1)</f>
        <v>-12:00</v>
      </c>
      <c r="G176">
        <f>'Interpreted Data'!N150</f>
        <v>-4.9000000000000004</v>
      </c>
      <c r="H176" t="str">
        <f>'Interpreted Data'!P150</f>
        <v/>
      </c>
      <c r="I176" t="str">
        <f t="shared" si="64"/>
        <v xml:space="preserve"> </v>
      </c>
      <c r="J176" t="str">
        <f t="shared" si="81"/>
        <v>DX</v>
      </c>
      <c r="K176" t="str">
        <f t="shared" si="82"/>
        <v>DW</v>
      </c>
      <c r="L176">
        <f t="shared" si="83"/>
        <v>23.5</v>
      </c>
      <c r="M176" t="str">
        <f t="shared" si="84"/>
        <v>-</v>
      </c>
      <c r="N176" t="str">
        <f t="shared" si="85"/>
        <v>162:00</v>
      </c>
      <c r="O176" t="str">
        <f t="shared" si="86"/>
        <v>-12:00</v>
      </c>
      <c r="P176" t="str">
        <f t="shared" si="87"/>
        <v/>
      </c>
    </row>
    <row r="177" spans="1:16" x14ac:dyDescent="0.25">
      <c r="A177" t="str">
        <f>'Raw Data'!A151</f>
        <v>DW</v>
      </c>
      <c r="B177" t="str">
        <f>'Raw Data'!B151</f>
        <v>DV</v>
      </c>
      <c r="C177">
        <f>'Raw Data'!J151</f>
        <v>8.1999999999999993</v>
      </c>
      <c r="D177" t="str">
        <f>'Interpreted Data'!G151</f>
        <v>259:00</v>
      </c>
      <c r="E177" t="str">
        <f>'Interpreted Data'!H151</f>
        <v>-</v>
      </c>
      <c r="F177" t="str">
        <f>SUBSTITUTE('Raw Data'!K151," ",":",1)</f>
        <v>-21:00</v>
      </c>
      <c r="G177">
        <f>'Interpreted Data'!N151</f>
        <v>-3</v>
      </c>
      <c r="H177" t="str">
        <f>'Interpreted Data'!P151</f>
        <v/>
      </c>
      <c r="I177" t="str">
        <f t="shared" si="64"/>
        <v xml:space="preserve"> </v>
      </c>
      <c r="J177" t="str">
        <f t="shared" si="81"/>
        <v>DW</v>
      </c>
      <c r="K177" t="str">
        <f t="shared" si="82"/>
        <v>DV</v>
      </c>
      <c r="L177">
        <f t="shared" si="83"/>
        <v>8.1999999999999993</v>
      </c>
      <c r="M177" t="str">
        <f t="shared" si="84"/>
        <v>259:00</v>
      </c>
      <c r="N177" t="str">
        <f t="shared" si="85"/>
        <v>-</v>
      </c>
      <c r="O177" t="str">
        <f t="shared" si="86"/>
        <v>-21:00</v>
      </c>
      <c r="P177" t="str">
        <f t="shared" si="87"/>
        <v/>
      </c>
    </row>
    <row r="178" spans="1:16" x14ac:dyDescent="0.25">
      <c r="A178" t="str">
        <f>'Raw Data'!A152</f>
        <v>DV</v>
      </c>
      <c r="B178" t="str">
        <f>'Raw Data'!B152</f>
        <v>DQ</v>
      </c>
      <c r="C178">
        <f>'Raw Data'!J152</f>
        <v>9</v>
      </c>
      <c r="D178" t="str">
        <f>'Interpreted Data'!G152</f>
        <v>-</v>
      </c>
      <c r="E178" t="str">
        <f>'Interpreted Data'!H152</f>
        <v>119:00</v>
      </c>
      <c r="F178" t="str">
        <f>SUBSTITUTE('Raw Data'!K152," ",":",1)</f>
        <v>-17:00</v>
      </c>
      <c r="G178">
        <f>'Interpreted Data'!N152</f>
        <v>-2.6</v>
      </c>
      <c r="H178" t="str">
        <f>'Interpreted Data'!P152</f>
        <v>(sketch of Short Dry Way DN-DH)</v>
      </c>
      <c r="I178" t="str">
        <f t="shared" si="64"/>
        <v xml:space="preserve"> </v>
      </c>
      <c r="J178" t="str">
        <f t="shared" si="81"/>
        <v>DV</v>
      </c>
      <c r="K178" t="str">
        <f t="shared" si="82"/>
        <v>DQ</v>
      </c>
      <c r="L178">
        <f t="shared" si="83"/>
        <v>9</v>
      </c>
      <c r="M178" t="str">
        <f t="shared" si="84"/>
        <v>-</v>
      </c>
      <c r="N178" t="str">
        <f t="shared" si="85"/>
        <v>119:00</v>
      </c>
      <c r="O178" t="str">
        <f t="shared" si="86"/>
        <v>-17:00</v>
      </c>
      <c r="P178" t="str">
        <f t="shared" si="87"/>
        <v>(sketch of Short Dry Way DN-DH)</v>
      </c>
    </row>
    <row r="179" spans="1:16" x14ac:dyDescent="0.25">
      <c r="A179" t="str">
        <f>'Raw Data'!A153</f>
        <v>DQ</v>
      </c>
      <c r="B179" t="str">
        <f>'Raw Data'!B153</f>
        <v>DP</v>
      </c>
      <c r="C179">
        <f>'Raw Data'!J153</f>
        <v>0.5</v>
      </c>
      <c r="D179" t="str">
        <f>'Interpreted Data'!G153</f>
        <v>-</v>
      </c>
      <c r="E179" t="str">
        <f>'Interpreted Data'!H153</f>
        <v>-</v>
      </c>
      <c r="F179" t="str">
        <f>SUBSTITUTE('Raw Data'!K153," ",":",1)</f>
        <v>-90:00</v>
      </c>
      <c r="G179">
        <f>'Interpreted Data'!N153</f>
        <v>-0.5</v>
      </c>
      <c r="H179" t="str">
        <f>'Interpreted Data'!P153</f>
        <v/>
      </c>
      <c r="I179" t="str">
        <f t="shared" si="64"/>
        <v xml:space="preserve"> </v>
      </c>
      <c r="J179" t="str">
        <f t="shared" si="81"/>
        <v>DQ</v>
      </c>
      <c r="K179" t="str">
        <f t="shared" si="82"/>
        <v>DP</v>
      </c>
      <c r="L179">
        <f t="shared" si="83"/>
        <v>0.5</v>
      </c>
      <c r="M179" t="str">
        <f t="shared" si="84"/>
        <v>-</v>
      </c>
      <c r="N179" t="str">
        <f t="shared" si="85"/>
        <v>-</v>
      </c>
      <c r="O179" t="str">
        <f t="shared" si="86"/>
        <v>DOWN</v>
      </c>
      <c r="P179" t="str">
        <f t="shared" si="87"/>
        <v/>
      </c>
    </row>
    <row r="180" spans="1:16" x14ac:dyDescent="0.25">
      <c r="A180" t="str">
        <f>'Raw Data'!A154</f>
        <v>DP</v>
      </c>
      <c r="B180" t="str">
        <f>'Raw Data'!B154</f>
        <v>DO</v>
      </c>
      <c r="C180">
        <f>'Raw Data'!J154</f>
        <v>14.8</v>
      </c>
      <c r="D180" t="str">
        <f>'Interpreted Data'!G154</f>
        <v>277:00</v>
      </c>
      <c r="E180" t="str">
        <f>'Interpreted Data'!H154</f>
        <v>-</v>
      </c>
      <c r="F180" t="str">
        <f>SUBSTITUTE('Raw Data'!K154," ",":",1)</f>
        <v>-53:00</v>
      </c>
      <c r="G180">
        <f>'Interpreted Data'!N154</f>
        <v>-11.8</v>
      </c>
      <c r="H180" t="str">
        <f>'Interpreted Data'!P154</f>
        <v/>
      </c>
      <c r="I180" t="str">
        <f t="shared" si="64"/>
        <v xml:space="preserve"> </v>
      </c>
      <c r="J180" t="str">
        <f t="shared" si="81"/>
        <v>DP</v>
      </c>
      <c r="K180" t="str">
        <f t="shared" si="82"/>
        <v>DO</v>
      </c>
      <c r="L180">
        <f t="shared" si="83"/>
        <v>14.8</v>
      </c>
      <c r="M180" t="str">
        <f t="shared" si="84"/>
        <v>277:00</v>
      </c>
      <c r="N180" t="str">
        <f t="shared" si="85"/>
        <v>-</v>
      </c>
      <c r="O180" t="str">
        <f t="shared" si="86"/>
        <v>-53:00</v>
      </c>
      <c r="P180" t="str">
        <f t="shared" si="87"/>
        <v/>
      </c>
    </row>
    <row r="181" spans="1:16" x14ac:dyDescent="0.25">
      <c r="A181" t="str">
        <f>'Raw Data'!A155</f>
        <v>DO</v>
      </c>
      <c r="B181" t="str">
        <f>'Raw Data'!B155</f>
        <v>DN</v>
      </c>
      <c r="C181">
        <f>'Raw Data'!J155</f>
        <v>13.3</v>
      </c>
      <c r="D181" t="str">
        <f>'Interpreted Data'!G155</f>
        <v>-</v>
      </c>
      <c r="E181" t="str">
        <f>'Interpreted Data'!H155</f>
        <v>261:00</v>
      </c>
      <c r="F181" t="str">
        <f>SUBSTITUTE('Raw Data'!K155," ",":",1)</f>
        <v>-47:00</v>
      </c>
      <c r="G181">
        <f>'Interpreted Data'!N155</f>
        <v>-9.6999999999999993</v>
      </c>
      <c r="H181" t="str">
        <f>'Interpreted Data'!P155</f>
        <v/>
      </c>
      <c r="I181" t="str">
        <f t="shared" si="64"/>
        <v xml:space="preserve"> </v>
      </c>
      <c r="J181" t="str">
        <f t="shared" si="81"/>
        <v>DO</v>
      </c>
      <c r="K181" t="str">
        <f t="shared" si="82"/>
        <v>DN</v>
      </c>
      <c r="L181">
        <f t="shared" si="83"/>
        <v>13.3</v>
      </c>
      <c r="M181" t="str">
        <f t="shared" si="84"/>
        <v>-</v>
      </c>
      <c r="N181" t="str">
        <f t="shared" si="85"/>
        <v>261:00</v>
      </c>
      <c r="O181" t="str">
        <f t="shared" si="86"/>
        <v>-47:00</v>
      </c>
      <c r="P181" t="str">
        <f t="shared" si="87"/>
        <v/>
      </c>
    </row>
    <row r="182" spans="1:16" x14ac:dyDescent="0.25">
      <c r="A182" t="str">
        <f>'Raw Data'!A156</f>
        <v>DN</v>
      </c>
      <c r="B182" t="str">
        <f>'Raw Data'!B156</f>
        <v>DM</v>
      </c>
      <c r="C182">
        <f>'Raw Data'!J156</f>
        <v>0.5</v>
      </c>
      <c r="D182" t="str">
        <f>'Interpreted Data'!G156</f>
        <v>-</v>
      </c>
      <c r="E182" t="str">
        <f>'Interpreted Data'!H156</f>
        <v>-</v>
      </c>
      <c r="F182" t="str">
        <f>SUBSTITUTE('Raw Data'!K156," ",":",1)</f>
        <v>90:00</v>
      </c>
      <c r="G182">
        <f>'Interpreted Data'!N156</f>
        <v>0.5</v>
      </c>
      <c r="H182" t="str">
        <f>'Interpreted Data'!P156</f>
        <v/>
      </c>
      <c r="I182" t="str">
        <f t="shared" si="64"/>
        <v xml:space="preserve"> </v>
      </c>
      <c r="J182" t="str">
        <f t="shared" si="81"/>
        <v>DN</v>
      </c>
      <c r="K182" t="str">
        <f t="shared" si="82"/>
        <v>DM</v>
      </c>
      <c r="L182">
        <f t="shared" si="83"/>
        <v>0.5</v>
      </c>
      <c r="M182" t="str">
        <f t="shared" si="84"/>
        <v>-</v>
      </c>
      <c r="N182" t="str">
        <f t="shared" si="85"/>
        <v>-</v>
      </c>
      <c r="O182" t="str">
        <f t="shared" si="86"/>
        <v>UP</v>
      </c>
      <c r="P182" t="str">
        <f t="shared" si="87"/>
        <v/>
      </c>
    </row>
    <row r="183" spans="1:16" x14ac:dyDescent="0.25">
      <c r="A183" t="str">
        <f>'Raw Data'!A157</f>
        <v>DM</v>
      </c>
      <c r="B183" t="str">
        <f>'Raw Data'!B157</f>
        <v>DL</v>
      </c>
      <c r="C183">
        <f>'Raw Data'!J157</f>
        <v>14.5</v>
      </c>
      <c r="D183" t="str">
        <f>'Interpreted Data'!G157</f>
        <v>348:30</v>
      </c>
      <c r="E183" t="str">
        <f>'Interpreted Data'!H157</f>
        <v>-</v>
      </c>
      <c r="F183" t="str">
        <f>SUBSTITUTE('Raw Data'!K157," ",":",1)</f>
        <v>-6:00</v>
      </c>
      <c r="G183">
        <f>'Interpreted Data'!N157</f>
        <v>-1.5</v>
      </c>
      <c r="H183" t="str">
        <f>'Interpreted Data'!P157</f>
        <v/>
      </c>
      <c r="I183" t="str">
        <f t="shared" si="64"/>
        <v xml:space="preserve"> </v>
      </c>
      <c r="J183" t="str">
        <f t="shared" si="81"/>
        <v>DM</v>
      </c>
      <c r="K183" t="str">
        <f t="shared" si="82"/>
        <v>DL</v>
      </c>
      <c r="L183">
        <f t="shared" si="83"/>
        <v>14.5</v>
      </c>
      <c r="M183" t="str">
        <f t="shared" si="84"/>
        <v>348:30</v>
      </c>
      <c r="N183" t="str">
        <f t="shared" si="85"/>
        <v>-</v>
      </c>
      <c r="O183" t="str">
        <f t="shared" si="86"/>
        <v>-6:00</v>
      </c>
      <c r="P183" t="str">
        <f t="shared" si="87"/>
        <v/>
      </c>
    </row>
    <row r="184" spans="1:16" x14ac:dyDescent="0.25">
      <c r="A184" t="str">
        <f>'Raw Data'!A158</f>
        <v>DL</v>
      </c>
      <c r="B184" t="str">
        <f>'Raw Data'!B158</f>
        <v>DK</v>
      </c>
      <c r="C184">
        <f>'Raw Data'!J158</f>
        <v>17.3</v>
      </c>
      <c r="D184" t="str">
        <f>'Interpreted Data'!G158</f>
        <v>-</v>
      </c>
      <c r="E184" t="str">
        <f>'Interpreted Data'!H158</f>
        <v>112:00</v>
      </c>
      <c r="F184" t="str">
        <f>SUBSTITUTE('Raw Data'!K158," ",":",1)</f>
        <v>-20:00</v>
      </c>
      <c r="G184">
        <f>'Interpreted Data'!N158</f>
        <v>-5.9</v>
      </c>
      <c r="H184" t="str">
        <f>'Interpreted Data'!P158</f>
        <v/>
      </c>
      <c r="I184" t="str">
        <f t="shared" si="64"/>
        <v xml:space="preserve"> </v>
      </c>
      <c r="J184" t="str">
        <f t="shared" si="81"/>
        <v>DL</v>
      </c>
      <c r="K184" t="str">
        <f t="shared" si="82"/>
        <v>DK</v>
      </c>
      <c r="L184">
        <f t="shared" si="83"/>
        <v>17.3</v>
      </c>
      <c r="M184" t="str">
        <f t="shared" si="84"/>
        <v>-</v>
      </c>
      <c r="N184" t="str">
        <f t="shared" si="85"/>
        <v>112:00</v>
      </c>
      <c r="O184" t="str">
        <f t="shared" si="86"/>
        <v>-20:00</v>
      </c>
      <c r="P184" t="str">
        <f t="shared" si="87"/>
        <v/>
      </c>
    </row>
    <row r="185" spans="1:16" x14ac:dyDescent="0.25">
      <c r="A185" t="str">
        <f>'Raw Data'!A159</f>
        <v>DK</v>
      </c>
      <c r="B185" t="str">
        <f>'Raw Data'!B159</f>
        <v>DJ</v>
      </c>
      <c r="C185">
        <f>'Raw Data'!J159</f>
        <v>17.2</v>
      </c>
      <c r="D185" t="str">
        <f>'Interpreted Data'!G159</f>
        <v>346:00</v>
      </c>
      <c r="E185" t="str">
        <f>'Interpreted Data'!H159</f>
        <v>-</v>
      </c>
      <c r="F185" t="str">
        <f>SUBSTITUTE('Raw Data'!K159," ",":",1)</f>
        <v>-22:00</v>
      </c>
      <c r="G185">
        <f>'Interpreted Data'!N159</f>
        <v>-6.4</v>
      </c>
      <c r="H185" t="str">
        <f>'Interpreted Data'!P159</f>
        <v/>
      </c>
      <c r="I185" t="str">
        <f t="shared" si="64"/>
        <v xml:space="preserve"> </v>
      </c>
      <c r="J185" t="str">
        <f t="shared" si="81"/>
        <v>DK</v>
      </c>
      <c r="K185" t="str">
        <f t="shared" si="82"/>
        <v>DJ</v>
      </c>
      <c r="L185">
        <f t="shared" si="83"/>
        <v>17.2</v>
      </c>
      <c r="M185" t="str">
        <f t="shared" si="84"/>
        <v>346:00</v>
      </c>
      <c r="N185" t="str">
        <f t="shared" si="85"/>
        <v>-</v>
      </c>
      <c r="O185" t="str">
        <f t="shared" si="86"/>
        <v>-22:00</v>
      </c>
      <c r="P185" t="str">
        <f t="shared" si="87"/>
        <v/>
      </c>
    </row>
    <row r="186" spans="1:16" x14ac:dyDescent="0.25">
      <c r="A186" t="str">
        <f>'Raw Data'!A160</f>
        <v>DJ</v>
      </c>
      <c r="B186" t="str">
        <f>'Raw Data'!B160</f>
        <v>DI</v>
      </c>
      <c r="C186">
        <f>'Raw Data'!J160</f>
        <v>8.9</v>
      </c>
      <c r="D186" t="str">
        <f>'Interpreted Data'!G160</f>
        <v>-</v>
      </c>
      <c r="E186" t="str">
        <f>'Interpreted Data'!H160</f>
        <v>138:00</v>
      </c>
      <c r="F186" t="str">
        <f>SUBSTITUTE('Raw Data'!K160," ",":",1)</f>
        <v>-13:30</v>
      </c>
      <c r="G186">
        <f>'Interpreted Data'!N160</f>
        <v>-2.1</v>
      </c>
      <c r="H186" t="str">
        <f>'Interpreted Data'!P160</f>
        <v/>
      </c>
      <c r="I186" t="str">
        <f t="shared" si="64"/>
        <v xml:space="preserve"> </v>
      </c>
      <c r="J186" t="str">
        <f t="shared" si="81"/>
        <v>DJ</v>
      </c>
      <c r="K186" t="str">
        <f t="shared" si="82"/>
        <v>DI</v>
      </c>
      <c r="L186">
        <f t="shared" si="83"/>
        <v>8.9</v>
      </c>
      <c r="M186" t="str">
        <f t="shared" si="84"/>
        <v>-</v>
      </c>
      <c r="N186" t="str">
        <f t="shared" si="85"/>
        <v>138:00</v>
      </c>
      <c r="O186" t="str">
        <f t="shared" si="86"/>
        <v>-13:30</v>
      </c>
      <c r="P186" t="str">
        <f t="shared" si="87"/>
        <v/>
      </c>
    </row>
    <row r="187" spans="1:16" x14ac:dyDescent="0.25">
      <c r="A187" t="str">
        <f>'Raw Data'!A161</f>
        <v>DI</v>
      </c>
      <c r="B187" t="str">
        <f>'Raw Data'!B161</f>
        <v>DH</v>
      </c>
      <c r="C187">
        <f>'Raw Data'!J161</f>
        <v>32</v>
      </c>
      <c r="D187" t="str">
        <f>'Interpreted Data'!G161</f>
        <v>304:00</v>
      </c>
      <c r="E187" t="str">
        <f>'Interpreted Data'!H161</f>
        <v>-</v>
      </c>
      <c r="F187" t="str">
        <f>SUBSTITUTE('Raw Data'!K161," ",":",1)</f>
        <v>-17:00</v>
      </c>
      <c r="G187">
        <f>'Interpreted Data'!N161</f>
        <v>-9.4</v>
      </c>
      <c r="H187" t="str">
        <f>'Interpreted Data'!P161</f>
        <v/>
      </c>
      <c r="I187" t="str">
        <f t="shared" si="64"/>
        <v xml:space="preserve"> </v>
      </c>
      <c r="J187" t="str">
        <f t="shared" si="81"/>
        <v>DI</v>
      </c>
      <c r="K187" t="str">
        <f t="shared" si="82"/>
        <v>DH</v>
      </c>
      <c r="L187">
        <f t="shared" si="83"/>
        <v>32</v>
      </c>
      <c r="M187" t="str">
        <f t="shared" si="84"/>
        <v>304:00</v>
      </c>
      <c r="N187" t="str">
        <f t="shared" si="85"/>
        <v>-</v>
      </c>
      <c r="O187" t="str">
        <f t="shared" si="86"/>
        <v>-17:00</v>
      </c>
      <c r="P187" t="str">
        <f t="shared" si="87"/>
        <v/>
      </c>
    </row>
    <row r="188" spans="1:16" x14ac:dyDescent="0.25">
      <c r="A188" t="str">
        <f>'Raw Data'!A162</f>
        <v>DH</v>
      </c>
      <c r="B188">
        <f>'Raw Data'!B162</f>
        <v>0</v>
      </c>
      <c r="C188">
        <f>'Raw Data'!J162</f>
        <v>0</v>
      </c>
      <c r="D188" t="str">
        <f>'Interpreted Data'!G162</f>
        <v>-</v>
      </c>
      <c r="E188" t="str">
        <f>'Interpreted Data'!H162</f>
        <v>-</v>
      </c>
      <c r="F188" t="str">
        <f>SUBSTITUTE('Raw Data'!K162," ",":",1)</f>
        <v/>
      </c>
      <c r="G188" t="str">
        <f>'Interpreted Data'!N162</f>
        <v/>
      </c>
      <c r="H188" t="str">
        <f>'Interpreted Data'!P162</f>
        <v>is 2" candle on smoke BM below smoke (.)</v>
      </c>
      <c r="I188" t="str">
        <f t="shared" si="64"/>
        <v xml:space="preserve"> </v>
      </c>
      <c r="J188" t="s">
        <v>77</v>
      </c>
      <c r="K188" t="str">
        <f>A188</f>
        <v>DH</v>
      </c>
      <c r="L188">
        <f t="shared" si="83"/>
        <v>0</v>
      </c>
      <c r="M188" t="str">
        <f t="shared" si="84"/>
        <v>-</v>
      </c>
      <c r="N188" t="str">
        <f t="shared" si="85"/>
        <v>-</v>
      </c>
      <c r="O188" t="e">
        <f t="shared" si="86"/>
        <v>#VALUE!</v>
      </c>
      <c r="P188" t="str">
        <f t="shared" si="87"/>
        <v>is 2" candle on smoke BM below smoke (.)</v>
      </c>
    </row>
    <row r="190" spans="1:16" x14ac:dyDescent="0.25">
      <c r="A190" t="str">
        <f>'Raw Data'!A164</f>
        <v>21st Dec '52</v>
      </c>
      <c r="B190" t="str">
        <f>'Raw Data'!B164</f>
        <v>Howard &amp; Jock.</v>
      </c>
      <c r="C190" t="str">
        <f>'Raw Data'!C164</f>
        <v>Short Dry Way to 40' Pot</v>
      </c>
      <c r="D190" t="str">
        <f>'Interpreted Data'!G164</f>
        <v>-</v>
      </c>
      <c r="E190" t="str">
        <f>'Interpreted Data'!H164</f>
        <v>-</v>
      </c>
      <c r="F190" t="str">
        <f>SUBSTITUTE('Raw Data'!K164," ",":",1)</f>
        <v/>
      </c>
      <c r="G190" t="str">
        <f>'Interpreted Data'!N164</f>
        <v/>
      </c>
      <c r="H190" t="str">
        <f>'Interpreted Data'!P164</f>
        <v/>
      </c>
      <c r="I190" t="str">
        <f t="shared" si="64"/>
        <v xml:space="preserve"> </v>
      </c>
      <c r="J190" t="str">
        <f t="shared" si="81"/>
        <v>21st Dec '52</v>
      </c>
      <c r="K190" t="str">
        <f t="shared" si="82"/>
        <v>Howard &amp; Jock.</v>
      </c>
      <c r="L190" t="str">
        <f t="shared" si="83"/>
        <v>Short Dry Way to 40' Pot</v>
      </c>
      <c r="M190" t="str">
        <f t="shared" si="84"/>
        <v>-</v>
      </c>
      <c r="N190" t="str">
        <f t="shared" si="85"/>
        <v>-</v>
      </c>
      <c r="O190" t="e">
        <f t="shared" si="86"/>
        <v>#VALUE!</v>
      </c>
      <c r="P190" t="str">
        <f t="shared" si="87"/>
        <v/>
      </c>
    </row>
    <row r="191" spans="1:16" x14ac:dyDescent="0.25">
      <c r="J191" t="str">
        <f>$J$1</f>
        <v>data normal from to tape compass backcompass clino ignoreall</v>
      </c>
    </row>
    <row r="192" spans="1:16" x14ac:dyDescent="0.25">
      <c r="A192" t="str">
        <f>'Raw Data'!A165</f>
        <v>DH</v>
      </c>
      <c r="B192" t="str">
        <f>'Raw Data'!B165</f>
        <v>DG</v>
      </c>
      <c r="C192">
        <f>'Raw Data'!J165</f>
        <v>5.6</v>
      </c>
      <c r="D192" t="str">
        <f>'Interpreted Data'!G165</f>
        <v>-</v>
      </c>
      <c r="E192" t="str">
        <f>'Interpreted Data'!H165</f>
        <v>175:00</v>
      </c>
      <c r="F192" t="str">
        <f>SUBSTITUTE('Raw Data'!K165," ",":",1)</f>
        <v>30:00</v>
      </c>
      <c r="G192">
        <f>'Interpreted Data'!N165</f>
        <v>2.8</v>
      </c>
      <c r="H192" t="str">
        <f>'Interpreted Data'!P165</f>
        <v/>
      </c>
      <c r="I192" t="str">
        <f t="shared" si="64"/>
        <v xml:space="preserve"> </v>
      </c>
      <c r="J192" t="str">
        <f t="shared" ref="J192:J212" si="88">A192</f>
        <v>DH</v>
      </c>
      <c r="K192" t="str">
        <f t="shared" ref="K192:K212" si="89">B192</f>
        <v>DG</v>
      </c>
      <c r="L192">
        <f t="shared" ref="L192:L212" si="90">C192</f>
        <v>5.6</v>
      </c>
      <c r="M192" t="str">
        <f t="shared" ref="M192:M212" si="91">D192</f>
        <v>-</v>
      </c>
      <c r="N192" t="str">
        <f t="shared" ref="N192:N212" si="92">E192</f>
        <v>175:00</v>
      </c>
      <c r="O192" t="str">
        <f t="shared" ref="O192:O212" si="93">IF(AND(D192="-",E192="-"),IF(1*SUBSTITUTE(F192,":",".")=-90,"DOWN",IF(1*SUBSTITUTE(F192,":",".")=90,"UP","no compass")),F192)</f>
        <v>30:00</v>
      </c>
      <c r="P192" t="str">
        <f t="shared" ref="P192:P212" si="94">H192</f>
        <v/>
      </c>
    </row>
    <row r="193" spans="1:16" x14ac:dyDescent="0.25">
      <c r="A193" t="str">
        <f>'Raw Data'!A166</f>
        <v>DG</v>
      </c>
      <c r="B193" t="str">
        <f>'Raw Data'!B166</f>
        <v>DF</v>
      </c>
      <c r="C193">
        <f>'Raw Data'!J166</f>
        <v>8.6999999999999993</v>
      </c>
      <c r="D193" t="str">
        <f>'Interpreted Data'!G166</f>
        <v>317:00</v>
      </c>
      <c r="E193" t="str">
        <f>'Interpreted Data'!H166</f>
        <v>-</v>
      </c>
      <c r="F193" t="str">
        <f>SUBSTITUTE('Raw Data'!K166," ",":",1)</f>
        <v>2:00</v>
      </c>
      <c r="G193">
        <f>'Interpreted Data'!N166</f>
        <v>0.3</v>
      </c>
      <c r="H193" t="str">
        <f>'Interpreted Data'!P166</f>
        <v/>
      </c>
      <c r="I193" t="str">
        <f t="shared" si="64"/>
        <v xml:space="preserve"> </v>
      </c>
      <c r="J193" t="str">
        <f t="shared" si="88"/>
        <v>DG</v>
      </c>
      <c r="K193" t="str">
        <f t="shared" si="89"/>
        <v>DF</v>
      </c>
      <c r="L193">
        <f t="shared" si="90"/>
        <v>8.6999999999999993</v>
      </c>
      <c r="M193" t="str">
        <f t="shared" si="91"/>
        <v>317:00</v>
      </c>
      <c r="N193" t="str">
        <f t="shared" si="92"/>
        <v>-</v>
      </c>
      <c r="O193" t="str">
        <f t="shared" si="93"/>
        <v>2:00</v>
      </c>
      <c r="P193" t="str">
        <f t="shared" si="94"/>
        <v/>
      </c>
    </row>
    <row r="194" spans="1:16" x14ac:dyDescent="0.25">
      <c r="A194" t="str">
        <f>'Raw Data'!A167</f>
        <v>DF</v>
      </c>
      <c r="B194" t="str">
        <f>'Raw Data'!B167</f>
        <v>DE</v>
      </c>
      <c r="C194">
        <f>'Raw Data'!J167</f>
        <v>3.1</v>
      </c>
      <c r="D194" t="str">
        <f>'Interpreted Data'!G167</f>
        <v>-</v>
      </c>
      <c r="E194" t="str">
        <f>'Interpreted Data'!H167</f>
        <v>087:00</v>
      </c>
      <c r="F194" t="str">
        <f>SUBSTITUTE('Raw Data'!K167," ",":",1)</f>
        <v>21:00</v>
      </c>
      <c r="G194">
        <f>'Interpreted Data'!N167</f>
        <v>0.7</v>
      </c>
      <c r="H194" t="str">
        <f>'Interpreted Data'!P167</f>
        <v/>
      </c>
      <c r="I194" t="str">
        <f t="shared" si="64"/>
        <v xml:space="preserve"> </v>
      </c>
      <c r="J194" t="str">
        <f t="shared" si="88"/>
        <v>DF</v>
      </c>
      <c r="K194" t="str">
        <f t="shared" si="89"/>
        <v>DE</v>
      </c>
      <c r="L194">
        <f t="shared" si="90"/>
        <v>3.1</v>
      </c>
      <c r="M194" t="str">
        <f t="shared" si="91"/>
        <v>-</v>
      </c>
      <c r="N194" t="str">
        <f t="shared" si="92"/>
        <v>087:00</v>
      </c>
      <c r="O194" t="str">
        <f t="shared" si="93"/>
        <v>21:00</v>
      </c>
      <c r="P194" t="str">
        <f t="shared" si="94"/>
        <v/>
      </c>
    </row>
    <row r="195" spans="1:16" x14ac:dyDescent="0.25">
      <c r="A195" t="str">
        <f>'Raw Data'!A168</f>
        <v>DE</v>
      </c>
      <c r="B195" t="str">
        <f>'Raw Data'!B168</f>
        <v>DD</v>
      </c>
      <c r="C195">
        <f>'Raw Data'!J168</f>
        <v>13.4</v>
      </c>
      <c r="D195" t="str">
        <f>'Interpreted Data'!G168</f>
        <v>299:00</v>
      </c>
      <c r="E195" t="str">
        <f>'Interpreted Data'!H168</f>
        <v>-</v>
      </c>
      <c r="F195" t="str">
        <f>SUBSTITUTE('Raw Data'!K168," ",":",1)</f>
        <v>-15:00</v>
      </c>
      <c r="G195">
        <f>'Interpreted Data'!N168</f>
        <v>-3.5</v>
      </c>
      <c r="H195" t="str">
        <f>'Interpreted Data'!P168</f>
        <v/>
      </c>
      <c r="I195" t="str">
        <f t="shared" si="64"/>
        <v xml:space="preserve"> </v>
      </c>
      <c r="J195" t="str">
        <f t="shared" si="88"/>
        <v>DE</v>
      </c>
      <c r="K195" t="str">
        <f t="shared" si="89"/>
        <v>DD</v>
      </c>
      <c r="L195">
        <f t="shared" si="90"/>
        <v>13.4</v>
      </c>
      <c r="M195" t="str">
        <f t="shared" si="91"/>
        <v>299:00</v>
      </c>
      <c r="N195" t="str">
        <f t="shared" si="92"/>
        <v>-</v>
      </c>
      <c r="O195" t="str">
        <f t="shared" si="93"/>
        <v>-15:00</v>
      </c>
      <c r="P195" t="str">
        <f t="shared" si="94"/>
        <v/>
      </c>
    </row>
    <row r="196" spans="1:16" x14ac:dyDescent="0.25">
      <c r="A196" t="str">
        <f>'Raw Data'!A169</f>
        <v>DD</v>
      </c>
      <c r="B196" t="str">
        <f>'Raw Data'!B169</f>
        <v>DC</v>
      </c>
      <c r="C196">
        <f>'Raw Data'!J169</f>
        <v>19.2</v>
      </c>
      <c r="D196" t="str">
        <f>'Interpreted Data'!G169</f>
        <v>-</v>
      </c>
      <c r="E196" t="str">
        <f>'Interpreted Data'!H169</f>
        <v>145:30</v>
      </c>
      <c r="F196" t="str">
        <f>SUBSTITUTE('Raw Data'!K169," ",":",1)</f>
        <v>-2:30</v>
      </c>
      <c r="G196">
        <f>'Interpreted Data'!N169</f>
        <v>-0.8</v>
      </c>
      <c r="H196" t="str">
        <f>'Interpreted Data'!P169</f>
        <v/>
      </c>
      <c r="I196" t="str">
        <f t="shared" si="64"/>
        <v xml:space="preserve"> </v>
      </c>
      <c r="J196" t="str">
        <f t="shared" si="88"/>
        <v>DD</v>
      </c>
      <c r="K196" t="str">
        <f t="shared" si="89"/>
        <v>DC</v>
      </c>
      <c r="L196">
        <f t="shared" si="90"/>
        <v>19.2</v>
      </c>
      <c r="M196" t="str">
        <f t="shared" si="91"/>
        <v>-</v>
      </c>
      <c r="N196" t="str">
        <f t="shared" si="92"/>
        <v>145:30</v>
      </c>
      <c r="O196" t="str">
        <f t="shared" si="93"/>
        <v>-2:30</v>
      </c>
      <c r="P196" t="str">
        <f t="shared" si="94"/>
        <v/>
      </c>
    </row>
    <row r="197" spans="1:16" x14ac:dyDescent="0.25">
      <c r="A197" t="str">
        <f>'Raw Data'!A170</f>
        <v>DC</v>
      </c>
      <c r="B197" t="str">
        <f>'Raw Data'!B170</f>
        <v>DB</v>
      </c>
      <c r="C197">
        <f>'Raw Data'!J170</f>
        <v>20.100000000000001</v>
      </c>
      <c r="D197" t="str">
        <f>'Interpreted Data'!G170</f>
        <v>319:30</v>
      </c>
      <c r="E197" t="str">
        <f>'Interpreted Data'!H170</f>
        <v>-</v>
      </c>
      <c r="F197" t="str">
        <f>SUBSTITUTE('Raw Data'!K170," ",":",1)</f>
        <v>-13:00</v>
      </c>
      <c r="G197">
        <f>'Interpreted Data'!N170</f>
        <v>-4.5</v>
      </c>
      <c r="H197" t="str">
        <f>'Interpreted Data'!P170</f>
        <v/>
      </c>
      <c r="I197" t="str">
        <f t="shared" si="64"/>
        <v xml:space="preserve"> </v>
      </c>
      <c r="J197" t="str">
        <f t="shared" si="88"/>
        <v>DC</v>
      </c>
      <c r="K197" t="str">
        <f t="shared" si="89"/>
        <v>DB</v>
      </c>
      <c r="L197">
        <f t="shared" si="90"/>
        <v>20.100000000000001</v>
      </c>
      <c r="M197" t="str">
        <f t="shared" si="91"/>
        <v>319:30</v>
      </c>
      <c r="N197" t="str">
        <f t="shared" si="92"/>
        <v>-</v>
      </c>
      <c r="O197" t="str">
        <f t="shared" si="93"/>
        <v>-13:00</v>
      </c>
      <c r="P197" t="str">
        <f t="shared" si="94"/>
        <v/>
      </c>
    </row>
    <row r="198" spans="1:16" x14ac:dyDescent="0.25">
      <c r="A198" t="str">
        <f>'Raw Data'!A171</f>
        <v>DB</v>
      </c>
      <c r="B198" t="str">
        <f>'Raw Data'!B171</f>
        <v>DA</v>
      </c>
      <c r="C198">
        <f>'Raw Data'!J171</f>
        <v>23.2</v>
      </c>
      <c r="D198" t="str">
        <f>'Interpreted Data'!G171</f>
        <v>-</v>
      </c>
      <c r="E198" t="str">
        <f>'Interpreted Data'!H171</f>
        <v>089:00</v>
      </c>
      <c r="F198" t="str">
        <f>SUBSTITUTE('Raw Data'!K171," ",":",1)</f>
        <v>-15:00</v>
      </c>
      <c r="G198">
        <f>'Interpreted Data'!N171</f>
        <v>-6</v>
      </c>
      <c r="H198" t="str">
        <f>'Interpreted Data'!P171</f>
        <v>Entrance to Old Grotto.</v>
      </c>
      <c r="I198" t="str">
        <f t="shared" si="64"/>
        <v xml:space="preserve"> </v>
      </c>
      <c r="J198" t="str">
        <f t="shared" si="88"/>
        <v>DB</v>
      </c>
      <c r="K198" t="str">
        <f t="shared" si="89"/>
        <v>DA</v>
      </c>
      <c r="L198">
        <f t="shared" si="90"/>
        <v>23.2</v>
      </c>
      <c r="M198" t="str">
        <f t="shared" si="91"/>
        <v>-</v>
      </c>
      <c r="N198" t="str">
        <f t="shared" si="92"/>
        <v>089:00</v>
      </c>
      <c r="O198" t="str">
        <f t="shared" si="93"/>
        <v>-15:00</v>
      </c>
      <c r="P198" t="str">
        <f t="shared" si="94"/>
        <v>Entrance to Old Grotto.</v>
      </c>
    </row>
    <row r="199" spans="1:16" x14ac:dyDescent="0.25">
      <c r="A199" t="str">
        <f>'Raw Data'!A172</f>
        <v>DA</v>
      </c>
      <c r="B199" t="str">
        <f>'Raw Data'!B172</f>
        <v>CZ</v>
      </c>
      <c r="C199">
        <f>'Raw Data'!J172</f>
        <v>27.9</v>
      </c>
      <c r="D199" t="str">
        <f>'Interpreted Data'!G172</f>
        <v>202:20</v>
      </c>
      <c r="E199" t="str">
        <f>'Interpreted Data'!H172</f>
        <v>-</v>
      </c>
      <c r="F199" t="str">
        <f>SUBSTITUTE('Raw Data'!K172," ",":",1)</f>
        <v>-41:30</v>
      </c>
      <c r="G199">
        <f>'Interpreted Data'!N172</f>
        <v>-18.5</v>
      </c>
      <c r="H199" t="str">
        <f>'Interpreted Data'!P172</f>
        <v/>
      </c>
      <c r="I199" t="str">
        <f t="shared" si="64"/>
        <v xml:space="preserve"> </v>
      </c>
      <c r="J199" t="str">
        <f t="shared" si="88"/>
        <v>DA</v>
      </c>
      <c r="K199" t="str">
        <f t="shared" si="89"/>
        <v>CZ</v>
      </c>
      <c r="L199">
        <f t="shared" si="90"/>
        <v>27.9</v>
      </c>
      <c r="M199" t="str">
        <f t="shared" si="91"/>
        <v>202:20</v>
      </c>
      <c r="N199" t="str">
        <f t="shared" si="92"/>
        <v>-</v>
      </c>
      <c r="O199" t="str">
        <f t="shared" si="93"/>
        <v>-41:30</v>
      </c>
      <c r="P199" t="str">
        <f t="shared" si="94"/>
        <v/>
      </c>
    </row>
    <row r="200" spans="1:16" x14ac:dyDescent="0.25">
      <c r="A200" t="str">
        <f>'Raw Data'!A173</f>
        <v>CZ</v>
      </c>
      <c r="B200" t="str">
        <f>'Raw Data'!B173</f>
        <v>CY</v>
      </c>
      <c r="C200">
        <f>'Raw Data'!J173</f>
        <v>22.6</v>
      </c>
      <c r="D200" t="str">
        <f>'Interpreted Data'!G173</f>
        <v>-</v>
      </c>
      <c r="E200" t="str">
        <f>'Interpreted Data'!H173</f>
        <v>069:00</v>
      </c>
      <c r="F200" t="str">
        <f>SUBSTITUTE('Raw Data'!K173," ",":",1)</f>
        <v>-17:00</v>
      </c>
      <c r="G200">
        <f>'Interpreted Data'!N173</f>
        <v>-6.6</v>
      </c>
      <c r="H200" t="str">
        <f>'Interpreted Data'!P173</f>
        <v/>
      </c>
      <c r="I200" t="str">
        <f t="shared" si="64"/>
        <v xml:space="preserve"> </v>
      </c>
      <c r="J200" t="str">
        <f t="shared" si="88"/>
        <v>CZ</v>
      </c>
      <c r="K200" t="str">
        <f t="shared" si="89"/>
        <v>CY</v>
      </c>
      <c r="L200">
        <f t="shared" si="90"/>
        <v>22.6</v>
      </c>
      <c r="M200" t="str">
        <f t="shared" si="91"/>
        <v>-</v>
      </c>
      <c r="N200" t="str">
        <f t="shared" si="92"/>
        <v>069:00</v>
      </c>
      <c r="O200" t="str">
        <f t="shared" si="93"/>
        <v>-17:00</v>
      </c>
      <c r="P200" t="str">
        <f t="shared" si="94"/>
        <v/>
      </c>
    </row>
    <row r="201" spans="1:16" x14ac:dyDescent="0.25">
      <c r="A201" t="str">
        <f>'Raw Data'!A174</f>
        <v>CY</v>
      </c>
      <c r="B201" t="str">
        <f>'Raw Data'!B174</f>
        <v>CX</v>
      </c>
      <c r="C201">
        <f>'Raw Data'!J174</f>
        <v>27.4</v>
      </c>
      <c r="D201" t="str">
        <f>'Interpreted Data'!G174</f>
        <v>292:00</v>
      </c>
      <c r="E201" t="str">
        <f>'Interpreted Data'!H174</f>
        <v>-</v>
      </c>
      <c r="F201" t="str">
        <f>SUBSTITUTE('Raw Data'!K174," ",":",1)</f>
        <v>-6:40</v>
      </c>
      <c r="G201">
        <f>'Interpreted Data'!N174</f>
        <v>-3.2</v>
      </c>
      <c r="H201" t="str">
        <f>'Interpreted Data'!P174</f>
        <v/>
      </c>
      <c r="I201" t="str">
        <f t="shared" si="64"/>
        <v xml:space="preserve"> </v>
      </c>
      <c r="J201" t="str">
        <f t="shared" si="88"/>
        <v>CY</v>
      </c>
      <c r="K201" t="str">
        <f t="shared" si="89"/>
        <v>CX</v>
      </c>
      <c r="L201">
        <f t="shared" si="90"/>
        <v>27.4</v>
      </c>
      <c r="M201" t="str">
        <f t="shared" si="91"/>
        <v>292:00</v>
      </c>
      <c r="N201" t="str">
        <f t="shared" si="92"/>
        <v>-</v>
      </c>
      <c r="O201" t="str">
        <f t="shared" si="93"/>
        <v>-6:40</v>
      </c>
      <c r="P201" t="str">
        <f t="shared" si="94"/>
        <v/>
      </c>
    </row>
    <row r="202" spans="1:16" x14ac:dyDescent="0.25">
      <c r="A202" t="str">
        <f>'Raw Data'!A175</f>
        <v>CX</v>
      </c>
      <c r="B202" t="str">
        <f>'Raw Data'!B175</f>
        <v>CW</v>
      </c>
      <c r="C202">
        <f>'Raw Data'!J175</f>
        <v>22.2</v>
      </c>
      <c r="D202" t="str">
        <f>'Interpreted Data'!G175</f>
        <v>-</v>
      </c>
      <c r="E202" t="str">
        <f>'Interpreted Data'!H175</f>
        <v>030:00</v>
      </c>
      <c r="F202" t="str">
        <f>SUBSTITUTE('Raw Data'!K175," ",":",1)</f>
        <v>-1:40</v>
      </c>
      <c r="G202">
        <f>'Interpreted Data'!N175</f>
        <v>-0.6</v>
      </c>
      <c r="H202" t="str">
        <f>'Interpreted Data'!P175</f>
        <v/>
      </c>
      <c r="I202" t="str">
        <f t="shared" ref="I202:I274" si="95">" "</f>
        <v xml:space="preserve"> </v>
      </c>
      <c r="J202" t="str">
        <f t="shared" si="88"/>
        <v>CX</v>
      </c>
      <c r="K202" t="str">
        <f t="shared" si="89"/>
        <v>CW</v>
      </c>
      <c r="L202">
        <f t="shared" si="90"/>
        <v>22.2</v>
      </c>
      <c r="M202" t="str">
        <f t="shared" si="91"/>
        <v>-</v>
      </c>
      <c r="N202" t="str">
        <f t="shared" si="92"/>
        <v>030:00</v>
      </c>
      <c r="O202" t="str">
        <f t="shared" si="93"/>
        <v>-1:40</v>
      </c>
      <c r="P202" t="str">
        <f t="shared" si="94"/>
        <v/>
      </c>
    </row>
    <row r="203" spans="1:16" x14ac:dyDescent="0.25">
      <c r="A203" t="str">
        <f>'Raw Data'!A176</f>
        <v>CW</v>
      </c>
      <c r="B203" t="str">
        <f>'Raw Data'!B176</f>
        <v>CV</v>
      </c>
      <c r="C203">
        <f>'Raw Data'!J176</f>
        <v>16.3</v>
      </c>
      <c r="D203" t="str">
        <f>'Interpreted Data'!G176</f>
        <v>192:00</v>
      </c>
      <c r="E203" t="str">
        <f>'Interpreted Data'!H176</f>
        <v>-</v>
      </c>
      <c r="F203" t="str">
        <f>SUBSTITUTE('Raw Data'!K176," ",":",1)</f>
        <v>6:30</v>
      </c>
      <c r="G203">
        <f>'Interpreted Data'!N176</f>
        <v>1.8</v>
      </c>
      <c r="H203" t="str">
        <f>'Interpreted Data'!P176</f>
        <v/>
      </c>
      <c r="I203" t="str">
        <f t="shared" si="95"/>
        <v xml:space="preserve"> </v>
      </c>
      <c r="J203" t="str">
        <f t="shared" si="88"/>
        <v>CW</v>
      </c>
      <c r="K203" t="str">
        <f t="shared" si="89"/>
        <v>CV</v>
      </c>
      <c r="L203">
        <f t="shared" si="90"/>
        <v>16.3</v>
      </c>
      <c r="M203" t="str">
        <f t="shared" si="91"/>
        <v>192:00</v>
      </c>
      <c r="N203" t="str">
        <f t="shared" si="92"/>
        <v>-</v>
      </c>
      <c r="O203" t="str">
        <f t="shared" si="93"/>
        <v>6:30</v>
      </c>
      <c r="P203" t="str">
        <f t="shared" si="94"/>
        <v/>
      </c>
    </row>
    <row r="204" spans="1:16" x14ac:dyDescent="0.25">
      <c r="A204" t="str">
        <f>'Raw Data'!A177</f>
        <v>CV</v>
      </c>
      <c r="B204" t="str">
        <f>'Raw Data'!B177</f>
        <v>CU</v>
      </c>
      <c r="C204">
        <f>'Raw Data'!J177</f>
        <v>13.6</v>
      </c>
      <c r="D204" t="str">
        <f>'Interpreted Data'!G177</f>
        <v>-</v>
      </c>
      <c r="E204" t="str">
        <f>'Interpreted Data'!H177</f>
        <v>073:00</v>
      </c>
      <c r="F204" t="str">
        <f>SUBSTITUTE('Raw Data'!K177," ",":",1)</f>
        <v>6:00</v>
      </c>
      <c r="G204">
        <f>'Interpreted Data'!N177</f>
        <v>1.4</v>
      </c>
      <c r="H204" t="str">
        <f>'Interpreted Data'!P177</f>
        <v/>
      </c>
      <c r="I204" t="str">
        <f t="shared" si="95"/>
        <v xml:space="preserve"> </v>
      </c>
      <c r="J204" t="str">
        <f t="shared" si="88"/>
        <v>CV</v>
      </c>
      <c r="K204" t="str">
        <f t="shared" si="89"/>
        <v>CU</v>
      </c>
      <c r="L204">
        <f t="shared" si="90"/>
        <v>13.6</v>
      </c>
      <c r="M204" t="str">
        <f t="shared" si="91"/>
        <v>-</v>
      </c>
      <c r="N204" t="str">
        <f t="shared" si="92"/>
        <v>073:00</v>
      </c>
      <c r="O204" t="str">
        <f t="shared" si="93"/>
        <v>6:00</v>
      </c>
      <c r="P204" t="str">
        <f t="shared" si="94"/>
        <v/>
      </c>
    </row>
    <row r="205" spans="1:16" x14ac:dyDescent="0.25">
      <c r="A205" t="str">
        <f>'Raw Data'!A178</f>
        <v>CU</v>
      </c>
      <c r="B205" t="str">
        <f>'Raw Data'!B178</f>
        <v>CT</v>
      </c>
      <c r="C205">
        <f>'Raw Data'!J178</f>
        <v>20.100000000000001</v>
      </c>
      <c r="D205" t="str">
        <f>'Interpreted Data'!G178</f>
        <v>259:30</v>
      </c>
      <c r="E205" t="str">
        <f>'Interpreted Data'!H178</f>
        <v>-</v>
      </c>
      <c r="F205" t="str">
        <f>SUBSTITUTE('Raw Data'!K178," ",":",1)</f>
        <v>-28:00</v>
      </c>
      <c r="G205">
        <f>'Interpreted Data'!N178</f>
        <v>-9.4</v>
      </c>
      <c r="H205" t="str">
        <f>'Interpreted Data'!P178</f>
        <v/>
      </c>
      <c r="I205" t="str">
        <f t="shared" si="95"/>
        <v xml:space="preserve"> </v>
      </c>
      <c r="J205" t="str">
        <f t="shared" si="88"/>
        <v>CU</v>
      </c>
      <c r="K205" t="str">
        <f t="shared" si="89"/>
        <v>CT</v>
      </c>
      <c r="L205">
        <f t="shared" si="90"/>
        <v>20.100000000000001</v>
      </c>
      <c r="M205" t="str">
        <f t="shared" si="91"/>
        <v>259:30</v>
      </c>
      <c r="N205" t="str">
        <f t="shared" si="92"/>
        <v>-</v>
      </c>
      <c r="O205" t="str">
        <f t="shared" si="93"/>
        <v>-28:00</v>
      </c>
      <c r="P205" t="str">
        <f t="shared" si="94"/>
        <v/>
      </c>
    </row>
    <row r="206" spans="1:16" x14ac:dyDescent="0.25">
      <c r="A206" t="str">
        <f>'Raw Data'!A179</f>
        <v>CT</v>
      </c>
      <c r="B206" t="str">
        <f>'Raw Data'!B179</f>
        <v>CS</v>
      </c>
      <c r="C206">
        <f>'Raw Data'!J179</f>
        <v>1.8</v>
      </c>
      <c r="D206" t="str">
        <f>'Interpreted Data'!G179</f>
        <v>-</v>
      </c>
      <c r="E206" t="str">
        <f>'Interpreted Data'!H179</f>
        <v>-</v>
      </c>
      <c r="F206" t="str">
        <f>SUBSTITUTE('Raw Data'!K179," ",":",1)</f>
        <v>90:00</v>
      </c>
      <c r="G206">
        <f>'Interpreted Data'!N179</f>
        <v>1.8</v>
      </c>
      <c r="H206" t="str">
        <f>'Interpreted Data'!P179</f>
        <v>(sketch of CR-CZ-DA-DH)</v>
      </c>
      <c r="I206" t="str">
        <f t="shared" si="95"/>
        <v xml:space="preserve"> </v>
      </c>
      <c r="J206" t="str">
        <f t="shared" si="88"/>
        <v>CT</v>
      </c>
      <c r="K206" t="str">
        <f t="shared" si="89"/>
        <v>CS</v>
      </c>
      <c r="L206">
        <f t="shared" si="90"/>
        <v>1.8</v>
      </c>
      <c r="M206" t="str">
        <f t="shared" si="91"/>
        <v>-</v>
      </c>
      <c r="N206" t="str">
        <f t="shared" si="92"/>
        <v>-</v>
      </c>
      <c r="O206" t="str">
        <f t="shared" si="93"/>
        <v>UP</v>
      </c>
      <c r="P206" t="str">
        <f t="shared" si="94"/>
        <v>(sketch of CR-CZ-DA-DH)</v>
      </c>
    </row>
    <row r="207" spans="1:16" x14ac:dyDescent="0.25">
      <c r="A207" t="str">
        <f>'Raw Data'!A180</f>
        <v>CS</v>
      </c>
      <c r="B207" t="str">
        <f>'Raw Data'!B180</f>
        <v>CR</v>
      </c>
      <c r="C207">
        <f>'Raw Data'!J180</f>
        <v>15.8</v>
      </c>
      <c r="D207" t="str">
        <f>'Interpreted Data'!G180</f>
        <v>321:00</v>
      </c>
      <c r="E207" t="str">
        <f>'Interpreted Data'!H180</f>
        <v>-</v>
      </c>
      <c r="F207" t="str">
        <f>SUBSTITUTE('Raw Data'!K180," ",":",1)</f>
        <v>-1:00</v>
      </c>
      <c r="G207">
        <f>'Interpreted Data'!N180</f>
        <v>-0.3</v>
      </c>
      <c r="H207" t="str">
        <f>'Interpreted Data'!P180</f>
        <v/>
      </c>
      <c r="I207" t="str">
        <f t="shared" si="95"/>
        <v xml:space="preserve"> </v>
      </c>
      <c r="J207" t="str">
        <f t="shared" si="88"/>
        <v>CS</v>
      </c>
      <c r="K207" t="str">
        <f t="shared" si="89"/>
        <v>CR</v>
      </c>
      <c r="L207">
        <f t="shared" si="90"/>
        <v>15.8</v>
      </c>
      <c r="M207" t="str">
        <f t="shared" si="91"/>
        <v>321:00</v>
      </c>
      <c r="N207" t="str">
        <f t="shared" si="92"/>
        <v>-</v>
      </c>
      <c r="O207" t="str">
        <f t="shared" si="93"/>
        <v>-1:00</v>
      </c>
      <c r="P207" t="str">
        <f t="shared" si="94"/>
        <v/>
      </c>
    </row>
    <row r="208" spans="1:16" x14ac:dyDescent="0.25">
      <c r="A208" t="str">
        <f>'Raw Data'!A181</f>
        <v>CR</v>
      </c>
      <c r="B208" t="str">
        <f>'Raw Data'!B181</f>
        <v>CQ</v>
      </c>
      <c r="C208">
        <f>'Raw Data'!J181</f>
        <v>16.7</v>
      </c>
      <c r="D208" t="str">
        <f>'Interpreted Data'!G181</f>
        <v>-</v>
      </c>
      <c r="E208" t="str">
        <f>'Interpreted Data'!H181</f>
        <v>144:00</v>
      </c>
      <c r="F208" t="str">
        <f>SUBSTITUTE('Raw Data'!K181," ",":",1)</f>
        <v>-5:00</v>
      </c>
      <c r="G208">
        <f>'Interpreted Data'!N181</f>
        <v>-1.5</v>
      </c>
      <c r="H208" t="str">
        <f>'Interpreted Data'!P181</f>
        <v/>
      </c>
      <c r="I208" t="str">
        <f t="shared" si="95"/>
        <v xml:space="preserve"> </v>
      </c>
      <c r="J208" t="str">
        <f t="shared" si="88"/>
        <v>CR</v>
      </c>
      <c r="K208" t="str">
        <f t="shared" si="89"/>
        <v>CQ</v>
      </c>
      <c r="L208">
        <f t="shared" si="90"/>
        <v>16.7</v>
      </c>
      <c r="M208" t="str">
        <f t="shared" si="91"/>
        <v>-</v>
      </c>
      <c r="N208" t="str">
        <f t="shared" si="92"/>
        <v>144:00</v>
      </c>
      <c r="O208" t="str">
        <f t="shared" si="93"/>
        <v>-5:00</v>
      </c>
      <c r="P208" t="str">
        <f t="shared" si="94"/>
        <v/>
      </c>
    </row>
    <row r="209" spans="1:16" x14ac:dyDescent="0.25">
      <c r="A209" t="str">
        <f>'Raw Data'!A182</f>
        <v>CQ</v>
      </c>
      <c r="B209" t="str">
        <f>'Raw Data'!B182</f>
        <v>CP</v>
      </c>
      <c r="C209">
        <f>'Raw Data'!J182</f>
        <v>14.5</v>
      </c>
      <c r="D209" t="str">
        <f>'Interpreted Data'!G182</f>
        <v>325:30</v>
      </c>
      <c r="E209" t="str">
        <f>'Interpreted Data'!H182</f>
        <v>-</v>
      </c>
      <c r="F209" t="str">
        <f>SUBSTITUTE('Raw Data'!K182," ",":",1)</f>
        <v>3:00</v>
      </c>
      <c r="G209">
        <f>'Interpreted Data'!N182</f>
        <v>0.8</v>
      </c>
      <c r="H209" t="str">
        <f>'Interpreted Data'!P182</f>
        <v/>
      </c>
      <c r="I209" t="str">
        <f t="shared" si="95"/>
        <v xml:space="preserve"> </v>
      </c>
      <c r="J209" t="str">
        <f t="shared" si="88"/>
        <v>CQ</v>
      </c>
      <c r="K209" t="str">
        <f t="shared" si="89"/>
        <v>CP</v>
      </c>
      <c r="L209">
        <f t="shared" si="90"/>
        <v>14.5</v>
      </c>
      <c r="M209" t="str">
        <f t="shared" si="91"/>
        <v>325:30</v>
      </c>
      <c r="N209" t="str">
        <f t="shared" si="92"/>
        <v>-</v>
      </c>
      <c r="O209" t="str">
        <f t="shared" si="93"/>
        <v>3:00</v>
      </c>
      <c r="P209" t="str">
        <f t="shared" si="94"/>
        <v/>
      </c>
    </row>
    <row r="210" spans="1:16" x14ac:dyDescent="0.25">
      <c r="A210" t="str">
        <f>'Raw Data'!A183</f>
        <v>CP</v>
      </c>
      <c r="B210" t="str">
        <f>'Raw Data'!B183</f>
        <v>CO</v>
      </c>
      <c r="C210">
        <f>'Raw Data'!J183</f>
        <v>4.0999999999999996</v>
      </c>
      <c r="D210" t="str">
        <f>'Interpreted Data'!G183</f>
        <v>-</v>
      </c>
      <c r="E210" t="str">
        <f>'Interpreted Data'!H183</f>
        <v>171:00</v>
      </c>
      <c r="F210" t="str">
        <f>SUBSTITUTE('Raw Data'!K183," ",":",1)</f>
        <v>level</v>
      </c>
      <c r="G210">
        <f>'Interpreted Data'!N183</f>
        <v>0</v>
      </c>
      <c r="H210" t="str">
        <f>'Interpreted Data'!P183</f>
        <v/>
      </c>
      <c r="I210" t="str">
        <f t="shared" si="95"/>
        <v xml:space="preserve"> </v>
      </c>
      <c r="J210" t="str">
        <f t="shared" si="88"/>
        <v>CP</v>
      </c>
      <c r="K210" t="str">
        <f t="shared" si="89"/>
        <v>CO</v>
      </c>
      <c r="L210">
        <f t="shared" si="90"/>
        <v>4.0999999999999996</v>
      </c>
      <c r="M210" t="str">
        <f t="shared" si="91"/>
        <v>-</v>
      </c>
      <c r="N210" t="str">
        <f t="shared" si="92"/>
        <v>171:00</v>
      </c>
      <c r="O210">
        <f>G210</f>
        <v>0</v>
      </c>
      <c r="P210" t="str">
        <f t="shared" si="94"/>
        <v/>
      </c>
    </row>
    <row r="211" spans="1:16" x14ac:dyDescent="0.25">
      <c r="A211" t="str">
        <f>'Raw Data'!A184</f>
        <v>CO</v>
      </c>
      <c r="B211" t="str">
        <f>'Raw Data'!B184</f>
        <v>CN</v>
      </c>
      <c r="C211">
        <f>'Raw Data'!J184</f>
        <v>9.5</v>
      </c>
      <c r="D211" t="str">
        <f>'Interpreted Data'!G184</f>
        <v>-</v>
      </c>
      <c r="E211" t="str">
        <f>'Interpreted Data'!H184</f>
        <v>168:00</v>
      </c>
      <c r="F211" t="str">
        <f>SUBSTITUTE('Raw Data'!K184," ",":",1)</f>
        <v>4:30</v>
      </c>
      <c r="G211">
        <f>'Interpreted Data'!N184</f>
        <v>0.7</v>
      </c>
      <c r="H211" t="str">
        <f>'Interpreted Data'!P184</f>
        <v/>
      </c>
      <c r="I211" t="str">
        <f t="shared" si="95"/>
        <v xml:space="preserve"> </v>
      </c>
      <c r="J211" t="str">
        <f t="shared" si="88"/>
        <v>CO</v>
      </c>
      <c r="K211" t="str">
        <f t="shared" si="89"/>
        <v>CN</v>
      </c>
      <c r="L211">
        <f t="shared" si="90"/>
        <v>9.5</v>
      </c>
      <c r="M211" t="str">
        <f t="shared" si="91"/>
        <v>-</v>
      </c>
      <c r="N211" t="str">
        <f t="shared" si="92"/>
        <v>168:00</v>
      </c>
      <c r="O211" t="str">
        <f t="shared" si="93"/>
        <v>4:30</v>
      </c>
      <c r="P211" t="str">
        <f t="shared" si="94"/>
        <v/>
      </c>
    </row>
    <row r="212" spans="1:16" x14ac:dyDescent="0.25">
      <c r="A212" t="str">
        <f>'Raw Data'!A185</f>
        <v>CN</v>
      </c>
      <c r="B212" t="str">
        <f>'Raw Data'!B185</f>
        <v>CM</v>
      </c>
      <c r="C212">
        <f>'Raw Data'!J185</f>
        <v>25.5</v>
      </c>
      <c r="D212" t="str">
        <f>'Interpreted Data'!G185</f>
        <v>335:00</v>
      </c>
      <c r="E212" t="str">
        <f>'Interpreted Data'!H185</f>
        <v>-</v>
      </c>
      <c r="F212" t="str">
        <f>SUBSTITUTE('Raw Data'!K185," ",":",1)</f>
        <v>-21:30</v>
      </c>
      <c r="G212">
        <f>'Interpreted Data'!N185</f>
        <v>-9.3000000000000007</v>
      </c>
      <c r="H212" t="str">
        <f>'Interpreted Data'!P185</f>
        <v>CM = On stalagmite projection over 40 ft pt.</v>
      </c>
      <c r="I212" t="str">
        <f t="shared" si="95"/>
        <v xml:space="preserve"> </v>
      </c>
      <c r="J212" t="str">
        <f t="shared" si="88"/>
        <v>CN</v>
      </c>
      <c r="K212" t="str">
        <f t="shared" si="89"/>
        <v>CM</v>
      </c>
      <c r="L212">
        <f t="shared" si="90"/>
        <v>25.5</v>
      </c>
      <c r="M212" t="str">
        <f t="shared" si="91"/>
        <v>335:00</v>
      </c>
      <c r="N212" t="str">
        <f t="shared" si="92"/>
        <v>-</v>
      </c>
      <c r="O212" t="str">
        <f t="shared" si="93"/>
        <v>-21:30</v>
      </c>
      <c r="P212" t="str">
        <f t="shared" si="94"/>
        <v>CM = On stalagmite projection over 40 ft pt.</v>
      </c>
    </row>
    <row r="213" spans="1:16" x14ac:dyDescent="0.25">
      <c r="A213" t="str">
        <f>'Raw Data'!A186</f>
        <v>CM</v>
      </c>
      <c r="B213">
        <f>'Raw Data'!B186</f>
        <v>0</v>
      </c>
      <c r="C213">
        <f>'Raw Data'!J186</f>
        <v>0</v>
      </c>
      <c r="D213" t="str">
        <f>'Interpreted Data'!G186</f>
        <v>-</v>
      </c>
      <c r="E213" t="str">
        <f>'Interpreted Data'!H186</f>
        <v>-</v>
      </c>
      <c r="F213" t="str">
        <f>SUBSTITUTE('Raw Data'!K186," ",":",1)</f>
        <v>-</v>
      </c>
      <c r="G213" t="str">
        <f>'Interpreted Data'!N186</f>
        <v/>
      </c>
      <c r="H213" t="str">
        <f>'Interpreted Data'!P186</f>
        <v/>
      </c>
      <c r="I213" t="str">
        <f t="shared" si="95"/>
        <v xml:space="preserve"> </v>
      </c>
      <c r="J213" t="s">
        <v>77</v>
      </c>
      <c r="K213" t="str">
        <f>A213</f>
        <v>CM</v>
      </c>
      <c r="L213">
        <f t="shared" ref="L213:L289" si="96">C213</f>
        <v>0</v>
      </c>
      <c r="M213" t="str">
        <f t="shared" ref="M213:M289" si="97">D213</f>
        <v>-</v>
      </c>
      <c r="N213" t="str">
        <f t="shared" ref="N213:N289" si="98">E213</f>
        <v>-</v>
      </c>
      <c r="O213" t="e">
        <f t="shared" ref="O213:O289" si="99">IF(AND(D213="-",E213="-"),IF(1*SUBSTITUTE(F213,":",".")=-90,"DOWN",IF(1*SUBSTITUTE(F213,":",".")=90,"UP","no compass")),F213)</f>
        <v>#VALUE!</v>
      </c>
      <c r="P213" t="str">
        <f t="shared" ref="P213:P289" si="100">H213</f>
        <v/>
      </c>
    </row>
    <row r="215" spans="1:16" x14ac:dyDescent="0.25">
      <c r="A215" t="str">
        <f>'Raw Data'!A188</f>
        <v>p. 61-64</v>
      </c>
      <c r="B215" t="str">
        <f>'Raw Data'!B188</f>
        <v>(=PDF p.65-68)</v>
      </c>
      <c r="C215">
        <f>'Raw Data'!J188</f>
        <v>0</v>
      </c>
      <c r="D215" t="str">
        <f>'Interpreted Data'!G188</f>
        <v>-</v>
      </c>
      <c r="E215" t="str">
        <f>'Interpreted Data'!H188</f>
        <v>-</v>
      </c>
      <c r="F215" t="str">
        <f>SUBSTITUTE('Raw Data'!K188," ",":",1)</f>
        <v/>
      </c>
      <c r="G215" t="str">
        <f>'Interpreted Data'!N188</f>
        <v/>
      </c>
      <c r="H215" t="str">
        <f>'Interpreted Data'!P188</f>
        <v/>
      </c>
      <c r="I215" t="str">
        <f t="shared" si="95"/>
        <v xml:space="preserve"> </v>
      </c>
      <c r="J215" t="str">
        <f t="shared" ref="J215:J289" si="101">A215</f>
        <v>p. 61-64</v>
      </c>
      <c r="K215" t="str">
        <f t="shared" ref="K215:K289" si="102">B215</f>
        <v>(=PDF p.65-68)</v>
      </c>
      <c r="L215">
        <f t="shared" si="96"/>
        <v>0</v>
      </c>
      <c r="M215" t="str">
        <f t="shared" si="97"/>
        <v>-</v>
      </c>
      <c r="N215" t="str">
        <f t="shared" si="98"/>
        <v>-</v>
      </c>
      <c r="O215" t="e">
        <f t="shared" si="99"/>
        <v>#VALUE!</v>
      </c>
      <c r="P215" t="str">
        <f t="shared" si="100"/>
        <v/>
      </c>
    </row>
    <row r="216" spans="1:16" x14ac:dyDescent="0.25">
      <c r="A216" t="str">
        <f>'Raw Data'!A189</f>
        <v>8th Feb '53</v>
      </c>
      <c r="B216">
        <f>'Raw Data'!B189</f>
        <v>0</v>
      </c>
      <c r="C216" t="str">
        <f>'Raw Data'!C189</f>
        <v>Barnes' Loop to Forty</v>
      </c>
      <c r="D216" t="str">
        <f>'Interpreted Data'!G189</f>
        <v>-</v>
      </c>
      <c r="E216" t="str">
        <f>'Interpreted Data'!H189</f>
        <v>-</v>
      </c>
      <c r="F216" t="str">
        <f>SUBSTITUTE('Raw Data'!K189," ",":",1)</f>
        <v/>
      </c>
      <c r="G216" t="str">
        <f>'Interpreted Data'!N189</f>
        <v/>
      </c>
      <c r="H216" t="str">
        <f>'Interpreted Data'!P189</f>
        <v/>
      </c>
      <c r="I216" t="str">
        <f t="shared" si="95"/>
        <v xml:space="preserve"> </v>
      </c>
      <c r="J216" t="str">
        <f t="shared" si="101"/>
        <v>8th Feb '53</v>
      </c>
      <c r="K216">
        <f t="shared" si="102"/>
        <v>0</v>
      </c>
      <c r="L216" t="str">
        <f t="shared" si="96"/>
        <v>Barnes' Loop to Forty</v>
      </c>
      <c r="M216" t="str">
        <f t="shared" si="97"/>
        <v>-</v>
      </c>
      <c r="N216" t="str">
        <f t="shared" si="98"/>
        <v>-</v>
      </c>
      <c r="O216" t="e">
        <f t="shared" si="99"/>
        <v>#VALUE!</v>
      </c>
      <c r="P216" t="str">
        <f t="shared" si="100"/>
        <v/>
      </c>
    </row>
    <row r="217" spans="1:16" x14ac:dyDescent="0.25">
      <c r="J217" t="str">
        <f>$J$1</f>
        <v>data normal from to tape compass backcompass clino ignoreall</v>
      </c>
    </row>
    <row r="218" spans="1:16" x14ac:dyDescent="0.25">
      <c r="A218" t="str">
        <f>'Raw Data'!A190</f>
        <v>AY</v>
      </c>
      <c r="B218" t="str">
        <f>'Raw Data'!B190</f>
        <v>AZ</v>
      </c>
      <c r="C218">
        <f>'Raw Data'!J190</f>
        <v>17.600000000000001</v>
      </c>
      <c r="D218" t="str">
        <f>'Interpreted Data'!G190</f>
        <v>-</v>
      </c>
      <c r="E218" t="str">
        <f>'Interpreted Data'!H190</f>
        <v>259:20</v>
      </c>
      <c r="F218" t="str">
        <f>SUBSTITUTE('Raw Data'!K190," ",":",1)</f>
        <v>30:30</v>
      </c>
      <c r="G218">
        <f>'Interpreted Data'!N190</f>
        <v>8.9</v>
      </c>
      <c r="H218" t="str">
        <f>'Interpreted Data'!P190</f>
        <v/>
      </c>
      <c r="I218" t="str">
        <f t="shared" si="95"/>
        <v xml:space="preserve"> </v>
      </c>
      <c r="J218" t="str">
        <f t="shared" si="101"/>
        <v>AY</v>
      </c>
      <c r="K218" t="str">
        <f t="shared" si="102"/>
        <v>AZ</v>
      </c>
      <c r="L218">
        <f t="shared" si="96"/>
        <v>17.600000000000001</v>
      </c>
      <c r="M218" t="str">
        <f t="shared" si="97"/>
        <v>-</v>
      </c>
      <c r="N218" t="str">
        <f t="shared" si="98"/>
        <v>259:20</v>
      </c>
      <c r="O218" t="str">
        <f t="shared" si="99"/>
        <v>30:30</v>
      </c>
      <c r="P218" t="str">
        <f t="shared" si="100"/>
        <v/>
      </c>
    </row>
    <row r="219" spans="1:16" x14ac:dyDescent="0.25">
      <c r="A219" t="str">
        <f>'Raw Data'!A191</f>
        <v>AZ</v>
      </c>
      <c r="B219" t="str">
        <f>'Raw Data'!B191</f>
        <v>BA</v>
      </c>
      <c r="C219">
        <f>'Raw Data'!J191</f>
        <v>36.6</v>
      </c>
      <c r="D219" t="str">
        <f>'Interpreted Data'!G191</f>
        <v>113:30</v>
      </c>
      <c r="E219" t="str">
        <f>'Interpreted Data'!H191</f>
        <v>-</v>
      </c>
      <c r="F219" t="str">
        <f>SUBSTITUTE('Raw Data'!K191," ",":",1)</f>
        <v>21:20</v>
      </c>
      <c r="G219">
        <f>'Interpreted Data'!N191</f>
        <v>13.3</v>
      </c>
      <c r="H219" t="str">
        <f>'Interpreted Data'!P191</f>
        <v/>
      </c>
      <c r="I219" t="str">
        <f t="shared" si="95"/>
        <v xml:space="preserve"> </v>
      </c>
      <c r="J219" t="str">
        <f t="shared" si="101"/>
        <v>AZ</v>
      </c>
      <c r="K219" t="str">
        <f t="shared" si="102"/>
        <v>BA</v>
      </c>
      <c r="L219">
        <f t="shared" si="96"/>
        <v>36.6</v>
      </c>
      <c r="M219" t="str">
        <f t="shared" si="97"/>
        <v>113:30</v>
      </c>
      <c r="N219" t="str">
        <f t="shared" si="98"/>
        <v>-</v>
      </c>
      <c r="O219" t="str">
        <f t="shared" si="99"/>
        <v>21:20</v>
      </c>
      <c r="P219" t="str">
        <f t="shared" si="100"/>
        <v/>
      </c>
    </row>
    <row r="220" spans="1:16" x14ac:dyDescent="0.25">
      <c r="A220" t="str">
        <f>'Raw Data'!A192</f>
        <v>BA</v>
      </c>
      <c r="B220" t="str">
        <f>'Raw Data'!B192</f>
        <v>BB</v>
      </c>
      <c r="C220">
        <f>'Raw Data'!J192</f>
        <v>10.8</v>
      </c>
      <c r="D220" t="str">
        <f>'Interpreted Data'!G192</f>
        <v>-</v>
      </c>
      <c r="E220" t="str">
        <f>'Interpreted Data'!H192</f>
        <v>179:30</v>
      </c>
      <c r="F220" t="str">
        <f>SUBSTITUTE('Raw Data'!K192," ",":",1)</f>
        <v>-38:20</v>
      </c>
      <c r="G220">
        <f>'Interpreted Data'!N192</f>
        <v>-6.7</v>
      </c>
      <c r="H220" t="str">
        <f>'Interpreted Data'!P192</f>
        <v/>
      </c>
      <c r="I220" t="str">
        <f t="shared" si="95"/>
        <v xml:space="preserve"> </v>
      </c>
      <c r="J220" t="str">
        <f t="shared" si="101"/>
        <v>BA</v>
      </c>
      <c r="K220" t="str">
        <f t="shared" si="102"/>
        <v>BB</v>
      </c>
      <c r="L220">
        <f t="shared" si="96"/>
        <v>10.8</v>
      </c>
      <c r="M220" t="str">
        <f t="shared" si="97"/>
        <v>-</v>
      </c>
      <c r="N220" t="str">
        <f t="shared" si="98"/>
        <v>179:30</v>
      </c>
      <c r="O220" t="str">
        <f t="shared" si="99"/>
        <v>-38:20</v>
      </c>
      <c r="P220" t="str">
        <f t="shared" si="100"/>
        <v/>
      </c>
    </row>
    <row r="221" spans="1:16" x14ac:dyDescent="0.25">
      <c r="A221" t="str">
        <f>'Raw Data'!A193</f>
        <v>BB</v>
      </c>
      <c r="B221" t="str">
        <f>'Raw Data'!B193</f>
        <v>BC</v>
      </c>
      <c r="C221">
        <f>'Raw Data'!J193</f>
        <v>20.399999999999999</v>
      </c>
      <c r="D221" t="str">
        <f>'Interpreted Data'!G193</f>
        <v>011:50</v>
      </c>
      <c r="E221" t="str">
        <f>'Interpreted Data'!H193</f>
        <v>-</v>
      </c>
      <c r="F221" t="str">
        <f>SUBSTITUTE('Raw Data'!K193," ",":",1)</f>
        <v>1:00</v>
      </c>
      <c r="G221">
        <f>'Interpreted Data'!N193</f>
        <v>0.35</v>
      </c>
      <c r="H221" t="str">
        <f>'Interpreted Data'!P193</f>
        <v>3' before little portal</v>
      </c>
      <c r="I221" t="str">
        <f t="shared" si="95"/>
        <v xml:space="preserve"> </v>
      </c>
      <c r="J221" t="str">
        <f t="shared" si="101"/>
        <v>BB</v>
      </c>
      <c r="K221" t="str">
        <f t="shared" si="102"/>
        <v>BC</v>
      </c>
      <c r="L221">
        <f t="shared" si="96"/>
        <v>20.399999999999999</v>
      </c>
      <c r="M221" t="str">
        <f t="shared" si="97"/>
        <v>011:50</v>
      </c>
      <c r="N221" t="str">
        <f t="shared" si="98"/>
        <v>-</v>
      </c>
      <c r="O221" t="str">
        <f t="shared" si="99"/>
        <v>1:00</v>
      </c>
      <c r="P221" t="str">
        <f t="shared" si="100"/>
        <v>3' before little portal</v>
      </c>
    </row>
    <row r="222" spans="1:16" x14ac:dyDescent="0.25">
      <c r="A222" t="str">
        <f>'Raw Data'!A194</f>
        <v>BC</v>
      </c>
      <c r="B222" t="str">
        <f>'Raw Data'!B194</f>
        <v>BD</v>
      </c>
      <c r="C222">
        <f>'Raw Data'!J194</f>
        <v>49.6</v>
      </c>
      <c r="D222" t="str">
        <f>'Interpreted Data'!G194</f>
        <v>-</v>
      </c>
      <c r="E222" t="str">
        <f>'Interpreted Data'!H194</f>
        <v>160:00</v>
      </c>
      <c r="F222" t="str">
        <f>SUBSTITUTE('Raw Data'!K194," ",":",1)</f>
        <v>17:40</v>
      </c>
      <c r="G222">
        <f>'Interpreted Data'!N194</f>
        <v>15</v>
      </c>
      <c r="H222" t="str">
        <f>'Interpreted Data'!P194</f>
        <v/>
      </c>
      <c r="I222" t="str">
        <f t="shared" si="95"/>
        <v xml:space="preserve"> </v>
      </c>
      <c r="J222" t="str">
        <f t="shared" si="101"/>
        <v>BC</v>
      </c>
      <c r="K222" t="str">
        <f t="shared" si="102"/>
        <v>BD</v>
      </c>
      <c r="L222">
        <f t="shared" si="96"/>
        <v>49.6</v>
      </c>
      <c r="M222" t="str">
        <f t="shared" si="97"/>
        <v>-</v>
      </c>
      <c r="N222" t="str">
        <f t="shared" si="98"/>
        <v>160:00</v>
      </c>
      <c r="O222" t="str">
        <f t="shared" si="99"/>
        <v>17:40</v>
      </c>
      <c r="P222" t="str">
        <f t="shared" si="100"/>
        <v/>
      </c>
    </row>
    <row r="223" spans="1:16" x14ac:dyDescent="0.25">
      <c r="A223" t="str">
        <f>'Raw Data'!A195</f>
        <v>BD</v>
      </c>
      <c r="B223" t="str">
        <f>'Raw Data'!B195</f>
        <v>BE</v>
      </c>
      <c r="C223">
        <f>'Raw Data'!J195</f>
        <v>24.7</v>
      </c>
      <c r="D223" t="str">
        <f>'Interpreted Data'!G195</f>
        <v>333:00</v>
      </c>
      <c r="E223" t="str">
        <f>'Interpreted Data'!H195</f>
        <v>-</v>
      </c>
      <c r="F223" t="str">
        <f>SUBSTITUTE('Raw Data'!K195," ",":",1)</f>
        <v>-26:00</v>
      </c>
      <c r="G223">
        <f>'Interpreted Data'!N195</f>
        <v>-10.8</v>
      </c>
      <c r="H223" t="str">
        <f>'Interpreted Data'!P195</f>
        <v>6' before junction with rift</v>
      </c>
      <c r="I223" t="str">
        <f t="shared" si="95"/>
        <v xml:space="preserve"> </v>
      </c>
      <c r="J223" t="str">
        <f t="shared" si="101"/>
        <v>BD</v>
      </c>
      <c r="K223" t="str">
        <f t="shared" si="102"/>
        <v>BE</v>
      </c>
      <c r="L223">
        <f t="shared" si="96"/>
        <v>24.7</v>
      </c>
      <c r="M223" t="str">
        <f t="shared" si="97"/>
        <v>333:00</v>
      </c>
      <c r="N223" t="str">
        <f t="shared" si="98"/>
        <v>-</v>
      </c>
      <c r="O223" t="str">
        <f t="shared" si="99"/>
        <v>-26:00</v>
      </c>
      <c r="P223" t="str">
        <f t="shared" si="100"/>
        <v>6' before junction with rift</v>
      </c>
    </row>
    <row r="224" spans="1:16" x14ac:dyDescent="0.25">
      <c r="A224" t="str">
        <f>'Raw Data'!A196</f>
        <v>BE</v>
      </c>
      <c r="B224" t="str">
        <f>'Raw Data'!B196</f>
        <v>BF</v>
      </c>
      <c r="C224">
        <f>'Raw Data'!J196</f>
        <v>13.3</v>
      </c>
      <c r="D224" t="str">
        <f>'Interpreted Data'!G196</f>
        <v>-</v>
      </c>
      <c r="E224" t="str">
        <f>'Interpreted Data'!H196</f>
        <v>203:30</v>
      </c>
      <c r="F224" t="str">
        <f>SUBSTITUTE('Raw Data'!K196," ",":",1)</f>
        <v>14:00</v>
      </c>
      <c r="G224">
        <f>'Interpreted Data'!N196</f>
        <v>3.2</v>
      </c>
      <c r="H224" t="str">
        <f>'Interpreted Data'!P196</f>
        <v>over dark rift</v>
      </c>
      <c r="I224" t="str">
        <f t="shared" si="95"/>
        <v xml:space="preserve"> </v>
      </c>
      <c r="J224" t="str">
        <f t="shared" si="101"/>
        <v>BE</v>
      </c>
      <c r="K224" t="str">
        <f t="shared" si="102"/>
        <v>BF</v>
      </c>
      <c r="L224">
        <f t="shared" si="96"/>
        <v>13.3</v>
      </c>
      <c r="M224" t="str">
        <f t="shared" si="97"/>
        <v>-</v>
      </c>
      <c r="N224" t="str">
        <f t="shared" si="98"/>
        <v>203:30</v>
      </c>
      <c r="O224" t="str">
        <f t="shared" si="99"/>
        <v>14:00</v>
      </c>
      <c r="P224" t="str">
        <f t="shared" si="100"/>
        <v>over dark rift</v>
      </c>
    </row>
    <row r="225" spans="1:16" x14ac:dyDescent="0.25">
      <c r="A225" t="str">
        <f>'Raw Data'!A197</f>
        <v>BF</v>
      </c>
      <c r="B225" t="str">
        <f>'Raw Data'!B197</f>
        <v>BG</v>
      </c>
      <c r="C225">
        <f>'Raw Data'!J197</f>
        <v>15.7</v>
      </c>
      <c r="D225" t="str">
        <f>'Interpreted Data'!G197</f>
        <v>091:50</v>
      </c>
      <c r="E225" t="str">
        <f>'Interpreted Data'!H197</f>
        <v>-</v>
      </c>
      <c r="F225" t="str">
        <f>SUBSTITUTE('Raw Data'!K197," ",":",1)</f>
        <v>15:00</v>
      </c>
      <c r="G225">
        <f>'Interpreted Data'!N197</f>
        <v>4.0999999999999996</v>
      </c>
      <c r="H225" t="str">
        <f>'Interpreted Data'!P197</f>
        <v>corner</v>
      </c>
      <c r="I225" t="str">
        <f t="shared" si="95"/>
        <v xml:space="preserve"> </v>
      </c>
      <c r="J225" t="str">
        <f t="shared" si="101"/>
        <v>BF</v>
      </c>
      <c r="K225" t="str">
        <f t="shared" si="102"/>
        <v>BG</v>
      </c>
      <c r="L225">
        <f t="shared" si="96"/>
        <v>15.7</v>
      </c>
      <c r="M225" t="str">
        <f t="shared" si="97"/>
        <v>091:50</v>
      </c>
      <c r="N225" t="str">
        <f t="shared" si="98"/>
        <v>-</v>
      </c>
      <c r="O225" t="str">
        <f t="shared" si="99"/>
        <v>15:00</v>
      </c>
      <c r="P225" t="str">
        <f t="shared" si="100"/>
        <v>corner</v>
      </c>
    </row>
    <row r="226" spans="1:16" x14ac:dyDescent="0.25">
      <c r="A226" t="str">
        <f>'Raw Data'!A198</f>
        <v>BG</v>
      </c>
      <c r="B226" t="str">
        <f>'Raw Data'!B198</f>
        <v>BH</v>
      </c>
      <c r="C226">
        <f>'Raw Data'!J198</f>
        <v>36.9</v>
      </c>
      <c r="D226" t="str">
        <f>'Interpreted Data'!G198</f>
        <v>-</v>
      </c>
      <c r="E226" t="str">
        <f>'Interpreted Data'!H198</f>
        <v>324:20</v>
      </c>
      <c r="F226" t="str">
        <f>SUBSTITUTE('Raw Data'!K198," ",":",1)</f>
        <v>11:30</v>
      </c>
      <c r="G226">
        <f>'Interpreted Data'!N198</f>
        <v>7.3</v>
      </c>
      <c r="H226" t="str">
        <f>'Interpreted Data'!P198</f>
        <v/>
      </c>
      <c r="I226" t="str">
        <f t="shared" si="95"/>
        <v xml:space="preserve"> </v>
      </c>
      <c r="J226" t="str">
        <f t="shared" si="101"/>
        <v>BG</v>
      </c>
      <c r="K226" t="str">
        <f t="shared" si="102"/>
        <v>BH</v>
      </c>
      <c r="L226">
        <f t="shared" si="96"/>
        <v>36.9</v>
      </c>
      <c r="M226" t="str">
        <f t="shared" si="97"/>
        <v>-</v>
      </c>
      <c r="N226" t="str">
        <f t="shared" si="98"/>
        <v>324:20</v>
      </c>
      <c r="O226" t="str">
        <f t="shared" si="99"/>
        <v>11:30</v>
      </c>
      <c r="P226" t="str">
        <f t="shared" si="100"/>
        <v/>
      </c>
    </row>
    <row r="227" spans="1:16" x14ac:dyDescent="0.25">
      <c r="A227" t="str">
        <f>'Raw Data'!A199</f>
        <v>BH</v>
      </c>
      <c r="B227" t="str">
        <f>'Raw Data'!B199</f>
        <v>BI</v>
      </c>
      <c r="C227">
        <f>'Raw Data'!J199</f>
        <v>24.2</v>
      </c>
      <c r="D227" t="str">
        <f>'Interpreted Data'!G199</f>
        <v>104:10</v>
      </c>
      <c r="E227" t="str">
        <f>'Interpreted Data'!H199</f>
        <v>-</v>
      </c>
      <c r="F227" t="str">
        <f>SUBSTITUTE('Raw Data'!K199," ",":",1)</f>
        <v>-0:30</v>
      </c>
      <c r="G227">
        <f>'Interpreted Data'!N199</f>
        <v>-0.2</v>
      </c>
      <c r="H227" t="str">
        <f>'Interpreted Data'!P199</f>
        <v/>
      </c>
      <c r="I227" t="str">
        <f t="shared" si="95"/>
        <v xml:space="preserve"> </v>
      </c>
      <c r="J227" t="str">
        <f t="shared" si="101"/>
        <v>BH</v>
      </c>
      <c r="K227" t="str">
        <f t="shared" si="102"/>
        <v>BI</v>
      </c>
      <c r="L227">
        <f t="shared" si="96"/>
        <v>24.2</v>
      </c>
      <c r="M227" t="str">
        <f t="shared" si="97"/>
        <v>104:10</v>
      </c>
      <c r="N227" t="str">
        <f t="shared" si="98"/>
        <v>-</v>
      </c>
      <c r="O227" t="str">
        <f t="shared" si="99"/>
        <v>-0:30</v>
      </c>
      <c r="P227" t="str">
        <f t="shared" si="100"/>
        <v/>
      </c>
    </row>
    <row r="228" spans="1:16" x14ac:dyDescent="0.25">
      <c r="A228" t="str">
        <f>'Raw Data'!A200</f>
        <v>BI</v>
      </c>
      <c r="B228" t="str">
        <f>'Raw Data'!B200</f>
        <v>BJ</v>
      </c>
      <c r="C228">
        <f>'Raw Data'!J200</f>
        <v>17.5</v>
      </c>
      <c r="D228" t="str">
        <f>'Interpreted Data'!G200</f>
        <v>-</v>
      </c>
      <c r="E228" t="str">
        <f>'Interpreted Data'!H200</f>
        <v>212:20</v>
      </c>
      <c r="F228" t="str">
        <f>SUBSTITUTE('Raw Data'!K200," ",":",1)</f>
        <v>39:00</v>
      </c>
      <c r="G228">
        <f>'Interpreted Data'!N200</f>
        <v>11</v>
      </c>
      <c r="H228" t="str">
        <f>'Interpreted Data'!P200</f>
        <v>W.R. At stream level nil(?)</v>
      </c>
      <c r="I228" t="str">
        <f t="shared" si="95"/>
        <v xml:space="preserve"> </v>
      </c>
      <c r="J228" t="str">
        <f t="shared" si="101"/>
        <v>BI</v>
      </c>
      <c r="K228" t="str">
        <f t="shared" si="102"/>
        <v>BJ</v>
      </c>
      <c r="L228">
        <f t="shared" si="96"/>
        <v>17.5</v>
      </c>
      <c r="M228" t="str">
        <f t="shared" si="97"/>
        <v>-</v>
      </c>
      <c r="N228" t="str">
        <f t="shared" si="98"/>
        <v>212:20</v>
      </c>
      <c r="O228" t="str">
        <f t="shared" si="99"/>
        <v>39:00</v>
      </c>
      <c r="P228" t="str">
        <f t="shared" si="100"/>
        <v>W.R. At stream level nil(?)</v>
      </c>
    </row>
    <row r="229" spans="1:16" x14ac:dyDescent="0.25">
      <c r="A229" t="str">
        <f>'Raw Data'!A201</f>
        <v>BJ</v>
      </c>
      <c r="B229" t="str">
        <f>'Raw Data'!B201</f>
        <v>BK</v>
      </c>
      <c r="C229">
        <f>'Raw Data'!J201</f>
        <v>24.8</v>
      </c>
      <c r="D229" t="str">
        <f>'Interpreted Data'!G201</f>
        <v>121:00</v>
      </c>
      <c r="E229" t="str">
        <f>'Interpreted Data'!H201</f>
        <v>-</v>
      </c>
      <c r="F229" t="str">
        <f>SUBSTITUTE('Raw Data'!K201," ",":",1)</f>
        <v>9:00</v>
      </c>
      <c r="G229">
        <f>'Interpreted Data'!N201</f>
        <v>3.9</v>
      </c>
      <c r="H229" t="str">
        <f>'Interpreted Data'!P201</f>
        <v>above lower double pot</v>
      </c>
      <c r="I229" t="str">
        <f t="shared" si="95"/>
        <v xml:space="preserve"> </v>
      </c>
      <c r="J229" t="str">
        <f t="shared" si="101"/>
        <v>BJ</v>
      </c>
      <c r="K229" t="str">
        <f t="shared" si="102"/>
        <v>BK</v>
      </c>
      <c r="L229">
        <f t="shared" si="96"/>
        <v>24.8</v>
      </c>
      <c r="M229" t="str">
        <f t="shared" si="97"/>
        <v>121:00</v>
      </c>
      <c r="N229" t="str">
        <f t="shared" si="98"/>
        <v>-</v>
      </c>
      <c r="O229" t="str">
        <f t="shared" si="99"/>
        <v>9:00</v>
      </c>
      <c r="P229" t="str">
        <f t="shared" si="100"/>
        <v>above lower double pot</v>
      </c>
    </row>
    <row r="230" spans="1:16" x14ac:dyDescent="0.25">
      <c r="A230" t="str">
        <f>'Raw Data'!A202</f>
        <v>BK</v>
      </c>
      <c r="B230" t="str">
        <f>'Raw Data'!B202</f>
        <v>BL</v>
      </c>
      <c r="C230">
        <f>'Raw Data'!J202</f>
        <v>22.1</v>
      </c>
      <c r="D230" t="str">
        <f>'Interpreted Data'!G202</f>
        <v>-</v>
      </c>
      <c r="E230" t="str">
        <f>'Interpreted Data'!H202</f>
        <v>277:30</v>
      </c>
      <c r="F230" t="str">
        <f>SUBSTITUTE('Raw Data'!K202," ",":",1)</f>
        <v>-0:30</v>
      </c>
      <c r="G230">
        <f>'Interpreted Data'!N202</f>
        <v>-0.2</v>
      </c>
      <c r="H230" t="str">
        <f>'Interpreted Data'!P202</f>
        <v>low height due to stalagmite choke in high aven</v>
      </c>
      <c r="I230" t="str">
        <f t="shared" si="95"/>
        <v xml:space="preserve"> </v>
      </c>
      <c r="J230" t="str">
        <f t="shared" si="101"/>
        <v>BK</v>
      </c>
      <c r="K230" t="str">
        <f t="shared" si="102"/>
        <v>BL</v>
      </c>
      <c r="L230">
        <f t="shared" si="96"/>
        <v>22.1</v>
      </c>
      <c r="M230" t="str">
        <f t="shared" si="97"/>
        <v>-</v>
      </c>
      <c r="N230" t="str">
        <f t="shared" si="98"/>
        <v>277:30</v>
      </c>
      <c r="O230" t="str">
        <f t="shared" si="99"/>
        <v>-0:30</v>
      </c>
      <c r="P230" t="str">
        <f t="shared" si="100"/>
        <v>low height due to stalagmite choke in high aven</v>
      </c>
    </row>
    <row r="231" spans="1:16" x14ac:dyDescent="0.25">
      <c r="A231" t="str">
        <f>'Raw Data'!A203</f>
        <v>BL</v>
      </c>
      <c r="B231" t="str">
        <f>'Raw Data'!B203</f>
        <v>BM</v>
      </c>
      <c r="C231">
        <f>'Raw Data'!J203</f>
        <v>35.700000000000003</v>
      </c>
      <c r="D231" t="str">
        <f>'Interpreted Data'!G203</f>
        <v>133:00</v>
      </c>
      <c r="E231" t="str">
        <f>'Interpreted Data'!H203</f>
        <v>-</v>
      </c>
      <c r="F231" t="str">
        <f>SUBSTITUTE('Raw Data'!K203," ",":",1)</f>
        <v>7:00</v>
      </c>
      <c r="G231">
        <f>'Interpreted Data'!N203</f>
        <v>4.3</v>
      </c>
      <c r="H231" t="str">
        <f>'Interpreted Data'!P203</f>
        <v/>
      </c>
      <c r="I231" t="str">
        <f t="shared" si="95"/>
        <v xml:space="preserve"> </v>
      </c>
      <c r="J231" t="str">
        <f t="shared" si="101"/>
        <v>BL</v>
      </c>
      <c r="K231" t="str">
        <f t="shared" si="102"/>
        <v>BM</v>
      </c>
      <c r="L231">
        <f t="shared" si="96"/>
        <v>35.700000000000003</v>
      </c>
      <c r="M231" t="str">
        <f t="shared" si="97"/>
        <v>133:00</v>
      </c>
      <c r="N231" t="str">
        <f t="shared" si="98"/>
        <v>-</v>
      </c>
      <c r="O231" t="str">
        <f t="shared" si="99"/>
        <v>7:00</v>
      </c>
      <c r="P231" t="str">
        <f t="shared" si="100"/>
        <v/>
      </c>
    </row>
    <row r="232" spans="1:16" x14ac:dyDescent="0.25">
      <c r="A232" t="str">
        <f>'Raw Data'!A204</f>
        <v>BM</v>
      </c>
      <c r="B232" t="str">
        <f>'Raw Data'!B204</f>
        <v>BN</v>
      </c>
      <c r="C232">
        <f>'Raw Data'!J204</f>
        <v>9.9</v>
      </c>
      <c r="D232" t="str">
        <f>'Interpreted Data'!G204</f>
        <v>-</v>
      </c>
      <c r="E232" t="str">
        <f>'Interpreted Data'!H204</f>
        <v>351:20</v>
      </c>
      <c r="F232" t="str">
        <f>SUBSTITUTE('Raw Data'!K204," ",":",1)</f>
        <v>-23:30</v>
      </c>
      <c r="G232">
        <f>'Interpreted Data'!N204</f>
        <v>-4</v>
      </c>
      <c r="H232" t="str">
        <f>'Interpreted Data'!P204</f>
        <v/>
      </c>
      <c r="I232" t="str">
        <f t="shared" si="95"/>
        <v xml:space="preserve"> </v>
      </c>
      <c r="J232" t="str">
        <f t="shared" si="101"/>
        <v>BM</v>
      </c>
      <c r="K232" t="str">
        <f t="shared" si="102"/>
        <v>BN</v>
      </c>
      <c r="L232">
        <f t="shared" si="96"/>
        <v>9.9</v>
      </c>
      <c r="M232" t="str">
        <f t="shared" si="97"/>
        <v>-</v>
      </c>
      <c r="N232" t="str">
        <f t="shared" si="98"/>
        <v>351:20</v>
      </c>
      <c r="O232" t="str">
        <f t="shared" si="99"/>
        <v>-23:30</v>
      </c>
      <c r="P232" t="str">
        <f t="shared" si="100"/>
        <v/>
      </c>
    </row>
    <row r="233" spans="1:16" x14ac:dyDescent="0.25">
      <c r="A233" t="str">
        <f>'Raw Data'!A205</f>
        <v>BN</v>
      </c>
      <c r="B233" t="str">
        <f>'Raw Data'!B205</f>
        <v>BO</v>
      </c>
      <c r="C233">
        <f>'Raw Data'!J205</f>
        <v>7.7</v>
      </c>
      <c r="D233" t="str">
        <f>'Interpreted Data'!G205</f>
        <v>102:20</v>
      </c>
      <c r="E233" t="str">
        <f>'Interpreted Data'!H205</f>
        <v>-</v>
      </c>
      <c r="F233" t="str">
        <f>SUBSTITUTE('Raw Data'!K205," ",":",1)</f>
        <v>15:00</v>
      </c>
      <c r="G233">
        <f>'Interpreted Data'!N205</f>
        <v>2</v>
      </c>
      <c r="H233" t="str">
        <f>'Interpreted Data'!P205</f>
        <v/>
      </c>
      <c r="I233" t="str">
        <f t="shared" si="95"/>
        <v xml:space="preserve"> </v>
      </c>
      <c r="J233" t="str">
        <f t="shared" si="101"/>
        <v>BN</v>
      </c>
      <c r="K233" t="str">
        <f t="shared" si="102"/>
        <v>BO</v>
      </c>
      <c r="L233">
        <f t="shared" si="96"/>
        <v>7.7</v>
      </c>
      <c r="M233" t="str">
        <f t="shared" si="97"/>
        <v>102:20</v>
      </c>
      <c r="N233" t="str">
        <f t="shared" si="98"/>
        <v>-</v>
      </c>
      <c r="O233" t="str">
        <f t="shared" si="99"/>
        <v>15:00</v>
      </c>
      <c r="P233" t="str">
        <f t="shared" si="100"/>
        <v/>
      </c>
    </row>
    <row r="234" spans="1:16" x14ac:dyDescent="0.25">
      <c r="A234" t="str">
        <f>'Raw Data'!A206</f>
        <v>BO</v>
      </c>
      <c r="B234" t="str">
        <f>'Raw Data'!B206</f>
        <v>BP</v>
      </c>
      <c r="C234">
        <f>'Raw Data'!J206</f>
        <v>21.2</v>
      </c>
      <c r="D234" t="str">
        <f>'Interpreted Data'!G206</f>
        <v>-</v>
      </c>
      <c r="E234" t="str">
        <f>'Interpreted Data'!H206</f>
        <v>317:00</v>
      </c>
      <c r="F234" t="str">
        <f>SUBSTITUTE('Raw Data'!K206," ",":",1)</f>
        <v>6:50</v>
      </c>
      <c r="G234">
        <f>'Interpreted Data'!N206</f>
        <v>2.5</v>
      </c>
      <c r="H234" t="str">
        <f>'Interpreted Data'!P206</f>
        <v/>
      </c>
      <c r="I234" t="str">
        <f t="shared" si="95"/>
        <v xml:space="preserve"> </v>
      </c>
      <c r="J234" t="str">
        <f t="shared" si="101"/>
        <v>BO</v>
      </c>
      <c r="K234" t="str">
        <f t="shared" si="102"/>
        <v>BP</v>
      </c>
      <c r="L234">
        <f t="shared" si="96"/>
        <v>21.2</v>
      </c>
      <c r="M234" t="str">
        <f t="shared" si="97"/>
        <v>-</v>
      </c>
      <c r="N234" t="str">
        <f t="shared" si="98"/>
        <v>317:00</v>
      </c>
      <c r="O234" t="str">
        <f t="shared" si="99"/>
        <v>6:50</v>
      </c>
      <c r="P234" t="str">
        <f t="shared" si="100"/>
        <v/>
      </c>
    </row>
    <row r="235" spans="1:16" x14ac:dyDescent="0.25">
      <c r="A235" t="str">
        <f>'Raw Data'!A207</f>
        <v>BP</v>
      </c>
      <c r="B235" t="str">
        <f>'Raw Data'!B207</f>
        <v>BQ</v>
      </c>
      <c r="C235">
        <f>'Raw Data'!J207</f>
        <v>28.5</v>
      </c>
      <c r="D235" t="str">
        <f>'Interpreted Data'!G207</f>
        <v>152:30</v>
      </c>
      <c r="E235" t="str">
        <f>'Interpreted Data'!H207</f>
        <v>-</v>
      </c>
      <c r="F235" t="str">
        <f>SUBSTITUTE('Raw Data'!K207," ",":",1)</f>
        <v>9:40</v>
      </c>
      <c r="G235">
        <f>'Interpreted Data'!N207</f>
        <v>4.8</v>
      </c>
      <c r="H235" t="str">
        <f>'Interpreted Data'!P207</f>
        <v/>
      </c>
      <c r="I235" t="str">
        <f t="shared" si="95"/>
        <v xml:space="preserve"> </v>
      </c>
      <c r="J235" t="str">
        <f t="shared" si="101"/>
        <v>BP</v>
      </c>
      <c r="K235" t="str">
        <f t="shared" si="102"/>
        <v>BQ</v>
      </c>
      <c r="L235">
        <f t="shared" si="96"/>
        <v>28.5</v>
      </c>
      <c r="M235" t="str">
        <f t="shared" si="97"/>
        <v>152:30</v>
      </c>
      <c r="N235" t="str">
        <f t="shared" si="98"/>
        <v>-</v>
      </c>
      <c r="O235" t="str">
        <f t="shared" si="99"/>
        <v>9:40</v>
      </c>
      <c r="P235" t="str">
        <f t="shared" si="100"/>
        <v/>
      </c>
    </row>
    <row r="236" spans="1:16" x14ac:dyDescent="0.25">
      <c r="A236" t="str">
        <f>'Raw Data'!A208</f>
        <v>BQ</v>
      </c>
      <c r="B236" t="str">
        <f>'Raw Data'!B208</f>
        <v>BR</v>
      </c>
      <c r="C236">
        <f>'Raw Data'!J208</f>
        <v>29.6</v>
      </c>
      <c r="D236" t="str">
        <f>'Interpreted Data'!G208</f>
        <v>-</v>
      </c>
      <c r="E236" t="str">
        <f>'Interpreted Data'!H208</f>
        <v>313:10</v>
      </c>
      <c r="F236" t="str">
        <f>SUBSTITUTE('Raw Data'!K208," ",":",1)</f>
        <v>1:30</v>
      </c>
      <c r="G236">
        <f>'Interpreted Data'!N208</f>
        <v>0.8</v>
      </c>
      <c r="H236" t="str">
        <f>'Interpreted Data'!P208</f>
        <v/>
      </c>
      <c r="I236" t="str">
        <f t="shared" si="95"/>
        <v xml:space="preserve"> </v>
      </c>
      <c r="J236" t="str">
        <f t="shared" si="101"/>
        <v>BQ</v>
      </c>
      <c r="K236" t="str">
        <f t="shared" si="102"/>
        <v>BR</v>
      </c>
      <c r="L236">
        <f t="shared" si="96"/>
        <v>29.6</v>
      </c>
      <c r="M236" t="str">
        <f t="shared" si="97"/>
        <v>-</v>
      </c>
      <c r="N236" t="str">
        <f t="shared" si="98"/>
        <v>313:10</v>
      </c>
      <c r="O236" t="str">
        <f t="shared" si="99"/>
        <v>1:30</v>
      </c>
      <c r="P236" t="str">
        <f t="shared" si="100"/>
        <v/>
      </c>
    </row>
    <row r="237" spans="1:16" x14ac:dyDescent="0.25">
      <c r="A237" t="str">
        <f>'Raw Data'!A209</f>
        <v>BR</v>
      </c>
      <c r="B237" t="str">
        <f>'Raw Data'!B209</f>
        <v>BS</v>
      </c>
      <c r="C237">
        <f>'Raw Data'!J209</f>
        <v>20.399999999999999</v>
      </c>
      <c r="D237" t="str">
        <f>'Interpreted Data'!G209</f>
        <v>137:30</v>
      </c>
      <c r="E237" t="str">
        <f>'Interpreted Data'!H209</f>
        <v>-</v>
      </c>
      <c r="F237" t="str">
        <f>SUBSTITUTE('Raw Data'!K209," ",":",1)</f>
        <v>-4:30</v>
      </c>
      <c r="G237">
        <f>'Interpreted Data'!N209</f>
        <v>-1.6</v>
      </c>
      <c r="H237" t="str">
        <f>'Interpreted Data'!P209</f>
        <v>below boss in Shrine</v>
      </c>
      <c r="I237" t="str">
        <f t="shared" si="95"/>
        <v xml:space="preserve"> </v>
      </c>
      <c r="J237" t="str">
        <f t="shared" si="101"/>
        <v>BR</v>
      </c>
      <c r="K237" t="str">
        <f t="shared" si="102"/>
        <v>BS</v>
      </c>
      <c r="L237">
        <f t="shared" si="96"/>
        <v>20.399999999999999</v>
      </c>
      <c r="M237" t="str">
        <f t="shared" si="97"/>
        <v>137:30</v>
      </c>
      <c r="N237" t="str">
        <f t="shared" si="98"/>
        <v>-</v>
      </c>
      <c r="O237" t="str">
        <f t="shared" si="99"/>
        <v>-4:30</v>
      </c>
      <c r="P237" t="str">
        <f t="shared" si="100"/>
        <v>below boss in Shrine</v>
      </c>
    </row>
    <row r="238" spans="1:16" x14ac:dyDescent="0.25">
      <c r="J238" t="str">
        <f>$J$2</f>
        <v>data diving from to tape compass backcompass depthchange ignoreall</v>
      </c>
    </row>
    <row r="239" spans="1:16" x14ac:dyDescent="0.25">
      <c r="A239" t="str">
        <f>'Raw Data'!A210</f>
        <v>BS</v>
      </c>
      <c r="B239" t="str">
        <f>'Raw Data'!B210</f>
        <v>BT</v>
      </c>
      <c r="C239">
        <f>'Raw Data'!J210</f>
        <v>1.5</v>
      </c>
      <c r="D239" t="str">
        <f>'Interpreted Data'!G210</f>
        <v>149:00</v>
      </c>
      <c r="E239" t="str">
        <f>'Interpreted Data'!H210</f>
        <v>-</v>
      </c>
      <c r="F239" t="str">
        <f>SUBSTITUTE('Raw Data'!K210," ",":",1)</f>
        <v>-one:inch</v>
      </c>
      <c r="G239">
        <f>'Interpreted Data'!N210</f>
        <v>-0.1</v>
      </c>
      <c r="H239" t="str">
        <f>'Interpreted Data'!P210</f>
        <v>bloody horrible</v>
      </c>
      <c r="I239" t="str">
        <f t="shared" si="95"/>
        <v xml:space="preserve"> </v>
      </c>
      <c r="J239" t="str">
        <f t="shared" si="101"/>
        <v>BS</v>
      </c>
      <c r="K239" t="str">
        <f t="shared" si="102"/>
        <v>BT</v>
      </c>
      <c r="L239">
        <f t="shared" si="96"/>
        <v>1.5</v>
      </c>
      <c r="M239" t="str">
        <f t="shared" si="97"/>
        <v>149:00</v>
      </c>
      <c r="N239" t="str">
        <f t="shared" si="98"/>
        <v>-</v>
      </c>
      <c r="O239">
        <f>G239</f>
        <v>-0.1</v>
      </c>
      <c r="P239" t="str">
        <f t="shared" si="100"/>
        <v>bloody horrible</v>
      </c>
    </row>
    <row r="240" spans="1:16" x14ac:dyDescent="0.25">
      <c r="J240" t="str">
        <f>$J$1</f>
        <v>data normal from to tape compass backcompass clino ignoreall</v>
      </c>
    </row>
    <row r="241" spans="1:16" x14ac:dyDescent="0.25">
      <c r="A241" t="str">
        <f>'Raw Data'!A211</f>
        <v>BT</v>
      </c>
      <c r="B241" t="str">
        <f>'Raw Data'!B211</f>
        <v>BU</v>
      </c>
      <c r="C241">
        <f>'Raw Data'!J211</f>
        <v>21.6</v>
      </c>
      <c r="D241" t="str">
        <f>'Interpreted Data'!G211</f>
        <v>-</v>
      </c>
      <c r="E241" t="str">
        <f>'Interpreted Data'!H211</f>
        <v>265:50</v>
      </c>
      <c r="F241" t="str">
        <f>SUBSTITUTE('Raw Data'!K211," ",":",1)</f>
        <v>14:20</v>
      </c>
      <c r="G241">
        <f>'Interpreted Data'!N211</f>
        <v>5.4</v>
      </c>
      <c r="H241" t="str">
        <f>'Interpreted Data'!P211</f>
        <v/>
      </c>
      <c r="I241" t="str">
        <f t="shared" si="95"/>
        <v xml:space="preserve"> </v>
      </c>
      <c r="J241" t="str">
        <f t="shared" si="101"/>
        <v>BT</v>
      </c>
      <c r="K241" t="str">
        <f t="shared" si="102"/>
        <v>BU</v>
      </c>
      <c r="L241">
        <f t="shared" si="96"/>
        <v>21.6</v>
      </c>
      <c r="M241" t="str">
        <f t="shared" si="97"/>
        <v>-</v>
      </c>
      <c r="N241" t="str">
        <f t="shared" si="98"/>
        <v>265:50</v>
      </c>
      <c r="O241" t="str">
        <f t="shared" si="99"/>
        <v>14:20</v>
      </c>
      <c r="P241" t="str">
        <f t="shared" si="100"/>
        <v/>
      </c>
    </row>
    <row r="242" spans="1:16" x14ac:dyDescent="0.25">
      <c r="A242" t="str">
        <f>'Raw Data'!A212</f>
        <v>BU</v>
      </c>
      <c r="B242" t="str">
        <f>'Raw Data'!B212</f>
        <v>BV</v>
      </c>
      <c r="C242">
        <f>'Raw Data'!J212</f>
        <v>8.5</v>
      </c>
      <c r="D242" t="str">
        <f>'Interpreted Data'!G212</f>
        <v>116:00</v>
      </c>
      <c r="E242" t="str">
        <f>'Interpreted Data'!H212</f>
        <v>-</v>
      </c>
      <c r="F242" t="str">
        <f>SUBSTITUTE('Raw Data'!K212," ",":",1)</f>
        <v>-6:30</v>
      </c>
      <c r="G242">
        <f>'Interpreted Data'!N212</f>
        <v>-1</v>
      </c>
      <c r="H242" t="str">
        <f>'Interpreted Data'!P212</f>
        <v/>
      </c>
      <c r="I242" t="str">
        <f t="shared" si="95"/>
        <v xml:space="preserve"> </v>
      </c>
      <c r="J242" t="str">
        <f t="shared" si="101"/>
        <v>BU</v>
      </c>
      <c r="K242" t="str">
        <f t="shared" si="102"/>
        <v>BV</v>
      </c>
      <c r="L242">
        <f t="shared" si="96"/>
        <v>8.5</v>
      </c>
      <c r="M242" t="str">
        <f t="shared" si="97"/>
        <v>116:00</v>
      </c>
      <c r="N242" t="str">
        <f t="shared" si="98"/>
        <v>-</v>
      </c>
      <c r="O242" t="str">
        <f t="shared" si="99"/>
        <v>-6:30</v>
      </c>
      <c r="P242" t="str">
        <f t="shared" si="100"/>
        <v/>
      </c>
    </row>
    <row r="243" spans="1:16" x14ac:dyDescent="0.25">
      <c r="A243" t="str">
        <f>'Raw Data'!A213</f>
        <v>BV</v>
      </c>
      <c r="B243" t="str">
        <f>'Raw Data'!B213</f>
        <v>BW</v>
      </c>
      <c r="C243">
        <f>'Raw Data'!J213</f>
        <v>15.7</v>
      </c>
      <c r="D243" t="str">
        <f>'Interpreted Data'!G213</f>
        <v>-</v>
      </c>
      <c r="E243" t="str">
        <f>'Interpreted Data'!H213</f>
        <v>266:20</v>
      </c>
      <c r="F243" t="str">
        <f>SUBSTITUTE('Raw Data'!K213," ",":",1)</f>
        <v>11:30</v>
      </c>
      <c r="G243">
        <f>'Interpreted Data'!N213</f>
        <v>3.1</v>
      </c>
      <c r="H243" t="str">
        <f>'Interpreted Data'!P213</f>
        <v/>
      </c>
      <c r="I243" t="str">
        <f t="shared" si="95"/>
        <v xml:space="preserve"> </v>
      </c>
      <c r="J243" t="str">
        <f t="shared" si="101"/>
        <v>BV</v>
      </c>
      <c r="K243" t="str">
        <f t="shared" si="102"/>
        <v>BW</v>
      </c>
      <c r="L243">
        <f t="shared" si="96"/>
        <v>15.7</v>
      </c>
      <c r="M243" t="str">
        <f t="shared" si="97"/>
        <v>-</v>
      </c>
      <c r="N243" t="str">
        <f t="shared" si="98"/>
        <v>266:20</v>
      </c>
      <c r="O243" t="str">
        <f t="shared" si="99"/>
        <v>11:30</v>
      </c>
      <c r="P243" t="str">
        <f t="shared" si="100"/>
        <v/>
      </c>
    </row>
    <row r="244" spans="1:16" x14ac:dyDescent="0.25">
      <c r="A244" t="str">
        <f>'Raw Data'!A214</f>
        <v>BW</v>
      </c>
      <c r="B244" t="str">
        <f>'Raw Data'!B214</f>
        <v>BX</v>
      </c>
      <c r="C244">
        <f>'Raw Data'!J214</f>
        <v>28.5</v>
      </c>
      <c r="D244" t="str">
        <f>'Interpreted Data'!G214</f>
        <v>117:00</v>
      </c>
      <c r="E244" t="str">
        <f>'Interpreted Data'!H214</f>
        <v>-</v>
      </c>
      <c r="F244" t="str">
        <f>SUBSTITUTE('Raw Data'!K214," ",":",1)</f>
        <v>32:30</v>
      </c>
      <c r="G244">
        <f>'Interpreted Data'!N214</f>
        <v>15.3</v>
      </c>
      <c r="H244" t="str">
        <f>'Interpreted Data'!P214</f>
        <v/>
      </c>
      <c r="I244" t="str">
        <f t="shared" si="95"/>
        <v xml:space="preserve"> </v>
      </c>
      <c r="J244" t="str">
        <f t="shared" si="101"/>
        <v>BW</v>
      </c>
      <c r="K244" t="str">
        <f t="shared" si="102"/>
        <v>BX</v>
      </c>
      <c r="L244">
        <f t="shared" si="96"/>
        <v>28.5</v>
      </c>
      <c r="M244" t="str">
        <f t="shared" si="97"/>
        <v>117:00</v>
      </c>
      <c r="N244" t="str">
        <f t="shared" si="98"/>
        <v>-</v>
      </c>
      <c r="O244" t="str">
        <f t="shared" si="99"/>
        <v>32:30</v>
      </c>
      <c r="P244" t="str">
        <f t="shared" si="100"/>
        <v/>
      </c>
    </row>
    <row r="245" spans="1:16" x14ac:dyDescent="0.25">
      <c r="A245" t="str">
        <f>'Raw Data'!A215</f>
        <v>BX</v>
      </c>
      <c r="B245" t="str">
        <f>'Raw Data'!B215</f>
        <v>BY</v>
      </c>
      <c r="C245">
        <f>'Raw Data'!J215</f>
        <v>6.9</v>
      </c>
      <c r="D245" t="str">
        <f>'Interpreted Data'!G215</f>
        <v>-</v>
      </c>
      <c r="E245" t="str">
        <f>'Interpreted Data'!H215</f>
        <v>326:00</v>
      </c>
      <c r="F245" t="str">
        <f>SUBSTITUTE('Raw Data'!K215," ",":",1)</f>
        <v>24:30</v>
      </c>
      <c r="G245">
        <f>'Interpreted Data'!N215</f>
        <v>2.9</v>
      </c>
      <c r="H245" t="str">
        <f>'Interpreted Data'!P215</f>
        <v>beside hook at top of 20' Drop. W.L. as sta 1'</v>
      </c>
      <c r="I245" t="str">
        <f t="shared" si="95"/>
        <v xml:space="preserve"> </v>
      </c>
      <c r="J245" t="str">
        <f t="shared" si="101"/>
        <v>BX</v>
      </c>
      <c r="K245" t="str">
        <f t="shared" si="102"/>
        <v>BY</v>
      </c>
      <c r="L245">
        <f t="shared" si="96"/>
        <v>6.9</v>
      </c>
      <c r="M245" t="str">
        <f t="shared" si="97"/>
        <v>-</v>
      </c>
      <c r="N245" t="str">
        <f t="shared" si="98"/>
        <v>326:00</v>
      </c>
      <c r="O245" t="str">
        <f t="shared" si="99"/>
        <v>24:30</v>
      </c>
      <c r="P245" t="str">
        <f t="shared" si="100"/>
        <v>beside hook at top of 20' Drop. W.L. as sta 1'</v>
      </c>
    </row>
    <row r="246" spans="1:16" x14ac:dyDescent="0.25">
      <c r="A246" t="str">
        <f>'Raw Data'!A216</f>
        <v>BY</v>
      </c>
      <c r="B246" t="str">
        <f>'Raw Data'!B216</f>
        <v>BZ</v>
      </c>
      <c r="C246">
        <f>'Raw Data'!J216</f>
        <v>13.8</v>
      </c>
      <c r="D246" t="str">
        <f>'Interpreted Data'!G216</f>
        <v>125:20</v>
      </c>
      <c r="E246" t="str">
        <f>'Interpreted Data'!H216</f>
        <v>-</v>
      </c>
      <c r="F246" t="str">
        <f>SUBSTITUTE('Raw Data'!K216," ",":",1)</f>
        <v>-4:30</v>
      </c>
      <c r="G246">
        <f>'Interpreted Data'!N216</f>
        <v>-1.1000000000000001</v>
      </c>
      <c r="H246" t="str">
        <f>'Interpreted Data'!P216</f>
        <v/>
      </c>
      <c r="I246" t="str">
        <f t="shared" si="95"/>
        <v xml:space="preserve"> </v>
      </c>
      <c r="J246" t="str">
        <f t="shared" si="101"/>
        <v>BY</v>
      </c>
      <c r="K246" t="str">
        <f t="shared" si="102"/>
        <v>BZ</v>
      </c>
      <c r="L246">
        <f t="shared" si="96"/>
        <v>13.8</v>
      </c>
      <c r="M246" t="str">
        <f t="shared" si="97"/>
        <v>125:20</v>
      </c>
      <c r="N246" t="str">
        <f t="shared" si="98"/>
        <v>-</v>
      </c>
      <c r="O246" t="str">
        <f t="shared" si="99"/>
        <v>-4:30</v>
      </c>
      <c r="P246" t="str">
        <f t="shared" si="100"/>
        <v/>
      </c>
    </row>
    <row r="247" spans="1:16" x14ac:dyDescent="0.25">
      <c r="A247" t="str">
        <f>'Raw Data'!A217</f>
        <v>BZ</v>
      </c>
      <c r="B247" t="str">
        <f>'Raw Data'!B217</f>
        <v>CA</v>
      </c>
      <c r="C247">
        <f>'Raw Data'!J217</f>
        <v>18.5</v>
      </c>
      <c r="D247" t="str">
        <f>'Interpreted Data'!G217</f>
        <v>-</v>
      </c>
      <c r="E247" t="str">
        <f>'Interpreted Data'!H217</f>
        <v>352:00</v>
      </c>
      <c r="F247" t="str">
        <f>SUBSTITUTE('Raw Data'!K217," ",":",1)</f>
        <v>2:15</v>
      </c>
      <c r="G247">
        <f>'Interpreted Data'!N217</f>
        <v>0.7</v>
      </c>
      <c r="H247" t="str">
        <f>'Interpreted Data'!P217</f>
        <v/>
      </c>
      <c r="I247" t="str">
        <f t="shared" si="95"/>
        <v xml:space="preserve"> </v>
      </c>
      <c r="J247" t="str">
        <f t="shared" si="101"/>
        <v>BZ</v>
      </c>
      <c r="K247" t="str">
        <f t="shared" si="102"/>
        <v>CA</v>
      </c>
      <c r="L247">
        <f t="shared" si="96"/>
        <v>18.5</v>
      </c>
      <c r="M247" t="str">
        <f t="shared" si="97"/>
        <v>-</v>
      </c>
      <c r="N247" t="str">
        <f t="shared" si="98"/>
        <v>352:00</v>
      </c>
      <c r="O247" t="str">
        <f t="shared" si="99"/>
        <v>2:15</v>
      </c>
      <c r="P247" t="str">
        <f t="shared" si="100"/>
        <v/>
      </c>
    </row>
    <row r="248" spans="1:16" x14ac:dyDescent="0.25">
      <c r="A248" t="str">
        <f>'Raw Data'!A218</f>
        <v>CA</v>
      </c>
      <c r="B248" t="str">
        <f>'Raw Data'!B218</f>
        <v>CB</v>
      </c>
      <c r="C248">
        <f>'Raw Data'!J218</f>
        <v>8</v>
      </c>
      <c r="D248" t="str">
        <f>'Interpreted Data'!G218</f>
        <v>125:00</v>
      </c>
      <c r="E248" t="str">
        <f>'Interpreted Data'!H218</f>
        <v>-</v>
      </c>
      <c r="F248" t="str">
        <f>SUBSTITUTE('Raw Data'!K218," ",":",1)</f>
        <v>4:00</v>
      </c>
      <c r="G248">
        <f>'Interpreted Data'!N218</f>
        <v>0.6</v>
      </c>
      <c r="H248" t="str">
        <f>'Interpreted Data'!P218</f>
        <v>W.L. at sta 1'</v>
      </c>
      <c r="I248" t="str">
        <f t="shared" si="95"/>
        <v xml:space="preserve"> </v>
      </c>
      <c r="J248" t="str">
        <f t="shared" si="101"/>
        <v>CA</v>
      </c>
      <c r="K248" t="str">
        <f t="shared" si="102"/>
        <v>CB</v>
      </c>
      <c r="L248">
        <f t="shared" si="96"/>
        <v>8</v>
      </c>
      <c r="M248" t="str">
        <f t="shared" si="97"/>
        <v>125:00</v>
      </c>
      <c r="N248" t="str">
        <f t="shared" si="98"/>
        <v>-</v>
      </c>
      <c r="O248" t="str">
        <f t="shared" si="99"/>
        <v>4:00</v>
      </c>
      <c r="P248" t="str">
        <f t="shared" si="100"/>
        <v>W.L. at sta 1'</v>
      </c>
    </row>
    <row r="249" spans="1:16" x14ac:dyDescent="0.25">
      <c r="A249" t="str">
        <f>'Raw Data'!A219</f>
        <v>CB</v>
      </c>
      <c r="B249" t="str">
        <f>'Raw Data'!B219</f>
        <v>CC</v>
      </c>
      <c r="C249">
        <f>'Raw Data'!J219</f>
        <v>17.399999999999999</v>
      </c>
      <c r="D249" t="str">
        <f>'Interpreted Data'!G219</f>
        <v>-</v>
      </c>
      <c r="E249" t="str">
        <f>'Interpreted Data'!H219</f>
        <v>284:10</v>
      </c>
      <c r="F249" t="str">
        <f>SUBSTITUTE('Raw Data'!K219," ",":",1)</f>
        <v>16:00</v>
      </c>
      <c r="G249">
        <f>'Interpreted Data'!N219</f>
        <v>4.8</v>
      </c>
      <c r="H249" t="str">
        <f>'Interpreted Data'!P219</f>
        <v/>
      </c>
      <c r="I249" t="str">
        <f t="shared" si="95"/>
        <v xml:space="preserve"> </v>
      </c>
      <c r="J249" t="str">
        <f t="shared" si="101"/>
        <v>CB</v>
      </c>
      <c r="K249" t="str">
        <f t="shared" si="102"/>
        <v>CC</v>
      </c>
      <c r="L249">
        <f t="shared" si="96"/>
        <v>17.399999999999999</v>
      </c>
      <c r="M249" t="str">
        <f t="shared" si="97"/>
        <v>-</v>
      </c>
      <c r="N249" t="str">
        <f t="shared" si="98"/>
        <v>284:10</v>
      </c>
      <c r="O249" t="str">
        <f t="shared" si="99"/>
        <v>16:00</v>
      </c>
      <c r="P249" t="str">
        <f t="shared" si="100"/>
        <v/>
      </c>
    </row>
    <row r="250" spans="1:16" x14ac:dyDescent="0.25">
      <c r="A250" t="str">
        <f>'Raw Data'!A220</f>
        <v>CC</v>
      </c>
      <c r="B250" t="str">
        <f>'Raw Data'!B220</f>
        <v>CD</v>
      </c>
      <c r="C250">
        <f>'Raw Data'!J220</f>
        <v>74.599999999999994</v>
      </c>
      <c r="D250" t="str">
        <f>'Interpreted Data'!G220</f>
        <v>137:10</v>
      </c>
      <c r="E250" t="str">
        <f>'Interpreted Data'!H220</f>
        <v>-</v>
      </c>
      <c r="F250" t="str">
        <f>SUBSTITUTE('Raw Data'!K220," ",":",1)</f>
        <v>7:10</v>
      </c>
      <c r="G250">
        <f>'Interpreted Data'!N220</f>
        <v>9.3000000000000007</v>
      </c>
      <c r="H250" t="str">
        <f>'Interpreted Data'!P220</f>
        <v/>
      </c>
      <c r="I250" t="str">
        <f t="shared" si="95"/>
        <v xml:space="preserve"> </v>
      </c>
      <c r="J250" t="str">
        <f t="shared" si="101"/>
        <v>CC</v>
      </c>
      <c r="K250" t="str">
        <f t="shared" si="102"/>
        <v>CD</v>
      </c>
      <c r="L250">
        <f t="shared" si="96"/>
        <v>74.599999999999994</v>
      </c>
      <c r="M250" t="str">
        <f t="shared" si="97"/>
        <v>137:10</v>
      </c>
      <c r="N250" t="str">
        <f t="shared" si="98"/>
        <v>-</v>
      </c>
      <c r="O250" t="str">
        <f t="shared" si="99"/>
        <v>7:10</v>
      </c>
      <c r="P250" t="str">
        <f t="shared" si="100"/>
        <v/>
      </c>
    </row>
    <row r="251" spans="1:16" x14ac:dyDescent="0.25">
      <c r="A251" t="str">
        <f>'Raw Data'!A221</f>
        <v>CD</v>
      </c>
      <c r="B251" t="str">
        <f>'Raw Data'!B221</f>
        <v>CE</v>
      </c>
      <c r="C251">
        <f>'Raw Data'!J221</f>
        <v>35</v>
      </c>
      <c r="D251" t="str">
        <f>'Interpreted Data'!G221</f>
        <v>-</v>
      </c>
      <c r="E251" t="str">
        <f>'Interpreted Data'!H221</f>
        <v>304:00</v>
      </c>
      <c r="F251" t="str">
        <f>SUBSTITUTE('Raw Data'!K221," ",":",1)</f>
        <v>19:00</v>
      </c>
      <c r="G251">
        <f>'Interpreted Data'!N221</f>
        <v>11.4</v>
      </c>
      <c r="H251" t="str">
        <f>'Interpreted Data'!P221</f>
        <v/>
      </c>
      <c r="I251" t="str">
        <f t="shared" si="95"/>
        <v xml:space="preserve"> </v>
      </c>
      <c r="J251" t="str">
        <f t="shared" si="101"/>
        <v>CD</v>
      </c>
      <c r="K251" t="str">
        <f t="shared" si="102"/>
        <v>CE</v>
      </c>
      <c r="L251">
        <f t="shared" si="96"/>
        <v>35</v>
      </c>
      <c r="M251" t="str">
        <f t="shared" si="97"/>
        <v>-</v>
      </c>
      <c r="N251" t="str">
        <f t="shared" si="98"/>
        <v>304:00</v>
      </c>
      <c r="O251" t="str">
        <f t="shared" si="99"/>
        <v>19:00</v>
      </c>
      <c r="P251" t="str">
        <f t="shared" si="100"/>
        <v/>
      </c>
    </row>
    <row r="252" spans="1:16" x14ac:dyDescent="0.25">
      <c r="A252" t="str">
        <f>'Raw Data'!A222</f>
        <v>CE</v>
      </c>
      <c r="B252" t="str">
        <f>'Raw Data'!B222</f>
        <v>CF</v>
      </c>
      <c r="C252">
        <f>'Raw Data'!J222</f>
        <v>28.3</v>
      </c>
      <c r="D252" t="str">
        <f>'Interpreted Data'!G222</f>
        <v>091:40</v>
      </c>
      <c r="E252" t="str">
        <f>'Interpreted Data'!H222</f>
        <v>-</v>
      </c>
      <c r="F252" t="str">
        <f>SUBSTITUTE('Raw Data'!K222," ",":",1)</f>
        <v>-13:30</v>
      </c>
      <c r="G252">
        <f>'Interpreted Data'!N222</f>
        <v>-6.6</v>
      </c>
      <c r="H252" t="str">
        <f>'Interpreted Data'!P222</f>
        <v/>
      </c>
      <c r="I252" t="str">
        <f t="shared" si="95"/>
        <v xml:space="preserve"> </v>
      </c>
      <c r="J252" t="str">
        <f t="shared" si="101"/>
        <v>CE</v>
      </c>
      <c r="K252" t="str">
        <f t="shared" si="102"/>
        <v>CF</v>
      </c>
      <c r="L252">
        <f t="shared" si="96"/>
        <v>28.3</v>
      </c>
      <c r="M252" t="str">
        <f t="shared" si="97"/>
        <v>091:40</v>
      </c>
      <c r="N252" t="str">
        <f t="shared" si="98"/>
        <v>-</v>
      </c>
      <c r="O252" t="str">
        <f t="shared" si="99"/>
        <v>-13:30</v>
      </c>
      <c r="P252" t="str">
        <f t="shared" si="100"/>
        <v/>
      </c>
    </row>
    <row r="253" spans="1:16" x14ac:dyDescent="0.25">
      <c r="A253" t="str">
        <f>'Raw Data'!A223</f>
        <v>CF</v>
      </c>
      <c r="B253" t="str">
        <f>'Raw Data'!B223</f>
        <v>CG</v>
      </c>
      <c r="C253">
        <f>'Raw Data'!J223</f>
        <v>10.6</v>
      </c>
      <c r="D253" t="str">
        <f>'Interpreted Data'!G223</f>
        <v>-</v>
      </c>
      <c r="E253" t="str">
        <f>'Interpreted Data'!H223</f>
        <v>294:30</v>
      </c>
      <c r="F253" t="str">
        <f>SUBSTITUTE('Raw Data'!K223," ",":",1)</f>
        <v>16:30</v>
      </c>
      <c r="G253">
        <f>'Interpreted Data'!N223</f>
        <v>3</v>
      </c>
      <c r="H253" t="str">
        <f>'Interpreted Data'!P223</f>
        <v/>
      </c>
      <c r="I253" t="str">
        <f t="shared" si="95"/>
        <v xml:space="preserve"> </v>
      </c>
      <c r="J253" t="str">
        <f t="shared" si="101"/>
        <v>CF</v>
      </c>
      <c r="K253" t="str">
        <f t="shared" si="102"/>
        <v>CG</v>
      </c>
      <c r="L253">
        <f t="shared" si="96"/>
        <v>10.6</v>
      </c>
      <c r="M253" t="str">
        <f t="shared" si="97"/>
        <v>-</v>
      </c>
      <c r="N253" t="str">
        <f t="shared" si="98"/>
        <v>294:30</v>
      </c>
      <c r="O253" t="str">
        <f t="shared" si="99"/>
        <v>16:30</v>
      </c>
      <c r="P253" t="str">
        <f t="shared" si="100"/>
        <v/>
      </c>
    </row>
    <row r="254" spans="1:16" x14ac:dyDescent="0.25">
      <c r="A254" t="str">
        <f>'Raw Data'!A224</f>
        <v>CG</v>
      </c>
      <c r="B254" t="str">
        <f>'Raw Data'!B224</f>
        <v>CH</v>
      </c>
      <c r="C254">
        <f>'Raw Data'!J224</f>
        <v>31.4</v>
      </c>
      <c r="D254" t="str">
        <f>'Interpreted Data'!G224</f>
        <v>014:20</v>
      </c>
      <c r="E254" t="str">
        <f>'Interpreted Data'!H224</f>
        <v>-</v>
      </c>
      <c r="F254" t="str">
        <f>SUBSTITUTE('Raw Data'!K224," ",":",1)</f>
        <v>-3:30</v>
      </c>
      <c r="G254">
        <f>'Interpreted Data'!N224</f>
        <v>-1.9</v>
      </c>
      <c r="H254" t="str">
        <f>'Interpreted Data'!P224</f>
        <v/>
      </c>
      <c r="I254" t="str">
        <f t="shared" si="95"/>
        <v xml:space="preserve"> </v>
      </c>
      <c r="J254" t="str">
        <f t="shared" si="101"/>
        <v>CG</v>
      </c>
      <c r="K254" t="str">
        <f t="shared" si="102"/>
        <v>CH</v>
      </c>
      <c r="L254">
        <f t="shared" si="96"/>
        <v>31.4</v>
      </c>
      <c r="M254" t="str">
        <f t="shared" si="97"/>
        <v>014:20</v>
      </c>
      <c r="N254" t="str">
        <f t="shared" si="98"/>
        <v>-</v>
      </c>
      <c r="O254" t="str">
        <f t="shared" si="99"/>
        <v>-3:30</v>
      </c>
      <c r="P254" t="str">
        <f t="shared" si="100"/>
        <v/>
      </c>
    </row>
    <row r="255" spans="1:16" x14ac:dyDescent="0.25">
      <c r="A255" t="str">
        <f>'Raw Data'!A225</f>
        <v>CH</v>
      </c>
      <c r="B255" t="str">
        <f>'Raw Data'!B225</f>
        <v>CI</v>
      </c>
      <c r="C255">
        <f>'Raw Data'!J225</f>
        <v>15.9</v>
      </c>
      <c r="D255" t="str">
        <f>'Interpreted Data'!G225</f>
        <v>-</v>
      </c>
      <c r="E255" t="str">
        <f>'Interpreted Data'!H225</f>
        <v>169:00</v>
      </c>
      <c r="F255" t="str">
        <f>SUBSTITUTE('Raw Data'!K225," ",":",1)</f>
        <v>4:30</v>
      </c>
      <c r="G255">
        <f>'Interpreted Data'!N225</f>
        <v>1.2</v>
      </c>
      <c r="H255" t="str">
        <f>'Interpreted Data'!P225</f>
        <v/>
      </c>
      <c r="I255" t="str">
        <f t="shared" si="95"/>
        <v xml:space="preserve"> </v>
      </c>
      <c r="J255" t="str">
        <f t="shared" si="101"/>
        <v>CH</v>
      </c>
      <c r="K255" t="str">
        <f t="shared" si="102"/>
        <v>CI</v>
      </c>
      <c r="L255">
        <f t="shared" si="96"/>
        <v>15.9</v>
      </c>
      <c r="M255" t="str">
        <f t="shared" si="97"/>
        <v>-</v>
      </c>
      <c r="N255" t="str">
        <f t="shared" si="98"/>
        <v>169:00</v>
      </c>
      <c r="O255" t="str">
        <f t="shared" si="99"/>
        <v>4:30</v>
      </c>
      <c r="P255" t="str">
        <f t="shared" si="100"/>
        <v/>
      </c>
    </row>
    <row r="256" spans="1:16" x14ac:dyDescent="0.25">
      <c r="A256" t="str">
        <f>'Raw Data'!A226</f>
        <v>CI</v>
      </c>
      <c r="B256" t="str">
        <f>'Raw Data'!B226</f>
        <v>CJ</v>
      </c>
      <c r="C256">
        <f>'Raw Data'!J226</f>
        <v>35.200000000000003</v>
      </c>
      <c r="D256" t="str">
        <f>'Interpreted Data'!G226</f>
        <v>023:00</v>
      </c>
      <c r="E256" t="str">
        <f>'Interpreted Data'!H226</f>
        <v>-</v>
      </c>
      <c r="F256" t="str">
        <f>SUBSTITUTE('Raw Data'!K226," ",":",1)</f>
        <v>-3:50</v>
      </c>
      <c r="G256">
        <f>'Interpreted Data'!N226</f>
        <v>-2.4</v>
      </c>
      <c r="H256" t="str">
        <f>'Interpreted Data'!P226</f>
        <v/>
      </c>
      <c r="I256" t="str">
        <f t="shared" si="95"/>
        <v xml:space="preserve"> </v>
      </c>
      <c r="J256" t="str">
        <f t="shared" si="101"/>
        <v>CI</v>
      </c>
      <c r="K256" t="str">
        <f t="shared" si="102"/>
        <v>CJ</v>
      </c>
      <c r="L256">
        <f t="shared" si="96"/>
        <v>35.200000000000003</v>
      </c>
      <c r="M256" t="str">
        <f t="shared" si="97"/>
        <v>023:00</v>
      </c>
      <c r="N256" t="str">
        <f t="shared" si="98"/>
        <v>-</v>
      </c>
      <c r="O256" t="str">
        <f t="shared" si="99"/>
        <v>-3:50</v>
      </c>
      <c r="P256" t="str">
        <f t="shared" si="100"/>
        <v/>
      </c>
    </row>
    <row r="257" spans="1:16" x14ac:dyDescent="0.25">
      <c r="J257" t="str">
        <f>$J$2</f>
        <v>data diving from to tape compass backcompass depthchange ignoreall</v>
      </c>
    </row>
    <row r="258" spans="1:16" x14ac:dyDescent="0.25">
      <c r="A258" t="str">
        <f>'Raw Data'!A227</f>
        <v>CJ</v>
      </c>
      <c r="B258" t="str">
        <f>'Raw Data'!B227</f>
        <v>CK</v>
      </c>
      <c r="C258">
        <f>'Raw Data'!J227</f>
        <v>12.3</v>
      </c>
      <c r="D258" t="str">
        <f>'Interpreted Data'!G227</f>
        <v>328:00</v>
      </c>
      <c r="E258" t="str">
        <f>'Interpreted Data'!H227</f>
        <v>-</v>
      </c>
      <c r="F258" t="str">
        <f>SUBSTITUTE('Raw Data'!K227," ",":",1)</f>
        <v>-one:foot</v>
      </c>
      <c r="G258">
        <f>'Interpreted Data'!N227</f>
        <v>-1</v>
      </c>
      <c r="H258" t="str">
        <f>'Interpreted Data'!P227</f>
        <v>side of pot at entrance of passage</v>
      </c>
      <c r="I258" t="str">
        <f t="shared" si="95"/>
        <v xml:space="preserve"> </v>
      </c>
      <c r="J258" t="str">
        <f t="shared" si="101"/>
        <v>CJ</v>
      </c>
      <c r="K258" t="str">
        <f t="shared" si="102"/>
        <v>CK</v>
      </c>
      <c r="L258">
        <f t="shared" si="96"/>
        <v>12.3</v>
      </c>
      <c r="M258" t="str">
        <f t="shared" si="97"/>
        <v>328:00</v>
      </c>
      <c r="N258" t="str">
        <f t="shared" si="98"/>
        <v>-</v>
      </c>
      <c r="O258">
        <f>G258</f>
        <v>-1</v>
      </c>
      <c r="P258" t="str">
        <f t="shared" si="100"/>
        <v>side of pot at entrance of passage</v>
      </c>
    </row>
    <row r="259" spans="1:16" x14ac:dyDescent="0.25">
      <c r="J259" t="str">
        <f>$J$1</f>
        <v>data normal from to tape compass backcompass clino ignoreall</v>
      </c>
    </row>
    <row r="260" spans="1:16" x14ac:dyDescent="0.25">
      <c r="A260" t="str">
        <f>'Raw Data'!A228</f>
        <v>CK</v>
      </c>
      <c r="B260" t="str">
        <f>'Raw Data'!B228</f>
        <v>CL</v>
      </c>
      <c r="C260">
        <f>'Raw Data'!J228</f>
        <v>35.700000000000003</v>
      </c>
      <c r="D260" t="str">
        <f>'Interpreted Data'!G228</f>
        <v>-</v>
      </c>
      <c r="E260" t="str">
        <f>'Interpreted Data'!H228</f>
        <v>272:00</v>
      </c>
      <c r="F260" t="str">
        <f>SUBSTITUTE('Raw Data'!K228," ",":",1)</f>
        <v>71:00</v>
      </c>
      <c r="G260">
        <f>'Interpreted Data'!N228</f>
        <v>33.799999999999997</v>
      </c>
      <c r="H260" t="str">
        <f>'Interpreted Data'!P228</f>
        <v>side of pot</v>
      </c>
      <c r="I260" t="str">
        <f t="shared" si="95"/>
        <v xml:space="preserve"> </v>
      </c>
      <c r="J260" t="str">
        <f t="shared" si="101"/>
        <v>CK</v>
      </c>
      <c r="K260" t="str">
        <f t="shared" si="102"/>
        <v>CL</v>
      </c>
      <c r="L260">
        <f t="shared" si="96"/>
        <v>35.700000000000003</v>
      </c>
      <c r="M260" t="str">
        <f t="shared" si="97"/>
        <v>-</v>
      </c>
      <c r="N260" t="str">
        <f t="shared" si="98"/>
        <v>272:00</v>
      </c>
      <c r="O260" t="str">
        <f t="shared" si="99"/>
        <v>71:00</v>
      </c>
      <c r="P260" t="str">
        <f t="shared" si="100"/>
        <v>side of pot</v>
      </c>
    </row>
    <row r="261" spans="1:16" x14ac:dyDescent="0.25">
      <c r="J261" t="str">
        <f>$J$2</f>
        <v>data diving from to tape compass backcompass depthchange ignoreall</v>
      </c>
    </row>
    <row r="262" spans="1:16" x14ac:dyDescent="0.25">
      <c r="A262" t="str">
        <f>'Raw Data'!A229</f>
        <v>CL</v>
      </c>
      <c r="B262" t="str">
        <f>'Raw Data'!B229</f>
        <v>CN</v>
      </c>
      <c r="C262">
        <f>'Raw Data'!J229</f>
        <v>3</v>
      </c>
      <c r="D262" t="str">
        <f>'Interpreted Data'!G229</f>
        <v>100:00</v>
      </c>
      <c r="E262" t="str">
        <f>'Interpreted Data'!H229</f>
        <v>-</v>
      </c>
      <c r="F262" t="str">
        <f>SUBSTITUTE('Raw Data'!K229," ",":",1)</f>
        <v>+two:feet</v>
      </c>
      <c r="G262">
        <f>'Interpreted Data'!N229</f>
        <v>2</v>
      </c>
      <c r="H262" t="str">
        <f>'Interpreted Data'!P229</f>
        <v>lip of pot</v>
      </c>
      <c r="I262" t="str">
        <f t="shared" si="95"/>
        <v xml:space="preserve"> </v>
      </c>
      <c r="J262" t="str">
        <f t="shared" si="101"/>
        <v>CL</v>
      </c>
      <c r="K262" t="str">
        <f t="shared" si="102"/>
        <v>CN</v>
      </c>
      <c r="L262">
        <f t="shared" si="96"/>
        <v>3</v>
      </c>
      <c r="M262" t="str">
        <f t="shared" si="97"/>
        <v>100:00</v>
      </c>
      <c r="N262" t="str">
        <f t="shared" si="98"/>
        <v>-</v>
      </c>
      <c r="O262">
        <f>G262</f>
        <v>2</v>
      </c>
      <c r="P262" t="str">
        <f t="shared" si="100"/>
        <v>lip of pot</v>
      </c>
    </row>
    <row r="263" spans="1:16" x14ac:dyDescent="0.25">
      <c r="A263" t="str">
        <f>'Raw Data'!A230</f>
        <v>CN</v>
      </c>
      <c r="B263">
        <f>'Raw Data'!B230</f>
        <v>0</v>
      </c>
      <c r="C263">
        <f>'Raw Data'!J230</f>
        <v>0</v>
      </c>
      <c r="D263" t="str">
        <f>'Interpreted Data'!G230</f>
        <v>-</v>
      </c>
      <c r="E263" t="str">
        <f>'Interpreted Data'!H230</f>
        <v>-</v>
      </c>
      <c r="F263" t="str">
        <f>SUBSTITUTE('Raw Data'!K230," ",":",1)</f>
        <v/>
      </c>
      <c r="G263" t="str">
        <f>'Interpreted Data'!N230</f>
        <v/>
      </c>
      <c r="H263" t="str">
        <f>'Interpreted Data'!P230</f>
        <v>see p.55</v>
      </c>
      <c r="I263" t="str">
        <f t="shared" si="95"/>
        <v xml:space="preserve"> </v>
      </c>
      <c r="J263" t="s">
        <v>77</v>
      </c>
      <c r="K263" t="str">
        <f>A263</f>
        <v>CN</v>
      </c>
      <c r="L263">
        <f t="shared" si="96"/>
        <v>0</v>
      </c>
      <c r="M263" t="str">
        <f t="shared" si="97"/>
        <v>-</v>
      </c>
      <c r="N263" t="str">
        <f t="shared" si="98"/>
        <v>-</v>
      </c>
      <c r="O263" t="e">
        <f t="shared" si="99"/>
        <v>#VALUE!</v>
      </c>
      <c r="P263" t="str">
        <f t="shared" si="100"/>
        <v>see p.55</v>
      </c>
    </row>
    <row r="265" spans="1:16" x14ac:dyDescent="0.25">
      <c r="A265" t="str">
        <f>'Raw Data'!A231</f>
        <v>1st March 1953</v>
      </c>
      <c r="B265" t="str">
        <f>'Raw Data'!B231</f>
        <v>Phil, Don, Oliver, Colin</v>
      </c>
      <c r="C265" t="str">
        <f>'Raw Data'!C231</f>
        <v>Trats Grotto into St Pauls System</v>
      </c>
      <c r="D265" t="str">
        <f>'Interpreted Data'!G231</f>
        <v>-</v>
      </c>
      <c r="E265" t="str">
        <f>'Interpreted Data'!H231</f>
        <v>-</v>
      </c>
      <c r="F265" t="str">
        <f>SUBSTITUTE('Raw Data'!K231," ",":",1)</f>
        <v/>
      </c>
      <c r="G265" t="str">
        <f>'Interpreted Data'!N231</f>
        <v/>
      </c>
      <c r="H265" t="str">
        <f>'Interpreted Data'!P231</f>
        <v/>
      </c>
      <c r="I265" t="str">
        <f t="shared" si="95"/>
        <v xml:space="preserve"> </v>
      </c>
      <c r="J265" t="str">
        <f t="shared" si="101"/>
        <v>1st March 1953</v>
      </c>
      <c r="K265" t="str">
        <f t="shared" si="102"/>
        <v>Phil, Don, Oliver, Colin</v>
      </c>
      <c r="L265" t="str">
        <f t="shared" si="96"/>
        <v>Trats Grotto into St Pauls System</v>
      </c>
      <c r="M265" t="str">
        <f t="shared" si="97"/>
        <v>-</v>
      </c>
      <c r="N265" t="str">
        <f t="shared" si="98"/>
        <v>-</v>
      </c>
      <c r="O265" t="e">
        <f t="shared" si="99"/>
        <v>#VALUE!</v>
      </c>
      <c r="P265" t="str">
        <f t="shared" si="100"/>
        <v/>
      </c>
    </row>
    <row r="266" spans="1:16" x14ac:dyDescent="0.25">
      <c r="J266" t="str">
        <f>$J$2</f>
        <v>data diving from to tape compass backcompass depthchange ignoreall</v>
      </c>
    </row>
    <row r="267" spans="1:16" x14ac:dyDescent="0.25">
      <c r="A267" t="str">
        <f>'Raw Data'!A232</f>
        <v>AL(?)</v>
      </c>
      <c r="B267" t="str">
        <f>'Raw Data'!B232</f>
        <v>a</v>
      </c>
      <c r="C267">
        <f>'Raw Data'!J232</f>
        <v>3.4</v>
      </c>
      <c r="D267" t="str">
        <f>'Interpreted Data'!G232</f>
        <v>-</v>
      </c>
      <c r="E267" t="str">
        <f>'Interpreted Data'!H232</f>
        <v>048:00</v>
      </c>
      <c r="F267" t="str">
        <f>SUBSTITUTE('Raw Data'!K232," ",":",1)</f>
        <v>-one:foot</v>
      </c>
      <c r="G267">
        <f>'Interpreted Data'!N232</f>
        <v>-1</v>
      </c>
      <c r="H267" t="str">
        <f>'Interpreted Data'!P232</f>
        <v>See p.51 Below Trats Grotto</v>
      </c>
      <c r="I267" t="str">
        <f t="shared" si="95"/>
        <v xml:space="preserve"> </v>
      </c>
      <c r="J267" t="str">
        <f t="shared" si="101"/>
        <v>AL(?)</v>
      </c>
      <c r="K267" t="str">
        <f t="shared" si="102"/>
        <v>a</v>
      </c>
      <c r="L267">
        <f t="shared" si="96"/>
        <v>3.4</v>
      </c>
      <c r="M267" t="str">
        <f t="shared" si="97"/>
        <v>-</v>
      </c>
      <c r="N267" t="str">
        <f t="shared" si="98"/>
        <v>048:00</v>
      </c>
      <c r="O267">
        <f>G267</f>
        <v>-1</v>
      </c>
      <c r="P267" t="str">
        <f t="shared" si="100"/>
        <v>See p.51 Below Trats Grotto</v>
      </c>
    </row>
    <row r="268" spans="1:16" x14ac:dyDescent="0.25">
      <c r="J268" t="str">
        <f>$J$1</f>
        <v>data normal from to tape compass backcompass clino ignoreall</v>
      </c>
    </row>
    <row r="269" spans="1:16" x14ac:dyDescent="0.25">
      <c r="A269" t="str">
        <f>'Raw Data'!A233</f>
        <v>a</v>
      </c>
      <c r="B269" t="str">
        <f>'Raw Data'!B233</f>
        <v>b</v>
      </c>
      <c r="C269">
        <f>'Raw Data'!J233</f>
        <v>19.399999999999999</v>
      </c>
      <c r="D269" t="str">
        <f>'Interpreted Data'!G233</f>
        <v>184:00</v>
      </c>
      <c r="E269" t="str">
        <f>'Interpreted Data'!H233</f>
        <v>-</v>
      </c>
      <c r="F269" t="str">
        <f>SUBSTITUTE('Raw Data'!K233," ",":",1)</f>
        <v>56:30</v>
      </c>
      <c r="G269">
        <f>'Interpreted Data'!N233</f>
        <v>16.2</v>
      </c>
      <c r="H269" t="str">
        <f>'Interpreted Data'!P233</f>
        <v/>
      </c>
      <c r="I269" t="str">
        <f t="shared" si="95"/>
        <v xml:space="preserve"> </v>
      </c>
      <c r="J269" t="str">
        <f t="shared" si="101"/>
        <v>a</v>
      </c>
      <c r="K269" t="str">
        <f t="shared" si="102"/>
        <v>b</v>
      </c>
      <c r="L269">
        <f t="shared" si="96"/>
        <v>19.399999999999999</v>
      </c>
      <c r="M269" t="str">
        <f t="shared" si="97"/>
        <v>184:00</v>
      </c>
      <c r="N269" t="str">
        <f t="shared" si="98"/>
        <v>-</v>
      </c>
      <c r="O269" t="str">
        <f t="shared" si="99"/>
        <v>56:30</v>
      </c>
      <c r="P269" t="str">
        <f t="shared" si="100"/>
        <v/>
      </c>
    </row>
    <row r="270" spans="1:16" x14ac:dyDescent="0.25">
      <c r="A270" t="str">
        <f>'Raw Data'!A234</f>
        <v>b</v>
      </c>
      <c r="B270" t="str">
        <f>'Raw Data'!B234</f>
        <v>c</v>
      </c>
      <c r="C270">
        <f>'Raw Data'!J234</f>
        <v>10.8</v>
      </c>
      <c r="D270" t="str">
        <f>'Interpreted Data'!G234</f>
        <v>-</v>
      </c>
      <c r="E270" t="str">
        <f>'Interpreted Data'!H234</f>
        <v>229:40</v>
      </c>
      <c r="F270" t="str">
        <f>SUBSTITUTE('Raw Data'!K234," ",":",1)</f>
        <v>30:15</v>
      </c>
      <c r="G270">
        <f>'Interpreted Data'!N234</f>
        <v>5.4</v>
      </c>
      <c r="H270" t="str">
        <f>'Interpreted Data'!P234</f>
        <v>Top of pit</v>
      </c>
      <c r="I270" t="str">
        <f t="shared" si="95"/>
        <v xml:space="preserve"> </v>
      </c>
      <c r="J270" t="str">
        <f t="shared" si="101"/>
        <v>b</v>
      </c>
      <c r="K270" t="str">
        <f t="shared" si="102"/>
        <v>c</v>
      </c>
      <c r="L270">
        <f t="shared" si="96"/>
        <v>10.8</v>
      </c>
      <c r="M270" t="str">
        <f t="shared" si="97"/>
        <v>-</v>
      </c>
      <c r="N270" t="str">
        <f t="shared" si="98"/>
        <v>229:40</v>
      </c>
      <c r="O270" t="str">
        <f t="shared" si="99"/>
        <v>30:15</v>
      </c>
      <c r="P270" t="str">
        <f t="shared" si="100"/>
        <v>Top of pit</v>
      </c>
    </row>
    <row r="271" spans="1:16" x14ac:dyDescent="0.25">
      <c r="A271" t="str">
        <f>'Raw Data'!A235</f>
        <v>c</v>
      </c>
      <c r="B271" t="str">
        <f>'Raw Data'!B235</f>
        <v>d</v>
      </c>
      <c r="C271">
        <f>'Raw Data'!J235</f>
        <v>23.8</v>
      </c>
      <c r="D271" t="str">
        <f>'Interpreted Data'!G235</f>
        <v>203:40</v>
      </c>
      <c r="E271" t="str">
        <f>'Interpreted Data'!H235</f>
        <v>-</v>
      </c>
      <c r="F271" t="str">
        <f>SUBSTITUTE('Raw Data'!K235," ",":",1)</f>
        <v>19:40</v>
      </c>
      <c r="G271">
        <f>'Interpreted Data'!N235</f>
        <v>8</v>
      </c>
      <c r="H271" t="str">
        <f>'Interpreted Data'!P235</f>
        <v>Foot of cascade</v>
      </c>
      <c r="I271" t="str">
        <f t="shared" si="95"/>
        <v xml:space="preserve"> </v>
      </c>
      <c r="J271" t="str">
        <f t="shared" si="101"/>
        <v>c</v>
      </c>
      <c r="K271" t="str">
        <f t="shared" si="102"/>
        <v>d</v>
      </c>
      <c r="L271">
        <f t="shared" si="96"/>
        <v>23.8</v>
      </c>
      <c r="M271" t="str">
        <f t="shared" si="97"/>
        <v>203:40</v>
      </c>
      <c r="N271" t="str">
        <f t="shared" si="98"/>
        <v>-</v>
      </c>
      <c r="O271" t="str">
        <f t="shared" si="99"/>
        <v>19:40</v>
      </c>
      <c r="P271" t="str">
        <f t="shared" si="100"/>
        <v>Foot of cascade</v>
      </c>
    </row>
    <row r="272" spans="1:16" x14ac:dyDescent="0.25">
      <c r="A272" t="str">
        <f>'Raw Data'!A236</f>
        <v>d</v>
      </c>
      <c r="B272" t="str">
        <f>'Raw Data'!B236</f>
        <v>e</v>
      </c>
      <c r="C272">
        <f>'Raw Data'!J236</f>
        <v>52</v>
      </c>
      <c r="D272" t="str">
        <f>'Interpreted Data'!G236</f>
        <v>-</v>
      </c>
      <c r="E272" t="str">
        <f>'Interpreted Data'!H236</f>
        <v>305:10</v>
      </c>
      <c r="F272" t="str">
        <f>SUBSTITUTE('Raw Data'!K236," ",":",1)</f>
        <v>2:30</v>
      </c>
      <c r="G272">
        <f>'Interpreted Data'!N236</f>
        <v>2.2999999999999998</v>
      </c>
      <c r="H272" t="str">
        <f>'Interpreted Data'!P236</f>
        <v>(small sketch a-e)</v>
      </c>
      <c r="I272" t="str">
        <f t="shared" si="95"/>
        <v xml:space="preserve"> </v>
      </c>
      <c r="J272" t="str">
        <f t="shared" si="101"/>
        <v>d</v>
      </c>
      <c r="K272" t="str">
        <f t="shared" si="102"/>
        <v>e</v>
      </c>
      <c r="L272">
        <f t="shared" si="96"/>
        <v>52</v>
      </c>
      <c r="M272" t="str">
        <f t="shared" si="97"/>
        <v>-</v>
      </c>
      <c r="N272" t="str">
        <f t="shared" si="98"/>
        <v>305:10</v>
      </c>
      <c r="O272" t="str">
        <f t="shared" si="99"/>
        <v>2:30</v>
      </c>
      <c r="P272" t="str">
        <f t="shared" si="100"/>
        <v>(small sketch a-e)</v>
      </c>
    </row>
    <row r="273" spans="1:16" x14ac:dyDescent="0.25">
      <c r="A273" t="str">
        <f>'Raw Data'!A237</f>
        <v>e</v>
      </c>
      <c r="B273" t="str">
        <f>'Raw Data'!B237</f>
        <v>f</v>
      </c>
      <c r="C273">
        <f>'Raw Data'!J237</f>
        <v>23.5</v>
      </c>
      <c r="D273" t="str">
        <f>'Interpreted Data'!G237</f>
        <v>125:00</v>
      </c>
      <c r="E273" t="str">
        <f>'Interpreted Data'!H237</f>
        <v>-</v>
      </c>
      <c r="F273" t="str">
        <f>SUBSTITUTE('Raw Data'!K237," ",":",1)</f>
        <v>8:45</v>
      </c>
      <c r="G273">
        <f>'Interpreted Data'!N237</f>
        <v>3.6</v>
      </c>
      <c r="H273" t="str">
        <f>'Interpreted Data'!P237</f>
        <v>(sketch e-i)</v>
      </c>
      <c r="I273" t="str">
        <f t="shared" si="95"/>
        <v xml:space="preserve"> </v>
      </c>
      <c r="J273" t="str">
        <f t="shared" si="101"/>
        <v>e</v>
      </c>
      <c r="K273" t="str">
        <f t="shared" si="102"/>
        <v>f</v>
      </c>
      <c r="L273">
        <f t="shared" si="96"/>
        <v>23.5</v>
      </c>
      <c r="M273" t="str">
        <f t="shared" si="97"/>
        <v>125:00</v>
      </c>
      <c r="N273" t="str">
        <f t="shared" si="98"/>
        <v>-</v>
      </c>
      <c r="O273" t="str">
        <f t="shared" si="99"/>
        <v>8:45</v>
      </c>
      <c r="P273" t="str">
        <f t="shared" si="100"/>
        <v>(sketch e-i)</v>
      </c>
    </row>
    <row r="274" spans="1:16" x14ac:dyDescent="0.25">
      <c r="A274" t="str">
        <f>'Raw Data'!A238</f>
        <v>f</v>
      </c>
      <c r="B274" t="str">
        <f>'Raw Data'!B238</f>
        <v>g</v>
      </c>
      <c r="C274">
        <f>'Raw Data'!J238</f>
        <v>16.899999999999999</v>
      </c>
      <c r="D274" t="str">
        <f>'Interpreted Data'!G238</f>
        <v>-</v>
      </c>
      <c r="E274" t="str">
        <f>'Interpreted Data'!H238</f>
        <v>342:00</v>
      </c>
      <c r="F274" t="str">
        <f>SUBSTITUTE('Raw Data'!K238," ",":",1)</f>
        <v>-5:00</v>
      </c>
      <c r="G274">
        <f>'Interpreted Data'!N238</f>
        <v>-1.5</v>
      </c>
      <c r="H274" t="str">
        <f>'Interpreted Data'!P238</f>
        <v/>
      </c>
      <c r="I274" t="str">
        <f t="shared" si="95"/>
        <v xml:space="preserve"> </v>
      </c>
      <c r="J274" t="str">
        <f t="shared" si="101"/>
        <v>f</v>
      </c>
      <c r="K274" t="str">
        <f t="shared" si="102"/>
        <v>g</v>
      </c>
      <c r="L274">
        <f t="shared" si="96"/>
        <v>16.899999999999999</v>
      </c>
      <c r="M274" t="str">
        <f t="shared" si="97"/>
        <v>-</v>
      </c>
      <c r="N274" t="str">
        <f t="shared" si="98"/>
        <v>342:00</v>
      </c>
      <c r="O274" t="str">
        <f t="shared" si="99"/>
        <v>-5:00</v>
      </c>
      <c r="P274" t="str">
        <f t="shared" si="100"/>
        <v/>
      </c>
    </row>
    <row r="275" spans="1:16" x14ac:dyDescent="0.25">
      <c r="J275" t="str">
        <f>$J$2</f>
        <v>data diving from to tape compass backcompass depthchange ignoreall</v>
      </c>
    </row>
    <row r="276" spans="1:16" x14ac:dyDescent="0.25">
      <c r="A276" t="str">
        <f>'Raw Data'!A239</f>
        <v>g</v>
      </c>
      <c r="B276" t="str">
        <f>'Raw Data'!B239</f>
        <v>h</v>
      </c>
      <c r="C276">
        <f>'Raw Data'!J239</f>
        <v>7.6</v>
      </c>
      <c r="D276" t="str">
        <f>'Interpreted Data'!G239</f>
        <v>-</v>
      </c>
      <c r="E276" t="str">
        <f>'Interpreted Data'!H239</f>
        <v>013:00</v>
      </c>
      <c r="F276" t="str">
        <f>SUBSTITUTE('Raw Data'!K239," ",":",1)</f>
        <v>+0.5:feet</v>
      </c>
      <c r="G276">
        <f>'Interpreted Data'!N239</f>
        <v>0.5</v>
      </c>
      <c r="H276" t="str">
        <f>'Interpreted Data'!P239</f>
        <v/>
      </c>
      <c r="I276" t="str">
        <f t="shared" ref="I276:I327" si="103">" "</f>
        <v xml:space="preserve"> </v>
      </c>
      <c r="J276" t="str">
        <f t="shared" si="101"/>
        <v>g</v>
      </c>
      <c r="K276" t="str">
        <f t="shared" si="102"/>
        <v>h</v>
      </c>
      <c r="L276">
        <f t="shared" si="96"/>
        <v>7.6</v>
      </c>
      <c r="M276" t="str">
        <f t="shared" si="97"/>
        <v>-</v>
      </c>
      <c r="N276" t="str">
        <f t="shared" si="98"/>
        <v>013:00</v>
      </c>
      <c r="O276">
        <f>G276</f>
        <v>0.5</v>
      </c>
      <c r="P276" t="str">
        <f t="shared" si="100"/>
        <v/>
      </c>
    </row>
    <row r="277" spans="1:16" x14ac:dyDescent="0.25">
      <c r="J277" t="str">
        <f>$J$1</f>
        <v>data normal from to tape compass backcompass clino ignoreall</v>
      </c>
    </row>
    <row r="278" spans="1:16" x14ac:dyDescent="0.25">
      <c r="A278" t="str">
        <f>'Raw Data'!A240</f>
        <v>h</v>
      </c>
      <c r="B278" t="str">
        <f>'Raw Data'!B240</f>
        <v>i</v>
      </c>
      <c r="C278">
        <f>'Raw Data'!J240</f>
        <v>18.2</v>
      </c>
      <c r="D278" t="str">
        <f>'Interpreted Data'!G240</f>
        <v>-</v>
      </c>
      <c r="E278" t="str">
        <f>'Interpreted Data'!H240</f>
        <v>002:00</v>
      </c>
      <c r="F278" t="str">
        <f>SUBSTITUTE('Raw Data'!K240," ",":",1)</f>
        <v>5:30</v>
      </c>
      <c r="G278">
        <f>'Interpreted Data'!N240</f>
        <v>1.7</v>
      </c>
      <c r="H278" t="str">
        <f>'Interpreted Data'!P240</f>
        <v/>
      </c>
      <c r="I278" t="str">
        <f t="shared" si="103"/>
        <v xml:space="preserve"> </v>
      </c>
      <c r="J278" t="str">
        <f t="shared" si="101"/>
        <v>h</v>
      </c>
      <c r="K278" t="str">
        <f t="shared" si="102"/>
        <v>i</v>
      </c>
      <c r="L278">
        <f t="shared" si="96"/>
        <v>18.2</v>
      </c>
      <c r="M278" t="str">
        <f t="shared" si="97"/>
        <v>-</v>
      </c>
      <c r="N278" t="str">
        <f t="shared" si="98"/>
        <v>002:00</v>
      </c>
      <c r="O278" t="str">
        <f t="shared" si="99"/>
        <v>5:30</v>
      </c>
      <c r="P278" t="str">
        <f t="shared" si="100"/>
        <v/>
      </c>
    </row>
    <row r="279" spans="1:16" x14ac:dyDescent="0.25">
      <c r="A279" t="str">
        <f>'Raw Data'!A241</f>
        <v>i</v>
      </c>
      <c r="B279" t="str">
        <f>'Raw Data'!B241</f>
        <v>j</v>
      </c>
      <c r="C279">
        <f>'Raw Data'!J241</f>
        <v>7.8</v>
      </c>
      <c r="D279" t="str">
        <f>'Interpreted Data'!G241</f>
        <v>-</v>
      </c>
      <c r="E279" t="str">
        <f>'Interpreted Data'!H241</f>
        <v>007:00</v>
      </c>
      <c r="F279" t="str">
        <f>SUBSTITUTE('Raw Data'!K241," ",":",1)</f>
        <v>-7:00</v>
      </c>
      <c r="G279">
        <f>'Interpreted Data'!N241</f>
        <v>-0.9</v>
      </c>
      <c r="H279" t="str">
        <f>'Interpreted Data'!P241</f>
        <v>(sketch j-o)</v>
      </c>
      <c r="I279" t="str">
        <f t="shared" si="103"/>
        <v xml:space="preserve"> </v>
      </c>
      <c r="J279" t="str">
        <f t="shared" si="101"/>
        <v>i</v>
      </c>
      <c r="K279" t="str">
        <f t="shared" si="102"/>
        <v>j</v>
      </c>
      <c r="L279">
        <f t="shared" si="96"/>
        <v>7.8</v>
      </c>
      <c r="M279" t="str">
        <f t="shared" si="97"/>
        <v>-</v>
      </c>
      <c r="N279" t="str">
        <f t="shared" si="98"/>
        <v>007:00</v>
      </c>
      <c r="O279" t="str">
        <f t="shared" si="99"/>
        <v>-7:00</v>
      </c>
      <c r="P279" t="str">
        <f t="shared" si="100"/>
        <v>(sketch j-o)</v>
      </c>
    </row>
    <row r="280" spans="1:16" x14ac:dyDescent="0.25">
      <c r="A280" t="str">
        <f>'Raw Data'!A242</f>
        <v>j</v>
      </c>
      <c r="B280" t="str">
        <f>'Raw Data'!B242</f>
        <v>k</v>
      </c>
      <c r="C280">
        <f>'Raw Data'!J242</f>
        <v>28.9</v>
      </c>
      <c r="D280" t="str">
        <f>'Interpreted Data'!G242</f>
        <v>194:00</v>
      </c>
      <c r="E280" t="str">
        <f>'Interpreted Data'!H242</f>
        <v>-</v>
      </c>
      <c r="F280" t="str">
        <f>SUBSTITUTE('Raw Data'!K242," ",":",1)</f>
        <v>-17:30</v>
      </c>
      <c r="G280">
        <f>'Interpreted Data'!N242</f>
        <v>-8.6999999999999993</v>
      </c>
      <c r="H280" t="str">
        <f>'Interpreted Data'!P242</f>
        <v/>
      </c>
      <c r="I280" t="str">
        <f t="shared" si="103"/>
        <v xml:space="preserve"> </v>
      </c>
      <c r="J280" t="str">
        <f t="shared" si="101"/>
        <v>j</v>
      </c>
      <c r="K280" t="str">
        <f t="shared" si="102"/>
        <v>k</v>
      </c>
      <c r="L280">
        <f t="shared" si="96"/>
        <v>28.9</v>
      </c>
      <c r="M280" t="str">
        <f t="shared" si="97"/>
        <v>194:00</v>
      </c>
      <c r="N280" t="str">
        <f t="shared" si="98"/>
        <v>-</v>
      </c>
      <c r="O280" t="str">
        <f t="shared" si="99"/>
        <v>-17:30</v>
      </c>
      <c r="P280" t="str">
        <f t="shared" si="100"/>
        <v/>
      </c>
    </row>
    <row r="281" spans="1:16" x14ac:dyDescent="0.25">
      <c r="A281" t="str">
        <f>'Raw Data'!A243</f>
        <v>k</v>
      </c>
      <c r="B281" t="str">
        <f>'Raw Data'!B243</f>
        <v>l</v>
      </c>
      <c r="C281">
        <f>'Raw Data'!J243</f>
        <v>22.3</v>
      </c>
      <c r="D281" t="str">
        <f>'Interpreted Data'!G243</f>
        <v>-</v>
      </c>
      <c r="E281" t="str">
        <f>'Interpreted Data'!H243</f>
        <v>027:30</v>
      </c>
      <c r="F281" t="str">
        <f>SUBSTITUTE('Raw Data'!K243," ",":",1)</f>
        <v>4:00</v>
      </c>
      <c r="G281">
        <f>'Interpreted Data'!N243</f>
        <v>1.6</v>
      </c>
      <c r="H281" t="str">
        <f>'Interpreted Data'!P243</f>
        <v/>
      </c>
      <c r="I281" t="str">
        <f t="shared" si="103"/>
        <v xml:space="preserve"> </v>
      </c>
      <c r="J281" t="str">
        <f t="shared" si="101"/>
        <v>k</v>
      </c>
      <c r="K281" t="str">
        <f t="shared" si="102"/>
        <v>l</v>
      </c>
      <c r="L281">
        <f t="shared" si="96"/>
        <v>22.3</v>
      </c>
      <c r="M281" t="str">
        <f t="shared" si="97"/>
        <v>-</v>
      </c>
      <c r="N281" t="str">
        <f t="shared" si="98"/>
        <v>027:30</v>
      </c>
      <c r="O281" t="str">
        <f t="shared" si="99"/>
        <v>4:00</v>
      </c>
      <c r="P281" t="str">
        <f t="shared" si="100"/>
        <v/>
      </c>
    </row>
    <row r="282" spans="1:16" x14ac:dyDescent="0.25">
      <c r="A282" t="str">
        <f>'Raw Data'!A244</f>
        <v>l</v>
      </c>
      <c r="B282" t="str">
        <f>'Raw Data'!B244</f>
        <v>m</v>
      </c>
      <c r="C282">
        <f>'Raw Data'!J244</f>
        <v>22.9</v>
      </c>
      <c r="D282" t="str">
        <f>'Interpreted Data'!G244</f>
        <v>187:00</v>
      </c>
      <c r="E282" t="str">
        <f>'Interpreted Data'!H244</f>
        <v>-</v>
      </c>
      <c r="F282" t="str">
        <f>SUBSTITUTE('Raw Data'!K244," ",":",1)</f>
        <v>0:40</v>
      </c>
      <c r="G282">
        <f>'Interpreted Data'!N244</f>
        <v>0.3</v>
      </c>
      <c r="H282" t="str">
        <f>'Interpreted Data'!P244</f>
        <v/>
      </c>
      <c r="I282" t="str">
        <f t="shared" si="103"/>
        <v xml:space="preserve"> </v>
      </c>
      <c r="J282" t="str">
        <f t="shared" si="101"/>
        <v>l</v>
      </c>
      <c r="K282" t="str">
        <f t="shared" si="102"/>
        <v>m</v>
      </c>
      <c r="L282">
        <f t="shared" si="96"/>
        <v>22.9</v>
      </c>
      <c r="M282" t="str">
        <f t="shared" si="97"/>
        <v>187:00</v>
      </c>
      <c r="N282" t="str">
        <f t="shared" si="98"/>
        <v>-</v>
      </c>
      <c r="O282" t="str">
        <f t="shared" si="99"/>
        <v>0:40</v>
      </c>
      <c r="P282" t="str">
        <f t="shared" si="100"/>
        <v/>
      </c>
    </row>
    <row r="283" spans="1:16" x14ac:dyDescent="0.25">
      <c r="A283" t="str">
        <f>'Raw Data'!A245</f>
        <v>m</v>
      </c>
      <c r="B283" t="str">
        <f>'Raw Data'!B245</f>
        <v>n</v>
      </c>
      <c r="C283">
        <f>'Raw Data'!J245</f>
        <v>18.8</v>
      </c>
      <c r="D283" t="str">
        <f>'Interpreted Data'!G245</f>
        <v>-</v>
      </c>
      <c r="E283" t="str">
        <f>'Interpreted Data'!H245</f>
        <v>044:00</v>
      </c>
      <c r="F283" t="str">
        <f>SUBSTITUTE('Raw Data'!K245," ",":",1)</f>
        <v>-5:30</v>
      </c>
      <c r="G283">
        <f>'Interpreted Data'!N245</f>
        <v>-1.8</v>
      </c>
      <c r="H283" t="str">
        <f>'Interpreted Data'!P245</f>
        <v/>
      </c>
      <c r="I283" t="str">
        <f t="shared" si="103"/>
        <v xml:space="preserve"> </v>
      </c>
      <c r="J283" t="str">
        <f t="shared" si="101"/>
        <v>m</v>
      </c>
      <c r="K283" t="str">
        <f t="shared" si="102"/>
        <v>n</v>
      </c>
      <c r="L283">
        <f t="shared" si="96"/>
        <v>18.8</v>
      </c>
      <c r="M283" t="str">
        <f t="shared" si="97"/>
        <v>-</v>
      </c>
      <c r="N283" t="str">
        <f t="shared" si="98"/>
        <v>044:00</v>
      </c>
      <c r="O283" t="str">
        <f t="shared" si="99"/>
        <v>-5:30</v>
      </c>
      <c r="P283" t="str">
        <f t="shared" si="100"/>
        <v/>
      </c>
    </row>
    <row r="284" spans="1:16" x14ac:dyDescent="0.25">
      <c r="A284" t="str">
        <f>'Raw Data'!A246</f>
        <v>n</v>
      </c>
      <c r="B284" t="str">
        <f>'Raw Data'!B246</f>
        <v>o</v>
      </c>
      <c r="C284">
        <f>'Raw Data'!J246</f>
        <v>47.1</v>
      </c>
      <c r="D284" t="str">
        <f>'Interpreted Data'!G246</f>
        <v>251:00</v>
      </c>
      <c r="E284" t="str">
        <f>'Interpreted Data'!H246</f>
        <v>-</v>
      </c>
      <c r="F284" t="str">
        <f>SUBSTITUTE('Raw Data'!K246," ",":",1)</f>
        <v>-11:30</v>
      </c>
      <c r="G284">
        <f>'Interpreted Data'!N246</f>
        <v>-9.4</v>
      </c>
      <c r="H284" t="str">
        <f>'Interpreted Data'!P246</f>
        <v>On Olivers boulder</v>
      </c>
      <c r="I284" t="str">
        <f t="shared" si="103"/>
        <v xml:space="preserve"> </v>
      </c>
      <c r="J284" t="str">
        <f t="shared" si="101"/>
        <v>n</v>
      </c>
      <c r="K284" t="str">
        <f t="shared" si="102"/>
        <v>o</v>
      </c>
      <c r="L284">
        <f t="shared" si="96"/>
        <v>47.1</v>
      </c>
      <c r="M284" t="str">
        <f t="shared" si="97"/>
        <v>251:00</v>
      </c>
      <c r="N284" t="str">
        <f t="shared" si="98"/>
        <v>-</v>
      </c>
      <c r="O284" t="str">
        <f t="shared" si="99"/>
        <v>-11:30</v>
      </c>
      <c r="P284" t="str">
        <f t="shared" si="100"/>
        <v>On Olivers boulder</v>
      </c>
    </row>
    <row r="285" spans="1:16" x14ac:dyDescent="0.25">
      <c r="A285" t="str">
        <f>'Raw Data'!A247</f>
        <v>o</v>
      </c>
      <c r="B285">
        <f>'Raw Data'!B247</f>
        <v>0</v>
      </c>
      <c r="C285">
        <f>'Raw Data'!J247</f>
        <v>0</v>
      </c>
      <c r="D285" t="str">
        <f>'Interpreted Data'!G247</f>
        <v>-</v>
      </c>
      <c r="E285" t="str">
        <f>'Interpreted Data'!H247</f>
        <v>-</v>
      </c>
      <c r="F285" t="str">
        <f>SUBSTITUTE('Raw Data'!K247," ",":",1)</f>
        <v/>
      </c>
      <c r="G285" t="str">
        <f>'Interpreted Data'!N247</f>
        <v/>
      </c>
      <c r="H285" t="str">
        <f>'Interpreted Data'!P247</f>
        <v/>
      </c>
      <c r="I285" t="str">
        <f t="shared" si="103"/>
        <v xml:space="preserve"> </v>
      </c>
      <c r="J285" t="s">
        <v>77</v>
      </c>
      <c r="K285" t="str">
        <f>A285</f>
        <v>o</v>
      </c>
      <c r="L285">
        <f t="shared" si="96"/>
        <v>0</v>
      </c>
      <c r="M285" t="str">
        <f t="shared" si="97"/>
        <v>-</v>
      </c>
      <c r="N285" t="str">
        <f t="shared" si="98"/>
        <v>-</v>
      </c>
      <c r="O285" t="e">
        <f t="shared" si="99"/>
        <v>#VALUE!</v>
      </c>
      <c r="P285" t="str">
        <f t="shared" si="100"/>
        <v/>
      </c>
    </row>
    <row r="287" spans="1:16" x14ac:dyDescent="0.25">
      <c r="A287" t="str">
        <f>'Raw Data'!A248</f>
        <v>14th March 1953</v>
      </c>
      <c r="B287" t="str">
        <f>'Raw Data'!B248</f>
        <v>Howard</v>
      </c>
      <c r="C287" t="str">
        <f>'Raw Data'!C248</f>
        <v>Damascus</v>
      </c>
      <c r="D287" t="str">
        <f>'Interpreted Data'!G248</f>
        <v>-</v>
      </c>
      <c r="E287" t="str">
        <f>'Interpreted Data'!H248</f>
        <v>-</v>
      </c>
      <c r="F287" t="str">
        <f>SUBSTITUTE('Raw Data'!K248," ",":",1)</f>
        <v/>
      </c>
      <c r="G287" t="str">
        <f>'Interpreted Data'!N248</f>
        <v/>
      </c>
      <c r="H287" t="str">
        <f>'Interpreted Data'!P248</f>
        <v/>
      </c>
      <c r="I287" t="str">
        <f t="shared" si="103"/>
        <v xml:space="preserve"> </v>
      </c>
      <c r="J287" t="str">
        <f t="shared" si="101"/>
        <v>14th March 1953</v>
      </c>
      <c r="K287" t="str">
        <f t="shared" si="102"/>
        <v>Howard</v>
      </c>
      <c r="L287" t="str">
        <f t="shared" si="96"/>
        <v>Damascus</v>
      </c>
      <c r="M287" t="str">
        <f t="shared" si="97"/>
        <v>-</v>
      </c>
      <c r="N287" t="str">
        <f t="shared" si="98"/>
        <v>-</v>
      </c>
      <c r="O287" t="e">
        <f t="shared" si="99"/>
        <v>#VALUE!</v>
      </c>
      <c r="P287" t="str">
        <f t="shared" si="100"/>
        <v/>
      </c>
    </row>
    <row r="288" spans="1:16" x14ac:dyDescent="0.25">
      <c r="J288" t="str">
        <f>$J$1</f>
        <v>data normal from to tape compass backcompass clino ignoreall</v>
      </c>
    </row>
    <row r="289" spans="1:16" x14ac:dyDescent="0.25">
      <c r="A289" t="str">
        <f>'Raw Data'!A249</f>
        <v>o</v>
      </c>
      <c r="B289" t="str">
        <f>'Raw Data'!B249</f>
        <v>p</v>
      </c>
      <c r="C289">
        <f>'Raw Data'!J249</f>
        <v>24</v>
      </c>
      <c r="D289" t="str">
        <f>'Interpreted Data'!G249</f>
        <v>-</v>
      </c>
      <c r="E289" t="str">
        <f>'Interpreted Data'!H249</f>
        <v>102:00</v>
      </c>
      <c r="F289" t="str">
        <f>SUBSTITUTE('Raw Data'!K249," ",":",1)</f>
        <v>-9:15</v>
      </c>
      <c r="G289">
        <f>'Interpreted Data'!N249</f>
        <v>-3.9</v>
      </c>
      <c r="H289" t="str">
        <f>'Interpreted Data'!P249</f>
        <v>(sketch o-t)</v>
      </c>
      <c r="I289" t="str">
        <f t="shared" si="103"/>
        <v xml:space="preserve"> </v>
      </c>
      <c r="J289" t="str">
        <f t="shared" si="101"/>
        <v>o</v>
      </c>
      <c r="K289" t="str">
        <f t="shared" si="102"/>
        <v>p</v>
      </c>
      <c r="L289">
        <f t="shared" si="96"/>
        <v>24</v>
      </c>
      <c r="M289" t="str">
        <f t="shared" si="97"/>
        <v>-</v>
      </c>
      <c r="N289" t="str">
        <f t="shared" si="98"/>
        <v>102:00</v>
      </c>
      <c r="O289" t="str">
        <f t="shared" si="99"/>
        <v>-9:15</v>
      </c>
      <c r="P289" t="str">
        <f t="shared" si="100"/>
        <v>(sketch o-t)</v>
      </c>
    </row>
    <row r="290" spans="1:16" x14ac:dyDescent="0.25">
      <c r="A290" t="str">
        <f>'Raw Data'!A250</f>
        <v>p</v>
      </c>
      <c r="B290" t="str">
        <f>'Raw Data'!B250</f>
        <v>q</v>
      </c>
      <c r="C290">
        <f>'Raw Data'!J250</f>
        <v>34.4</v>
      </c>
      <c r="D290" t="str">
        <f>'Interpreted Data'!G250</f>
        <v>250:00</v>
      </c>
      <c r="E290" t="str">
        <f>'Interpreted Data'!H250</f>
        <v>-</v>
      </c>
      <c r="F290" t="str">
        <f>SUBSTITUTE('Raw Data'!K250," ",":",1)</f>
        <v>-14:30</v>
      </c>
      <c r="G290">
        <f>'Interpreted Data'!N250</f>
        <v>-8.6</v>
      </c>
      <c r="H290" t="str">
        <f>'Interpreted Data'!P250</f>
        <v/>
      </c>
      <c r="I290" t="str">
        <f t="shared" si="103"/>
        <v xml:space="preserve"> </v>
      </c>
      <c r="J290" t="str">
        <f t="shared" ref="J290:J327" si="104">A290</f>
        <v>p</v>
      </c>
      <c r="K290" t="str">
        <f t="shared" ref="K290:K327" si="105">B290</f>
        <v>q</v>
      </c>
      <c r="L290">
        <f t="shared" ref="L290:L327" si="106">C290</f>
        <v>34.4</v>
      </c>
      <c r="M290" t="str">
        <f t="shared" ref="M290:M327" si="107">D290</f>
        <v>250:00</v>
      </c>
      <c r="N290" t="str">
        <f t="shared" ref="N290:N327" si="108">E290</f>
        <v>-</v>
      </c>
      <c r="O290" t="str">
        <f t="shared" ref="O290:O322" si="109">IF(AND(D290="-",E290="-"),IF(1*SUBSTITUTE(F290,":",".")=-90,"DOWN",IF(1*SUBSTITUTE(F290,":",".")=90,"UP","no compass")),F290)</f>
        <v>-14:30</v>
      </c>
      <c r="P290" t="str">
        <f t="shared" ref="P290:P327" si="110">H290</f>
        <v/>
      </c>
    </row>
    <row r="291" spans="1:16" x14ac:dyDescent="0.25">
      <c r="J291" t="str">
        <f>$J$2</f>
        <v>data diving from to tape compass backcompass depthchange ignoreall</v>
      </c>
    </row>
    <row r="292" spans="1:16" x14ac:dyDescent="0.25">
      <c r="A292" t="str">
        <f>'Raw Data'!A251</f>
        <v>q</v>
      </c>
      <c r="B292" t="str">
        <f>'Raw Data'!B251</f>
        <v>r</v>
      </c>
      <c r="C292">
        <f>'Raw Data'!J251</f>
        <v>23.1</v>
      </c>
      <c r="D292" t="str">
        <f>'Interpreted Data'!G251</f>
        <v>320:00</v>
      </c>
      <c r="E292" t="str">
        <f>'Interpreted Data'!H251</f>
        <v>-</v>
      </c>
      <c r="F292" t="str">
        <f>SUBSTITUTE('Raw Data'!K251," ",":",1)</f>
        <v>-3.5:feet</v>
      </c>
      <c r="G292">
        <f>'Interpreted Data'!N251</f>
        <v>-3.5</v>
      </c>
      <c r="H292" t="str">
        <f>'Interpreted Data'!P251</f>
        <v>Sump 15' on at 280deg true WL 5 WR 4</v>
      </c>
      <c r="I292" t="str">
        <f t="shared" si="103"/>
        <v xml:space="preserve"> </v>
      </c>
      <c r="J292" t="str">
        <f t="shared" si="104"/>
        <v>q</v>
      </c>
      <c r="K292" t="str">
        <f t="shared" si="105"/>
        <v>r</v>
      </c>
      <c r="L292">
        <f t="shared" si="106"/>
        <v>23.1</v>
      </c>
      <c r="M292" t="str">
        <f t="shared" si="107"/>
        <v>320:00</v>
      </c>
      <c r="N292" t="str">
        <f t="shared" si="108"/>
        <v>-</v>
      </c>
      <c r="O292">
        <f>G292</f>
        <v>-3.5</v>
      </c>
      <c r="P292" t="str">
        <f t="shared" si="110"/>
        <v>Sump 15' on at 280deg true WL 5 WR 4</v>
      </c>
    </row>
    <row r="293" spans="1:16" x14ac:dyDescent="0.25">
      <c r="J293" t="str">
        <f>$J$1</f>
        <v>data normal from to tape compass backcompass clino ignoreall</v>
      </c>
    </row>
    <row r="294" spans="1:16" x14ac:dyDescent="0.25">
      <c r="A294" t="str">
        <f>'Raw Data'!A252</f>
        <v>q</v>
      </c>
      <c r="B294" t="str">
        <f>'Raw Data'!B252</f>
        <v>s</v>
      </c>
      <c r="C294">
        <f>'Raw Data'!J252</f>
        <v>21.6</v>
      </c>
      <c r="D294" t="str">
        <f>'Interpreted Data'!G252</f>
        <v>-</v>
      </c>
      <c r="E294" t="str">
        <f>'Interpreted Data'!H252</f>
        <v>330:00</v>
      </c>
      <c r="F294" t="str">
        <f>SUBSTITUTE('Raw Data'!K252," ",":",1)</f>
        <v>20:30</v>
      </c>
      <c r="G294">
        <f>'Interpreted Data'!N252</f>
        <v>7.6</v>
      </c>
      <c r="H294" t="str">
        <f>'Interpreted Data'!P252</f>
        <v/>
      </c>
      <c r="I294" t="str">
        <f t="shared" si="103"/>
        <v xml:space="preserve"> </v>
      </c>
      <c r="J294" t="str">
        <f t="shared" si="104"/>
        <v>q</v>
      </c>
      <c r="K294" t="str">
        <f t="shared" si="105"/>
        <v>s</v>
      </c>
      <c r="L294">
        <f t="shared" si="106"/>
        <v>21.6</v>
      </c>
      <c r="M294" t="str">
        <f t="shared" si="107"/>
        <v>-</v>
      </c>
      <c r="N294" t="str">
        <f t="shared" si="108"/>
        <v>330:00</v>
      </c>
      <c r="O294" t="str">
        <f t="shared" si="109"/>
        <v>20:30</v>
      </c>
      <c r="P294" t="str">
        <f t="shared" si="110"/>
        <v/>
      </c>
    </row>
    <row r="295" spans="1:16" x14ac:dyDescent="0.25">
      <c r="A295" t="str">
        <f>'Raw Data'!A253</f>
        <v>s</v>
      </c>
      <c r="B295" t="str">
        <f>'Raw Data'!B253</f>
        <v>t</v>
      </c>
      <c r="C295">
        <f>'Raw Data'!J253</f>
        <v>17.399999999999999</v>
      </c>
      <c r="D295" t="str">
        <f>'Interpreted Data'!G253</f>
        <v>246:00</v>
      </c>
      <c r="E295" t="str">
        <f>'Interpreted Data'!H253</f>
        <v>-</v>
      </c>
      <c r="F295" t="str">
        <f>SUBSTITUTE('Raw Data'!K253," ",":",1)</f>
        <v>-7:30</v>
      </c>
      <c r="G295">
        <f>'Interpreted Data'!N253</f>
        <v>-2.2999999999999998</v>
      </c>
      <c r="H295" t="str">
        <f>'Interpreted Data'!P253</f>
        <v/>
      </c>
      <c r="I295" t="str">
        <f t="shared" si="103"/>
        <v xml:space="preserve"> </v>
      </c>
      <c r="J295" t="str">
        <f t="shared" si="104"/>
        <v>s</v>
      </c>
      <c r="K295" t="str">
        <f t="shared" si="105"/>
        <v>t</v>
      </c>
      <c r="L295">
        <f t="shared" si="106"/>
        <v>17.399999999999999</v>
      </c>
      <c r="M295" t="str">
        <f t="shared" si="107"/>
        <v>246:00</v>
      </c>
      <c r="N295" t="str">
        <f t="shared" si="108"/>
        <v>-</v>
      </c>
      <c r="O295" t="str">
        <f t="shared" si="109"/>
        <v>-7:30</v>
      </c>
      <c r="P295" t="str">
        <f t="shared" si="110"/>
        <v/>
      </c>
    </row>
    <row r="296" spans="1:16" x14ac:dyDescent="0.25">
      <c r="J296" t="str">
        <f>$J$2</f>
        <v>data diving from to tape compass backcompass depthchange ignoreall</v>
      </c>
    </row>
    <row r="297" spans="1:16" x14ac:dyDescent="0.25">
      <c r="A297" t="str">
        <f>'Raw Data'!A254</f>
        <v>t</v>
      </c>
      <c r="B297" t="str">
        <f>'Raw Data'!B254</f>
        <v>u</v>
      </c>
      <c r="C297">
        <f>'Raw Data'!J254</f>
        <v>18.2</v>
      </c>
      <c r="D297" t="str">
        <f>'Interpreted Data'!G254</f>
        <v>255:00</v>
      </c>
      <c r="E297" t="str">
        <f>'Interpreted Data'!H254</f>
        <v>-</v>
      </c>
      <c r="F297" t="str">
        <f>SUBSTITUTE('Raw Data'!K254," ",":",1)</f>
        <v>-4:feet</v>
      </c>
      <c r="G297">
        <f>'Interpreted Data'!N254</f>
        <v>-4</v>
      </c>
      <c r="H297" t="str">
        <f>'Interpreted Data'!P254</f>
        <v>(sketch t-u) u-&gt; Howards Loop</v>
      </c>
      <c r="I297" t="str">
        <f t="shared" si="103"/>
        <v xml:space="preserve"> </v>
      </c>
      <c r="J297" t="str">
        <f t="shared" si="104"/>
        <v>t</v>
      </c>
      <c r="K297" t="str">
        <f t="shared" si="105"/>
        <v>u</v>
      </c>
      <c r="L297">
        <f t="shared" si="106"/>
        <v>18.2</v>
      </c>
      <c r="M297" t="str">
        <f t="shared" si="107"/>
        <v>255:00</v>
      </c>
      <c r="N297" t="str">
        <f t="shared" si="108"/>
        <v>-</v>
      </c>
      <c r="O297">
        <f>G297</f>
        <v>-4</v>
      </c>
      <c r="P297" t="str">
        <f t="shared" si="110"/>
        <v>(sketch t-u) u-&gt; Howards Loop</v>
      </c>
    </row>
    <row r="298" spans="1:16" x14ac:dyDescent="0.25">
      <c r="J298" t="str">
        <f>$J$1</f>
        <v>data normal from to tape compass backcompass clino ignoreall</v>
      </c>
    </row>
    <row r="299" spans="1:16" x14ac:dyDescent="0.25">
      <c r="A299" t="str">
        <f>'Raw Data'!A255</f>
        <v>t</v>
      </c>
      <c r="B299" t="str">
        <f>'Raw Data'!B255</f>
        <v>v</v>
      </c>
      <c r="C299">
        <f>'Raw Data'!J255</f>
        <v>17.3</v>
      </c>
      <c r="D299" t="str">
        <f>'Interpreted Data'!G255</f>
        <v>-</v>
      </c>
      <c r="E299" t="str">
        <f>'Interpreted Data'!H255</f>
        <v>346:00</v>
      </c>
      <c r="F299" t="str">
        <f>SUBSTITUTE('Raw Data'!K255," ",":",1)</f>
        <v>20:30</v>
      </c>
      <c r="G299">
        <f>'Interpreted Data'!N255</f>
        <v>6</v>
      </c>
      <c r="H299" t="str">
        <f>'Interpreted Data'!P255</f>
        <v>v in a cross rift 4' from Pearly Gate</v>
      </c>
      <c r="I299" t="str">
        <f t="shared" si="103"/>
        <v xml:space="preserve"> </v>
      </c>
      <c r="J299" t="str">
        <f t="shared" si="104"/>
        <v>t</v>
      </c>
      <c r="K299" t="str">
        <f t="shared" si="105"/>
        <v>v</v>
      </c>
      <c r="L299">
        <f t="shared" si="106"/>
        <v>17.3</v>
      </c>
      <c r="M299" t="str">
        <f t="shared" si="107"/>
        <v>-</v>
      </c>
      <c r="N299" t="str">
        <f t="shared" si="108"/>
        <v>346:00</v>
      </c>
      <c r="O299" t="str">
        <f t="shared" si="109"/>
        <v>20:30</v>
      </c>
      <c r="P299" t="str">
        <f t="shared" si="110"/>
        <v>v in a cross rift 4' from Pearly Gate</v>
      </c>
    </row>
    <row r="300" spans="1:16" x14ac:dyDescent="0.25">
      <c r="A300" t="str">
        <f>'Raw Data'!A256</f>
        <v>v</v>
      </c>
      <c r="B300" t="str">
        <f>'Raw Data'!B256</f>
        <v>w</v>
      </c>
      <c r="C300">
        <f>'Raw Data'!J256</f>
        <v>16.2</v>
      </c>
      <c r="D300" t="str">
        <f>'Interpreted Data'!G256</f>
        <v>165:40</v>
      </c>
      <c r="E300" t="str">
        <f>'Interpreted Data'!H256</f>
        <v>-</v>
      </c>
      <c r="F300" t="str">
        <f>SUBSTITUTE('Raw Data'!K256," ",":",1)</f>
        <v>-2:45</v>
      </c>
      <c r="G300">
        <f>'Interpreted Data'!N256</f>
        <v>-0.8</v>
      </c>
      <c r="H300" t="str">
        <f>'Interpreted Data'!P256</f>
        <v/>
      </c>
      <c r="I300" t="str">
        <f t="shared" si="103"/>
        <v xml:space="preserve"> </v>
      </c>
      <c r="J300" t="str">
        <f t="shared" si="104"/>
        <v>v</v>
      </c>
      <c r="K300" t="str">
        <f t="shared" si="105"/>
        <v>w</v>
      </c>
      <c r="L300">
        <f t="shared" si="106"/>
        <v>16.2</v>
      </c>
      <c r="M300" t="str">
        <f t="shared" si="107"/>
        <v>165:40</v>
      </c>
      <c r="N300" t="str">
        <f t="shared" si="108"/>
        <v>-</v>
      </c>
      <c r="O300" t="str">
        <f t="shared" si="109"/>
        <v>-2:45</v>
      </c>
      <c r="P300" t="str">
        <f t="shared" si="110"/>
        <v/>
      </c>
    </row>
    <row r="301" spans="1:16" x14ac:dyDescent="0.25">
      <c r="A301" t="str">
        <f>'Raw Data'!A257</f>
        <v>w</v>
      </c>
      <c r="B301" t="str">
        <f>'Raw Data'!B257</f>
        <v>x</v>
      </c>
      <c r="C301">
        <f>'Raw Data'!J257</f>
        <v>17.8</v>
      </c>
      <c r="D301" t="str">
        <f>'Interpreted Data'!G257</f>
        <v>-</v>
      </c>
      <c r="E301" t="str">
        <f>'Interpreted Data'!H257</f>
        <v>272:30</v>
      </c>
      <c r="F301" t="str">
        <f>SUBSTITUTE('Raw Data'!K257," ",":",1)</f>
        <v>19:40</v>
      </c>
      <c r="G301">
        <f>'Interpreted Data'!N257</f>
        <v>6</v>
      </c>
      <c r="H301" t="str">
        <f>'Interpreted Data'!P257</f>
        <v>(sketch w-x)</v>
      </c>
      <c r="I301" t="str">
        <f t="shared" si="103"/>
        <v xml:space="preserve"> </v>
      </c>
      <c r="J301" t="str">
        <f t="shared" si="104"/>
        <v>w</v>
      </c>
      <c r="K301" t="str">
        <f t="shared" si="105"/>
        <v>x</v>
      </c>
      <c r="L301">
        <f t="shared" si="106"/>
        <v>17.8</v>
      </c>
      <c r="M301" t="str">
        <f t="shared" si="107"/>
        <v>-</v>
      </c>
      <c r="N301" t="str">
        <f t="shared" si="108"/>
        <v>272:30</v>
      </c>
      <c r="O301" t="str">
        <f t="shared" si="109"/>
        <v>19:40</v>
      </c>
      <c r="P301" t="str">
        <f t="shared" si="110"/>
        <v>(sketch w-x)</v>
      </c>
    </row>
    <row r="302" spans="1:16" x14ac:dyDescent="0.25">
      <c r="A302" t="str">
        <f>'Raw Data'!A258</f>
        <v>x</v>
      </c>
      <c r="B302" t="str">
        <f>'Raw Data'!B258</f>
        <v>y</v>
      </c>
      <c r="C302">
        <f>'Raw Data'!J258</f>
        <v>24.3</v>
      </c>
      <c r="D302" t="str">
        <f>'Interpreted Data'!G258</f>
        <v>147:00</v>
      </c>
      <c r="E302" t="str">
        <f>'Interpreted Data'!H258</f>
        <v>-</v>
      </c>
      <c r="F302" t="str">
        <f>SUBSTITUTE('Raw Data'!K258," ",":",1)</f>
        <v>10:00</v>
      </c>
      <c r="G302">
        <f>'Interpreted Data'!N258</f>
        <v>4.2</v>
      </c>
      <c r="H302" t="str">
        <f>'Interpreted Data'!P258</f>
        <v/>
      </c>
      <c r="I302" t="str">
        <f t="shared" si="103"/>
        <v xml:space="preserve"> </v>
      </c>
      <c r="J302" t="str">
        <f t="shared" si="104"/>
        <v>x</v>
      </c>
      <c r="K302" t="str">
        <f t="shared" si="105"/>
        <v>y</v>
      </c>
      <c r="L302">
        <f t="shared" si="106"/>
        <v>24.3</v>
      </c>
      <c r="M302" t="str">
        <f t="shared" si="107"/>
        <v>147:00</v>
      </c>
      <c r="N302" t="str">
        <f t="shared" si="108"/>
        <v>-</v>
      </c>
      <c r="O302" t="str">
        <f t="shared" si="109"/>
        <v>10:00</v>
      </c>
      <c r="P302" t="str">
        <f t="shared" si="110"/>
        <v/>
      </c>
    </row>
    <row r="303" spans="1:16" x14ac:dyDescent="0.25">
      <c r="A303" t="str">
        <f>'Raw Data'!A259</f>
        <v>y</v>
      </c>
      <c r="B303" t="str">
        <f>'Raw Data'!B259</f>
        <v>z</v>
      </c>
      <c r="C303">
        <f>'Raw Data'!J259</f>
        <v>6</v>
      </c>
      <c r="D303" t="str">
        <f>'Interpreted Data'!G259</f>
        <v>-</v>
      </c>
      <c r="E303" t="str">
        <f>'Interpreted Data'!H259</f>
        <v>-</v>
      </c>
      <c r="F303" t="str">
        <f>SUBSTITUTE('Raw Data'!K259," ",":",1)</f>
        <v>-90:00</v>
      </c>
      <c r="G303">
        <f>'Interpreted Data'!N259</f>
        <v>-6</v>
      </c>
      <c r="H303" t="str">
        <f>'Interpreted Data'!P259</f>
        <v/>
      </c>
      <c r="I303" t="str">
        <f t="shared" si="103"/>
        <v xml:space="preserve"> </v>
      </c>
      <c r="J303" t="str">
        <f t="shared" si="104"/>
        <v>y</v>
      </c>
      <c r="K303" t="str">
        <f t="shared" si="105"/>
        <v>z</v>
      </c>
      <c r="L303">
        <f t="shared" si="106"/>
        <v>6</v>
      </c>
      <c r="M303" t="str">
        <f t="shared" si="107"/>
        <v>-</v>
      </c>
      <c r="N303" t="str">
        <f t="shared" si="108"/>
        <v>-</v>
      </c>
      <c r="O303" t="str">
        <f t="shared" si="109"/>
        <v>DOWN</v>
      </c>
      <c r="P303" t="str">
        <f t="shared" si="110"/>
        <v/>
      </c>
    </row>
    <row r="304" spans="1:16" x14ac:dyDescent="0.25">
      <c r="A304" t="str">
        <f>'Raw Data'!A260</f>
        <v>z</v>
      </c>
      <c r="B304" t="str">
        <f>'Raw Data'!B260</f>
        <v>aa</v>
      </c>
      <c r="C304">
        <f>'Raw Data'!J260</f>
        <v>12.5</v>
      </c>
      <c r="D304" t="str">
        <f>'Interpreted Data'!G260</f>
        <v>-</v>
      </c>
      <c r="E304" t="str">
        <f>'Interpreted Data'!H260</f>
        <v>327:00</v>
      </c>
      <c r="F304" t="str">
        <f>SUBSTITUTE('Raw Data'!K260," ",":",1)</f>
        <v>-2:40</v>
      </c>
      <c r="G304">
        <f>'Interpreted Data'!N260</f>
        <v>-0.6</v>
      </c>
      <c r="H304" t="str">
        <f>'Interpreted Data'!P260</f>
        <v>Bottom of drop. View into Damascus</v>
      </c>
      <c r="I304" t="str">
        <f t="shared" si="103"/>
        <v xml:space="preserve"> </v>
      </c>
      <c r="J304" t="str">
        <f t="shared" si="104"/>
        <v>z</v>
      </c>
      <c r="K304" t="str">
        <f t="shared" si="105"/>
        <v>aa</v>
      </c>
      <c r="L304">
        <f t="shared" si="106"/>
        <v>12.5</v>
      </c>
      <c r="M304" t="str">
        <f t="shared" si="107"/>
        <v>-</v>
      </c>
      <c r="N304" t="str">
        <f t="shared" si="108"/>
        <v>327:00</v>
      </c>
      <c r="O304" t="str">
        <f t="shared" si="109"/>
        <v>-2:40</v>
      </c>
      <c r="P304" t="str">
        <f t="shared" si="110"/>
        <v>Bottom of drop. View into Damascus</v>
      </c>
    </row>
    <row r="305" spans="1:16" x14ac:dyDescent="0.25">
      <c r="A305" t="str">
        <f>'Raw Data'!A261</f>
        <v>aa</v>
      </c>
      <c r="B305" t="str">
        <f>'Raw Data'!B261</f>
        <v>ab</v>
      </c>
      <c r="C305">
        <f>'Raw Data'!J261</f>
        <v>11.2</v>
      </c>
      <c r="D305" t="str">
        <f>'Interpreted Data'!G261</f>
        <v>212:30</v>
      </c>
      <c r="E305" t="str">
        <f>'Interpreted Data'!H261</f>
        <v>-</v>
      </c>
      <c r="F305" t="str">
        <f>SUBSTITUTE('Raw Data'!K261," ",":",1)</f>
        <v>-22:30</v>
      </c>
      <c r="G305">
        <f>'Interpreted Data'!N261</f>
        <v>-4.3</v>
      </c>
      <c r="H305" t="str">
        <f>'Interpreted Data'!P261</f>
        <v>Above pool</v>
      </c>
      <c r="I305" t="str">
        <f t="shared" si="103"/>
        <v xml:space="preserve"> </v>
      </c>
      <c r="J305" t="str">
        <f t="shared" si="104"/>
        <v>aa</v>
      </c>
      <c r="K305" t="str">
        <f t="shared" si="105"/>
        <v>ab</v>
      </c>
      <c r="L305">
        <f t="shared" si="106"/>
        <v>11.2</v>
      </c>
      <c r="M305" t="str">
        <f t="shared" si="107"/>
        <v>212:30</v>
      </c>
      <c r="N305" t="str">
        <f t="shared" si="108"/>
        <v>-</v>
      </c>
      <c r="O305" t="str">
        <f t="shared" si="109"/>
        <v>-22:30</v>
      </c>
      <c r="P305" t="str">
        <f t="shared" si="110"/>
        <v>Above pool</v>
      </c>
    </row>
    <row r="306" spans="1:16" x14ac:dyDescent="0.25">
      <c r="A306" t="str">
        <f>'Raw Data'!A262</f>
        <v>ab</v>
      </c>
      <c r="B306" t="str">
        <f>'Raw Data'!B262</f>
        <v>ac</v>
      </c>
      <c r="C306">
        <f>'Raw Data'!J262</f>
        <v>8</v>
      </c>
      <c r="D306" t="str">
        <f>'Interpreted Data'!G262</f>
        <v>-</v>
      </c>
      <c r="E306" t="str">
        <f>'Interpreted Data'!H262</f>
        <v>353:00</v>
      </c>
      <c r="F306" t="str">
        <f>SUBSTITUTE('Raw Data'!K262," ",":",1)</f>
        <v>11:30</v>
      </c>
      <c r="G306">
        <f>'Interpreted Data'!N262</f>
        <v>1.6</v>
      </c>
      <c r="H306" t="str">
        <f>'Interpreted Data'!P262</f>
        <v>Bearing 238 true into Howards Loop</v>
      </c>
      <c r="I306" t="str">
        <f t="shared" si="103"/>
        <v xml:space="preserve"> </v>
      </c>
      <c r="J306" t="str">
        <f t="shared" si="104"/>
        <v>ab</v>
      </c>
      <c r="K306" t="str">
        <f t="shared" si="105"/>
        <v>ac</v>
      </c>
      <c r="L306">
        <f t="shared" si="106"/>
        <v>8</v>
      </c>
      <c r="M306" t="str">
        <f t="shared" si="107"/>
        <v>-</v>
      </c>
      <c r="N306" t="str">
        <f t="shared" si="108"/>
        <v>353:00</v>
      </c>
      <c r="O306" t="str">
        <f t="shared" si="109"/>
        <v>11:30</v>
      </c>
      <c r="P306" t="str">
        <f t="shared" si="110"/>
        <v>Bearing 238 true into Howards Loop</v>
      </c>
    </row>
    <row r="307" spans="1:16" x14ac:dyDescent="0.25">
      <c r="A307" t="str">
        <f>'Raw Data'!A263</f>
        <v>ac</v>
      </c>
      <c r="B307" t="str">
        <f>'Raw Data'!B263</f>
        <v>ad</v>
      </c>
      <c r="C307">
        <f>'Raw Data'!J263</f>
        <v>14.3</v>
      </c>
      <c r="D307" t="str">
        <f>'Interpreted Data'!G263</f>
        <v>202:00</v>
      </c>
      <c r="E307" t="str">
        <f>'Interpreted Data'!H263</f>
        <v>-</v>
      </c>
      <c r="F307" t="str">
        <f>SUBSTITUTE('Raw Data'!K263," ",":",1)</f>
        <v>-12:00</v>
      </c>
      <c r="G307">
        <f>'Interpreted Data'!N263</f>
        <v>-3</v>
      </c>
      <c r="H307" t="str">
        <f>'Interpreted Data'!P263</f>
        <v>(sketch ab-ac)</v>
      </c>
      <c r="I307" t="str">
        <f t="shared" si="103"/>
        <v xml:space="preserve"> </v>
      </c>
      <c r="J307" t="str">
        <f t="shared" si="104"/>
        <v>ac</v>
      </c>
      <c r="K307" t="str">
        <f t="shared" si="105"/>
        <v>ad</v>
      </c>
      <c r="L307">
        <f t="shared" si="106"/>
        <v>14.3</v>
      </c>
      <c r="M307" t="str">
        <f t="shared" si="107"/>
        <v>202:00</v>
      </c>
      <c r="N307" t="str">
        <f t="shared" si="108"/>
        <v>-</v>
      </c>
      <c r="O307" t="str">
        <f t="shared" si="109"/>
        <v>-12:00</v>
      </c>
      <c r="P307" t="str">
        <f t="shared" si="110"/>
        <v>(sketch ab-ac)</v>
      </c>
    </row>
    <row r="308" spans="1:16" x14ac:dyDescent="0.25">
      <c r="A308" t="str">
        <f>'Raw Data'!A264</f>
        <v>ad</v>
      </c>
      <c r="B308" t="str">
        <f>'Raw Data'!B264</f>
        <v>ae</v>
      </c>
      <c r="C308">
        <f>'Raw Data'!J264</f>
        <v>12.7</v>
      </c>
      <c r="D308" t="str">
        <f>'Interpreted Data'!G264</f>
        <v>-</v>
      </c>
      <c r="E308" t="str">
        <f>'Interpreted Data'!H264</f>
        <v>026:00</v>
      </c>
      <c r="F308" t="str">
        <f>SUBSTITUTE('Raw Data'!K264," ",":",1)</f>
        <v>6:00</v>
      </c>
      <c r="G308">
        <f>'Interpreted Data'!N264</f>
        <v>1.3</v>
      </c>
      <c r="H308" t="str">
        <f>'Interpreted Data'!P264</f>
        <v/>
      </c>
      <c r="I308" t="str">
        <f t="shared" si="103"/>
        <v xml:space="preserve"> </v>
      </c>
      <c r="J308" t="str">
        <f t="shared" si="104"/>
        <v>ad</v>
      </c>
      <c r="K308" t="str">
        <f t="shared" si="105"/>
        <v>ae</v>
      </c>
      <c r="L308">
        <f t="shared" si="106"/>
        <v>12.7</v>
      </c>
      <c r="M308" t="str">
        <f t="shared" si="107"/>
        <v>-</v>
      </c>
      <c r="N308" t="str">
        <f t="shared" si="108"/>
        <v>026:00</v>
      </c>
      <c r="O308" t="str">
        <f t="shared" si="109"/>
        <v>6:00</v>
      </c>
      <c r="P308" t="str">
        <f t="shared" si="110"/>
        <v/>
      </c>
    </row>
    <row r="309" spans="1:16" x14ac:dyDescent="0.25">
      <c r="A309" t="str">
        <f>'Raw Data'!A265</f>
        <v>ae</v>
      </c>
      <c r="B309" t="str">
        <f>'Raw Data'!B265</f>
        <v>af</v>
      </c>
      <c r="C309">
        <f>'Raw Data'!J265</f>
        <v>30.5</v>
      </c>
      <c r="D309" t="str">
        <f>'Interpreted Data'!G265</f>
        <v>263:00</v>
      </c>
      <c r="E309" t="str">
        <f>'Interpreted Data'!H265</f>
        <v>-</v>
      </c>
      <c r="F309" t="str">
        <f>SUBSTITUTE('Raw Data'!K265," ",":",1)</f>
        <v>-8:40</v>
      </c>
      <c r="G309">
        <f>'Interpreted Data'!N265</f>
        <v>-4.5999999999999996</v>
      </c>
      <c r="H309" t="str">
        <f>'Interpreted Data'!P265</f>
        <v>15' aven explored by Oliver just before station</v>
      </c>
      <c r="I309" t="str">
        <f t="shared" si="103"/>
        <v xml:space="preserve"> </v>
      </c>
      <c r="J309" t="str">
        <f t="shared" si="104"/>
        <v>ae</v>
      </c>
      <c r="K309" t="str">
        <f t="shared" si="105"/>
        <v>af</v>
      </c>
      <c r="L309">
        <f t="shared" si="106"/>
        <v>30.5</v>
      </c>
      <c r="M309" t="str">
        <f t="shared" si="107"/>
        <v>263:00</v>
      </c>
      <c r="N309" t="str">
        <f t="shared" si="108"/>
        <v>-</v>
      </c>
      <c r="O309" t="str">
        <f t="shared" si="109"/>
        <v>-8:40</v>
      </c>
      <c r="P309" t="str">
        <f t="shared" si="110"/>
        <v>15' aven explored by Oliver just before station</v>
      </c>
    </row>
    <row r="310" spans="1:16" x14ac:dyDescent="0.25">
      <c r="A310" t="str">
        <f>'Raw Data'!A266</f>
        <v>af</v>
      </c>
      <c r="B310" t="str">
        <f>'Raw Data'!B266</f>
        <v>ag</v>
      </c>
      <c r="C310">
        <f>'Raw Data'!J266</f>
        <v>27.4</v>
      </c>
      <c r="D310" t="str">
        <f>'Interpreted Data'!G266</f>
        <v>-</v>
      </c>
      <c r="E310" t="str">
        <f>'Interpreted Data'!H266</f>
        <v>112:15</v>
      </c>
      <c r="F310" t="str">
        <f>SUBSTITUTE('Raw Data'!K266," ",":",1)</f>
        <v>0:15</v>
      </c>
      <c r="G310">
        <f>'Interpreted Data'!N266</f>
        <v>0</v>
      </c>
      <c r="H310" t="str">
        <f>'Interpreted Data'!P266</f>
        <v/>
      </c>
      <c r="I310" t="str">
        <f t="shared" si="103"/>
        <v xml:space="preserve"> </v>
      </c>
      <c r="J310" t="str">
        <f t="shared" si="104"/>
        <v>af</v>
      </c>
      <c r="K310" t="str">
        <f t="shared" si="105"/>
        <v>ag</v>
      </c>
      <c r="L310">
        <f t="shared" si="106"/>
        <v>27.4</v>
      </c>
      <c r="M310" t="str">
        <f t="shared" si="107"/>
        <v>-</v>
      </c>
      <c r="N310" t="str">
        <f t="shared" si="108"/>
        <v>112:15</v>
      </c>
      <c r="O310" t="str">
        <f t="shared" si="109"/>
        <v>0:15</v>
      </c>
      <c r="P310" t="str">
        <f t="shared" si="110"/>
        <v/>
      </c>
    </row>
    <row r="311" spans="1:16" x14ac:dyDescent="0.25">
      <c r="A311" t="str">
        <f>'Raw Data'!A267</f>
        <v>ag</v>
      </c>
      <c r="B311" t="str">
        <f>'Raw Data'!B267</f>
        <v>ah</v>
      </c>
      <c r="C311">
        <f>'Raw Data'!J267</f>
        <v>13.7</v>
      </c>
      <c r="D311" t="str">
        <f>'Interpreted Data'!G267</f>
        <v>253:30</v>
      </c>
      <c r="E311" t="str">
        <f>'Interpreted Data'!H267</f>
        <v>-</v>
      </c>
      <c r="F311" t="str">
        <f>SUBSTITUTE('Raw Data'!K267," ",":",1)</f>
        <v>-20:20</v>
      </c>
      <c r="G311">
        <f>'Interpreted Data'!N267</f>
        <v>-4.8</v>
      </c>
      <c r="H311" t="str">
        <f>'Interpreted Data'!P267</f>
        <v>(sketch ag) 6" above water. Sump level 60.1</v>
      </c>
      <c r="I311" t="str">
        <f t="shared" si="103"/>
        <v xml:space="preserve"> </v>
      </c>
      <c r="J311" t="str">
        <f t="shared" si="104"/>
        <v>ag</v>
      </c>
      <c r="K311" t="str">
        <f t="shared" si="105"/>
        <v>ah</v>
      </c>
      <c r="L311">
        <f t="shared" si="106"/>
        <v>13.7</v>
      </c>
      <c r="M311" t="str">
        <f t="shared" si="107"/>
        <v>253:30</v>
      </c>
      <c r="N311" t="str">
        <f t="shared" si="108"/>
        <v>-</v>
      </c>
      <c r="O311" t="str">
        <f t="shared" si="109"/>
        <v>-20:20</v>
      </c>
      <c r="P311" t="str">
        <f t="shared" si="110"/>
        <v>(sketch ag) 6" above water. Sump level 60.1</v>
      </c>
    </row>
    <row r="312" spans="1:16" x14ac:dyDescent="0.25">
      <c r="A312" t="str">
        <f>'Raw Data'!A268</f>
        <v>z</v>
      </c>
      <c r="B312" t="str">
        <f>'Raw Data'!B268</f>
        <v>ai</v>
      </c>
      <c r="C312">
        <f>'Raw Data'!J268</f>
        <v>19.2</v>
      </c>
      <c r="D312" t="str">
        <f>'Interpreted Data'!G268</f>
        <v>-</v>
      </c>
      <c r="E312" t="str">
        <f>'Interpreted Data'!H268</f>
        <v>322:00</v>
      </c>
      <c r="F312" t="str">
        <f>SUBSTITUTE('Raw Data'!K268," ",":",1)</f>
        <v>22:00</v>
      </c>
      <c r="G312">
        <f>'Interpreted Data'!N268</f>
        <v>7.2</v>
      </c>
      <c r="H312" t="str">
        <f>'Interpreted Data'!P268</f>
        <v/>
      </c>
      <c r="I312" t="str">
        <f t="shared" si="103"/>
        <v xml:space="preserve"> </v>
      </c>
      <c r="J312" t="str">
        <f t="shared" si="104"/>
        <v>z</v>
      </c>
      <c r="K312" t="str">
        <f t="shared" si="105"/>
        <v>ai</v>
      </c>
      <c r="L312">
        <f t="shared" si="106"/>
        <v>19.2</v>
      </c>
      <c r="M312" t="str">
        <f t="shared" si="107"/>
        <v>-</v>
      </c>
      <c r="N312" t="str">
        <f t="shared" si="108"/>
        <v>322:00</v>
      </c>
      <c r="O312" t="str">
        <f t="shared" si="109"/>
        <v>22:00</v>
      </c>
      <c r="P312" t="str">
        <f t="shared" si="110"/>
        <v/>
      </c>
    </row>
    <row r="313" spans="1:16" x14ac:dyDescent="0.25">
      <c r="A313" t="str">
        <f>'Raw Data'!A269</f>
        <v>ai</v>
      </c>
      <c r="B313" t="str">
        <f>'Raw Data'!B269</f>
        <v>aj</v>
      </c>
      <c r="C313">
        <f>'Raw Data'!J269</f>
        <v>7.2</v>
      </c>
      <c r="D313" t="str">
        <f>'Interpreted Data'!G269</f>
        <v>097:00</v>
      </c>
      <c r="E313" t="str">
        <f>'Interpreted Data'!H269</f>
        <v>-</v>
      </c>
      <c r="F313" t="str">
        <f>SUBSTITUTE('Raw Data'!K269," ",":",1)</f>
        <v>55:00</v>
      </c>
      <c r="G313">
        <f>'Interpreted Data'!N269</f>
        <v>5.9</v>
      </c>
      <c r="H313" t="str">
        <f>'Interpreted Data'!P269</f>
        <v/>
      </c>
      <c r="I313" t="str">
        <f t="shared" si="103"/>
        <v xml:space="preserve"> </v>
      </c>
      <c r="J313" t="str">
        <f t="shared" si="104"/>
        <v>ai</v>
      </c>
      <c r="K313" t="str">
        <f t="shared" si="105"/>
        <v>aj</v>
      </c>
      <c r="L313">
        <f t="shared" si="106"/>
        <v>7.2</v>
      </c>
      <c r="M313" t="str">
        <f t="shared" si="107"/>
        <v>097:00</v>
      </c>
      <c r="N313" t="str">
        <f t="shared" si="108"/>
        <v>-</v>
      </c>
      <c r="O313" t="str">
        <f t="shared" si="109"/>
        <v>55:00</v>
      </c>
      <c r="P313" t="str">
        <f t="shared" si="110"/>
        <v/>
      </c>
    </row>
    <row r="314" spans="1:16" x14ac:dyDescent="0.25">
      <c r="A314" t="str">
        <f>'Raw Data'!A270</f>
        <v>aj</v>
      </c>
      <c r="B314" t="str">
        <f>'Raw Data'!B270</f>
        <v>ak</v>
      </c>
      <c r="C314">
        <f>'Raw Data'!J270</f>
        <v>19.7</v>
      </c>
      <c r="D314" t="str">
        <f>'Interpreted Data'!G270</f>
        <v>099:00</v>
      </c>
      <c r="E314" t="str">
        <f>'Interpreted Data'!H270</f>
        <v>-</v>
      </c>
      <c r="F314" t="str">
        <f>SUBSTITUTE('Raw Data'!K270," ",":",1)</f>
        <v>18:00</v>
      </c>
      <c r="G314">
        <f>'Interpreted Data'!N270</f>
        <v>6.1</v>
      </c>
      <c r="H314" t="str">
        <f>'Interpreted Data'!P270</f>
        <v/>
      </c>
      <c r="I314" t="str">
        <f t="shared" si="103"/>
        <v xml:space="preserve"> </v>
      </c>
      <c r="J314" t="str">
        <f t="shared" si="104"/>
        <v>aj</v>
      </c>
      <c r="K314" t="str">
        <f t="shared" si="105"/>
        <v>ak</v>
      </c>
      <c r="L314">
        <f t="shared" si="106"/>
        <v>19.7</v>
      </c>
      <c r="M314" t="str">
        <f t="shared" si="107"/>
        <v>099:00</v>
      </c>
      <c r="N314" t="str">
        <f t="shared" si="108"/>
        <v>-</v>
      </c>
      <c r="O314" t="str">
        <f t="shared" si="109"/>
        <v>18:00</v>
      </c>
      <c r="P314" t="str">
        <f t="shared" si="110"/>
        <v/>
      </c>
    </row>
    <row r="315" spans="1:16" x14ac:dyDescent="0.25">
      <c r="A315" t="str">
        <f>'Raw Data'!A271</f>
        <v>ak</v>
      </c>
      <c r="B315" t="str">
        <f>'Raw Data'!B271</f>
        <v>al</v>
      </c>
      <c r="C315">
        <f>'Raw Data'!J271</f>
        <v>9.1999999999999993</v>
      </c>
      <c r="D315" t="str">
        <f>'Interpreted Data'!G271</f>
        <v>106:00</v>
      </c>
      <c r="E315" t="str">
        <f>'Interpreted Data'!H271</f>
        <v>-</v>
      </c>
      <c r="F315" t="str">
        <f>SUBSTITUTE('Raw Data'!K271," ",":",1)</f>
        <v>-22:00</v>
      </c>
      <c r="G315">
        <f>'Interpreted Data'!N271</f>
        <v>-3.4</v>
      </c>
      <c r="H315" t="str">
        <f>'Interpreted Data'!P271</f>
        <v/>
      </c>
      <c r="I315" t="str">
        <f t="shared" si="103"/>
        <v xml:space="preserve"> </v>
      </c>
      <c r="J315" t="str">
        <f t="shared" si="104"/>
        <v>ak</v>
      </c>
      <c r="K315" t="str">
        <f t="shared" si="105"/>
        <v>al</v>
      </c>
      <c r="L315">
        <f t="shared" si="106"/>
        <v>9.1999999999999993</v>
      </c>
      <c r="M315" t="str">
        <f t="shared" si="107"/>
        <v>106:00</v>
      </c>
      <c r="N315" t="str">
        <f t="shared" si="108"/>
        <v>-</v>
      </c>
      <c r="O315" t="str">
        <f t="shared" si="109"/>
        <v>-22:00</v>
      </c>
      <c r="P315" t="str">
        <f t="shared" si="110"/>
        <v/>
      </c>
    </row>
    <row r="316" spans="1:16" x14ac:dyDescent="0.25">
      <c r="J316" t="str">
        <f>$J$2</f>
        <v>data diving from to tape compass backcompass depthchange ignoreall</v>
      </c>
    </row>
    <row r="317" spans="1:16" x14ac:dyDescent="0.25">
      <c r="A317" t="str">
        <f>'Raw Data'!A272</f>
        <v>al</v>
      </c>
      <c r="B317" t="str">
        <f>'Raw Data'!B272</f>
        <v>am</v>
      </c>
      <c r="C317">
        <f>'Raw Data'!J272</f>
        <v>15.8</v>
      </c>
      <c r="D317" t="str">
        <f>'Interpreted Data'!G272</f>
        <v>101:00</v>
      </c>
      <c r="E317" t="str">
        <f>'Interpreted Data'!H272</f>
        <v>-</v>
      </c>
      <c r="F317" t="str">
        <f>SUBSTITUTE('Raw Data'!K272," ",":",1)</f>
        <v>+:2 feet</v>
      </c>
      <c r="G317">
        <f>'Interpreted Data'!N272</f>
        <v>2</v>
      </c>
      <c r="H317" t="str">
        <f>'Interpreted Data'!P272</f>
        <v>Near side of duck (in dry weather)</v>
      </c>
      <c r="I317" t="str">
        <f t="shared" si="103"/>
        <v xml:space="preserve"> </v>
      </c>
      <c r="J317" t="str">
        <f t="shared" si="104"/>
        <v>al</v>
      </c>
      <c r="K317" t="str">
        <f t="shared" si="105"/>
        <v>am</v>
      </c>
      <c r="L317">
        <f t="shared" si="106"/>
        <v>15.8</v>
      </c>
      <c r="M317" t="str">
        <f t="shared" si="107"/>
        <v>101:00</v>
      </c>
      <c r="N317" t="str">
        <f t="shared" si="108"/>
        <v>-</v>
      </c>
      <c r="O317">
        <f>G317</f>
        <v>2</v>
      </c>
      <c r="P317" t="str">
        <f t="shared" si="110"/>
        <v>Near side of duck (in dry weather)</v>
      </c>
    </row>
    <row r="318" spans="1:16" x14ac:dyDescent="0.25">
      <c r="J318" t="str">
        <f>$J$1</f>
        <v>data normal from to tape compass backcompass clino ignoreall</v>
      </c>
    </row>
    <row r="319" spans="1:16" x14ac:dyDescent="0.25">
      <c r="A319" t="str">
        <f>'Raw Data'!A273</f>
        <v>am</v>
      </c>
      <c r="B319" t="str">
        <f>'Raw Data'!B273</f>
        <v>an</v>
      </c>
      <c r="C319">
        <f>'Raw Data'!J273</f>
        <v>12.3</v>
      </c>
      <c r="D319" t="str">
        <f>'Interpreted Data'!G273</f>
        <v>080:00</v>
      </c>
      <c r="E319" t="str">
        <f>'Interpreted Data'!H273</f>
        <v>-</v>
      </c>
      <c r="F319" t="str">
        <f>SUBSTITUTE('Raw Data'!K273," ",":",1)</f>
        <v>22:00</v>
      </c>
      <c r="G319">
        <f>'Interpreted Data'!N273</f>
        <v>4.5999999999999996</v>
      </c>
      <c r="H319" t="str">
        <f>'Interpreted Data'!P273</f>
        <v>Far side of duck (in dry weather)</v>
      </c>
      <c r="I319" t="str">
        <f t="shared" si="103"/>
        <v xml:space="preserve"> </v>
      </c>
      <c r="J319" t="str">
        <f t="shared" si="104"/>
        <v>am</v>
      </c>
      <c r="K319" t="str">
        <f t="shared" si="105"/>
        <v>an</v>
      </c>
      <c r="L319">
        <f t="shared" si="106"/>
        <v>12.3</v>
      </c>
      <c r="M319" t="str">
        <f t="shared" si="107"/>
        <v>080:00</v>
      </c>
      <c r="N319" t="str">
        <f t="shared" si="108"/>
        <v>-</v>
      </c>
      <c r="O319" t="str">
        <f t="shared" si="109"/>
        <v>22:00</v>
      </c>
      <c r="P319" t="str">
        <f t="shared" si="110"/>
        <v>Far side of duck (in dry weather)</v>
      </c>
    </row>
    <row r="320" spans="1:16" x14ac:dyDescent="0.25">
      <c r="A320" t="str">
        <f>'Raw Data'!A274</f>
        <v>an</v>
      </c>
      <c r="B320" t="str">
        <f>'Raw Data'!B274</f>
        <v>ao</v>
      </c>
      <c r="C320">
        <f>'Raw Data'!J274</f>
        <v>14.5</v>
      </c>
      <c r="D320" t="str">
        <f>'Interpreted Data'!G274</f>
        <v>114:00</v>
      </c>
      <c r="E320" t="str">
        <f>'Interpreted Data'!H274</f>
        <v>-</v>
      </c>
      <c r="F320" t="str">
        <f>SUBSTITUTE('Raw Data'!K274," ",":",1)</f>
        <v>50:00</v>
      </c>
      <c r="G320">
        <f>'Interpreted Data'!N274</f>
        <v>11.1</v>
      </c>
      <c r="H320" t="str">
        <f>'Interpreted Data'!P274</f>
        <v/>
      </c>
      <c r="I320" t="str">
        <f t="shared" si="103"/>
        <v xml:space="preserve"> </v>
      </c>
      <c r="J320" t="str">
        <f t="shared" si="104"/>
        <v>an</v>
      </c>
      <c r="K320" t="str">
        <f t="shared" si="105"/>
        <v>ao</v>
      </c>
      <c r="L320">
        <f t="shared" si="106"/>
        <v>14.5</v>
      </c>
      <c r="M320" t="str">
        <f t="shared" si="107"/>
        <v>114:00</v>
      </c>
      <c r="N320" t="str">
        <f t="shared" si="108"/>
        <v>-</v>
      </c>
      <c r="O320" t="str">
        <f t="shared" si="109"/>
        <v>50:00</v>
      </c>
      <c r="P320" t="str">
        <f t="shared" si="110"/>
        <v/>
      </c>
    </row>
    <row r="321" spans="1:16" x14ac:dyDescent="0.25">
      <c r="A321" t="str">
        <f>'Raw Data'!A275</f>
        <v>ao</v>
      </c>
      <c r="B321" t="str">
        <f>'Raw Data'!B275</f>
        <v>ap</v>
      </c>
      <c r="C321">
        <f>'Raw Data'!J275</f>
        <v>17.8</v>
      </c>
      <c r="D321" t="str">
        <f>'Interpreted Data'!G275</f>
        <v>103:00</v>
      </c>
      <c r="E321" t="str">
        <f>'Interpreted Data'!H275</f>
        <v>-</v>
      </c>
      <c r="F321" t="str">
        <f>SUBSTITUTE('Raw Data'!K275," ",":",1)</f>
        <v>-6:30</v>
      </c>
      <c r="G321">
        <f>'Interpreted Data'!N275</f>
        <v>-2</v>
      </c>
      <c r="H321" t="str">
        <f>'Interpreted Data'!P275</f>
        <v/>
      </c>
      <c r="I321" t="str">
        <f t="shared" si="103"/>
        <v xml:space="preserve"> </v>
      </c>
      <c r="J321" t="str">
        <f t="shared" si="104"/>
        <v>ao</v>
      </c>
      <c r="K321" t="str">
        <f t="shared" si="105"/>
        <v>ap</v>
      </c>
      <c r="L321">
        <f t="shared" si="106"/>
        <v>17.8</v>
      </c>
      <c r="M321" t="str">
        <f t="shared" si="107"/>
        <v>103:00</v>
      </c>
      <c r="N321" t="str">
        <f t="shared" si="108"/>
        <v>-</v>
      </c>
      <c r="O321" t="str">
        <f t="shared" si="109"/>
        <v>-6:30</v>
      </c>
      <c r="P321" t="str">
        <f t="shared" si="110"/>
        <v/>
      </c>
    </row>
    <row r="322" spans="1:16" x14ac:dyDescent="0.25">
      <c r="A322" t="str">
        <f>'Raw Data'!A276</f>
        <v>ap</v>
      </c>
      <c r="B322" t="str">
        <f>'Raw Data'!B276</f>
        <v>aq</v>
      </c>
      <c r="C322">
        <f>'Raw Data'!J276</f>
        <v>7.7</v>
      </c>
      <c r="D322" t="str">
        <f>'Interpreted Data'!G276</f>
        <v>026:00</v>
      </c>
      <c r="E322" t="str">
        <f>'Interpreted Data'!H276</f>
        <v>-</v>
      </c>
      <c r="F322" t="str">
        <f>SUBSTITUTE('Raw Data'!K276," ",":",1)</f>
        <v>-53:00</v>
      </c>
      <c r="G322">
        <f>'Interpreted Data'!N276</f>
        <v>-6.1</v>
      </c>
      <c r="H322" t="str">
        <f>'Interpreted Data'!P276</f>
        <v/>
      </c>
      <c r="I322" t="str">
        <f t="shared" si="103"/>
        <v xml:space="preserve"> </v>
      </c>
      <c r="J322" t="str">
        <f t="shared" si="104"/>
        <v>ap</v>
      </c>
      <c r="K322" t="str">
        <f t="shared" si="105"/>
        <v>aq</v>
      </c>
      <c r="L322">
        <f t="shared" si="106"/>
        <v>7.7</v>
      </c>
      <c r="M322" t="str">
        <f t="shared" si="107"/>
        <v>026:00</v>
      </c>
      <c r="N322" t="str">
        <f t="shared" si="108"/>
        <v>-</v>
      </c>
      <c r="O322" t="str">
        <f t="shared" si="109"/>
        <v>-53:00</v>
      </c>
      <c r="P322" t="str">
        <f t="shared" si="110"/>
        <v/>
      </c>
    </row>
    <row r="323" spans="1:16" x14ac:dyDescent="0.25">
      <c r="A323" t="str">
        <f>'Raw Data'!A277</f>
        <v>aq</v>
      </c>
      <c r="B323" t="str">
        <f>'Raw Data'!B277</f>
        <v>ar</v>
      </c>
      <c r="C323">
        <f>'Raw Data'!J277</f>
        <v>8.5</v>
      </c>
      <c r="D323" t="str">
        <f>'Interpreted Data'!G277</f>
        <v>003:00</v>
      </c>
      <c r="E323" t="str">
        <f>'Interpreted Data'!H277</f>
        <v>-</v>
      </c>
      <c r="F323" t="str">
        <f>SUBSTITUTE('Raw Data'!K277," ",":",1)</f>
        <v>level</v>
      </c>
      <c r="G323">
        <f>'Interpreted Data'!N277</f>
        <v>0</v>
      </c>
      <c r="H323" t="str">
        <f>'Interpreted Data'!P277</f>
        <v/>
      </c>
      <c r="I323" t="str">
        <f t="shared" si="103"/>
        <v xml:space="preserve"> </v>
      </c>
      <c r="J323" t="str">
        <f t="shared" si="104"/>
        <v>aq</v>
      </c>
      <c r="K323" t="str">
        <f t="shared" si="105"/>
        <v>ar</v>
      </c>
      <c r="L323">
        <f t="shared" si="106"/>
        <v>8.5</v>
      </c>
      <c r="M323" t="str">
        <f t="shared" si="107"/>
        <v>003:00</v>
      </c>
      <c r="N323" t="str">
        <f t="shared" si="108"/>
        <v>-</v>
      </c>
      <c r="O323">
        <f>G323</f>
        <v>0</v>
      </c>
      <c r="P323" t="str">
        <f t="shared" si="110"/>
        <v/>
      </c>
    </row>
    <row r="324" spans="1:16" x14ac:dyDescent="0.25">
      <c r="A324" t="str">
        <f>'Raw Data'!A278</f>
        <v>ar</v>
      </c>
      <c r="B324" t="str">
        <f>'Raw Data'!B278</f>
        <v>as</v>
      </c>
      <c r="C324">
        <f>'Raw Data'!J278</f>
        <v>10.8</v>
      </c>
      <c r="D324" t="str">
        <f>'Interpreted Data'!G278</f>
        <v>022:00</v>
      </c>
      <c r="E324" t="str">
        <f>'Interpreted Data'!H278</f>
        <v>-</v>
      </c>
      <c r="F324" t="str">
        <f>SUBSTITUTE('Raw Data'!K278," ",":",1)</f>
        <v>level</v>
      </c>
      <c r="G324">
        <f>'Interpreted Data'!N278</f>
        <v>0</v>
      </c>
      <c r="H324" t="str">
        <f>'Interpreted Data'!P278</f>
        <v>(sketch at-au) descends at 15 or 20 degrees. i.e. -9 feet vertical. Sump?</v>
      </c>
      <c r="I324" t="str">
        <f t="shared" si="103"/>
        <v xml:space="preserve"> </v>
      </c>
      <c r="J324" t="str">
        <f t="shared" si="104"/>
        <v>ar</v>
      </c>
      <c r="K324" t="str">
        <f t="shared" si="105"/>
        <v>as</v>
      </c>
      <c r="L324">
        <f t="shared" si="106"/>
        <v>10.8</v>
      </c>
      <c r="M324" t="str">
        <f t="shared" si="107"/>
        <v>022:00</v>
      </c>
      <c r="N324" t="str">
        <f t="shared" si="108"/>
        <v>-</v>
      </c>
      <c r="O324">
        <f>G324</f>
        <v>0</v>
      </c>
      <c r="P324" t="str">
        <f t="shared" si="110"/>
        <v>(sketch at-au) descends at 15 or 20 degrees. i.e. -9 feet vertical. Sump?</v>
      </c>
    </row>
    <row r="325" spans="1:16" x14ac:dyDescent="0.25">
      <c r="J325" t="str">
        <f>$J$2</f>
        <v>data diving from to tape compass backcompass depthchange ignoreall</v>
      </c>
    </row>
    <row r="326" spans="1:16" x14ac:dyDescent="0.25">
      <c r="A326" t="str">
        <f>'Raw Data'!A279</f>
        <v>as</v>
      </c>
      <c r="B326" t="str">
        <f>'Raw Data'!B279</f>
        <v>at</v>
      </c>
      <c r="C326">
        <f>'Raw Data'!J279</f>
        <v>18.399999999999999</v>
      </c>
      <c r="D326" t="str">
        <f>'Interpreted Data'!G279</f>
        <v>003:00</v>
      </c>
      <c r="E326" t="str">
        <f>'Interpreted Data'!H279</f>
        <v>-</v>
      </c>
      <c r="F326" t="str">
        <f>SUBSTITUTE('Raw Data'!K279," ",":",1)</f>
        <v>-2.5:feet</v>
      </c>
      <c r="G326">
        <f>'Interpreted Data'!N279</f>
        <v>-2.5</v>
      </c>
      <c r="H326" t="str">
        <f>'Interpreted Data'!P279</f>
        <v/>
      </c>
      <c r="I326" t="str">
        <f t="shared" si="103"/>
        <v xml:space="preserve"> </v>
      </c>
      <c r="J326" t="str">
        <f t="shared" si="104"/>
        <v>as</v>
      </c>
      <c r="K326" t="str">
        <f t="shared" si="105"/>
        <v>at</v>
      </c>
      <c r="L326">
        <f t="shared" si="106"/>
        <v>18.399999999999999</v>
      </c>
      <c r="M326" t="str">
        <f t="shared" si="107"/>
        <v>003:00</v>
      </c>
      <c r="N326" t="str">
        <f t="shared" si="108"/>
        <v>-</v>
      </c>
      <c r="O326">
        <f>G326</f>
        <v>-2.5</v>
      </c>
      <c r="P326" t="str">
        <f t="shared" si="110"/>
        <v/>
      </c>
    </row>
    <row r="327" spans="1:16" x14ac:dyDescent="0.25">
      <c r="A327" t="str">
        <f>'Raw Data'!A280</f>
        <v>at</v>
      </c>
      <c r="B327" t="str">
        <f>'Raw Data'!B280</f>
        <v>au</v>
      </c>
      <c r="C327">
        <f>'Raw Data'!J280</f>
        <v>11</v>
      </c>
      <c r="D327" t="str">
        <f>'Interpreted Data'!G280</f>
        <v>355:00</v>
      </c>
      <c r="E327" t="str">
        <f>'Interpreted Data'!H280</f>
        <v>-</v>
      </c>
      <c r="F327" t="str">
        <f>SUBSTITUTE('Raw Data'!K280," ",":",1)</f>
        <v>up:&amp; down 2'</v>
      </c>
      <c r="G327">
        <f>'Interpreted Data'!N280</f>
        <v>0</v>
      </c>
      <c r="H327" t="str">
        <f>'Interpreted Data'!P280</f>
        <v/>
      </c>
      <c r="I327" t="str">
        <f t="shared" si="103"/>
        <v xml:space="preserve"> </v>
      </c>
      <c r="J327" t="str">
        <f t="shared" si="104"/>
        <v>at</v>
      </c>
      <c r="K327" t="str">
        <f t="shared" si="105"/>
        <v>au</v>
      </c>
      <c r="L327">
        <f t="shared" si="106"/>
        <v>11</v>
      </c>
      <c r="M327" t="str">
        <f t="shared" si="107"/>
        <v>355:00</v>
      </c>
      <c r="N327" t="str">
        <f t="shared" si="108"/>
        <v>-</v>
      </c>
      <c r="O327">
        <f>G327</f>
        <v>0</v>
      </c>
      <c r="P327" t="str">
        <f t="shared" si="110"/>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2013-05-24T14:01:39Z</dcterms:modified>
</cp:coreProperties>
</file>