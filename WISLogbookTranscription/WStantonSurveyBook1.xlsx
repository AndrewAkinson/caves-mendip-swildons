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285" windowWidth="22995" windowHeight="9330" activeTab="3"/>
  </bookViews>
  <sheets>
    <sheet name="Raw Data" sheetId="1" r:id="rId1"/>
    <sheet name="Interpreted Data" sheetId="2" r:id="rId2"/>
    <sheet name="Survex Formatted" sheetId="3" r:id="rId3"/>
    <sheet name="Therion Formatted" sheetId="4" r:id="rId4"/>
  </sheets>
  <calcPr calcId="145621"/>
</workbook>
</file>

<file path=xl/calcChain.xml><?xml version="1.0" encoding="utf-8"?>
<calcChain xmlns="http://schemas.openxmlformats.org/spreadsheetml/2006/main">
  <c r="O327" i="4" l="1"/>
  <c r="O326" i="4"/>
  <c r="O317" i="4"/>
  <c r="O297" i="4"/>
  <c r="O292" i="4"/>
  <c r="J325" i="4"/>
  <c r="J316" i="4"/>
  <c r="J296" i="4"/>
  <c r="J291" i="4"/>
  <c r="J318" i="4"/>
  <c r="J298" i="4"/>
  <c r="J293" i="4"/>
  <c r="J288" i="4"/>
  <c r="J275" i="4"/>
  <c r="J266" i="4"/>
  <c r="J268" i="4"/>
  <c r="J277" i="4"/>
  <c r="J259" i="4"/>
  <c r="J261" i="4"/>
  <c r="J257" i="4"/>
  <c r="J238" i="4"/>
  <c r="J240" i="4"/>
  <c r="J217" i="4"/>
  <c r="J191" i="4"/>
  <c r="J170" i="4"/>
  <c r="J165" i="4"/>
  <c r="A213" i="4"/>
  <c r="K213" i="4" s="1"/>
  <c r="B213" i="4"/>
  <c r="C213" i="4"/>
  <c r="L213" i="4" s="1"/>
  <c r="D213" i="4"/>
  <c r="M213" i="4" s="1"/>
  <c r="E213" i="4"/>
  <c r="N213" i="4" s="1"/>
  <c r="F213" i="4"/>
  <c r="G213" i="4"/>
  <c r="H213" i="4"/>
  <c r="P213" i="4" s="1"/>
  <c r="I213" i="4"/>
  <c r="A215" i="4"/>
  <c r="J215" i="4" s="1"/>
  <c r="B215" i="4"/>
  <c r="K215" i="4" s="1"/>
  <c r="C215" i="4"/>
  <c r="L215" i="4" s="1"/>
  <c r="D215" i="4"/>
  <c r="M215" i="4" s="1"/>
  <c r="E215" i="4"/>
  <c r="N215" i="4" s="1"/>
  <c r="F215" i="4"/>
  <c r="G215" i="4"/>
  <c r="H215" i="4"/>
  <c r="P215" i="4" s="1"/>
  <c r="I215" i="4"/>
  <c r="A216" i="4"/>
  <c r="J216" i="4" s="1"/>
  <c r="B216" i="4"/>
  <c r="K216" i="4" s="1"/>
  <c r="C216" i="4"/>
  <c r="L216" i="4" s="1"/>
  <c r="D216" i="4"/>
  <c r="M216" i="4" s="1"/>
  <c r="E216" i="4"/>
  <c r="N216" i="4" s="1"/>
  <c r="F216" i="4"/>
  <c r="G216" i="4"/>
  <c r="H216" i="4"/>
  <c r="P216" i="4" s="1"/>
  <c r="I216" i="4"/>
  <c r="A218" i="4"/>
  <c r="J218" i="4" s="1"/>
  <c r="B218" i="4"/>
  <c r="K218" i="4" s="1"/>
  <c r="C218" i="4"/>
  <c r="L218" i="4" s="1"/>
  <c r="D218" i="4"/>
  <c r="M218" i="4" s="1"/>
  <c r="E218" i="4"/>
  <c r="N218" i="4" s="1"/>
  <c r="F218" i="4"/>
  <c r="G218" i="4"/>
  <c r="H218" i="4"/>
  <c r="P218" i="4" s="1"/>
  <c r="I218" i="4"/>
  <c r="A219" i="4"/>
  <c r="J219" i="4" s="1"/>
  <c r="B219" i="4"/>
  <c r="K219" i="4" s="1"/>
  <c r="C219" i="4"/>
  <c r="L219" i="4" s="1"/>
  <c r="D219" i="4"/>
  <c r="M219" i="4" s="1"/>
  <c r="E219" i="4"/>
  <c r="N219" i="4" s="1"/>
  <c r="F219" i="4"/>
  <c r="G219" i="4"/>
  <c r="H219" i="4"/>
  <c r="P219" i="4" s="1"/>
  <c r="I219" i="4"/>
  <c r="A220" i="4"/>
  <c r="J220" i="4" s="1"/>
  <c r="B220" i="4"/>
  <c r="K220" i="4" s="1"/>
  <c r="C220" i="4"/>
  <c r="L220" i="4" s="1"/>
  <c r="D220" i="4"/>
  <c r="M220" i="4" s="1"/>
  <c r="E220" i="4"/>
  <c r="N220" i="4" s="1"/>
  <c r="F220" i="4"/>
  <c r="G220" i="4"/>
  <c r="H220" i="4"/>
  <c r="P220" i="4" s="1"/>
  <c r="I220" i="4"/>
  <c r="A221" i="4"/>
  <c r="J221" i="4" s="1"/>
  <c r="B221" i="4"/>
  <c r="K221" i="4" s="1"/>
  <c r="C221" i="4"/>
  <c r="L221" i="4" s="1"/>
  <c r="D221" i="4"/>
  <c r="M221" i="4" s="1"/>
  <c r="E221" i="4"/>
  <c r="N221" i="4" s="1"/>
  <c r="F221" i="4"/>
  <c r="G221" i="4"/>
  <c r="H221" i="4"/>
  <c r="P221" i="4" s="1"/>
  <c r="I221" i="4"/>
  <c r="A222" i="4"/>
  <c r="J222" i="4" s="1"/>
  <c r="B222" i="4"/>
  <c r="K222" i="4" s="1"/>
  <c r="C222" i="4"/>
  <c r="L222" i="4" s="1"/>
  <c r="D222" i="4"/>
  <c r="M222" i="4" s="1"/>
  <c r="E222" i="4"/>
  <c r="N222" i="4" s="1"/>
  <c r="F222" i="4"/>
  <c r="G222" i="4"/>
  <c r="H222" i="4"/>
  <c r="P222" i="4" s="1"/>
  <c r="I222" i="4"/>
  <c r="A223" i="4"/>
  <c r="J223" i="4" s="1"/>
  <c r="B223" i="4"/>
  <c r="K223" i="4" s="1"/>
  <c r="C223" i="4"/>
  <c r="L223" i="4" s="1"/>
  <c r="D223" i="4"/>
  <c r="M223" i="4" s="1"/>
  <c r="E223" i="4"/>
  <c r="N223" i="4" s="1"/>
  <c r="F223" i="4"/>
  <c r="G223" i="4"/>
  <c r="H223" i="4"/>
  <c r="P223" i="4" s="1"/>
  <c r="I223" i="4"/>
  <c r="A224" i="4"/>
  <c r="J224" i="4" s="1"/>
  <c r="B224" i="4"/>
  <c r="K224" i="4" s="1"/>
  <c r="C224" i="4"/>
  <c r="L224" i="4" s="1"/>
  <c r="D224" i="4"/>
  <c r="M224" i="4" s="1"/>
  <c r="E224" i="4"/>
  <c r="N224" i="4" s="1"/>
  <c r="F224" i="4"/>
  <c r="G224" i="4"/>
  <c r="H224" i="4"/>
  <c r="P224" i="4" s="1"/>
  <c r="I224" i="4"/>
  <c r="A225" i="4"/>
  <c r="J225" i="4" s="1"/>
  <c r="B225" i="4"/>
  <c r="K225" i="4" s="1"/>
  <c r="C225" i="4"/>
  <c r="L225" i="4" s="1"/>
  <c r="D225" i="4"/>
  <c r="M225" i="4" s="1"/>
  <c r="E225" i="4"/>
  <c r="N225" i="4" s="1"/>
  <c r="F225" i="4"/>
  <c r="G225" i="4"/>
  <c r="H225" i="4"/>
  <c r="P225" i="4" s="1"/>
  <c r="I225" i="4"/>
  <c r="A226" i="4"/>
  <c r="J226" i="4" s="1"/>
  <c r="B226" i="4"/>
  <c r="K226" i="4" s="1"/>
  <c r="C226" i="4"/>
  <c r="L226" i="4" s="1"/>
  <c r="D226" i="4"/>
  <c r="M226" i="4" s="1"/>
  <c r="E226" i="4"/>
  <c r="N226" i="4" s="1"/>
  <c r="F226" i="4"/>
  <c r="G226" i="4"/>
  <c r="H226" i="4"/>
  <c r="P226" i="4" s="1"/>
  <c r="I226" i="4"/>
  <c r="A227" i="4"/>
  <c r="J227" i="4" s="1"/>
  <c r="B227" i="4"/>
  <c r="K227" i="4" s="1"/>
  <c r="C227" i="4"/>
  <c r="L227" i="4" s="1"/>
  <c r="D227" i="4"/>
  <c r="E227" i="4"/>
  <c r="N227" i="4" s="1"/>
  <c r="F227" i="4"/>
  <c r="G227" i="4"/>
  <c r="H227" i="4"/>
  <c r="P227" i="4" s="1"/>
  <c r="I227" i="4"/>
  <c r="A228" i="4"/>
  <c r="J228" i="4" s="1"/>
  <c r="B228" i="4"/>
  <c r="K228" i="4" s="1"/>
  <c r="C228" i="4"/>
  <c r="L228" i="4" s="1"/>
  <c r="D228" i="4"/>
  <c r="M228" i="4" s="1"/>
  <c r="E228" i="4"/>
  <c r="N228" i="4" s="1"/>
  <c r="F228" i="4"/>
  <c r="G228" i="4"/>
  <c r="H228" i="4"/>
  <c r="P228" i="4" s="1"/>
  <c r="I228" i="4"/>
  <c r="A229" i="4"/>
  <c r="J229" i="4" s="1"/>
  <c r="B229" i="4"/>
  <c r="K229" i="4" s="1"/>
  <c r="C229" i="4"/>
  <c r="L229" i="4" s="1"/>
  <c r="D229" i="4"/>
  <c r="M229" i="4" s="1"/>
  <c r="E229" i="4"/>
  <c r="N229" i="4" s="1"/>
  <c r="F229" i="4"/>
  <c r="G229" i="4"/>
  <c r="H229" i="4"/>
  <c r="P229" i="4" s="1"/>
  <c r="I229" i="4"/>
  <c r="A230" i="4"/>
  <c r="J230" i="4" s="1"/>
  <c r="B230" i="4"/>
  <c r="K230" i="4" s="1"/>
  <c r="C230" i="4"/>
  <c r="L230" i="4" s="1"/>
  <c r="D230" i="4"/>
  <c r="M230" i="4" s="1"/>
  <c r="E230" i="4"/>
  <c r="N230" i="4" s="1"/>
  <c r="F230" i="4"/>
  <c r="G230" i="4"/>
  <c r="H230" i="4"/>
  <c r="P230" i="4" s="1"/>
  <c r="I230" i="4"/>
  <c r="A231" i="4"/>
  <c r="J231" i="4" s="1"/>
  <c r="B231" i="4"/>
  <c r="K231" i="4" s="1"/>
  <c r="C231" i="4"/>
  <c r="L231" i="4" s="1"/>
  <c r="D231" i="4"/>
  <c r="E231" i="4"/>
  <c r="N231" i="4" s="1"/>
  <c r="F231" i="4"/>
  <c r="G231" i="4"/>
  <c r="H231" i="4"/>
  <c r="P231" i="4" s="1"/>
  <c r="I231" i="4"/>
  <c r="A232" i="4"/>
  <c r="J232" i="4" s="1"/>
  <c r="B232" i="4"/>
  <c r="K232" i="4" s="1"/>
  <c r="C232" i="4"/>
  <c r="L232" i="4" s="1"/>
  <c r="D232" i="4"/>
  <c r="M232" i="4" s="1"/>
  <c r="E232" i="4"/>
  <c r="N232" i="4" s="1"/>
  <c r="F232" i="4"/>
  <c r="G232" i="4"/>
  <c r="H232" i="4"/>
  <c r="P232" i="4" s="1"/>
  <c r="I232" i="4"/>
  <c r="A233" i="4"/>
  <c r="J233" i="4" s="1"/>
  <c r="B233" i="4"/>
  <c r="K233" i="4" s="1"/>
  <c r="C233" i="4"/>
  <c r="L233" i="4" s="1"/>
  <c r="D233" i="4"/>
  <c r="M233" i="4" s="1"/>
  <c r="E233" i="4"/>
  <c r="N233" i="4" s="1"/>
  <c r="F233" i="4"/>
  <c r="G233" i="4"/>
  <c r="H233" i="4"/>
  <c r="P233" i="4" s="1"/>
  <c r="I233" i="4"/>
  <c r="A234" i="4"/>
  <c r="J234" i="4" s="1"/>
  <c r="B234" i="4"/>
  <c r="K234" i="4" s="1"/>
  <c r="C234" i="4"/>
  <c r="L234" i="4" s="1"/>
  <c r="D234" i="4"/>
  <c r="M234" i="4" s="1"/>
  <c r="E234" i="4"/>
  <c r="N234" i="4" s="1"/>
  <c r="F234" i="4"/>
  <c r="G234" i="4"/>
  <c r="H234" i="4"/>
  <c r="P234" i="4" s="1"/>
  <c r="I234" i="4"/>
  <c r="A235" i="4"/>
  <c r="J235" i="4" s="1"/>
  <c r="B235" i="4"/>
  <c r="K235" i="4" s="1"/>
  <c r="C235" i="4"/>
  <c r="L235" i="4" s="1"/>
  <c r="D235" i="4"/>
  <c r="M235" i="4" s="1"/>
  <c r="E235" i="4"/>
  <c r="N235" i="4" s="1"/>
  <c r="F235" i="4"/>
  <c r="G235" i="4"/>
  <c r="H235" i="4"/>
  <c r="P235" i="4" s="1"/>
  <c r="I235" i="4"/>
  <c r="A236" i="4"/>
  <c r="J236" i="4" s="1"/>
  <c r="B236" i="4"/>
  <c r="K236" i="4" s="1"/>
  <c r="C236" i="4"/>
  <c r="L236" i="4" s="1"/>
  <c r="D236" i="4"/>
  <c r="M236" i="4" s="1"/>
  <c r="E236" i="4"/>
  <c r="N236" i="4" s="1"/>
  <c r="F236" i="4"/>
  <c r="G236" i="4"/>
  <c r="H236" i="4"/>
  <c r="P236" i="4" s="1"/>
  <c r="I236" i="4"/>
  <c r="A237" i="4"/>
  <c r="J237" i="4" s="1"/>
  <c r="B237" i="4"/>
  <c r="K237" i="4" s="1"/>
  <c r="C237" i="4"/>
  <c r="L237" i="4" s="1"/>
  <c r="D237" i="4"/>
  <c r="M237" i="4" s="1"/>
  <c r="E237" i="4"/>
  <c r="N237" i="4" s="1"/>
  <c r="F237" i="4"/>
  <c r="G237" i="4"/>
  <c r="H237" i="4"/>
  <c r="P237" i="4" s="1"/>
  <c r="I237" i="4"/>
  <c r="A239" i="4"/>
  <c r="J239" i="4" s="1"/>
  <c r="B239" i="4"/>
  <c r="K239" i="4" s="1"/>
  <c r="C239" i="4"/>
  <c r="L239" i="4" s="1"/>
  <c r="D239" i="4"/>
  <c r="M239" i="4" s="1"/>
  <c r="E239" i="4"/>
  <c r="N239" i="4" s="1"/>
  <c r="F239" i="4"/>
  <c r="G239" i="4"/>
  <c r="O239" i="4" s="1"/>
  <c r="H239" i="4"/>
  <c r="P239" i="4" s="1"/>
  <c r="I239" i="4"/>
  <c r="A241" i="4"/>
  <c r="J241" i="4" s="1"/>
  <c r="B241" i="4"/>
  <c r="K241" i="4" s="1"/>
  <c r="C241" i="4"/>
  <c r="L241" i="4" s="1"/>
  <c r="D241" i="4"/>
  <c r="M241" i="4" s="1"/>
  <c r="E241" i="4"/>
  <c r="N241" i="4" s="1"/>
  <c r="F241" i="4"/>
  <c r="G241" i="4"/>
  <c r="H241" i="4"/>
  <c r="P241" i="4" s="1"/>
  <c r="I241" i="4"/>
  <c r="A242" i="4"/>
  <c r="J242" i="4" s="1"/>
  <c r="B242" i="4"/>
  <c r="K242" i="4" s="1"/>
  <c r="C242" i="4"/>
  <c r="L242" i="4" s="1"/>
  <c r="D242" i="4"/>
  <c r="M242" i="4" s="1"/>
  <c r="E242" i="4"/>
  <c r="N242" i="4" s="1"/>
  <c r="F242" i="4"/>
  <c r="G242" i="4"/>
  <c r="H242" i="4"/>
  <c r="P242" i="4" s="1"/>
  <c r="I242" i="4"/>
  <c r="A243" i="4"/>
  <c r="J243" i="4" s="1"/>
  <c r="B243" i="4"/>
  <c r="K243" i="4" s="1"/>
  <c r="C243" i="4"/>
  <c r="L243" i="4" s="1"/>
  <c r="D243" i="4"/>
  <c r="M243" i="4" s="1"/>
  <c r="E243" i="4"/>
  <c r="N243" i="4" s="1"/>
  <c r="F243" i="4"/>
  <c r="G243" i="4"/>
  <c r="H243" i="4"/>
  <c r="P243" i="4" s="1"/>
  <c r="I243" i="4"/>
  <c r="A244" i="4"/>
  <c r="J244" i="4" s="1"/>
  <c r="B244" i="4"/>
  <c r="K244" i="4" s="1"/>
  <c r="C244" i="4"/>
  <c r="L244" i="4" s="1"/>
  <c r="D244" i="4"/>
  <c r="M244" i="4" s="1"/>
  <c r="E244" i="4"/>
  <c r="N244" i="4" s="1"/>
  <c r="F244" i="4"/>
  <c r="G244" i="4"/>
  <c r="H244" i="4"/>
  <c r="P244" i="4" s="1"/>
  <c r="I244" i="4"/>
  <c r="A245" i="4"/>
  <c r="J245" i="4" s="1"/>
  <c r="B245" i="4"/>
  <c r="K245" i="4" s="1"/>
  <c r="C245" i="4"/>
  <c r="L245" i="4" s="1"/>
  <c r="D245" i="4"/>
  <c r="M245" i="4" s="1"/>
  <c r="E245" i="4"/>
  <c r="N245" i="4" s="1"/>
  <c r="F245" i="4"/>
  <c r="G245" i="4"/>
  <c r="H245" i="4"/>
  <c r="P245" i="4" s="1"/>
  <c r="I245" i="4"/>
  <c r="A246" i="4"/>
  <c r="J246" i="4" s="1"/>
  <c r="B246" i="4"/>
  <c r="K246" i="4" s="1"/>
  <c r="C246" i="4"/>
  <c r="L246" i="4" s="1"/>
  <c r="D246" i="4"/>
  <c r="M246" i="4" s="1"/>
  <c r="E246" i="4"/>
  <c r="N246" i="4" s="1"/>
  <c r="F246" i="4"/>
  <c r="G246" i="4"/>
  <c r="H246" i="4"/>
  <c r="P246" i="4" s="1"/>
  <c r="I246" i="4"/>
  <c r="A247" i="4"/>
  <c r="J247" i="4" s="1"/>
  <c r="B247" i="4"/>
  <c r="K247" i="4" s="1"/>
  <c r="C247" i="4"/>
  <c r="L247" i="4" s="1"/>
  <c r="D247" i="4"/>
  <c r="M247" i="4" s="1"/>
  <c r="E247" i="4"/>
  <c r="N247" i="4" s="1"/>
  <c r="F247" i="4"/>
  <c r="G247" i="4"/>
  <c r="H247" i="4"/>
  <c r="P247" i="4" s="1"/>
  <c r="I247" i="4"/>
  <c r="A248" i="4"/>
  <c r="J248" i="4" s="1"/>
  <c r="B248" i="4"/>
  <c r="K248" i="4" s="1"/>
  <c r="C248" i="4"/>
  <c r="L248" i="4" s="1"/>
  <c r="D248" i="4"/>
  <c r="M248" i="4" s="1"/>
  <c r="E248" i="4"/>
  <c r="N248" i="4" s="1"/>
  <c r="F248" i="4"/>
  <c r="G248" i="4"/>
  <c r="H248" i="4"/>
  <c r="P248" i="4" s="1"/>
  <c r="I248" i="4"/>
  <c r="A249" i="4"/>
  <c r="J249" i="4" s="1"/>
  <c r="B249" i="4"/>
  <c r="K249" i="4" s="1"/>
  <c r="C249" i="4"/>
  <c r="L249" i="4" s="1"/>
  <c r="D249" i="4"/>
  <c r="M249" i="4" s="1"/>
  <c r="E249" i="4"/>
  <c r="N249" i="4" s="1"/>
  <c r="F249" i="4"/>
  <c r="G249" i="4"/>
  <c r="H249" i="4"/>
  <c r="P249" i="4" s="1"/>
  <c r="I249" i="4"/>
  <c r="A250" i="4"/>
  <c r="J250" i="4" s="1"/>
  <c r="B250" i="4"/>
  <c r="K250" i="4" s="1"/>
  <c r="C250" i="4"/>
  <c r="L250" i="4" s="1"/>
  <c r="D250" i="4"/>
  <c r="M250" i="4" s="1"/>
  <c r="E250" i="4"/>
  <c r="N250" i="4" s="1"/>
  <c r="F250" i="4"/>
  <c r="G250" i="4"/>
  <c r="H250" i="4"/>
  <c r="P250" i="4" s="1"/>
  <c r="I250" i="4"/>
  <c r="A251" i="4"/>
  <c r="J251" i="4" s="1"/>
  <c r="B251" i="4"/>
  <c r="K251" i="4" s="1"/>
  <c r="C251" i="4"/>
  <c r="L251" i="4" s="1"/>
  <c r="D251" i="4"/>
  <c r="M251" i="4" s="1"/>
  <c r="E251" i="4"/>
  <c r="N251" i="4" s="1"/>
  <c r="F251" i="4"/>
  <c r="G251" i="4"/>
  <c r="H251" i="4"/>
  <c r="P251" i="4" s="1"/>
  <c r="I251" i="4"/>
  <c r="A252" i="4"/>
  <c r="J252" i="4" s="1"/>
  <c r="B252" i="4"/>
  <c r="K252" i="4" s="1"/>
  <c r="C252" i="4"/>
  <c r="L252" i="4" s="1"/>
  <c r="D252" i="4"/>
  <c r="M252" i="4" s="1"/>
  <c r="E252" i="4"/>
  <c r="N252" i="4" s="1"/>
  <c r="F252" i="4"/>
  <c r="G252" i="4"/>
  <c r="H252" i="4"/>
  <c r="P252" i="4" s="1"/>
  <c r="I252" i="4"/>
  <c r="A253" i="4"/>
  <c r="J253" i="4" s="1"/>
  <c r="B253" i="4"/>
  <c r="K253" i="4" s="1"/>
  <c r="C253" i="4"/>
  <c r="L253" i="4" s="1"/>
  <c r="D253" i="4"/>
  <c r="M253" i="4" s="1"/>
  <c r="E253" i="4"/>
  <c r="N253" i="4" s="1"/>
  <c r="F253" i="4"/>
  <c r="G253" i="4"/>
  <c r="H253" i="4"/>
  <c r="P253" i="4" s="1"/>
  <c r="I253" i="4"/>
  <c r="A254" i="4"/>
  <c r="J254" i="4" s="1"/>
  <c r="B254" i="4"/>
  <c r="K254" i="4" s="1"/>
  <c r="C254" i="4"/>
  <c r="L254" i="4" s="1"/>
  <c r="D254" i="4"/>
  <c r="M254" i="4" s="1"/>
  <c r="E254" i="4"/>
  <c r="N254" i="4" s="1"/>
  <c r="F254" i="4"/>
  <c r="G254" i="4"/>
  <c r="H254" i="4"/>
  <c r="P254" i="4" s="1"/>
  <c r="I254" i="4"/>
  <c r="A255" i="4"/>
  <c r="J255" i="4" s="1"/>
  <c r="B255" i="4"/>
  <c r="K255" i="4" s="1"/>
  <c r="C255" i="4"/>
  <c r="L255" i="4" s="1"/>
  <c r="D255" i="4"/>
  <c r="M255" i="4" s="1"/>
  <c r="E255" i="4"/>
  <c r="N255" i="4" s="1"/>
  <c r="F255" i="4"/>
  <c r="G255" i="4"/>
  <c r="H255" i="4"/>
  <c r="P255" i="4" s="1"/>
  <c r="I255" i="4"/>
  <c r="A256" i="4"/>
  <c r="J256" i="4" s="1"/>
  <c r="B256" i="4"/>
  <c r="K256" i="4" s="1"/>
  <c r="C256" i="4"/>
  <c r="L256" i="4" s="1"/>
  <c r="D256" i="4"/>
  <c r="M256" i="4" s="1"/>
  <c r="E256" i="4"/>
  <c r="N256" i="4" s="1"/>
  <c r="F256" i="4"/>
  <c r="G256" i="4"/>
  <c r="H256" i="4"/>
  <c r="P256" i="4" s="1"/>
  <c r="I256" i="4"/>
  <c r="A258" i="4"/>
  <c r="J258" i="4" s="1"/>
  <c r="B258" i="4"/>
  <c r="K258" i="4" s="1"/>
  <c r="C258" i="4"/>
  <c r="L258" i="4" s="1"/>
  <c r="D258" i="4"/>
  <c r="M258" i="4" s="1"/>
  <c r="E258" i="4"/>
  <c r="N258" i="4" s="1"/>
  <c r="F258" i="4"/>
  <c r="G258" i="4"/>
  <c r="O258" i="4" s="1"/>
  <c r="H258" i="4"/>
  <c r="P258" i="4" s="1"/>
  <c r="I258" i="4"/>
  <c r="A260" i="4"/>
  <c r="J260" i="4" s="1"/>
  <c r="B260" i="4"/>
  <c r="K260" i="4" s="1"/>
  <c r="C260" i="4"/>
  <c r="L260" i="4" s="1"/>
  <c r="D260" i="4"/>
  <c r="M260" i="4" s="1"/>
  <c r="E260" i="4"/>
  <c r="N260" i="4" s="1"/>
  <c r="F260" i="4"/>
  <c r="G260" i="4"/>
  <c r="H260" i="4"/>
  <c r="P260" i="4" s="1"/>
  <c r="I260" i="4"/>
  <c r="A262" i="4"/>
  <c r="J262" i="4" s="1"/>
  <c r="B262" i="4"/>
  <c r="C262" i="4"/>
  <c r="L262" i="4" s="1"/>
  <c r="D262" i="4"/>
  <c r="M262" i="4" s="1"/>
  <c r="E262" i="4"/>
  <c r="N262" i="4" s="1"/>
  <c r="F262" i="4"/>
  <c r="G262" i="4"/>
  <c r="O262" i="4" s="1"/>
  <c r="H262" i="4"/>
  <c r="P262" i="4" s="1"/>
  <c r="I262" i="4"/>
  <c r="K262" i="4"/>
  <c r="A263" i="4"/>
  <c r="K263" i="4" s="1"/>
  <c r="B263" i="4"/>
  <c r="C263" i="4"/>
  <c r="L263" i="4" s="1"/>
  <c r="D263" i="4"/>
  <c r="M263" i="4" s="1"/>
  <c r="E263" i="4"/>
  <c r="N263" i="4" s="1"/>
  <c r="F263" i="4"/>
  <c r="G263" i="4"/>
  <c r="H263" i="4"/>
  <c r="P263" i="4" s="1"/>
  <c r="I263" i="4"/>
  <c r="A265" i="4"/>
  <c r="J265" i="4" s="1"/>
  <c r="B265" i="4"/>
  <c r="K265" i="4" s="1"/>
  <c r="C265" i="4"/>
  <c r="L265" i="4" s="1"/>
  <c r="D265" i="4"/>
  <c r="M265" i="4" s="1"/>
  <c r="E265" i="4"/>
  <c r="N265" i="4" s="1"/>
  <c r="F265" i="4"/>
  <c r="G265" i="4"/>
  <c r="H265" i="4"/>
  <c r="P265" i="4" s="1"/>
  <c r="I265" i="4"/>
  <c r="A267" i="4"/>
  <c r="J267" i="4" s="1"/>
  <c r="B267" i="4"/>
  <c r="C267" i="4"/>
  <c r="L267" i="4" s="1"/>
  <c r="D267" i="4"/>
  <c r="M267" i="4" s="1"/>
  <c r="E267" i="4"/>
  <c r="N267" i="4" s="1"/>
  <c r="F267" i="4"/>
  <c r="G267" i="4"/>
  <c r="O267" i="4" s="1"/>
  <c r="H267" i="4"/>
  <c r="P267" i="4" s="1"/>
  <c r="I267" i="4"/>
  <c r="K267" i="4"/>
  <c r="A269" i="4"/>
  <c r="J269" i="4" s="1"/>
  <c r="B269" i="4"/>
  <c r="C269" i="4"/>
  <c r="L269" i="4" s="1"/>
  <c r="D269" i="4"/>
  <c r="M269" i="4" s="1"/>
  <c r="E269" i="4"/>
  <c r="N269" i="4" s="1"/>
  <c r="F269" i="4"/>
  <c r="G269" i="4"/>
  <c r="H269" i="4"/>
  <c r="P269" i="4" s="1"/>
  <c r="I269" i="4"/>
  <c r="K269" i="4"/>
  <c r="A270" i="4"/>
  <c r="J270" i="4" s="1"/>
  <c r="B270" i="4"/>
  <c r="C270" i="4"/>
  <c r="L270" i="4" s="1"/>
  <c r="D270" i="4"/>
  <c r="M270" i="4" s="1"/>
  <c r="E270" i="4"/>
  <c r="N270" i="4" s="1"/>
  <c r="F270" i="4"/>
  <c r="G270" i="4"/>
  <c r="H270" i="4"/>
  <c r="P270" i="4" s="1"/>
  <c r="I270" i="4"/>
  <c r="K270" i="4"/>
  <c r="A271" i="4"/>
  <c r="J271" i="4" s="1"/>
  <c r="B271" i="4"/>
  <c r="C271" i="4"/>
  <c r="L271" i="4" s="1"/>
  <c r="D271" i="4"/>
  <c r="M271" i="4" s="1"/>
  <c r="E271" i="4"/>
  <c r="N271" i="4" s="1"/>
  <c r="F271" i="4"/>
  <c r="G271" i="4"/>
  <c r="H271" i="4"/>
  <c r="P271" i="4" s="1"/>
  <c r="I271" i="4"/>
  <c r="K271" i="4"/>
  <c r="A272" i="4"/>
  <c r="J272" i="4" s="1"/>
  <c r="B272" i="4"/>
  <c r="C272" i="4"/>
  <c r="L272" i="4" s="1"/>
  <c r="D272" i="4"/>
  <c r="M272" i="4" s="1"/>
  <c r="E272" i="4"/>
  <c r="N272" i="4" s="1"/>
  <c r="F272" i="4"/>
  <c r="G272" i="4"/>
  <c r="H272" i="4"/>
  <c r="P272" i="4" s="1"/>
  <c r="I272" i="4"/>
  <c r="K272" i="4"/>
  <c r="A273" i="4"/>
  <c r="J273" i="4" s="1"/>
  <c r="B273" i="4"/>
  <c r="C273" i="4"/>
  <c r="L273" i="4" s="1"/>
  <c r="D273" i="4"/>
  <c r="M273" i="4" s="1"/>
  <c r="E273" i="4"/>
  <c r="N273" i="4" s="1"/>
  <c r="F273" i="4"/>
  <c r="G273" i="4"/>
  <c r="H273" i="4"/>
  <c r="P273" i="4" s="1"/>
  <c r="I273" i="4"/>
  <c r="K273" i="4"/>
  <c r="A274" i="4"/>
  <c r="J274" i="4" s="1"/>
  <c r="B274" i="4"/>
  <c r="C274" i="4"/>
  <c r="L274" i="4" s="1"/>
  <c r="D274" i="4"/>
  <c r="M274" i="4" s="1"/>
  <c r="E274" i="4"/>
  <c r="N274" i="4" s="1"/>
  <c r="F274" i="4"/>
  <c r="G274" i="4"/>
  <c r="H274" i="4"/>
  <c r="P274" i="4" s="1"/>
  <c r="I274" i="4"/>
  <c r="K274" i="4"/>
  <c r="A276" i="4"/>
  <c r="J276" i="4" s="1"/>
  <c r="B276" i="4"/>
  <c r="C276" i="4"/>
  <c r="L276" i="4" s="1"/>
  <c r="D276" i="4"/>
  <c r="M276" i="4" s="1"/>
  <c r="E276" i="4"/>
  <c r="N276" i="4" s="1"/>
  <c r="F276" i="4"/>
  <c r="G276" i="4"/>
  <c r="O276" i="4" s="1"/>
  <c r="H276" i="4"/>
  <c r="P276" i="4" s="1"/>
  <c r="I276" i="4"/>
  <c r="K276" i="4"/>
  <c r="A278" i="4"/>
  <c r="J278" i="4" s="1"/>
  <c r="B278" i="4"/>
  <c r="C278" i="4"/>
  <c r="L278" i="4" s="1"/>
  <c r="D278" i="4"/>
  <c r="M278" i="4" s="1"/>
  <c r="E278" i="4"/>
  <c r="N278" i="4" s="1"/>
  <c r="F278" i="4"/>
  <c r="G278" i="4"/>
  <c r="H278" i="4"/>
  <c r="P278" i="4" s="1"/>
  <c r="I278" i="4"/>
  <c r="K278" i="4"/>
  <c r="A279" i="4"/>
  <c r="J279" i="4" s="1"/>
  <c r="B279" i="4"/>
  <c r="K279" i="4" s="1"/>
  <c r="C279" i="4"/>
  <c r="L279" i="4" s="1"/>
  <c r="D279" i="4"/>
  <c r="M279" i="4" s="1"/>
  <c r="E279" i="4"/>
  <c r="N279" i="4" s="1"/>
  <c r="F279" i="4"/>
  <c r="G279" i="4"/>
  <c r="H279" i="4"/>
  <c r="P279" i="4" s="1"/>
  <c r="I279" i="4"/>
  <c r="A280" i="4"/>
  <c r="J280" i="4" s="1"/>
  <c r="B280" i="4"/>
  <c r="K280" i="4" s="1"/>
  <c r="C280" i="4"/>
  <c r="L280" i="4" s="1"/>
  <c r="D280" i="4"/>
  <c r="M280" i="4" s="1"/>
  <c r="E280" i="4"/>
  <c r="N280" i="4" s="1"/>
  <c r="F280" i="4"/>
  <c r="G280" i="4"/>
  <c r="H280" i="4"/>
  <c r="P280" i="4" s="1"/>
  <c r="I280" i="4"/>
  <c r="A281" i="4"/>
  <c r="J281" i="4" s="1"/>
  <c r="B281" i="4"/>
  <c r="C281" i="4"/>
  <c r="L281" i="4" s="1"/>
  <c r="D281" i="4"/>
  <c r="M281" i="4" s="1"/>
  <c r="E281" i="4"/>
  <c r="N281" i="4" s="1"/>
  <c r="F281" i="4"/>
  <c r="G281" i="4"/>
  <c r="H281" i="4"/>
  <c r="P281" i="4" s="1"/>
  <c r="I281" i="4"/>
  <c r="K281" i="4"/>
  <c r="A282" i="4"/>
  <c r="J282" i="4" s="1"/>
  <c r="B282" i="4"/>
  <c r="C282" i="4"/>
  <c r="L282" i="4" s="1"/>
  <c r="D282" i="4"/>
  <c r="M282" i="4" s="1"/>
  <c r="E282" i="4"/>
  <c r="N282" i="4" s="1"/>
  <c r="F282" i="4"/>
  <c r="G282" i="4"/>
  <c r="H282" i="4"/>
  <c r="P282" i="4" s="1"/>
  <c r="I282" i="4"/>
  <c r="K282" i="4"/>
  <c r="A283" i="4"/>
  <c r="J283" i="4" s="1"/>
  <c r="B283" i="4"/>
  <c r="C283" i="4"/>
  <c r="L283" i="4" s="1"/>
  <c r="D283" i="4"/>
  <c r="M283" i="4" s="1"/>
  <c r="E283" i="4"/>
  <c r="N283" i="4" s="1"/>
  <c r="F283" i="4"/>
  <c r="G283" i="4"/>
  <c r="H283" i="4"/>
  <c r="P283" i="4" s="1"/>
  <c r="I283" i="4"/>
  <c r="K283" i="4"/>
  <c r="A284" i="4"/>
  <c r="J284" i="4" s="1"/>
  <c r="B284" i="4"/>
  <c r="C284" i="4"/>
  <c r="L284" i="4" s="1"/>
  <c r="D284" i="4"/>
  <c r="M284" i="4" s="1"/>
  <c r="E284" i="4"/>
  <c r="N284" i="4" s="1"/>
  <c r="F284" i="4"/>
  <c r="G284" i="4"/>
  <c r="H284" i="4"/>
  <c r="P284" i="4" s="1"/>
  <c r="I284" i="4"/>
  <c r="K284" i="4"/>
  <c r="A285" i="4"/>
  <c r="K285" i="4" s="1"/>
  <c r="B285" i="4"/>
  <c r="C285" i="4"/>
  <c r="L285" i="4" s="1"/>
  <c r="D285" i="4"/>
  <c r="M285" i="4" s="1"/>
  <c r="E285" i="4"/>
  <c r="N285" i="4" s="1"/>
  <c r="F285" i="4"/>
  <c r="G285" i="4"/>
  <c r="H285" i="4"/>
  <c r="P285" i="4" s="1"/>
  <c r="I285" i="4"/>
  <c r="A287" i="4"/>
  <c r="J287" i="4" s="1"/>
  <c r="B287" i="4"/>
  <c r="C287" i="4"/>
  <c r="L287" i="4" s="1"/>
  <c r="D287" i="4"/>
  <c r="M287" i="4" s="1"/>
  <c r="E287" i="4"/>
  <c r="N287" i="4" s="1"/>
  <c r="F287" i="4"/>
  <c r="G287" i="4"/>
  <c r="H287" i="4"/>
  <c r="P287" i="4" s="1"/>
  <c r="I287" i="4"/>
  <c r="K287" i="4"/>
  <c r="A289" i="4"/>
  <c r="J289" i="4" s="1"/>
  <c r="B289" i="4"/>
  <c r="C289" i="4"/>
  <c r="L289" i="4" s="1"/>
  <c r="D289" i="4"/>
  <c r="M289" i="4" s="1"/>
  <c r="E289" i="4"/>
  <c r="N289" i="4" s="1"/>
  <c r="F289" i="4"/>
  <c r="G289" i="4"/>
  <c r="H289" i="4"/>
  <c r="P289" i="4" s="1"/>
  <c r="I289" i="4"/>
  <c r="K289" i="4"/>
  <c r="A290" i="4"/>
  <c r="J290" i="4" s="1"/>
  <c r="B290" i="4"/>
  <c r="C290" i="4"/>
  <c r="L290" i="4" s="1"/>
  <c r="D290" i="4"/>
  <c r="M290" i="4" s="1"/>
  <c r="E290" i="4"/>
  <c r="N290" i="4" s="1"/>
  <c r="F290" i="4"/>
  <c r="G290" i="4"/>
  <c r="H290" i="4"/>
  <c r="P290" i="4" s="1"/>
  <c r="I290" i="4"/>
  <c r="K290" i="4"/>
  <c r="A292" i="4"/>
  <c r="J292" i="4" s="1"/>
  <c r="B292" i="4"/>
  <c r="C292" i="4"/>
  <c r="L292" i="4" s="1"/>
  <c r="D292" i="4"/>
  <c r="M292" i="4" s="1"/>
  <c r="E292" i="4"/>
  <c r="N292" i="4" s="1"/>
  <c r="F292" i="4"/>
  <c r="G292" i="4"/>
  <c r="H292" i="4"/>
  <c r="P292" i="4" s="1"/>
  <c r="I292" i="4"/>
  <c r="K292" i="4"/>
  <c r="A294" i="4"/>
  <c r="J294" i="4" s="1"/>
  <c r="B294" i="4"/>
  <c r="K294" i="4" s="1"/>
  <c r="C294" i="4"/>
  <c r="L294" i="4" s="1"/>
  <c r="D294" i="4"/>
  <c r="M294" i="4" s="1"/>
  <c r="E294" i="4"/>
  <c r="N294" i="4" s="1"/>
  <c r="F294" i="4"/>
  <c r="G294" i="4"/>
  <c r="H294" i="4"/>
  <c r="P294" i="4" s="1"/>
  <c r="I294" i="4"/>
  <c r="A295" i="4"/>
  <c r="J295" i="4" s="1"/>
  <c r="B295" i="4"/>
  <c r="C295" i="4"/>
  <c r="D295" i="4"/>
  <c r="E295" i="4"/>
  <c r="N295" i="4" s="1"/>
  <c r="F295" i="4"/>
  <c r="G295" i="4"/>
  <c r="H295" i="4"/>
  <c r="P295" i="4" s="1"/>
  <c r="I295" i="4"/>
  <c r="K295" i="4"/>
  <c r="L295" i="4"/>
  <c r="M295" i="4"/>
  <c r="A297" i="4"/>
  <c r="J297" i="4" s="1"/>
  <c r="B297" i="4"/>
  <c r="C297" i="4"/>
  <c r="L297" i="4" s="1"/>
  <c r="D297" i="4"/>
  <c r="M297" i="4" s="1"/>
  <c r="E297" i="4"/>
  <c r="N297" i="4" s="1"/>
  <c r="F297" i="4"/>
  <c r="G297" i="4"/>
  <c r="H297" i="4"/>
  <c r="P297" i="4" s="1"/>
  <c r="I297" i="4"/>
  <c r="K297" i="4"/>
  <c r="A299" i="4"/>
  <c r="J299" i="4" s="1"/>
  <c r="B299" i="4"/>
  <c r="C299" i="4"/>
  <c r="L299" i="4" s="1"/>
  <c r="D299" i="4"/>
  <c r="M299" i="4" s="1"/>
  <c r="E299" i="4"/>
  <c r="N299" i="4" s="1"/>
  <c r="F299" i="4"/>
  <c r="G299" i="4"/>
  <c r="H299" i="4"/>
  <c r="P299" i="4" s="1"/>
  <c r="I299" i="4"/>
  <c r="K299" i="4"/>
  <c r="A300" i="4"/>
  <c r="J300" i="4" s="1"/>
  <c r="B300" i="4"/>
  <c r="C300" i="4"/>
  <c r="D300" i="4"/>
  <c r="E300" i="4"/>
  <c r="N300" i="4" s="1"/>
  <c r="F300" i="4"/>
  <c r="G300" i="4"/>
  <c r="H300" i="4"/>
  <c r="P300" i="4" s="1"/>
  <c r="I300" i="4"/>
  <c r="K300" i="4"/>
  <c r="L300" i="4"/>
  <c r="M300" i="4"/>
  <c r="A301" i="4"/>
  <c r="J301" i="4" s="1"/>
  <c r="B301" i="4"/>
  <c r="C301" i="4"/>
  <c r="L301" i="4" s="1"/>
  <c r="D301" i="4"/>
  <c r="M301" i="4" s="1"/>
  <c r="E301" i="4"/>
  <c r="N301" i="4" s="1"/>
  <c r="F301" i="4"/>
  <c r="G301" i="4"/>
  <c r="H301" i="4"/>
  <c r="P301" i="4" s="1"/>
  <c r="I301" i="4"/>
  <c r="K301" i="4"/>
  <c r="A302" i="4"/>
  <c r="J302" i="4" s="1"/>
  <c r="B302" i="4"/>
  <c r="C302" i="4"/>
  <c r="D302" i="4"/>
  <c r="M302" i="4" s="1"/>
  <c r="E302" i="4"/>
  <c r="N302" i="4" s="1"/>
  <c r="F302" i="4"/>
  <c r="G302" i="4"/>
  <c r="H302" i="4"/>
  <c r="P302" i="4" s="1"/>
  <c r="I302" i="4"/>
  <c r="K302" i="4"/>
  <c r="L302" i="4"/>
  <c r="A303" i="4"/>
  <c r="J303" i="4" s="1"/>
  <c r="B303" i="4"/>
  <c r="C303" i="4"/>
  <c r="D303" i="4"/>
  <c r="M303" i="4" s="1"/>
  <c r="E303" i="4"/>
  <c r="N303" i="4" s="1"/>
  <c r="F303" i="4"/>
  <c r="G303" i="4"/>
  <c r="H303" i="4"/>
  <c r="P303" i="4" s="1"/>
  <c r="I303" i="4"/>
  <c r="K303" i="4"/>
  <c r="L303" i="4"/>
  <c r="A304" i="4"/>
  <c r="J304" i="4" s="1"/>
  <c r="B304" i="4"/>
  <c r="K304" i="4" s="1"/>
  <c r="C304" i="4"/>
  <c r="L304" i="4" s="1"/>
  <c r="D304" i="4"/>
  <c r="M304" i="4" s="1"/>
  <c r="E304" i="4"/>
  <c r="N304" i="4" s="1"/>
  <c r="F304" i="4"/>
  <c r="G304" i="4"/>
  <c r="H304" i="4"/>
  <c r="P304" i="4" s="1"/>
  <c r="I304" i="4"/>
  <c r="A305" i="4"/>
  <c r="J305" i="4" s="1"/>
  <c r="B305" i="4"/>
  <c r="C305" i="4"/>
  <c r="D305" i="4"/>
  <c r="M305" i="4" s="1"/>
  <c r="E305" i="4"/>
  <c r="N305" i="4" s="1"/>
  <c r="F305" i="4"/>
  <c r="G305" i="4"/>
  <c r="H305" i="4"/>
  <c r="P305" i="4" s="1"/>
  <c r="I305" i="4"/>
  <c r="K305" i="4"/>
  <c r="L305" i="4"/>
  <c r="A306" i="4"/>
  <c r="J306" i="4" s="1"/>
  <c r="B306" i="4"/>
  <c r="K306" i="4" s="1"/>
  <c r="C306" i="4"/>
  <c r="L306" i="4" s="1"/>
  <c r="D306" i="4"/>
  <c r="M306" i="4" s="1"/>
  <c r="E306" i="4"/>
  <c r="N306" i="4" s="1"/>
  <c r="F306" i="4"/>
  <c r="G306" i="4"/>
  <c r="H306" i="4"/>
  <c r="P306" i="4" s="1"/>
  <c r="I306" i="4"/>
  <c r="A307" i="4"/>
  <c r="J307" i="4" s="1"/>
  <c r="B307" i="4"/>
  <c r="C307" i="4"/>
  <c r="D307" i="4"/>
  <c r="E307" i="4"/>
  <c r="N307" i="4" s="1"/>
  <c r="F307" i="4"/>
  <c r="G307" i="4"/>
  <c r="H307" i="4"/>
  <c r="P307" i="4" s="1"/>
  <c r="I307" i="4"/>
  <c r="K307" i="4"/>
  <c r="L307" i="4"/>
  <c r="A308" i="4"/>
  <c r="J308" i="4" s="1"/>
  <c r="B308" i="4"/>
  <c r="C308" i="4"/>
  <c r="D308" i="4"/>
  <c r="E308" i="4"/>
  <c r="N308" i="4" s="1"/>
  <c r="F308" i="4"/>
  <c r="G308" i="4"/>
  <c r="H308" i="4"/>
  <c r="P308" i="4" s="1"/>
  <c r="I308" i="4"/>
  <c r="K308" i="4"/>
  <c r="L308" i="4"/>
  <c r="M308" i="4"/>
  <c r="A309" i="4"/>
  <c r="J309" i="4" s="1"/>
  <c r="B309" i="4"/>
  <c r="K309" i="4" s="1"/>
  <c r="C309" i="4"/>
  <c r="L309" i="4" s="1"/>
  <c r="D309" i="4"/>
  <c r="M309" i="4" s="1"/>
  <c r="E309" i="4"/>
  <c r="N309" i="4" s="1"/>
  <c r="F309" i="4"/>
  <c r="G309" i="4"/>
  <c r="H309" i="4"/>
  <c r="P309" i="4" s="1"/>
  <c r="I309" i="4"/>
  <c r="A310" i="4"/>
  <c r="J310" i="4" s="1"/>
  <c r="B310" i="4"/>
  <c r="C310" i="4"/>
  <c r="D310" i="4"/>
  <c r="M310" i="4" s="1"/>
  <c r="E310" i="4"/>
  <c r="N310" i="4" s="1"/>
  <c r="F310" i="4"/>
  <c r="G310" i="4"/>
  <c r="H310" i="4"/>
  <c r="P310" i="4" s="1"/>
  <c r="I310" i="4"/>
  <c r="K310" i="4"/>
  <c r="L310" i="4"/>
  <c r="A311" i="4"/>
  <c r="J311" i="4" s="1"/>
  <c r="B311" i="4"/>
  <c r="K311" i="4" s="1"/>
  <c r="C311" i="4"/>
  <c r="L311" i="4" s="1"/>
  <c r="D311" i="4"/>
  <c r="M311" i="4" s="1"/>
  <c r="E311" i="4"/>
  <c r="N311" i="4" s="1"/>
  <c r="F311" i="4"/>
  <c r="G311" i="4"/>
  <c r="H311" i="4"/>
  <c r="P311" i="4" s="1"/>
  <c r="I311" i="4"/>
  <c r="A312" i="4"/>
  <c r="J312" i="4" s="1"/>
  <c r="B312" i="4"/>
  <c r="C312" i="4"/>
  <c r="D312" i="4"/>
  <c r="M312" i="4" s="1"/>
  <c r="E312" i="4"/>
  <c r="N312" i="4" s="1"/>
  <c r="F312" i="4"/>
  <c r="G312" i="4"/>
  <c r="H312" i="4"/>
  <c r="P312" i="4" s="1"/>
  <c r="I312" i="4"/>
  <c r="K312" i="4"/>
  <c r="L312" i="4"/>
  <c r="A313" i="4"/>
  <c r="J313" i="4" s="1"/>
  <c r="B313" i="4"/>
  <c r="C313" i="4"/>
  <c r="D313" i="4"/>
  <c r="M313" i="4" s="1"/>
  <c r="E313" i="4"/>
  <c r="N313" i="4" s="1"/>
  <c r="F313" i="4"/>
  <c r="G313" i="4"/>
  <c r="H313" i="4"/>
  <c r="P313" i="4" s="1"/>
  <c r="I313" i="4"/>
  <c r="K313" i="4"/>
  <c r="L313" i="4"/>
  <c r="A314" i="4"/>
  <c r="J314" i="4" s="1"/>
  <c r="B314" i="4"/>
  <c r="K314" i="4" s="1"/>
  <c r="C314" i="4"/>
  <c r="D314" i="4"/>
  <c r="E314" i="4"/>
  <c r="N314" i="4" s="1"/>
  <c r="F314" i="4"/>
  <c r="G314" i="4"/>
  <c r="H314" i="4"/>
  <c r="P314" i="4" s="1"/>
  <c r="I314" i="4"/>
  <c r="L314" i="4"/>
  <c r="A315" i="4"/>
  <c r="J315" i="4" s="1"/>
  <c r="B315" i="4"/>
  <c r="C315" i="4"/>
  <c r="L315" i="4" s="1"/>
  <c r="D315" i="4"/>
  <c r="E315" i="4"/>
  <c r="N315" i="4" s="1"/>
  <c r="F315" i="4"/>
  <c r="G315" i="4"/>
  <c r="H315" i="4"/>
  <c r="P315" i="4" s="1"/>
  <c r="I315" i="4"/>
  <c r="K315" i="4"/>
  <c r="A317" i="4"/>
  <c r="J317" i="4" s="1"/>
  <c r="B317" i="4"/>
  <c r="K317" i="4" s="1"/>
  <c r="C317" i="4"/>
  <c r="L317" i="4" s="1"/>
  <c r="D317" i="4"/>
  <c r="M317" i="4" s="1"/>
  <c r="E317" i="4"/>
  <c r="N317" i="4" s="1"/>
  <c r="F317" i="4"/>
  <c r="G317" i="4"/>
  <c r="H317" i="4"/>
  <c r="P317" i="4" s="1"/>
  <c r="I317" i="4"/>
  <c r="A319" i="4"/>
  <c r="J319" i="4" s="1"/>
  <c r="B319" i="4"/>
  <c r="K319" i="4" s="1"/>
  <c r="C319" i="4"/>
  <c r="L319" i="4" s="1"/>
  <c r="D319" i="4"/>
  <c r="E319" i="4"/>
  <c r="N319" i="4" s="1"/>
  <c r="F319" i="4"/>
  <c r="G319" i="4"/>
  <c r="H319" i="4"/>
  <c r="P319" i="4" s="1"/>
  <c r="I319" i="4"/>
  <c r="A320" i="4"/>
  <c r="J320" i="4" s="1"/>
  <c r="B320" i="4"/>
  <c r="K320" i="4" s="1"/>
  <c r="C320" i="4"/>
  <c r="L320" i="4" s="1"/>
  <c r="D320" i="4"/>
  <c r="M320" i="4" s="1"/>
  <c r="E320" i="4"/>
  <c r="N320" i="4" s="1"/>
  <c r="F320" i="4"/>
  <c r="G320" i="4"/>
  <c r="H320" i="4"/>
  <c r="P320" i="4" s="1"/>
  <c r="I320" i="4"/>
  <c r="A321" i="4"/>
  <c r="J321" i="4" s="1"/>
  <c r="B321" i="4"/>
  <c r="K321" i="4" s="1"/>
  <c r="C321" i="4"/>
  <c r="L321" i="4" s="1"/>
  <c r="D321" i="4"/>
  <c r="E321" i="4"/>
  <c r="N321" i="4" s="1"/>
  <c r="F321" i="4"/>
  <c r="G321" i="4"/>
  <c r="H321" i="4"/>
  <c r="P321" i="4" s="1"/>
  <c r="I321" i="4"/>
  <c r="A322" i="4"/>
  <c r="J322" i="4" s="1"/>
  <c r="B322" i="4"/>
  <c r="K322" i="4" s="1"/>
  <c r="C322" i="4"/>
  <c r="L322" i="4" s="1"/>
  <c r="D322" i="4"/>
  <c r="E322" i="4"/>
  <c r="N322" i="4" s="1"/>
  <c r="F322" i="4"/>
  <c r="G322" i="4"/>
  <c r="H322" i="4"/>
  <c r="P322" i="4" s="1"/>
  <c r="I322" i="4"/>
  <c r="A323" i="4"/>
  <c r="J323" i="4" s="1"/>
  <c r="B323" i="4"/>
  <c r="K323" i="4" s="1"/>
  <c r="C323" i="4"/>
  <c r="L323" i="4" s="1"/>
  <c r="D323" i="4"/>
  <c r="M323" i="4" s="1"/>
  <c r="E323" i="4"/>
  <c r="N323" i="4" s="1"/>
  <c r="F323" i="4"/>
  <c r="G323" i="4"/>
  <c r="O323" i="4" s="1"/>
  <c r="H323" i="4"/>
  <c r="P323" i="4" s="1"/>
  <c r="I323" i="4"/>
  <c r="A324" i="4"/>
  <c r="J324" i="4" s="1"/>
  <c r="B324" i="4"/>
  <c r="K324" i="4" s="1"/>
  <c r="C324" i="4"/>
  <c r="L324" i="4" s="1"/>
  <c r="D324" i="4"/>
  <c r="E324" i="4"/>
  <c r="N324" i="4" s="1"/>
  <c r="F324" i="4"/>
  <c r="G324" i="4"/>
  <c r="O324" i="4" s="1"/>
  <c r="H324" i="4"/>
  <c r="P324" i="4" s="1"/>
  <c r="I324" i="4"/>
  <c r="A326" i="4"/>
  <c r="J326" i="4" s="1"/>
  <c r="B326" i="4"/>
  <c r="K326" i="4" s="1"/>
  <c r="C326" i="4"/>
  <c r="L326" i="4" s="1"/>
  <c r="D326" i="4"/>
  <c r="M326" i="4" s="1"/>
  <c r="E326" i="4"/>
  <c r="N326" i="4" s="1"/>
  <c r="F326" i="4"/>
  <c r="G326" i="4"/>
  <c r="H326" i="4"/>
  <c r="P326" i="4" s="1"/>
  <c r="I326" i="4"/>
  <c r="A327" i="4"/>
  <c r="J327" i="4" s="1"/>
  <c r="B327" i="4"/>
  <c r="K327" i="4" s="1"/>
  <c r="C327" i="4"/>
  <c r="L327" i="4" s="1"/>
  <c r="D327" i="4"/>
  <c r="M327" i="4" s="1"/>
  <c r="E327" i="4"/>
  <c r="N327" i="4" s="1"/>
  <c r="F327" i="4"/>
  <c r="G327" i="4"/>
  <c r="H327" i="4"/>
  <c r="P327" i="4" s="1"/>
  <c r="I327" i="4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37" i="3"/>
  <c r="A237" i="3"/>
  <c r="B237" i="3"/>
  <c r="C237" i="3"/>
  <c r="E237" i="3"/>
  <c r="A238" i="3"/>
  <c r="B238" i="3"/>
  <c r="C238" i="3"/>
  <c r="E238" i="3"/>
  <c r="A239" i="3"/>
  <c r="B239" i="3"/>
  <c r="C239" i="3"/>
  <c r="E239" i="3"/>
  <c r="A240" i="3"/>
  <c r="B240" i="3"/>
  <c r="C240" i="3"/>
  <c r="E240" i="3"/>
  <c r="A241" i="3"/>
  <c r="B241" i="3"/>
  <c r="C241" i="3"/>
  <c r="E241" i="3"/>
  <c r="A242" i="3"/>
  <c r="B242" i="3"/>
  <c r="C242" i="3"/>
  <c r="E242" i="3"/>
  <c r="A243" i="3"/>
  <c r="B243" i="3"/>
  <c r="C243" i="3"/>
  <c r="E243" i="3"/>
  <c r="A244" i="3"/>
  <c r="B244" i="3"/>
  <c r="C244" i="3"/>
  <c r="E244" i="3"/>
  <c r="A245" i="3"/>
  <c r="B245" i="3"/>
  <c r="C245" i="3"/>
  <c r="E245" i="3"/>
  <c r="A246" i="3"/>
  <c r="B246" i="3"/>
  <c r="C246" i="3"/>
  <c r="E246" i="3"/>
  <c r="A247" i="3"/>
  <c r="B247" i="3"/>
  <c r="C247" i="3"/>
  <c r="E247" i="3"/>
  <c r="A248" i="3"/>
  <c r="B248" i="3"/>
  <c r="C248" i="3"/>
  <c r="E248" i="3"/>
  <c r="A249" i="3"/>
  <c r="B249" i="3"/>
  <c r="C249" i="3"/>
  <c r="E249" i="3"/>
  <c r="A250" i="3"/>
  <c r="B250" i="3"/>
  <c r="C250" i="3"/>
  <c r="E250" i="3"/>
  <c r="A251" i="3"/>
  <c r="B251" i="3"/>
  <c r="C251" i="3"/>
  <c r="E251" i="3"/>
  <c r="A252" i="3"/>
  <c r="B252" i="3"/>
  <c r="C252" i="3"/>
  <c r="E252" i="3"/>
  <c r="A253" i="3"/>
  <c r="B253" i="3"/>
  <c r="C253" i="3"/>
  <c r="E253" i="3"/>
  <c r="A254" i="3"/>
  <c r="B254" i="3"/>
  <c r="C254" i="3"/>
  <c r="E254" i="3"/>
  <c r="A255" i="3"/>
  <c r="B255" i="3"/>
  <c r="C255" i="3"/>
  <c r="E255" i="3"/>
  <c r="A256" i="3"/>
  <c r="B256" i="3"/>
  <c r="C256" i="3"/>
  <c r="E256" i="3"/>
  <c r="A257" i="3"/>
  <c r="B257" i="3"/>
  <c r="C257" i="3"/>
  <c r="E257" i="3"/>
  <c r="A258" i="3"/>
  <c r="B258" i="3"/>
  <c r="C258" i="3"/>
  <c r="E258" i="3"/>
  <c r="A259" i="3"/>
  <c r="B259" i="3"/>
  <c r="C259" i="3"/>
  <c r="E259" i="3"/>
  <c r="A260" i="3"/>
  <c r="B260" i="3"/>
  <c r="C260" i="3"/>
  <c r="E260" i="3"/>
  <c r="A261" i="3"/>
  <c r="B261" i="3"/>
  <c r="C261" i="3"/>
  <c r="E261" i="3"/>
  <c r="A262" i="3"/>
  <c r="B262" i="3"/>
  <c r="C262" i="3"/>
  <c r="E262" i="3"/>
  <c r="A263" i="3"/>
  <c r="B263" i="3"/>
  <c r="C263" i="3"/>
  <c r="E263" i="3"/>
  <c r="A264" i="3"/>
  <c r="B264" i="3"/>
  <c r="C264" i="3"/>
  <c r="E264" i="3"/>
  <c r="A265" i="3"/>
  <c r="B265" i="3"/>
  <c r="C265" i="3"/>
  <c r="E265" i="3"/>
  <c r="A266" i="3"/>
  <c r="B266" i="3"/>
  <c r="C266" i="3"/>
  <c r="E266" i="3"/>
  <c r="A267" i="3"/>
  <c r="B267" i="3"/>
  <c r="C267" i="3"/>
  <c r="E267" i="3"/>
  <c r="A268" i="3"/>
  <c r="B268" i="3"/>
  <c r="C268" i="3"/>
  <c r="E268" i="3"/>
  <c r="A269" i="3"/>
  <c r="B269" i="3"/>
  <c r="C269" i="3"/>
  <c r="E269" i="3"/>
  <c r="A270" i="3"/>
  <c r="B270" i="3"/>
  <c r="C270" i="3"/>
  <c r="E270" i="3"/>
  <c r="A271" i="3"/>
  <c r="B271" i="3"/>
  <c r="C271" i="3"/>
  <c r="E271" i="3"/>
  <c r="A272" i="3"/>
  <c r="B272" i="3"/>
  <c r="C272" i="3"/>
  <c r="E272" i="3"/>
  <c r="A273" i="3"/>
  <c r="B273" i="3"/>
  <c r="C273" i="3"/>
  <c r="E273" i="3"/>
  <c r="A274" i="3"/>
  <c r="B274" i="3"/>
  <c r="C274" i="3"/>
  <c r="E274" i="3"/>
  <c r="A275" i="3"/>
  <c r="B275" i="3"/>
  <c r="C275" i="3"/>
  <c r="E275" i="3"/>
  <c r="A276" i="3"/>
  <c r="B276" i="3"/>
  <c r="C276" i="3"/>
  <c r="E276" i="3"/>
  <c r="A277" i="3"/>
  <c r="B277" i="3"/>
  <c r="C277" i="3"/>
  <c r="E277" i="3"/>
  <c r="A278" i="3"/>
  <c r="B278" i="3"/>
  <c r="C278" i="3"/>
  <c r="E278" i="3"/>
  <c r="A279" i="3"/>
  <c r="B279" i="3"/>
  <c r="C279" i="3"/>
  <c r="E279" i="3"/>
  <c r="A280" i="3"/>
  <c r="B280" i="3"/>
  <c r="C280" i="3"/>
  <c r="E280" i="3"/>
  <c r="J141" i="2"/>
  <c r="R72" i="2"/>
  <c r="O213" i="4" l="1"/>
  <c r="O314" i="4"/>
  <c r="O302" i="4"/>
  <c r="O300" i="4"/>
  <c r="O312" i="4"/>
  <c r="M314" i="4"/>
  <c r="O304" i="4"/>
  <c r="O290" i="4"/>
  <c r="O284" i="4"/>
  <c r="O306" i="4"/>
  <c r="O235" i="4"/>
  <c r="O269" i="4"/>
  <c r="O321" i="4"/>
  <c r="O227" i="4"/>
  <c r="O322" i="4"/>
  <c r="O274" i="4"/>
  <c r="O260" i="4"/>
  <c r="O245" i="4"/>
  <c r="O253" i="4"/>
  <c r="O308" i="4"/>
  <c r="O280" i="4"/>
  <c r="O319" i="4"/>
  <c r="O309" i="4"/>
  <c r="O249" i="4"/>
  <c r="O241" i="4"/>
  <c r="O231" i="4"/>
  <c r="M324" i="4"/>
  <c r="O320" i="4"/>
  <c r="M319" i="4"/>
  <c r="O313" i="4"/>
  <c r="O307" i="4"/>
  <c r="O303" i="4"/>
  <c r="O299" i="4"/>
  <c r="O289" i="4"/>
  <c r="O279" i="4"/>
  <c r="O251" i="4"/>
  <c r="O243" i="4"/>
  <c r="O233" i="4"/>
  <c r="M231" i="4"/>
  <c r="O225" i="4"/>
  <c r="O223" i="4"/>
  <c r="M322" i="4"/>
  <c r="M321" i="4"/>
  <c r="O315" i="4"/>
  <c r="O311" i="4"/>
  <c r="O305" i="4"/>
  <c r="O301" i="4"/>
  <c r="O295" i="4"/>
  <c r="O283" i="4"/>
  <c r="O273" i="4"/>
  <c r="O255" i="4"/>
  <c r="O247" i="4"/>
  <c r="O237" i="4"/>
  <c r="O229" i="4"/>
  <c r="M227" i="4"/>
  <c r="M315" i="4"/>
  <c r="O310" i="4"/>
  <c r="O294" i="4"/>
  <c r="O287" i="4"/>
  <c r="O282" i="4"/>
  <c r="O278" i="4"/>
  <c r="O272" i="4"/>
  <c r="M307" i="4"/>
  <c r="O285" i="4"/>
  <c r="O281" i="4"/>
  <c r="O271" i="4"/>
  <c r="O265" i="4"/>
  <c r="O270" i="4"/>
  <c r="O263" i="4"/>
  <c r="O256" i="4"/>
  <c r="O254" i="4"/>
  <c r="O252" i="4"/>
  <c r="O250" i="4"/>
  <c r="O248" i="4"/>
  <c r="O246" i="4"/>
  <c r="O244" i="4"/>
  <c r="O242" i="4"/>
  <c r="O236" i="4"/>
  <c r="O234" i="4"/>
  <c r="O232" i="4"/>
  <c r="O230" i="4"/>
  <c r="O228" i="4"/>
  <c r="O226" i="4"/>
  <c r="O224" i="4"/>
  <c r="O222" i="4"/>
  <c r="O221" i="4"/>
  <c r="O220" i="4"/>
  <c r="O219" i="4"/>
  <c r="O218" i="4"/>
  <c r="O216" i="4"/>
  <c r="O215" i="4"/>
  <c r="U280" i="2"/>
  <c r="U279" i="2"/>
  <c r="U278" i="2"/>
  <c r="U277" i="2"/>
  <c r="U272" i="2"/>
  <c r="U254" i="2"/>
  <c r="U251" i="2"/>
  <c r="U239" i="2"/>
  <c r="A239" i="2"/>
  <c r="B239" i="2"/>
  <c r="C239" i="2"/>
  <c r="D239" i="2"/>
  <c r="E239" i="2"/>
  <c r="F239" i="2"/>
  <c r="G239" i="2"/>
  <c r="H239" i="2"/>
  <c r="I239" i="2"/>
  <c r="T239" i="2" s="1"/>
  <c r="K239" i="2"/>
  <c r="L239" i="2"/>
  <c r="M239" i="2"/>
  <c r="N239" i="2"/>
  <c r="J239" i="2" s="1"/>
  <c r="O239" i="2"/>
  <c r="P239" i="2"/>
  <c r="R239" i="2"/>
  <c r="Y239" i="2" s="1"/>
  <c r="S239" i="2"/>
  <c r="A240" i="2"/>
  <c r="B240" i="2"/>
  <c r="C240" i="2"/>
  <c r="D240" i="2"/>
  <c r="E240" i="2"/>
  <c r="F240" i="2"/>
  <c r="G240" i="2"/>
  <c r="R240" i="2" s="1"/>
  <c r="H240" i="2"/>
  <c r="I240" i="2"/>
  <c r="K240" i="2"/>
  <c r="U240" i="2" s="1"/>
  <c r="L240" i="2"/>
  <c r="M240" i="2"/>
  <c r="N240" i="2"/>
  <c r="O240" i="2"/>
  <c r="P240" i="2"/>
  <c r="S240" i="2"/>
  <c r="T240" i="2"/>
  <c r="Y240" i="2"/>
  <c r="A241" i="2"/>
  <c r="B241" i="2"/>
  <c r="C241" i="2"/>
  <c r="D241" i="2"/>
  <c r="E241" i="2"/>
  <c r="F241" i="2"/>
  <c r="G241" i="2"/>
  <c r="R241" i="2" s="1"/>
  <c r="Y241" i="2" s="1"/>
  <c r="H241" i="2"/>
  <c r="S241" i="2" s="1"/>
  <c r="I241" i="2"/>
  <c r="K241" i="2"/>
  <c r="J241" i="2" s="1"/>
  <c r="L241" i="2"/>
  <c r="M241" i="2"/>
  <c r="N241" i="2"/>
  <c r="O241" i="2"/>
  <c r="P241" i="2"/>
  <c r="T241" i="2"/>
  <c r="U241" i="2"/>
  <c r="A242" i="2"/>
  <c r="B242" i="2"/>
  <c r="C242" i="2"/>
  <c r="D242" i="2"/>
  <c r="E242" i="2"/>
  <c r="F242" i="2"/>
  <c r="G242" i="2"/>
  <c r="H242" i="2"/>
  <c r="S242" i="2" s="1"/>
  <c r="I242" i="2"/>
  <c r="T242" i="2" s="1"/>
  <c r="K242" i="2"/>
  <c r="J242" i="2" s="1"/>
  <c r="X242" i="2" s="1"/>
  <c r="L242" i="2"/>
  <c r="M242" i="2"/>
  <c r="N242" i="2"/>
  <c r="O242" i="2"/>
  <c r="P242" i="2"/>
  <c r="R242" i="2"/>
  <c r="Y242" i="2" s="1"/>
  <c r="U242" i="2"/>
  <c r="W242" i="2"/>
  <c r="A243" i="2"/>
  <c r="B243" i="2"/>
  <c r="C243" i="2"/>
  <c r="D243" i="2"/>
  <c r="E243" i="2"/>
  <c r="F243" i="2"/>
  <c r="G243" i="2"/>
  <c r="H243" i="2"/>
  <c r="I243" i="2"/>
  <c r="T243" i="2" s="1"/>
  <c r="J243" i="2"/>
  <c r="K243" i="2"/>
  <c r="L243" i="2"/>
  <c r="M243" i="2"/>
  <c r="N243" i="2"/>
  <c r="O243" i="2"/>
  <c r="P243" i="2"/>
  <c r="R243" i="2"/>
  <c r="S243" i="2"/>
  <c r="U243" i="2"/>
  <c r="W243" i="2"/>
  <c r="X243" i="2"/>
  <c r="A244" i="2"/>
  <c r="B244" i="2"/>
  <c r="C244" i="2"/>
  <c r="D244" i="2"/>
  <c r="E244" i="2"/>
  <c r="F244" i="2"/>
  <c r="G244" i="2"/>
  <c r="R244" i="2" s="1"/>
  <c r="Y244" i="2" s="1"/>
  <c r="H244" i="2"/>
  <c r="I244" i="2"/>
  <c r="K244" i="2"/>
  <c r="U244" i="2" s="1"/>
  <c r="L244" i="2"/>
  <c r="M244" i="2"/>
  <c r="N244" i="2"/>
  <c r="O244" i="2"/>
  <c r="P244" i="2"/>
  <c r="S244" i="2"/>
  <c r="T244" i="2"/>
  <c r="A245" i="2"/>
  <c r="B245" i="2"/>
  <c r="C245" i="2"/>
  <c r="D245" i="2"/>
  <c r="E245" i="2"/>
  <c r="F245" i="2"/>
  <c r="G245" i="2"/>
  <c r="R245" i="2" s="1"/>
  <c r="Y245" i="2" s="1"/>
  <c r="H245" i="2"/>
  <c r="S245" i="2" s="1"/>
  <c r="I245" i="2"/>
  <c r="K245" i="2"/>
  <c r="J245" i="2" s="1"/>
  <c r="L245" i="2"/>
  <c r="M245" i="2"/>
  <c r="N245" i="2"/>
  <c r="O245" i="2"/>
  <c r="P245" i="2"/>
  <c r="T245" i="2"/>
  <c r="A246" i="2"/>
  <c r="B246" i="2"/>
  <c r="C246" i="2"/>
  <c r="D246" i="2"/>
  <c r="E246" i="2"/>
  <c r="F246" i="2"/>
  <c r="G246" i="2"/>
  <c r="H246" i="2"/>
  <c r="S246" i="2" s="1"/>
  <c r="I246" i="2"/>
  <c r="T246" i="2" s="1"/>
  <c r="K246" i="2"/>
  <c r="J246" i="2" s="1"/>
  <c r="L246" i="2"/>
  <c r="M246" i="2"/>
  <c r="N246" i="2"/>
  <c r="O246" i="2"/>
  <c r="P246" i="2"/>
  <c r="R246" i="2"/>
  <c r="Y246" i="2" s="1"/>
  <c r="U246" i="2"/>
  <c r="W246" i="2" s="1"/>
  <c r="A247" i="2"/>
  <c r="B247" i="2"/>
  <c r="C247" i="2"/>
  <c r="D247" i="2"/>
  <c r="E247" i="2"/>
  <c r="F247" i="2"/>
  <c r="G247" i="2"/>
  <c r="H247" i="2"/>
  <c r="I247" i="2"/>
  <c r="T247" i="2" s="1"/>
  <c r="J247" i="2"/>
  <c r="W247" i="2" s="1"/>
  <c r="K247" i="2"/>
  <c r="L247" i="2"/>
  <c r="M247" i="2"/>
  <c r="N247" i="2"/>
  <c r="O247" i="2"/>
  <c r="P247" i="2"/>
  <c r="R247" i="2"/>
  <c r="Y247" i="2" s="1"/>
  <c r="S247" i="2"/>
  <c r="U247" i="2"/>
  <c r="A248" i="2"/>
  <c r="B248" i="2"/>
  <c r="C248" i="2"/>
  <c r="D248" i="2"/>
  <c r="E248" i="2"/>
  <c r="F248" i="2"/>
  <c r="G248" i="2"/>
  <c r="R248" i="2" s="1"/>
  <c r="Y248" i="2" s="1"/>
  <c r="H248" i="2"/>
  <c r="I248" i="2"/>
  <c r="J248" i="2"/>
  <c r="W248" i="2" s="1"/>
  <c r="K248" i="2"/>
  <c r="U248" i="2" s="1"/>
  <c r="L248" i="2"/>
  <c r="M248" i="2"/>
  <c r="N248" i="2"/>
  <c r="O248" i="2"/>
  <c r="P248" i="2"/>
  <c r="S248" i="2"/>
  <c r="T248" i="2"/>
  <c r="A249" i="2"/>
  <c r="B249" i="2"/>
  <c r="C249" i="2"/>
  <c r="D249" i="2"/>
  <c r="E249" i="2"/>
  <c r="F249" i="2"/>
  <c r="G249" i="2"/>
  <c r="R249" i="2" s="1"/>
  <c r="H249" i="2"/>
  <c r="S249" i="2" s="1"/>
  <c r="I249" i="2"/>
  <c r="K249" i="2"/>
  <c r="J249" i="2" s="1"/>
  <c r="L249" i="2"/>
  <c r="M249" i="2"/>
  <c r="N249" i="2"/>
  <c r="O249" i="2"/>
  <c r="P249" i="2"/>
  <c r="T249" i="2"/>
  <c r="Y249" i="2"/>
  <c r="A250" i="2"/>
  <c r="B250" i="2"/>
  <c r="C250" i="2"/>
  <c r="D250" i="2"/>
  <c r="E250" i="2"/>
  <c r="F250" i="2"/>
  <c r="G250" i="2"/>
  <c r="H250" i="2"/>
  <c r="S250" i="2" s="1"/>
  <c r="I250" i="2"/>
  <c r="T250" i="2" s="1"/>
  <c r="K250" i="2"/>
  <c r="J250" i="2" s="1"/>
  <c r="L250" i="2"/>
  <c r="M250" i="2"/>
  <c r="N250" i="2"/>
  <c r="O250" i="2"/>
  <c r="P250" i="2"/>
  <c r="R250" i="2"/>
  <c r="Y250" i="2" s="1"/>
  <c r="U250" i="2"/>
  <c r="W250" i="2" s="1"/>
  <c r="A251" i="2"/>
  <c r="B251" i="2"/>
  <c r="C251" i="2"/>
  <c r="D251" i="2"/>
  <c r="E251" i="2"/>
  <c r="F251" i="2"/>
  <c r="G251" i="2"/>
  <c r="H251" i="2"/>
  <c r="I251" i="2"/>
  <c r="T251" i="2" s="1"/>
  <c r="J251" i="2"/>
  <c r="W251" i="2" s="1"/>
  <c r="K251" i="2"/>
  <c r="L251" i="2"/>
  <c r="M251" i="2"/>
  <c r="N251" i="2"/>
  <c r="O251" i="2"/>
  <c r="P251" i="2"/>
  <c r="R251" i="2"/>
  <c r="Y251" i="2" s="1"/>
  <c r="S251" i="2"/>
  <c r="A252" i="2"/>
  <c r="B252" i="2"/>
  <c r="C252" i="2"/>
  <c r="D252" i="2"/>
  <c r="E252" i="2"/>
  <c r="F252" i="2"/>
  <c r="G252" i="2"/>
  <c r="R252" i="2" s="1"/>
  <c r="H252" i="2"/>
  <c r="I252" i="2"/>
  <c r="J252" i="2"/>
  <c r="W252" i="2" s="1"/>
  <c r="K252" i="2"/>
  <c r="U252" i="2" s="1"/>
  <c r="L252" i="2"/>
  <c r="M252" i="2"/>
  <c r="N252" i="2"/>
  <c r="O252" i="2"/>
  <c r="P252" i="2"/>
  <c r="S252" i="2"/>
  <c r="Y252" i="2" s="1"/>
  <c r="T252" i="2"/>
  <c r="A253" i="2"/>
  <c r="B253" i="2"/>
  <c r="C253" i="2"/>
  <c r="D253" i="2"/>
  <c r="E253" i="2"/>
  <c r="F253" i="2"/>
  <c r="G253" i="2"/>
  <c r="R253" i="2" s="1"/>
  <c r="H253" i="2"/>
  <c r="S253" i="2" s="1"/>
  <c r="I253" i="2"/>
  <c r="K253" i="2"/>
  <c r="J253" i="2" s="1"/>
  <c r="L253" i="2"/>
  <c r="M253" i="2"/>
  <c r="N253" i="2"/>
  <c r="O253" i="2"/>
  <c r="P253" i="2"/>
  <c r="T253" i="2"/>
  <c r="U253" i="2"/>
  <c r="Y253" i="2"/>
  <c r="A254" i="2"/>
  <c r="B254" i="2"/>
  <c r="C254" i="2"/>
  <c r="D254" i="2"/>
  <c r="E254" i="2"/>
  <c r="F254" i="2"/>
  <c r="G254" i="2"/>
  <c r="H254" i="2"/>
  <c r="S254" i="2" s="1"/>
  <c r="I254" i="2"/>
  <c r="T254" i="2" s="1"/>
  <c r="K254" i="2"/>
  <c r="J254" i="2" s="1"/>
  <c r="L254" i="2"/>
  <c r="M254" i="2"/>
  <c r="N254" i="2"/>
  <c r="O254" i="2"/>
  <c r="P254" i="2"/>
  <c r="R254" i="2"/>
  <c r="Y254" i="2" s="1"/>
  <c r="A255" i="2"/>
  <c r="B255" i="2"/>
  <c r="C255" i="2"/>
  <c r="D255" i="2"/>
  <c r="E255" i="2"/>
  <c r="F255" i="2"/>
  <c r="G255" i="2"/>
  <c r="H255" i="2"/>
  <c r="I255" i="2"/>
  <c r="T255" i="2" s="1"/>
  <c r="J255" i="2"/>
  <c r="K255" i="2"/>
  <c r="L255" i="2"/>
  <c r="M255" i="2"/>
  <c r="N255" i="2"/>
  <c r="O255" i="2"/>
  <c r="P255" i="2"/>
  <c r="R255" i="2"/>
  <c r="Y255" i="2" s="1"/>
  <c r="S255" i="2"/>
  <c r="U255" i="2"/>
  <c r="W255" i="2"/>
  <c r="X255" i="2"/>
  <c r="A256" i="2"/>
  <c r="B256" i="2"/>
  <c r="C256" i="2"/>
  <c r="D256" i="2"/>
  <c r="E256" i="2"/>
  <c r="F256" i="2"/>
  <c r="G256" i="2"/>
  <c r="R256" i="2" s="1"/>
  <c r="H256" i="2"/>
  <c r="I256" i="2"/>
  <c r="K256" i="2"/>
  <c r="U256" i="2" s="1"/>
  <c r="L256" i="2"/>
  <c r="M256" i="2"/>
  <c r="N256" i="2"/>
  <c r="O256" i="2"/>
  <c r="P256" i="2"/>
  <c r="S256" i="2"/>
  <c r="T256" i="2"/>
  <c r="Y256" i="2"/>
  <c r="A257" i="2"/>
  <c r="B257" i="2"/>
  <c r="C257" i="2"/>
  <c r="D257" i="2"/>
  <c r="E257" i="2"/>
  <c r="F257" i="2"/>
  <c r="G257" i="2"/>
  <c r="R257" i="2" s="1"/>
  <c r="Y257" i="2" s="1"/>
  <c r="H257" i="2"/>
  <c r="S257" i="2" s="1"/>
  <c r="I257" i="2"/>
  <c r="K257" i="2"/>
  <c r="J257" i="2" s="1"/>
  <c r="L257" i="2"/>
  <c r="M257" i="2"/>
  <c r="N257" i="2"/>
  <c r="O257" i="2"/>
  <c r="P257" i="2"/>
  <c r="T257" i="2"/>
  <c r="U257" i="2"/>
  <c r="A258" i="2"/>
  <c r="B258" i="2"/>
  <c r="C258" i="2"/>
  <c r="D258" i="2"/>
  <c r="E258" i="2"/>
  <c r="F258" i="2"/>
  <c r="G258" i="2"/>
  <c r="H258" i="2"/>
  <c r="S258" i="2" s="1"/>
  <c r="I258" i="2"/>
  <c r="T258" i="2" s="1"/>
  <c r="K258" i="2"/>
  <c r="J258" i="2" s="1"/>
  <c r="X258" i="2" s="1"/>
  <c r="L258" i="2"/>
  <c r="M258" i="2"/>
  <c r="N258" i="2"/>
  <c r="O258" i="2"/>
  <c r="P258" i="2"/>
  <c r="R258" i="2"/>
  <c r="Y258" i="2" s="1"/>
  <c r="U258" i="2"/>
  <c r="W258" i="2"/>
  <c r="A259" i="2"/>
  <c r="B259" i="2"/>
  <c r="C259" i="2"/>
  <c r="D259" i="2"/>
  <c r="E259" i="2"/>
  <c r="F259" i="2"/>
  <c r="G259" i="2"/>
  <c r="H259" i="2"/>
  <c r="I259" i="2"/>
  <c r="T259" i="2" s="1"/>
  <c r="J259" i="2"/>
  <c r="K259" i="2"/>
  <c r="L259" i="2"/>
  <c r="M259" i="2"/>
  <c r="N259" i="2"/>
  <c r="O259" i="2"/>
  <c r="P259" i="2"/>
  <c r="R259" i="2"/>
  <c r="Y259" i="2" s="1"/>
  <c r="S259" i="2"/>
  <c r="U259" i="2"/>
  <c r="W259" i="2"/>
  <c r="X259" i="2"/>
  <c r="A260" i="2"/>
  <c r="B260" i="2"/>
  <c r="C260" i="2"/>
  <c r="D260" i="2"/>
  <c r="E260" i="2"/>
  <c r="F260" i="2"/>
  <c r="G260" i="2"/>
  <c r="R260" i="2" s="1"/>
  <c r="Y260" i="2" s="1"/>
  <c r="H260" i="2"/>
  <c r="I260" i="2"/>
  <c r="K260" i="2"/>
  <c r="U260" i="2" s="1"/>
  <c r="L260" i="2"/>
  <c r="M260" i="2"/>
  <c r="N260" i="2"/>
  <c r="O260" i="2"/>
  <c r="P260" i="2"/>
  <c r="S260" i="2"/>
  <c r="T260" i="2"/>
  <c r="A261" i="2"/>
  <c r="B261" i="2"/>
  <c r="C261" i="2"/>
  <c r="D261" i="2"/>
  <c r="E261" i="2"/>
  <c r="F261" i="2"/>
  <c r="G261" i="2"/>
  <c r="R261" i="2" s="1"/>
  <c r="Y261" i="2" s="1"/>
  <c r="H261" i="2"/>
  <c r="S261" i="2" s="1"/>
  <c r="I261" i="2"/>
  <c r="K261" i="2"/>
  <c r="J261" i="2" s="1"/>
  <c r="L261" i="2"/>
  <c r="M261" i="2"/>
  <c r="N261" i="2"/>
  <c r="O261" i="2"/>
  <c r="P261" i="2"/>
  <c r="T261" i="2"/>
  <c r="A262" i="2"/>
  <c r="B262" i="2"/>
  <c r="C262" i="2"/>
  <c r="D262" i="2"/>
  <c r="E262" i="2"/>
  <c r="F262" i="2"/>
  <c r="G262" i="2"/>
  <c r="H262" i="2"/>
  <c r="S262" i="2" s="1"/>
  <c r="I262" i="2"/>
  <c r="T262" i="2" s="1"/>
  <c r="K262" i="2"/>
  <c r="J262" i="2" s="1"/>
  <c r="L262" i="2"/>
  <c r="M262" i="2"/>
  <c r="N262" i="2"/>
  <c r="O262" i="2"/>
  <c r="P262" i="2"/>
  <c r="R262" i="2"/>
  <c r="U262" i="2"/>
  <c r="W262" i="2" s="1"/>
  <c r="A263" i="2"/>
  <c r="B263" i="2"/>
  <c r="C263" i="2"/>
  <c r="D263" i="2"/>
  <c r="E263" i="2"/>
  <c r="F263" i="2"/>
  <c r="G263" i="2"/>
  <c r="H263" i="2"/>
  <c r="I263" i="2"/>
  <c r="T263" i="2" s="1"/>
  <c r="J263" i="2"/>
  <c r="W263" i="2" s="1"/>
  <c r="K263" i="2"/>
  <c r="L263" i="2"/>
  <c r="M263" i="2"/>
  <c r="N263" i="2"/>
  <c r="O263" i="2"/>
  <c r="P263" i="2"/>
  <c r="R263" i="2"/>
  <c r="Y263" i="2" s="1"/>
  <c r="S263" i="2"/>
  <c r="U263" i="2"/>
  <c r="A264" i="2"/>
  <c r="B264" i="2"/>
  <c r="C264" i="2"/>
  <c r="D264" i="2"/>
  <c r="E264" i="2"/>
  <c r="F264" i="2"/>
  <c r="G264" i="2"/>
  <c r="R264" i="2" s="1"/>
  <c r="Y264" i="2" s="1"/>
  <c r="H264" i="2"/>
  <c r="I264" i="2"/>
  <c r="J264" i="2"/>
  <c r="W264" i="2" s="1"/>
  <c r="K264" i="2"/>
  <c r="U264" i="2" s="1"/>
  <c r="L264" i="2"/>
  <c r="M264" i="2"/>
  <c r="N264" i="2"/>
  <c r="O264" i="2"/>
  <c r="P264" i="2"/>
  <c r="S264" i="2"/>
  <c r="T264" i="2"/>
  <c r="A265" i="2"/>
  <c r="B265" i="2"/>
  <c r="C265" i="2"/>
  <c r="D265" i="2"/>
  <c r="E265" i="2"/>
  <c r="F265" i="2"/>
  <c r="G265" i="2"/>
  <c r="R265" i="2" s="1"/>
  <c r="H265" i="2"/>
  <c r="S265" i="2" s="1"/>
  <c r="I265" i="2"/>
  <c r="K265" i="2"/>
  <c r="J265" i="2" s="1"/>
  <c r="L265" i="2"/>
  <c r="M265" i="2"/>
  <c r="N265" i="2"/>
  <c r="O265" i="2"/>
  <c r="P265" i="2"/>
  <c r="T265" i="2"/>
  <c r="Y265" i="2"/>
  <c r="A266" i="2"/>
  <c r="B266" i="2"/>
  <c r="C266" i="2"/>
  <c r="D266" i="2"/>
  <c r="E266" i="2"/>
  <c r="F266" i="2"/>
  <c r="G266" i="2"/>
  <c r="H266" i="2"/>
  <c r="S266" i="2" s="1"/>
  <c r="I266" i="2"/>
  <c r="T266" i="2" s="1"/>
  <c r="K266" i="2"/>
  <c r="J266" i="2" s="1"/>
  <c r="L266" i="2"/>
  <c r="M266" i="2"/>
  <c r="N266" i="2"/>
  <c r="O266" i="2"/>
  <c r="P266" i="2"/>
  <c r="R266" i="2"/>
  <c r="U266" i="2"/>
  <c r="W266" i="2" s="1"/>
  <c r="A267" i="2"/>
  <c r="B267" i="2"/>
  <c r="C267" i="2"/>
  <c r="D267" i="2"/>
  <c r="E267" i="2"/>
  <c r="F267" i="2"/>
  <c r="G267" i="2"/>
  <c r="H267" i="2"/>
  <c r="I267" i="2"/>
  <c r="T267" i="2" s="1"/>
  <c r="J267" i="2"/>
  <c r="X267" i="2" s="1"/>
  <c r="K267" i="2"/>
  <c r="L267" i="2"/>
  <c r="M267" i="2"/>
  <c r="N267" i="2"/>
  <c r="O267" i="2"/>
  <c r="P267" i="2"/>
  <c r="R267" i="2"/>
  <c r="Y267" i="2" s="1"/>
  <c r="S267" i="2"/>
  <c r="U267" i="2"/>
  <c r="A268" i="2"/>
  <c r="B268" i="2"/>
  <c r="C268" i="2"/>
  <c r="D268" i="2"/>
  <c r="E268" i="2"/>
  <c r="F268" i="2"/>
  <c r="G268" i="2"/>
  <c r="R268" i="2" s="1"/>
  <c r="H268" i="2"/>
  <c r="I268" i="2"/>
  <c r="J268" i="2"/>
  <c r="W268" i="2" s="1"/>
  <c r="K268" i="2"/>
  <c r="U268" i="2" s="1"/>
  <c r="L268" i="2"/>
  <c r="M268" i="2"/>
  <c r="N268" i="2"/>
  <c r="O268" i="2"/>
  <c r="P268" i="2"/>
  <c r="S268" i="2"/>
  <c r="Y268" i="2" s="1"/>
  <c r="T268" i="2"/>
  <c r="A269" i="2"/>
  <c r="B269" i="2"/>
  <c r="C269" i="2"/>
  <c r="D269" i="2"/>
  <c r="E269" i="2"/>
  <c r="F269" i="2"/>
  <c r="G269" i="2"/>
  <c r="R269" i="2" s="1"/>
  <c r="H269" i="2"/>
  <c r="S269" i="2" s="1"/>
  <c r="I269" i="2"/>
  <c r="K269" i="2"/>
  <c r="J269" i="2" s="1"/>
  <c r="L269" i="2"/>
  <c r="M269" i="2"/>
  <c r="N269" i="2"/>
  <c r="O269" i="2"/>
  <c r="P269" i="2"/>
  <c r="T269" i="2"/>
  <c r="U269" i="2"/>
  <c r="Y269" i="2"/>
  <c r="A270" i="2"/>
  <c r="B270" i="2"/>
  <c r="C270" i="2"/>
  <c r="D270" i="2"/>
  <c r="E270" i="2"/>
  <c r="F270" i="2"/>
  <c r="G270" i="2"/>
  <c r="H270" i="2"/>
  <c r="S270" i="2" s="1"/>
  <c r="I270" i="2"/>
  <c r="K270" i="2"/>
  <c r="J270" i="2" s="1"/>
  <c r="L270" i="2"/>
  <c r="M270" i="2"/>
  <c r="N270" i="2"/>
  <c r="O270" i="2"/>
  <c r="P270" i="2"/>
  <c r="R270" i="2"/>
  <c r="T270" i="2"/>
  <c r="Y270" i="2"/>
  <c r="A271" i="2"/>
  <c r="B271" i="2"/>
  <c r="C271" i="2"/>
  <c r="D271" i="2"/>
  <c r="E271" i="2"/>
  <c r="F271" i="2"/>
  <c r="G271" i="2"/>
  <c r="H271" i="2"/>
  <c r="I271" i="2"/>
  <c r="T271" i="2" s="1"/>
  <c r="J271" i="2"/>
  <c r="W271" i="2" s="1"/>
  <c r="K271" i="2"/>
  <c r="L271" i="2"/>
  <c r="M271" i="2"/>
  <c r="N271" i="2"/>
  <c r="O271" i="2"/>
  <c r="P271" i="2"/>
  <c r="R271" i="2"/>
  <c r="Y271" i="2" s="1"/>
  <c r="S271" i="2"/>
  <c r="U271" i="2"/>
  <c r="A272" i="2"/>
  <c r="B272" i="2"/>
  <c r="C272" i="2"/>
  <c r="D272" i="2"/>
  <c r="E272" i="2"/>
  <c r="F272" i="2"/>
  <c r="G272" i="2"/>
  <c r="H272" i="2"/>
  <c r="I272" i="2"/>
  <c r="T272" i="2" s="1"/>
  <c r="K272" i="2"/>
  <c r="L272" i="2"/>
  <c r="M272" i="2"/>
  <c r="N272" i="2"/>
  <c r="J272" i="2" s="1"/>
  <c r="O272" i="2"/>
  <c r="P272" i="2"/>
  <c r="R272" i="2"/>
  <c r="S272" i="2"/>
  <c r="Y272" i="2"/>
  <c r="A273" i="2"/>
  <c r="B273" i="2"/>
  <c r="C273" i="2"/>
  <c r="D273" i="2"/>
  <c r="E273" i="2"/>
  <c r="F273" i="2"/>
  <c r="G273" i="2"/>
  <c r="R273" i="2" s="1"/>
  <c r="Y273" i="2" s="1"/>
  <c r="H273" i="2"/>
  <c r="S273" i="2" s="1"/>
  <c r="I273" i="2"/>
  <c r="K273" i="2"/>
  <c r="J273" i="2" s="1"/>
  <c r="L273" i="2"/>
  <c r="M273" i="2"/>
  <c r="N273" i="2"/>
  <c r="O273" i="2"/>
  <c r="P273" i="2"/>
  <c r="T273" i="2"/>
  <c r="U273" i="2"/>
  <c r="A274" i="2"/>
  <c r="B274" i="2"/>
  <c r="C274" i="2"/>
  <c r="D274" i="2"/>
  <c r="E274" i="2"/>
  <c r="F274" i="2"/>
  <c r="G274" i="2"/>
  <c r="R274" i="2" s="1"/>
  <c r="Y274" i="2" s="1"/>
  <c r="H274" i="2"/>
  <c r="S274" i="2" s="1"/>
  <c r="I274" i="2"/>
  <c r="K274" i="2"/>
  <c r="J274" i="2" s="1"/>
  <c r="L274" i="2"/>
  <c r="M274" i="2"/>
  <c r="N274" i="2"/>
  <c r="O274" i="2"/>
  <c r="P274" i="2"/>
  <c r="T274" i="2"/>
  <c r="U274" i="2"/>
  <c r="W274" i="2"/>
  <c r="A275" i="2"/>
  <c r="B275" i="2"/>
  <c r="C275" i="2"/>
  <c r="D275" i="2"/>
  <c r="E275" i="2"/>
  <c r="F275" i="2"/>
  <c r="G275" i="2"/>
  <c r="H275" i="2"/>
  <c r="I275" i="2"/>
  <c r="T275" i="2" s="1"/>
  <c r="J275" i="2"/>
  <c r="W275" i="2" s="1"/>
  <c r="K275" i="2"/>
  <c r="L275" i="2"/>
  <c r="M275" i="2"/>
  <c r="N275" i="2"/>
  <c r="O275" i="2"/>
  <c r="P275" i="2"/>
  <c r="R275" i="2"/>
  <c r="Y275" i="2" s="1"/>
  <c r="S275" i="2"/>
  <c r="U275" i="2"/>
  <c r="A276" i="2"/>
  <c r="B276" i="2"/>
  <c r="C276" i="2"/>
  <c r="D276" i="2"/>
  <c r="E276" i="2"/>
  <c r="F276" i="2"/>
  <c r="G276" i="2"/>
  <c r="H276" i="2"/>
  <c r="I276" i="2"/>
  <c r="T276" i="2" s="1"/>
  <c r="J276" i="2"/>
  <c r="W276" i="2" s="1"/>
  <c r="K276" i="2"/>
  <c r="U276" i="2" s="1"/>
  <c r="L276" i="2"/>
  <c r="M276" i="2"/>
  <c r="N276" i="2"/>
  <c r="O276" i="2"/>
  <c r="P276" i="2"/>
  <c r="R276" i="2"/>
  <c r="S276" i="2"/>
  <c r="Y276" i="2"/>
  <c r="A277" i="2"/>
  <c r="B277" i="2"/>
  <c r="C277" i="2"/>
  <c r="D277" i="2"/>
  <c r="E277" i="2"/>
  <c r="F277" i="2"/>
  <c r="G277" i="2"/>
  <c r="R277" i="2" s="1"/>
  <c r="Y277" i="2" s="1"/>
  <c r="H277" i="2"/>
  <c r="S277" i="2" s="1"/>
  <c r="I277" i="2"/>
  <c r="K277" i="2"/>
  <c r="J277" i="2" s="1"/>
  <c r="L277" i="2"/>
  <c r="M277" i="2"/>
  <c r="N277" i="2"/>
  <c r="O277" i="2"/>
  <c r="P277" i="2"/>
  <c r="T277" i="2"/>
  <c r="A278" i="2"/>
  <c r="B278" i="2"/>
  <c r="C278" i="2"/>
  <c r="D278" i="2"/>
  <c r="E278" i="2"/>
  <c r="F278" i="2"/>
  <c r="G278" i="2"/>
  <c r="R278" i="2" s="1"/>
  <c r="Y278" i="2" s="1"/>
  <c r="H278" i="2"/>
  <c r="S278" i="2" s="1"/>
  <c r="I278" i="2"/>
  <c r="K278" i="2"/>
  <c r="J278" i="2" s="1"/>
  <c r="L278" i="2"/>
  <c r="M278" i="2"/>
  <c r="N278" i="2"/>
  <c r="O278" i="2"/>
  <c r="P278" i="2"/>
  <c r="T278" i="2"/>
  <c r="A279" i="2"/>
  <c r="B279" i="2"/>
  <c r="C279" i="2"/>
  <c r="D279" i="2"/>
  <c r="E279" i="2"/>
  <c r="F279" i="2"/>
  <c r="G279" i="2"/>
  <c r="H279" i="2"/>
  <c r="I279" i="2"/>
  <c r="T279" i="2" s="1"/>
  <c r="K279" i="2"/>
  <c r="L279" i="2"/>
  <c r="M279" i="2"/>
  <c r="N279" i="2"/>
  <c r="J279" i="2" s="1"/>
  <c r="O279" i="2"/>
  <c r="P279" i="2"/>
  <c r="R279" i="2"/>
  <c r="Y279" i="2" s="1"/>
  <c r="S279" i="2"/>
  <c r="A280" i="2"/>
  <c r="B280" i="2"/>
  <c r="C280" i="2"/>
  <c r="D280" i="2"/>
  <c r="E280" i="2"/>
  <c r="F280" i="2"/>
  <c r="G280" i="2"/>
  <c r="H280" i="2"/>
  <c r="I280" i="2"/>
  <c r="T280" i="2" s="1"/>
  <c r="K280" i="2"/>
  <c r="L280" i="2"/>
  <c r="M280" i="2"/>
  <c r="N280" i="2"/>
  <c r="J280" i="2" s="1"/>
  <c r="O280" i="2"/>
  <c r="P280" i="2"/>
  <c r="R280" i="2"/>
  <c r="S280" i="2"/>
  <c r="Y280" i="2"/>
  <c r="A281" i="2"/>
  <c r="B281" i="2"/>
  <c r="C281" i="2"/>
  <c r="D281" i="2"/>
  <c r="E281" i="2"/>
  <c r="F281" i="2"/>
  <c r="G281" i="2"/>
  <c r="R281" i="2" s="1"/>
  <c r="Y281" i="2" s="1"/>
  <c r="H281" i="2"/>
  <c r="S281" i="2" s="1"/>
  <c r="I281" i="2"/>
  <c r="J281" i="2"/>
  <c r="K281" i="2"/>
  <c r="L281" i="2"/>
  <c r="M281" i="2"/>
  <c r="N281" i="2"/>
  <c r="O281" i="2"/>
  <c r="P281" i="2"/>
  <c r="T281" i="2"/>
  <c r="U281" i="2"/>
  <c r="X281" i="2"/>
  <c r="K279" i="1"/>
  <c r="K276" i="1"/>
  <c r="K275" i="1"/>
  <c r="K272" i="1"/>
  <c r="K271" i="1"/>
  <c r="K267" i="1"/>
  <c r="K265" i="1"/>
  <c r="K263" i="1"/>
  <c r="K261" i="1"/>
  <c r="K260" i="1"/>
  <c r="K259" i="1"/>
  <c r="K256" i="1"/>
  <c r="K254" i="1"/>
  <c r="K253" i="1"/>
  <c r="K251" i="1"/>
  <c r="K250" i="1"/>
  <c r="K249" i="1"/>
  <c r="K246" i="1"/>
  <c r="K245" i="1"/>
  <c r="K242" i="1"/>
  <c r="K241" i="1"/>
  <c r="K239" i="1"/>
  <c r="K238" i="1"/>
  <c r="X254" i="2" l="1"/>
  <c r="W273" i="2"/>
  <c r="X273" i="2"/>
  <c r="X280" i="2"/>
  <c r="W280" i="2"/>
  <c r="W279" i="2"/>
  <c r="X279" i="2"/>
  <c r="W277" i="2"/>
  <c r="X277" i="2"/>
  <c r="W272" i="2"/>
  <c r="X272" i="2"/>
  <c r="W239" i="2"/>
  <c r="X239" i="2"/>
  <c r="Y266" i="2"/>
  <c r="W265" i="2"/>
  <c r="W278" i="2"/>
  <c r="X276" i="2"/>
  <c r="U270" i="2"/>
  <c r="W270" i="2" s="1"/>
  <c r="J260" i="2"/>
  <c r="W254" i="2"/>
  <c r="X251" i="2"/>
  <c r="U249" i="2"/>
  <c r="X249" i="2" s="1"/>
  <c r="J244" i="2"/>
  <c r="W281" i="2"/>
  <c r="X275" i="2"/>
  <c r="X271" i="2"/>
  <c r="X268" i="2"/>
  <c r="W267" i="2"/>
  <c r="X266" i="2"/>
  <c r="X263" i="2"/>
  <c r="U261" i="2"/>
  <c r="W257" i="2"/>
  <c r="X257" i="2"/>
  <c r="J256" i="2"/>
  <c r="X252" i="2"/>
  <c r="X250" i="2"/>
  <c r="X247" i="2"/>
  <c r="U245" i="2"/>
  <c r="W245" i="2" s="1"/>
  <c r="W241" i="2"/>
  <c r="X241" i="2"/>
  <c r="J240" i="2"/>
  <c r="X278" i="2"/>
  <c r="X274" i="2"/>
  <c r="X270" i="2"/>
  <c r="U265" i="2"/>
  <c r="X265" i="2" s="1"/>
  <c r="Y262" i="2"/>
  <c r="W261" i="2"/>
  <c r="X261" i="2"/>
  <c r="W269" i="2"/>
  <c r="X269" i="2"/>
  <c r="X264" i="2"/>
  <c r="X262" i="2"/>
  <c r="W253" i="2"/>
  <c r="X253" i="2"/>
  <c r="X248" i="2"/>
  <c r="X246" i="2"/>
  <c r="Y243" i="2"/>
  <c r="F280" i="1"/>
  <c r="E280" i="1"/>
  <c r="D280" i="1"/>
  <c r="C280" i="1"/>
  <c r="F279" i="1"/>
  <c r="E279" i="1"/>
  <c r="D279" i="1"/>
  <c r="C279" i="1"/>
  <c r="F278" i="1"/>
  <c r="E278" i="1"/>
  <c r="D278" i="1"/>
  <c r="C278" i="1"/>
  <c r="F277" i="1"/>
  <c r="E277" i="1"/>
  <c r="D277" i="1"/>
  <c r="C277" i="1"/>
  <c r="F276" i="1"/>
  <c r="E276" i="1"/>
  <c r="D276" i="1"/>
  <c r="C276" i="1"/>
  <c r="F275" i="1"/>
  <c r="E275" i="1"/>
  <c r="D275" i="1"/>
  <c r="C275" i="1"/>
  <c r="F274" i="1"/>
  <c r="E274" i="1"/>
  <c r="D274" i="1"/>
  <c r="C274" i="1"/>
  <c r="F273" i="1"/>
  <c r="E273" i="1"/>
  <c r="D273" i="1"/>
  <c r="C273" i="1"/>
  <c r="F272" i="1"/>
  <c r="E272" i="1"/>
  <c r="D272" i="1"/>
  <c r="C272" i="1"/>
  <c r="F271" i="1"/>
  <c r="E271" i="1"/>
  <c r="D271" i="1"/>
  <c r="C271" i="1"/>
  <c r="F270" i="1"/>
  <c r="E270" i="1"/>
  <c r="D270" i="1"/>
  <c r="C270" i="1"/>
  <c r="F269" i="1"/>
  <c r="E269" i="1"/>
  <c r="D269" i="1"/>
  <c r="C269" i="1"/>
  <c r="F268" i="1"/>
  <c r="E268" i="1"/>
  <c r="D268" i="1"/>
  <c r="C268" i="1"/>
  <c r="C260" i="1"/>
  <c r="D259" i="1"/>
  <c r="F255" i="1"/>
  <c r="E255" i="1"/>
  <c r="D255" i="1"/>
  <c r="C255" i="1"/>
  <c r="E254" i="1"/>
  <c r="F251" i="1"/>
  <c r="F252" i="1"/>
  <c r="E252" i="1"/>
  <c r="D252" i="1"/>
  <c r="C252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37" i="1"/>
  <c r="A238" i="1"/>
  <c r="A238" i="2" s="1"/>
  <c r="A239" i="1"/>
  <c r="A240" i="1"/>
  <c r="A241" i="1"/>
  <c r="A242" i="1"/>
  <c r="A243" i="1"/>
  <c r="A244" i="1"/>
  <c r="A245" i="1"/>
  <c r="A246" i="1"/>
  <c r="A247" i="1"/>
  <c r="A250" i="1"/>
  <c r="A251" i="1"/>
  <c r="A253" i="1"/>
  <c r="A254" i="1"/>
  <c r="E202" i="3"/>
  <c r="C204" i="3"/>
  <c r="B205" i="3"/>
  <c r="A206" i="3"/>
  <c r="D207" i="3"/>
  <c r="B209" i="3"/>
  <c r="A210" i="3"/>
  <c r="D211" i="3"/>
  <c r="C212" i="3"/>
  <c r="A214" i="3"/>
  <c r="E214" i="3"/>
  <c r="D215" i="3"/>
  <c r="C216" i="3"/>
  <c r="B217" i="3"/>
  <c r="E218" i="3"/>
  <c r="C220" i="3"/>
  <c r="B221" i="3"/>
  <c r="A222" i="3"/>
  <c r="D223" i="3"/>
  <c r="B225" i="3"/>
  <c r="A226" i="3"/>
  <c r="D227" i="3"/>
  <c r="A230" i="3"/>
  <c r="A232" i="3"/>
  <c r="A233" i="3"/>
  <c r="E233" i="3"/>
  <c r="B236" i="3"/>
  <c r="C194" i="3"/>
  <c r="D197" i="3"/>
  <c r="B199" i="3"/>
  <c r="A237" i="2"/>
  <c r="B237" i="2"/>
  <c r="C237" i="2"/>
  <c r="D237" i="2"/>
  <c r="E237" i="2"/>
  <c r="F237" i="2"/>
  <c r="G237" i="2"/>
  <c r="R237" i="2" s="1"/>
  <c r="Y237" i="2" s="1"/>
  <c r="H237" i="2"/>
  <c r="S237" i="2" s="1"/>
  <c r="I237" i="2"/>
  <c r="T237" i="2" s="1"/>
  <c r="K237" i="2"/>
  <c r="U237" i="2" s="1"/>
  <c r="L237" i="2"/>
  <c r="M237" i="2"/>
  <c r="N237" i="2"/>
  <c r="O237" i="2"/>
  <c r="P237" i="2"/>
  <c r="B238" i="2"/>
  <c r="C238" i="2"/>
  <c r="D238" i="2"/>
  <c r="E238" i="2"/>
  <c r="F238" i="2"/>
  <c r="G238" i="2"/>
  <c r="R238" i="2" s="1"/>
  <c r="H238" i="2"/>
  <c r="S238" i="2" s="1"/>
  <c r="I238" i="2"/>
  <c r="T238" i="2" s="1"/>
  <c r="K238" i="2"/>
  <c r="U238" i="2" s="1"/>
  <c r="L238" i="2"/>
  <c r="M238" i="2"/>
  <c r="N238" i="2"/>
  <c r="O238" i="2"/>
  <c r="P238" i="2"/>
  <c r="A225" i="2"/>
  <c r="A225" i="3" s="1"/>
  <c r="B225" i="2"/>
  <c r="C225" i="2"/>
  <c r="D225" i="2"/>
  <c r="E225" i="2"/>
  <c r="F225" i="2"/>
  <c r="G225" i="2"/>
  <c r="R225" i="2" s="1"/>
  <c r="H225" i="2"/>
  <c r="S225" i="2" s="1"/>
  <c r="I225" i="2"/>
  <c r="T225" i="2" s="1"/>
  <c r="D225" i="3" s="1"/>
  <c r="K225" i="2"/>
  <c r="J225" i="2" s="1"/>
  <c r="L225" i="2"/>
  <c r="M225" i="2"/>
  <c r="N225" i="2"/>
  <c r="O225" i="2"/>
  <c r="P225" i="2"/>
  <c r="U225" i="2"/>
  <c r="A226" i="2"/>
  <c r="B226" i="2"/>
  <c r="B226" i="3" s="1"/>
  <c r="C226" i="2"/>
  <c r="D226" i="2"/>
  <c r="E226" i="2"/>
  <c r="F226" i="2"/>
  <c r="G226" i="2"/>
  <c r="H226" i="2"/>
  <c r="S226" i="2" s="1"/>
  <c r="I226" i="2"/>
  <c r="T226" i="2" s="1"/>
  <c r="D226" i="3" s="1"/>
  <c r="K226" i="2"/>
  <c r="J226" i="2" s="1"/>
  <c r="C226" i="3" s="1"/>
  <c r="L226" i="2"/>
  <c r="M226" i="2"/>
  <c r="N226" i="2"/>
  <c r="O226" i="2"/>
  <c r="P226" i="2"/>
  <c r="R226" i="2"/>
  <c r="Y226" i="2" s="1"/>
  <c r="A227" i="2"/>
  <c r="A227" i="3" s="1"/>
  <c r="B227" i="2"/>
  <c r="B227" i="3" s="1"/>
  <c r="C227" i="2"/>
  <c r="D227" i="2"/>
  <c r="E227" i="2"/>
  <c r="F227" i="2"/>
  <c r="G227" i="2"/>
  <c r="H227" i="2"/>
  <c r="S227" i="2" s="1"/>
  <c r="I227" i="2"/>
  <c r="T227" i="2" s="1"/>
  <c r="K227" i="2"/>
  <c r="L227" i="2"/>
  <c r="M227" i="2"/>
  <c r="N227" i="2"/>
  <c r="O227" i="2"/>
  <c r="P227" i="2"/>
  <c r="R227" i="2"/>
  <c r="Y227" i="2" s="1"/>
  <c r="A228" i="2"/>
  <c r="A228" i="3" s="1"/>
  <c r="B228" i="2"/>
  <c r="B228" i="3" s="1"/>
  <c r="C228" i="2"/>
  <c r="D228" i="2"/>
  <c r="E228" i="2"/>
  <c r="F228" i="2"/>
  <c r="G228" i="2"/>
  <c r="R228" i="2" s="1"/>
  <c r="Y228" i="2" s="1"/>
  <c r="H228" i="2"/>
  <c r="I228" i="2"/>
  <c r="K228" i="2"/>
  <c r="U228" i="2" s="1"/>
  <c r="E228" i="3" s="1"/>
  <c r="L228" i="2"/>
  <c r="M228" i="2"/>
  <c r="N228" i="2"/>
  <c r="O228" i="2"/>
  <c r="P228" i="2"/>
  <c r="S228" i="2"/>
  <c r="T228" i="2"/>
  <c r="D228" i="3" s="1"/>
  <c r="A229" i="2"/>
  <c r="A229" i="3" s="1"/>
  <c r="B229" i="2"/>
  <c r="B229" i="3" s="1"/>
  <c r="C229" i="2"/>
  <c r="D229" i="2"/>
  <c r="E229" i="2"/>
  <c r="F229" i="2"/>
  <c r="G229" i="2"/>
  <c r="R229" i="2" s="1"/>
  <c r="Y229" i="2" s="1"/>
  <c r="H229" i="2"/>
  <c r="S229" i="2" s="1"/>
  <c r="I229" i="2"/>
  <c r="K229" i="2"/>
  <c r="L229" i="2"/>
  <c r="M229" i="2"/>
  <c r="N229" i="2"/>
  <c r="O229" i="2"/>
  <c r="P229" i="2"/>
  <c r="T229" i="2"/>
  <c r="D229" i="3" s="1"/>
  <c r="A230" i="2"/>
  <c r="B230" i="2"/>
  <c r="B230" i="3" s="1"/>
  <c r="C230" i="2"/>
  <c r="D230" i="2"/>
  <c r="E230" i="2"/>
  <c r="F230" i="2"/>
  <c r="G230" i="2"/>
  <c r="H230" i="2"/>
  <c r="I230" i="2"/>
  <c r="J230" i="2"/>
  <c r="K230" i="2"/>
  <c r="L230" i="2"/>
  <c r="M230" i="2"/>
  <c r="N230" i="2"/>
  <c r="O230" i="2"/>
  <c r="P230" i="2"/>
  <c r="A231" i="2"/>
  <c r="A231" i="3" s="1"/>
  <c r="B231" i="2"/>
  <c r="B231" i="3" s="1"/>
  <c r="C231" i="2"/>
  <c r="D231" i="2"/>
  <c r="E231" i="2"/>
  <c r="F231" i="2"/>
  <c r="G231" i="2"/>
  <c r="H231" i="2"/>
  <c r="I231" i="2"/>
  <c r="J231" i="2"/>
  <c r="K231" i="2"/>
  <c r="L231" i="2"/>
  <c r="M231" i="2"/>
  <c r="N231" i="2"/>
  <c r="O231" i="2"/>
  <c r="P231" i="2"/>
  <c r="A232" i="2"/>
  <c r="B232" i="2"/>
  <c r="B232" i="3" s="1"/>
  <c r="C232" i="2"/>
  <c r="D232" i="2"/>
  <c r="E232" i="2"/>
  <c r="F232" i="2"/>
  <c r="G232" i="2"/>
  <c r="R232" i="2" s="1"/>
  <c r="H232" i="2"/>
  <c r="I232" i="2"/>
  <c r="T232" i="2" s="1"/>
  <c r="D232" i="3" s="1"/>
  <c r="K232" i="2"/>
  <c r="L232" i="2"/>
  <c r="M232" i="2"/>
  <c r="N232" i="2"/>
  <c r="O232" i="2"/>
  <c r="P232" i="2"/>
  <c r="S232" i="2"/>
  <c r="A233" i="2"/>
  <c r="B233" i="2"/>
  <c r="B233" i="3" s="1"/>
  <c r="C233" i="2"/>
  <c r="D233" i="2"/>
  <c r="E233" i="2"/>
  <c r="F233" i="2"/>
  <c r="G233" i="2"/>
  <c r="R233" i="2" s="1"/>
  <c r="Y233" i="2" s="1"/>
  <c r="H233" i="2"/>
  <c r="S233" i="2" s="1"/>
  <c r="I233" i="2"/>
  <c r="T233" i="2" s="1"/>
  <c r="D233" i="3" s="1"/>
  <c r="J233" i="2"/>
  <c r="K233" i="2"/>
  <c r="L233" i="2"/>
  <c r="M233" i="2"/>
  <c r="N233" i="2"/>
  <c r="O233" i="2"/>
  <c r="P233" i="2"/>
  <c r="U233" i="2"/>
  <c r="A234" i="2"/>
  <c r="A234" i="3" s="1"/>
  <c r="B234" i="2"/>
  <c r="B234" i="3" s="1"/>
  <c r="C234" i="2"/>
  <c r="D234" i="2"/>
  <c r="E234" i="2"/>
  <c r="F234" i="2"/>
  <c r="G234" i="2"/>
  <c r="H234" i="2"/>
  <c r="S234" i="2" s="1"/>
  <c r="I234" i="2"/>
  <c r="T234" i="2" s="1"/>
  <c r="D234" i="3" s="1"/>
  <c r="K234" i="2"/>
  <c r="J234" i="2" s="1"/>
  <c r="C234" i="3" s="1"/>
  <c r="L234" i="2"/>
  <c r="M234" i="2"/>
  <c r="N234" i="2"/>
  <c r="O234" i="2"/>
  <c r="P234" i="2"/>
  <c r="R234" i="2"/>
  <c r="A235" i="2"/>
  <c r="A235" i="3" s="1"/>
  <c r="B235" i="2"/>
  <c r="B235" i="3" s="1"/>
  <c r="C235" i="2"/>
  <c r="D235" i="2"/>
  <c r="E235" i="2"/>
  <c r="F235" i="2"/>
  <c r="G235" i="2"/>
  <c r="H235" i="2"/>
  <c r="S235" i="2" s="1"/>
  <c r="I235" i="2"/>
  <c r="T235" i="2" s="1"/>
  <c r="D235" i="3" s="1"/>
  <c r="K235" i="2"/>
  <c r="J235" i="2" s="1"/>
  <c r="L235" i="2"/>
  <c r="M235" i="2"/>
  <c r="N235" i="2"/>
  <c r="O235" i="2"/>
  <c r="P235" i="2"/>
  <c r="R235" i="2"/>
  <c r="Y235" i="2" s="1"/>
  <c r="U235" i="2"/>
  <c r="E235" i="3" s="1"/>
  <c r="A236" i="2"/>
  <c r="A236" i="3" s="1"/>
  <c r="B236" i="2"/>
  <c r="C236" i="2"/>
  <c r="D236" i="2"/>
  <c r="E236" i="2"/>
  <c r="F236" i="2"/>
  <c r="G236" i="2"/>
  <c r="R236" i="2" s="1"/>
  <c r="H236" i="2"/>
  <c r="I236" i="2"/>
  <c r="T236" i="2" s="1"/>
  <c r="D236" i="3" s="1"/>
  <c r="K236" i="2"/>
  <c r="U236" i="2" s="1"/>
  <c r="E236" i="3" s="1"/>
  <c r="L236" i="2"/>
  <c r="M236" i="2"/>
  <c r="N236" i="2"/>
  <c r="O236" i="2"/>
  <c r="P236" i="2"/>
  <c r="S236" i="2"/>
  <c r="A203" i="2"/>
  <c r="A203" i="3" s="1"/>
  <c r="B203" i="2"/>
  <c r="B203" i="3" s="1"/>
  <c r="C203" i="2"/>
  <c r="D203" i="2"/>
  <c r="E203" i="2"/>
  <c r="F203" i="2"/>
  <c r="G203" i="2"/>
  <c r="H203" i="2"/>
  <c r="S203" i="2" s="1"/>
  <c r="I203" i="2"/>
  <c r="T203" i="2" s="1"/>
  <c r="D203" i="3" s="1"/>
  <c r="K203" i="2"/>
  <c r="J203" i="2" s="1"/>
  <c r="L203" i="2"/>
  <c r="M203" i="2"/>
  <c r="N203" i="2"/>
  <c r="O203" i="2"/>
  <c r="P203" i="2"/>
  <c r="R203" i="2"/>
  <c r="Y203" i="2" s="1"/>
  <c r="U203" i="2"/>
  <c r="E203" i="3" s="1"/>
  <c r="A204" i="2"/>
  <c r="A204" i="3" s="1"/>
  <c r="B204" i="2"/>
  <c r="B204" i="3" s="1"/>
  <c r="C204" i="2"/>
  <c r="D204" i="2"/>
  <c r="E204" i="2"/>
  <c r="F204" i="2"/>
  <c r="G204" i="2"/>
  <c r="R204" i="2" s="1"/>
  <c r="Y204" i="2" s="1"/>
  <c r="H204" i="2"/>
  <c r="I204" i="2"/>
  <c r="K204" i="2"/>
  <c r="J204" i="2" s="1"/>
  <c r="L204" i="2"/>
  <c r="M204" i="2"/>
  <c r="N204" i="2"/>
  <c r="O204" i="2"/>
  <c r="P204" i="2"/>
  <c r="S204" i="2"/>
  <c r="T204" i="2"/>
  <c r="D204" i="3" s="1"/>
  <c r="A205" i="2"/>
  <c r="A205" i="3" s="1"/>
  <c r="B205" i="2"/>
  <c r="C205" i="2"/>
  <c r="D205" i="2"/>
  <c r="E205" i="2"/>
  <c r="F205" i="2"/>
  <c r="G205" i="2"/>
  <c r="R205" i="2" s="1"/>
  <c r="Y205" i="2" s="1"/>
  <c r="H205" i="2"/>
  <c r="S205" i="2" s="1"/>
  <c r="I205" i="2"/>
  <c r="K205" i="2"/>
  <c r="J205" i="2" s="1"/>
  <c r="L205" i="2"/>
  <c r="M205" i="2"/>
  <c r="N205" i="2"/>
  <c r="O205" i="2"/>
  <c r="P205" i="2"/>
  <c r="T205" i="2"/>
  <c r="D205" i="3" s="1"/>
  <c r="A206" i="2"/>
  <c r="B206" i="2"/>
  <c r="B206" i="3" s="1"/>
  <c r="C206" i="2"/>
  <c r="D206" i="2"/>
  <c r="E206" i="2"/>
  <c r="F206" i="2"/>
  <c r="G206" i="2"/>
  <c r="H206" i="2"/>
  <c r="S206" i="2" s="1"/>
  <c r="I206" i="2"/>
  <c r="T206" i="2" s="1"/>
  <c r="D206" i="3" s="1"/>
  <c r="K206" i="2"/>
  <c r="U206" i="2" s="1"/>
  <c r="E206" i="3" s="1"/>
  <c r="L206" i="2"/>
  <c r="M206" i="2"/>
  <c r="N206" i="2"/>
  <c r="O206" i="2"/>
  <c r="P206" i="2"/>
  <c r="R206" i="2"/>
  <c r="Y206" i="2" s="1"/>
  <c r="A207" i="2"/>
  <c r="A207" i="3" s="1"/>
  <c r="B207" i="2"/>
  <c r="B207" i="3" s="1"/>
  <c r="C207" i="2"/>
  <c r="D207" i="2"/>
  <c r="E207" i="2"/>
  <c r="F207" i="2"/>
  <c r="G207" i="2"/>
  <c r="H207" i="2"/>
  <c r="I207" i="2"/>
  <c r="T207" i="2" s="1"/>
  <c r="J207" i="2"/>
  <c r="K207" i="2"/>
  <c r="L207" i="2"/>
  <c r="M207" i="2"/>
  <c r="N207" i="2"/>
  <c r="O207" i="2"/>
  <c r="P207" i="2"/>
  <c r="R207" i="2"/>
  <c r="Y207" i="2" s="1"/>
  <c r="S207" i="2"/>
  <c r="U207" i="2"/>
  <c r="E207" i="3" s="1"/>
  <c r="A208" i="2"/>
  <c r="A208" i="3" s="1"/>
  <c r="B208" i="2"/>
  <c r="B208" i="3" s="1"/>
  <c r="C208" i="2"/>
  <c r="D208" i="2"/>
  <c r="E208" i="2"/>
  <c r="F208" i="2"/>
  <c r="G208" i="2"/>
  <c r="R208" i="2" s="1"/>
  <c r="H208" i="2"/>
  <c r="I208" i="2"/>
  <c r="K208" i="2"/>
  <c r="J208" i="2" s="1"/>
  <c r="C208" i="3" s="1"/>
  <c r="L208" i="2"/>
  <c r="M208" i="2"/>
  <c r="N208" i="2"/>
  <c r="O208" i="2"/>
  <c r="P208" i="2"/>
  <c r="S208" i="2"/>
  <c r="T208" i="2"/>
  <c r="D208" i="3" s="1"/>
  <c r="A209" i="2"/>
  <c r="A209" i="3" s="1"/>
  <c r="B209" i="2"/>
  <c r="C209" i="2"/>
  <c r="D209" i="2"/>
  <c r="E209" i="2"/>
  <c r="F209" i="2"/>
  <c r="G209" i="2"/>
  <c r="R209" i="2" s="1"/>
  <c r="Y209" i="2" s="1"/>
  <c r="H209" i="2"/>
  <c r="S209" i="2" s="1"/>
  <c r="I209" i="2"/>
  <c r="K209" i="2"/>
  <c r="J209" i="2" s="1"/>
  <c r="L209" i="2"/>
  <c r="M209" i="2"/>
  <c r="N209" i="2"/>
  <c r="O209" i="2"/>
  <c r="P209" i="2"/>
  <c r="T209" i="2"/>
  <c r="D209" i="3" s="1"/>
  <c r="A210" i="2"/>
  <c r="B210" i="2"/>
  <c r="B210" i="3" s="1"/>
  <c r="C210" i="2"/>
  <c r="D210" i="2"/>
  <c r="E210" i="2"/>
  <c r="F210" i="2"/>
  <c r="G210" i="2"/>
  <c r="R210" i="2" s="1"/>
  <c r="Y210" i="2" s="1"/>
  <c r="H210" i="2"/>
  <c r="S210" i="2" s="1"/>
  <c r="I210" i="2"/>
  <c r="T210" i="2" s="1"/>
  <c r="D210" i="3" s="1"/>
  <c r="K210" i="2"/>
  <c r="L210" i="2"/>
  <c r="M210" i="2"/>
  <c r="N210" i="2"/>
  <c r="O210" i="2"/>
  <c r="P210" i="2"/>
  <c r="A211" i="2"/>
  <c r="A211" i="3" s="1"/>
  <c r="B211" i="2"/>
  <c r="B211" i="3" s="1"/>
  <c r="C211" i="2"/>
  <c r="D211" i="2"/>
  <c r="E211" i="2"/>
  <c r="F211" i="2"/>
  <c r="G211" i="2"/>
  <c r="R211" i="2" s="1"/>
  <c r="Y211" i="2" s="1"/>
  <c r="H211" i="2"/>
  <c r="I211" i="2"/>
  <c r="T211" i="2" s="1"/>
  <c r="K211" i="2"/>
  <c r="J211" i="2" s="1"/>
  <c r="L211" i="2"/>
  <c r="M211" i="2"/>
  <c r="N211" i="2"/>
  <c r="O211" i="2"/>
  <c r="P211" i="2"/>
  <c r="S211" i="2"/>
  <c r="U211" i="2"/>
  <c r="E211" i="3" s="1"/>
  <c r="A212" i="2"/>
  <c r="A212" i="3" s="1"/>
  <c r="B212" i="2"/>
  <c r="B212" i="3" s="1"/>
  <c r="C212" i="2"/>
  <c r="D212" i="2"/>
  <c r="E212" i="2"/>
  <c r="F212" i="2"/>
  <c r="G212" i="2"/>
  <c r="R212" i="2" s="1"/>
  <c r="Y212" i="2" s="1"/>
  <c r="H212" i="2"/>
  <c r="I212" i="2"/>
  <c r="K212" i="2"/>
  <c r="J212" i="2" s="1"/>
  <c r="L212" i="2"/>
  <c r="M212" i="2"/>
  <c r="N212" i="2"/>
  <c r="O212" i="2"/>
  <c r="P212" i="2"/>
  <c r="S212" i="2"/>
  <c r="T212" i="2"/>
  <c r="D212" i="3" s="1"/>
  <c r="A213" i="2"/>
  <c r="A213" i="3" s="1"/>
  <c r="B213" i="2"/>
  <c r="B213" i="3" s="1"/>
  <c r="C213" i="2"/>
  <c r="D213" i="2"/>
  <c r="E213" i="2"/>
  <c r="F213" i="2"/>
  <c r="G213" i="2"/>
  <c r="R213" i="2" s="1"/>
  <c r="H213" i="2"/>
  <c r="S213" i="2" s="1"/>
  <c r="I213" i="2"/>
  <c r="J213" i="2"/>
  <c r="K213" i="2"/>
  <c r="L213" i="2"/>
  <c r="M213" i="2"/>
  <c r="N213" i="2"/>
  <c r="O213" i="2"/>
  <c r="P213" i="2"/>
  <c r="T213" i="2"/>
  <c r="D213" i="3" s="1"/>
  <c r="U213" i="2"/>
  <c r="A214" i="2"/>
  <c r="B214" i="2"/>
  <c r="B214" i="3" s="1"/>
  <c r="C214" i="2"/>
  <c r="D214" i="2"/>
  <c r="E214" i="2"/>
  <c r="F214" i="2"/>
  <c r="G214" i="2"/>
  <c r="H214" i="2"/>
  <c r="S214" i="2" s="1"/>
  <c r="I214" i="2"/>
  <c r="T214" i="2" s="1"/>
  <c r="D214" i="3" s="1"/>
  <c r="K214" i="2"/>
  <c r="U214" i="2" s="1"/>
  <c r="L214" i="2"/>
  <c r="M214" i="2"/>
  <c r="N214" i="2"/>
  <c r="O214" i="2"/>
  <c r="P214" i="2"/>
  <c r="R214" i="2"/>
  <c r="Y214" i="2" s="1"/>
  <c r="A215" i="2"/>
  <c r="A215" i="3" s="1"/>
  <c r="B215" i="2"/>
  <c r="B215" i="3" s="1"/>
  <c r="C215" i="2"/>
  <c r="D215" i="2"/>
  <c r="E215" i="2"/>
  <c r="F215" i="2"/>
  <c r="G215" i="2"/>
  <c r="R215" i="2" s="1"/>
  <c r="Y215" i="2" s="1"/>
  <c r="H215" i="2"/>
  <c r="S215" i="2" s="1"/>
  <c r="I215" i="2"/>
  <c r="T215" i="2" s="1"/>
  <c r="J215" i="2"/>
  <c r="W215" i="2" s="1"/>
  <c r="K215" i="2"/>
  <c r="L215" i="2"/>
  <c r="M215" i="2"/>
  <c r="N215" i="2"/>
  <c r="O215" i="2"/>
  <c r="P215" i="2"/>
  <c r="U215" i="2"/>
  <c r="E215" i="3" s="1"/>
  <c r="X215" i="2"/>
  <c r="A216" i="2"/>
  <c r="A216" i="3" s="1"/>
  <c r="B216" i="2"/>
  <c r="B216" i="3" s="1"/>
  <c r="C216" i="2"/>
  <c r="D216" i="2"/>
  <c r="E216" i="2"/>
  <c r="F216" i="2"/>
  <c r="G216" i="2"/>
  <c r="R216" i="2" s="1"/>
  <c r="Y216" i="2" s="1"/>
  <c r="H216" i="2"/>
  <c r="I216" i="2"/>
  <c r="K216" i="2"/>
  <c r="J216" i="2" s="1"/>
  <c r="L216" i="2"/>
  <c r="M216" i="2"/>
  <c r="N216" i="2"/>
  <c r="O216" i="2"/>
  <c r="P216" i="2"/>
  <c r="S216" i="2"/>
  <c r="T216" i="2"/>
  <c r="D216" i="3" s="1"/>
  <c r="A217" i="2"/>
  <c r="A217" i="3" s="1"/>
  <c r="B217" i="2"/>
  <c r="C217" i="2"/>
  <c r="D217" i="2"/>
  <c r="E217" i="2"/>
  <c r="F217" i="2"/>
  <c r="G217" i="2"/>
  <c r="R217" i="2" s="1"/>
  <c r="Y217" i="2" s="1"/>
  <c r="H217" i="2"/>
  <c r="S217" i="2" s="1"/>
  <c r="I217" i="2"/>
  <c r="K217" i="2"/>
  <c r="L217" i="2"/>
  <c r="M217" i="2"/>
  <c r="N217" i="2"/>
  <c r="O217" i="2"/>
  <c r="P217" i="2"/>
  <c r="T217" i="2"/>
  <c r="D217" i="3" s="1"/>
  <c r="A218" i="2"/>
  <c r="A218" i="3" s="1"/>
  <c r="B218" i="2"/>
  <c r="B218" i="3" s="1"/>
  <c r="C218" i="2"/>
  <c r="D218" i="2"/>
  <c r="E218" i="2"/>
  <c r="F218" i="2"/>
  <c r="G218" i="2"/>
  <c r="R218" i="2" s="1"/>
  <c r="Y218" i="2" s="1"/>
  <c r="H218" i="2"/>
  <c r="S218" i="2" s="1"/>
  <c r="I218" i="2"/>
  <c r="T218" i="2" s="1"/>
  <c r="D218" i="3" s="1"/>
  <c r="K218" i="2"/>
  <c r="U218" i="2" s="1"/>
  <c r="L218" i="2"/>
  <c r="M218" i="2"/>
  <c r="N218" i="2"/>
  <c r="O218" i="2"/>
  <c r="P218" i="2"/>
  <c r="A219" i="2"/>
  <c r="A219" i="3" s="1"/>
  <c r="B219" i="2"/>
  <c r="B219" i="3" s="1"/>
  <c r="C219" i="2"/>
  <c r="D219" i="2"/>
  <c r="E219" i="2"/>
  <c r="F219" i="2"/>
  <c r="G219" i="2"/>
  <c r="H219" i="2"/>
  <c r="S219" i="2" s="1"/>
  <c r="I219" i="2"/>
  <c r="T219" i="2" s="1"/>
  <c r="D219" i="3" s="1"/>
  <c r="K219" i="2"/>
  <c r="J219" i="2" s="1"/>
  <c r="L219" i="2"/>
  <c r="M219" i="2"/>
  <c r="N219" i="2"/>
  <c r="O219" i="2"/>
  <c r="P219" i="2"/>
  <c r="R219" i="2"/>
  <c r="Y219" i="2" s="1"/>
  <c r="U219" i="2"/>
  <c r="E219" i="3" s="1"/>
  <c r="A220" i="2"/>
  <c r="A220" i="3" s="1"/>
  <c r="B220" i="2"/>
  <c r="B220" i="3" s="1"/>
  <c r="C220" i="2"/>
  <c r="D220" i="2"/>
  <c r="E220" i="2"/>
  <c r="F220" i="2"/>
  <c r="G220" i="2"/>
  <c r="R220" i="2" s="1"/>
  <c r="Y220" i="2" s="1"/>
  <c r="H220" i="2"/>
  <c r="I220" i="2"/>
  <c r="K220" i="2"/>
  <c r="J220" i="2" s="1"/>
  <c r="L220" i="2"/>
  <c r="M220" i="2"/>
  <c r="N220" i="2"/>
  <c r="O220" i="2"/>
  <c r="P220" i="2"/>
  <c r="S220" i="2"/>
  <c r="T220" i="2"/>
  <c r="D220" i="3" s="1"/>
  <c r="A221" i="2"/>
  <c r="A221" i="3" s="1"/>
  <c r="B221" i="2"/>
  <c r="C221" i="2"/>
  <c r="D221" i="2"/>
  <c r="E221" i="2"/>
  <c r="F221" i="2"/>
  <c r="G221" i="2"/>
  <c r="R221" i="2" s="1"/>
  <c r="H221" i="2"/>
  <c r="S221" i="2" s="1"/>
  <c r="I221" i="2"/>
  <c r="J221" i="2"/>
  <c r="K221" i="2"/>
  <c r="L221" i="2"/>
  <c r="M221" i="2"/>
  <c r="N221" i="2"/>
  <c r="O221" i="2"/>
  <c r="P221" i="2"/>
  <c r="T221" i="2"/>
  <c r="D221" i="3" s="1"/>
  <c r="U221" i="2"/>
  <c r="X221" i="2" s="1"/>
  <c r="A222" i="2"/>
  <c r="B222" i="2"/>
  <c r="B222" i="3" s="1"/>
  <c r="C222" i="2"/>
  <c r="D222" i="2"/>
  <c r="E222" i="2"/>
  <c r="F222" i="2"/>
  <c r="G222" i="2"/>
  <c r="H222" i="2"/>
  <c r="S222" i="2" s="1"/>
  <c r="I222" i="2"/>
  <c r="T222" i="2" s="1"/>
  <c r="D222" i="3" s="1"/>
  <c r="K222" i="2"/>
  <c r="U222" i="2" s="1"/>
  <c r="E222" i="3" s="1"/>
  <c r="L222" i="2"/>
  <c r="M222" i="2"/>
  <c r="N222" i="2"/>
  <c r="O222" i="2"/>
  <c r="P222" i="2"/>
  <c r="R222" i="2"/>
  <c r="Y222" i="2" s="1"/>
  <c r="A223" i="2"/>
  <c r="A223" i="3" s="1"/>
  <c r="B223" i="2"/>
  <c r="B223" i="3" s="1"/>
  <c r="C223" i="2"/>
  <c r="D223" i="2"/>
  <c r="E223" i="2"/>
  <c r="F223" i="2"/>
  <c r="G223" i="2"/>
  <c r="H223" i="2"/>
  <c r="I223" i="2"/>
  <c r="T223" i="2" s="1"/>
  <c r="J223" i="2"/>
  <c r="K223" i="2"/>
  <c r="L223" i="2"/>
  <c r="M223" i="2"/>
  <c r="N223" i="2"/>
  <c r="O223" i="2"/>
  <c r="P223" i="2"/>
  <c r="R223" i="2"/>
  <c r="S223" i="2"/>
  <c r="U223" i="2"/>
  <c r="E223" i="3" s="1"/>
  <c r="A224" i="2"/>
  <c r="A224" i="3" s="1"/>
  <c r="B224" i="2"/>
  <c r="B224" i="3" s="1"/>
  <c r="C224" i="2"/>
  <c r="D224" i="2"/>
  <c r="E224" i="2"/>
  <c r="F224" i="2"/>
  <c r="G224" i="2"/>
  <c r="R224" i="2" s="1"/>
  <c r="Y224" i="2" s="1"/>
  <c r="H224" i="2"/>
  <c r="I224" i="2"/>
  <c r="K224" i="2"/>
  <c r="J224" i="2" s="1"/>
  <c r="C224" i="3" s="1"/>
  <c r="L224" i="2"/>
  <c r="M224" i="2"/>
  <c r="N224" i="2"/>
  <c r="O224" i="2"/>
  <c r="P224" i="2"/>
  <c r="S224" i="2"/>
  <c r="T224" i="2"/>
  <c r="D224" i="3" s="1"/>
  <c r="A190" i="2"/>
  <c r="A190" i="3" s="1"/>
  <c r="B190" i="2"/>
  <c r="B190" i="3" s="1"/>
  <c r="C190" i="2"/>
  <c r="D190" i="2"/>
  <c r="E190" i="2"/>
  <c r="F190" i="2"/>
  <c r="G190" i="2"/>
  <c r="H190" i="2"/>
  <c r="S190" i="2" s="1"/>
  <c r="I190" i="2"/>
  <c r="T190" i="2" s="1"/>
  <c r="D190" i="3" s="1"/>
  <c r="K190" i="2"/>
  <c r="L190" i="2"/>
  <c r="M190" i="2"/>
  <c r="N190" i="2"/>
  <c r="O190" i="2"/>
  <c r="P190" i="2"/>
  <c r="R190" i="2"/>
  <c r="Y190" i="2" s="1"/>
  <c r="A191" i="2"/>
  <c r="A191" i="3" s="1"/>
  <c r="B191" i="2"/>
  <c r="B191" i="3" s="1"/>
  <c r="C191" i="2"/>
  <c r="D191" i="2"/>
  <c r="E191" i="2"/>
  <c r="F191" i="2"/>
  <c r="G191" i="2"/>
  <c r="R191" i="2" s="1"/>
  <c r="Y191" i="2" s="1"/>
  <c r="H191" i="2"/>
  <c r="I191" i="2"/>
  <c r="K191" i="2"/>
  <c r="U191" i="2" s="1"/>
  <c r="E191" i="3" s="1"/>
  <c r="L191" i="2"/>
  <c r="M191" i="2"/>
  <c r="N191" i="2"/>
  <c r="O191" i="2"/>
  <c r="P191" i="2"/>
  <c r="S191" i="2"/>
  <c r="T191" i="2"/>
  <c r="D191" i="3" s="1"/>
  <c r="A192" i="2"/>
  <c r="A192" i="3" s="1"/>
  <c r="B192" i="2"/>
  <c r="B192" i="3" s="1"/>
  <c r="C192" i="2"/>
  <c r="D192" i="2"/>
  <c r="E192" i="2"/>
  <c r="F192" i="2"/>
  <c r="G192" i="2"/>
  <c r="R192" i="2" s="1"/>
  <c r="H192" i="2"/>
  <c r="S192" i="2" s="1"/>
  <c r="I192" i="2"/>
  <c r="T192" i="2" s="1"/>
  <c r="D192" i="3" s="1"/>
  <c r="K192" i="2"/>
  <c r="J192" i="2" s="1"/>
  <c r="C192" i="3" s="1"/>
  <c r="L192" i="2"/>
  <c r="M192" i="2"/>
  <c r="N192" i="2"/>
  <c r="O192" i="2"/>
  <c r="P192" i="2"/>
  <c r="U192" i="2"/>
  <c r="E192" i="3" s="1"/>
  <c r="A193" i="2"/>
  <c r="A193" i="3" s="1"/>
  <c r="B193" i="2"/>
  <c r="B193" i="3" s="1"/>
  <c r="C193" i="2"/>
  <c r="D193" i="2"/>
  <c r="E193" i="2"/>
  <c r="F193" i="2"/>
  <c r="G193" i="2"/>
  <c r="H193" i="2"/>
  <c r="S193" i="2" s="1"/>
  <c r="I193" i="2"/>
  <c r="T193" i="2" s="1"/>
  <c r="D193" i="3" s="1"/>
  <c r="K193" i="2"/>
  <c r="L193" i="2"/>
  <c r="M193" i="2"/>
  <c r="N193" i="2"/>
  <c r="O193" i="2"/>
  <c r="P193" i="2"/>
  <c r="R193" i="2"/>
  <c r="Y193" i="2" s="1"/>
  <c r="A194" i="2"/>
  <c r="A194" i="3" s="1"/>
  <c r="B194" i="2"/>
  <c r="B194" i="3" s="1"/>
  <c r="C194" i="2"/>
  <c r="D194" i="2"/>
  <c r="E194" i="2"/>
  <c r="F194" i="2"/>
  <c r="G194" i="2"/>
  <c r="H194" i="2"/>
  <c r="I194" i="2"/>
  <c r="T194" i="2" s="1"/>
  <c r="D194" i="3" s="1"/>
  <c r="J194" i="2"/>
  <c r="W194" i="2" s="1"/>
  <c r="K194" i="2"/>
  <c r="U194" i="2" s="1"/>
  <c r="E194" i="3" s="1"/>
  <c r="L194" i="2"/>
  <c r="M194" i="2"/>
  <c r="N194" i="2"/>
  <c r="O194" i="2"/>
  <c r="P194" i="2"/>
  <c r="R194" i="2"/>
  <c r="Y194" i="2" s="1"/>
  <c r="S194" i="2"/>
  <c r="A195" i="2"/>
  <c r="A195" i="3" s="1"/>
  <c r="B195" i="2"/>
  <c r="B195" i="3" s="1"/>
  <c r="C195" i="2"/>
  <c r="D195" i="2"/>
  <c r="E195" i="2"/>
  <c r="F195" i="2"/>
  <c r="G195" i="2"/>
  <c r="R195" i="2" s="1"/>
  <c r="Y195" i="2" s="1"/>
  <c r="H195" i="2"/>
  <c r="I195" i="2"/>
  <c r="K195" i="2"/>
  <c r="U195" i="2" s="1"/>
  <c r="E195" i="3" s="1"/>
  <c r="L195" i="2"/>
  <c r="M195" i="2"/>
  <c r="N195" i="2"/>
  <c r="O195" i="2"/>
  <c r="P195" i="2"/>
  <c r="S195" i="2"/>
  <c r="T195" i="2"/>
  <c r="D195" i="3" s="1"/>
  <c r="A196" i="2"/>
  <c r="A196" i="3" s="1"/>
  <c r="B196" i="2"/>
  <c r="B196" i="3" s="1"/>
  <c r="C196" i="2"/>
  <c r="D196" i="2"/>
  <c r="E196" i="2"/>
  <c r="F196" i="2"/>
  <c r="G196" i="2"/>
  <c r="R196" i="2" s="1"/>
  <c r="Y196" i="2" s="1"/>
  <c r="H196" i="2"/>
  <c r="S196" i="2" s="1"/>
  <c r="I196" i="2"/>
  <c r="T196" i="2" s="1"/>
  <c r="D196" i="3" s="1"/>
  <c r="K196" i="2"/>
  <c r="J196" i="2" s="1"/>
  <c r="C196" i="3" s="1"/>
  <c r="L196" i="2"/>
  <c r="M196" i="2"/>
  <c r="N196" i="2"/>
  <c r="O196" i="2"/>
  <c r="P196" i="2"/>
  <c r="U196" i="2"/>
  <c r="E196" i="3" s="1"/>
  <c r="A197" i="2"/>
  <c r="A197" i="3" s="1"/>
  <c r="B197" i="2"/>
  <c r="B197" i="3" s="1"/>
  <c r="C197" i="2"/>
  <c r="D197" i="2"/>
  <c r="E197" i="2"/>
  <c r="F197" i="2"/>
  <c r="G197" i="2"/>
  <c r="H197" i="2"/>
  <c r="S197" i="2" s="1"/>
  <c r="I197" i="2"/>
  <c r="T197" i="2" s="1"/>
  <c r="J197" i="2"/>
  <c r="K197" i="2"/>
  <c r="L197" i="2"/>
  <c r="M197" i="2"/>
  <c r="N197" i="2"/>
  <c r="O197" i="2"/>
  <c r="P197" i="2"/>
  <c r="R197" i="2"/>
  <c r="Y197" i="2" s="1"/>
  <c r="U197" i="2"/>
  <c r="A198" i="2"/>
  <c r="A198" i="3" s="1"/>
  <c r="B198" i="2"/>
  <c r="B198" i="3" s="1"/>
  <c r="C198" i="2"/>
  <c r="D198" i="2"/>
  <c r="E198" i="2"/>
  <c r="F198" i="2"/>
  <c r="G198" i="2"/>
  <c r="R198" i="2" s="1"/>
  <c r="Y198" i="2" s="1"/>
  <c r="H198" i="2"/>
  <c r="I198" i="2"/>
  <c r="T198" i="2" s="1"/>
  <c r="D198" i="3" s="1"/>
  <c r="J198" i="2"/>
  <c r="W198" i="2" s="1"/>
  <c r="K198" i="2"/>
  <c r="U198" i="2" s="1"/>
  <c r="L198" i="2"/>
  <c r="M198" i="2"/>
  <c r="N198" i="2"/>
  <c r="O198" i="2"/>
  <c r="P198" i="2"/>
  <c r="S198" i="2"/>
  <c r="A199" i="2"/>
  <c r="A199" i="3" s="1"/>
  <c r="B199" i="2"/>
  <c r="C199" i="2"/>
  <c r="D199" i="2"/>
  <c r="E199" i="2"/>
  <c r="F199" i="2"/>
  <c r="G199" i="2"/>
  <c r="R199" i="2" s="1"/>
  <c r="Y199" i="2" s="1"/>
  <c r="H199" i="2"/>
  <c r="S199" i="2" s="1"/>
  <c r="I199" i="2"/>
  <c r="K199" i="2"/>
  <c r="U199" i="2" s="1"/>
  <c r="E199" i="3" s="1"/>
  <c r="L199" i="2"/>
  <c r="M199" i="2"/>
  <c r="N199" i="2"/>
  <c r="O199" i="2"/>
  <c r="P199" i="2"/>
  <c r="T199" i="2"/>
  <c r="D199" i="3" s="1"/>
  <c r="A200" i="2"/>
  <c r="A200" i="3" s="1"/>
  <c r="B200" i="2"/>
  <c r="B200" i="3" s="1"/>
  <c r="C200" i="2"/>
  <c r="D200" i="2"/>
  <c r="E200" i="2"/>
  <c r="F200" i="2"/>
  <c r="G200" i="2"/>
  <c r="R200" i="2" s="1"/>
  <c r="Y200" i="2" s="1"/>
  <c r="H200" i="2"/>
  <c r="S200" i="2" s="1"/>
  <c r="I200" i="2"/>
  <c r="K200" i="2"/>
  <c r="L200" i="2"/>
  <c r="M200" i="2"/>
  <c r="N200" i="2"/>
  <c r="O200" i="2"/>
  <c r="P200" i="2"/>
  <c r="T200" i="2"/>
  <c r="D200" i="3" s="1"/>
  <c r="A201" i="2"/>
  <c r="A201" i="3" s="1"/>
  <c r="B201" i="2"/>
  <c r="B201" i="3" s="1"/>
  <c r="C201" i="2"/>
  <c r="D201" i="2"/>
  <c r="E201" i="2"/>
  <c r="F201" i="2"/>
  <c r="G201" i="2"/>
  <c r="R201" i="2" s="1"/>
  <c r="Y201" i="2" s="1"/>
  <c r="H201" i="2"/>
  <c r="S201" i="2" s="1"/>
  <c r="I201" i="2"/>
  <c r="T201" i="2" s="1"/>
  <c r="D201" i="3" s="1"/>
  <c r="K201" i="2"/>
  <c r="J201" i="2" s="1"/>
  <c r="C201" i="3" s="1"/>
  <c r="L201" i="2"/>
  <c r="M201" i="2"/>
  <c r="N201" i="2"/>
  <c r="O201" i="2"/>
  <c r="P201" i="2"/>
  <c r="U201" i="2"/>
  <c r="E201" i="3" s="1"/>
  <c r="A202" i="2"/>
  <c r="A202" i="3" s="1"/>
  <c r="B202" i="2"/>
  <c r="B202" i="3" s="1"/>
  <c r="C202" i="2"/>
  <c r="D202" i="2"/>
  <c r="E202" i="2"/>
  <c r="F202" i="2"/>
  <c r="G202" i="2"/>
  <c r="H202" i="2"/>
  <c r="S202" i="2" s="1"/>
  <c r="I202" i="2"/>
  <c r="T202" i="2" s="1"/>
  <c r="D202" i="3" s="1"/>
  <c r="J202" i="2"/>
  <c r="K202" i="2"/>
  <c r="U202" i="2" s="1"/>
  <c r="L202" i="2"/>
  <c r="M202" i="2"/>
  <c r="N202" i="2"/>
  <c r="O202" i="2"/>
  <c r="P202" i="2"/>
  <c r="R202" i="2"/>
  <c r="W249" i="2" l="1"/>
  <c r="W244" i="2"/>
  <c r="X244" i="2"/>
  <c r="W256" i="2"/>
  <c r="X256" i="2"/>
  <c r="X245" i="2"/>
  <c r="W240" i="2"/>
  <c r="X240" i="2"/>
  <c r="W260" i="2"/>
  <c r="X260" i="2"/>
  <c r="U190" i="2"/>
  <c r="J190" i="2"/>
  <c r="C190" i="3" s="1"/>
  <c r="J217" i="2"/>
  <c r="U217" i="2"/>
  <c r="W203" i="2"/>
  <c r="C203" i="3"/>
  <c r="X203" i="2"/>
  <c r="W202" i="2"/>
  <c r="C202" i="3"/>
  <c r="J200" i="2"/>
  <c r="C200" i="3" s="1"/>
  <c r="U200" i="2"/>
  <c r="E200" i="3" s="1"/>
  <c r="W223" i="2"/>
  <c r="C223" i="3"/>
  <c r="W219" i="2"/>
  <c r="C219" i="3"/>
  <c r="X219" i="2"/>
  <c r="X213" i="2"/>
  <c r="E213" i="3"/>
  <c r="W213" i="2"/>
  <c r="C213" i="3"/>
  <c r="W235" i="2"/>
  <c r="X235" i="2"/>
  <c r="X225" i="2"/>
  <c r="E225" i="3"/>
  <c r="C235" i="3"/>
  <c r="X197" i="2"/>
  <c r="E197" i="3"/>
  <c r="C197" i="3"/>
  <c r="W197" i="2"/>
  <c r="J193" i="2"/>
  <c r="U193" i="2"/>
  <c r="W209" i="2"/>
  <c r="C209" i="3"/>
  <c r="W207" i="2"/>
  <c r="C207" i="3"/>
  <c r="X207" i="2"/>
  <c r="C205" i="3"/>
  <c r="W233" i="2"/>
  <c r="C233" i="3"/>
  <c r="Y202" i="2"/>
  <c r="X198" i="2"/>
  <c r="E198" i="3"/>
  <c r="X223" i="2"/>
  <c r="W211" i="2"/>
  <c r="C211" i="3"/>
  <c r="X211" i="2"/>
  <c r="W225" i="2"/>
  <c r="C225" i="3"/>
  <c r="C198" i="3"/>
  <c r="W221" i="2"/>
  <c r="U205" i="2"/>
  <c r="Y236" i="2"/>
  <c r="X202" i="2"/>
  <c r="X194" i="2"/>
  <c r="U209" i="2"/>
  <c r="Y208" i="2"/>
  <c r="Y232" i="2"/>
  <c r="J227" i="2"/>
  <c r="Y225" i="2"/>
  <c r="C221" i="3"/>
  <c r="Y223" i="2"/>
  <c r="Y221" i="2"/>
  <c r="X233" i="2"/>
  <c r="J229" i="2"/>
  <c r="C229" i="3" s="1"/>
  <c r="E221" i="3"/>
  <c r="C215" i="3"/>
  <c r="U229" i="2"/>
  <c r="E229" i="3" s="1"/>
  <c r="J238" i="2"/>
  <c r="W238" i="2" s="1"/>
  <c r="J237" i="2"/>
  <c r="W237" i="2" s="1"/>
  <c r="Y238" i="2"/>
  <c r="Y234" i="2"/>
  <c r="J236" i="2"/>
  <c r="C236" i="3" s="1"/>
  <c r="U234" i="2"/>
  <c r="X234" i="2" s="1"/>
  <c r="J232" i="2"/>
  <c r="C232" i="3" s="1"/>
  <c r="J228" i="2"/>
  <c r="C228" i="3" s="1"/>
  <c r="U226" i="2"/>
  <c r="Y213" i="2"/>
  <c r="X216" i="2"/>
  <c r="X208" i="2"/>
  <c r="U224" i="2"/>
  <c r="W224" i="2" s="1"/>
  <c r="J222" i="2"/>
  <c r="C222" i="3" s="1"/>
  <c r="U220" i="2"/>
  <c r="J218" i="2"/>
  <c r="C218" i="3" s="1"/>
  <c r="U216" i="2"/>
  <c r="J214" i="2"/>
  <c r="C214" i="3" s="1"/>
  <c r="U212" i="2"/>
  <c r="J210" i="2"/>
  <c r="C210" i="3" s="1"/>
  <c r="U208" i="2"/>
  <c r="J206" i="2"/>
  <c r="C206" i="3" s="1"/>
  <c r="U204" i="2"/>
  <c r="X201" i="2"/>
  <c r="W201" i="2"/>
  <c r="W196" i="2"/>
  <c r="X196" i="2"/>
  <c r="W200" i="2"/>
  <c r="X200" i="2"/>
  <c r="Y192" i="2"/>
  <c r="W190" i="2"/>
  <c r="W192" i="2"/>
  <c r="X192" i="2"/>
  <c r="J199" i="2"/>
  <c r="C199" i="3" s="1"/>
  <c r="J195" i="2"/>
  <c r="C195" i="3" s="1"/>
  <c r="J191" i="2"/>
  <c r="C191" i="3" s="1"/>
  <c r="X226" i="2" l="1"/>
  <c r="E226" i="3"/>
  <c r="U210" i="2"/>
  <c r="E210" i="3" s="1"/>
  <c r="X217" i="2"/>
  <c r="E217" i="3"/>
  <c r="W204" i="2"/>
  <c r="E204" i="3"/>
  <c r="X212" i="2"/>
  <c r="E212" i="3"/>
  <c r="X220" i="2"/>
  <c r="E220" i="3"/>
  <c r="X193" i="2"/>
  <c r="E193" i="3"/>
  <c r="W217" i="2"/>
  <c r="C217" i="3"/>
  <c r="X209" i="2"/>
  <c r="E209" i="3"/>
  <c r="X205" i="2"/>
  <c r="E205" i="3"/>
  <c r="C193" i="3"/>
  <c r="W193" i="2"/>
  <c r="X229" i="2"/>
  <c r="W208" i="2"/>
  <c r="E208" i="3"/>
  <c r="W216" i="2"/>
  <c r="E216" i="3"/>
  <c r="X224" i="2"/>
  <c r="E224" i="3"/>
  <c r="W234" i="2"/>
  <c r="E234" i="3"/>
  <c r="W229" i="2"/>
  <c r="C227" i="3"/>
  <c r="U227" i="2"/>
  <c r="U232" i="2"/>
  <c r="E232" i="3" s="1"/>
  <c r="W205" i="2"/>
  <c r="X190" i="2"/>
  <c r="E190" i="3"/>
  <c r="X238" i="2"/>
  <c r="X237" i="2"/>
  <c r="W236" i="2"/>
  <c r="X236" i="2"/>
  <c r="W228" i="2"/>
  <c r="X228" i="2"/>
  <c r="W226" i="2"/>
  <c r="X204" i="2"/>
  <c r="W222" i="2"/>
  <c r="X222" i="2"/>
  <c r="W212" i="2"/>
  <c r="W220" i="2"/>
  <c r="X206" i="2"/>
  <c r="W206" i="2"/>
  <c r="X214" i="2"/>
  <c r="W214" i="2"/>
  <c r="W210" i="2"/>
  <c r="X210" i="2"/>
  <c r="W218" i="2"/>
  <c r="X218" i="2"/>
  <c r="W195" i="2"/>
  <c r="X195" i="2"/>
  <c r="X199" i="2"/>
  <c r="W199" i="2"/>
  <c r="W191" i="2"/>
  <c r="X191" i="2"/>
  <c r="X232" i="2" l="1"/>
  <c r="W232" i="2"/>
  <c r="E227" i="3"/>
  <c r="W227" i="2"/>
  <c r="X227" i="2"/>
  <c r="E236" i="1"/>
  <c r="A236" i="1"/>
  <c r="A235" i="1"/>
  <c r="D234" i="1"/>
  <c r="A234" i="1"/>
  <c r="F233" i="1"/>
  <c r="E233" i="1"/>
  <c r="D233" i="1"/>
  <c r="C233" i="1"/>
  <c r="A233" i="1"/>
  <c r="K232" i="1"/>
  <c r="F232" i="1"/>
  <c r="E232" i="1"/>
  <c r="D232" i="1"/>
  <c r="C232" i="1"/>
  <c r="A230" i="1"/>
  <c r="K229" i="1"/>
  <c r="F229" i="1"/>
  <c r="E229" i="1"/>
  <c r="D229" i="1"/>
  <c r="C229" i="1"/>
  <c r="A229" i="1"/>
  <c r="F228" i="1"/>
  <c r="E228" i="1"/>
  <c r="C228" i="1"/>
  <c r="A228" i="1"/>
  <c r="K227" i="1"/>
  <c r="A227" i="1"/>
  <c r="K226" i="1"/>
  <c r="A226" i="1"/>
  <c r="A225" i="1"/>
  <c r="K224" i="1"/>
  <c r="A224" i="1"/>
  <c r="A223" i="1"/>
  <c r="K222" i="1"/>
  <c r="A222" i="1"/>
  <c r="A221" i="1"/>
  <c r="A220" i="1"/>
  <c r="A219" i="1"/>
  <c r="A218" i="1"/>
  <c r="A217" i="1"/>
  <c r="K216" i="1"/>
  <c r="A216" i="1"/>
  <c r="A215" i="1"/>
  <c r="A214" i="1"/>
  <c r="A213" i="1"/>
  <c r="K212" i="1"/>
  <c r="A212" i="1"/>
  <c r="A211" i="1"/>
  <c r="K210" i="1"/>
  <c r="A210" i="1"/>
  <c r="K209" i="1"/>
  <c r="A209" i="1"/>
  <c r="A208" i="1"/>
  <c r="A207" i="1"/>
  <c r="A206" i="1"/>
  <c r="A205" i="1"/>
  <c r="K204" i="1"/>
  <c r="A204" i="1"/>
  <c r="A203" i="1"/>
  <c r="K202" i="1"/>
  <c r="A202" i="1"/>
  <c r="A201" i="1"/>
  <c r="A200" i="1"/>
  <c r="K199" i="1"/>
  <c r="A199" i="1"/>
  <c r="A198" i="1"/>
  <c r="F197" i="1"/>
  <c r="A197" i="1"/>
  <c r="A196" i="1"/>
  <c r="K195" i="1"/>
  <c r="A195" i="1"/>
  <c r="A194" i="1"/>
  <c r="A193" i="1"/>
  <c r="K192" i="1"/>
  <c r="A192" i="1"/>
  <c r="A191" i="1"/>
  <c r="A183" i="4" l="1"/>
  <c r="J183" i="4" s="1"/>
  <c r="B183" i="4"/>
  <c r="K183" i="4" s="1"/>
  <c r="C183" i="4"/>
  <c r="L183" i="4" s="1"/>
  <c r="F183" i="4"/>
  <c r="I183" i="4"/>
  <c r="A184" i="4"/>
  <c r="J184" i="4" s="1"/>
  <c r="B184" i="4"/>
  <c r="K184" i="4" s="1"/>
  <c r="C184" i="4"/>
  <c r="L184" i="4" s="1"/>
  <c r="F184" i="4"/>
  <c r="I184" i="4"/>
  <c r="A185" i="4"/>
  <c r="J185" i="4" s="1"/>
  <c r="B185" i="4"/>
  <c r="K185" i="4" s="1"/>
  <c r="C185" i="4"/>
  <c r="L185" i="4" s="1"/>
  <c r="F185" i="4"/>
  <c r="I185" i="4"/>
  <c r="A186" i="4"/>
  <c r="J186" i="4" s="1"/>
  <c r="B186" i="4"/>
  <c r="K186" i="4" s="1"/>
  <c r="C186" i="4"/>
  <c r="L186" i="4" s="1"/>
  <c r="F186" i="4"/>
  <c r="I186" i="4"/>
  <c r="A187" i="4"/>
  <c r="J187" i="4" s="1"/>
  <c r="B187" i="4"/>
  <c r="K187" i="4" s="1"/>
  <c r="C187" i="4"/>
  <c r="L187" i="4" s="1"/>
  <c r="F187" i="4"/>
  <c r="I187" i="4"/>
  <c r="A188" i="4"/>
  <c r="K188" i="4" s="1"/>
  <c r="B188" i="4"/>
  <c r="C188" i="4"/>
  <c r="L188" i="4" s="1"/>
  <c r="F188" i="4"/>
  <c r="I188" i="4"/>
  <c r="A190" i="4"/>
  <c r="J190" i="4" s="1"/>
  <c r="B190" i="4"/>
  <c r="K190" i="4" s="1"/>
  <c r="C190" i="4"/>
  <c r="L190" i="4" s="1"/>
  <c r="F190" i="4"/>
  <c r="I190" i="4"/>
  <c r="A192" i="4"/>
  <c r="J192" i="4" s="1"/>
  <c r="B192" i="4"/>
  <c r="K192" i="4" s="1"/>
  <c r="C192" i="4"/>
  <c r="L192" i="4" s="1"/>
  <c r="F192" i="4"/>
  <c r="I192" i="4"/>
  <c r="A193" i="4"/>
  <c r="J193" i="4" s="1"/>
  <c r="B193" i="4"/>
  <c r="C193" i="4"/>
  <c r="F193" i="4"/>
  <c r="I193" i="4"/>
  <c r="K193" i="4"/>
  <c r="L193" i="4"/>
  <c r="A194" i="4"/>
  <c r="J194" i="4" s="1"/>
  <c r="B194" i="4"/>
  <c r="K194" i="4" s="1"/>
  <c r="C194" i="4"/>
  <c r="L194" i="4" s="1"/>
  <c r="F194" i="4"/>
  <c r="I194" i="4"/>
  <c r="A195" i="4"/>
  <c r="J195" i="4" s="1"/>
  <c r="B195" i="4"/>
  <c r="K195" i="4" s="1"/>
  <c r="C195" i="4"/>
  <c r="L195" i="4" s="1"/>
  <c r="F195" i="4"/>
  <c r="I195" i="4"/>
  <c r="A196" i="4"/>
  <c r="J196" i="4" s="1"/>
  <c r="B196" i="4"/>
  <c r="K196" i="4" s="1"/>
  <c r="C196" i="4"/>
  <c r="L196" i="4" s="1"/>
  <c r="F196" i="4"/>
  <c r="I196" i="4"/>
  <c r="A197" i="4"/>
  <c r="J197" i="4" s="1"/>
  <c r="B197" i="4"/>
  <c r="C197" i="4"/>
  <c r="L197" i="4" s="1"/>
  <c r="F197" i="4"/>
  <c r="I197" i="4"/>
  <c r="K197" i="4"/>
  <c r="A198" i="4"/>
  <c r="J198" i="4" s="1"/>
  <c r="B198" i="4"/>
  <c r="K198" i="4" s="1"/>
  <c r="C198" i="4"/>
  <c r="L198" i="4" s="1"/>
  <c r="F198" i="4"/>
  <c r="I198" i="4"/>
  <c r="A199" i="4"/>
  <c r="J199" i="4" s="1"/>
  <c r="B199" i="4"/>
  <c r="K199" i="4" s="1"/>
  <c r="C199" i="4"/>
  <c r="L199" i="4" s="1"/>
  <c r="F199" i="4"/>
  <c r="I199" i="4"/>
  <c r="A200" i="4"/>
  <c r="J200" i="4" s="1"/>
  <c r="B200" i="4"/>
  <c r="K200" i="4" s="1"/>
  <c r="C200" i="4"/>
  <c r="L200" i="4" s="1"/>
  <c r="F200" i="4"/>
  <c r="I200" i="4"/>
  <c r="A201" i="4"/>
  <c r="J201" i="4" s="1"/>
  <c r="B201" i="4"/>
  <c r="K201" i="4" s="1"/>
  <c r="C201" i="4"/>
  <c r="L201" i="4" s="1"/>
  <c r="F201" i="4"/>
  <c r="I201" i="4"/>
  <c r="A202" i="4"/>
  <c r="J202" i="4" s="1"/>
  <c r="B202" i="4"/>
  <c r="K202" i="4" s="1"/>
  <c r="C202" i="4"/>
  <c r="L202" i="4" s="1"/>
  <c r="F202" i="4"/>
  <c r="I202" i="4"/>
  <c r="A203" i="4"/>
  <c r="J203" i="4" s="1"/>
  <c r="B203" i="4"/>
  <c r="K203" i="4" s="1"/>
  <c r="C203" i="4"/>
  <c r="L203" i="4" s="1"/>
  <c r="F203" i="4"/>
  <c r="I203" i="4"/>
  <c r="A204" i="4"/>
  <c r="J204" i="4" s="1"/>
  <c r="B204" i="4"/>
  <c r="K204" i="4" s="1"/>
  <c r="C204" i="4"/>
  <c r="L204" i="4" s="1"/>
  <c r="F204" i="4"/>
  <c r="I204" i="4"/>
  <c r="A205" i="4"/>
  <c r="J205" i="4" s="1"/>
  <c r="B205" i="4"/>
  <c r="K205" i="4" s="1"/>
  <c r="C205" i="4"/>
  <c r="L205" i="4" s="1"/>
  <c r="F205" i="4"/>
  <c r="I205" i="4"/>
  <c r="A206" i="4"/>
  <c r="J206" i="4" s="1"/>
  <c r="B206" i="4"/>
  <c r="K206" i="4" s="1"/>
  <c r="C206" i="4"/>
  <c r="L206" i="4" s="1"/>
  <c r="F206" i="4"/>
  <c r="I206" i="4"/>
  <c r="A207" i="4"/>
  <c r="J207" i="4" s="1"/>
  <c r="B207" i="4"/>
  <c r="K207" i="4" s="1"/>
  <c r="C207" i="4"/>
  <c r="L207" i="4" s="1"/>
  <c r="F207" i="4"/>
  <c r="I207" i="4"/>
  <c r="A208" i="4"/>
  <c r="J208" i="4" s="1"/>
  <c r="B208" i="4"/>
  <c r="K208" i="4" s="1"/>
  <c r="C208" i="4"/>
  <c r="L208" i="4" s="1"/>
  <c r="F208" i="4"/>
  <c r="I208" i="4"/>
  <c r="A209" i="4"/>
  <c r="J209" i="4" s="1"/>
  <c r="B209" i="4"/>
  <c r="K209" i="4" s="1"/>
  <c r="C209" i="4"/>
  <c r="L209" i="4" s="1"/>
  <c r="F209" i="4"/>
  <c r="G209" i="4"/>
  <c r="I209" i="4"/>
  <c r="A210" i="4"/>
  <c r="J210" i="4" s="1"/>
  <c r="B210" i="4"/>
  <c r="K210" i="4" s="1"/>
  <c r="C210" i="4"/>
  <c r="L210" i="4" s="1"/>
  <c r="F210" i="4"/>
  <c r="I210" i="4"/>
  <c r="A211" i="4"/>
  <c r="J211" i="4" s="1"/>
  <c r="B211" i="4"/>
  <c r="K211" i="4" s="1"/>
  <c r="C211" i="4"/>
  <c r="L211" i="4" s="1"/>
  <c r="F211" i="4"/>
  <c r="I211" i="4"/>
  <c r="A212" i="4"/>
  <c r="J212" i="4" s="1"/>
  <c r="B212" i="4"/>
  <c r="K212" i="4" s="1"/>
  <c r="C212" i="4"/>
  <c r="L212" i="4" s="1"/>
  <c r="F212" i="4"/>
  <c r="I212" i="4"/>
  <c r="A154" i="4"/>
  <c r="J154" i="4" s="1"/>
  <c r="B154" i="4"/>
  <c r="K154" i="4" s="1"/>
  <c r="C154" i="4"/>
  <c r="L154" i="4" s="1"/>
  <c r="F154" i="4"/>
  <c r="I154" i="4"/>
  <c r="A155" i="4"/>
  <c r="J155" i="4" s="1"/>
  <c r="B155" i="4"/>
  <c r="K155" i="4" s="1"/>
  <c r="C155" i="4"/>
  <c r="L155" i="4" s="1"/>
  <c r="F155" i="4"/>
  <c r="I155" i="4"/>
  <c r="A156" i="4"/>
  <c r="J156" i="4" s="1"/>
  <c r="B156" i="4"/>
  <c r="K156" i="4" s="1"/>
  <c r="C156" i="4"/>
  <c r="L156" i="4" s="1"/>
  <c r="F156" i="4"/>
  <c r="I156" i="4"/>
  <c r="A157" i="4"/>
  <c r="J157" i="4" s="1"/>
  <c r="B157" i="4"/>
  <c r="K157" i="4" s="1"/>
  <c r="C157" i="4"/>
  <c r="L157" i="4" s="1"/>
  <c r="F157" i="4"/>
  <c r="I157" i="4"/>
  <c r="A158" i="4"/>
  <c r="J158" i="4" s="1"/>
  <c r="B158" i="4"/>
  <c r="K158" i="4" s="1"/>
  <c r="C158" i="4"/>
  <c r="L158" i="4" s="1"/>
  <c r="F158" i="4"/>
  <c r="I158" i="4"/>
  <c r="A159" i="4"/>
  <c r="J159" i="4" s="1"/>
  <c r="B159" i="4"/>
  <c r="K159" i="4" s="1"/>
  <c r="C159" i="4"/>
  <c r="L159" i="4" s="1"/>
  <c r="F159" i="4"/>
  <c r="I159" i="4"/>
  <c r="A160" i="4"/>
  <c r="J160" i="4" s="1"/>
  <c r="B160" i="4"/>
  <c r="K160" i="4" s="1"/>
  <c r="C160" i="4"/>
  <c r="L160" i="4" s="1"/>
  <c r="F160" i="4"/>
  <c r="I160" i="4"/>
  <c r="A161" i="4"/>
  <c r="J161" i="4" s="1"/>
  <c r="B161" i="4"/>
  <c r="K161" i="4" s="1"/>
  <c r="C161" i="4"/>
  <c r="L161" i="4" s="1"/>
  <c r="F161" i="4"/>
  <c r="I161" i="4"/>
  <c r="A162" i="4"/>
  <c r="J162" i="4" s="1"/>
  <c r="B162" i="4"/>
  <c r="K162" i="4" s="1"/>
  <c r="C162" i="4"/>
  <c r="L162" i="4" s="1"/>
  <c r="F162" i="4"/>
  <c r="I162" i="4"/>
  <c r="A163" i="4"/>
  <c r="J163" i="4" s="1"/>
  <c r="B163" i="4"/>
  <c r="K163" i="4" s="1"/>
  <c r="C163" i="4"/>
  <c r="L163" i="4" s="1"/>
  <c r="F163" i="4"/>
  <c r="I163" i="4"/>
  <c r="A164" i="4"/>
  <c r="J164" i="4" s="1"/>
  <c r="B164" i="4"/>
  <c r="K164" i="4" s="1"/>
  <c r="C164" i="4"/>
  <c r="L164" i="4" s="1"/>
  <c r="F164" i="4"/>
  <c r="I164" i="4"/>
  <c r="A166" i="4"/>
  <c r="J166" i="4" s="1"/>
  <c r="B166" i="4"/>
  <c r="K166" i="4" s="1"/>
  <c r="C166" i="4"/>
  <c r="L166" i="4" s="1"/>
  <c r="F166" i="4"/>
  <c r="I166" i="4"/>
  <c r="A167" i="4"/>
  <c r="K167" i="4" s="1"/>
  <c r="B167" i="4"/>
  <c r="C167" i="4"/>
  <c r="L167" i="4" s="1"/>
  <c r="F167" i="4"/>
  <c r="I167" i="4"/>
  <c r="A169" i="4"/>
  <c r="J169" i="4" s="1"/>
  <c r="B169" i="4"/>
  <c r="K169" i="4" s="1"/>
  <c r="C169" i="4"/>
  <c r="L169" i="4" s="1"/>
  <c r="D169" i="4"/>
  <c r="M169" i="4" s="1"/>
  <c r="F169" i="4"/>
  <c r="I169" i="4"/>
  <c r="A171" i="4"/>
  <c r="J171" i="4" s="1"/>
  <c r="B171" i="4"/>
  <c r="K171" i="4" s="1"/>
  <c r="C171" i="4"/>
  <c r="L171" i="4" s="1"/>
  <c r="F171" i="4"/>
  <c r="I171" i="4"/>
  <c r="A172" i="4"/>
  <c r="J172" i="4" s="1"/>
  <c r="B172" i="4"/>
  <c r="K172" i="4" s="1"/>
  <c r="C172" i="4"/>
  <c r="L172" i="4" s="1"/>
  <c r="F172" i="4"/>
  <c r="I172" i="4"/>
  <c r="A173" i="4"/>
  <c r="J173" i="4" s="1"/>
  <c r="B173" i="4"/>
  <c r="K173" i="4" s="1"/>
  <c r="C173" i="4"/>
  <c r="L173" i="4" s="1"/>
  <c r="F173" i="4"/>
  <c r="I173" i="4"/>
  <c r="A174" i="4"/>
  <c r="J174" i="4" s="1"/>
  <c r="B174" i="4"/>
  <c r="K174" i="4" s="1"/>
  <c r="C174" i="4"/>
  <c r="L174" i="4" s="1"/>
  <c r="F174" i="4"/>
  <c r="I174" i="4"/>
  <c r="A175" i="4"/>
  <c r="J175" i="4" s="1"/>
  <c r="B175" i="4"/>
  <c r="K175" i="4" s="1"/>
  <c r="C175" i="4"/>
  <c r="L175" i="4" s="1"/>
  <c r="F175" i="4"/>
  <c r="G175" i="4"/>
  <c r="I175" i="4"/>
  <c r="A176" i="4"/>
  <c r="J176" i="4" s="1"/>
  <c r="B176" i="4"/>
  <c r="K176" i="4" s="1"/>
  <c r="C176" i="4"/>
  <c r="L176" i="4" s="1"/>
  <c r="F176" i="4"/>
  <c r="I176" i="4"/>
  <c r="A177" i="4"/>
  <c r="J177" i="4" s="1"/>
  <c r="B177" i="4"/>
  <c r="K177" i="4" s="1"/>
  <c r="C177" i="4"/>
  <c r="L177" i="4" s="1"/>
  <c r="F177" i="4"/>
  <c r="I177" i="4"/>
  <c r="A178" i="4"/>
  <c r="J178" i="4" s="1"/>
  <c r="B178" i="4"/>
  <c r="K178" i="4" s="1"/>
  <c r="C178" i="4"/>
  <c r="L178" i="4" s="1"/>
  <c r="F178" i="4"/>
  <c r="H178" i="4"/>
  <c r="P178" i="4" s="1"/>
  <c r="I178" i="4"/>
  <c r="A179" i="4"/>
  <c r="J179" i="4" s="1"/>
  <c r="B179" i="4"/>
  <c r="K179" i="4" s="1"/>
  <c r="C179" i="4"/>
  <c r="L179" i="4" s="1"/>
  <c r="F179" i="4"/>
  <c r="I179" i="4"/>
  <c r="A180" i="4"/>
  <c r="J180" i="4" s="1"/>
  <c r="B180" i="4"/>
  <c r="K180" i="4" s="1"/>
  <c r="C180" i="4"/>
  <c r="L180" i="4" s="1"/>
  <c r="F180" i="4"/>
  <c r="I180" i="4"/>
  <c r="A181" i="4"/>
  <c r="J181" i="4" s="1"/>
  <c r="B181" i="4"/>
  <c r="K181" i="4" s="1"/>
  <c r="C181" i="4"/>
  <c r="L181" i="4" s="1"/>
  <c r="F181" i="4"/>
  <c r="I181" i="4"/>
  <c r="A182" i="4"/>
  <c r="J182" i="4" s="1"/>
  <c r="B182" i="4"/>
  <c r="K182" i="4" s="1"/>
  <c r="C182" i="4"/>
  <c r="L182" i="4" s="1"/>
  <c r="F182" i="4"/>
  <c r="I182" i="4"/>
  <c r="A148" i="4"/>
  <c r="J148" i="4" s="1"/>
  <c r="B148" i="4"/>
  <c r="K148" i="4" s="1"/>
  <c r="C148" i="4"/>
  <c r="L148" i="4" s="1"/>
  <c r="F148" i="4"/>
  <c r="I148" i="4"/>
  <c r="A149" i="4"/>
  <c r="J149" i="4" s="1"/>
  <c r="B149" i="4"/>
  <c r="K149" i="4" s="1"/>
  <c r="C149" i="4"/>
  <c r="L149" i="4" s="1"/>
  <c r="F149" i="4"/>
  <c r="I149" i="4"/>
  <c r="A150" i="4"/>
  <c r="J150" i="4" s="1"/>
  <c r="B150" i="4"/>
  <c r="K150" i="4" s="1"/>
  <c r="C150" i="4"/>
  <c r="L150" i="4" s="1"/>
  <c r="E150" i="4"/>
  <c r="N150" i="4" s="1"/>
  <c r="F150" i="4"/>
  <c r="I150" i="4"/>
  <c r="A151" i="4"/>
  <c r="J151" i="4" s="1"/>
  <c r="B151" i="4"/>
  <c r="K151" i="4" s="1"/>
  <c r="C151" i="4"/>
  <c r="L151" i="4" s="1"/>
  <c r="D151" i="4"/>
  <c r="M151" i="4" s="1"/>
  <c r="F151" i="4"/>
  <c r="I151" i="4"/>
  <c r="A152" i="4"/>
  <c r="J152" i="4" s="1"/>
  <c r="B152" i="4"/>
  <c r="K152" i="4" s="1"/>
  <c r="C152" i="4"/>
  <c r="L152" i="4" s="1"/>
  <c r="F152" i="4"/>
  <c r="I152" i="4"/>
  <c r="A153" i="4"/>
  <c r="J153" i="4" s="1"/>
  <c r="B153" i="4"/>
  <c r="K153" i="4" s="1"/>
  <c r="C153" i="4"/>
  <c r="L153" i="4" s="1"/>
  <c r="F153" i="4"/>
  <c r="I153" i="4"/>
  <c r="D185" i="3"/>
  <c r="A174" i="3"/>
  <c r="B177" i="3"/>
  <c r="C180" i="3"/>
  <c r="D183" i="3"/>
  <c r="E127" i="3"/>
  <c r="A131" i="3"/>
  <c r="D136" i="3"/>
  <c r="B138" i="3"/>
  <c r="D139" i="3"/>
  <c r="D140" i="3"/>
  <c r="C141" i="3"/>
  <c r="B142" i="3"/>
  <c r="D145" i="3"/>
  <c r="D149" i="3"/>
  <c r="B151" i="3"/>
  <c r="A152" i="3"/>
  <c r="E152" i="3"/>
  <c r="B155" i="3"/>
  <c r="A156" i="3"/>
  <c r="E156" i="3"/>
  <c r="D157" i="3"/>
  <c r="A160" i="3"/>
  <c r="D161" i="3"/>
  <c r="A163" i="3"/>
  <c r="A165" i="3"/>
  <c r="E165" i="3"/>
  <c r="D166" i="3"/>
  <c r="U141" i="2"/>
  <c r="E141" i="3" s="1"/>
  <c r="H125" i="2"/>
  <c r="E149" i="4" s="1"/>
  <c r="N149" i="4" s="1"/>
  <c r="H126" i="2"/>
  <c r="H127" i="2"/>
  <c r="E151" i="4" s="1"/>
  <c r="N151" i="4" s="1"/>
  <c r="H128" i="2"/>
  <c r="H129" i="2"/>
  <c r="E153" i="4" s="1"/>
  <c r="N153" i="4" s="1"/>
  <c r="H130" i="2"/>
  <c r="E154" i="4" s="1"/>
  <c r="N154" i="4" s="1"/>
  <c r="H131" i="2"/>
  <c r="E155" i="4" s="1"/>
  <c r="N155" i="4" s="1"/>
  <c r="H132" i="2"/>
  <c r="E156" i="4" s="1"/>
  <c r="N156" i="4" s="1"/>
  <c r="H133" i="2"/>
  <c r="E157" i="4" s="1"/>
  <c r="N157" i="4" s="1"/>
  <c r="H134" i="2"/>
  <c r="E158" i="4" s="1"/>
  <c r="N158" i="4" s="1"/>
  <c r="H135" i="2"/>
  <c r="E159" i="4" s="1"/>
  <c r="N159" i="4" s="1"/>
  <c r="H136" i="2"/>
  <c r="E160" i="4" s="1"/>
  <c r="N160" i="4" s="1"/>
  <c r="H137" i="2"/>
  <c r="E161" i="4" s="1"/>
  <c r="N161" i="4" s="1"/>
  <c r="H138" i="2"/>
  <c r="E162" i="4" s="1"/>
  <c r="N162" i="4" s="1"/>
  <c r="H139" i="2"/>
  <c r="E163" i="4" s="1"/>
  <c r="N163" i="4" s="1"/>
  <c r="H140" i="2"/>
  <c r="E164" i="4" s="1"/>
  <c r="N164" i="4" s="1"/>
  <c r="H141" i="2"/>
  <c r="E166" i="4" s="1"/>
  <c r="N166" i="4" s="1"/>
  <c r="H142" i="2"/>
  <c r="E167" i="4" s="1"/>
  <c r="N167" i="4" s="1"/>
  <c r="H143" i="2"/>
  <c r="H144" i="2"/>
  <c r="E169" i="4" s="1"/>
  <c r="N169" i="4" s="1"/>
  <c r="H145" i="2"/>
  <c r="E171" i="4" s="1"/>
  <c r="N171" i="4" s="1"/>
  <c r="H146" i="2"/>
  <c r="H147" i="2"/>
  <c r="E173" i="4" s="1"/>
  <c r="N173" i="4" s="1"/>
  <c r="H148" i="2"/>
  <c r="H149" i="2"/>
  <c r="E175" i="4" s="1"/>
  <c r="N175" i="4" s="1"/>
  <c r="H150" i="2"/>
  <c r="H151" i="2"/>
  <c r="E177" i="4" s="1"/>
  <c r="N177" i="4" s="1"/>
  <c r="H152" i="2"/>
  <c r="H153" i="2"/>
  <c r="E179" i="4" s="1"/>
  <c r="N179" i="4" s="1"/>
  <c r="H154" i="2"/>
  <c r="H155" i="2"/>
  <c r="E181" i="4" s="1"/>
  <c r="N181" i="4" s="1"/>
  <c r="H156" i="2"/>
  <c r="H157" i="2"/>
  <c r="E183" i="4" s="1"/>
  <c r="N183" i="4" s="1"/>
  <c r="H158" i="2"/>
  <c r="H159" i="2"/>
  <c r="E185" i="4" s="1"/>
  <c r="N185" i="4" s="1"/>
  <c r="H160" i="2"/>
  <c r="E186" i="4" s="1"/>
  <c r="N186" i="4" s="1"/>
  <c r="H161" i="2"/>
  <c r="E187" i="4" s="1"/>
  <c r="N187" i="4" s="1"/>
  <c r="H162" i="2"/>
  <c r="E188" i="4" s="1"/>
  <c r="N188" i="4" s="1"/>
  <c r="H163" i="2"/>
  <c r="H164" i="2"/>
  <c r="E190" i="4" s="1"/>
  <c r="N190" i="4" s="1"/>
  <c r="H165" i="2"/>
  <c r="E192" i="4" s="1"/>
  <c r="N192" i="4" s="1"/>
  <c r="H166" i="2"/>
  <c r="E193" i="4" s="1"/>
  <c r="N193" i="4" s="1"/>
  <c r="H167" i="2"/>
  <c r="E194" i="4" s="1"/>
  <c r="N194" i="4" s="1"/>
  <c r="H168" i="2"/>
  <c r="E195" i="4" s="1"/>
  <c r="N195" i="4" s="1"/>
  <c r="H169" i="2"/>
  <c r="E196" i="4" s="1"/>
  <c r="N196" i="4" s="1"/>
  <c r="H170" i="2"/>
  <c r="S170" i="2" s="1"/>
  <c r="H171" i="2"/>
  <c r="E198" i="4" s="1"/>
  <c r="N198" i="4" s="1"/>
  <c r="H172" i="2"/>
  <c r="H173" i="2"/>
  <c r="E200" i="4" s="1"/>
  <c r="N200" i="4" s="1"/>
  <c r="H174" i="2"/>
  <c r="H175" i="2"/>
  <c r="E202" i="4" s="1"/>
  <c r="N202" i="4" s="1"/>
  <c r="H176" i="2"/>
  <c r="H177" i="2"/>
  <c r="E204" i="4" s="1"/>
  <c r="N204" i="4" s="1"/>
  <c r="H178" i="2"/>
  <c r="H179" i="2"/>
  <c r="E206" i="4" s="1"/>
  <c r="N206" i="4" s="1"/>
  <c r="H180" i="2"/>
  <c r="H181" i="2"/>
  <c r="E208" i="4" s="1"/>
  <c r="N208" i="4" s="1"/>
  <c r="H182" i="2"/>
  <c r="H183" i="2"/>
  <c r="E210" i="4" s="1"/>
  <c r="N210" i="4" s="1"/>
  <c r="H184" i="2"/>
  <c r="E211" i="4" s="1"/>
  <c r="N211" i="4" s="1"/>
  <c r="H185" i="2"/>
  <c r="H186" i="2"/>
  <c r="H187" i="2"/>
  <c r="H188" i="2"/>
  <c r="H189" i="2"/>
  <c r="H118" i="2"/>
  <c r="H119" i="2"/>
  <c r="H120" i="2"/>
  <c r="H121" i="2"/>
  <c r="H122" i="2"/>
  <c r="H123" i="2"/>
  <c r="S123" i="2" s="1"/>
  <c r="H124" i="2"/>
  <c r="E148" i="4" s="1"/>
  <c r="N148" i="4" s="1"/>
  <c r="A181" i="2"/>
  <c r="A181" i="3" s="1"/>
  <c r="B181" i="2"/>
  <c r="B181" i="3" s="1"/>
  <c r="C181" i="2"/>
  <c r="D181" i="2"/>
  <c r="E181" i="2"/>
  <c r="F181" i="2"/>
  <c r="G181" i="2"/>
  <c r="D208" i="4" s="1"/>
  <c r="M208" i="4" s="1"/>
  <c r="I181" i="2"/>
  <c r="T181" i="2" s="1"/>
  <c r="D181" i="3" s="1"/>
  <c r="K181" i="2"/>
  <c r="J181" i="2" s="1"/>
  <c r="C181" i="3" s="1"/>
  <c r="L181" i="2"/>
  <c r="M181" i="2"/>
  <c r="N181" i="2"/>
  <c r="G208" i="4" s="1"/>
  <c r="O181" i="2"/>
  <c r="P181" i="2"/>
  <c r="H208" i="4" s="1"/>
  <c r="P208" i="4" s="1"/>
  <c r="R181" i="2"/>
  <c r="S181" i="2"/>
  <c r="U181" i="2"/>
  <c r="E181" i="3" s="1"/>
  <c r="A182" i="2"/>
  <c r="A182" i="3" s="1"/>
  <c r="B182" i="2"/>
  <c r="B182" i="3" s="1"/>
  <c r="C182" i="2"/>
  <c r="D182" i="2"/>
  <c r="E182" i="2"/>
  <c r="F182" i="2"/>
  <c r="G182" i="2"/>
  <c r="D209" i="4" s="1"/>
  <c r="M209" i="4" s="1"/>
  <c r="I182" i="2"/>
  <c r="K182" i="2"/>
  <c r="U182" i="2" s="1"/>
  <c r="E182" i="3" s="1"/>
  <c r="L182" i="2"/>
  <c r="M182" i="2"/>
  <c r="N182" i="2"/>
  <c r="O182" i="2"/>
  <c r="P182" i="2"/>
  <c r="H209" i="4" s="1"/>
  <c r="P209" i="4" s="1"/>
  <c r="T182" i="2"/>
  <c r="D182" i="3" s="1"/>
  <c r="A183" i="2"/>
  <c r="A183" i="3" s="1"/>
  <c r="B183" i="2"/>
  <c r="B183" i="3" s="1"/>
  <c r="C183" i="2"/>
  <c r="D183" i="2"/>
  <c r="E183" i="2"/>
  <c r="F183" i="2"/>
  <c r="G183" i="2"/>
  <c r="I183" i="2"/>
  <c r="T183" i="2" s="1"/>
  <c r="K183" i="2"/>
  <c r="J183" i="2" s="1"/>
  <c r="C183" i="3" s="1"/>
  <c r="L183" i="2"/>
  <c r="M183" i="2"/>
  <c r="N183" i="2"/>
  <c r="G210" i="4" s="1"/>
  <c r="O210" i="4" s="1"/>
  <c r="O183" i="2"/>
  <c r="P183" i="2"/>
  <c r="H210" i="4" s="1"/>
  <c r="P210" i="4" s="1"/>
  <c r="S183" i="2"/>
  <c r="A184" i="2"/>
  <c r="A184" i="3" s="1"/>
  <c r="B184" i="2"/>
  <c r="B184" i="3" s="1"/>
  <c r="C184" i="2"/>
  <c r="D184" i="2"/>
  <c r="E184" i="2"/>
  <c r="F184" i="2"/>
  <c r="G184" i="2"/>
  <c r="R184" i="2" s="1"/>
  <c r="Y184" i="2" s="1"/>
  <c r="I184" i="2"/>
  <c r="K184" i="2"/>
  <c r="U184" i="2" s="1"/>
  <c r="E184" i="3" s="1"/>
  <c r="L184" i="2"/>
  <c r="M184" i="2"/>
  <c r="N184" i="2"/>
  <c r="G211" i="4" s="1"/>
  <c r="O184" i="2"/>
  <c r="P184" i="2"/>
  <c r="H211" i="4" s="1"/>
  <c r="P211" i="4" s="1"/>
  <c r="S184" i="2"/>
  <c r="T184" i="2"/>
  <c r="D184" i="3" s="1"/>
  <c r="A185" i="2"/>
  <c r="A185" i="3" s="1"/>
  <c r="B185" i="2"/>
  <c r="B185" i="3" s="1"/>
  <c r="C185" i="2"/>
  <c r="D185" i="2"/>
  <c r="E185" i="2"/>
  <c r="F185" i="2"/>
  <c r="G185" i="2"/>
  <c r="D212" i="4" s="1"/>
  <c r="M212" i="4" s="1"/>
  <c r="I185" i="2"/>
  <c r="T185" i="2" s="1"/>
  <c r="K185" i="2"/>
  <c r="J185" i="2" s="1"/>
  <c r="C185" i="3" s="1"/>
  <c r="L185" i="2"/>
  <c r="M185" i="2"/>
  <c r="N185" i="2"/>
  <c r="G212" i="4" s="1"/>
  <c r="O185" i="2"/>
  <c r="P185" i="2"/>
  <c r="H212" i="4" s="1"/>
  <c r="P212" i="4" s="1"/>
  <c r="A186" i="2"/>
  <c r="A186" i="3" s="1"/>
  <c r="B186" i="2"/>
  <c r="B186" i="3" s="1"/>
  <c r="C186" i="2"/>
  <c r="D186" i="2"/>
  <c r="E186" i="2"/>
  <c r="F186" i="2"/>
  <c r="G186" i="2"/>
  <c r="I186" i="2"/>
  <c r="J186" i="2"/>
  <c r="K186" i="2"/>
  <c r="L186" i="2"/>
  <c r="M186" i="2"/>
  <c r="N186" i="2"/>
  <c r="O186" i="2"/>
  <c r="P186" i="2"/>
  <c r="A187" i="2"/>
  <c r="A187" i="3" s="1"/>
  <c r="B187" i="2"/>
  <c r="B187" i="3" s="1"/>
  <c r="C187" i="2"/>
  <c r="D187" i="2"/>
  <c r="E187" i="2"/>
  <c r="F187" i="2"/>
  <c r="G187" i="2"/>
  <c r="I187" i="2"/>
  <c r="J187" i="2"/>
  <c r="K187" i="2"/>
  <c r="L187" i="2"/>
  <c r="M187" i="2"/>
  <c r="N187" i="2"/>
  <c r="O187" i="2"/>
  <c r="P187" i="2"/>
  <c r="A188" i="2"/>
  <c r="A188" i="3" s="1"/>
  <c r="B188" i="2"/>
  <c r="B188" i="3" s="1"/>
  <c r="C188" i="2"/>
  <c r="D188" i="2"/>
  <c r="E188" i="2"/>
  <c r="F188" i="2"/>
  <c r="G188" i="2"/>
  <c r="I188" i="2"/>
  <c r="J188" i="2"/>
  <c r="K188" i="2"/>
  <c r="L188" i="2"/>
  <c r="M188" i="2"/>
  <c r="N188" i="2"/>
  <c r="O188" i="2"/>
  <c r="P188" i="2"/>
  <c r="A189" i="2"/>
  <c r="A189" i="3" s="1"/>
  <c r="B189" i="2"/>
  <c r="B189" i="3" s="1"/>
  <c r="C189" i="2"/>
  <c r="D189" i="2"/>
  <c r="E189" i="2"/>
  <c r="F189" i="2"/>
  <c r="G189" i="2"/>
  <c r="I189" i="2"/>
  <c r="J189" i="2"/>
  <c r="K189" i="2"/>
  <c r="L189" i="2"/>
  <c r="M189" i="2"/>
  <c r="N189" i="2"/>
  <c r="O189" i="2"/>
  <c r="P189" i="2"/>
  <c r="A170" i="2"/>
  <c r="A170" i="3" s="1"/>
  <c r="B170" i="2"/>
  <c r="B170" i="3" s="1"/>
  <c r="C170" i="2"/>
  <c r="D170" i="2"/>
  <c r="E170" i="2"/>
  <c r="F170" i="2"/>
  <c r="G170" i="2"/>
  <c r="D197" i="4" s="1"/>
  <c r="M197" i="4" s="1"/>
  <c r="I170" i="2"/>
  <c r="K170" i="2"/>
  <c r="J170" i="2" s="1"/>
  <c r="C170" i="3" s="1"/>
  <c r="L170" i="2"/>
  <c r="M170" i="2"/>
  <c r="N170" i="2"/>
  <c r="G197" i="4" s="1"/>
  <c r="O170" i="2"/>
  <c r="P170" i="2"/>
  <c r="H197" i="4" s="1"/>
  <c r="P197" i="4" s="1"/>
  <c r="T170" i="2"/>
  <c r="D170" i="3" s="1"/>
  <c r="A171" i="2"/>
  <c r="A171" i="3" s="1"/>
  <c r="B171" i="2"/>
  <c r="B171" i="3" s="1"/>
  <c r="C171" i="2"/>
  <c r="D171" i="2"/>
  <c r="E171" i="2"/>
  <c r="F171" i="2"/>
  <c r="G171" i="2"/>
  <c r="D198" i="4" s="1"/>
  <c r="M198" i="4" s="1"/>
  <c r="I171" i="2"/>
  <c r="T171" i="2" s="1"/>
  <c r="D171" i="3" s="1"/>
  <c r="K171" i="2"/>
  <c r="U171" i="2" s="1"/>
  <c r="E171" i="3" s="1"/>
  <c r="L171" i="2"/>
  <c r="M171" i="2"/>
  <c r="N171" i="2"/>
  <c r="G198" i="4" s="1"/>
  <c r="O171" i="2"/>
  <c r="P171" i="2"/>
  <c r="H198" i="4" s="1"/>
  <c r="P198" i="4" s="1"/>
  <c r="R171" i="2"/>
  <c r="S171" i="2"/>
  <c r="A172" i="2"/>
  <c r="A172" i="3" s="1"/>
  <c r="B172" i="2"/>
  <c r="B172" i="3" s="1"/>
  <c r="C172" i="2"/>
  <c r="D172" i="2"/>
  <c r="E172" i="2"/>
  <c r="F172" i="2"/>
  <c r="G172" i="2"/>
  <c r="D199" i="4" s="1"/>
  <c r="M199" i="4" s="1"/>
  <c r="I172" i="2"/>
  <c r="K172" i="2"/>
  <c r="J172" i="2" s="1"/>
  <c r="C172" i="3" s="1"/>
  <c r="L172" i="2"/>
  <c r="M172" i="2"/>
  <c r="N172" i="2"/>
  <c r="G199" i="4" s="1"/>
  <c r="O172" i="2"/>
  <c r="P172" i="2"/>
  <c r="H199" i="4" s="1"/>
  <c r="P199" i="4" s="1"/>
  <c r="R172" i="2"/>
  <c r="T172" i="2"/>
  <c r="D172" i="3" s="1"/>
  <c r="Y172" i="2"/>
  <c r="A173" i="2"/>
  <c r="A173" i="3" s="1"/>
  <c r="B173" i="2"/>
  <c r="B173" i="3" s="1"/>
  <c r="C173" i="2"/>
  <c r="D173" i="2"/>
  <c r="E173" i="2"/>
  <c r="F173" i="2"/>
  <c r="G173" i="2"/>
  <c r="I173" i="2"/>
  <c r="T173" i="2" s="1"/>
  <c r="D173" i="3" s="1"/>
  <c r="K173" i="2"/>
  <c r="U173" i="2" s="1"/>
  <c r="E173" i="3" s="1"/>
  <c r="L173" i="2"/>
  <c r="M173" i="2"/>
  <c r="N173" i="2"/>
  <c r="G200" i="4" s="1"/>
  <c r="O173" i="2"/>
  <c r="P173" i="2"/>
  <c r="H200" i="4" s="1"/>
  <c r="P200" i="4" s="1"/>
  <c r="S173" i="2"/>
  <c r="A174" i="2"/>
  <c r="B174" i="2"/>
  <c r="B174" i="3" s="1"/>
  <c r="C174" i="2"/>
  <c r="D174" i="2"/>
  <c r="E174" i="2"/>
  <c r="F174" i="2"/>
  <c r="G174" i="2"/>
  <c r="D201" i="4" s="1"/>
  <c r="M201" i="4" s="1"/>
  <c r="I174" i="2"/>
  <c r="K174" i="2"/>
  <c r="J174" i="2" s="1"/>
  <c r="C174" i="3" s="1"/>
  <c r="L174" i="2"/>
  <c r="M174" i="2"/>
  <c r="N174" i="2"/>
  <c r="G201" i="4" s="1"/>
  <c r="O174" i="2"/>
  <c r="P174" i="2"/>
  <c r="H201" i="4" s="1"/>
  <c r="P201" i="4" s="1"/>
  <c r="R174" i="2"/>
  <c r="T174" i="2"/>
  <c r="D174" i="3" s="1"/>
  <c r="Y174" i="2"/>
  <c r="A175" i="2"/>
  <c r="A175" i="3" s="1"/>
  <c r="B175" i="2"/>
  <c r="B175" i="3" s="1"/>
  <c r="C175" i="2"/>
  <c r="D175" i="2"/>
  <c r="E175" i="2"/>
  <c r="F175" i="2"/>
  <c r="G175" i="2"/>
  <c r="I175" i="2"/>
  <c r="T175" i="2" s="1"/>
  <c r="D175" i="3" s="1"/>
  <c r="K175" i="2"/>
  <c r="U175" i="2" s="1"/>
  <c r="E175" i="3" s="1"/>
  <c r="L175" i="2"/>
  <c r="M175" i="2"/>
  <c r="N175" i="2"/>
  <c r="G202" i="4" s="1"/>
  <c r="O175" i="2"/>
  <c r="P175" i="2"/>
  <c r="H202" i="4" s="1"/>
  <c r="P202" i="4" s="1"/>
  <c r="S175" i="2"/>
  <c r="A176" i="2"/>
  <c r="A176" i="3" s="1"/>
  <c r="B176" i="2"/>
  <c r="B176" i="3" s="1"/>
  <c r="C176" i="2"/>
  <c r="D176" i="2"/>
  <c r="E176" i="2"/>
  <c r="F176" i="2"/>
  <c r="G176" i="2"/>
  <c r="D203" i="4" s="1"/>
  <c r="M203" i="4" s="1"/>
  <c r="I176" i="2"/>
  <c r="K176" i="2"/>
  <c r="J176" i="2" s="1"/>
  <c r="C176" i="3" s="1"/>
  <c r="L176" i="2"/>
  <c r="M176" i="2"/>
  <c r="N176" i="2"/>
  <c r="G203" i="4" s="1"/>
  <c r="O176" i="2"/>
  <c r="P176" i="2"/>
  <c r="H203" i="4" s="1"/>
  <c r="P203" i="4" s="1"/>
  <c r="R176" i="2"/>
  <c r="T176" i="2"/>
  <c r="D176" i="3" s="1"/>
  <c r="Y176" i="2"/>
  <c r="A177" i="2"/>
  <c r="A177" i="3" s="1"/>
  <c r="B177" i="2"/>
  <c r="C177" i="2"/>
  <c r="D177" i="2"/>
  <c r="E177" i="2"/>
  <c r="F177" i="2"/>
  <c r="G177" i="2"/>
  <c r="D204" i="4" s="1"/>
  <c r="M204" i="4" s="1"/>
  <c r="I177" i="2"/>
  <c r="T177" i="2" s="1"/>
  <c r="D177" i="3" s="1"/>
  <c r="K177" i="2"/>
  <c r="U177" i="2" s="1"/>
  <c r="E177" i="3" s="1"/>
  <c r="L177" i="2"/>
  <c r="M177" i="2"/>
  <c r="N177" i="2"/>
  <c r="G204" i="4" s="1"/>
  <c r="O177" i="2"/>
  <c r="P177" i="2"/>
  <c r="H204" i="4" s="1"/>
  <c r="P204" i="4" s="1"/>
  <c r="R177" i="2"/>
  <c r="Y177" i="2" s="1"/>
  <c r="S177" i="2"/>
  <c r="A178" i="2"/>
  <c r="A178" i="3" s="1"/>
  <c r="B178" i="2"/>
  <c r="B178" i="3" s="1"/>
  <c r="C178" i="2"/>
  <c r="D178" i="2"/>
  <c r="E178" i="2"/>
  <c r="F178" i="2"/>
  <c r="G178" i="2"/>
  <c r="D205" i="4" s="1"/>
  <c r="M205" i="4" s="1"/>
  <c r="I178" i="2"/>
  <c r="K178" i="2"/>
  <c r="J178" i="2" s="1"/>
  <c r="C178" i="3" s="1"/>
  <c r="L178" i="2"/>
  <c r="M178" i="2"/>
  <c r="N178" i="2"/>
  <c r="G205" i="4" s="1"/>
  <c r="O178" i="2"/>
  <c r="P178" i="2"/>
  <c r="H205" i="4" s="1"/>
  <c r="P205" i="4" s="1"/>
  <c r="R178" i="2"/>
  <c r="T178" i="2"/>
  <c r="D178" i="3" s="1"/>
  <c r="Y178" i="2"/>
  <c r="A179" i="2"/>
  <c r="A179" i="3" s="1"/>
  <c r="B179" i="2"/>
  <c r="B179" i="3" s="1"/>
  <c r="C179" i="2"/>
  <c r="D179" i="2"/>
  <c r="E179" i="2"/>
  <c r="F179" i="2"/>
  <c r="G179" i="2"/>
  <c r="D206" i="4" s="1"/>
  <c r="M206" i="4" s="1"/>
  <c r="I179" i="2"/>
  <c r="T179" i="2" s="1"/>
  <c r="D179" i="3" s="1"/>
  <c r="K179" i="2"/>
  <c r="U179" i="2" s="1"/>
  <c r="E179" i="3" s="1"/>
  <c r="L179" i="2"/>
  <c r="M179" i="2"/>
  <c r="N179" i="2"/>
  <c r="G206" i="4" s="1"/>
  <c r="O179" i="2"/>
  <c r="P179" i="2"/>
  <c r="H206" i="4" s="1"/>
  <c r="P206" i="4" s="1"/>
  <c r="R179" i="2"/>
  <c r="S179" i="2"/>
  <c r="A180" i="2"/>
  <c r="A180" i="3" s="1"/>
  <c r="B180" i="2"/>
  <c r="B180" i="3" s="1"/>
  <c r="C180" i="2"/>
  <c r="D180" i="2"/>
  <c r="E180" i="2"/>
  <c r="F180" i="2"/>
  <c r="G180" i="2"/>
  <c r="D207" i="4" s="1"/>
  <c r="M207" i="4" s="1"/>
  <c r="I180" i="2"/>
  <c r="T180" i="2" s="1"/>
  <c r="D180" i="3" s="1"/>
  <c r="K180" i="2"/>
  <c r="J180" i="2" s="1"/>
  <c r="L180" i="2"/>
  <c r="M180" i="2"/>
  <c r="N180" i="2"/>
  <c r="G207" i="4" s="1"/>
  <c r="O180" i="2"/>
  <c r="P180" i="2"/>
  <c r="H207" i="4" s="1"/>
  <c r="P207" i="4" s="1"/>
  <c r="R180" i="2"/>
  <c r="Y180" i="2" s="1"/>
  <c r="A162" i="2"/>
  <c r="A162" i="3" s="1"/>
  <c r="B162" i="2"/>
  <c r="B162" i="3" s="1"/>
  <c r="C162" i="2"/>
  <c r="D162" i="2"/>
  <c r="E162" i="2"/>
  <c r="F162" i="2"/>
  <c r="G162" i="2"/>
  <c r="D188" i="4" s="1"/>
  <c r="M188" i="4" s="1"/>
  <c r="I162" i="2"/>
  <c r="J162" i="2"/>
  <c r="K162" i="2"/>
  <c r="L162" i="2"/>
  <c r="M162" i="2"/>
  <c r="N162" i="2"/>
  <c r="G188" i="4" s="1"/>
  <c r="O162" i="2"/>
  <c r="P162" i="2"/>
  <c r="H188" i="4" s="1"/>
  <c r="P188" i="4" s="1"/>
  <c r="A163" i="2"/>
  <c r="B163" i="2"/>
  <c r="B163" i="3" s="1"/>
  <c r="C163" i="2"/>
  <c r="D163" i="2"/>
  <c r="E163" i="2"/>
  <c r="F163" i="2"/>
  <c r="G163" i="2"/>
  <c r="I163" i="2"/>
  <c r="J163" i="2"/>
  <c r="K163" i="2"/>
  <c r="L163" i="2"/>
  <c r="M163" i="2"/>
  <c r="N163" i="2"/>
  <c r="O163" i="2"/>
  <c r="P163" i="2"/>
  <c r="A164" i="2"/>
  <c r="A164" i="3" s="1"/>
  <c r="B164" i="2"/>
  <c r="B164" i="3" s="1"/>
  <c r="C164" i="2"/>
  <c r="D164" i="2"/>
  <c r="E164" i="2"/>
  <c r="F164" i="2"/>
  <c r="G164" i="2"/>
  <c r="D190" i="4" s="1"/>
  <c r="M190" i="4" s="1"/>
  <c r="I164" i="2"/>
  <c r="J164" i="2"/>
  <c r="K164" i="2"/>
  <c r="L164" i="2"/>
  <c r="M164" i="2"/>
  <c r="N164" i="2"/>
  <c r="G190" i="4" s="1"/>
  <c r="O164" i="2"/>
  <c r="P164" i="2"/>
  <c r="H190" i="4" s="1"/>
  <c r="P190" i="4" s="1"/>
  <c r="A165" i="2"/>
  <c r="B165" i="2"/>
  <c r="B165" i="3" s="1"/>
  <c r="C165" i="2"/>
  <c r="D165" i="2"/>
  <c r="E165" i="2"/>
  <c r="F165" i="2"/>
  <c r="G165" i="2"/>
  <c r="D192" i="4" s="1"/>
  <c r="M192" i="4" s="1"/>
  <c r="I165" i="2"/>
  <c r="T165" i="2" s="1"/>
  <c r="D165" i="3" s="1"/>
  <c r="K165" i="2"/>
  <c r="U165" i="2" s="1"/>
  <c r="L165" i="2"/>
  <c r="M165" i="2"/>
  <c r="N165" i="2"/>
  <c r="G192" i="4" s="1"/>
  <c r="O165" i="2"/>
  <c r="P165" i="2"/>
  <c r="H192" i="4" s="1"/>
  <c r="P192" i="4" s="1"/>
  <c r="R165" i="2"/>
  <c r="S165" i="2"/>
  <c r="A166" i="2"/>
  <c r="A166" i="3" s="1"/>
  <c r="B166" i="2"/>
  <c r="B166" i="3" s="1"/>
  <c r="C166" i="2"/>
  <c r="D166" i="2"/>
  <c r="E166" i="2"/>
  <c r="F166" i="2"/>
  <c r="G166" i="2"/>
  <c r="D193" i="4" s="1"/>
  <c r="M193" i="4" s="1"/>
  <c r="I166" i="2"/>
  <c r="K166" i="2"/>
  <c r="J166" i="2" s="1"/>
  <c r="C166" i="3" s="1"/>
  <c r="L166" i="2"/>
  <c r="M166" i="2"/>
  <c r="N166" i="2"/>
  <c r="G193" i="4" s="1"/>
  <c r="O166" i="2"/>
  <c r="P166" i="2"/>
  <c r="H193" i="4" s="1"/>
  <c r="P193" i="4" s="1"/>
  <c r="R166" i="2"/>
  <c r="S166" i="2"/>
  <c r="T166" i="2"/>
  <c r="Y166" i="2"/>
  <c r="A167" i="2"/>
  <c r="A167" i="3" s="1"/>
  <c r="B167" i="2"/>
  <c r="B167" i="3" s="1"/>
  <c r="C167" i="2"/>
  <c r="D167" i="2"/>
  <c r="E167" i="2"/>
  <c r="F167" i="2"/>
  <c r="G167" i="2"/>
  <c r="D194" i="4" s="1"/>
  <c r="M194" i="4" s="1"/>
  <c r="I167" i="2"/>
  <c r="T167" i="2" s="1"/>
  <c r="D167" i="3" s="1"/>
  <c r="K167" i="2"/>
  <c r="U167" i="2" s="1"/>
  <c r="E167" i="3" s="1"/>
  <c r="L167" i="2"/>
  <c r="M167" i="2"/>
  <c r="N167" i="2"/>
  <c r="G194" i="4" s="1"/>
  <c r="O167" i="2"/>
  <c r="P167" i="2"/>
  <c r="H194" i="4" s="1"/>
  <c r="P194" i="4" s="1"/>
  <c r="R167" i="2"/>
  <c r="S167" i="2"/>
  <c r="A168" i="2"/>
  <c r="A168" i="3" s="1"/>
  <c r="B168" i="2"/>
  <c r="B168" i="3" s="1"/>
  <c r="C168" i="2"/>
  <c r="D168" i="2"/>
  <c r="E168" i="2"/>
  <c r="F168" i="2"/>
  <c r="G168" i="2"/>
  <c r="D195" i="4" s="1"/>
  <c r="M195" i="4" s="1"/>
  <c r="I168" i="2"/>
  <c r="T168" i="2" s="1"/>
  <c r="D168" i="3" s="1"/>
  <c r="K168" i="2"/>
  <c r="J168" i="2" s="1"/>
  <c r="C168" i="3" s="1"/>
  <c r="L168" i="2"/>
  <c r="M168" i="2"/>
  <c r="N168" i="2"/>
  <c r="G195" i="4" s="1"/>
  <c r="O168" i="2"/>
  <c r="P168" i="2"/>
  <c r="H195" i="4" s="1"/>
  <c r="P195" i="4" s="1"/>
  <c r="R168" i="2"/>
  <c r="Y168" i="2" s="1"/>
  <c r="S168" i="2"/>
  <c r="A169" i="2"/>
  <c r="A169" i="3" s="1"/>
  <c r="B169" i="2"/>
  <c r="B169" i="3" s="1"/>
  <c r="C169" i="2"/>
  <c r="D169" i="2"/>
  <c r="E169" i="2"/>
  <c r="F169" i="2"/>
  <c r="G169" i="2"/>
  <c r="D196" i="4" s="1"/>
  <c r="M196" i="4" s="1"/>
  <c r="I169" i="2"/>
  <c r="T169" i="2" s="1"/>
  <c r="D169" i="3" s="1"/>
  <c r="K169" i="2"/>
  <c r="U169" i="2" s="1"/>
  <c r="E169" i="3" s="1"/>
  <c r="L169" i="2"/>
  <c r="M169" i="2"/>
  <c r="N169" i="2"/>
  <c r="G196" i="4" s="1"/>
  <c r="O169" i="2"/>
  <c r="P169" i="2"/>
  <c r="H196" i="4" s="1"/>
  <c r="P196" i="4" s="1"/>
  <c r="R169" i="2"/>
  <c r="S169" i="2"/>
  <c r="A131" i="2"/>
  <c r="B131" i="2"/>
  <c r="B131" i="3" s="1"/>
  <c r="C131" i="2"/>
  <c r="D131" i="2"/>
  <c r="E131" i="2"/>
  <c r="F131" i="2"/>
  <c r="G131" i="2"/>
  <c r="D155" i="4" s="1"/>
  <c r="M155" i="4" s="1"/>
  <c r="I131" i="2"/>
  <c r="K131" i="2"/>
  <c r="J131" i="2" s="1"/>
  <c r="C131" i="3" s="1"/>
  <c r="L131" i="2"/>
  <c r="M131" i="2"/>
  <c r="N131" i="2"/>
  <c r="G155" i="4" s="1"/>
  <c r="O131" i="2"/>
  <c r="P131" i="2"/>
  <c r="H155" i="4" s="1"/>
  <c r="P155" i="4" s="1"/>
  <c r="R131" i="2"/>
  <c r="S131" i="2"/>
  <c r="T131" i="2"/>
  <c r="D131" i="3" s="1"/>
  <c r="Y131" i="2"/>
  <c r="A132" i="2"/>
  <c r="A132" i="3" s="1"/>
  <c r="B132" i="2"/>
  <c r="B132" i="3" s="1"/>
  <c r="C132" i="2"/>
  <c r="D132" i="2"/>
  <c r="E132" i="2"/>
  <c r="F132" i="2"/>
  <c r="G132" i="2"/>
  <c r="D156" i="4" s="1"/>
  <c r="M156" i="4" s="1"/>
  <c r="I132" i="2"/>
  <c r="T132" i="2" s="1"/>
  <c r="D132" i="3" s="1"/>
  <c r="K132" i="2"/>
  <c r="U132" i="2" s="1"/>
  <c r="E132" i="3" s="1"/>
  <c r="L132" i="2"/>
  <c r="M132" i="2"/>
  <c r="N132" i="2"/>
  <c r="G156" i="4" s="1"/>
  <c r="O132" i="2"/>
  <c r="P132" i="2"/>
  <c r="H156" i="4" s="1"/>
  <c r="P156" i="4" s="1"/>
  <c r="R132" i="2"/>
  <c r="S132" i="2"/>
  <c r="A133" i="2"/>
  <c r="A133" i="3" s="1"/>
  <c r="B133" i="2"/>
  <c r="B133" i="3" s="1"/>
  <c r="C133" i="2"/>
  <c r="D133" i="2"/>
  <c r="E133" i="2"/>
  <c r="F133" i="2"/>
  <c r="G133" i="2"/>
  <c r="D157" i="4" s="1"/>
  <c r="M157" i="4" s="1"/>
  <c r="I133" i="2"/>
  <c r="T133" i="2" s="1"/>
  <c r="D133" i="3" s="1"/>
  <c r="K133" i="2"/>
  <c r="J133" i="2" s="1"/>
  <c r="C133" i="3" s="1"/>
  <c r="L133" i="2"/>
  <c r="M133" i="2"/>
  <c r="N133" i="2"/>
  <c r="G157" i="4" s="1"/>
  <c r="O133" i="2"/>
  <c r="P133" i="2"/>
  <c r="H157" i="4" s="1"/>
  <c r="P157" i="4" s="1"/>
  <c r="R133" i="2"/>
  <c r="Y133" i="2" s="1"/>
  <c r="S133" i="2"/>
  <c r="A134" i="2"/>
  <c r="A134" i="3" s="1"/>
  <c r="B134" i="2"/>
  <c r="B134" i="3" s="1"/>
  <c r="C134" i="2"/>
  <c r="D134" i="2"/>
  <c r="E134" i="2"/>
  <c r="F134" i="2"/>
  <c r="G134" i="2"/>
  <c r="D158" i="4" s="1"/>
  <c r="M158" i="4" s="1"/>
  <c r="I134" i="2"/>
  <c r="T134" i="2" s="1"/>
  <c r="D134" i="3" s="1"/>
  <c r="K134" i="2"/>
  <c r="U134" i="2" s="1"/>
  <c r="E134" i="3" s="1"/>
  <c r="L134" i="2"/>
  <c r="M134" i="2"/>
  <c r="N134" i="2"/>
  <c r="G158" i="4" s="1"/>
  <c r="O134" i="2"/>
  <c r="P134" i="2"/>
  <c r="H158" i="4" s="1"/>
  <c r="P158" i="4" s="1"/>
  <c r="R134" i="2"/>
  <c r="S134" i="2"/>
  <c r="A135" i="2"/>
  <c r="A135" i="3" s="1"/>
  <c r="B135" i="2"/>
  <c r="B135" i="3" s="1"/>
  <c r="C135" i="2"/>
  <c r="D135" i="2"/>
  <c r="E135" i="2"/>
  <c r="F135" i="2"/>
  <c r="G135" i="2"/>
  <c r="D159" i="4" s="1"/>
  <c r="M159" i="4" s="1"/>
  <c r="I135" i="2"/>
  <c r="K135" i="2"/>
  <c r="J135" i="2" s="1"/>
  <c r="C135" i="3" s="1"/>
  <c r="L135" i="2"/>
  <c r="M135" i="2"/>
  <c r="N135" i="2"/>
  <c r="G159" i="4" s="1"/>
  <c r="O135" i="2"/>
  <c r="P135" i="2"/>
  <c r="H159" i="4" s="1"/>
  <c r="P159" i="4" s="1"/>
  <c r="R135" i="2"/>
  <c r="S135" i="2"/>
  <c r="Y135" i="2" s="1"/>
  <c r="T135" i="2"/>
  <c r="D135" i="3" s="1"/>
  <c r="A136" i="2"/>
  <c r="A136" i="3" s="1"/>
  <c r="B136" i="2"/>
  <c r="B136" i="3" s="1"/>
  <c r="C136" i="2"/>
  <c r="D136" i="2"/>
  <c r="E136" i="2"/>
  <c r="F136" i="2"/>
  <c r="G136" i="2"/>
  <c r="D160" i="4" s="1"/>
  <c r="M160" i="4" s="1"/>
  <c r="I136" i="2"/>
  <c r="T136" i="2" s="1"/>
  <c r="K136" i="2"/>
  <c r="U136" i="2" s="1"/>
  <c r="E136" i="3" s="1"/>
  <c r="L136" i="2"/>
  <c r="M136" i="2"/>
  <c r="N136" i="2"/>
  <c r="G160" i="4" s="1"/>
  <c r="O136" i="2"/>
  <c r="P136" i="2"/>
  <c r="H160" i="4" s="1"/>
  <c r="P160" i="4" s="1"/>
  <c r="R136" i="2"/>
  <c r="Y136" i="2" s="1"/>
  <c r="A137" i="2"/>
  <c r="A137" i="3" s="1"/>
  <c r="B137" i="2"/>
  <c r="B137" i="3" s="1"/>
  <c r="C137" i="2"/>
  <c r="D137" i="2"/>
  <c r="E137" i="2"/>
  <c r="F137" i="2"/>
  <c r="G137" i="2"/>
  <c r="D161" i="4" s="1"/>
  <c r="M161" i="4" s="1"/>
  <c r="I137" i="2"/>
  <c r="K137" i="2"/>
  <c r="J137" i="2" s="1"/>
  <c r="C137" i="3" s="1"/>
  <c r="L137" i="2"/>
  <c r="M137" i="2"/>
  <c r="N137" i="2"/>
  <c r="G161" i="4" s="1"/>
  <c r="O137" i="2"/>
  <c r="P137" i="2"/>
  <c r="H161" i="4" s="1"/>
  <c r="P161" i="4" s="1"/>
  <c r="R137" i="2"/>
  <c r="Y137" i="2" s="1"/>
  <c r="S137" i="2"/>
  <c r="T137" i="2"/>
  <c r="D137" i="3" s="1"/>
  <c r="A138" i="2"/>
  <c r="A138" i="3" s="1"/>
  <c r="B138" i="2"/>
  <c r="C138" i="2"/>
  <c r="D138" i="2"/>
  <c r="E138" i="2"/>
  <c r="F138" i="2"/>
  <c r="G138" i="2"/>
  <c r="D162" i="4" s="1"/>
  <c r="M162" i="4" s="1"/>
  <c r="I138" i="2"/>
  <c r="T138" i="2" s="1"/>
  <c r="D138" i="3" s="1"/>
  <c r="K138" i="2"/>
  <c r="U138" i="2" s="1"/>
  <c r="E138" i="3" s="1"/>
  <c r="L138" i="2"/>
  <c r="M138" i="2"/>
  <c r="N138" i="2"/>
  <c r="G162" i="4" s="1"/>
  <c r="O138" i="2"/>
  <c r="P138" i="2"/>
  <c r="H162" i="4" s="1"/>
  <c r="P162" i="4" s="1"/>
  <c r="R138" i="2"/>
  <c r="Y138" i="2" s="1"/>
  <c r="S138" i="2"/>
  <c r="A139" i="2"/>
  <c r="A139" i="3" s="1"/>
  <c r="B139" i="2"/>
  <c r="B139" i="3" s="1"/>
  <c r="C139" i="2"/>
  <c r="D139" i="2"/>
  <c r="E139" i="2"/>
  <c r="F139" i="2"/>
  <c r="G139" i="2"/>
  <c r="D163" i="4" s="1"/>
  <c r="M163" i="4" s="1"/>
  <c r="I139" i="2"/>
  <c r="K139" i="2"/>
  <c r="J139" i="2" s="1"/>
  <c r="C139" i="3" s="1"/>
  <c r="L139" i="2"/>
  <c r="M139" i="2"/>
  <c r="N139" i="2"/>
  <c r="G163" i="4" s="1"/>
  <c r="O139" i="2"/>
  <c r="P139" i="2"/>
  <c r="H163" i="4" s="1"/>
  <c r="P163" i="4" s="1"/>
  <c r="S139" i="2"/>
  <c r="T139" i="2"/>
  <c r="A140" i="2"/>
  <c r="A140" i="3" s="1"/>
  <c r="B140" i="2"/>
  <c r="B140" i="3" s="1"/>
  <c r="C140" i="2"/>
  <c r="D140" i="2"/>
  <c r="E140" i="2"/>
  <c r="F140" i="2"/>
  <c r="G140" i="2"/>
  <c r="D164" i="4" s="1"/>
  <c r="M164" i="4" s="1"/>
  <c r="I140" i="2"/>
  <c r="T140" i="2" s="1"/>
  <c r="K140" i="2"/>
  <c r="U140" i="2" s="1"/>
  <c r="E140" i="3" s="1"/>
  <c r="L140" i="2"/>
  <c r="M140" i="2"/>
  <c r="N140" i="2"/>
  <c r="G164" i="4" s="1"/>
  <c r="O140" i="2"/>
  <c r="P140" i="2"/>
  <c r="H164" i="4" s="1"/>
  <c r="P164" i="4" s="1"/>
  <c r="R140" i="2"/>
  <c r="Y140" i="2" s="1"/>
  <c r="A141" i="2"/>
  <c r="A141" i="3" s="1"/>
  <c r="B141" i="2"/>
  <c r="B141" i="3" s="1"/>
  <c r="C141" i="2"/>
  <c r="D141" i="2"/>
  <c r="E141" i="2"/>
  <c r="F141" i="2"/>
  <c r="G141" i="2"/>
  <c r="D166" i="4" s="1"/>
  <c r="M166" i="4" s="1"/>
  <c r="I141" i="2"/>
  <c r="K141" i="2"/>
  <c r="L141" i="2"/>
  <c r="M141" i="2"/>
  <c r="N141" i="2"/>
  <c r="G166" i="4" s="1"/>
  <c r="O166" i="4" s="1"/>
  <c r="O141" i="2"/>
  <c r="P141" i="2"/>
  <c r="H166" i="4" s="1"/>
  <c r="P166" i="4" s="1"/>
  <c r="R141" i="2"/>
  <c r="S141" i="2"/>
  <c r="T141" i="2"/>
  <c r="D141" i="3" s="1"/>
  <c r="Y141" i="2"/>
  <c r="A142" i="2"/>
  <c r="A142" i="3" s="1"/>
  <c r="B142" i="2"/>
  <c r="C142" i="2"/>
  <c r="D142" i="2"/>
  <c r="E142" i="2"/>
  <c r="F142" i="2"/>
  <c r="G142" i="2"/>
  <c r="D167" i="4" s="1"/>
  <c r="M167" i="4" s="1"/>
  <c r="I142" i="2"/>
  <c r="J142" i="2"/>
  <c r="K142" i="2"/>
  <c r="L142" i="2"/>
  <c r="M142" i="2"/>
  <c r="N142" i="2"/>
  <c r="G167" i="4" s="1"/>
  <c r="O142" i="2"/>
  <c r="P142" i="2"/>
  <c r="H167" i="4" s="1"/>
  <c r="P167" i="4" s="1"/>
  <c r="A143" i="2"/>
  <c r="A143" i="3" s="1"/>
  <c r="B143" i="2"/>
  <c r="B143" i="3" s="1"/>
  <c r="C143" i="2"/>
  <c r="D143" i="2"/>
  <c r="E143" i="2"/>
  <c r="F143" i="2"/>
  <c r="G143" i="2"/>
  <c r="I143" i="2"/>
  <c r="J143" i="2"/>
  <c r="K143" i="2"/>
  <c r="L143" i="2"/>
  <c r="M143" i="2"/>
  <c r="N143" i="2"/>
  <c r="O143" i="2"/>
  <c r="P143" i="2"/>
  <c r="A144" i="2"/>
  <c r="A144" i="3" s="1"/>
  <c r="B144" i="2"/>
  <c r="B144" i="3" s="1"/>
  <c r="C144" i="2"/>
  <c r="D144" i="2"/>
  <c r="E144" i="2"/>
  <c r="F144" i="2"/>
  <c r="G144" i="2"/>
  <c r="I144" i="2"/>
  <c r="J144" i="2"/>
  <c r="K144" i="2"/>
  <c r="L144" i="2"/>
  <c r="M144" i="2"/>
  <c r="N144" i="2"/>
  <c r="G169" i="4" s="1"/>
  <c r="O144" i="2"/>
  <c r="P144" i="2"/>
  <c r="H169" i="4" s="1"/>
  <c r="P169" i="4" s="1"/>
  <c r="A145" i="2"/>
  <c r="A145" i="3" s="1"/>
  <c r="B145" i="2"/>
  <c r="B145" i="3" s="1"/>
  <c r="C145" i="2"/>
  <c r="D145" i="2"/>
  <c r="E145" i="2"/>
  <c r="F145" i="2"/>
  <c r="G145" i="2"/>
  <c r="D171" i="4" s="1"/>
  <c r="M171" i="4" s="1"/>
  <c r="I145" i="2"/>
  <c r="K145" i="2"/>
  <c r="J145" i="2" s="1"/>
  <c r="C145" i="3" s="1"/>
  <c r="L145" i="2"/>
  <c r="M145" i="2"/>
  <c r="N145" i="2"/>
  <c r="G171" i="4" s="1"/>
  <c r="O145" i="2"/>
  <c r="P145" i="2"/>
  <c r="H171" i="4" s="1"/>
  <c r="P171" i="4" s="1"/>
  <c r="S145" i="2"/>
  <c r="T145" i="2"/>
  <c r="A146" i="2"/>
  <c r="A146" i="3" s="1"/>
  <c r="B146" i="2"/>
  <c r="B146" i="3" s="1"/>
  <c r="C146" i="2"/>
  <c r="D146" i="2"/>
  <c r="E146" i="2"/>
  <c r="F146" i="2"/>
  <c r="G146" i="2"/>
  <c r="D172" i="4" s="1"/>
  <c r="M172" i="4" s="1"/>
  <c r="I146" i="2"/>
  <c r="T146" i="2" s="1"/>
  <c r="D146" i="3" s="1"/>
  <c r="K146" i="2"/>
  <c r="U146" i="2" s="1"/>
  <c r="E146" i="3" s="1"/>
  <c r="L146" i="2"/>
  <c r="M146" i="2"/>
  <c r="N146" i="2"/>
  <c r="G172" i="4" s="1"/>
  <c r="O146" i="2"/>
  <c r="P146" i="2"/>
  <c r="H172" i="4" s="1"/>
  <c r="P172" i="4" s="1"/>
  <c r="R146" i="2"/>
  <c r="Y146" i="2" s="1"/>
  <c r="A147" i="2"/>
  <c r="A147" i="3" s="1"/>
  <c r="B147" i="2"/>
  <c r="B147" i="3" s="1"/>
  <c r="C147" i="2"/>
  <c r="D147" i="2"/>
  <c r="E147" i="2"/>
  <c r="F147" i="2"/>
  <c r="G147" i="2"/>
  <c r="D173" i="4" s="1"/>
  <c r="M173" i="4" s="1"/>
  <c r="I147" i="2"/>
  <c r="K147" i="2"/>
  <c r="J147" i="2" s="1"/>
  <c r="C147" i="3" s="1"/>
  <c r="L147" i="2"/>
  <c r="M147" i="2"/>
  <c r="N147" i="2"/>
  <c r="G173" i="4" s="1"/>
  <c r="O147" i="2"/>
  <c r="P147" i="2"/>
  <c r="H173" i="4" s="1"/>
  <c r="P173" i="4" s="1"/>
  <c r="R147" i="2"/>
  <c r="S147" i="2"/>
  <c r="Y147" i="2" s="1"/>
  <c r="T147" i="2"/>
  <c r="D147" i="3" s="1"/>
  <c r="A148" i="2"/>
  <c r="A148" i="3" s="1"/>
  <c r="B148" i="2"/>
  <c r="B148" i="3" s="1"/>
  <c r="C148" i="2"/>
  <c r="D148" i="2"/>
  <c r="E148" i="2"/>
  <c r="F148" i="2"/>
  <c r="G148" i="2"/>
  <c r="D174" i="4" s="1"/>
  <c r="M174" i="4" s="1"/>
  <c r="I148" i="2"/>
  <c r="T148" i="2" s="1"/>
  <c r="D148" i="3" s="1"/>
  <c r="K148" i="2"/>
  <c r="U148" i="2" s="1"/>
  <c r="E148" i="3" s="1"/>
  <c r="L148" i="2"/>
  <c r="M148" i="2"/>
  <c r="N148" i="2"/>
  <c r="G174" i="4" s="1"/>
  <c r="O148" i="2"/>
  <c r="P148" i="2"/>
  <c r="H174" i="4" s="1"/>
  <c r="P174" i="4" s="1"/>
  <c r="R148" i="2"/>
  <c r="A149" i="2"/>
  <c r="A149" i="3" s="1"/>
  <c r="B149" i="2"/>
  <c r="B149" i="3" s="1"/>
  <c r="C149" i="2"/>
  <c r="D149" i="2"/>
  <c r="E149" i="2"/>
  <c r="F149" i="2"/>
  <c r="G149" i="2"/>
  <c r="D175" i="4" s="1"/>
  <c r="M175" i="4" s="1"/>
  <c r="I149" i="2"/>
  <c r="K149" i="2"/>
  <c r="J149" i="2" s="1"/>
  <c r="C149" i="3" s="1"/>
  <c r="L149" i="2"/>
  <c r="M149" i="2"/>
  <c r="N149" i="2"/>
  <c r="O149" i="2"/>
  <c r="P149" i="2"/>
  <c r="H175" i="4" s="1"/>
  <c r="P175" i="4" s="1"/>
  <c r="R149" i="2"/>
  <c r="S149" i="2"/>
  <c r="T149" i="2"/>
  <c r="Y149" i="2"/>
  <c r="A150" i="2"/>
  <c r="A150" i="3" s="1"/>
  <c r="B150" i="2"/>
  <c r="B150" i="3" s="1"/>
  <c r="C150" i="2"/>
  <c r="D150" i="2"/>
  <c r="E150" i="2"/>
  <c r="F150" i="2"/>
  <c r="G150" i="2"/>
  <c r="D176" i="4" s="1"/>
  <c r="M176" i="4" s="1"/>
  <c r="I150" i="2"/>
  <c r="T150" i="2" s="1"/>
  <c r="D150" i="3" s="1"/>
  <c r="K150" i="2"/>
  <c r="U150" i="2" s="1"/>
  <c r="E150" i="3" s="1"/>
  <c r="L150" i="2"/>
  <c r="M150" i="2"/>
  <c r="N150" i="2"/>
  <c r="G176" i="4" s="1"/>
  <c r="O150" i="2"/>
  <c r="P150" i="2"/>
  <c r="H176" i="4" s="1"/>
  <c r="P176" i="4" s="1"/>
  <c r="R150" i="2"/>
  <c r="A151" i="2"/>
  <c r="A151" i="3" s="1"/>
  <c r="B151" i="2"/>
  <c r="C151" i="2"/>
  <c r="D151" i="2"/>
  <c r="E151" i="2"/>
  <c r="F151" i="2"/>
  <c r="G151" i="2"/>
  <c r="D177" i="4" s="1"/>
  <c r="M177" i="4" s="1"/>
  <c r="I151" i="2"/>
  <c r="K151" i="2"/>
  <c r="L151" i="2"/>
  <c r="M151" i="2"/>
  <c r="N151" i="2"/>
  <c r="G177" i="4" s="1"/>
  <c r="O151" i="2"/>
  <c r="P151" i="2"/>
  <c r="H177" i="4" s="1"/>
  <c r="P177" i="4" s="1"/>
  <c r="R151" i="2"/>
  <c r="Y151" i="2" s="1"/>
  <c r="S151" i="2"/>
  <c r="T151" i="2"/>
  <c r="D151" i="3" s="1"/>
  <c r="A152" i="2"/>
  <c r="B152" i="2"/>
  <c r="B152" i="3" s="1"/>
  <c r="C152" i="2"/>
  <c r="D152" i="2"/>
  <c r="E152" i="2"/>
  <c r="F152" i="2"/>
  <c r="G152" i="2"/>
  <c r="R152" i="2" s="1"/>
  <c r="I152" i="2"/>
  <c r="T152" i="2" s="1"/>
  <c r="D152" i="3" s="1"/>
  <c r="K152" i="2"/>
  <c r="U152" i="2" s="1"/>
  <c r="L152" i="2"/>
  <c r="M152" i="2"/>
  <c r="N152" i="2"/>
  <c r="G178" i="4" s="1"/>
  <c r="O152" i="2"/>
  <c r="P152" i="2"/>
  <c r="A153" i="2"/>
  <c r="A153" i="3" s="1"/>
  <c r="B153" i="2"/>
  <c r="B153" i="3" s="1"/>
  <c r="C153" i="2"/>
  <c r="D153" i="2"/>
  <c r="E153" i="2"/>
  <c r="F153" i="2"/>
  <c r="G153" i="2"/>
  <c r="D179" i="4" s="1"/>
  <c r="M179" i="4" s="1"/>
  <c r="I153" i="2"/>
  <c r="T153" i="2" s="1"/>
  <c r="D153" i="3" s="1"/>
  <c r="K153" i="2"/>
  <c r="L153" i="2"/>
  <c r="M153" i="2"/>
  <c r="N153" i="2"/>
  <c r="G179" i="4" s="1"/>
  <c r="O153" i="2"/>
  <c r="P153" i="2"/>
  <c r="H179" i="4" s="1"/>
  <c r="P179" i="4" s="1"/>
  <c r="R153" i="2"/>
  <c r="Y153" i="2" s="1"/>
  <c r="S153" i="2"/>
  <c r="A154" i="2"/>
  <c r="A154" i="3" s="1"/>
  <c r="B154" i="2"/>
  <c r="B154" i="3" s="1"/>
  <c r="C154" i="2"/>
  <c r="D154" i="2"/>
  <c r="E154" i="2"/>
  <c r="F154" i="2"/>
  <c r="G154" i="2"/>
  <c r="D180" i="4" s="1"/>
  <c r="M180" i="4" s="1"/>
  <c r="I154" i="2"/>
  <c r="T154" i="2" s="1"/>
  <c r="D154" i="3" s="1"/>
  <c r="K154" i="2"/>
  <c r="U154" i="2" s="1"/>
  <c r="E154" i="3" s="1"/>
  <c r="L154" i="2"/>
  <c r="M154" i="2"/>
  <c r="N154" i="2"/>
  <c r="G180" i="4" s="1"/>
  <c r="O154" i="2"/>
  <c r="P154" i="2"/>
  <c r="H180" i="4" s="1"/>
  <c r="P180" i="4" s="1"/>
  <c r="R154" i="2"/>
  <c r="Y154" i="2" s="1"/>
  <c r="A155" i="2"/>
  <c r="A155" i="3" s="1"/>
  <c r="B155" i="2"/>
  <c r="C155" i="2"/>
  <c r="D155" i="2"/>
  <c r="E155" i="2"/>
  <c r="F155" i="2"/>
  <c r="G155" i="2"/>
  <c r="D181" i="4" s="1"/>
  <c r="M181" i="4" s="1"/>
  <c r="I155" i="2"/>
  <c r="K155" i="2"/>
  <c r="L155" i="2"/>
  <c r="M155" i="2"/>
  <c r="N155" i="2"/>
  <c r="G181" i="4" s="1"/>
  <c r="O155" i="2"/>
  <c r="P155" i="2"/>
  <c r="H181" i="4" s="1"/>
  <c r="P181" i="4" s="1"/>
  <c r="S155" i="2"/>
  <c r="T155" i="2"/>
  <c r="D155" i="3" s="1"/>
  <c r="A156" i="2"/>
  <c r="B156" i="2"/>
  <c r="B156" i="3" s="1"/>
  <c r="C156" i="2"/>
  <c r="D156" i="2"/>
  <c r="E156" i="2"/>
  <c r="F156" i="2"/>
  <c r="G156" i="2"/>
  <c r="D182" i="4" s="1"/>
  <c r="M182" i="4" s="1"/>
  <c r="I156" i="2"/>
  <c r="T156" i="2" s="1"/>
  <c r="D156" i="3" s="1"/>
  <c r="K156" i="2"/>
  <c r="U156" i="2" s="1"/>
  <c r="L156" i="2"/>
  <c r="M156" i="2"/>
  <c r="N156" i="2"/>
  <c r="G182" i="4" s="1"/>
  <c r="O156" i="2"/>
  <c r="P156" i="2"/>
  <c r="H182" i="4" s="1"/>
  <c r="P182" i="4" s="1"/>
  <c r="R156" i="2"/>
  <c r="A157" i="2"/>
  <c r="A157" i="3" s="1"/>
  <c r="B157" i="2"/>
  <c r="B157" i="3" s="1"/>
  <c r="C157" i="2"/>
  <c r="D157" i="2"/>
  <c r="E157" i="2"/>
  <c r="F157" i="2"/>
  <c r="G157" i="2"/>
  <c r="D183" i="4" s="1"/>
  <c r="M183" i="4" s="1"/>
  <c r="I157" i="2"/>
  <c r="K157" i="2"/>
  <c r="L157" i="2"/>
  <c r="M157" i="2"/>
  <c r="N157" i="2"/>
  <c r="G183" i="4" s="1"/>
  <c r="O157" i="2"/>
  <c r="P157" i="2"/>
  <c r="H183" i="4" s="1"/>
  <c r="P183" i="4" s="1"/>
  <c r="S157" i="2"/>
  <c r="T157" i="2"/>
  <c r="A158" i="2"/>
  <c r="A158" i="3" s="1"/>
  <c r="B158" i="2"/>
  <c r="B158" i="3" s="1"/>
  <c r="C158" i="2"/>
  <c r="D158" i="2"/>
  <c r="E158" i="2"/>
  <c r="F158" i="2"/>
  <c r="G158" i="2"/>
  <c r="D184" i="4" s="1"/>
  <c r="M184" i="4" s="1"/>
  <c r="I158" i="2"/>
  <c r="T158" i="2" s="1"/>
  <c r="D158" i="3" s="1"/>
  <c r="K158" i="2"/>
  <c r="U158" i="2" s="1"/>
  <c r="E158" i="3" s="1"/>
  <c r="L158" i="2"/>
  <c r="M158" i="2"/>
  <c r="N158" i="2"/>
  <c r="G184" i="4" s="1"/>
  <c r="O158" i="2"/>
  <c r="P158" i="2"/>
  <c r="H184" i="4" s="1"/>
  <c r="P184" i="4" s="1"/>
  <c r="A159" i="2"/>
  <c r="A159" i="3" s="1"/>
  <c r="B159" i="2"/>
  <c r="B159" i="3" s="1"/>
  <c r="C159" i="2"/>
  <c r="D159" i="2"/>
  <c r="E159" i="2"/>
  <c r="F159" i="2"/>
  <c r="G159" i="2"/>
  <c r="D185" i="4" s="1"/>
  <c r="M185" i="4" s="1"/>
  <c r="I159" i="2"/>
  <c r="T159" i="2" s="1"/>
  <c r="D159" i="3" s="1"/>
  <c r="K159" i="2"/>
  <c r="L159" i="2"/>
  <c r="M159" i="2"/>
  <c r="N159" i="2"/>
  <c r="G185" i="4" s="1"/>
  <c r="O159" i="2"/>
  <c r="P159" i="2"/>
  <c r="H185" i="4" s="1"/>
  <c r="P185" i="4" s="1"/>
  <c r="R159" i="2"/>
  <c r="Y159" i="2" s="1"/>
  <c r="S159" i="2"/>
  <c r="A160" i="2"/>
  <c r="B160" i="2"/>
  <c r="B160" i="3" s="1"/>
  <c r="C160" i="2"/>
  <c r="D160" i="2"/>
  <c r="E160" i="2"/>
  <c r="F160" i="2"/>
  <c r="G160" i="2"/>
  <c r="D186" i="4" s="1"/>
  <c r="M186" i="4" s="1"/>
  <c r="I160" i="2"/>
  <c r="T160" i="2" s="1"/>
  <c r="D160" i="3" s="1"/>
  <c r="K160" i="2"/>
  <c r="L160" i="2"/>
  <c r="M160" i="2"/>
  <c r="N160" i="2"/>
  <c r="G186" i="4" s="1"/>
  <c r="O160" i="2"/>
  <c r="P160" i="2"/>
  <c r="H186" i="4" s="1"/>
  <c r="P186" i="4" s="1"/>
  <c r="R160" i="2"/>
  <c r="A161" i="2"/>
  <c r="A161" i="3" s="1"/>
  <c r="B161" i="2"/>
  <c r="B161" i="3" s="1"/>
  <c r="C161" i="2"/>
  <c r="D161" i="2"/>
  <c r="E161" i="2"/>
  <c r="F161" i="2"/>
  <c r="G161" i="2"/>
  <c r="D187" i="4" s="1"/>
  <c r="M187" i="4" s="1"/>
  <c r="I161" i="2"/>
  <c r="K161" i="2"/>
  <c r="L161" i="2"/>
  <c r="M161" i="2"/>
  <c r="N161" i="2"/>
  <c r="G187" i="4" s="1"/>
  <c r="O161" i="2"/>
  <c r="P161" i="2"/>
  <c r="H187" i="4" s="1"/>
  <c r="P187" i="4" s="1"/>
  <c r="R161" i="2"/>
  <c r="S161" i="2"/>
  <c r="T161" i="2"/>
  <c r="Y161" i="2"/>
  <c r="A123" i="2"/>
  <c r="B123" i="2"/>
  <c r="C123" i="2"/>
  <c r="D123" i="2"/>
  <c r="E123" i="2"/>
  <c r="F123" i="2"/>
  <c r="G123" i="2"/>
  <c r="R123" i="2" s="1"/>
  <c r="I123" i="2"/>
  <c r="T123" i="2" s="1"/>
  <c r="K123" i="2"/>
  <c r="U123" i="2" s="1"/>
  <c r="L123" i="2"/>
  <c r="M123" i="2"/>
  <c r="N123" i="2"/>
  <c r="O123" i="2"/>
  <c r="P123" i="2"/>
  <c r="A124" i="2"/>
  <c r="B124" i="2"/>
  <c r="C124" i="2"/>
  <c r="D124" i="2"/>
  <c r="E124" i="2"/>
  <c r="F124" i="2"/>
  <c r="G124" i="2"/>
  <c r="D148" i="4" s="1"/>
  <c r="M148" i="4" s="1"/>
  <c r="I124" i="2"/>
  <c r="T124" i="2" s="1"/>
  <c r="K124" i="2"/>
  <c r="J124" i="2" s="1"/>
  <c r="L124" i="2"/>
  <c r="M124" i="2"/>
  <c r="N124" i="2"/>
  <c r="G148" i="4" s="1"/>
  <c r="O124" i="2"/>
  <c r="P124" i="2"/>
  <c r="H148" i="4" s="1"/>
  <c r="P148" i="4" s="1"/>
  <c r="R124" i="2"/>
  <c r="S124" i="2"/>
  <c r="U124" i="2"/>
  <c r="A125" i="2"/>
  <c r="A125" i="3" s="1"/>
  <c r="B125" i="2"/>
  <c r="B125" i="3" s="1"/>
  <c r="C125" i="2"/>
  <c r="D125" i="2"/>
  <c r="E125" i="2"/>
  <c r="F125" i="2"/>
  <c r="G125" i="2"/>
  <c r="D149" i="4" s="1"/>
  <c r="M149" i="4" s="1"/>
  <c r="I125" i="2"/>
  <c r="K125" i="2"/>
  <c r="U125" i="2" s="1"/>
  <c r="E125" i="3" s="1"/>
  <c r="L125" i="2"/>
  <c r="M125" i="2"/>
  <c r="N125" i="2"/>
  <c r="G149" i="4" s="1"/>
  <c r="O125" i="2"/>
  <c r="P125" i="2"/>
  <c r="H149" i="4" s="1"/>
  <c r="P149" i="4" s="1"/>
  <c r="S125" i="2"/>
  <c r="T125" i="2"/>
  <c r="D125" i="3" s="1"/>
  <c r="A126" i="2"/>
  <c r="A126" i="3" s="1"/>
  <c r="B126" i="2"/>
  <c r="B126" i="3" s="1"/>
  <c r="C126" i="2"/>
  <c r="D126" i="2"/>
  <c r="E126" i="2"/>
  <c r="F126" i="2"/>
  <c r="G126" i="2"/>
  <c r="D150" i="4" s="1"/>
  <c r="M150" i="4" s="1"/>
  <c r="I126" i="2"/>
  <c r="T126" i="2" s="1"/>
  <c r="D126" i="3" s="1"/>
  <c r="K126" i="2"/>
  <c r="J126" i="2" s="1"/>
  <c r="C126" i="3" s="1"/>
  <c r="L126" i="2"/>
  <c r="M126" i="2"/>
  <c r="N126" i="2"/>
  <c r="G150" i="4" s="1"/>
  <c r="O126" i="2"/>
  <c r="P126" i="2"/>
  <c r="H150" i="4" s="1"/>
  <c r="P150" i="4" s="1"/>
  <c r="S126" i="2"/>
  <c r="A127" i="2"/>
  <c r="A127" i="3" s="1"/>
  <c r="B127" i="2"/>
  <c r="B127" i="3" s="1"/>
  <c r="C127" i="2"/>
  <c r="D127" i="2"/>
  <c r="E127" i="2"/>
  <c r="F127" i="2"/>
  <c r="G127" i="2"/>
  <c r="R127" i="2" s="1"/>
  <c r="Y127" i="2" s="1"/>
  <c r="I127" i="2"/>
  <c r="T127" i="2" s="1"/>
  <c r="D127" i="3" s="1"/>
  <c r="K127" i="2"/>
  <c r="U127" i="2" s="1"/>
  <c r="L127" i="2"/>
  <c r="M127" i="2"/>
  <c r="N127" i="2"/>
  <c r="G151" i="4" s="1"/>
  <c r="O127" i="2"/>
  <c r="P127" i="2"/>
  <c r="H151" i="4" s="1"/>
  <c r="P151" i="4" s="1"/>
  <c r="S127" i="2"/>
  <c r="A128" i="2"/>
  <c r="A128" i="3" s="1"/>
  <c r="B128" i="2"/>
  <c r="B128" i="3" s="1"/>
  <c r="C128" i="2"/>
  <c r="D128" i="2"/>
  <c r="E128" i="2"/>
  <c r="F128" i="2"/>
  <c r="G128" i="2"/>
  <c r="D152" i="4" s="1"/>
  <c r="M152" i="4" s="1"/>
  <c r="I128" i="2"/>
  <c r="T128" i="2" s="1"/>
  <c r="D128" i="3" s="1"/>
  <c r="K128" i="2"/>
  <c r="J128" i="2" s="1"/>
  <c r="C128" i="3" s="1"/>
  <c r="L128" i="2"/>
  <c r="M128" i="2"/>
  <c r="N128" i="2"/>
  <c r="G152" i="4" s="1"/>
  <c r="O128" i="2"/>
  <c r="P128" i="2"/>
  <c r="H152" i="4" s="1"/>
  <c r="P152" i="4" s="1"/>
  <c r="R128" i="2"/>
  <c r="A129" i="2"/>
  <c r="A129" i="3" s="1"/>
  <c r="B129" i="2"/>
  <c r="B129" i="3" s="1"/>
  <c r="C129" i="2"/>
  <c r="D129" i="2"/>
  <c r="E129" i="2"/>
  <c r="F129" i="2"/>
  <c r="G129" i="2"/>
  <c r="D153" i="4" s="1"/>
  <c r="M153" i="4" s="1"/>
  <c r="I129" i="2"/>
  <c r="K129" i="2"/>
  <c r="U129" i="2" s="1"/>
  <c r="E129" i="3" s="1"/>
  <c r="L129" i="2"/>
  <c r="M129" i="2"/>
  <c r="N129" i="2"/>
  <c r="G153" i="4" s="1"/>
  <c r="O129" i="2"/>
  <c r="P129" i="2"/>
  <c r="H153" i="4" s="1"/>
  <c r="P153" i="4" s="1"/>
  <c r="R129" i="2"/>
  <c r="S129" i="2"/>
  <c r="T129" i="2"/>
  <c r="D129" i="3" s="1"/>
  <c r="Y129" i="2"/>
  <c r="A130" i="2"/>
  <c r="A130" i="3" s="1"/>
  <c r="B130" i="2"/>
  <c r="B130" i="3" s="1"/>
  <c r="C130" i="2"/>
  <c r="D130" i="2"/>
  <c r="E130" i="2"/>
  <c r="F130" i="2"/>
  <c r="G130" i="2"/>
  <c r="D154" i="4" s="1"/>
  <c r="M154" i="4" s="1"/>
  <c r="I130" i="2"/>
  <c r="T130" i="2" s="1"/>
  <c r="D130" i="3" s="1"/>
  <c r="K130" i="2"/>
  <c r="J130" i="2" s="1"/>
  <c r="C130" i="3" s="1"/>
  <c r="L130" i="2"/>
  <c r="M130" i="2"/>
  <c r="N130" i="2"/>
  <c r="G154" i="4" s="1"/>
  <c r="O130" i="2"/>
  <c r="P130" i="2"/>
  <c r="H154" i="4" s="1"/>
  <c r="P154" i="4" s="1"/>
  <c r="S130" i="2"/>
  <c r="U130" i="2"/>
  <c r="E130" i="3" s="1"/>
  <c r="K185" i="1"/>
  <c r="K181" i="1"/>
  <c r="K180" i="1"/>
  <c r="K178" i="1"/>
  <c r="K175" i="1"/>
  <c r="K174" i="1"/>
  <c r="K173" i="1"/>
  <c r="K172" i="1"/>
  <c r="K186" i="1"/>
  <c r="R157" i="2" l="1"/>
  <c r="Y157" i="2" s="1"/>
  <c r="R145" i="2"/>
  <c r="Y145" i="2" s="1"/>
  <c r="S176" i="2"/>
  <c r="E203" i="4"/>
  <c r="N203" i="4" s="1"/>
  <c r="S128" i="2"/>
  <c r="E152" i="4"/>
  <c r="N152" i="4" s="1"/>
  <c r="Y124" i="2"/>
  <c r="R126" i="2"/>
  <c r="S160" i="2"/>
  <c r="Y160" i="2" s="1"/>
  <c r="S140" i="2"/>
  <c r="R175" i="2"/>
  <c r="Y175" i="2" s="1"/>
  <c r="D202" i="4"/>
  <c r="M202" i="4" s="1"/>
  <c r="R173" i="2"/>
  <c r="Y173" i="2" s="1"/>
  <c r="D200" i="4"/>
  <c r="M200" i="4" s="1"/>
  <c r="S182" i="2"/>
  <c r="E209" i="4"/>
  <c r="N209" i="4" s="1"/>
  <c r="S178" i="2"/>
  <c r="E205" i="4"/>
  <c r="N205" i="4" s="1"/>
  <c r="S174" i="2"/>
  <c r="E201" i="4"/>
  <c r="N201" i="4" s="1"/>
  <c r="S158" i="2"/>
  <c r="Y158" i="2" s="1"/>
  <c r="E184" i="4"/>
  <c r="N184" i="4" s="1"/>
  <c r="S154" i="2"/>
  <c r="E180" i="4"/>
  <c r="N180" i="4" s="1"/>
  <c r="S150" i="2"/>
  <c r="E176" i="4"/>
  <c r="N176" i="4" s="1"/>
  <c r="S146" i="2"/>
  <c r="E172" i="4"/>
  <c r="N172" i="4" s="1"/>
  <c r="D178" i="4"/>
  <c r="M178" i="4" s="1"/>
  <c r="R125" i="2"/>
  <c r="Y125" i="2" s="1"/>
  <c r="R155" i="2"/>
  <c r="R139" i="2"/>
  <c r="R170" i="2"/>
  <c r="Y170" i="2" s="1"/>
  <c r="R185" i="2"/>
  <c r="Y185" i="2" s="1"/>
  <c r="S180" i="2"/>
  <c r="E207" i="4"/>
  <c r="N207" i="4" s="1"/>
  <c r="S172" i="2"/>
  <c r="E199" i="4"/>
  <c r="N199" i="4" s="1"/>
  <c r="S152" i="2"/>
  <c r="E178" i="4"/>
  <c r="N178" i="4" s="1"/>
  <c r="R130" i="2"/>
  <c r="U128" i="2"/>
  <c r="E128" i="3" s="1"/>
  <c r="R158" i="2"/>
  <c r="Y155" i="2"/>
  <c r="Y139" i="2"/>
  <c r="Y171" i="2"/>
  <c r="U185" i="2"/>
  <c r="E185" i="3" s="1"/>
  <c r="R183" i="2"/>
  <c r="Y183" i="2" s="1"/>
  <c r="D210" i="4"/>
  <c r="M210" i="4" s="1"/>
  <c r="S185" i="2"/>
  <c r="E212" i="4"/>
  <c r="N212" i="4" s="1"/>
  <c r="E197" i="4"/>
  <c r="N197" i="4" s="1"/>
  <c r="U126" i="2"/>
  <c r="E126" i="3" s="1"/>
  <c r="R182" i="2"/>
  <c r="Y182" i="2" s="1"/>
  <c r="S156" i="2"/>
  <c r="E182" i="4"/>
  <c r="N182" i="4" s="1"/>
  <c r="S148" i="2"/>
  <c r="E174" i="4"/>
  <c r="N174" i="4" s="1"/>
  <c r="S136" i="2"/>
  <c r="Y181" i="2"/>
  <c r="Y123" i="2"/>
  <c r="U183" i="2"/>
  <c r="E183" i="3" s="1"/>
  <c r="D211" i="4"/>
  <c r="M211" i="4" s="1"/>
  <c r="O208" i="4"/>
  <c r="O204" i="4"/>
  <c r="O200" i="4"/>
  <c r="O195" i="4"/>
  <c r="O194" i="4"/>
  <c r="O190" i="4"/>
  <c r="O187" i="4"/>
  <c r="O185" i="4"/>
  <c r="O183" i="4"/>
  <c r="O206" i="4"/>
  <c r="O198" i="4"/>
  <c r="O196" i="4"/>
  <c r="O193" i="4"/>
  <c r="O192" i="4"/>
  <c r="O188" i="4"/>
  <c r="O186" i="4"/>
  <c r="O181" i="4"/>
  <c r="O179" i="4"/>
  <c r="O177" i="4"/>
  <c r="O175" i="4"/>
  <c r="O173" i="4"/>
  <c r="O171" i="4"/>
  <c r="O169" i="4"/>
  <c r="O167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1" i="4"/>
  <c r="O150" i="4"/>
  <c r="O149" i="4"/>
  <c r="O148" i="4"/>
  <c r="Y179" i="2"/>
  <c r="Y156" i="2"/>
  <c r="Y152" i="2"/>
  <c r="Y150" i="2"/>
  <c r="Y126" i="2"/>
  <c r="Y132" i="2"/>
  <c r="Y167" i="2"/>
  <c r="Y128" i="2"/>
  <c r="Y148" i="2"/>
  <c r="Y130" i="2"/>
  <c r="Y134" i="2"/>
  <c r="Y169" i="2"/>
  <c r="Y165" i="2"/>
  <c r="X181" i="2"/>
  <c r="W181" i="2"/>
  <c r="X183" i="2"/>
  <c r="W183" i="2"/>
  <c r="X185" i="2"/>
  <c r="W185" i="2"/>
  <c r="J184" i="2"/>
  <c r="C184" i="3" s="1"/>
  <c r="J182" i="2"/>
  <c r="C182" i="3" s="1"/>
  <c r="W178" i="2"/>
  <c r="X170" i="2"/>
  <c r="U180" i="2"/>
  <c r="J179" i="2"/>
  <c r="C179" i="3" s="1"/>
  <c r="U178" i="2"/>
  <c r="E178" i="3" s="1"/>
  <c r="J177" i="2"/>
  <c r="C177" i="3" s="1"/>
  <c r="U176" i="2"/>
  <c r="J175" i="2"/>
  <c r="C175" i="3" s="1"/>
  <c r="U174" i="2"/>
  <c r="J173" i="2"/>
  <c r="C173" i="3" s="1"/>
  <c r="U172" i="2"/>
  <c r="J171" i="2"/>
  <c r="C171" i="3" s="1"/>
  <c r="U170" i="2"/>
  <c r="E170" i="3" s="1"/>
  <c r="W168" i="2"/>
  <c r="J169" i="2"/>
  <c r="C169" i="3" s="1"/>
  <c r="U168" i="2"/>
  <c r="E168" i="3" s="1"/>
  <c r="J167" i="2"/>
  <c r="C167" i="3" s="1"/>
  <c r="U166" i="2"/>
  <c r="J165" i="2"/>
  <c r="C165" i="3" s="1"/>
  <c r="J155" i="2"/>
  <c r="C155" i="3" s="1"/>
  <c r="U155" i="2"/>
  <c r="E155" i="3" s="1"/>
  <c r="J159" i="2"/>
  <c r="C159" i="3" s="1"/>
  <c r="U159" i="2"/>
  <c r="E159" i="3" s="1"/>
  <c r="J157" i="2"/>
  <c r="C157" i="3" s="1"/>
  <c r="U157" i="2"/>
  <c r="E157" i="3" s="1"/>
  <c r="J161" i="2"/>
  <c r="C161" i="3" s="1"/>
  <c r="U161" i="2"/>
  <c r="E161" i="3" s="1"/>
  <c r="J153" i="2"/>
  <c r="C153" i="3" s="1"/>
  <c r="U153" i="2"/>
  <c r="E153" i="3" s="1"/>
  <c r="U160" i="2"/>
  <c r="E160" i="3" s="1"/>
  <c r="J160" i="2"/>
  <c r="C160" i="3" s="1"/>
  <c r="J151" i="2"/>
  <c r="C151" i="3" s="1"/>
  <c r="U151" i="2"/>
  <c r="E151" i="3" s="1"/>
  <c r="W135" i="2"/>
  <c r="J158" i="2"/>
  <c r="C158" i="3" s="1"/>
  <c r="J156" i="2"/>
  <c r="C156" i="3" s="1"/>
  <c r="J154" i="2"/>
  <c r="C154" i="3" s="1"/>
  <c r="J152" i="2"/>
  <c r="C152" i="3" s="1"/>
  <c r="J150" i="2"/>
  <c r="C150" i="3" s="1"/>
  <c r="U149" i="2"/>
  <c r="J148" i="2"/>
  <c r="C148" i="3" s="1"/>
  <c r="U147" i="2"/>
  <c r="J146" i="2"/>
  <c r="C146" i="3" s="1"/>
  <c r="U145" i="2"/>
  <c r="E145" i="3" s="1"/>
  <c r="X141" i="2"/>
  <c r="J140" i="2"/>
  <c r="C140" i="3" s="1"/>
  <c r="U139" i="2"/>
  <c r="E139" i="3" s="1"/>
  <c r="J138" i="2"/>
  <c r="C138" i="3" s="1"/>
  <c r="U137" i="2"/>
  <c r="J136" i="2"/>
  <c r="C136" i="3" s="1"/>
  <c r="U135" i="2"/>
  <c r="J134" i="2"/>
  <c r="C134" i="3" s="1"/>
  <c r="U133" i="2"/>
  <c r="J132" i="2"/>
  <c r="C132" i="3" s="1"/>
  <c r="U131" i="2"/>
  <c r="E131" i="3" s="1"/>
  <c r="X130" i="2"/>
  <c r="W130" i="2"/>
  <c r="X124" i="2"/>
  <c r="W124" i="2"/>
  <c r="X126" i="2"/>
  <c r="W126" i="2"/>
  <c r="X128" i="2"/>
  <c r="W128" i="2"/>
  <c r="J129" i="2"/>
  <c r="C129" i="3" s="1"/>
  <c r="J127" i="2"/>
  <c r="C127" i="3" s="1"/>
  <c r="J125" i="2"/>
  <c r="C125" i="3" s="1"/>
  <c r="J123" i="2"/>
  <c r="O174" i="4" l="1"/>
  <c r="O152" i="4"/>
  <c r="O203" i="4"/>
  <c r="O176" i="4"/>
  <c r="O184" i="4"/>
  <c r="O199" i="4"/>
  <c r="O205" i="4"/>
  <c r="O211" i="4"/>
  <c r="O212" i="4"/>
  <c r="O172" i="4"/>
  <c r="O180" i="4"/>
  <c r="O197" i="4"/>
  <c r="O209" i="4"/>
  <c r="O201" i="4"/>
  <c r="O207" i="4"/>
  <c r="O178" i="4"/>
  <c r="O182" i="4"/>
  <c r="O202" i="4"/>
  <c r="X145" i="2"/>
  <c r="X133" i="2"/>
  <c r="E133" i="3"/>
  <c r="X137" i="2"/>
  <c r="E137" i="3"/>
  <c r="X131" i="2"/>
  <c r="W145" i="2"/>
  <c r="X174" i="2"/>
  <c r="E174" i="3"/>
  <c r="W170" i="2"/>
  <c r="X178" i="2"/>
  <c r="X135" i="2"/>
  <c r="E135" i="3"/>
  <c r="W139" i="2"/>
  <c r="W133" i="2"/>
  <c r="X166" i="2"/>
  <c r="E166" i="3"/>
  <c r="X172" i="2"/>
  <c r="E172" i="3"/>
  <c r="X176" i="2"/>
  <c r="E176" i="3"/>
  <c r="X180" i="2"/>
  <c r="E180" i="3"/>
  <c r="W174" i="2"/>
  <c r="X149" i="2"/>
  <c r="E149" i="3"/>
  <c r="X147" i="2"/>
  <c r="E147" i="3"/>
  <c r="W131" i="2"/>
  <c r="X139" i="2"/>
  <c r="X168" i="2"/>
  <c r="W176" i="2"/>
  <c r="X184" i="2"/>
  <c r="W184" i="2"/>
  <c r="X182" i="2"/>
  <c r="W182" i="2"/>
  <c r="W171" i="2"/>
  <c r="X171" i="2"/>
  <c r="W175" i="2"/>
  <c r="X175" i="2"/>
  <c r="X179" i="2"/>
  <c r="W179" i="2"/>
  <c r="W173" i="2"/>
  <c r="X173" i="2"/>
  <c r="X177" i="2"/>
  <c r="W177" i="2"/>
  <c r="W172" i="2"/>
  <c r="W180" i="2"/>
  <c r="W166" i="2"/>
  <c r="W167" i="2"/>
  <c r="X167" i="2"/>
  <c r="W165" i="2"/>
  <c r="X165" i="2"/>
  <c r="X169" i="2"/>
  <c r="W169" i="2"/>
  <c r="W132" i="2"/>
  <c r="X132" i="2"/>
  <c r="W136" i="2"/>
  <c r="X136" i="2"/>
  <c r="W140" i="2"/>
  <c r="X140" i="2"/>
  <c r="X152" i="2"/>
  <c r="W152" i="2"/>
  <c r="X160" i="2"/>
  <c r="W160" i="2"/>
  <c r="W147" i="2"/>
  <c r="W148" i="2"/>
  <c r="X148" i="2"/>
  <c r="X154" i="2"/>
  <c r="W154" i="2"/>
  <c r="X153" i="2"/>
  <c r="W153" i="2"/>
  <c r="X157" i="2"/>
  <c r="W157" i="2"/>
  <c r="W134" i="2"/>
  <c r="X134" i="2"/>
  <c r="W138" i="2"/>
  <c r="X138" i="2"/>
  <c r="X156" i="2"/>
  <c r="W156" i="2"/>
  <c r="W141" i="2"/>
  <c r="W149" i="2"/>
  <c r="W137" i="2"/>
  <c r="W146" i="2"/>
  <c r="X146" i="2"/>
  <c r="X150" i="2"/>
  <c r="W150" i="2"/>
  <c r="X158" i="2"/>
  <c r="W158" i="2"/>
  <c r="X151" i="2"/>
  <c r="W151" i="2"/>
  <c r="X161" i="2"/>
  <c r="W161" i="2"/>
  <c r="X159" i="2"/>
  <c r="W159" i="2"/>
  <c r="X155" i="2"/>
  <c r="W155" i="2"/>
  <c r="W123" i="2"/>
  <c r="X123" i="2"/>
  <c r="W125" i="2"/>
  <c r="X125" i="2"/>
  <c r="W127" i="2"/>
  <c r="X127" i="2"/>
  <c r="W129" i="2"/>
  <c r="X129" i="2"/>
  <c r="E172" i="1" l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73" i="1"/>
  <c r="A172" i="1"/>
  <c r="K171" i="1" l="1"/>
  <c r="K170" i="1"/>
  <c r="K169" i="1"/>
  <c r="K168" i="1"/>
  <c r="K161" i="1"/>
  <c r="K160" i="1"/>
  <c r="K159" i="1"/>
  <c r="K158" i="1"/>
  <c r="K157" i="1"/>
  <c r="K155" i="1"/>
  <c r="K154" i="1"/>
  <c r="K153" i="1"/>
  <c r="K152" i="1"/>
  <c r="K151" i="1"/>
  <c r="K150" i="1"/>
  <c r="K147" i="1"/>
  <c r="K146" i="1"/>
  <c r="K145" i="1"/>
  <c r="E151" i="1"/>
  <c r="F156" i="1"/>
  <c r="E157" i="1"/>
  <c r="C157" i="1"/>
  <c r="E156" i="1"/>
  <c r="D156" i="1"/>
  <c r="C156" i="1"/>
  <c r="E155" i="1"/>
  <c r="F154" i="1"/>
  <c r="E154" i="1"/>
  <c r="D154" i="1"/>
  <c r="C154" i="1"/>
  <c r="F147" i="1"/>
  <c r="E147" i="1"/>
  <c r="D147" i="1"/>
  <c r="C147" i="1"/>
  <c r="K140" i="1" l="1"/>
  <c r="K139" i="1"/>
  <c r="K138" i="1"/>
  <c r="K137" i="1"/>
  <c r="K136" i="1"/>
  <c r="K134" i="1"/>
  <c r="K133" i="1"/>
  <c r="K125" i="1"/>
  <c r="E141" i="1"/>
  <c r="F134" i="1"/>
  <c r="E134" i="1"/>
  <c r="D134" i="1"/>
  <c r="A145" i="4"/>
  <c r="J145" i="4" s="1"/>
  <c r="B145" i="4"/>
  <c r="K145" i="4" s="1"/>
  <c r="C145" i="4"/>
  <c r="L145" i="4" s="1"/>
  <c r="E145" i="4"/>
  <c r="N145" i="4" s="1"/>
  <c r="F145" i="4"/>
  <c r="I145" i="4"/>
  <c r="A146" i="4"/>
  <c r="J146" i="4" s="1"/>
  <c r="B146" i="4"/>
  <c r="K146" i="4" s="1"/>
  <c r="C146" i="4"/>
  <c r="L146" i="4" s="1"/>
  <c r="E146" i="4"/>
  <c r="N146" i="4" s="1"/>
  <c r="F146" i="4"/>
  <c r="I146" i="4"/>
  <c r="A147" i="4"/>
  <c r="J147" i="4" s="1"/>
  <c r="B147" i="4"/>
  <c r="K147" i="4" s="1"/>
  <c r="C147" i="4"/>
  <c r="L147" i="4" s="1"/>
  <c r="E147" i="4"/>
  <c r="N147" i="4" s="1"/>
  <c r="F147" i="4"/>
  <c r="I147" i="4"/>
  <c r="B124" i="3"/>
  <c r="A124" i="3"/>
  <c r="C124" i="3"/>
  <c r="D124" i="3"/>
  <c r="E124" i="3"/>
  <c r="A123" i="3"/>
  <c r="B123" i="3"/>
  <c r="D147" i="4"/>
  <c r="M147" i="4" s="1"/>
  <c r="D123" i="3"/>
  <c r="C123" i="3"/>
  <c r="G147" i="4"/>
  <c r="H147" i="4"/>
  <c r="P147" i="4" s="1"/>
  <c r="A122" i="2"/>
  <c r="A122" i="3" s="1"/>
  <c r="B122" i="2"/>
  <c r="B122" i="3" s="1"/>
  <c r="C122" i="2"/>
  <c r="D122" i="2"/>
  <c r="E122" i="2"/>
  <c r="F122" i="2"/>
  <c r="G122" i="2"/>
  <c r="G146" i="4"/>
  <c r="H146" i="4"/>
  <c r="P146" i="4" s="1"/>
  <c r="A121" i="2"/>
  <c r="A121" i="3" s="1"/>
  <c r="B121" i="2"/>
  <c r="B121" i="3" s="1"/>
  <c r="C121" i="2"/>
  <c r="D121" i="2"/>
  <c r="E121" i="2"/>
  <c r="F121" i="2"/>
  <c r="G121" i="2"/>
  <c r="G145" i="4"/>
  <c r="H145" i="4"/>
  <c r="P145" i="4" s="1"/>
  <c r="A84" i="2"/>
  <c r="B84" i="2"/>
  <c r="O1" i="2"/>
  <c r="N1" i="2"/>
  <c r="M1" i="2"/>
  <c r="L1" i="2"/>
  <c r="K1" i="2"/>
  <c r="J1" i="2"/>
  <c r="I1" i="2"/>
  <c r="H1" i="2"/>
  <c r="G1" i="2"/>
  <c r="F1" i="2"/>
  <c r="E1" i="2"/>
  <c r="D1" i="2"/>
  <c r="C1" i="2"/>
  <c r="B1" i="2"/>
  <c r="A1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A28" i="2"/>
  <c r="B28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A29" i="2"/>
  <c r="B29" i="2"/>
  <c r="C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G118" i="2"/>
  <c r="G119" i="2"/>
  <c r="G120" i="2"/>
  <c r="D144" i="4" s="1"/>
  <c r="M144" i="4" s="1"/>
  <c r="A120" i="2"/>
  <c r="A120" i="3" s="1"/>
  <c r="B120" i="2"/>
  <c r="B120" i="3" s="1"/>
  <c r="C120" i="2"/>
  <c r="D120" i="2"/>
  <c r="E120" i="2"/>
  <c r="F120" i="2"/>
  <c r="I120" i="2"/>
  <c r="T120" i="2" s="1"/>
  <c r="D120" i="3" s="1"/>
  <c r="K120" i="2"/>
  <c r="J120" i="2" s="1"/>
  <c r="C120" i="3" s="1"/>
  <c r="L120" i="2"/>
  <c r="M120" i="2"/>
  <c r="N120" i="2"/>
  <c r="G144" i="4" s="1"/>
  <c r="O120" i="2"/>
  <c r="P120" i="2"/>
  <c r="H144" i="4" s="1"/>
  <c r="P144" i="4" s="1"/>
  <c r="P120" i="1"/>
  <c r="A144" i="4"/>
  <c r="J144" i="4" s="1"/>
  <c r="B144" i="4"/>
  <c r="K144" i="4" s="1"/>
  <c r="C144" i="4"/>
  <c r="L144" i="4" s="1"/>
  <c r="E144" i="4"/>
  <c r="N144" i="4" s="1"/>
  <c r="F144" i="4"/>
  <c r="I144" i="4"/>
  <c r="S120" i="2"/>
  <c r="D146" i="4" l="1"/>
  <c r="M146" i="4" s="1"/>
  <c r="E123" i="3"/>
  <c r="D145" i="4"/>
  <c r="M145" i="4" s="1"/>
  <c r="O147" i="4"/>
  <c r="O146" i="4"/>
  <c r="U120" i="2"/>
  <c r="R120" i="2"/>
  <c r="Y120" i="2" s="1"/>
  <c r="O144" i="4"/>
  <c r="J68" i="2"/>
  <c r="J69" i="2"/>
  <c r="J70" i="2"/>
  <c r="J83" i="2"/>
  <c r="J84" i="2"/>
  <c r="J85" i="2"/>
  <c r="J98" i="2"/>
  <c r="J99" i="2"/>
  <c r="J100" i="2"/>
  <c r="J118" i="2"/>
  <c r="J25" i="2"/>
  <c r="J36" i="2"/>
  <c r="J138" i="4"/>
  <c r="J134" i="4"/>
  <c r="J140" i="4"/>
  <c r="J136" i="4"/>
  <c r="J120" i="4"/>
  <c r="J104" i="4"/>
  <c r="J88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5" i="4"/>
  <c r="I137" i="4"/>
  <c r="I139" i="4"/>
  <c r="I141" i="4"/>
  <c r="I142" i="4"/>
  <c r="I143" i="4"/>
  <c r="A90" i="4"/>
  <c r="J90" i="4" s="1"/>
  <c r="B90" i="4"/>
  <c r="K90" i="4" s="1"/>
  <c r="C90" i="4"/>
  <c r="L90" i="4" s="1"/>
  <c r="F90" i="4"/>
  <c r="A91" i="4"/>
  <c r="J91" i="4" s="1"/>
  <c r="B91" i="4"/>
  <c r="K91" i="4" s="1"/>
  <c r="C91" i="4"/>
  <c r="L91" i="4" s="1"/>
  <c r="F91" i="4"/>
  <c r="A92" i="4"/>
  <c r="J92" i="4" s="1"/>
  <c r="B92" i="4"/>
  <c r="K92" i="4" s="1"/>
  <c r="C92" i="4"/>
  <c r="L92" i="4" s="1"/>
  <c r="F92" i="4"/>
  <c r="A93" i="4"/>
  <c r="J93" i="4" s="1"/>
  <c r="B93" i="4"/>
  <c r="K93" i="4" s="1"/>
  <c r="C93" i="4"/>
  <c r="L93" i="4" s="1"/>
  <c r="F93" i="4"/>
  <c r="A94" i="4"/>
  <c r="J94" i="4" s="1"/>
  <c r="B94" i="4"/>
  <c r="C94" i="4"/>
  <c r="L94" i="4" s="1"/>
  <c r="F94" i="4"/>
  <c r="K94" i="4"/>
  <c r="A95" i="4"/>
  <c r="B95" i="4"/>
  <c r="K95" i="4" s="1"/>
  <c r="C95" i="4"/>
  <c r="L95" i="4" s="1"/>
  <c r="F95" i="4"/>
  <c r="J95" i="4"/>
  <c r="A96" i="4"/>
  <c r="J96" i="4" s="1"/>
  <c r="B96" i="4"/>
  <c r="K96" i="4" s="1"/>
  <c r="C96" i="4"/>
  <c r="L96" i="4" s="1"/>
  <c r="F96" i="4"/>
  <c r="A97" i="4"/>
  <c r="B97" i="4"/>
  <c r="K97" i="4" s="1"/>
  <c r="C97" i="4"/>
  <c r="L97" i="4" s="1"/>
  <c r="F97" i="4"/>
  <c r="J97" i="4"/>
  <c r="A98" i="4"/>
  <c r="J98" i="4" s="1"/>
  <c r="B98" i="4"/>
  <c r="K98" i="4" s="1"/>
  <c r="C98" i="4"/>
  <c r="L98" i="4" s="1"/>
  <c r="F98" i="4"/>
  <c r="A99" i="4"/>
  <c r="J99" i="4" s="1"/>
  <c r="B99" i="4"/>
  <c r="K99" i="4" s="1"/>
  <c r="C99" i="4"/>
  <c r="L99" i="4" s="1"/>
  <c r="F99" i="4"/>
  <c r="A100" i="4"/>
  <c r="J100" i="4" s="1"/>
  <c r="B100" i="4"/>
  <c r="K100" i="4" s="1"/>
  <c r="C100" i="4"/>
  <c r="L100" i="4" s="1"/>
  <c r="F100" i="4"/>
  <c r="A101" i="4"/>
  <c r="K101" i="4" s="1"/>
  <c r="B101" i="4"/>
  <c r="C101" i="4"/>
  <c r="F101" i="4"/>
  <c r="O101" i="4" s="1"/>
  <c r="A102" i="4"/>
  <c r="B102" i="4"/>
  <c r="C102" i="4"/>
  <c r="F102" i="4"/>
  <c r="O102" i="4" s="1"/>
  <c r="A103" i="4"/>
  <c r="J103" i="4" s="1"/>
  <c r="B103" i="4"/>
  <c r="K103" i="4" s="1"/>
  <c r="C103" i="4"/>
  <c r="F103" i="4"/>
  <c r="O103" i="4" s="1"/>
  <c r="A105" i="4"/>
  <c r="J105" i="4" s="1"/>
  <c r="B105" i="4"/>
  <c r="K105" i="4" s="1"/>
  <c r="C105" i="4"/>
  <c r="L105" i="4" s="1"/>
  <c r="F105" i="4"/>
  <c r="A106" i="4"/>
  <c r="J106" i="4" s="1"/>
  <c r="B106" i="4"/>
  <c r="K106" i="4" s="1"/>
  <c r="C106" i="4"/>
  <c r="L106" i="4" s="1"/>
  <c r="F106" i="4"/>
  <c r="A107" i="4"/>
  <c r="J107" i="4" s="1"/>
  <c r="B107" i="4"/>
  <c r="K107" i="4" s="1"/>
  <c r="C107" i="4"/>
  <c r="L107" i="4" s="1"/>
  <c r="F107" i="4"/>
  <c r="A108" i="4"/>
  <c r="B108" i="4"/>
  <c r="K108" i="4" s="1"/>
  <c r="C108" i="4"/>
  <c r="L108" i="4" s="1"/>
  <c r="F108" i="4"/>
  <c r="J108" i="4"/>
  <c r="A109" i="4"/>
  <c r="J109" i="4" s="1"/>
  <c r="B109" i="4"/>
  <c r="K109" i="4" s="1"/>
  <c r="C109" i="4"/>
  <c r="L109" i="4" s="1"/>
  <c r="F109" i="4"/>
  <c r="A110" i="4"/>
  <c r="J110" i="4" s="1"/>
  <c r="B110" i="4"/>
  <c r="K110" i="4" s="1"/>
  <c r="C110" i="4"/>
  <c r="L110" i="4" s="1"/>
  <c r="F110" i="4"/>
  <c r="A111" i="4"/>
  <c r="J111" i="4" s="1"/>
  <c r="B111" i="4"/>
  <c r="K111" i="4" s="1"/>
  <c r="C111" i="4"/>
  <c r="L111" i="4" s="1"/>
  <c r="F111" i="4"/>
  <c r="A112" i="4"/>
  <c r="J112" i="4" s="1"/>
  <c r="B112" i="4"/>
  <c r="K112" i="4" s="1"/>
  <c r="C112" i="4"/>
  <c r="L112" i="4" s="1"/>
  <c r="F112" i="4"/>
  <c r="A113" i="4"/>
  <c r="J113" i="4" s="1"/>
  <c r="B113" i="4"/>
  <c r="K113" i="4" s="1"/>
  <c r="C113" i="4"/>
  <c r="L113" i="4" s="1"/>
  <c r="F113" i="4"/>
  <c r="A114" i="4"/>
  <c r="J114" i="4" s="1"/>
  <c r="B114" i="4"/>
  <c r="K114" i="4" s="1"/>
  <c r="C114" i="4"/>
  <c r="L114" i="4" s="1"/>
  <c r="F114" i="4"/>
  <c r="A115" i="4"/>
  <c r="J115" i="4" s="1"/>
  <c r="B115" i="4"/>
  <c r="K115" i="4" s="1"/>
  <c r="C115" i="4"/>
  <c r="L115" i="4" s="1"/>
  <c r="F115" i="4"/>
  <c r="A116" i="4"/>
  <c r="J116" i="4" s="1"/>
  <c r="B116" i="4"/>
  <c r="K116" i="4" s="1"/>
  <c r="C116" i="4"/>
  <c r="L116" i="4" s="1"/>
  <c r="F116" i="4"/>
  <c r="A117" i="4"/>
  <c r="K117" i="4" s="1"/>
  <c r="B117" i="4"/>
  <c r="C117" i="4"/>
  <c r="F117" i="4"/>
  <c r="O117" i="4" s="1"/>
  <c r="A118" i="4"/>
  <c r="B118" i="4"/>
  <c r="C118" i="4"/>
  <c r="F118" i="4"/>
  <c r="O118" i="4" s="1"/>
  <c r="A119" i="4"/>
  <c r="J119" i="4" s="1"/>
  <c r="B119" i="4"/>
  <c r="K119" i="4" s="1"/>
  <c r="C119" i="4"/>
  <c r="F119" i="4"/>
  <c r="O119" i="4" s="1"/>
  <c r="A121" i="4"/>
  <c r="J121" i="4" s="1"/>
  <c r="B121" i="4"/>
  <c r="K121" i="4" s="1"/>
  <c r="C121" i="4"/>
  <c r="L121" i="4" s="1"/>
  <c r="F121" i="4"/>
  <c r="A122" i="4"/>
  <c r="J122" i="4" s="1"/>
  <c r="B122" i="4"/>
  <c r="K122" i="4" s="1"/>
  <c r="C122" i="4"/>
  <c r="L122" i="4" s="1"/>
  <c r="F122" i="4"/>
  <c r="A123" i="4"/>
  <c r="B123" i="4"/>
  <c r="C123" i="4"/>
  <c r="L123" i="4" s="1"/>
  <c r="F123" i="4"/>
  <c r="J123" i="4"/>
  <c r="K123" i="4"/>
  <c r="A124" i="4"/>
  <c r="J124" i="4" s="1"/>
  <c r="B124" i="4"/>
  <c r="K124" i="4" s="1"/>
  <c r="C124" i="4"/>
  <c r="L124" i="4" s="1"/>
  <c r="F124" i="4"/>
  <c r="A125" i="4"/>
  <c r="J125" i="4" s="1"/>
  <c r="B125" i="4"/>
  <c r="K125" i="4" s="1"/>
  <c r="C125" i="4"/>
  <c r="L125" i="4" s="1"/>
  <c r="F125" i="4"/>
  <c r="A126" i="4"/>
  <c r="J126" i="4" s="1"/>
  <c r="B126" i="4"/>
  <c r="K126" i="4" s="1"/>
  <c r="C126" i="4"/>
  <c r="L126" i="4" s="1"/>
  <c r="F126" i="4"/>
  <c r="A127" i="4"/>
  <c r="B127" i="4"/>
  <c r="K127" i="4" s="1"/>
  <c r="C127" i="4"/>
  <c r="L127" i="4" s="1"/>
  <c r="F127" i="4"/>
  <c r="J127" i="4"/>
  <c r="A128" i="4"/>
  <c r="B128" i="4"/>
  <c r="K128" i="4" s="1"/>
  <c r="C128" i="4"/>
  <c r="L128" i="4" s="1"/>
  <c r="F128" i="4"/>
  <c r="J128" i="4"/>
  <c r="A129" i="4"/>
  <c r="J129" i="4" s="1"/>
  <c r="B129" i="4"/>
  <c r="K129" i="4" s="1"/>
  <c r="C129" i="4"/>
  <c r="L129" i="4" s="1"/>
  <c r="F129" i="4"/>
  <c r="A130" i="4"/>
  <c r="B130" i="4"/>
  <c r="K130" i="4" s="1"/>
  <c r="C130" i="4"/>
  <c r="L130" i="4" s="1"/>
  <c r="F130" i="4"/>
  <c r="J130" i="4"/>
  <c r="A131" i="4"/>
  <c r="J131" i="4" s="1"/>
  <c r="B131" i="4"/>
  <c r="K131" i="4" s="1"/>
  <c r="C131" i="4"/>
  <c r="L131" i="4" s="1"/>
  <c r="F131" i="4"/>
  <c r="A132" i="4"/>
  <c r="B132" i="4"/>
  <c r="K132" i="4" s="1"/>
  <c r="C132" i="4"/>
  <c r="L132" i="4" s="1"/>
  <c r="F132" i="4"/>
  <c r="J132" i="4"/>
  <c r="A133" i="4"/>
  <c r="J133" i="4" s="1"/>
  <c r="B133" i="4"/>
  <c r="K133" i="4" s="1"/>
  <c r="C133" i="4"/>
  <c r="L133" i="4" s="1"/>
  <c r="F133" i="4"/>
  <c r="A135" i="4"/>
  <c r="J135" i="4" s="1"/>
  <c r="B135" i="4"/>
  <c r="K135" i="4" s="1"/>
  <c r="C135" i="4"/>
  <c r="L135" i="4" s="1"/>
  <c r="F135" i="4"/>
  <c r="A137" i="4"/>
  <c r="J137" i="4" s="1"/>
  <c r="B137" i="4"/>
  <c r="K137" i="4" s="1"/>
  <c r="C137" i="4"/>
  <c r="L137" i="4" s="1"/>
  <c r="F137" i="4"/>
  <c r="A139" i="4"/>
  <c r="J139" i="4" s="1"/>
  <c r="B139" i="4"/>
  <c r="K139" i="4" s="1"/>
  <c r="C139" i="4"/>
  <c r="L139" i="4" s="1"/>
  <c r="F139" i="4"/>
  <c r="A141" i="4"/>
  <c r="J141" i="4" s="1"/>
  <c r="B141" i="4"/>
  <c r="K141" i="4" s="1"/>
  <c r="C141" i="4"/>
  <c r="L141" i="4" s="1"/>
  <c r="F141" i="4"/>
  <c r="A142" i="4"/>
  <c r="K142" i="4" s="1"/>
  <c r="B142" i="4"/>
  <c r="C142" i="4"/>
  <c r="D142" i="4"/>
  <c r="M142" i="4" s="1"/>
  <c r="F142" i="4"/>
  <c r="A143" i="4"/>
  <c r="J143" i="4" s="1"/>
  <c r="B143" i="4"/>
  <c r="K143" i="4" s="1"/>
  <c r="C143" i="4"/>
  <c r="L143" i="4" s="1"/>
  <c r="D143" i="4"/>
  <c r="M143" i="4" s="1"/>
  <c r="E143" i="4"/>
  <c r="N143" i="4" s="1"/>
  <c r="F143" i="4"/>
  <c r="A89" i="4"/>
  <c r="J89" i="4" s="1"/>
  <c r="B89" i="4"/>
  <c r="K89" i="4" s="1"/>
  <c r="C89" i="4"/>
  <c r="L89" i="4" s="1"/>
  <c r="F89" i="4"/>
  <c r="A87" i="4"/>
  <c r="J87" i="4" s="1"/>
  <c r="H7" i="2"/>
  <c r="S7" i="2" s="1"/>
  <c r="R119" i="2"/>
  <c r="Y119" i="2" s="1"/>
  <c r="S119" i="2"/>
  <c r="Y25" i="2"/>
  <c r="P119" i="1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5" i="2"/>
  <c r="A9" i="2"/>
  <c r="A9" i="3" s="1"/>
  <c r="B9" i="2"/>
  <c r="B9" i="3" s="1"/>
  <c r="C9" i="2"/>
  <c r="D9" i="2"/>
  <c r="E9" i="2"/>
  <c r="G9" i="2"/>
  <c r="R9" i="2" s="1"/>
  <c r="H9" i="2"/>
  <c r="S9" i="2" s="1"/>
  <c r="I9" i="2"/>
  <c r="T9" i="2" s="1"/>
  <c r="D9" i="3" s="1"/>
  <c r="K9" i="2"/>
  <c r="L9" i="2"/>
  <c r="M9" i="2"/>
  <c r="N9" i="2"/>
  <c r="O9" i="2"/>
  <c r="P9" i="2"/>
  <c r="Q9" i="2"/>
  <c r="A10" i="2"/>
  <c r="A10" i="3" s="1"/>
  <c r="B10" i="2"/>
  <c r="B10" i="3" s="1"/>
  <c r="C10" i="2"/>
  <c r="D10" i="2"/>
  <c r="E10" i="2"/>
  <c r="G10" i="2"/>
  <c r="R10" i="2" s="1"/>
  <c r="Y10" i="2" s="1"/>
  <c r="H10" i="2"/>
  <c r="S10" i="2" s="1"/>
  <c r="I10" i="2"/>
  <c r="T10" i="2" s="1"/>
  <c r="D10" i="3" s="1"/>
  <c r="K10" i="2"/>
  <c r="L10" i="2"/>
  <c r="M10" i="2"/>
  <c r="N10" i="2"/>
  <c r="O10" i="2"/>
  <c r="P10" i="2"/>
  <c r="Q10" i="2"/>
  <c r="A11" i="2"/>
  <c r="A11" i="3" s="1"/>
  <c r="B11" i="2"/>
  <c r="B11" i="3" s="1"/>
  <c r="C11" i="2"/>
  <c r="D11" i="2"/>
  <c r="E11" i="2"/>
  <c r="G11" i="2"/>
  <c r="R11" i="2" s="1"/>
  <c r="H11" i="2"/>
  <c r="S11" i="2" s="1"/>
  <c r="I11" i="2"/>
  <c r="T11" i="2" s="1"/>
  <c r="D11" i="3" s="1"/>
  <c r="K11" i="2"/>
  <c r="J11" i="2" s="1"/>
  <c r="C11" i="3" s="1"/>
  <c r="L11" i="2"/>
  <c r="M11" i="2"/>
  <c r="N11" i="2"/>
  <c r="O11" i="2"/>
  <c r="P11" i="2"/>
  <c r="Q11" i="2"/>
  <c r="A12" i="2"/>
  <c r="A12" i="3" s="1"/>
  <c r="B12" i="2"/>
  <c r="B12" i="3" s="1"/>
  <c r="C12" i="2"/>
  <c r="D12" i="2"/>
  <c r="E12" i="2"/>
  <c r="G12" i="2"/>
  <c r="R12" i="2" s="1"/>
  <c r="Y12" i="2" s="1"/>
  <c r="H12" i="2"/>
  <c r="S12" i="2" s="1"/>
  <c r="I12" i="2"/>
  <c r="T12" i="2" s="1"/>
  <c r="D12" i="3" s="1"/>
  <c r="K12" i="2"/>
  <c r="L12" i="2"/>
  <c r="M12" i="2"/>
  <c r="N12" i="2"/>
  <c r="O12" i="2"/>
  <c r="P12" i="2"/>
  <c r="Q12" i="2"/>
  <c r="A13" i="2"/>
  <c r="A13" i="3" s="1"/>
  <c r="B13" i="2"/>
  <c r="B13" i="3" s="1"/>
  <c r="C13" i="2"/>
  <c r="D13" i="2"/>
  <c r="E13" i="2"/>
  <c r="G13" i="2"/>
  <c r="R13" i="2" s="1"/>
  <c r="H13" i="2"/>
  <c r="S13" i="2" s="1"/>
  <c r="I13" i="2"/>
  <c r="T13" i="2" s="1"/>
  <c r="D13" i="3" s="1"/>
  <c r="K13" i="2"/>
  <c r="L13" i="2"/>
  <c r="M13" i="2"/>
  <c r="N13" i="2"/>
  <c r="O13" i="2"/>
  <c r="P13" i="2"/>
  <c r="Q13" i="2"/>
  <c r="A14" i="2"/>
  <c r="A14" i="3" s="1"/>
  <c r="B14" i="2"/>
  <c r="B14" i="3" s="1"/>
  <c r="C14" i="2"/>
  <c r="D14" i="2"/>
  <c r="E14" i="2"/>
  <c r="G14" i="2"/>
  <c r="R14" i="2" s="1"/>
  <c r="Y14" i="2" s="1"/>
  <c r="H14" i="2"/>
  <c r="S14" i="2" s="1"/>
  <c r="I14" i="2"/>
  <c r="T14" i="2" s="1"/>
  <c r="D14" i="3" s="1"/>
  <c r="K14" i="2"/>
  <c r="L14" i="2"/>
  <c r="M14" i="2"/>
  <c r="N14" i="2"/>
  <c r="O14" i="2"/>
  <c r="P14" i="2"/>
  <c r="Q14" i="2"/>
  <c r="A15" i="2"/>
  <c r="A15" i="3" s="1"/>
  <c r="B15" i="2"/>
  <c r="B15" i="3" s="1"/>
  <c r="C15" i="2"/>
  <c r="D15" i="2"/>
  <c r="E15" i="2"/>
  <c r="G15" i="2"/>
  <c r="R15" i="2" s="1"/>
  <c r="H15" i="2"/>
  <c r="S15" i="2" s="1"/>
  <c r="I15" i="2"/>
  <c r="T15" i="2" s="1"/>
  <c r="D15" i="3" s="1"/>
  <c r="K15" i="2"/>
  <c r="J15" i="2" s="1"/>
  <c r="C15" i="3" s="1"/>
  <c r="L15" i="2"/>
  <c r="M15" i="2"/>
  <c r="N15" i="2"/>
  <c r="O15" i="2"/>
  <c r="P15" i="2"/>
  <c r="Q15" i="2"/>
  <c r="A16" i="2"/>
  <c r="A16" i="3" s="1"/>
  <c r="B16" i="2"/>
  <c r="B16" i="3" s="1"/>
  <c r="C16" i="2"/>
  <c r="D16" i="2"/>
  <c r="E16" i="2"/>
  <c r="G16" i="2"/>
  <c r="R16" i="2" s="1"/>
  <c r="Y16" i="2" s="1"/>
  <c r="H16" i="2"/>
  <c r="S16" i="2" s="1"/>
  <c r="I16" i="2"/>
  <c r="T16" i="2" s="1"/>
  <c r="D16" i="3" s="1"/>
  <c r="K16" i="2"/>
  <c r="U16" i="2" s="1"/>
  <c r="E16" i="3" s="1"/>
  <c r="L16" i="2"/>
  <c r="M16" i="2"/>
  <c r="N16" i="2"/>
  <c r="O16" i="2"/>
  <c r="P16" i="2"/>
  <c r="Q16" i="2"/>
  <c r="A17" i="2"/>
  <c r="A17" i="3" s="1"/>
  <c r="B17" i="2"/>
  <c r="B17" i="3" s="1"/>
  <c r="C17" i="2"/>
  <c r="D17" i="2"/>
  <c r="E17" i="2"/>
  <c r="G17" i="2"/>
  <c r="R17" i="2" s="1"/>
  <c r="H17" i="2"/>
  <c r="S17" i="2" s="1"/>
  <c r="I17" i="2"/>
  <c r="T17" i="2" s="1"/>
  <c r="D17" i="3" s="1"/>
  <c r="K17" i="2"/>
  <c r="L17" i="2"/>
  <c r="M17" i="2"/>
  <c r="N17" i="2"/>
  <c r="O17" i="2"/>
  <c r="P17" i="2"/>
  <c r="Q17" i="2"/>
  <c r="A18" i="2"/>
  <c r="A18" i="3" s="1"/>
  <c r="B18" i="2"/>
  <c r="B18" i="3" s="1"/>
  <c r="C18" i="2"/>
  <c r="D18" i="2"/>
  <c r="E18" i="2"/>
  <c r="G18" i="2"/>
  <c r="R18" i="2" s="1"/>
  <c r="Y18" i="2" s="1"/>
  <c r="H18" i="2"/>
  <c r="S18" i="2" s="1"/>
  <c r="I18" i="2"/>
  <c r="T18" i="2" s="1"/>
  <c r="D18" i="3" s="1"/>
  <c r="K18" i="2"/>
  <c r="J18" i="2" s="1"/>
  <c r="C18" i="3" s="1"/>
  <c r="L18" i="2"/>
  <c r="M18" i="2"/>
  <c r="N18" i="2"/>
  <c r="O18" i="2"/>
  <c r="P18" i="2"/>
  <c r="Q18" i="2"/>
  <c r="A19" i="2"/>
  <c r="A19" i="3" s="1"/>
  <c r="B19" i="2"/>
  <c r="B19" i="3" s="1"/>
  <c r="C19" i="2"/>
  <c r="D19" i="2"/>
  <c r="E19" i="2"/>
  <c r="G19" i="2"/>
  <c r="R19" i="2" s="1"/>
  <c r="H19" i="2"/>
  <c r="S19" i="2" s="1"/>
  <c r="I19" i="2"/>
  <c r="T19" i="2" s="1"/>
  <c r="D19" i="3" s="1"/>
  <c r="K19" i="2"/>
  <c r="U19" i="2" s="1"/>
  <c r="E19" i="3" s="1"/>
  <c r="L19" i="2"/>
  <c r="M19" i="2"/>
  <c r="N19" i="2"/>
  <c r="O19" i="2"/>
  <c r="P19" i="2"/>
  <c r="Q19" i="2"/>
  <c r="A20" i="2"/>
  <c r="A20" i="3" s="1"/>
  <c r="B20" i="2"/>
  <c r="B20" i="3" s="1"/>
  <c r="C20" i="2"/>
  <c r="D20" i="2"/>
  <c r="E20" i="2"/>
  <c r="G20" i="2"/>
  <c r="R20" i="2" s="1"/>
  <c r="Y20" i="2" s="1"/>
  <c r="H20" i="2"/>
  <c r="S20" i="2" s="1"/>
  <c r="I20" i="2"/>
  <c r="T20" i="2" s="1"/>
  <c r="D20" i="3" s="1"/>
  <c r="K20" i="2"/>
  <c r="J20" i="2" s="1"/>
  <c r="C20" i="3" s="1"/>
  <c r="L20" i="2"/>
  <c r="M20" i="2"/>
  <c r="N20" i="2"/>
  <c r="O20" i="2"/>
  <c r="P20" i="2"/>
  <c r="Q20" i="2"/>
  <c r="A21" i="2"/>
  <c r="A21" i="3" s="1"/>
  <c r="B21" i="2"/>
  <c r="B21" i="3" s="1"/>
  <c r="C21" i="2"/>
  <c r="D21" i="2"/>
  <c r="E21" i="2"/>
  <c r="G21" i="2"/>
  <c r="R21" i="2" s="1"/>
  <c r="H21" i="2"/>
  <c r="S21" i="2" s="1"/>
  <c r="I21" i="2"/>
  <c r="T21" i="2" s="1"/>
  <c r="D21" i="3" s="1"/>
  <c r="K21" i="2"/>
  <c r="L21" i="2"/>
  <c r="M21" i="2"/>
  <c r="N21" i="2"/>
  <c r="O21" i="2"/>
  <c r="P21" i="2"/>
  <c r="Q21" i="2"/>
  <c r="A22" i="2"/>
  <c r="A22" i="3" s="1"/>
  <c r="B22" i="2"/>
  <c r="B22" i="3" s="1"/>
  <c r="C22" i="2"/>
  <c r="D22" i="2"/>
  <c r="E22" i="2"/>
  <c r="G22" i="2"/>
  <c r="R22" i="2" s="1"/>
  <c r="Y22" i="2" s="1"/>
  <c r="H22" i="2"/>
  <c r="S22" i="2" s="1"/>
  <c r="I22" i="2"/>
  <c r="T22" i="2" s="1"/>
  <c r="D22" i="3" s="1"/>
  <c r="K22" i="2"/>
  <c r="L22" i="2"/>
  <c r="M22" i="2"/>
  <c r="N22" i="2"/>
  <c r="O22" i="2"/>
  <c r="P22" i="2"/>
  <c r="Q22" i="2"/>
  <c r="A23" i="2"/>
  <c r="A23" i="3" s="1"/>
  <c r="B23" i="2"/>
  <c r="B23" i="3" s="1"/>
  <c r="C23" i="2"/>
  <c r="D23" i="2"/>
  <c r="E23" i="2"/>
  <c r="G23" i="2"/>
  <c r="R23" i="2" s="1"/>
  <c r="H23" i="2"/>
  <c r="S23" i="2" s="1"/>
  <c r="I23" i="2"/>
  <c r="T23" i="2" s="1"/>
  <c r="D23" i="3" s="1"/>
  <c r="K23" i="2"/>
  <c r="J23" i="2" s="1"/>
  <c r="C23" i="3" s="1"/>
  <c r="L23" i="2"/>
  <c r="M23" i="2"/>
  <c r="N23" i="2"/>
  <c r="O23" i="2"/>
  <c r="P23" i="2"/>
  <c r="Q23" i="2"/>
  <c r="A24" i="2"/>
  <c r="A24" i="3" s="1"/>
  <c r="B24" i="2"/>
  <c r="B24" i="3" s="1"/>
  <c r="C24" i="2"/>
  <c r="D24" i="2"/>
  <c r="E24" i="2"/>
  <c r="G24" i="2"/>
  <c r="R24" i="2" s="1"/>
  <c r="Y24" i="2" s="1"/>
  <c r="H24" i="2"/>
  <c r="S24" i="2" s="1"/>
  <c r="I24" i="2"/>
  <c r="T24" i="2" s="1"/>
  <c r="D24" i="3" s="1"/>
  <c r="K24" i="2"/>
  <c r="L24" i="2"/>
  <c r="M24" i="2"/>
  <c r="N24" i="2"/>
  <c r="O24" i="2"/>
  <c r="P24" i="2"/>
  <c r="Q24" i="2"/>
  <c r="A25" i="2"/>
  <c r="A25" i="3" s="1"/>
  <c r="B25" i="2"/>
  <c r="B25" i="3" s="1"/>
  <c r="C25" i="2"/>
  <c r="D25" i="2"/>
  <c r="E25" i="2"/>
  <c r="G25" i="2"/>
  <c r="H25" i="2"/>
  <c r="I25" i="2"/>
  <c r="K25" i="2"/>
  <c r="L25" i="2"/>
  <c r="M25" i="2"/>
  <c r="N25" i="2"/>
  <c r="O25" i="2"/>
  <c r="P25" i="2"/>
  <c r="Q25" i="2"/>
  <c r="A26" i="2"/>
  <c r="A26" i="3" s="1"/>
  <c r="B26" i="2"/>
  <c r="B26" i="3" s="1"/>
  <c r="C26" i="2"/>
  <c r="D26" i="2"/>
  <c r="E26" i="2"/>
  <c r="G26" i="2"/>
  <c r="R26" i="2" s="1"/>
  <c r="H26" i="2"/>
  <c r="S26" i="2" s="1"/>
  <c r="I26" i="2"/>
  <c r="T26" i="2" s="1"/>
  <c r="D26" i="3" s="1"/>
  <c r="K26" i="2"/>
  <c r="J26" i="2" s="1"/>
  <c r="C26" i="3" s="1"/>
  <c r="L26" i="2"/>
  <c r="M26" i="2"/>
  <c r="N26" i="2"/>
  <c r="O26" i="2"/>
  <c r="P26" i="2"/>
  <c r="Q26" i="2"/>
  <c r="A27" i="2"/>
  <c r="A27" i="3" s="1"/>
  <c r="B27" i="2"/>
  <c r="B27" i="3" s="1"/>
  <c r="C27" i="2"/>
  <c r="D27" i="2"/>
  <c r="E27" i="2"/>
  <c r="G27" i="2"/>
  <c r="R27" i="2" s="1"/>
  <c r="Y27" i="2" s="1"/>
  <c r="H27" i="2"/>
  <c r="S27" i="2" s="1"/>
  <c r="I27" i="2"/>
  <c r="T27" i="2" s="1"/>
  <c r="D27" i="3" s="1"/>
  <c r="K27" i="2"/>
  <c r="J27" i="2" s="1"/>
  <c r="C27" i="3" s="1"/>
  <c r="L27" i="2"/>
  <c r="M27" i="2"/>
  <c r="N27" i="2"/>
  <c r="O27" i="2"/>
  <c r="P27" i="2"/>
  <c r="Q27" i="2"/>
  <c r="A28" i="3"/>
  <c r="B28" i="3"/>
  <c r="Q28" i="2"/>
  <c r="A29" i="3"/>
  <c r="B29" i="3"/>
  <c r="Q29" i="2"/>
  <c r="A30" i="2"/>
  <c r="A30" i="3" s="1"/>
  <c r="B30" i="2"/>
  <c r="B30" i="3" s="1"/>
  <c r="C30" i="2"/>
  <c r="D30" i="2"/>
  <c r="E30" i="2"/>
  <c r="G30" i="2"/>
  <c r="R30" i="2" s="1"/>
  <c r="H30" i="2"/>
  <c r="S30" i="2" s="1"/>
  <c r="I30" i="2"/>
  <c r="T30" i="2" s="1"/>
  <c r="D30" i="3" s="1"/>
  <c r="K30" i="2"/>
  <c r="L30" i="2"/>
  <c r="M30" i="2"/>
  <c r="N30" i="2"/>
  <c r="O30" i="2"/>
  <c r="P30" i="2"/>
  <c r="Q30" i="2"/>
  <c r="A31" i="2"/>
  <c r="A31" i="3" s="1"/>
  <c r="B31" i="2"/>
  <c r="B31" i="3" s="1"/>
  <c r="C31" i="2"/>
  <c r="D31" i="2"/>
  <c r="E31" i="2"/>
  <c r="G31" i="2"/>
  <c r="R31" i="2" s="1"/>
  <c r="Y31" i="2" s="1"/>
  <c r="H31" i="2"/>
  <c r="S31" i="2" s="1"/>
  <c r="I31" i="2"/>
  <c r="T31" i="2" s="1"/>
  <c r="D31" i="3" s="1"/>
  <c r="K31" i="2"/>
  <c r="L31" i="2"/>
  <c r="M31" i="2"/>
  <c r="N31" i="2"/>
  <c r="O31" i="2"/>
  <c r="P31" i="2"/>
  <c r="Q31" i="2"/>
  <c r="A32" i="2"/>
  <c r="A32" i="3" s="1"/>
  <c r="B32" i="2"/>
  <c r="B32" i="3" s="1"/>
  <c r="C32" i="2"/>
  <c r="D32" i="2"/>
  <c r="E32" i="2"/>
  <c r="G32" i="2"/>
  <c r="R32" i="2" s="1"/>
  <c r="H32" i="2"/>
  <c r="S32" i="2" s="1"/>
  <c r="I32" i="2"/>
  <c r="T32" i="2" s="1"/>
  <c r="D32" i="3" s="1"/>
  <c r="K32" i="2"/>
  <c r="L32" i="2"/>
  <c r="M32" i="2"/>
  <c r="N32" i="2"/>
  <c r="O32" i="2"/>
  <c r="P32" i="2"/>
  <c r="Q32" i="2"/>
  <c r="A33" i="2"/>
  <c r="A33" i="3" s="1"/>
  <c r="B33" i="2"/>
  <c r="B33" i="3" s="1"/>
  <c r="C33" i="2"/>
  <c r="D33" i="2"/>
  <c r="E33" i="2"/>
  <c r="G33" i="2"/>
  <c r="R33" i="2" s="1"/>
  <c r="Y33" i="2" s="1"/>
  <c r="H33" i="2"/>
  <c r="S33" i="2" s="1"/>
  <c r="I33" i="2"/>
  <c r="T33" i="2" s="1"/>
  <c r="D33" i="3" s="1"/>
  <c r="K33" i="2"/>
  <c r="L33" i="2"/>
  <c r="M33" i="2"/>
  <c r="N33" i="2"/>
  <c r="O33" i="2"/>
  <c r="P33" i="2"/>
  <c r="Q33" i="2"/>
  <c r="A34" i="2"/>
  <c r="A34" i="3" s="1"/>
  <c r="B34" i="2"/>
  <c r="B34" i="3" s="1"/>
  <c r="C34" i="2"/>
  <c r="D34" i="2"/>
  <c r="E34" i="2"/>
  <c r="G34" i="2"/>
  <c r="R34" i="2" s="1"/>
  <c r="Y34" i="2" s="1"/>
  <c r="H34" i="2"/>
  <c r="S34" i="2" s="1"/>
  <c r="I34" i="2"/>
  <c r="T34" i="2" s="1"/>
  <c r="D34" i="3" s="1"/>
  <c r="K34" i="2"/>
  <c r="L34" i="2"/>
  <c r="M34" i="2"/>
  <c r="N34" i="2"/>
  <c r="O34" i="2"/>
  <c r="P34" i="2"/>
  <c r="Q34" i="2"/>
  <c r="A35" i="2"/>
  <c r="A35" i="3" s="1"/>
  <c r="B35" i="2"/>
  <c r="B35" i="3" s="1"/>
  <c r="C35" i="2"/>
  <c r="D35" i="2"/>
  <c r="E35" i="2"/>
  <c r="G35" i="2"/>
  <c r="R35" i="2" s="1"/>
  <c r="H35" i="2"/>
  <c r="S35" i="2" s="1"/>
  <c r="I35" i="2"/>
  <c r="T35" i="2" s="1"/>
  <c r="D35" i="3" s="1"/>
  <c r="K35" i="2"/>
  <c r="L35" i="2"/>
  <c r="M35" i="2"/>
  <c r="N35" i="2"/>
  <c r="O35" i="2"/>
  <c r="P35" i="2"/>
  <c r="Q35" i="2"/>
  <c r="A36" i="2"/>
  <c r="A36" i="3" s="1"/>
  <c r="B36" i="2"/>
  <c r="B36" i="3" s="1"/>
  <c r="C36" i="2"/>
  <c r="D36" i="2"/>
  <c r="E36" i="2"/>
  <c r="G36" i="2"/>
  <c r="H36" i="2"/>
  <c r="I36" i="2"/>
  <c r="K36" i="2"/>
  <c r="L36" i="2"/>
  <c r="M36" i="2"/>
  <c r="N36" i="2"/>
  <c r="O36" i="2"/>
  <c r="P36" i="2"/>
  <c r="Q36" i="2"/>
  <c r="A37" i="2"/>
  <c r="A37" i="3" s="1"/>
  <c r="B37" i="2"/>
  <c r="B37" i="3" s="1"/>
  <c r="C37" i="2"/>
  <c r="D37" i="2"/>
  <c r="E37" i="2"/>
  <c r="G37" i="2"/>
  <c r="R37" i="2" s="1"/>
  <c r="Y37" i="2" s="1"/>
  <c r="H37" i="2"/>
  <c r="S37" i="2" s="1"/>
  <c r="I37" i="2"/>
  <c r="T37" i="2" s="1"/>
  <c r="D37" i="3" s="1"/>
  <c r="K37" i="2"/>
  <c r="U37" i="2" s="1"/>
  <c r="E37" i="3" s="1"/>
  <c r="L37" i="2"/>
  <c r="M37" i="2"/>
  <c r="N37" i="2"/>
  <c r="O37" i="2"/>
  <c r="P37" i="2"/>
  <c r="Q37" i="2"/>
  <c r="A38" i="2"/>
  <c r="A38" i="3" s="1"/>
  <c r="B38" i="2"/>
  <c r="B38" i="3" s="1"/>
  <c r="C38" i="2"/>
  <c r="D38" i="2"/>
  <c r="E38" i="2"/>
  <c r="G38" i="2"/>
  <c r="R38" i="2" s="1"/>
  <c r="Y38" i="2" s="1"/>
  <c r="H38" i="2"/>
  <c r="S38" i="2" s="1"/>
  <c r="I38" i="2"/>
  <c r="T38" i="2" s="1"/>
  <c r="D38" i="3" s="1"/>
  <c r="K38" i="2"/>
  <c r="J38" i="2" s="1"/>
  <c r="C38" i="3" s="1"/>
  <c r="L38" i="2"/>
  <c r="M38" i="2"/>
  <c r="N38" i="2"/>
  <c r="O38" i="2"/>
  <c r="P38" i="2"/>
  <c r="Q38" i="2"/>
  <c r="A39" i="2"/>
  <c r="A39" i="3" s="1"/>
  <c r="B39" i="2"/>
  <c r="B39" i="3" s="1"/>
  <c r="C39" i="2"/>
  <c r="D39" i="2"/>
  <c r="E39" i="2"/>
  <c r="G39" i="2"/>
  <c r="R39" i="2" s="1"/>
  <c r="Y39" i="2" s="1"/>
  <c r="H39" i="2"/>
  <c r="S39" i="2" s="1"/>
  <c r="I39" i="2"/>
  <c r="T39" i="2" s="1"/>
  <c r="D39" i="3" s="1"/>
  <c r="K39" i="2"/>
  <c r="L39" i="2"/>
  <c r="M39" i="2"/>
  <c r="N39" i="2"/>
  <c r="O39" i="2"/>
  <c r="P39" i="2"/>
  <c r="Q39" i="2"/>
  <c r="A40" i="2"/>
  <c r="A40" i="3" s="1"/>
  <c r="B40" i="2"/>
  <c r="B40" i="3" s="1"/>
  <c r="C40" i="2"/>
  <c r="D40" i="2"/>
  <c r="E40" i="2"/>
  <c r="G40" i="2"/>
  <c r="R40" i="2" s="1"/>
  <c r="Y40" i="2" s="1"/>
  <c r="H40" i="2"/>
  <c r="S40" i="2" s="1"/>
  <c r="I40" i="2"/>
  <c r="T40" i="2" s="1"/>
  <c r="D40" i="3" s="1"/>
  <c r="K40" i="2"/>
  <c r="L40" i="2"/>
  <c r="M40" i="2"/>
  <c r="N40" i="2"/>
  <c r="O40" i="2"/>
  <c r="P40" i="2"/>
  <c r="Q40" i="2"/>
  <c r="A41" i="2"/>
  <c r="A41" i="3" s="1"/>
  <c r="B41" i="2"/>
  <c r="B41" i="3" s="1"/>
  <c r="C41" i="2"/>
  <c r="D41" i="2"/>
  <c r="E41" i="2"/>
  <c r="G41" i="2"/>
  <c r="R41" i="2" s="1"/>
  <c r="Y41" i="2" s="1"/>
  <c r="H41" i="2"/>
  <c r="S41" i="2" s="1"/>
  <c r="I41" i="2"/>
  <c r="T41" i="2" s="1"/>
  <c r="D41" i="3" s="1"/>
  <c r="K41" i="2"/>
  <c r="L41" i="2"/>
  <c r="M41" i="2"/>
  <c r="N41" i="2"/>
  <c r="O41" i="2"/>
  <c r="P41" i="2"/>
  <c r="Q41" i="2"/>
  <c r="A42" i="2"/>
  <c r="A42" i="3" s="1"/>
  <c r="B42" i="2"/>
  <c r="B42" i="3" s="1"/>
  <c r="C42" i="2"/>
  <c r="D42" i="2"/>
  <c r="E42" i="2"/>
  <c r="G42" i="2"/>
  <c r="R42" i="2" s="1"/>
  <c r="Y42" i="2" s="1"/>
  <c r="H42" i="2"/>
  <c r="S42" i="2" s="1"/>
  <c r="I42" i="2"/>
  <c r="T42" i="2" s="1"/>
  <c r="D42" i="3" s="1"/>
  <c r="K42" i="2"/>
  <c r="L42" i="2"/>
  <c r="M42" i="2"/>
  <c r="N42" i="2"/>
  <c r="O42" i="2"/>
  <c r="P42" i="2"/>
  <c r="Q42" i="2"/>
  <c r="A43" i="2"/>
  <c r="A43" i="3" s="1"/>
  <c r="B43" i="2"/>
  <c r="B43" i="3" s="1"/>
  <c r="C43" i="2"/>
  <c r="D43" i="2"/>
  <c r="E43" i="2"/>
  <c r="G43" i="2"/>
  <c r="R43" i="2" s="1"/>
  <c r="Y43" i="2" s="1"/>
  <c r="H43" i="2"/>
  <c r="S43" i="2" s="1"/>
  <c r="I43" i="2"/>
  <c r="T43" i="2" s="1"/>
  <c r="D43" i="3" s="1"/>
  <c r="K43" i="2"/>
  <c r="L43" i="2"/>
  <c r="M43" i="2"/>
  <c r="N43" i="2"/>
  <c r="O43" i="2"/>
  <c r="P43" i="2"/>
  <c r="Q43" i="2"/>
  <c r="A44" i="2"/>
  <c r="A44" i="3" s="1"/>
  <c r="B44" i="2"/>
  <c r="B44" i="3" s="1"/>
  <c r="C44" i="2"/>
  <c r="D44" i="2"/>
  <c r="E44" i="2"/>
  <c r="G44" i="2"/>
  <c r="R44" i="2" s="1"/>
  <c r="Y44" i="2" s="1"/>
  <c r="H44" i="2"/>
  <c r="S44" i="2" s="1"/>
  <c r="I44" i="2"/>
  <c r="T44" i="2" s="1"/>
  <c r="D44" i="3" s="1"/>
  <c r="K44" i="2"/>
  <c r="J44" i="2" s="1"/>
  <c r="C44" i="3" s="1"/>
  <c r="L44" i="2"/>
  <c r="M44" i="2"/>
  <c r="N44" i="2"/>
  <c r="O44" i="2"/>
  <c r="P44" i="2"/>
  <c r="Q44" i="2"/>
  <c r="A45" i="2"/>
  <c r="A45" i="3" s="1"/>
  <c r="B45" i="2"/>
  <c r="B45" i="3" s="1"/>
  <c r="C45" i="2"/>
  <c r="D45" i="2"/>
  <c r="E45" i="2"/>
  <c r="G45" i="2"/>
  <c r="R45" i="2" s="1"/>
  <c r="Y45" i="2" s="1"/>
  <c r="H45" i="2"/>
  <c r="S45" i="2" s="1"/>
  <c r="I45" i="2"/>
  <c r="T45" i="2" s="1"/>
  <c r="D45" i="3" s="1"/>
  <c r="K45" i="2"/>
  <c r="J45" i="2" s="1"/>
  <c r="C45" i="3" s="1"/>
  <c r="L45" i="2"/>
  <c r="M45" i="2"/>
  <c r="N45" i="2"/>
  <c r="O45" i="2"/>
  <c r="P45" i="2"/>
  <c r="Q45" i="2"/>
  <c r="A46" i="2"/>
  <c r="A46" i="3" s="1"/>
  <c r="B46" i="2"/>
  <c r="B46" i="3" s="1"/>
  <c r="C46" i="2"/>
  <c r="D46" i="2"/>
  <c r="E46" i="2"/>
  <c r="G46" i="2"/>
  <c r="R46" i="2" s="1"/>
  <c r="Y46" i="2" s="1"/>
  <c r="H46" i="2"/>
  <c r="S46" i="2" s="1"/>
  <c r="I46" i="2"/>
  <c r="T46" i="2" s="1"/>
  <c r="D46" i="3" s="1"/>
  <c r="K46" i="2"/>
  <c r="J46" i="2" s="1"/>
  <c r="C46" i="3" s="1"/>
  <c r="L46" i="2"/>
  <c r="M46" i="2"/>
  <c r="N46" i="2"/>
  <c r="O46" i="2"/>
  <c r="P46" i="2"/>
  <c r="Q46" i="2"/>
  <c r="A47" i="2"/>
  <c r="A47" i="3" s="1"/>
  <c r="B47" i="2"/>
  <c r="B47" i="3" s="1"/>
  <c r="C47" i="2"/>
  <c r="D47" i="2"/>
  <c r="E47" i="2"/>
  <c r="G47" i="2"/>
  <c r="R47" i="2" s="1"/>
  <c r="Y47" i="2" s="1"/>
  <c r="H47" i="2"/>
  <c r="S47" i="2" s="1"/>
  <c r="I47" i="2"/>
  <c r="T47" i="2" s="1"/>
  <c r="D47" i="3" s="1"/>
  <c r="K47" i="2"/>
  <c r="L47" i="2"/>
  <c r="M47" i="2"/>
  <c r="N47" i="2"/>
  <c r="O47" i="2"/>
  <c r="P47" i="2"/>
  <c r="Q47" i="2"/>
  <c r="A48" i="2"/>
  <c r="A48" i="3" s="1"/>
  <c r="B48" i="2"/>
  <c r="B48" i="3" s="1"/>
  <c r="C48" i="2"/>
  <c r="D48" i="2"/>
  <c r="E48" i="2"/>
  <c r="G48" i="2"/>
  <c r="R48" i="2" s="1"/>
  <c r="Y48" i="2" s="1"/>
  <c r="H48" i="2"/>
  <c r="S48" i="2" s="1"/>
  <c r="I48" i="2"/>
  <c r="T48" i="2" s="1"/>
  <c r="D48" i="3" s="1"/>
  <c r="K48" i="2"/>
  <c r="J48" i="2" s="1"/>
  <c r="C48" i="3" s="1"/>
  <c r="L48" i="2"/>
  <c r="M48" i="2"/>
  <c r="N48" i="2"/>
  <c r="O48" i="2"/>
  <c r="P48" i="2"/>
  <c r="Q48" i="2"/>
  <c r="A49" i="2"/>
  <c r="A49" i="3" s="1"/>
  <c r="B49" i="2"/>
  <c r="B49" i="3" s="1"/>
  <c r="C49" i="2"/>
  <c r="D49" i="2"/>
  <c r="E49" i="2"/>
  <c r="G49" i="2"/>
  <c r="R49" i="2" s="1"/>
  <c r="H49" i="2"/>
  <c r="S49" i="2" s="1"/>
  <c r="I49" i="2"/>
  <c r="T49" i="2" s="1"/>
  <c r="D49" i="3" s="1"/>
  <c r="K49" i="2"/>
  <c r="L49" i="2"/>
  <c r="M49" i="2"/>
  <c r="N49" i="2"/>
  <c r="O49" i="2"/>
  <c r="P49" i="2"/>
  <c r="Q49" i="2"/>
  <c r="A50" i="2"/>
  <c r="A50" i="3" s="1"/>
  <c r="B50" i="2"/>
  <c r="B50" i="3" s="1"/>
  <c r="C50" i="2"/>
  <c r="D50" i="2"/>
  <c r="E50" i="2"/>
  <c r="G50" i="2"/>
  <c r="R50" i="2" s="1"/>
  <c r="Y50" i="2" s="1"/>
  <c r="H50" i="2"/>
  <c r="S50" i="2" s="1"/>
  <c r="I50" i="2"/>
  <c r="T50" i="2" s="1"/>
  <c r="D50" i="3" s="1"/>
  <c r="K50" i="2"/>
  <c r="J50" i="2" s="1"/>
  <c r="C50" i="3" s="1"/>
  <c r="L50" i="2"/>
  <c r="M50" i="2"/>
  <c r="N50" i="2"/>
  <c r="O50" i="2"/>
  <c r="P50" i="2"/>
  <c r="Q50" i="2"/>
  <c r="A51" i="2"/>
  <c r="A51" i="3" s="1"/>
  <c r="B51" i="2"/>
  <c r="B51" i="3" s="1"/>
  <c r="C51" i="2"/>
  <c r="D51" i="2"/>
  <c r="E51" i="2"/>
  <c r="G51" i="2"/>
  <c r="R51" i="2" s="1"/>
  <c r="H51" i="2"/>
  <c r="S51" i="2" s="1"/>
  <c r="I51" i="2"/>
  <c r="T51" i="2" s="1"/>
  <c r="D51" i="3" s="1"/>
  <c r="K51" i="2"/>
  <c r="J51" i="2" s="1"/>
  <c r="C51" i="3" s="1"/>
  <c r="L51" i="2"/>
  <c r="M51" i="2"/>
  <c r="N51" i="2"/>
  <c r="O51" i="2"/>
  <c r="P51" i="2"/>
  <c r="Q51" i="2"/>
  <c r="A52" i="2"/>
  <c r="A52" i="3" s="1"/>
  <c r="B52" i="2"/>
  <c r="B52" i="3" s="1"/>
  <c r="C52" i="2"/>
  <c r="D52" i="2"/>
  <c r="E52" i="2"/>
  <c r="G52" i="2"/>
  <c r="R52" i="2" s="1"/>
  <c r="Y52" i="2" s="1"/>
  <c r="H52" i="2"/>
  <c r="S52" i="2" s="1"/>
  <c r="I52" i="2"/>
  <c r="T52" i="2" s="1"/>
  <c r="D52" i="3" s="1"/>
  <c r="K52" i="2"/>
  <c r="L52" i="2"/>
  <c r="M52" i="2"/>
  <c r="N52" i="2"/>
  <c r="O52" i="2"/>
  <c r="P52" i="2"/>
  <c r="Q52" i="2"/>
  <c r="A53" i="2"/>
  <c r="A53" i="3" s="1"/>
  <c r="B53" i="2"/>
  <c r="B53" i="3" s="1"/>
  <c r="C53" i="2"/>
  <c r="D53" i="2"/>
  <c r="E53" i="2"/>
  <c r="G53" i="2"/>
  <c r="R53" i="2" s="1"/>
  <c r="Y53" i="2" s="1"/>
  <c r="H53" i="2"/>
  <c r="S53" i="2" s="1"/>
  <c r="I53" i="2"/>
  <c r="T53" i="2" s="1"/>
  <c r="D53" i="3" s="1"/>
  <c r="K53" i="2"/>
  <c r="L53" i="2"/>
  <c r="M53" i="2"/>
  <c r="N53" i="2"/>
  <c r="O53" i="2"/>
  <c r="P53" i="2"/>
  <c r="Q53" i="2"/>
  <c r="A54" i="2"/>
  <c r="A54" i="3" s="1"/>
  <c r="B54" i="2"/>
  <c r="B54" i="3" s="1"/>
  <c r="C54" i="2"/>
  <c r="D54" i="2"/>
  <c r="E54" i="2"/>
  <c r="G54" i="2"/>
  <c r="R54" i="2" s="1"/>
  <c r="Y54" i="2" s="1"/>
  <c r="H54" i="2"/>
  <c r="S54" i="2" s="1"/>
  <c r="I54" i="2"/>
  <c r="T54" i="2" s="1"/>
  <c r="D54" i="3" s="1"/>
  <c r="K54" i="2"/>
  <c r="J54" i="2" s="1"/>
  <c r="C54" i="3" s="1"/>
  <c r="L54" i="2"/>
  <c r="M54" i="2"/>
  <c r="N54" i="2"/>
  <c r="O54" i="2"/>
  <c r="P54" i="2"/>
  <c r="Q54" i="2"/>
  <c r="A55" i="2"/>
  <c r="A55" i="3" s="1"/>
  <c r="B55" i="2"/>
  <c r="B55" i="3" s="1"/>
  <c r="C55" i="2"/>
  <c r="D55" i="2"/>
  <c r="E55" i="2"/>
  <c r="G55" i="2"/>
  <c r="R55" i="2" s="1"/>
  <c r="Y55" i="2" s="1"/>
  <c r="H55" i="2"/>
  <c r="S55" i="2" s="1"/>
  <c r="I55" i="2"/>
  <c r="T55" i="2" s="1"/>
  <c r="D55" i="3" s="1"/>
  <c r="K55" i="2"/>
  <c r="J55" i="2" s="1"/>
  <c r="C55" i="3" s="1"/>
  <c r="L55" i="2"/>
  <c r="M55" i="2"/>
  <c r="N55" i="2"/>
  <c r="O55" i="2"/>
  <c r="P55" i="2"/>
  <c r="Q55" i="2"/>
  <c r="A56" i="2"/>
  <c r="A56" i="3" s="1"/>
  <c r="B56" i="2"/>
  <c r="B56" i="3" s="1"/>
  <c r="C56" i="2"/>
  <c r="D56" i="2"/>
  <c r="E56" i="2"/>
  <c r="G56" i="2"/>
  <c r="R56" i="2" s="1"/>
  <c r="Y56" i="2" s="1"/>
  <c r="H56" i="2"/>
  <c r="S56" i="2" s="1"/>
  <c r="I56" i="2"/>
  <c r="T56" i="2" s="1"/>
  <c r="D56" i="3" s="1"/>
  <c r="K56" i="2"/>
  <c r="L56" i="2"/>
  <c r="M56" i="2"/>
  <c r="N56" i="2"/>
  <c r="O56" i="2"/>
  <c r="P56" i="2"/>
  <c r="Q56" i="2"/>
  <c r="A57" i="2"/>
  <c r="A57" i="3" s="1"/>
  <c r="B57" i="2"/>
  <c r="B57" i="3" s="1"/>
  <c r="C57" i="2"/>
  <c r="D57" i="2"/>
  <c r="E57" i="2"/>
  <c r="G57" i="2"/>
  <c r="R57" i="2" s="1"/>
  <c r="Y57" i="2" s="1"/>
  <c r="H57" i="2"/>
  <c r="S57" i="2" s="1"/>
  <c r="I57" i="2"/>
  <c r="T57" i="2" s="1"/>
  <c r="D57" i="3" s="1"/>
  <c r="K57" i="2"/>
  <c r="L57" i="2"/>
  <c r="M57" i="2"/>
  <c r="N57" i="2"/>
  <c r="O57" i="2"/>
  <c r="P57" i="2"/>
  <c r="Q57" i="2"/>
  <c r="A58" i="2"/>
  <c r="A58" i="3" s="1"/>
  <c r="B58" i="2"/>
  <c r="B58" i="3" s="1"/>
  <c r="C58" i="2"/>
  <c r="D58" i="2"/>
  <c r="E58" i="2"/>
  <c r="G58" i="2"/>
  <c r="R58" i="2" s="1"/>
  <c r="Y58" i="2" s="1"/>
  <c r="H58" i="2"/>
  <c r="S58" i="2" s="1"/>
  <c r="I58" i="2"/>
  <c r="T58" i="2" s="1"/>
  <c r="D58" i="3" s="1"/>
  <c r="K58" i="2"/>
  <c r="L58" i="2"/>
  <c r="M58" i="2"/>
  <c r="N58" i="2"/>
  <c r="O58" i="2"/>
  <c r="P58" i="2"/>
  <c r="Q58" i="2"/>
  <c r="A59" i="2"/>
  <c r="A59" i="3" s="1"/>
  <c r="B59" i="2"/>
  <c r="B59" i="3" s="1"/>
  <c r="C59" i="2"/>
  <c r="D59" i="2"/>
  <c r="E59" i="2"/>
  <c r="G59" i="2"/>
  <c r="R59" i="2" s="1"/>
  <c r="Y59" i="2" s="1"/>
  <c r="H59" i="2"/>
  <c r="S59" i="2" s="1"/>
  <c r="I59" i="2"/>
  <c r="T59" i="2" s="1"/>
  <c r="D59" i="3" s="1"/>
  <c r="K59" i="2"/>
  <c r="J59" i="2" s="1"/>
  <c r="C59" i="3" s="1"/>
  <c r="L59" i="2"/>
  <c r="M59" i="2"/>
  <c r="N59" i="2"/>
  <c r="O59" i="2"/>
  <c r="P59" i="2"/>
  <c r="Q59" i="2"/>
  <c r="A60" i="2"/>
  <c r="A60" i="3" s="1"/>
  <c r="B60" i="2"/>
  <c r="B60" i="3" s="1"/>
  <c r="C60" i="2"/>
  <c r="D60" i="2"/>
  <c r="E60" i="2"/>
  <c r="G60" i="2"/>
  <c r="R60" i="2" s="1"/>
  <c r="Y60" i="2" s="1"/>
  <c r="H60" i="2"/>
  <c r="S60" i="2" s="1"/>
  <c r="I60" i="2"/>
  <c r="T60" i="2" s="1"/>
  <c r="D60" i="3" s="1"/>
  <c r="K60" i="2"/>
  <c r="L60" i="2"/>
  <c r="M60" i="2"/>
  <c r="N60" i="2"/>
  <c r="O60" i="2"/>
  <c r="P60" i="2"/>
  <c r="Q60" i="2"/>
  <c r="A61" i="2"/>
  <c r="A61" i="3" s="1"/>
  <c r="B61" i="2"/>
  <c r="B61" i="3" s="1"/>
  <c r="C61" i="2"/>
  <c r="D61" i="2"/>
  <c r="E61" i="2"/>
  <c r="G61" i="2"/>
  <c r="R61" i="2" s="1"/>
  <c r="Y61" i="2" s="1"/>
  <c r="H61" i="2"/>
  <c r="S61" i="2" s="1"/>
  <c r="I61" i="2"/>
  <c r="T61" i="2" s="1"/>
  <c r="D61" i="3" s="1"/>
  <c r="K61" i="2"/>
  <c r="L61" i="2"/>
  <c r="M61" i="2"/>
  <c r="N61" i="2"/>
  <c r="O61" i="2"/>
  <c r="P61" i="2"/>
  <c r="Q61" i="2"/>
  <c r="A62" i="2"/>
  <c r="A62" i="3" s="1"/>
  <c r="B62" i="2"/>
  <c r="B62" i="3" s="1"/>
  <c r="C62" i="2"/>
  <c r="D62" i="2"/>
  <c r="E62" i="2"/>
  <c r="G62" i="2"/>
  <c r="R62" i="2" s="1"/>
  <c r="Y62" i="2" s="1"/>
  <c r="H62" i="2"/>
  <c r="S62" i="2" s="1"/>
  <c r="I62" i="2"/>
  <c r="T62" i="2" s="1"/>
  <c r="D62" i="3" s="1"/>
  <c r="K62" i="2"/>
  <c r="J62" i="2" s="1"/>
  <c r="C62" i="3" s="1"/>
  <c r="L62" i="2"/>
  <c r="M62" i="2"/>
  <c r="N62" i="2"/>
  <c r="O62" i="2"/>
  <c r="P62" i="2"/>
  <c r="Q62" i="2"/>
  <c r="A63" i="2"/>
  <c r="A63" i="3" s="1"/>
  <c r="B63" i="2"/>
  <c r="B63" i="3" s="1"/>
  <c r="C63" i="2"/>
  <c r="D63" i="2"/>
  <c r="E63" i="2"/>
  <c r="G63" i="2"/>
  <c r="R63" i="2" s="1"/>
  <c r="Y63" i="2" s="1"/>
  <c r="H63" i="2"/>
  <c r="S63" i="2" s="1"/>
  <c r="I63" i="2"/>
  <c r="T63" i="2" s="1"/>
  <c r="D63" i="3" s="1"/>
  <c r="K63" i="2"/>
  <c r="L63" i="2"/>
  <c r="M63" i="2"/>
  <c r="N63" i="2"/>
  <c r="O63" i="2"/>
  <c r="P63" i="2"/>
  <c r="Q63" i="2"/>
  <c r="A64" i="2"/>
  <c r="A64" i="3" s="1"/>
  <c r="B64" i="2"/>
  <c r="B64" i="3" s="1"/>
  <c r="C64" i="2"/>
  <c r="D64" i="2"/>
  <c r="E64" i="2"/>
  <c r="G64" i="2"/>
  <c r="R64" i="2" s="1"/>
  <c r="Y64" i="2" s="1"/>
  <c r="H64" i="2"/>
  <c r="S64" i="2" s="1"/>
  <c r="I64" i="2"/>
  <c r="T64" i="2" s="1"/>
  <c r="D64" i="3" s="1"/>
  <c r="K64" i="2"/>
  <c r="L64" i="2"/>
  <c r="M64" i="2"/>
  <c r="N64" i="2"/>
  <c r="O64" i="2"/>
  <c r="P64" i="2"/>
  <c r="Q64" i="2"/>
  <c r="A65" i="2"/>
  <c r="A65" i="3" s="1"/>
  <c r="B65" i="2"/>
  <c r="B65" i="3" s="1"/>
  <c r="C65" i="2"/>
  <c r="D65" i="2"/>
  <c r="E65" i="2"/>
  <c r="G65" i="2"/>
  <c r="R65" i="2" s="1"/>
  <c r="H65" i="2"/>
  <c r="S65" i="2" s="1"/>
  <c r="I65" i="2"/>
  <c r="T65" i="2" s="1"/>
  <c r="D65" i="3" s="1"/>
  <c r="K65" i="2"/>
  <c r="L65" i="2"/>
  <c r="M65" i="2"/>
  <c r="N65" i="2"/>
  <c r="O65" i="2"/>
  <c r="P65" i="2"/>
  <c r="Q65" i="2"/>
  <c r="A66" i="2"/>
  <c r="A66" i="3" s="1"/>
  <c r="B66" i="2"/>
  <c r="B66" i="3" s="1"/>
  <c r="C66" i="2"/>
  <c r="D66" i="2"/>
  <c r="E66" i="2"/>
  <c r="G66" i="2"/>
  <c r="R66" i="2" s="1"/>
  <c r="Y66" i="2" s="1"/>
  <c r="H66" i="2"/>
  <c r="S66" i="2" s="1"/>
  <c r="I66" i="2"/>
  <c r="T66" i="2" s="1"/>
  <c r="D66" i="3" s="1"/>
  <c r="K66" i="2"/>
  <c r="L66" i="2"/>
  <c r="M66" i="2"/>
  <c r="N66" i="2"/>
  <c r="O66" i="2"/>
  <c r="P66" i="2"/>
  <c r="Q66" i="2"/>
  <c r="A67" i="2"/>
  <c r="A67" i="3" s="1"/>
  <c r="B67" i="2"/>
  <c r="B67" i="3" s="1"/>
  <c r="C67" i="2"/>
  <c r="D67" i="2"/>
  <c r="E67" i="2"/>
  <c r="G67" i="2"/>
  <c r="R67" i="2" s="1"/>
  <c r="H67" i="2"/>
  <c r="S67" i="2" s="1"/>
  <c r="I67" i="2"/>
  <c r="T67" i="2" s="1"/>
  <c r="D67" i="3" s="1"/>
  <c r="K67" i="2"/>
  <c r="J67" i="2" s="1"/>
  <c r="C67" i="3" s="1"/>
  <c r="L67" i="2"/>
  <c r="M67" i="2"/>
  <c r="N67" i="2"/>
  <c r="O67" i="2"/>
  <c r="P67" i="2"/>
  <c r="Q67" i="2"/>
  <c r="A68" i="2"/>
  <c r="A68" i="3" s="1"/>
  <c r="B68" i="2"/>
  <c r="B68" i="3" s="1"/>
  <c r="C68" i="2"/>
  <c r="D68" i="2"/>
  <c r="E68" i="2"/>
  <c r="G68" i="2"/>
  <c r="H68" i="2"/>
  <c r="I68" i="2"/>
  <c r="K68" i="2"/>
  <c r="L68" i="2"/>
  <c r="M68" i="2"/>
  <c r="N68" i="2"/>
  <c r="O68" i="2"/>
  <c r="P68" i="2"/>
  <c r="Q68" i="2"/>
  <c r="A69" i="2"/>
  <c r="A69" i="3" s="1"/>
  <c r="B69" i="2"/>
  <c r="B69" i="3" s="1"/>
  <c r="C69" i="2"/>
  <c r="D69" i="2"/>
  <c r="E69" i="2"/>
  <c r="G69" i="2"/>
  <c r="H69" i="2"/>
  <c r="I69" i="2"/>
  <c r="K69" i="2"/>
  <c r="L69" i="2"/>
  <c r="M69" i="2"/>
  <c r="N69" i="2"/>
  <c r="O69" i="2"/>
  <c r="P69" i="2"/>
  <c r="Q69" i="2"/>
  <c r="A70" i="2"/>
  <c r="A70" i="3" s="1"/>
  <c r="B70" i="2"/>
  <c r="B70" i="3" s="1"/>
  <c r="C70" i="2"/>
  <c r="D70" i="2"/>
  <c r="E70" i="2"/>
  <c r="G70" i="2"/>
  <c r="H70" i="2"/>
  <c r="I70" i="2"/>
  <c r="K70" i="2"/>
  <c r="L70" i="2"/>
  <c r="M70" i="2"/>
  <c r="N70" i="2"/>
  <c r="O70" i="2"/>
  <c r="P70" i="2"/>
  <c r="Q70" i="2"/>
  <c r="A71" i="2"/>
  <c r="A71" i="3" s="1"/>
  <c r="B71" i="2"/>
  <c r="B71" i="3" s="1"/>
  <c r="C71" i="2"/>
  <c r="D71" i="2"/>
  <c r="E71" i="2"/>
  <c r="G71" i="2"/>
  <c r="D89" i="4" s="1"/>
  <c r="M89" i="4" s="1"/>
  <c r="H71" i="2"/>
  <c r="E89" i="4" s="1"/>
  <c r="N89" i="4" s="1"/>
  <c r="I71" i="2"/>
  <c r="T71" i="2" s="1"/>
  <c r="D71" i="3" s="1"/>
  <c r="K71" i="2"/>
  <c r="U71" i="2" s="1"/>
  <c r="E71" i="3" s="1"/>
  <c r="L71" i="2"/>
  <c r="M71" i="2"/>
  <c r="N71" i="2"/>
  <c r="G89" i="4" s="1"/>
  <c r="O71" i="2"/>
  <c r="P71" i="2"/>
  <c r="H89" i="4" s="1"/>
  <c r="P89" i="4" s="1"/>
  <c r="Q71" i="2"/>
  <c r="A72" i="2"/>
  <c r="A72" i="3" s="1"/>
  <c r="B72" i="2"/>
  <c r="B72" i="3" s="1"/>
  <c r="C72" i="2"/>
  <c r="D72" i="2"/>
  <c r="E72" i="2"/>
  <c r="G72" i="2"/>
  <c r="H72" i="2"/>
  <c r="I72" i="2"/>
  <c r="T72" i="2" s="1"/>
  <c r="D72" i="3" s="1"/>
  <c r="K72" i="2"/>
  <c r="L72" i="2"/>
  <c r="M72" i="2"/>
  <c r="N72" i="2"/>
  <c r="G90" i="4" s="1"/>
  <c r="O72" i="2"/>
  <c r="P72" i="2"/>
  <c r="H90" i="4" s="1"/>
  <c r="P90" i="4" s="1"/>
  <c r="Q72" i="2"/>
  <c r="A73" i="2"/>
  <c r="A73" i="3" s="1"/>
  <c r="B73" i="2"/>
  <c r="B73" i="3" s="1"/>
  <c r="C73" i="2"/>
  <c r="D73" i="2"/>
  <c r="E73" i="2"/>
  <c r="G73" i="2"/>
  <c r="H73" i="2"/>
  <c r="I73" i="2"/>
  <c r="T73" i="2" s="1"/>
  <c r="D73" i="3" s="1"/>
  <c r="K73" i="2"/>
  <c r="J73" i="2" s="1"/>
  <c r="C73" i="3" s="1"/>
  <c r="L73" i="2"/>
  <c r="M73" i="2"/>
  <c r="N73" i="2"/>
  <c r="G91" i="4" s="1"/>
  <c r="O73" i="2"/>
  <c r="P73" i="2"/>
  <c r="H91" i="4" s="1"/>
  <c r="P91" i="4" s="1"/>
  <c r="Q73" i="2"/>
  <c r="A74" i="2"/>
  <c r="A74" i="3" s="1"/>
  <c r="B74" i="2"/>
  <c r="B74" i="3" s="1"/>
  <c r="C74" i="2"/>
  <c r="D74" i="2"/>
  <c r="E74" i="2"/>
  <c r="G74" i="2"/>
  <c r="H74" i="2"/>
  <c r="S74" i="2" s="1"/>
  <c r="I74" i="2"/>
  <c r="T74" i="2" s="1"/>
  <c r="D74" i="3" s="1"/>
  <c r="K74" i="2"/>
  <c r="J74" i="2" s="1"/>
  <c r="C74" i="3" s="1"/>
  <c r="L74" i="2"/>
  <c r="M74" i="2"/>
  <c r="N74" i="2"/>
  <c r="G92" i="4" s="1"/>
  <c r="O74" i="2"/>
  <c r="P74" i="2"/>
  <c r="H92" i="4" s="1"/>
  <c r="P92" i="4" s="1"/>
  <c r="Q74" i="2"/>
  <c r="A75" i="2"/>
  <c r="A75" i="3" s="1"/>
  <c r="B75" i="2"/>
  <c r="B75" i="3" s="1"/>
  <c r="C75" i="2"/>
  <c r="D75" i="2"/>
  <c r="E75" i="2"/>
  <c r="G75" i="2"/>
  <c r="H75" i="2"/>
  <c r="S75" i="2" s="1"/>
  <c r="I75" i="2"/>
  <c r="T75" i="2" s="1"/>
  <c r="D75" i="3" s="1"/>
  <c r="K75" i="2"/>
  <c r="L75" i="2"/>
  <c r="M75" i="2"/>
  <c r="N75" i="2"/>
  <c r="G93" i="4" s="1"/>
  <c r="O75" i="2"/>
  <c r="P75" i="2"/>
  <c r="H93" i="4" s="1"/>
  <c r="P93" i="4" s="1"/>
  <c r="Q75" i="2"/>
  <c r="A76" i="2"/>
  <c r="A76" i="3" s="1"/>
  <c r="B76" i="2"/>
  <c r="B76" i="3" s="1"/>
  <c r="C76" i="2"/>
  <c r="D76" i="2"/>
  <c r="E76" i="2"/>
  <c r="G76" i="2"/>
  <c r="H76" i="2"/>
  <c r="I76" i="2"/>
  <c r="T76" i="2" s="1"/>
  <c r="D76" i="3" s="1"/>
  <c r="K76" i="2"/>
  <c r="L76" i="2"/>
  <c r="M76" i="2"/>
  <c r="N76" i="2"/>
  <c r="G94" i="4" s="1"/>
  <c r="O76" i="2"/>
  <c r="P76" i="2"/>
  <c r="H94" i="4" s="1"/>
  <c r="P94" i="4" s="1"/>
  <c r="Q76" i="2"/>
  <c r="A77" i="2"/>
  <c r="A77" i="3" s="1"/>
  <c r="B77" i="2"/>
  <c r="B77" i="3" s="1"/>
  <c r="C77" i="2"/>
  <c r="D77" i="2"/>
  <c r="E77" i="2"/>
  <c r="G77" i="2"/>
  <c r="H77" i="2"/>
  <c r="I77" i="2"/>
  <c r="T77" i="2" s="1"/>
  <c r="D77" i="3" s="1"/>
  <c r="K77" i="2"/>
  <c r="U77" i="2" s="1"/>
  <c r="E77" i="3" s="1"/>
  <c r="L77" i="2"/>
  <c r="M77" i="2"/>
  <c r="N77" i="2"/>
  <c r="G95" i="4" s="1"/>
  <c r="O77" i="2"/>
  <c r="P77" i="2"/>
  <c r="H95" i="4" s="1"/>
  <c r="P95" i="4" s="1"/>
  <c r="Q77" i="2"/>
  <c r="A78" i="2"/>
  <c r="A78" i="3" s="1"/>
  <c r="B78" i="2"/>
  <c r="B78" i="3" s="1"/>
  <c r="C78" i="2"/>
  <c r="D78" i="2"/>
  <c r="E78" i="2"/>
  <c r="G78" i="2"/>
  <c r="D96" i="4" s="1"/>
  <c r="M96" i="4" s="1"/>
  <c r="H78" i="2"/>
  <c r="I78" i="2"/>
  <c r="T78" i="2" s="1"/>
  <c r="D78" i="3" s="1"/>
  <c r="K78" i="2"/>
  <c r="J78" i="2" s="1"/>
  <c r="C78" i="3" s="1"/>
  <c r="L78" i="2"/>
  <c r="M78" i="2"/>
  <c r="N78" i="2"/>
  <c r="G96" i="4" s="1"/>
  <c r="O78" i="2"/>
  <c r="P78" i="2"/>
  <c r="H96" i="4" s="1"/>
  <c r="P96" i="4" s="1"/>
  <c r="Q78" i="2"/>
  <c r="A79" i="2"/>
  <c r="A79" i="3" s="1"/>
  <c r="B79" i="2"/>
  <c r="B79" i="3" s="1"/>
  <c r="C79" i="2"/>
  <c r="D79" i="2"/>
  <c r="E79" i="2"/>
  <c r="G79" i="2"/>
  <c r="H79" i="2"/>
  <c r="I79" i="2"/>
  <c r="T79" i="2" s="1"/>
  <c r="D79" i="3" s="1"/>
  <c r="K79" i="2"/>
  <c r="L79" i="2"/>
  <c r="M79" i="2"/>
  <c r="N79" i="2"/>
  <c r="G97" i="4" s="1"/>
  <c r="O79" i="2"/>
  <c r="P79" i="2"/>
  <c r="H97" i="4" s="1"/>
  <c r="P97" i="4" s="1"/>
  <c r="Q79" i="2"/>
  <c r="A80" i="2"/>
  <c r="A80" i="3" s="1"/>
  <c r="B80" i="2"/>
  <c r="B80" i="3" s="1"/>
  <c r="C80" i="2"/>
  <c r="D80" i="2"/>
  <c r="E80" i="2"/>
  <c r="G80" i="2"/>
  <c r="R80" i="2" s="1"/>
  <c r="Y80" i="2" s="1"/>
  <c r="H80" i="2"/>
  <c r="E98" i="4" s="1"/>
  <c r="N98" i="4" s="1"/>
  <c r="I80" i="2"/>
  <c r="T80" i="2" s="1"/>
  <c r="D80" i="3" s="1"/>
  <c r="K80" i="2"/>
  <c r="L80" i="2"/>
  <c r="M80" i="2"/>
  <c r="N80" i="2"/>
  <c r="G98" i="4" s="1"/>
  <c r="O80" i="2"/>
  <c r="P80" i="2"/>
  <c r="H98" i="4" s="1"/>
  <c r="P98" i="4" s="1"/>
  <c r="Q80" i="2"/>
  <c r="A81" i="2"/>
  <c r="A81" i="3" s="1"/>
  <c r="B81" i="2"/>
  <c r="B81" i="3" s="1"/>
  <c r="C81" i="2"/>
  <c r="D81" i="2"/>
  <c r="E81" i="2"/>
  <c r="G81" i="2"/>
  <c r="H81" i="2"/>
  <c r="I81" i="2"/>
  <c r="T81" i="2" s="1"/>
  <c r="D81" i="3" s="1"/>
  <c r="K81" i="2"/>
  <c r="J81" i="2" s="1"/>
  <c r="C81" i="3" s="1"/>
  <c r="L81" i="2"/>
  <c r="M81" i="2"/>
  <c r="N81" i="2"/>
  <c r="G99" i="4" s="1"/>
  <c r="O81" i="2"/>
  <c r="P81" i="2"/>
  <c r="H99" i="4" s="1"/>
  <c r="P99" i="4" s="1"/>
  <c r="Q81" i="2"/>
  <c r="A82" i="2"/>
  <c r="A82" i="3" s="1"/>
  <c r="B82" i="2"/>
  <c r="B82" i="3" s="1"/>
  <c r="C82" i="2"/>
  <c r="D82" i="2"/>
  <c r="E82" i="2"/>
  <c r="G82" i="2"/>
  <c r="H82" i="2"/>
  <c r="I82" i="2"/>
  <c r="T82" i="2" s="1"/>
  <c r="D82" i="3" s="1"/>
  <c r="K82" i="2"/>
  <c r="J82" i="2" s="1"/>
  <c r="C82" i="3" s="1"/>
  <c r="L82" i="2"/>
  <c r="M82" i="2"/>
  <c r="N82" i="2"/>
  <c r="G100" i="4" s="1"/>
  <c r="O82" i="2"/>
  <c r="P82" i="2"/>
  <c r="H100" i="4" s="1"/>
  <c r="P100" i="4" s="1"/>
  <c r="Q82" i="2"/>
  <c r="A83" i="2"/>
  <c r="A83" i="3" s="1"/>
  <c r="B83" i="2"/>
  <c r="B83" i="3" s="1"/>
  <c r="C83" i="2"/>
  <c r="D83" i="2"/>
  <c r="E83" i="2"/>
  <c r="G83" i="2"/>
  <c r="D101" i="4" s="1"/>
  <c r="M101" i="4" s="1"/>
  <c r="H83" i="2"/>
  <c r="E101" i="4" s="1"/>
  <c r="N101" i="4" s="1"/>
  <c r="I83" i="2"/>
  <c r="K83" i="2"/>
  <c r="L83" i="2"/>
  <c r="M83" i="2"/>
  <c r="N83" i="2"/>
  <c r="G101" i="4" s="1"/>
  <c r="O83" i="2"/>
  <c r="P83" i="2"/>
  <c r="H101" i="4" s="1"/>
  <c r="P101" i="4" s="1"/>
  <c r="Q83" i="2"/>
  <c r="A84" i="3"/>
  <c r="B84" i="3"/>
  <c r="C84" i="2"/>
  <c r="D84" i="2"/>
  <c r="E84" i="2"/>
  <c r="G84" i="2"/>
  <c r="D102" i="4" s="1"/>
  <c r="M102" i="4" s="1"/>
  <c r="H84" i="2"/>
  <c r="E102" i="4" s="1"/>
  <c r="N102" i="4" s="1"/>
  <c r="I84" i="2"/>
  <c r="K84" i="2"/>
  <c r="L84" i="2"/>
  <c r="M84" i="2"/>
  <c r="N84" i="2"/>
  <c r="G102" i="4" s="1"/>
  <c r="O84" i="2"/>
  <c r="P84" i="2"/>
  <c r="H102" i="4" s="1"/>
  <c r="P102" i="4" s="1"/>
  <c r="Q84" i="2"/>
  <c r="A85" i="2"/>
  <c r="A85" i="3" s="1"/>
  <c r="B85" i="2"/>
  <c r="B85" i="3" s="1"/>
  <c r="C85" i="2"/>
  <c r="D85" i="2"/>
  <c r="E85" i="2"/>
  <c r="G85" i="2"/>
  <c r="D103" i="4" s="1"/>
  <c r="M103" i="4" s="1"/>
  <c r="H85" i="2"/>
  <c r="E103" i="4" s="1"/>
  <c r="N103" i="4" s="1"/>
  <c r="I85" i="2"/>
  <c r="K85" i="2"/>
  <c r="L85" i="2"/>
  <c r="M85" i="2"/>
  <c r="N85" i="2"/>
  <c r="G103" i="4" s="1"/>
  <c r="O85" i="2"/>
  <c r="P85" i="2"/>
  <c r="H103" i="4" s="1"/>
  <c r="P103" i="4" s="1"/>
  <c r="Q85" i="2"/>
  <c r="A86" i="2"/>
  <c r="A86" i="3" s="1"/>
  <c r="B86" i="2"/>
  <c r="B86" i="3" s="1"/>
  <c r="C86" i="2"/>
  <c r="D86" i="2"/>
  <c r="E86" i="2"/>
  <c r="G86" i="2"/>
  <c r="H86" i="2"/>
  <c r="I86" i="2"/>
  <c r="T86" i="2" s="1"/>
  <c r="D86" i="3" s="1"/>
  <c r="K86" i="2"/>
  <c r="L86" i="2"/>
  <c r="M86" i="2"/>
  <c r="N86" i="2"/>
  <c r="G105" i="4" s="1"/>
  <c r="O86" i="2"/>
  <c r="P86" i="2"/>
  <c r="H105" i="4" s="1"/>
  <c r="P105" i="4" s="1"/>
  <c r="Q86" i="2"/>
  <c r="A87" i="2"/>
  <c r="A87" i="3" s="1"/>
  <c r="B87" i="2"/>
  <c r="B87" i="3" s="1"/>
  <c r="C87" i="2"/>
  <c r="D87" i="2"/>
  <c r="E87" i="2"/>
  <c r="G87" i="2"/>
  <c r="H87" i="2"/>
  <c r="I87" i="2"/>
  <c r="T87" i="2" s="1"/>
  <c r="D87" i="3" s="1"/>
  <c r="K87" i="2"/>
  <c r="J87" i="2" s="1"/>
  <c r="C87" i="3" s="1"/>
  <c r="L87" i="2"/>
  <c r="M87" i="2"/>
  <c r="N87" i="2"/>
  <c r="G106" i="4" s="1"/>
  <c r="O87" i="2"/>
  <c r="P87" i="2"/>
  <c r="H106" i="4" s="1"/>
  <c r="P106" i="4" s="1"/>
  <c r="Q87" i="2"/>
  <c r="A88" i="2"/>
  <c r="A88" i="3" s="1"/>
  <c r="B88" i="2"/>
  <c r="B88" i="3" s="1"/>
  <c r="C88" i="2"/>
  <c r="D88" i="2"/>
  <c r="E88" i="2"/>
  <c r="G88" i="2"/>
  <c r="D107" i="4" s="1"/>
  <c r="M107" i="4" s="1"/>
  <c r="H88" i="2"/>
  <c r="I88" i="2"/>
  <c r="T88" i="2" s="1"/>
  <c r="D88" i="3" s="1"/>
  <c r="K88" i="2"/>
  <c r="J88" i="2" s="1"/>
  <c r="C88" i="3" s="1"/>
  <c r="L88" i="2"/>
  <c r="M88" i="2"/>
  <c r="N88" i="2"/>
  <c r="G107" i="4" s="1"/>
  <c r="O88" i="2"/>
  <c r="P88" i="2"/>
  <c r="H107" i="4" s="1"/>
  <c r="P107" i="4" s="1"/>
  <c r="Q88" i="2"/>
  <c r="A89" i="2"/>
  <c r="A89" i="3" s="1"/>
  <c r="B89" i="2"/>
  <c r="B89" i="3" s="1"/>
  <c r="C89" i="2"/>
  <c r="D89" i="2"/>
  <c r="E89" i="2"/>
  <c r="G89" i="2"/>
  <c r="H89" i="2"/>
  <c r="I89" i="2"/>
  <c r="T89" i="2" s="1"/>
  <c r="D89" i="3" s="1"/>
  <c r="K89" i="2"/>
  <c r="L89" i="2"/>
  <c r="M89" i="2"/>
  <c r="N89" i="2"/>
  <c r="G108" i="4" s="1"/>
  <c r="O89" i="2"/>
  <c r="P89" i="2"/>
  <c r="H108" i="4" s="1"/>
  <c r="P108" i="4" s="1"/>
  <c r="Q89" i="2"/>
  <c r="A90" i="2"/>
  <c r="A90" i="3" s="1"/>
  <c r="B90" i="2"/>
  <c r="B90" i="3" s="1"/>
  <c r="C90" i="2"/>
  <c r="D90" i="2"/>
  <c r="E90" i="2"/>
  <c r="G90" i="2"/>
  <c r="H90" i="2"/>
  <c r="I90" i="2"/>
  <c r="T90" i="2" s="1"/>
  <c r="D90" i="3" s="1"/>
  <c r="K90" i="2"/>
  <c r="L90" i="2"/>
  <c r="M90" i="2"/>
  <c r="N90" i="2"/>
  <c r="G109" i="4" s="1"/>
  <c r="O90" i="2"/>
  <c r="P90" i="2"/>
  <c r="H109" i="4" s="1"/>
  <c r="P109" i="4" s="1"/>
  <c r="Q90" i="2"/>
  <c r="A91" i="2"/>
  <c r="A91" i="3" s="1"/>
  <c r="B91" i="2"/>
  <c r="B91" i="3" s="1"/>
  <c r="C91" i="2"/>
  <c r="D91" i="2"/>
  <c r="E91" i="2"/>
  <c r="G91" i="2"/>
  <c r="D110" i="4" s="1"/>
  <c r="M110" i="4" s="1"/>
  <c r="H91" i="2"/>
  <c r="I91" i="2"/>
  <c r="T91" i="2" s="1"/>
  <c r="D91" i="3" s="1"/>
  <c r="K91" i="2"/>
  <c r="J91" i="2" s="1"/>
  <c r="C91" i="3" s="1"/>
  <c r="L91" i="2"/>
  <c r="M91" i="2"/>
  <c r="N91" i="2"/>
  <c r="G110" i="4" s="1"/>
  <c r="O91" i="2"/>
  <c r="P91" i="2"/>
  <c r="H110" i="4" s="1"/>
  <c r="P110" i="4" s="1"/>
  <c r="Q91" i="2"/>
  <c r="A92" i="2"/>
  <c r="A92" i="3" s="1"/>
  <c r="B92" i="2"/>
  <c r="B92" i="3" s="1"/>
  <c r="C92" i="2"/>
  <c r="D92" i="2"/>
  <c r="E92" i="2"/>
  <c r="G92" i="2"/>
  <c r="H92" i="2"/>
  <c r="S92" i="2" s="1"/>
  <c r="I92" i="2"/>
  <c r="T92" i="2" s="1"/>
  <c r="D92" i="3" s="1"/>
  <c r="K92" i="2"/>
  <c r="J92" i="2" s="1"/>
  <c r="C92" i="3" s="1"/>
  <c r="L92" i="2"/>
  <c r="M92" i="2"/>
  <c r="N92" i="2"/>
  <c r="G111" i="4" s="1"/>
  <c r="O92" i="2"/>
  <c r="P92" i="2"/>
  <c r="H111" i="4" s="1"/>
  <c r="P111" i="4" s="1"/>
  <c r="Q92" i="2"/>
  <c r="A93" i="2"/>
  <c r="A93" i="3" s="1"/>
  <c r="B93" i="2"/>
  <c r="B93" i="3" s="1"/>
  <c r="C93" i="2"/>
  <c r="D93" i="2"/>
  <c r="E93" i="2"/>
  <c r="G93" i="2"/>
  <c r="H93" i="2"/>
  <c r="I93" i="2"/>
  <c r="T93" i="2" s="1"/>
  <c r="D93" i="3" s="1"/>
  <c r="K93" i="2"/>
  <c r="L93" i="2"/>
  <c r="M93" i="2"/>
  <c r="N93" i="2"/>
  <c r="G112" i="4" s="1"/>
  <c r="O93" i="2"/>
  <c r="P93" i="2"/>
  <c r="H112" i="4" s="1"/>
  <c r="P112" i="4" s="1"/>
  <c r="Q93" i="2"/>
  <c r="A94" i="2"/>
  <c r="A94" i="3" s="1"/>
  <c r="B94" i="2"/>
  <c r="B94" i="3" s="1"/>
  <c r="C94" i="2"/>
  <c r="D94" i="2"/>
  <c r="E94" i="2"/>
  <c r="G94" i="2"/>
  <c r="R94" i="2" s="1"/>
  <c r="H94" i="2"/>
  <c r="I94" i="2"/>
  <c r="T94" i="2" s="1"/>
  <c r="D94" i="3" s="1"/>
  <c r="K94" i="2"/>
  <c r="L94" i="2"/>
  <c r="M94" i="2"/>
  <c r="N94" i="2"/>
  <c r="G113" i="4" s="1"/>
  <c r="O94" i="2"/>
  <c r="P94" i="2"/>
  <c r="H113" i="4" s="1"/>
  <c r="P113" i="4" s="1"/>
  <c r="Q94" i="2"/>
  <c r="A95" i="2"/>
  <c r="A95" i="3" s="1"/>
  <c r="B95" i="2"/>
  <c r="B95" i="3" s="1"/>
  <c r="C95" i="2"/>
  <c r="D95" i="2"/>
  <c r="E95" i="2"/>
  <c r="G95" i="2"/>
  <c r="H95" i="2"/>
  <c r="I95" i="2"/>
  <c r="T95" i="2" s="1"/>
  <c r="D95" i="3" s="1"/>
  <c r="K95" i="2"/>
  <c r="J95" i="2" s="1"/>
  <c r="C95" i="3" s="1"/>
  <c r="L95" i="2"/>
  <c r="M95" i="2"/>
  <c r="N95" i="2"/>
  <c r="G114" i="4" s="1"/>
  <c r="O95" i="2"/>
  <c r="P95" i="2"/>
  <c r="H114" i="4" s="1"/>
  <c r="P114" i="4" s="1"/>
  <c r="Q95" i="2"/>
  <c r="A96" i="2"/>
  <c r="A96" i="3" s="1"/>
  <c r="B96" i="2"/>
  <c r="B96" i="3" s="1"/>
  <c r="C96" i="2"/>
  <c r="D96" i="2"/>
  <c r="E96" i="2"/>
  <c r="G96" i="2"/>
  <c r="D115" i="4" s="1"/>
  <c r="M115" i="4" s="1"/>
  <c r="H96" i="2"/>
  <c r="E115" i="4" s="1"/>
  <c r="N115" i="4" s="1"/>
  <c r="I96" i="2"/>
  <c r="T96" i="2" s="1"/>
  <c r="D96" i="3" s="1"/>
  <c r="K96" i="2"/>
  <c r="L96" i="2"/>
  <c r="M96" i="2"/>
  <c r="N96" i="2"/>
  <c r="G115" i="4" s="1"/>
  <c r="O96" i="2"/>
  <c r="P96" i="2"/>
  <c r="H115" i="4" s="1"/>
  <c r="P115" i="4" s="1"/>
  <c r="Q96" i="2"/>
  <c r="A97" i="2"/>
  <c r="A97" i="3" s="1"/>
  <c r="B97" i="2"/>
  <c r="B97" i="3" s="1"/>
  <c r="C97" i="2"/>
  <c r="D97" i="2"/>
  <c r="E97" i="2"/>
  <c r="G97" i="2"/>
  <c r="H97" i="2"/>
  <c r="I97" i="2"/>
  <c r="T97" i="2" s="1"/>
  <c r="D97" i="3" s="1"/>
  <c r="K97" i="2"/>
  <c r="L97" i="2"/>
  <c r="M97" i="2"/>
  <c r="N97" i="2"/>
  <c r="G116" i="4" s="1"/>
  <c r="O97" i="2"/>
  <c r="P97" i="2"/>
  <c r="H116" i="4" s="1"/>
  <c r="P116" i="4" s="1"/>
  <c r="Q97" i="2"/>
  <c r="A98" i="2"/>
  <c r="A98" i="3" s="1"/>
  <c r="B98" i="2"/>
  <c r="B98" i="3" s="1"/>
  <c r="C98" i="2"/>
  <c r="D98" i="2"/>
  <c r="E98" i="2"/>
  <c r="G98" i="2"/>
  <c r="D117" i="4" s="1"/>
  <c r="M117" i="4" s="1"/>
  <c r="H98" i="2"/>
  <c r="E117" i="4" s="1"/>
  <c r="N117" i="4" s="1"/>
  <c r="I98" i="2"/>
  <c r="K98" i="2"/>
  <c r="L98" i="2"/>
  <c r="M98" i="2"/>
  <c r="N98" i="2"/>
  <c r="G117" i="4" s="1"/>
  <c r="O98" i="2"/>
  <c r="P98" i="2"/>
  <c r="H117" i="4" s="1"/>
  <c r="P117" i="4" s="1"/>
  <c r="Q98" i="2"/>
  <c r="A99" i="2"/>
  <c r="A99" i="3" s="1"/>
  <c r="B99" i="2"/>
  <c r="B99" i="3" s="1"/>
  <c r="C99" i="2"/>
  <c r="D99" i="2"/>
  <c r="E99" i="2"/>
  <c r="G99" i="2"/>
  <c r="D118" i="4" s="1"/>
  <c r="M118" i="4" s="1"/>
  <c r="H99" i="2"/>
  <c r="E118" i="4" s="1"/>
  <c r="N118" i="4" s="1"/>
  <c r="I99" i="2"/>
  <c r="K99" i="2"/>
  <c r="L99" i="2"/>
  <c r="M99" i="2"/>
  <c r="N99" i="2"/>
  <c r="G118" i="4" s="1"/>
  <c r="O99" i="2"/>
  <c r="P99" i="2"/>
  <c r="H118" i="4" s="1"/>
  <c r="P118" i="4" s="1"/>
  <c r="Q99" i="2"/>
  <c r="A100" i="2"/>
  <c r="A100" i="3" s="1"/>
  <c r="B100" i="2"/>
  <c r="B100" i="3" s="1"/>
  <c r="C100" i="2"/>
  <c r="D100" i="2"/>
  <c r="E100" i="2"/>
  <c r="G100" i="2"/>
  <c r="D119" i="4" s="1"/>
  <c r="M119" i="4" s="1"/>
  <c r="H100" i="2"/>
  <c r="E119" i="4" s="1"/>
  <c r="N119" i="4" s="1"/>
  <c r="I100" i="2"/>
  <c r="K100" i="2"/>
  <c r="L100" i="2"/>
  <c r="M100" i="2"/>
  <c r="N100" i="2"/>
  <c r="G119" i="4" s="1"/>
  <c r="O100" i="2"/>
  <c r="P100" i="2"/>
  <c r="H119" i="4" s="1"/>
  <c r="P119" i="4" s="1"/>
  <c r="Q100" i="2"/>
  <c r="A101" i="2"/>
  <c r="A101" i="3" s="1"/>
  <c r="B101" i="2"/>
  <c r="B101" i="3" s="1"/>
  <c r="C101" i="2"/>
  <c r="D101" i="2"/>
  <c r="E101" i="2"/>
  <c r="G101" i="2"/>
  <c r="H101" i="2"/>
  <c r="I101" i="2"/>
  <c r="T101" i="2" s="1"/>
  <c r="D101" i="3" s="1"/>
  <c r="K101" i="2"/>
  <c r="L101" i="2"/>
  <c r="M101" i="2"/>
  <c r="N101" i="2"/>
  <c r="G121" i="4" s="1"/>
  <c r="O101" i="2"/>
  <c r="P101" i="2"/>
  <c r="H121" i="4" s="1"/>
  <c r="P121" i="4" s="1"/>
  <c r="Q101" i="2"/>
  <c r="A102" i="2"/>
  <c r="A102" i="3" s="1"/>
  <c r="B102" i="2"/>
  <c r="B102" i="3" s="1"/>
  <c r="C102" i="2"/>
  <c r="D102" i="2"/>
  <c r="E102" i="2"/>
  <c r="G102" i="2"/>
  <c r="H102" i="2"/>
  <c r="I102" i="2"/>
  <c r="T102" i="2" s="1"/>
  <c r="D102" i="3" s="1"/>
  <c r="K102" i="2"/>
  <c r="J102" i="2" s="1"/>
  <c r="C102" i="3" s="1"/>
  <c r="L102" i="2"/>
  <c r="M102" i="2"/>
  <c r="N102" i="2"/>
  <c r="G122" i="4" s="1"/>
  <c r="O102" i="2"/>
  <c r="P102" i="2"/>
  <c r="H122" i="4" s="1"/>
  <c r="P122" i="4" s="1"/>
  <c r="Q102" i="2"/>
  <c r="A103" i="2"/>
  <c r="A103" i="3" s="1"/>
  <c r="B103" i="2"/>
  <c r="B103" i="3" s="1"/>
  <c r="C103" i="2"/>
  <c r="D103" i="2"/>
  <c r="E103" i="2"/>
  <c r="G103" i="2"/>
  <c r="H103" i="2"/>
  <c r="I103" i="2"/>
  <c r="T103" i="2" s="1"/>
  <c r="D103" i="3" s="1"/>
  <c r="K103" i="2"/>
  <c r="U103" i="2" s="1"/>
  <c r="E103" i="3" s="1"/>
  <c r="L103" i="2"/>
  <c r="M103" i="2"/>
  <c r="N103" i="2"/>
  <c r="G123" i="4" s="1"/>
  <c r="O103" i="2"/>
  <c r="P103" i="2"/>
  <c r="H123" i="4" s="1"/>
  <c r="P123" i="4" s="1"/>
  <c r="Q103" i="2"/>
  <c r="A104" i="2"/>
  <c r="A104" i="3" s="1"/>
  <c r="B104" i="2"/>
  <c r="B104" i="3" s="1"/>
  <c r="C104" i="2"/>
  <c r="D104" i="2"/>
  <c r="E104" i="2"/>
  <c r="G104" i="2"/>
  <c r="H104" i="2"/>
  <c r="I104" i="2"/>
  <c r="T104" i="2" s="1"/>
  <c r="D104" i="3" s="1"/>
  <c r="K104" i="2"/>
  <c r="L104" i="2"/>
  <c r="M104" i="2"/>
  <c r="N104" i="2"/>
  <c r="G124" i="4" s="1"/>
  <c r="O104" i="2"/>
  <c r="P104" i="2"/>
  <c r="H124" i="4" s="1"/>
  <c r="P124" i="4" s="1"/>
  <c r="Q104" i="2"/>
  <c r="A105" i="2"/>
  <c r="A105" i="3" s="1"/>
  <c r="B105" i="2"/>
  <c r="B105" i="3" s="1"/>
  <c r="C105" i="2"/>
  <c r="D105" i="2"/>
  <c r="E105" i="2"/>
  <c r="G105" i="2"/>
  <c r="D125" i="4" s="1"/>
  <c r="M125" i="4" s="1"/>
  <c r="H105" i="2"/>
  <c r="I105" i="2"/>
  <c r="T105" i="2" s="1"/>
  <c r="D105" i="3" s="1"/>
  <c r="K105" i="2"/>
  <c r="L105" i="2"/>
  <c r="M105" i="2"/>
  <c r="N105" i="2"/>
  <c r="G125" i="4" s="1"/>
  <c r="O105" i="2"/>
  <c r="P105" i="2"/>
  <c r="H125" i="4" s="1"/>
  <c r="P125" i="4" s="1"/>
  <c r="Q105" i="2"/>
  <c r="A106" i="2"/>
  <c r="A106" i="3" s="1"/>
  <c r="B106" i="2"/>
  <c r="B106" i="3" s="1"/>
  <c r="C106" i="2"/>
  <c r="D106" i="2"/>
  <c r="E106" i="2"/>
  <c r="G106" i="2"/>
  <c r="H106" i="2"/>
  <c r="I106" i="2"/>
  <c r="T106" i="2" s="1"/>
  <c r="D106" i="3" s="1"/>
  <c r="K106" i="2"/>
  <c r="J106" i="2" s="1"/>
  <c r="C106" i="3" s="1"/>
  <c r="L106" i="2"/>
  <c r="M106" i="2"/>
  <c r="N106" i="2"/>
  <c r="G126" i="4" s="1"/>
  <c r="O106" i="2"/>
  <c r="P106" i="2"/>
  <c r="H126" i="4" s="1"/>
  <c r="P126" i="4" s="1"/>
  <c r="Q106" i="2"/>
  <c r="A107" i="2"/>
  <c r="A107" i="3" s="1"/>
  <c r="B107" i="2"/>
  <c r="B107" i="3" s="1"/>
  <c r="C107" i="2"/>
  <c r="D107" i="2"/>
  <c r="E107" i="2"/>
  <c r="G107" i="2"/>
  <c r="R107" i="2" s="1"/>
  <c r="Y107" i="2" s="1"/>
  <c r="H107" i="2"/>
  <c r="I107" i="2"/>
  <c r="T107" i="2" s="1"/>
  <c r="D107" i="3" s="1"/>
  <c r="K107" i="2"/>
  <c r="L107" i="2"/>
  <c r="M107" i="2"/>
  <c r="N107" i="2"/>
  <c r="G127" i="4" s="1"/>
  <c r="O107" i="2"/>
  <c r="P107" i="2"/>
  <c r="H127" i="4" s="1"/>
  <c r="P127" i="4" s="1"/>
  <c r="Q107" i="2"/>
  <c r="A108" i="2"/>
  <c r="A108" i="3" s="1"/>
  <c r="B108" i="2"/>
  <c r="B108" i="3" s="1"/>
  <c r="C108" i="2"/>
  <c r="D108" i="2"/>
  <c r="E108" i="2"/>
  <c r="G108" i="2"/>
  <c r="R108" i="2" s="1"/>
  <c r="H108" i="2"/>
  <c r="E128" i="4" s="1"/>
  <c r="N128" i="4" s="1"/>
  <c r="I108" i="2"/>
  <c r="T108" i="2" s="1"/>
  <c r="D108" i="3" s="1"/>
  <c r="K108" i="2"/>
  <c r="L108" i="2"/>
  <c r="M108" i="2"/>
  <c r="N108" i="2"/>
  <c r="G128" i="4" s="1"/>
  <c r="O108" i="2"/>
  <c r="P108" i="2"/>
  <c r="H128" i="4" s="1"/>
  <c r="P128" i="4" s="1"/>
  <c r="Q108" i="2"/>
  <c r="A109" i="2"/>
  <c r="A109" i="3" s="1"/>
  <c r="B109" i="2"/>
  <c r="B109" i="3" s="1"/>
  <c r="C109" i="2"/>
  <c r="D109" i="2"/>
  <c r="E109" i="2"/>
  <c r="G109" i="2"/>
  <c r="R109" i="2" s="1"/>
  <c r="Y109" i="2" s="1"/>
  <c r="H109" i="2"/>
  <c r="I109" i="2"/>
  <c r="T109" i="2" s="1"/>
  <c r="D109" i="3" s="1"/>
  <c r="K109" i="2"/>
  <c r="L109" i="2"/>
  <c r="M109" i="2"/>
  <c r="N109" i="2"/>
  <c r="G129" i="4" s="1"/>
  <c r="O109" i="2"/>
  <c r="P109" i="2"/>
  <c r="H129" i="4" s="1"/>
  <c r="P129" i="4" s="1"/>
  <c r="Q109" i="2"/>
  <c r="A110" i="2"/>
  <c r="A110" i="3" s="1"/>
  <c r="B110" i="2"/>
  <c r="B110" i="3" s="1"/>
  <c r="C110" i="2"/>
  <c r="D110" i="2"/>
  <c r="E110" i="2"/>
  <c r="G110" i="2"/>
  <c r="H110" i="2"/>
  <c r="I110" i="2"/>
  <c r="T110" i="2" s="1"/>
  <c r="D110" i="3" s="1"/>
  <c r="K110" i="2"/>
  <c r="J110" i="2" s="1"/>
  <c r="C110" i="3" s="1"/>
  <c r="L110" i="2"/>
  <c r="M110" i="2"/>
  <c r="N110" i="2"/>
  <c r="G130" i="4" s="1"/>
  <c r="O110" i="2"/>
  <c r="P110" i="2"/>
  <c r="H130" i="4" s="1"/>
  <c r="P130" i="4" s="1"/>
  <c r="Q110" i="2"/>
  <c r="A111" i="2"/>
  <c r="A111" i="3" s="1"/>
  <c r="B111" i="2"/>
  <c r="B111" i="3" s="1"/>
  <c r="C111" i="2"/>
  <c r="D111" i="2"/>
  <c r="E111" i="2"/>
  <c r="G111" i="2"/>
  <c r="D131" i="4" s="1"/>
  <c r="M131" i="4" s="1"/>
  <c r="H111" i="2"/>
  <c r="I111" i="2"/>
  <c r="T111" i="2" s="1"/>
  <c r="D111" i="3" s="1"/>
  <c r="K111" i="2"/>
  <c r="J111" i="2" s="1"/>
  <c r="C111" i="3" s="1"/>
  <c r="L111" i="2"/>
  <c r="M111" i="2"/>
  <c r="N111" i="2"/>
  <c r="G131" i="4" s="1"/>
  <c r="O111" i="2"/>
  <c r="P111" i="2"/>
  <c r="H131" i="4" s="1"/>
  <c r="P131" i="4" s="1"/>
  <c r="Q111" i="2"/>
  <c r="A112" i="2"/>
  <c r="A112" i="3" s="1"/>
  <c r="B112" i="2"/>
  <c r="B112" i="3" s="1"/>
  <c r="C112" i="2"/>
  <c r="D112" i="2"/>
  <c r="E112" i="2"/>
  <c r="G112" i="2"/>
  <c r="H112" i="2"/>
  <c r="I112" i="2"/>
  <c r="T112" i="2" s="1"/>
  <c r="D112" i="3" s="1"/>
  <c r="K112" i="2"/>
  <c r="L112" i="2"/>
  <c r="M112" i="2"/>
  <c r="N112" i="2"/>
  <c r="G132" i="4" s="1"/>
  <c r="O112" i="2"/>
  <c r="P112" i="2"/>
  <c r="H132" i="4" s="1"/>
  <c r="P132" i="4" s="1"/>
  <c r="Q112" i="2"/>
  <c r="A113" i="2"/>
  <c r="A113" i="3" s="1"/>
  <c r="B113" i="2"/>
  <c r="B113" i="3" s="1"/>
  <c r="C113" i="2"/>
  <c r="D113" i="2"/>
  <c r="E113" i="2"/>
  <c r="G113" i="2"/>
  <c r="H113" i="2"/>
  <c r="I113" i="2"/>
  <c r="T113" i="2" s="1"/>
  <c r="D113" i="3" s="1"/>
  <c r="K113" i="2"/>
  <c r="L113" i="2"/>
  <c r="M113" i="2"/>
  <c r="N113" i="2"/>
  <c r="G133" i="4" s="1"/>
  <c r="O113" i="2"/>
  <c r="P113" i="2"/>
  <c r="H133" i="4" s="1"/>
  <c r="P133" i="4" s="1"/>
  <c r="Q113" i="2"/>
  <c r="A114" i="2"/>
  <c r="A114" i="3" s="1"/>
  <c r="B114" i="2"/>
  <c r="B114" i="3" s="1"/>
  <c r="C114" i="2"/>
  <c r="D114" i="2"/>
  <c r="E114" i="2"/>
  <c r="G114" i="2"/>
  <c r="H114" i="2"/>
  <c r="I114" i="2"/>
  <c r="T114" i="2" s="1"/>
  <c r="D114" i="3" s="1"/>
  <c r="K114" i="2"/>
  <c r="L114" i="2"/>
  <c r="M114" i="2"/>
  <c r="N114" i="2"/>
  <c r="G135" i="4" s="1"/>
  <c r="O135" i="4" s="1"/>
  <c r="O114" i="2"/>
  <c r="P114" i="2"/>
  <c r="H135" i="4" s="1"/>
  <c r="P135" i="4" s="1"/>
  <c r="Q114" i="2"/>
  <c r="A115" i="2"/>
  <c r="A115" i="3" s="1"/>
  <c r="B115" i="2"/>
  <c r="B115" i="3" s="1"/>
  <c r="C115" i="2"/>
  <c r="D115" i="2"/>
  <c r="E115" i="2"/>
  <c r="G115" i="2"/>
  <c r="H115" i="2"/>
  <c r="I115" i="2"/>
  <c r="T115" i="2" s="1"/>
  <c r="D115" i="3" s="1"/>
  <c r="K115" i="2"/>
  <c r="J115" i="2" s="1"/>
  <c r="C115" i="3" s="1"/>
  <c r="L115" i="2"/>
  <c r="M115" i="2"/>
  <c r="N115" i="2"/>
  <c r="G137" i="4" s="1"/>
  <c r="O115" i="2"/>
  <c r="P115" i="2"/>
  <c r="H137" i="4" s="1"/>
  <c r="P137" i="4" s="1"/>
  <c r="Q115" i="2"/>
  <c r="A116" i="2"/>
  <c r="A116" i="3" s="1"/>
  <c r="B116" i="2"/>
  <c r="B116" i="3" s="1"/>
  <c r="C116" i="2"/>
  <c r="D116" i="2"/>
  <c r="E116" i="2"/>
  <c r="G116" i="2"/>
  <c r="H116" i="2"/>
  <c r="E139" i="4" s="1"/>
  <c r="N139" i="4" s="1"/>
  <c r="I116" i="2"/>
  <c r="T116" i="2" s="1"/>
  <c r="D116" i="3" s="1"/>
  <c r="K116" i="2"/>
  <c r="L116" i="2"/>
  <c r="M116" i="2"/>
  <c r="N116" i="2"/>
  <c r="O116" i="2"/>
  <c r="P116" i="2"/>
  <c r="H139" i="4" s="1"/>
  <c r="P139" i="4" s="1"/>
  <c r="Q116" i="2"/>
  <c r="A117" i="2"/>
  <c r="A117" i="3" s="1"/>
  <c r="B117" i="2"/>
  <c r="B117" i="3" s="1"/>
  <c r="C117" i="2"/>
  <c r="D117" i="2"/>
  <c r="E117" i="2"/>
  <c r="G117" i="2"/>
  <c r="H117" i="2"/>
  <c r="I117" i="2"/>
  <c r="T117" i="2" s="1"/>
  <c r="D117" i="3" s="1"/>
  <c r="K117" i="2"/>
  <c r="L117" i="2"/>
  <c r="M117" i="2"/>
  <c r="N117" i="2"/>
  <c r="G141" i="4" s="1"/>
  <c r="O117" i="2"/>
  <c r="P117" i="2"/>
  <c r="H141" i="4" s="1"/>
  <c r="P141" i="4" s="1"/>
  <c r="Q117" i="2"/>
  <c r="A118" i="2"/>
  <c r="A118" i="3" s="1"/>
  <c r="B118" i="2"/>
  <c r="C118" i="2"/>
  <c r="D118" i="2"/>
  <c r="E118" i="2"/>
  <c r="E142" i="4"/>
  <c r="N142" i="4" s="1"/>
  <c r="I118" i="2"/>
  <c r="K118" i="2"/>
  <c r="L118" i="2"/>
  <c r="M118" i="2"/>
  <c r="N118" i="2"/>
  <c r="G142" i="4" s="1"/>
  <c r="O118" i="2"/>
  <c r="P118" i="2"/>
  <c r="H142" i="4" s="1"/>
  <c r="P142" i="4" s="1"/>
  <c r="Q118" i="2"/>
  <c r="A119" i="2"/>
  <c r="A119" i="3" s="1"/>
  <c r="B119" i="2"/>
  <c r="B119" i="3" s="1"/>
  <c r="C119" i="2"/>
  <c r="D119" i="2"/>
  <c r="E119" i="2"/>
  <c r="I119" i="2"/>
  <c r="T119" i="2" s="1"/>
  <c r="D119" i="3" s="1"/>
  <c r="K119" i="2"/>
  <c r="L119" i="2"/>
  <c r="M119" i="2"/>
  <c r="N119" i="2"/>
  <c r="G143" i="4" s="1"/>
  <c r="O119" i="2"/>
  <c r="P119" i="2"/>
  <c r="H143" i="4" s="1"/>
  <c r="P143" i="4" s="1"/>
  <c r="Q119" i="2"/>
  <c r="A6" i="2"/>
  <c r="A6" i="3" s="1"/>
  <c r="B6" i="2"/>
  <c r="B6" i="3" s="1"/>
  <c r="C6" i="2"/>
  <c r="D6" i="2"/>
  <c r="E6" i="2"/>
  <c r="G6" i="2"/>
  <c r="R6" i="2" s="1"/>
  <c r="Y6" i="2" s="1"/>
  <c r="H6" i="2"/>
  <c r="S6" i="2" s="1"/>
  <c r="I6" i="2"/>
  <c r="T6" i="2" s="1"/>
  <c r="D6" i="3" s="1"/>
  <c r="K6" i="2"/>
  <c r="J6" i="2" s="1"/>
  <c r="C6" i="3" s="1"/>
  <c r="L6" i="2"/>
  <c r="M6" i="2"/>
  <c r="N6" i="2"/>
  <c r="O6" i="2"/>
  <c r="P6" i="2"/>
  <c r="A7" i="2"/>
  <c r="A7" i="3" s="1"/>
  <c r="B7" i="2"/>
  <c r="B7" i="3" s="1"/>
  <c r="C7" i="2"/>
  <c r="D7" i="2"/>
  <c r="E7" i="2"/>
  <c r="G7" i="2"/>
  <c r="R7" i="2" s="1"/>
  <c r="I7" i="2"/>
  <c r="T7" i="2" s="1"/>
  <c r="D7" i="3" s="1"/>
  <c r="K7" i="2"/>
  <c r="L7" i="2"/>
  <c r="M7" i="2"/>
  <c r="N7" i="2"/>
  <c r="O7" i="2"/>
  <c r="P7" i="2"/>
  <c r="A8" i="2"/>
  <c r="A8" i="3" s="1"/>
  <c r="B8" i="2"/>
  <c r="B8" i="3" s="1"/>
  <c r="C8" i="2"/>
  <c r="D8" i="2"/>
  <c r="E8" i="2"/>
  <c r="G8" i="2"/>
  <c r="R8" i="2" s="1"/>
  <c r="Y8" i="2" s="1"/>
  <c r="H8" i="2"/>
  <c r="S8" i="2" s="1"/>
  <c r="I8" i="2"/>
  <c r="T8" i="2" s="1"/>
  <c r="D8" i="3" s="1"/>
  <c r="K8" i="2"/>
  <c r="L8" i="2"/>
  <c r="M8" i="2"/>
  <c r="N8" i="2"/>
  <c r="O8" i="2"/>
  <c r="P8" i="2"/>
  <c r="M5" i="2"/>
  <c r="N5" i="2"/>
  <c r="K5" i="2"/>
  <c r="Q2" i="2"/>
  <c r="Q3" i="2"/>
  <c r="Q4" i="2"/>
  <c r="Q5" i="2"/>
  <c r="Q6" i="2"/>
  <c r="Q7" i="2"/>
  <c r="Q8" i="2"/>
  <c r="Q1" i="2"/>
  <c r="K117" i="1"/>
  <c r="K115" i="1"/>
  <c r="K113" i="1"/>
  <c r="K112" i="1"/>
  <c r="K111" i="1"/>
  <c r="K110" i="1"/>
  <c r="K109" i="1"/>
  <c r="K108" i="1"/>
  <c r="K107" i="1"/>
  <c r="K105" i="1"/>
  <c r="K101" i="1"/>
  <c r="F117" i="1"/>
  <c r="E115" i="1"/>
  <c r="F113" i="1"/>
  <c r="E112" i="1"/>
  <c r="C110" i="1"/>
  <c r="F109" i="1"/>
  <c r="E109" i="1"/>
  <c r="D109" i="1"/>
  <c r="C109" i="1"/>
  <c r="F108" i="1"/>
  <c r="E108" i="1"/>
  <c r="D108" i="1"/>
  <c r="C108" i="1"/>
  <c r="C102" i="1"/>
  <c r="K93" i="1"/>
  <c r="K90" i="1"/>
  <c r="K86" i="1"/>
  <c r="E91" i="1"/>
  <c r="K82" i="1"/>
  <c r="K72" i="1"/>
  <c r="F78" i="1"/>
  <c r="F71" i="1"/>
  <c r="E71" i="1"/>
  <c r="C71" i="1"/>
  <c r="Y49" i="2" l="1"/>
  <c r="J35" i="2"/>
  <c r="C35" i="3" s="1"/>
  <c r="J31" i="2"/>
  <c r="C31" i="3" s="1"/>
  <c r="O145" i="4"/>
  <c r="Y51" i="2"/>
  <c r="W120" i="2"/>
  <c r="E120" i="3"/>
  <c r="U73" i="2"/>
  <c r="E73" i="3" s="1"/>
  <c r="Y7" i="2"/>
  <c r="J16" i="2"/>
  <c r="C16" i="3" s="1"/>
  <c r="X120" i="2"/>
  <c r="J64" i="2"/>
  <c r="Y21" i="2"/>
  <c r="Y13" i="2"/>
  <c r="U15" i="2"/>
  <c r="E15" i="3" s="1"/>
  <c r="Y30" i="2"/>
  <c r="Y26" i="2"/>
  <c r="J21" i="2"/>
  <c r="U20" i="2"/>
  <c r="X20" i="2" s="1"/>
  <c r="Y19" i="2"/>
  <c r="J22" i="2"/>
  <c r="U67" i="2"/>
  <c r="X67" i="2" s="1"/>
  <c r="R91" i="2"/>
  <c r="Y91" i="2" s="1"/>
  <c r="S116" i="2"/>
  <c r="D113" i="4"/>
  <c r="M113" i="4" s="1"/>
  <c r="U91" i="2"/>
  <c r="E91" i="3" s="1"/>
  <c r="U111" i="2"/>
  <c r="E111" i="3" s="1"/>
  <c r="U6" i="2"/>
  <c r="E6" i="3" s="1"/>
  <c r="J37" i="2"/>
  <c r="Y65" i="2"/>
  <c r="U46" i="2"/>
  <c r="E46" i="3" s="1"/>
  <c r="Y32" i="2"/>
  <c r="U110" i="2"/>
  <c r="W110" i="2" s="1"/>
  <c r="U82" i="2"/>
  <c r="E82" i="3" s="1"/>
  <c r="U38" i="2"/>
  <c r="W38" i="2" s="1"/>
  <c r="R111" i="2"/>
  <c r="Y111" i="2" s="1"/>
  <c r="D127" i="4"/>
  <c r="M127" i="4" s="1"/>
  <c r="E92" i="4"/>
  <c r="N92" i="4" s="1"/>
  <c r="R96" i="2"/>
  <c r="U45" i="2"/>
  <c r="J7" i="2"/>
  <c r="C7" i="3" s="1"/>
  <c r="J114" i="2"/>
  <c r="C114" i="3" s="1"/>
  <c r="J61" i="2"/>
  <c r="C61" i="3" s="1"/>
  <c r="J32" i="2"/>
  <c r="Y17" i="2"/>
  <c r="Y9" i="2"/>
  <c r="U92" i="2"/>
  <c r="W92" i="2" s="1"/>
  <c r="U27" i="2"/>
  <c r="E27" i="3" s="1"/>
  <c r="R71" i="2"/>
  <c r="R78" i="2"/>
  <c r="Y78" i="2" s="1"/>
  <c r="S96" i="2"/>
  <c r="J19" i="2"/>
  <c r="C19" i="3" s="1"/>
  <c r="J103" i="2"/>
  <c r="C103" i="3" s="1"/>
  <c r="J71" i="2"/>
  <c r="C71" i="3" s="1"/>
  <c r="S81" i="2"/>
  <c r="E99" i="4"/>
  <c r="N99" i="4" s="1"/>
  <c r="U79" i="2"/>
  <c r="E79" i="3" s="1"/>
  <c r="J79" i="2"/>
  <c r="C79" i="3" s="1"/>
  <c r="J63" i="2"/>
  <c r="C63" i="3" s="1"/>
  <c r="U63" i="2"/>
  <c r="E63" i="3" s="1"/>
  <c r="J58" i="2"/>
  <c r="C58" i="3" s="1"/>
  <c r="U58" i="2"/>
  <c r="E58" i="3" s="1"/>
  <c r="J17" i="2"/>
  <c r="C17" i="3" s="1"/>
  <c r="U17" i="2"/>
  <c r="E17" i="3" s="1"/>
  <c r="J13" i="2"/>
  <c r="C13" i="3" s="1"/>
  <c r="U13" i="2"/>
  <c r="E13" i="3" s="1"/>
  <c r="J117" i="2"/>
  <c r="C117" i="3" s="1"/>
  <c r="U117" i="2"/>
  <c r="E117" i="3" s="1"/>
  <c r="G139" i="4"/>
  <c r="O139" i="4" s="1"/>
  <c r="E137" i="4"/>
  <c r="N137" i="4" s="1"/>
  <c r="S115" i="2"/>
  <c r="D135" i="4"/>
  <c r="M135" i="4" s="1"/>
  <c r="R114" i="2"/>
  <c r="E105" i="4"/>
  <c r="N105" i="4" s="1"/>
  <c r="S86" i="2"/>
  <c r="E100" i="4"/>
  <c r="N100" i="4" s="1"/>
  <c r="S82" i="2"/>
  <c r="S78" i="2"/>
  <c r="E96" i="4"/>
  <c r="N96" i="4" s="1"/>
  <c r="S76" i="2"/>
  <c r="E94" i="4"/>
  <c r="N94" i="4" s="1"/>
  <c r="D93" i="4"/>
  <c r="M93" i="4" s="1"/>
  <c r="R75" i="2"/>
  <c r="Y75" i="2" s="1"/>
  <c r="E90" i="4"/>
  <c r="N90" i="4" s="1"/>
  <c r="S72" i="2"/>
  <c r="J60" i="2"/>
  <c r="C60" i="3" s="1"/>
  <c r="U60" i="2"/>
  <c r="U30" i="2"/>
  <c r="E30" i="3" s="1"/>
  <c r="J30" i="2"/>
  <c r="C30" i="3" s="1"/>
  <c r="Y23" i="2"/>
  <c r="E110" i="3"/>
  <c r="U18" i="2"/>
  <c r="E18" i="3" s="1"/>
  <c r="J5" i="2"/>
  <c r="C5" i="3" s="1"/>
  <c r="U5" i="2"/>
  <c r="E5" i="3" s="1"/>
  <c r="U119" i="2"/>
  <c r="E119" i="3" s="1"/>
  <c r="J119" i="2"/>
  <c r="C119" i="3" s="1"/>
  <c r="D137" i="4"/>
  <c r="R115" i="2"/>
  <c r="Y115" i="2" s="1"/>
  <c r="D116" i="4"/>
  <c r="M116" i="4" s="1"/>
  <c r="R97" i="2"/>
  <c r="Y97" i="2" s="1"/>
  <c r="J90" i="2"/>
  <c r="C90" i="3" s="1"/>
  <c r="U90" i="2"/>
  <c r="E90" i="3" s="1"/>
  <c r="J89" i="2"/>
  <c r="C89" i="3" s="1"/>
  <c r="U89" i="2"/>
  <c r="E89" i="3" s="1"/>
  <c r="S87" i="2"/>
  <c r="E106" i="4"/>
  <c r="N106" i="4" s="1"/>
  <c r="D105" i="4"/>
  <c r="M105" i="4" s="1"/>
  <c r="R86" i="2"/>
  <c r="D100" i="4"/>
  <c r="M100" i="4" s="1"/>
  <c r="R82" i="2"/>
  <c r="Y82" i="2" s="1"/>
  <c r="E91" i="4"/>
  <c r="N91" i="4" s="1"/>
  <c r="S73" i="2"/>
  <c r="D90" i="4"/>
  <c r="M90" i="4" s="1"/>
  <c r="Y72" i="2"/>
  <c r="Y67" i="2"/>
  <c r="J52" i="2"/>
  <c r="C52" i="3" s="1"/>
  <c r="U52" i="2"/>
  <c r="J41" i="2"/>
  <c r="C41" i="3" s="1"/>
  <c r="U41" i="2"/>
  <c r="U35" i="2"/>
  <c r="W35" i="2" s="1"/>
  <c r="U26" i="2"/>
  <c r="E26" i="3" s="1"/>
  <c r="U74" i="2"/>
  <c r="E74" i="3" s="1"/>
  <c r="U51" i="2"/>
  <c r="E51" i="3" s="1"/>
  <c r="D129" i="4"/>
  <c r="M129" i="4" s="1"/>
  <c r="D128" i="4"/>
  <c r="M128" i="4" s="1"/>
  <c r="E111" i="4"/>
  <c r="N111" i="4" s="1"/>
  <c r="E93" i="4"/>
  <c r="N93" i="4" s="1"/>
  <c r="E130" i="4"/>
  <c r="N130" i="4" s="1"/>
  <c r="S110" i="2"/>
  <c r="J108" i="2"/>
  <c r="C108" i="3" s="1"/>
  <c r="U108" i="2"/>
  <c r="E126" i="4"/>
  <c r="N126" i="4" s="1"/>
  <c r="S106" i="2"/>
  <c r="J104" i="2"/>
  <c r="C104" i="3" s="1"/>
  <c r="U104" i="2"/>
  <c r="D92" i="4"/>
  <c r="M92" i="4" s="1"/>
  <c r="R74" i="2"/>
  <c r="Y74" i="2" s="1"/>
  <c r="J12" i="2"/>
  <c r="C12" i="3" s="1"/>
  <c r="U12" i="2"/>
  <c r="E12" i="3" s="1"/>
  <c r="U59" i="2"/>
  <c r="E59" i="3" s="1"/>
  <c r="D98" i="4"/>
  <c r="M98" i="4" s="1"/>
  <c r="J113" i="2"/>
  <c r="U113" i="2"/>
  <c r="E113" i="3" s="1"/>
  <c r="E131" i="4"/>
  <c r="N131" i="4" s="1"/>
  <c r="S111" i="2"/>
  <c r="D130" i="4"/>
  <c r="M130" i="4" s="1"/>
  <c r="R110" i="2"/>
  <c r="R81" i="2"/>
  <c r="D99" i="4"/>
  <c r="M99" i="4" s="1"/>
  <c r="J80" i="2"/>
  <c r="C80" i="3" s="1"/>
  <c r="U80" i="2"/>
  <c r="E80" i="3" s="1"/>
  <c r="S77" i="2"/>
  <c r="E95" i="4"/>
  <c r="N95" i="4" s="1"/>
  <c r="Y15" i="2"/>
  <c r="J14" i="2"/>
  <c r="C14" i="3" s="1"/>
  <c r="U14" i="2"/>
  <c r="E14" i="3" s="1"/>
  <c r="J9" i="2"/>
  <c r="C9" i="3" s="1"/>
  <c r="U9" i="2"/>
  <c r="E9" i="3" s="1"/>
  <c r="E132" i="4"/>
  <c r="N132" i="4" s="1"/>
  <c r="S112" i="2"/>
  <c r="J96" i="2"/>
  <c r="C96" i="3" s="1"/>
  <c r="U96" i="2"/>
  <c r="E96" i="3" s="1"/>
  <c r="E129" i="4"/>
  <c r="N129" i="4" s="1"/>
  <c r="S109" i="2"/>
  <c r="J107" i="2"/>
  <c r="C107" i="3" s="1"/>
  <c r="U107" i="2"/>
  <c r="E107" i="3" s="1"/>
  <c r="S105" i="2"/>
  <c r="E125" i="4"/>
  <c r="N125" i="4" s="1"/>
  <c r="D124" i="4"/>
  <c r="M124" i="4" s="1"/>
  <c r="R104" i="2"/>
  <c r="J101" i="2"/>
  <c r="C101" i="3" s="1"/>
  <c r="U101" i="2"/>
  <c r="E101" i="3" s="1"/>
  <c r="J97" i="2"/>
  <c r="C97" i="3" s="1"/>
  <c r="U97" i="2"/>
  <c r="E97" i="3" s="1"/>
  <c r="S95" i="2"/>
  <c r="E114" i="4"/>
  <c r="N114" i="4" s="1"/>
  <c r="E113" i="4"/>
  <c r="N113" i="4" s="1"/>
  <c r="S94" i="2"/>
  <c r="Y94" i="2" s="1"/>
  <c r="E112" i="4"/>
  <c r="N112" i="4" s="1"/>
  <c r="S93" i="2"/>
  <c r="D111" i="4"/>
  <c r="M111" i="4" s="1"/>
  <c r="R92" i="2"/>
  <c r="Y92" i="2" s="1"/>
  <c r="E107" i="4"/>
  <c r="N107" i="4" s="1"/>
  <c r="S88" i="2"/>
  <c r="D106" i="4"/>
  <c r="M106" i="4" s="1"/>
  <c r="R87" i="2"/>
  <c r="Y87" i="2" s="1"/>
  <c r="D91" i="4"/>
  <c r="M91" i="4" s="1"/>
  <c r="R73" i="2"/>
  <c r="J57" i="2"/>
  <c r="C57" i="3" s="1"/>
  <c r="U57" i="2"/>
  <c r="E57" i="3" s="1"/>
  <c r="U53" i="2"/>
  <c r="E53" i="3" s="1"/>
  <c r="J53" i="2"/>
  <c r="C53" i="3" s="1"/>
  <c r="J42" i="2"/>
  <c r="C42" i="3" s="1"/>
  <c r="U42" i="2"/>
  <c r="E42" i="3" s="1"/>
  <c r="U102" i="2"/>
  <c r="X102" i="2" s="1"/>
  <c r="U54" i="2"/>
  <c r="E54" i="3" s="1"/>
  <c r="R105" i="2"/>
  <c r="Y105" i="2" s="1"/>
  <c r="U7" i="2"/>
  <c r="E7" i="3" s="1"/>
  <c r="S117" i="2"/>
  <c r="E141" i="4"/>
  <c r="N141" i="4" s="1"/>
  <c r="D139" i="4"/>
  <c r="M139" i="4" s="1"/>
  <c r="R116" i="2"/>
  <c r="E133" i="4"/>
  <c r="N133" i="4" s="1"/>
  <c r="S113" i="2"/>
  <c r="R112" i="2"/>
  <c r="D132" i="4"/>
  <c r="M132" i="4" s="1"/>
  <c r="J109" i="2"/>
  <c r="C109" i="3" s="1"/>
  <c r="U109" i="2"/>
  <c r="E109" i="3" s="1"/>
  <c r="E127" i="4"/>
  <c r="N127" i="4" s="1"/>
  <c r="S107" i="2"/>
  <c r="D126" i="4"/>
  <c r="M126" i="4" s="1"/>
  <c r="R106" i="2"/>
  <c r="J105" i="2"/>
  <c r="C105" i="3" s="1"/>
  <c r="U105" i="2"/>
  <c r="E105" i="3" s="1"/>
  <c r="E123" i="4"/>
  <c r="N123" i="4" s="1"/>
  <c r="S103" i="2"/>
  <c r="E122" i="4"/>
  <c r="N122" i="4" s="1"/>
  <c r="S102" i="2"/>
  <c r="E121" i="4"/>
  <c r="N121" i="4" s="1"/>
  <c r="S101" i="2"/>
  <c r="D114" i="4"/>
  <c r="M114" i="4" s="1"/>
  <c r="R95" i="2"/>
  <c r="Y95" i="2" s="1"/>
  <c r="D112" i="4"/>
  <c r="M112" i="4" s="1"/>
  <c r="R93" i="2"/>
  <c r="Y93" i="2" s="1"/>
  <c r="E109" i="4"/>
  <c r="N109" i="4" s="1"/>
  <c r="S90" i="2"/>
  <c r="S89" i="2"/>
  <c r="E108" i="4"/>
  <c r="N108" i="4" s="1"/>
  <c r="J86" i="2"/>
  <c r="C86" i="3" s="1"/>
  <c r="U86" i="2"/>
  <c r="E86" i="3" s="1"/>
  <c r="E97" i="4"/>
  <c r="N97" i="4" s="1"/>
  <c r="S79" i="2"/>
  <c r="D95" i="4"/>
  <c r="M95" i="4" s="1"/>
  <c r="R77" i="2"/>
  <c r="D94" i="4"/>
  <c r="M94" i="4" s="1"/>
  <c r="R76" i="2"/>
  <c r="Y76" i="2" s="1"/>
  <c r="J75" i="2"/>
  <c r="C75" i="3" s="1"/>
  <c r="U75" i="2"/>
  <c r="E75" i="3" s="1"/>
  <c r="J72" i="2"/>
  <c r="C72" i="3" s="1"/>
  <c r="U72" i="2"/>
  <c r="E72" i="3" s="1"/>
  <c r="J65" i="2"/>
  <c r="C65" i="3" s="1"/>
  <c r="U65" i="2"/>
  <c r="E65" i="3" s="1"/>
  <c r="U48" i="2"/>
  <c r="E48" i="3" s="1"/>
  <c r="J47" i="2"/>
  <c r="C47" i="3" s="1"/>
  <c r="U47" i="2"/>
  <c r="E47" i="3" s="1"/>
  <c r="J43" i="2"/>
  <c r="C43" i="3" s="1"/>
  <c r="U43" i="2"/>
  <c r="E43" i="3" s="1"/>
  <c r="J33" i="2"/>
  <c r="C33" i="3" s="1"/>
  <c r="Y11" i="2"/>
  <c r="J10" i="2"/>
  <c r="U88" i="2"/>
  <c r="W88" i="2" s="1"/>
  <c r="U81" i="2"/>
  <c r="X81" i="2" s="1"/>
  <c r="U62" i="2"/>
  <c r="E62" i="3" s="1"/>
  <c r="U55" i="2"/>
  <c r="E55" i="3" s="1"/>
  <c r="U23" i="2"/>
  <c r="E23" i="3" s="1"/>
  <c r="S108" i="2"/>
  <c r="Y108" i="2" s="1"/>
  <c r="J8" i="2"/>
  <c r="C8" i="3" s="1"/>
  <c r="U8" i="2"/>
  <c r="E8" i="3" s="1"/>
  <c r="R117" i="2"/>
  <c r="D141" i="4"/>
  <c r="M141" i="4" s="1"/>
  <c r="J116" i="2"/>
  <c r="C116" i="3" s="1"/>
  <c r="E135" i="4"/>
  <c r="N135" i="4" s="1"/>
  <c r="S114" i="2"/>
  <c r="D133" i="4"/>
  <c r="M133" i="4" s="1"/>
  <c r="R113" i="2"/>
  <c r="Y113" i="2" s="1"/>
  <c r="J112" i="2"/>
  <c r="C112" i="3" s="1"/>
  <c r="U112" i="2"/>
  <c r="E124" i="4"/>
  <c r="N124" i="4" s="1"/>
  <c r="S104" i="2"/>
  <c r="R103" i="2"/>
  <c r="Y103" i="2" s="1"/>
  <c r="D123" i="4"/>
  <c r="M123" i="4" s="1"/>
  <c r="D122" i="4"/>
  <c r="M122" i="4" s="1"/>
  <c r="R102" i="2"/>
  <c r="D121" i="4"/>
  <c r="M121" i="4" s="1"/>
  <c r="R101" i="2"/>
  <c r="E116" i="4"/>
  <c r="N116" i="4" s="1"/>
  <c r="S97" i="2"/>
  <c r="J94" i="2"/>
  <c r="C94" i="3" s="1"/>
  <c r="U94" i="2"/>
  <c r="E94" i="3" s="1"/>
  <c r="J93" i="2"/>
  <c r="C93" i="3" s="1"/>
  <c r="U93" i="2"/>
  <c r="E93" i="3" s="1"/>
  <c r="E110" i="4"/>
  <c r="N110" i="4" s="1"/>
  <c r="S91" i="2"/>
  <c r="D109" i="4"/>
  <c r="M109" i="4" s="1"/>
  <c r="R90" i="2"/>
  <c r="D108" i="4"/>
  <c r="M108" i="4" s="1"/>
  <c r="R89" i="2"/>
  <c r="Y89" i="2" s="1"/>
  <c r="D97" i="4"/>
  <c r="M97" i="4" s="1"/>
  <c r="R79" i="2"/>
  <c r="J77" i="2"/>
  <c r="J76" i="2"/>
  <c r="C76" i="3" s="1"/>
  <c r="U76" i="2"/>
  <c r="E76" i="3" s="1"/>
  <c r="J66" i="2"/>
  <c r="C66" i="3" s="1"/>
  <c r="U66" i="2"/>
  <c r="E66" i="3" s="1"/>
  <c r="J56" i="2"/>
  <c r="C56" i="3" s="1"/>
  <c r="U56" i="2"/>
  <c r="E56" i="3" s="1"/>
  <c r="J49" i="2"/>
  <c r="C49" i="3" s="1"/>
  <c r="U49" i="2"/>
  <c r="E49" i="3" s="1"/>
  <c r="J40" i="2"/>
  <c r="C40" i="3" s="1"/>
  <c r="J39" i="2"/>
  <c r="C39" i="3" s="1"/>
  <c r="U39" i="2"/>
  <c r="E39" i="3" s="1"/>
  <c r="Y35" i="2"/>
  <c r="J34" i="2"/>
  <c r="C34" i="3" s="1"/>
  <c r="J24" i="2"/>
  <c r="C24" i="3" s="1"/>
  <c r="U11" i="2"/>
  <c r="E11" i="3" s="1"/>
  <c r="U115" i="2"/>
  <c r="E115" i="3" s="1"/>
  <c r="U106" i="2"/>
  <c r="E106" i="3" s="1"/>
  <c r="U95" i="2"/>
  <c r="E95" i="3" s="1"/>
  <c r="U87" i="2"/>
  <c r="E87" i="3" s="1"/>
  <c r="U78" i="2"/>
  <c r="E78" i="3" s="1"/>
  <c r="U50" i="2"/>
  <c r="E50" i="3" s="1"/>
  <c r="S71" i="2"/>
  <c r="S80" i="2"/>
  <c r="R88" i="2"/>
  <c r="U44" i="2"/>
  <c r="W44" i="2" s="1"/>
  <c r="U31" i="2"/>
  <c r="W31" i="2" s="1"/>
  <c r="O115" i="4"/>
  <c r="O89" i="4"/>
  <c r="O128" i="4"/>
  <c r="O142" i="4"/>
  <c r="O143" i="4"/>
  <c r="W16" i="2"/>
  <c r="E52" i="3"/>
  <c r="X103" i="2"/>
  <c r="W26" i="2"/>
  <c r="X26" i="2"/>
  <c r="X7" i="2"/>
  <c r="J81" i="4"/>
  <c r="J76" i="4"/>
  <c r="J74" i="4"/>
  <c r="J79" i="4"/>
  <c r="J53" i="4"/>
  <c r="J51" i="4"/>
  <c r="J46" i="4"/>
  <c r="J44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O34" i="4" s="1"/>
  <c r="G28" i="4"/>
  <c r="O35" i="4" s="1"/>
  <c r="G40" i="4"/>
  <c r="G41" i="4"/>
  <c r="G42" i="4"/>
  <c r="O41" i="4" s="1"/>
  <c r="G43" i="4"/>
  <c r="O42" i="4" s="1"/>
  <c r="G44" i="4"/>
  <c r="O43" i="4" s="1"/>
  <c r="G45" i="4"/>
  <c r="O45" i="4" s="1"/>
  <c r="G46" i="4"/>
  <c r="G47" i="4"/>
  <c r="G48" i="4"/>
  <c r="G49" i="4"/>
  <c r="G50" i="4"/>
  <c r="O52" i="4" s="1"/>
  <c r="G51" i="4"/>
  <c r="G52" i="4"/>
  <c r="G53" i="4"/>
  <c r="G54" i="4"/>
  <c r="O57" i="4" s="1"/>
  <c r="G55" i="4"/>
  <c r="G56" i="4"/>
  <c r="O59" i="4" s="1"/>
  <c r="G57" i="4"/>
  <c r="G58" i="4"/>
  <c r="O61" i="4" s="1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O75" i="4" s="1"/>
  <c r="G72" i="4"/>
  <c r="G73" i="4"/>
  <c r="G74" i="4"/>
  <c r="O80" i="4" s="1"/>
  <c r="G75" i="4"/>
  <c r="G76" i="4"/>
  <c r="G77" i="4"/>
  <c r="G6" i="4"/>
  <c r="J38" i="4"/>
  <c r="I2" i="4"/>
  <c r="I3" i="4"/>
  <c r="I4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1" i="4"/>
  <c r="A4" i="4"/>
  <c r="J4" i="4" s="1"/>
  <c r="A77" i="4"/>
  <c r="B77" i="4"/>
  <c r="K84" i="4" s="1"/>
  <c r="C77" i="4"/>
  <c r="L84" i="4" s="1"/>
  <c r="F77" i="4"/>
  <c r="A26" i="4"/>
  <c r="B26" i="4"/>
  <c r="C26" i="4"/>
  <c r="F26" i="4"/>
  <c r="A27" i="4"/>
  <c r="J34" i="4" s="1"/>
  <c r="B27" i="4"/>
  <c r="K34" i="4" s="1"/>
  <c r="C27" i="4"/>
  <c r="L34" i="4" s="1"/>
  <c r="F27" i="4"/>
  <c r="A28" i="4"/>
  <c r="J35" i="4" s="1"/>
  <c r="B28" i="4"/>
  <c r="K35" i="4" s="1"/>
  <c r="C28" i="4"/>
  <c r="L35" i="4" s="1"/>
  <c r="F28" i="4"/>
  <c r="A39" i="4"/>
  <c r="J37" i="4" s="1"/>
  <c r="A40" i="4"/>
  <c r="J39" i="4" s="1"/>
  <c r="B40" i="4"/>
  <c r="K39" i="4" s="1"/>
  <c r="C40" i="4"/>
  <c r="L39" i="4" s="1"/>
  <c r="F40" i="4"/>
  <c r="A41" i="4"/>
  <c r="J40" i="4" s="1"/>
  <c r="B41" i="4"/>
  <c r="K40" i="4" s="1"/>
  <c r="C41" i="4"/>
  <c r="L40" i="4" s="1"/>
  <c r="F41" i="4"/>
  <c r="A42" i="4"/>
  <c r="J41" i="4" s="1"/>
  <c r="B42" i="4"/>
  <c r="K41" i="4" s="1"/>
  <c r="C42" i="4"/>
  <c r="L41" i="4" s="1"/>
  <c r="F42" i="4"/>
  <c r="A43" i="4"/>
  <c r="J42" i="4" s="1"/>
  <c r="B43" i="4"/>
  <c r="K42" i="4" s="1"/>
  <c r="C43" i="4"/>
  <c r="L42" i="4" s="1"/>
  <c r="F43" i="4"/>
  <c r="A44" i="4"/>
  <c r="J43" i="4" s="1"/>
  <c r="B44" i="4"/>
  <c r="K43" i="4" s="1"/>
  <c r="C44" i="4"/>
  <c r="L43" i="4" s="1"/>
  <c r="F44" i="4"/>
  <c r="A45" i="4"/>
  <c r="J45" i="4" s="1"/>
  <c r="B45" i="4"/>
  <c r="K45" i="4" s="1"/>
  <c r="C45" i="4"/>
  <c r="L45" i="4" s="1"/>
  <c r="F45" i="4"/>
  <c r="A46" i="4"/>
  <c r="K47" i="4" s="1"/>
  <c r="B46" i="4"/>
  <c r="C46" i="4"/>
  <c r="F46" i="4"/>
  <c r="O47" i="4" s="1"/>
  <c r="A47" i="4"/>
  <c r="J48" i="4" s="1"/>
  <c r="B47" i="4"/>
  <c r="K48" i="4" s="1"/>
  <c r="C47" i="4"/>
  <c r="L48" i="4" s="1"/>
  <c r="F47" i="4"/>
  <c r="A48" i="4"/>
  <c r="J49" i="4" s="1"/>
  <c r="B48" i="4"/>
  <c r="K49" i="4" s="1"/>
  <c r="C48" i="4"/>
  <c r="L49" i="4" s="1"/>
  <c r="F48" i="4"/>
  <c r="A49" i="4"/>
  <c r="J50" i="4" s="1"/>
  <c r="B49" i="4"/>
  <c r="K50" i="4" s="1"/>
  <c r="C49" i="4"/>
  <c r="L50" i="4" s="1"/>
  <c r="F49" i="4"/>
  <c r="A50" i="4"/>
  <c r="J52" i="4" s="1"/>
  <c r="B50" i="4"/>
  <c r="K52" i="4" s="1"/>
  <c r="C50" i="4"/>
  <c r="L52" i="4" s="1"/>
  <c r="F50" i="4"/>
  <c r="A51" i="4"/>
  <c r="J54" i="4" s="1"/>
  <c r="B51" i="4"/>
  <c r="K54" i="4" s="1"/>
  <c r="C51" i="4"/>
  <c r="L54" i="4" s="1"/>
  <c r="F51" i="4"/>
  <c r="A52" i="4"/>
  <c r="J55" i="4" s="1"/>
  <c r="B52" i="4"/>
  <c r="K55" i="4" s="1"/>
  <c r="C52" i="4"/>
  <c r="L55" i="4" s="1"/>
  <c r="F52" i="4"/>
  <c r="A53" i="4"/>
  <c r="J56" i="4" s="1"/>
  <c r="B53" i="4"/>
  <c r="K56" i="4" s="1"/>
  <c r="C53" i="4"/>
  <c r="L56" i="4" s="1"/>
  <c r="F53" i="4"/>
  <c r="A54" i="4"/>
  <c r="J57" i="4" s="1"/>
  <c r="B54" i="4"/>
  <c r="K57" i="4" s="1"/>
  <c r="C54" i="4"/>
  <c r="L57" i="4" s="1"/>
  <c r="F54" i="4"/>
  <c r="A55" i="4"/>
  <c r="J58" i="4" s="1"/>
  <c r="B55" i="4"/>
  <c r="K58" i="4" s="1"/>
  <c r="C55" i="4"/>
  <c r="L58" i="4" s="1"/>
  <c r="F55" i="4"/>
  <c r="A56" i="4"/>
  <c r="J59" i="4" s="1"/>
  <c r="B56" i="4"/>
  <c r="K59" i="4" s="1"/>
  <c r="C56" i="4"/>
  <c r="L59" i="4" s="1"/>
  <c r="F56" i="4"/>
  <c r="A57" i="4"/>
  <c r="J60" i="4" s="1"/>
  <c r="B57" i="4"/>
  <c r="K60" i="4" s="1"/>
  <c r="C57" i="4"/>
  <c r="L60" i="4" s="1"/>
  <c r="F57" i="4"/>
  <c r="A58" i="4"/>
  <c r="J61" i="4" s="1"/>
  <c r="B58" i="4"/>
  <c r="K61" i="4" s="1"/>
  <c r="C58" i="4"/>
  <c r="L61" i="4" s="1"/>
  <c r="F58" i="4"/>
  <c r="A59" i="4"/>
  <c r="J62" i="4" s="1"/>
  <c r="B59" i="4"/>
  <c r="K62" i="4" s="1"/>
  <c r="C59" i="4"/>
  <c r="L62" i="4" s="1"/>
  <c r="F59" i="4"/>
  <c r="A60" i="4"/>
  <c r="J63" i="4" s="1"/>
  <c r="B60" i="4"/>
  <c r="K63" i="4" s="1"/>
  <c r="C60" i="4"/>
  <c r="L63" i="4" s="1"/>
  <c r="F60" i="4"/>
  <c r="A61" i="4"/>
  <c r="J64" i="4" s="1"/>
  <c r="B61" i="4"/>
  <c r="K64" i="4" s="1"/>
  <c r="C61" i="4"/>
  <c r="L64" i="4" s="1"/>
  <c r="F61" i="4"/>
  <c r="A62" i="4"/>
  <c r="J65" i="4" s="1"/>
  <c r="B62" i="4"/>
  <c r="K65" i="4" s="1"/>
  <c r="C62" i="4"/>
  <c r="L65" i="4" s="1"/>
  <c r="F62" i="4"/>
  <c r="A63" i="4"/>
  <c r="J66" i="4" s="1"/>
  <c r="B63" i="4"/>
  <c r="K66" i="4" s="1"/>
  <c r="C63" i="4"/>
  <c r="L66" i="4" s="1"/>
  <c r="F63" i="4"/>
  <c r="A64" i="4"/>
  <c r="J67" i="4" s="1"/>
  <c r="B64" i="4"/>
  <c r="K67" i="4" s="1"/>
  <c r="C64" i="4"/>
  <c r="L67" i="4" s="1"/>
  <c r="F64" i="4"/>
  <c r="A65" i="4"/>
  <c r="J68" i="4" s="1"/>
  <c r="B65" i="4"/>
  <c r="K68" i="4" s="1"/>
  <c r="C65" i="4"/>
  <c r="L68" i="4" s="1"/>
  <c r="F65" i="4"/>
  <c r="A66" i="4"/>
  <c r="J69" i="4" s="1"/>
  <c r="B66" i="4"/>
  <c r="K69" i="4" s="1"/>
  <c r="C66" i="4"/>
  <c r="L69" i="4" s="1"/>
  <c r="F66" i="4"/>
  <c r="A67" i="4"/>
  <c r="J70" i="4" s="1"/>
  <c r="B67" i="4"/>
  <c r="K70" i="4" s="1"/>
  <c r="C67" i="4"/>
  <c r="L70" i="4" s="1"/>
  <c r="F67" i="4"/>
  <c r="A68" i="4"/>
  <c r="J71" i="4" s="1"/>
  <c r="B68" i="4"/>
  <c r="K71" i="4" s="1"/>
  <c r="C68" i="4"/>
  <c r="L71" i="4" s="1"/>
  <c r="F68" i="4"/>
  <c r="A69" i="4"/>
  <c r="J72" i="4" s="1"/>
  <c r="B69" i="4"/>
  <c r="K72" i="4" s="1"/>
  <c r="C69" i="4"/>
  <c r="L72" i="4" s="1"/>
  <c r="F69" i="4"/>
  <c r="A70" i="4"/>
  <c r="J73" i="4" s="1"/>
  <c r="B70" i="4"/>
  <c r="K73" i="4" s="1"/>
  <c r="C70" i="4"/>
  <c r="L73" i="4" s="1"/>
  <c r="F70" i="4"/>
  <c r="A71" i="4"/>
  <c r="J75" i="4" s="1"/>
  <c r="B71" i="4"/>
  <c r="K75" i="4" s="1"/>
  <c r="C71" i="4"/>
  <c r="L75" i="4" s="1"/>
  <c r="F71" i="4"/>
  <c r="A72" i="4"/>
  <c r="J77" i="4" s="1"/>
  <c r="B72" i="4"/>
  <c r="K77" i="4" s="1"/>
  <c r="C72" i="4"/>
  <c r="L77" i="4" s="1"/>
  <c r="F72" i="4"/>
  <c r="A73" i="4"/>
  <c r="J78" i="4" s="1"/>
  <c r="B73" i="4"/>
  <c r="K78" i="4" s="1"/>
  <c r="C73" i="4"/>
  <c r="L78" i="4" s="1"/>
  <c r="F73" i="4"/>
  <c r="A74" i="4"/>
  <c r="J80" i="4" s="1"/>
  <c r="B74" i="4"/>
  <c r="K80" i="4" s="1"/>
  <c r="C74" i="4"/>
  <c r="L80" i="4" s="1"/>
  <c r="F74" i="4"/>
  <c r="A75" i="4"/>
  <c r="J82" i="4" s="1"/>
  <c r="B75" i="4"/>
  <c r="K82" i="4" s="1"/>
  <c r="C75" i="4"/>
  <c r="L82" i="4" s="1"/>
  <c r="F75" i="4"/>
  <c r="A76" i="4"/>
  <c r="J83" i="4" s="1"/>
  <c r="B76" i="4"/>
  <c r="K83" i="4" s="1"/>
  <c r="C76" i="4"/>
  <c r="L83" i="4" s="1"/>
  <c r="F76" i="4"/>
  <c r="D40" i="4"/>
  <c r="E40" i="4"/>
  <c r="N39" i="4" s="1"/>
  <c r="H40" i="4"/>
  <c r="P39" i="4" s="1"/>
  <c r="D41" i="4"/>
  <c r="M40" i="4" s="1"/>
  <c r="E41" i="4"/>
  <c r="N40" i="4" s="1"/>
  <c r="H41" i="4"/>
  <c r="P40" i="4" s="1"/>
  <c r="D42" i="4"/>
  <c r="M41" i="4" s="1"/>
  <c r="E42" i="4"/>
  <c r="N41" i="4" s="1"/>
  <c r="H42" i="4"/>
  <c r="P41" i="4" s="1"/>
  <c r="D43" i="4"/>
  <c r="M42" i="4" s="1"/>
  <c r="E43" i="4"/>
  <c r="N42" i="4" s="1"/>
  <c r="H43" i="4"/>
  <c r="P42" i="4" s="1"/>
  <c r="D44" i="4"/>
  <c r="M43" i="4" s="1"/>
  <c r="E44" i="4"/>
  <c r="N43" i="4" s="1"/>
  <c r="H44" i="4"/>
  <c r="P43" i="4" s="1"/>
  <c r="D45" i="4"/>
  <c r="M45" i="4" s="1"/>
  <c r="E45" i="4"/>
  <c r="N45" i="4" s="1"/>
  <c r="H45" i="4"/>
  <c r="P45" i="4" s="1"/>
  <c r="D46" i="4"/>
  <c r="M47" i="4" s="1"/>
  <c r="E46" i="4"/>
  <c r="N47" i="4" s="1"/>
  <c r="H46" i="4"/>
  <c r="P47" i="4" s="1"/>
  <c r="D47" i="4"/>
  <c r="E47" i="4"/>
  <c r="N48" i="4" s="1"/>
  <c r="H47" i="4"/>
  <c r="P48" i="4" s="1"/>
  <c r="D48" i="4"/>
  <c r="E48" i="4"/>
  <c r="N49" i="4" s="1"/>
  <c r="H48" i="4"/>
  <c r="P49" i="4" s="1"/>
  <c r="D49" i="4"/>
  <c r="E49" i="4"/>
  <c r="N50" i="4" s="1"/>
  <c r="H49" i="4"/>
  <c r="P50" i="4" s="1"/>
  <c r="D50" i="4"/>
  <c r="M52" i="4" s="1"/>
  <c r="E50" i="4"/>
  <c r="N52" i="4" s="1"/>
  <c r="H50" i="4"/>
  <c r="P52" i="4" s="1"/>
  <c r="D51" i="4"/>
  <c r="E51" i="4"/>
  <c r="N54" i="4" s="1"/>
  <c r="H51" i="4"/>
  <c r="P54" i="4" s="1"/>
  <c r="D52" i="4"/>
  <c r="E52" i="4"/>
  <c r="N55" i="4" s="1"/>
  <c r="H52" i="4"/>
  <c r="P55" i="4" s="1"/>
  <c r="D53" i="4"/>
  <c r="E53" i="4"/>
  <c r="N56" i="4" s="1"/>
  <c r="H53" i="4"/>
  <c r="P56" i="4" s="1"/>
  <c r="D54" i="4"/>
  <c r="M57" i="4" s="1"/>
  <c r="E54" i="4"/>
  <c r="N57" i="4" s="1"/>
  <c r="H54" i="4"/>
  <c r="P57" i="4" s="1"/>
  <c r="D55" i="4"/>
  <c r="E55" i="4"/>
  <c r="N58" i="4" s="1"/>
  <c r="H55" i="4"/>
  <c r="P58" i="4" s="1"/>
  <c r="D56" i="4"/>
  <c r="M59" i="4" s="1"/>
  <c r="E56" i="4"/>
  <c r="N59" i="4" s="1"/>
  <c r="H56" i="4"/>
  <c r="P59" i="4" s="1"/>
  <c r="D57" i="4"/>
  <c r="E57" i="4"/>
  <c r="N60" i="4" s="1"/>
  <c r="H57" i="4"/>
  <c r="P60" i="4" s="1"/>
  <c r="D58" i="4"/>
  <c r="M61" i="4" s="1"/>
  <c r="E58" i="4"/>
  <c r="N61" i="4" s="1"/>
  <c r="H58" i="4"/>
  <c r="P61" i="4" s="1"/>
  <c r="D59" i="4"/>
  <c r="E59" i="4"/>
  <c r="N62" i="4" s="1"/>
  <c r="H59" i="4"/>
  <c r="P62" i="4" s="1"/>
  <c r="D60" i="4"/>
  <c r="E60" i="4"/>
  <c r="N63" i="4" s="1"/>
  <c r="H60" i="4"/>
  <c r="P63" i="4" s="1"/>
  <c r="D61" i="4"/>
  <c r="E61" i="4"/>
  <c r="N64" i="4" s="1"/>
  <c r="H61" i="4"/>
  <c r="P64" i="4" s="1"/>
  <c r="D62" i="4"/>
  <c r="E62" i="4"/>
  <c r="N65" i="4" s="1"/>
  <c r="H62" i="4"/>
  <c r="P65" i="4" s="1"/>
  <c r="D63" i="4"/>
  <c r="E63" i="4"/>
  <c r="N66" i="4" s="1"/>
  <c r="H63" i="4"/>
  <c r="P66" i="4" s="1"/>
  <c r="D64" i="4"/>
  <c r="E64" i="4"/>
  <c r="N67" i="4" s="1"/>
  <c r="H64" i="4"/>
  <c r="P67" i="4" s="1"/>
  <c r="D65" i="4"/>
  <c r="E65" i="4"/>
  <c r="N68" i="4" s="1"/>
  <c r="H65" i="4"/>
  <c r="P68" i="4" s="1"/>
  <c r="D66" i="4"/>
  <c r="E66" i="4"/>
  <c r="N69" i="4" s="1"/>
  <c r="H66" i="4"/>
  <c r="P69" i="4" s="1"/>
  <c r="D67" i="4"/>
  <c r="E67" i="4"/>
  <c r="N70" i="4" s="1"/>
  <c r="H67" i="4"/>
  <c r="P70" i="4" s="1"/>
  <c r="D68" i="4"/>
  <c r="E68" i="4"/>
  <c r="N71" i="4" s="1"/>
  <c r="H68" i="4"/>
  <c r="P71" i="4" s="1"/>
  <c r="D69" i="4"/>
  <c r="E69" i="4"/>
  <c r="N72" i="4" s="1"/>
  <c r="H69" i="4"/>
  <c r="P72" i="4" s="1"/>
  <c r="D70" i="4"/>
  <c r="E70" i="4"/>
  <c r="N73" i="4" s="1"/>
  <c r="H70" i="4"/>
  <c r="P73" i="4" s="1"/>
  <c r="D71" i="4"/>
  <c r="M75" i="4" s="1"/>
  <c r="E71" i="4"/>
  <c r="N75" i="4" s="1"/>
  <c r="H71" i="4"/>
  <c r="P75" i="4" s="1"/>
  <c r="D72" i="4"/>
  <c r="E72" i="4"/>
  <c r="N77" i="4" s="1"/>
  <c r="H72" i="4"/>
  <c r="P77" i="4" s="1"/>
  <c r="D73" i="4"/>
  <c r="E73" i="4"/>
  <c r="N78" i="4" s="1"/>
  <c r="H73" i="4"/>
  <c r="P78" i="4" s="1"/>
  <c r="D74" i="4"/>
  <c r="M80" i="4" s="1"/>
  <c r="E74" i="4"/>
  <c r="N80" i="4" s="1"/>
  <c r="H74" i="4"/>
  <c r="P80" i="4" s="1"/>
  <c r="D75" i="4"/>
  <c r="E75" i="4"/>
  <c r="N82" i="4" s="1"/>
  <c r="H75" i="4"/>
  <c r="P82" i="4" s="1"/>
  <c r="D76" i="4"/>
  <c r="E76" i="4"/>
  <c r="N83" i="4" s="1"/>
  <c r="H76" i="4"/>
  <c r="P83" i="4" s="1"/>
  <c r="D77" i="4"/>
  <c r="E77" i="4"/>
  <c r="N84" i="4" s="1"/>
  <c r="H77" i="4"/>
  <c r="P84" i="4" s="1"/>
  <c r="D28" i="4"/>
  <c r="M35" i="4" s="1"/>
  <c r="E28" i="4"/>
  <c r="N35" i="4" s="1"/>
  <c r="H28" i="4"/>
  <c r="P35" i="4" s="1"/>
  <c r="H27" i="4"/>
  <c r="P34" i="4" s="1"/>
  <c r="E27" i="4"/>
  <c r="N34" i="4" s="1"/>
  <c r="D27" i="4"/>
  <c r="M34" i="4" s="1"/>
  <c r="F64" i="1"/>
  <c r="F63" i="1"/>
  <c r="E63" i="1"/>
  <c r="E61" i="1"/>
  <c r="F60" i="1"/>
  <c r="E60" i="1"/>
  <c r="C59" i="1"/>
  <c r="F54" i="1"/>
  <c r="E54" i="1"/>
  <c r="C54" i="1"/>
  <c r="F50" i="1"/>
  <c r="F49" i="1"/>
  <c r="F44" i="1"/>
  <c r="F41" i="1"/>
  <c r="E50" i="1"/>
  <c r="E49" i="1"/>
  <c r="E47" i="1"/>
  <c r="E45" i="1"/>
  <c r="D49" i="1"/>
  <c r="D47" i="1"/>
  <c r="D46" i="1"/>
  <c r="D45" i="1"/>
  <c r="C50" i="1"/>
  <c r="C49" i="1"/>
  <c r="C47" i="1"/>
  <c r="C46" i="1"/>
  <c r="C45" i="1"/>
  <c r="C44" i="1"/>
  <c r="C43" i="1"/>
  <c r="C42" i="1"/>
  <c r="C41" i="1"/>
  <c r="E37" i="1"/>
  <c r="F37" i="1"/>
  <c r="C37" i="1"/>
  <c r="D37" i="1"/>
  <c r="K23" i="1"/>
  <c r="K20" i="1"/>
  <c r="K12" i="1"/>
  <c r="K9" i="1"/>
  <c r="K6" i="1"/>
  <c r="X95" i="2" l="1"/>
  <c r="W95" i="2"/>
  <c r="Y116" i="2"/>
  <c r="W73" i="2"/>
  <c r="W17" i="2"/>
  <c r="Y96" i="2"/>
  <c r="W56" i="2"/>
  <c r="X43" i="2"/>
  <c r="O131" i="4"/>
  <c r="X92" i="2"/>
  <c r="W51" i="2"/>
  <c r="X38" i="2"/>
  <c r="X14" i="2"/>
  <c r="E92" i="3"/>
  <c r="U61" i="2"/>
  <c r="E61" i="3" s="1"/>
  <c r="X51" i="2"/>
  <c r="W57" i="2"/>
  <c r="W91" i="2"/>
  <c r="E38" i="3"/>
  <c r="X16" i="2"/>
  <c r="O132" i="4"/>
  <c r="O122" i="4"/>
  <c r="Y81" i="2"/>
  <c r="U32" i="2"/>
  <c r="E32" i="3" s="1"/>
  <c r="C32" i="3"/>
  <c r="U64" i="2"/>
  <c r="C64" i="3"/>
  <c r="W7" i="2"/>
  <c r="X19" i="2"/>
  <c r="W63" i="2"/>
  <c r="X57" i="2"/>
  <c r="E35" i="3"/>
  <c r="X77" i="2"/>
  <c r="C77" i="3"/>
  <c r="U10" i="2"/>
  <c r="E10" i="3" s="1"/>
  <c r="C10" i="3"/>
  <c r="X113" i="2"/>
  <c r="C113" i="3"/>
  <c r="U21" i="2"/>
  <c r="C21" i="3"/>
  <c r="W62" i="2"/>
  <c r="X106" i="2"/>
  <c r="W12" i="2"/>
  <c r="W27" i="2"/>
  <c r="X73" i="2"/>
  <c r="Y73" i="2"/>
  <c r="X97" i="2"/>
  <c r="W37" i="2"/>
  <c r="C37" i="3"/>
  <c r="U22" i="2"/>
  <c r="W22" i="2" s="1"/>
  <c r="C22" i="3"/>
  <c r="X94" i="2"/>
  <c r="X109" i="2"/>
  <c r="W15" i="2"/>
  <c r="X50" i="2"/>
  <c r="O107" i="4"/>
  <c r="X74" i="2"/>
  <c r="X111" i="2"/>
  <c r="X31" i="2"/>
  <c r="W20" i="2"/>
  <c r="U114" i="2"/>
  <c r="E114" i="3" s="1"/>
  <c r="X76" i="2"/>
  <c r="X55" i="2"/>
  <c r="W74" i="2"/>
  <c r="W111" i="2"/>
  <c r="X48" i="2"/>
  <c r="O141" i="4"/>
  <c r="X75" i="2"/>
  <c r="Y86" i="2"/>
  <c r="X15" i="2"/>
  <c r="O112" i="4"/>
  <c r="O121" i="4"/>
  <c r="E20" i="3"/>
  <c r="X112" i="2"/>
  <c r="X53" i="2"/>
  <c r="E21" i="3"/>
  <c r="W21" i="2"/>
  <c r="E22" i="3"/>
  <c r="X18" i="2"/>
  <c r="X82" i="2"/>
  <c r="O105" i="4"/>
  <c r="W46" i="2"/>
  <c r="X6" i="2"/>
  <c r="X37" i="2"/>
  <c r="W13" i="2"/>
  <c r="W18" i="2"/>
  <c r="X110" i="2"/>
  <c r="W50" i="2"/>
  <c r="X91" i="2"/>
  <c r="W103" i="2"/>
  <c r="W42" i="2"/>
  <c r="X119" i="2"/>
  <c r="O93" i="4"/>
  <c r="O108" i="4"/>
  <c r="O98" i="4"/>
  <c r="O94" i="4"/>
  <c r="O113" i="4"/>
  <c r="O97" i="4"/>
  <c r="W71" i="2"/>
  <c r="X71" i="2"/>
  <c r="Y71" i="2"/>
  <c r="X46" i="2"/>
  <c r="X8" i="2"/>
  <c r="X39" i="2"/>
  <c r="X22" i="2"/>
  <c r="E31" i="3"/>
  <c r="O125" i="4"/>
  <c r="O91" i="4"/>
  <c r="O110" i="4"/>
  <c r="O130" i="4"/>
  <c r="O124" i="4"/>
  <c r="O123" i="4"/>
  <c r="W119" i="2"/>
  <c r="W82" i="2"/>
  <c r="O137" i="4"/>
  <c r="X60" i="2"/>
  <c r="W67" i="2"/>
  <c r="E67" i="3"/>
  <c r="X41" i="2"/>
  <c r="X59" i="2"/>
  <c r="W19" i="2"/>
  <c r="W14" i="2"/>
  <c r="X86" i="2"/>
  <c r="X96" i="2"/>
  <c r="X63" i="2"/>
  <c r="X115" i="2"/>
  <c r="W115" i="2"/>
  <c r="W59" i="2"/>
  <c r="O100" i="4"/>
  <c r="O126" i="4"/>
  <c r="X105" i="2"/>
  <c r="W5" i="2"/>
  <c r="W45" i="2"/>
  <c r="E45" i="3"/>
  <c r="X27" i="2"/>
  <c r="X23" i="2"/>
  <c r="X78" i="2"/>
  <c r="X88" i="2"/>
  <c r="X56" i="2"/>
  <c r="W117" i="2"/>
  <c r="O109" i="4"/>
  <c r="O92" i="4"/>
  <c r="O90" i="4"/>
  <c r="O111" i="4"/>
  <c r="Y79" i="2"/>
  <c r="Y102" i="2"/>
  <c r="W106" i="2"/>
  <c r="X45" i="2"/>
  <c r="X17" i="2"/>
  <c r="W23" i="2"/>
  <c r="X80" i="2"/>
  <c r="W80" i="2"/>
  <c r="E88" i="3"/>
  <c r="W65" i="2"/>
  <c r="O106" i="4"/>
  <c r="W96" i="2"/>
  <c r="W6" i="2"/>
  <c r="W47" i="2"/>
  <c r="X47" i="2"/>
  <c r="X9" i="2"/>
  <c r="X66" i="2"/>
  <c r="X108" i="2"/>
  <c r="X54" i="2"/>
  <c r="X42" i="2"/>
  <c r="X117" i="2"/>
  <c r="E60" i="3"/>
  <c r="O114" i="4"/>
  <c r="O99" i="4"/>
  <c r="O95" i="4"/>
  <c r="W60" i="2"/>
  <c r="W79" i="2"/>
  <c r="W49" i="2"/>
  <c r="W66" i="2"/>
  <c r="W93" i="2"/>
  <c r="W8" i="2"/>
  <c r="W72" i="2"/>
  <c r="E102" i="3"/>
  <c r="W102" i="2"/>
  <c r="W41" i="2"/>
  <c r="E41" i="3"/>
  <c r="W89" i="2"/>
  <c r="W58" i="2"/>
  <c r="X58" i="2"/>
  <c r="W77" i="2"/>
  <c r="W86" i="2"/>
  <c r="W105" i="2"/>
  <c r="W53" i="2"/>
  <c r="Y104" i="2"/>
  <c r="X12" i="2"/>
  <c r="W52" i="2"/>
  <c r="W90" i="2"/>
  <c r="X49" i="2"/>
  <c r="W9" i="2"/>
  <c r="X11" i="2"/>
  <c r="X10" i="2"/>
  <c r="X62" i="2"/>
  <c r="X72" i="2"/>
  <c r="X90" i="2"/>
  <c r="W54" i="2"/>
  <c r="W87" i="2"/>
  <c r="W107" i="2"/>
  <c r="X35" i="2"/>
  <c r="O133" i="4"/>
  <c r="O116" i="4"/>
  <c r="M137" i="4"/>
  <c r="O127" i="4"/>
  <c r="W48" i="2"/>
  <c r="X65" i="2"/>
  <c r="U33" i="2"/>
  <c r="W39" i="2"/>
  <c r="W78" i="2"/>
  <c r="Y101" i="2"/>
  <c r="W112" i="2"/>
  <c r="E112" i="3"/>
  <c r="Y117" i="2"/>
  <c r="W81" i="2"/>
  <c r="E81" i="3"/>
  <c r="W43" i="2"/>
  <c r="Y77" i="2"/>
  <c r="Y106" i="2"/>
  <c r="Y112" i="2"/>
  <c r="W101" i="2"/>
  <c r="Y110" i="2"/>
  <c r="X89" i="2"/>
  <c r="W30" i="2"/>
  <c r="X30" i="2"/>
  <c r="Y114" i="2"/>
  <c r="U116" i="2"/>
  <c r="X5" i="2"/>
  <c r="X13" i="2"/>
  <c r="X21" i="2"/>
  <c r="W11" i="2"/>
  <c r="W10" i="2"/>
  <c r="X104" i="2"/>
  <c r="W55" i="2"/>
  <c r="X87" i="2"/>
  <c r="X107" i="2"/>
  <c r="O96" i="4"/>
  <c r="O129" i="4"/>
  <c r="X52" i="2"/>
  <c r="X93" i="2"/>
  <c r="X79" i="2"/>
  <c r="Y88" i="2"/>
  <c r="U34" i="2"/>
  <c r="U40" i="2"/>
  <c r="W76" i="2"/>
  <c r="W94" i="2"/>
  <c r="W75" i="2"/>
  <c r="Y90" i="2"/>
  <c r="W109" i="2"/>
  <c r="W97" i="2"/>
  <c r="X101" i="2"/>
  <c r="W113" i="2"/>
  <c r="W104" i="2"/>
  <c r="E104" i="3"/>
  <c r="W108" i="2"/>
  <c r="E108" i="3"/>
  <c r="U24" i="2"/>
  <c r="X61" i="2"/>
  <c r="W61" i="2"/>
  <c r="E44" i="3"/>
  <c r="X44" i="2"/>
  <c r="O78" i="4"/>
  <c r="O84" i="4"/>
  <c r="O82" i="4"/>
  <c r="O83" i="4"/>
  <c r="O77" i="4"/>
  <c r="M60" i="4"/>
  <c r="O60" i="4"/>
  <c r="M50" i="4"/>
  <c r="O50" i="4"/>
  <c r="M69" i="4"/>
  <c r="O69" i="4"/>
  <c r="M65" i="4"/>
  <c r="O65" i="4"/>
  <c r="M62" i="4"/>
  <c r="O62" i="4"/>
  <c r="M58" i="4"/>
  <c r="O58" i="4"/>
  <c r="M84" i="4"/>
  <c r="M78" i="4"/>
  <c r="M72" i="4"/>
  <c r="O72" i="4"/>
  <c r="M68" i="4"/>
  <c r="O68" i="4"/>
  <c r="M64" i="4"/>
  <c r="O64" i="4"/>
  <c r="M56" i="4"/>
  <c r="O56" i="4"/>
  <c r="M73" i="4"/>
  <c r="O73" i="4"/>
  <c r="M82" i="4"/>
  <c r="M70" i="4"/>
  <c r="O70" i="4"/>
  <c r="M66" i="4"/>
  <c r="O66" i="4"/>
  <c r="M54" i="4"/>
  <c r="O54" i="4"/>
  <c r="M48" i="4"/>
  <c r="O48" i="4"/>
  <c r="M83" i="4"/>
  <c r="M77" i="4"/>
  <c r="M71" i="4"/>
  <c r="O71" i="4"/>
  <c r="M67" i="4"/>
  <c r="O67" i="4"/>
  <c r="M63" i="4"/>
  <c r="O63" i="4"/>
  <c r="M55" i="4"/>
  <c r="O55" i="4"/>
  <c r="M49" i="4"/>
  <c r="O49" i="4"/>
  <c r="M39" i="4"/>
  <c r="O39" i="4"/>
  <c r="H25" i="4"/>
  <c r="P32" i="4" s="1"/>
  <c r="H26" i="4"/>
  <c r="P33" i="4" s="1"/>
  <c r="H7" i="4"/>
  <c r="P7" i="4" s="1"/>
  <c r="H8" i="4"/>
  <c r="P9" i="4" s="1"/>
  <c r="H9" i="4"/>
  <c r="P11" i="4" s="1"/>
  <c r="H10" i="4"/>
  <c r="P12" i="4" s="1"/>
  <c r="H11" i="4"/>
  <c r="P14" i="4" s="1"/>
  <c r="H12" i="4"/>
  <c r="P15" i="4" s="1"/>
  <c r="H13" i="4"/>
  <c r="P17" i="4" s="1"/>
  <c r="H14" i="4"/>
  <c r="P18" i="4" s="1"/>
  <c r="H15" i="4"/>
  <c r="P19" i="4" s="1"/>
  <c r="H16" i="4"/>
  <c r="P20" i="4" s="1"/>
  <c r="H17" i="4"/>
  <c r="P21" i="4" s="1"/>
  <c r="H18" i="4"/>
  <c r="P22" i="4" s="1"/>
  <c r="H19" i="4"/>
  <c r="P23" i="4" s="1"/>
  <c r="H20" i="4"/>
  <c r="P24" i="4" s="1"/>
  <c r="H21" i="4"/>
  <c r="P25" i="4" s="1"/>
  <c r="H22" i="4"/>
  <c r="P27" i="4" s="1"/>
  <c r="H23" i="4"/>
  <c r="P28" i="4" s="1"/>
  <c r="H24" i="4"/>
  <c r="P30" i="4" s="1"/>
  <c r="P5" i="2"/>
  <c r="H6" i="4" s="1"/>
  <c r="P6" i="4" s="1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6" i="4"/>
  <c r="O9" i="4"/>
  <c r="O14" i="4"/>
  <c r="O15" i="4"/>
  <c r="O27" i="4"/>
  <c r="O28" i="4"/>
  <c r="O32" i="4"/>
  <c r="J29" i="4"/>
  <c r="J16" i="4"/>
  <c r="J10" i="4"/>
  <c r="J31" i="4"/>
  <c r="J26" i="4"/>
  <c r="J13" i="4"/>
  <c r="J8" i="4"/>
  <c r="J5" i="4"/>
  <c r="D13" i="4"/>
  <c r="E13" i="4"/>
  <c r="N17" i="4" s="1"/>
  <c r="D14" i="4"/>
  <c r="E14" i="4"/>
  <c r="N18" i="4" s="1"/>
  <c r="D15" i="4"/>
  <c r="E15" i="4"/>
  <c r="N19" i="4" s="1"/>
  <c r="D16" i="4"/>
  <c r="E16" i="4"/>
  <c r="N20" i="4" s="1"/>
  <c r="D17" i="4"/>
  <c r="D18" i="4"/>
  <c r="E18" i="4"/>
  <c r="N22" i="4" s="1"/>
  <c r="D19" i="4"/>
  <c r="E19" i="4"/>
  <c r="N23" i="4" s="1"/>
  <c r="D20" i="4"/>
  <c r="E20" i="4"/>
  <c r="N24" i="4" s="1"/>
  <c r="D21" i="4"/>
  <c r="E21" i="4"/>
  <c r="N25" i="4" s="1"/>
  <c r="D22" i="4"/>
  <c r="M27" i="4" s="1"/>
  <c r="E22" i="4"/>
  <c r="N27" i="4" s="1"/>
  <c r="D23" i="4"/>
  <c r="M28" i="4" s="1"/>
  <c r="E23" i="4"/>
  <c r="N28" i="4" s="1"/>
  <c r="D24" i="4"/>
  <c r="E24" i="4"/>
  <c r="N30" i="4" s="1"/>
  <c r="D25" i="4"/>
  <c r="M32" i="4" s="1"/>
  <c r="E25" i="4"/>
  <c r="N32" i="4" s="1"/>
  <c r="G5" i="2"/>
  <c r="R5" i="2" s="1"/>
  <c r="H5" i="2"/>
  <c r="S5" i="2" s="1"/>
  <c r="E17" i="4"/>
  <c r="N21" i="4" s="1"/>
  <c r="I5" i="2"/>
  <c r="T5" i="2" s="1"/>
  <c r="D5" i="3" s="1"/>
  <c r="A7" i="4"/>
  <c r="J7" i="4" s="1"/>
  <c r="B7" i="4"/>
  <c r="K7" i="4" s="1"/>
  <c r="C7" i="4"/>
  <c r="L7" i="4" s="1"/>
  <c r="A8" i="4"/>
  <c r="J9" i="4" s="1"/>
  <c r="B8" i="4"/>
  <c r="K9" i="4" s="1"/>
  <c r="C8" i="4"/>
  <c r="L9" i="4" s="1"/>
  <c r="A9" i="4"/>
  <c r="J11" i="4" s="1"/>
  <c r="B9" i="4"/>
  <c r="K11" i="4" s="1"/>
  <c r="C9" i="4"/>
  <c r="L11" i="4" s="1"/>
  <c r="A10" i="4"/>
  <c r="J12" i="4" s="1"/>
  <c r="B10" i="4"/>
  <c r="K12" i="4" s="1"/>
  <c r="C10" i="4"/>
  <c r="L12" i="4" s="1"/>
  <c r="A11" i="4"/>
  <c r="J14" i="4" s="1"/>
  <c r="B11" i="4"/>
  <c r="K14" i="4" s="1"/>
  <c r="C11" i="4"/>
  <c r="L14" i="4" s="1"/>
  <c r="A12" i="4"/>
  <c r="J15" i="4" s="1"/>
  <c r="B12" i="4"/>
  <c r="K15" i="4" s="1"/>
  <c r="C12" i="4"/>
  <c r="L15" i="4" s="1"/>
  <c r="A13" i="4"/>
  <c r="J17" i="4" s="1"/>
  <c r="B13" i="4"/>
  <c r="K17" i="4" s="1"/>
  <c r="C13" i="4"/>
  <c r="L17" i="4" s="1"/>
  <c r="A14" i="4"/>
  <c r="J18" i="4" s="1"/>
  <c r="B14" i="4"/>
  <c r="K18" i="4" s="1"/>
  <c r="C14" i="4"/>
  <c r="L18" i="4" s="1"/>
  <c r="A15" i="4"/>
  <c r="J19" i="4" s="1"/>
  <c r="B15" i="4"/>
  <c r="K19" i="4" s="1"/>
  <c r="C15" i="4"/>
  <c r="L19" i="4" s="1"/>
  <c r="A16" i="4"/>
  <c r="J20" i="4" s="1"/>
  <c r="B16" i="4"/>
  <c r="K20" i="4" s="1"/>
  <c r="C16" i="4"/>
  <c r="L20" i="4" s="1"/>
  <c r="A17" i="4"/>
  <c r="J21" i="4" s="1"/>
  <c r="B17" i="4"/>
  <c r="K21" i="4" s="1"/>
  <c r="C17" i="4"/>
  <c r="L21" i="4" s="1"/>
  <c r="A18" i="4"/>
  <c r="J22" i="4" s="1"/>
  <c r="B18" i="4"/>
  <c r="K22" i="4" s="1"/>
  <c r="C18" i="4"/>
  <c r="L22" i="4" s="1"/>
  <c r="A19" i="4"/>
  <c r="J23" i="4" s="1"/>
  <c r="B19" i="4"/>
  <c r="K23" i="4" s="1"/>
  <c r="C19" i="4"/>
  <c r="L23" i="4" s="1"/>
  <c r="A20" i="4"/>
  <c r="J24" i="4" s="1"/>
  <c r="B20" i="4"/>
  <c r="K24" i="4" s="1"/>
  <c r="C20" i="4"/>
  <c r="L24" i="4" s="1"/>
  <c r="A21" i="4"/>
  <c r="J25" i="4" s="1"/>
  <c r="B21" i="4"/>
  <c r="K25" i="4" s="1"/>
  <c r="C21" i="4"/>
  <c r="L25" i="4" s="1"/>
  <c r="A22" i="4"/>
  <c r="J27" i="4" s="1"/>
  <c r="B22" i="4"/>
  <c r="K27" i="4" s="1"/>
  <c r="C22" i="4"/>
  <c r="L27" i="4" s="1"/>
  <c r="A23" i="4"/>
  <c r="J28" i="4" s="1"/>
  <c r="B23" i="4"/>
  <c r="K28" i="4" s="1"/>
  <c r="C23" i="4"/>
  <c r="L28" i="4" s="1"/>
  <c r="A24" i="4"/>
  <c r="J30" i="4" s="1"/>
  <c r="B24" i="4"/>
  <c r="K30" i="4" s="1"/>
  <c r="C24" i="4"/>
  <c r="L30" i="4" s="1"/>
  <c r="A25" i="4"/>
  <c r="J32" i="4" s="1"/>
  <c r="B25" i="4"/>
  <c r="K32" i="4" s="1"/>
  <c r="C25" i="4"/>
  <c r="L32" i="4" s="1"/>
  <c r="C6" i="4"/>
  <c r="L6" i="4" s="1"/>
  <c r="B6" i="4"/>
  <c r="K6" i="4" s="1"/>
  <c r="A6" i="4"/>
  <c r="J6" i="4" s="1"/>
  <c r="W32" i="2" l="1"/>
  <c r="X32" i="2"/>
  <c r="W114" i="2"/>
  <c r="X114" i="2"/>
  <c r="E64" i="3"/>
  <c r="X64" i="2"/>
  <c r="W64" i="2"/>
  <c r="W24" i="2"/>
  <c r="E24" i="3"/>
  <c r="W33" i="2"/>
  <c r="E33" i="3"/>
  <c r="Y5" i="2"/>
  <c r="W34" i="2"/>
  <c r="E34" i="3"/>
  <c r="W116" i="2"/>
  <c r="E116" i="3"/>
  <c r="X33" i="2"/>
  <c r="W40" i="2"/>
  <c r="E40" i="3"/>
  <c r="X40" i="2"/>
  <c r="X24" i="2"/>
  <c r="X116" i="2"/>
  <c r="X34" i="2"/>
  <c r="M17" i="4"/>
  <c r="O17" i="4"/>
  <c r="M25" i="4"/>
  <c r="O25" i="4"/>
  <c r="M23" i="4"/>
  <c r="O23" i="4"/>
  <c r="M21" i="4"/>
  <c r="O21" i="4"/>
  <c r="M18" i="4"/>
  <c r="O18" i="4"/>
  <c r="M19" i="4"/>
  <c r="O19" i="4"/>
  <c r="M20" i="4"/>
  <c r="O20" i="4"/>
  <c r="M30" i="4"/>
  <c r="O30" i="4"/>
  <c r="M24" i="4"/>
  <c r="O24" i="4"/>
  <c r="M22" i="4"/>
  <c r="O22" i="4"/>
  <c r="E12" i="4"/>
  <c r="N15" i="4" s="1"/>
  <c r="E8" i="4"/>
  <c r="N9" i="4" s="1"/>
  <c r="D12" i="4"/>
  <c r="M15" i="4" s="1"/>
  <c r="E9" i="4"/>
  <c r="N11" i="4" s="1"/>
  <c r="D8" i="4"/>
  <c r="M9" i="4" s="1"/>
  <c r="E6" i="4"/>
  <c r="N6" i="4" s="1"/>
  <c r="E10" i="4"/>
  <c r="N12" i="4" s="1"/>
  <c r="D9" i="4"/>
  <c r="D11" i="4"/>
  <c r="M14" i="4" s="1"/>
  <c r="D7" i="4"/>
  <c r="D6" i="4"/>
  <c r="E11" i="4"/>
  <c r="N14" i="4" s="1"/>
  <c r="D10" i="4"/>
  <c r="E7" i="4"/>
  <c r="N7" i="4" s="1"/>
  <c r="M11" i="4" l="1"/>
  <c r="O11" i="4"/>
  <c r="M6" i="4"/>
  <c r="O6" i="4"/>
  <c r="M7" i="4"/>
  <c r="O7" i="4"/>
  <c r="M12" i="4"/>
  <c r="O12" i="4"/>
  <c r="D26" i="4"/>
  <c r="E26" i="4"/>
  <c r="L5" i="2"/>
  <c r="O5" i="2"/>
  <c r="L4" i="2"/>
  <c r="M4" i="2"/>
  <c r="N4" i="2"/>
  <c r="O4" i="2"/>
  <c r="K3" i="2"/>
  <c r="K4" i="2"/>
  <c r="U4" i="2" s="1"/>
  <c r="H3" i="2"/>
  <c r="I3" i="2"/>
  <c r="J3" i="2"/>
  <c r="H4" i="2"/>
  <c r="S4" i="2" s="1"/>
  <c r="I4" i="2"/>
  <c r="T4" i="2" s="1"/>
  <c r="J4" i="2"/>
  <c r="A3" i="2"/>
  <c r="B3" i="2"/>
  <c r="C3" i="2"/>
  <c r="D3" i="2"/>
  <c r="E3" i="2"/>
  <c r="G3" i="2"/>
  <c r="A4" i="2"/>
  <c r="B4" i="2"/>
  <c r="C4" i="2"/>
  <c r="D4" i="2"/>
  <c r="E4" i="2"/>
  <c r="F4" i="2"/>
  <c r="G4" i="2"/>
  <c r="R4" i="2" s="1"/>
  <c r="A5" i="2"/>
  <c r="A5" i="3" s="1"/>
  <c r="B5" i="2"/>
  <c r="B5" i="3" s="1"/>
  <c r="C5" i="2"/>
  <c r="D5" i="2"/>
  <c r="E5" i="2"/>
</calcChain>
</file>

<file path=xl/sharedStrings.xml><?xml version="1.0" encoding="utf-8"?>
<sst xmlns="http://schemas.openxmlformats.org/spreadsheetml/2006/main" count="1282" uniqueCount="685">
  <si>
    <t>21st July 1951</t>
  </si>
  <si>
    <t>W.I.Stanton</t>
  </si>
  <si>
    <t>SWILDONS HOLE</t>
  </si>
  <si>
    <t>Sta.</t>
  </si>
  <si>
    <t>Ht Rf</t>
  </si>
  <si>
    <t>Dp Fl</t>
  </si>
  <si>
    <t>Width L</t>
  </si>
  <si>
    <t>Width R</t>
  </si>
  <si>
    <t>Looking Forward</t>
  </si>
  <si>
    <t>FS</t>
  </si>
  <si>
    <t>BS</t>
  </si>
  <si>
    <t>Bearing</t>
  </si>
  <si>
    <t>Distance</t>
  </si>
  <si>
    <t>Fore Clino</t>
  </si>
  <si>
    <t>A</t>
  </si>
  <si>
    <t>B</t>
  </si>
  <si>
    <t>-</t>
  </si>
  <si>
    <t>4(19' in aven)</t>
  </si>
  <si>
    <t>C</t>
  </si>
  <si>
    <t>322 30</t>
  </si>
  <si>
    <t>Horz. Dist.</t>
  </si>
  <si>
    <t>Vert. Dist.</t>
  </si>
  <si>
    <t>Calc.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</si>
  <si>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</si>
  <si>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</si>
  <si>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</si>
  <si>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</si>
  <si>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</si>
  <si>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</si>
  <si>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</si>
  <si>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</si>
  <si>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</si>
  <si>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</si>
  <si>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</si>
  <si>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</si>
  <si>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</si>
  <si>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</si>
  <si>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</si>
  <si>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</si>
  <si>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</si>
  <si>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S</t>
  </si>
  <si>
    <t>3 (30 in B.Place(?))</t>
  </si>
  <si>
    <t>192 30</t>
  </si>
  <si>
    <t>rise of 1.5 feet</t>
  </si>
  <si>
    <t>level</t>
  </si>
  <si>
    <t>fall of 4 feet</t>
  </si>
  <si>
    <t>rise of 4 feet</t>
  </si>
  <si>
    <t>fall of 1.7 feet</t>
  </si>
  <si>
    <t>Hor Dist.</t>
  </si>
  <si>
    <t>Vert Dist.</t>
  </si>
  <si>
    <t>Dp. Below sump I</t>
  </si>
  <si>
    <t>Notes</t>
  </si>
  <si>
    <t>fall of 2.5 feet</t>
  </si>
  <si>
    <t>To</t>
  </si>
  <si>
    <t>Tape</t>
  </si>
  <si>
    <t>Compass</t>
  </si>
  <si>
    <t>Clino</t>
  </si>
  <si>
    <t>;From</t>
  </si>
  <si>
    <t>Keeping Forwards and Back Bearings</t>
  </si>
  <si>
    <t>Foresight</t>
  </si>
  <si>
    <t>Backsight</t>
  </si>
  <si>
    <t>From</t>
  </si>
  <si>
    <t>Depth Change</t>
  </si>
  <si>
    <t>8 30</t>
  </si>
  <si>
    <t>Copy and Paste data from column J-P into Therion Centreline data block</t>
  </si>
  <si>
    <t>A is at the base of the cable spike on the downstream side of Sump I</t>
  </si>
  <si>
    <t>B is on a rock at upstream end of pool</t>
  </si>
  <si>
    <t>C is on edge of pool 10' before Duck I</t>
  </si>
  <si>
    <t>D is in stream. Big rock (start of New Series survey) 10' away at 350 (deg). Big passage starts as continuation of Howards Dig.</t>
  </si>
  <si>
    <t>At 40' the roof lowers suddenly to Creep I. The big Bedding Plane passage comes in on the right, from -5' to 40'</t>
  </si>
  <si>
    <t>Pots</t>
  </si>
  <si>
    <t>L is at foot of climb to Approach passage. Clay fill remains 6' up on left wall.</t>
  </si>
  <si>
    <t>Pots. Very pretty coral on left wall</t>
  </si>
  <si>
    <t>1.5 foot deep pool starts at P.</t>
  </si>
  <si>
    <t>Pool 2.5' deep at R, ends 15' on. Scalloping as in Goughs 1st Sandy Chamber.</t>
  </si>
  <si>
    <t>S is marked on wall. At 20' there is a muddy chamber overhead.</t>
  </si>
  <si>
    <t>Bearls (sp.?) seen here.    Total = 650'</t>
  </si>
  <si>
    <t>#</t>
  </si>
  <si>
    <t>data normal from to tape compass backcompass clino ignoreall</t>
  </si>
  <si>
    <t>data diving from to tape compass backcompass depthchange ignoreall</t>
  </si>
  <si>
    <t>4 30</t>
  </si>
  <si>
    <t>A1</t>
  </si>
  <si>
    <t>B1</t>
  </si>
  <si>
    <t>C1</t>
  </si>
  <si>
    <t>D1</t>
  </si>
  <si>
    <t>A1 is far end of "Priddy Green" passage. At choke</t>
  </si>
  <si>
    <t>B1 is ent to P.G. pass, above stalagmite keloid (sp.?)</t>
  </si>
  <si>
    <t>Compass bearings magnetic 11(deg)30' W</t>
  </si>
  <si>
    <t>5th August 1951</t>
  </si>
  <si>
    <t>V</t>
  </si>
  <si>
    <t>W</t>
  </si>
  <si>
    <t>X</t>
  </si>
  <si>
    <t>Y</t>
  </si>
  <si>
    <t>i</t>
  </si>
  <si>
    <t>a</t>
  </si>
  <si>
    <t>b</t>
  </si>
  <si>
    <t>c</t>
  </si>
  <si>
    <t>d</t>
  </si>
  <si>
    <t>e</t>
  </si>
  <si>
    <t>f</t>
  </si>
  <si>
    <t>g</t>
  </si>
  <si>
    <t>h</t>
  </si>
  <si>
    <t>0.4 (12)</t>
  </si>
  <si>
    <t>3 (8 in aven)</t>
  </si>
  <si>
    <t>141 30</t>
  </si>
  <si>
    <t>132 10</t>
  </si>
  <si>
    <t>6 30</t>
  </si>
  <si>
    <t>186 30</t>
  </si>
  <si>
    <t>water level</t>
  </si>
  <si>
    <t>fall 0.7'</t>
  </si>
  <si>
    <t>fall 4 feet</t>
  </si>
  <si>
    <t>17.5 (? indistinct)</t>
  </si>
  <si>
    <t>+</t>
  </si>
  <si>
    <t>On rocky bank.</t>
  </si>
  <si>
    <t>D1 to near side of Sump I 11.8'. D1 to far side of Sump I 18'. D1 is in pool at stake for cable.</t>
  </si>
  <si>
    <t>Lake begins as 10'. (Little sketch)</t>
  </si>
  <si>
    <t>Lake</t>
  </si>
  <si>
    <t>Bearing from 2' to right. W to near side Duck II = 3.5. W to far side Duck II = 20.4</t>
  </si>
  <si>
    <t>Y at lip of Sump II, 3" air space goes on 10 more</t>
  </si>
  <si>
    <t>(Little sketch). Total 1010'</t>
  </si>
  <si>
    <t>Sump on left at 41' feet</t>
  </si>
  <si>
    <t>Bearing from 3 feet to left</t>
  </si>
  <si>
    <t>Bearing from 2' to left. Iv is Muddy Sump. Dp below Sump I is 20.6 feet. Total 1127'</t>
  </si>
  <si>
    <t>a is on N.Side of passage just before Creep I -&gt; (sketch)</t>
  </si>
  <si>
    <t>(e) is where passage rejoins streamway. Stn 35 (p.52)-(e) is F.S. 234 (TRUE), Dist 18', Clino +45 (deg), HD 12.7, VD +12.7</t>
  </si>
  <si>
    <t>(i) is where passage gets too low. (some indistinct numbers follow. Too faint to read on logbook scan). Total 1207' (?)</t>
  </si>
  <si>
    <t>2 is on lip of Approach passage. Little passage starts 15 back.</t>
  </si>
  <si>
    <t>fall 2 feet</t>
  </si>
  <si>
    <t>fall 3.5 feet</t>
  </si>
  <si>
    <t>Little passage off to South from 4</t>
  </si>
  <si>
    <t>3 - 12 Trench up to 2 feet deep in floor of this passage</t>
  </si>
  <si>
    <t>Little passage goes uphill straight on</t>
  </si>
  <si>
    <t>Low creep at 4-10 feet. Chamber goes 15' in same line</t>
  </si>
  <si>
    <t>18 is in crack at top of "11 foot drop"</t>
  </si>
  <si>
    <t>Total = 1562'</t>
  </si>
  <si>
    <t>30th March 1952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</si>
  <si>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</si>
  <si>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</si>
  <si>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</si>
  <si>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</si>
  <si>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</si>
  <si>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</si>
  <si>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</si>
  <si>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</si>
  <si>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</si>
  <si>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</si>
  <si>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</si>
  <si>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</si>
  <si>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AN</t>
  </si>
  <si>
    <t>AO</t>
  </si>
  <si>
    <t>AP</t>
  </si>
  <si>
    <t>AQ</t>
  </si>
  <si>
    <t>AR</t>
  </si>
  <si>
    <t>AS</t>
  </si>
  <si>
    <t>AT</t>
  </si>
  <si>
    <t>AU</t>
  </si>
  <si>
    <t>AY</t>
  </si>
  <si>
    <t>AW</t>
  </si>
  <si>
    <t>AX</t>
  </si>
  <si>
    <t>2nd April 1952</t>
  </si>
  <si>
    <t>5 to rock jam</t>
  </si>
  <si>
    <t>4 (cascade)</t>
  </si>
  <si>
    <t>5 to water</t>
  </si>
  <si>
    <t>293 40</t>
  </si>
  <si>
    <t>115 30</t>
  </si>
  <si>
    <t>277 50</t>
  </si>
  <si>
    <t>121 00</t>
  </si>
  <si>
    <t>290 00</t>
  </si>
  <si>
    <t>050 30</t>
  </si>
  <si>
    <t>313 00</t>
  </si>
  <si>
    <t>195 50</t>
  </si>
  <si>
    <t>292 10</t>
  </si>
  <si>
    <t>138 30</t>
  </si>
  <si>
    <t>286 00</t>
  </si>
  <si>
    <t>044 00</t>
  </si>
  <si>
    <t>113 40</t>
  </si>
  <si>
    <t>097 50</t>
  </si>
  <si>
    <t>110 00</t>
  </si>
  <si>
    <t>133 00</t>
  </si>
  <si>
    <t>192 50</t>
  </si>
  <si>
    <t>112 10</t>
  </si>
  <si>
    <t>106 00</t>
  </si>
  <si>
    <t>9 30</t>
  </si>
  <si>
    <t>0 30</t>
  </si>
  <si>
    <t>22 30</t>
  </si>
  <si>
    <t>9 40</t>
  </si>
  <si>
    <t>10 20</t>
  </si>
  <si>
    <t>3 00</t>
  </si>
  <si>
    <t>11 20</t>
  </si>
  <si>
    <t>4 50</t>
  </si>
  <si>
    <t>14 30</t>
  </si>
  <si>
    <t>Cono &amp; Roy Blewett</t>
  </si>
  <si>
    <t>126 40</t>
  </si>
  <si>
    <t>025 20</t>
  </si>
  <si>
    <t>094 00</t>
  </si>
  <si>
    <t>012 20</t>
  </si>
  <si>
    <t>321 40</t>
  </si>
  <si>
    <t>108 30</t>
  </si>
  <si>
    <t>128 00</t>
  </si>
  <si>
    <t>243 50</t>
  </si>
  <si>
    <t>316 00</t>
  </si>
  <si>
    <t>169 30</t>
  </si>
  <si>
    <t>245 30</t>
  </si>
  <si>
    <t>259 40</t>
  </si>
  <si>
    <t>306 40</t>
  </si>
  <si>
    <t>063 50</t>
  </si>
  <si>
    <t>136 00</t>
  </si>
  <si>
    <t>349 30</t>
  </si>
  <si>
    <t>065 30</t>
  </si>
  <si>
    <t>079 40</t>
  </si>
  <si>
    <t>26 00</t>
  </si>
  <si>
    <t>12 00</t>
  </si>
  <si>
    <t>10 30</t>
  </si>
  <si>
    <t>28 30</t>
  </si>
  <si>
    <t>9 00</t>
  </si>
  <si>
    <t>27 30</t>
  </si>
  <si>
    <t>23 30</t>
  </si>
  <si>
    <t>13 30</t>
  </si>
  <si>
    <t>14th August '52</t>
  </si>
  <si>
    <t>Colin</t>
  </si>
  <si>
    <t>Contd from P.49. Upper Mud Series</t>
  </si>
  <si>
    <t>3 (30)</t>
  </si>
  <si>
    <t>355 00</t>
  </si>
  <si>
    <t>091 00</t>
  </si>
  <si>
    <t>302 00</t>
  </si>
  <si>
    <t>172 40</t>
  </si>
  <si>
    <t>248 00</t>
  </si>
  <si>
    <t>046 00</t>
  </si>
  <si>
    <t>293 00</t>
  </si>
  <si>
    <t>061 00</t>
  </si>
  <si>
    <t>015 30</t>
  </si>
  <si>
    <t>242 00</t>
  </si>
  <si>
    <t>340 00</t>
  </si>
  <si>
    <t>239 00</t>
  </si>
  <si>
    <t>182 00</t>
  </si>
  <si>
    <t>339 00</t>
  </si>
  <si>
    <t>341 00</t>
  </si>
  <si>
    <t>175 00</t>
  </si>
  <si>
    <t>122 00</t>
  </si>
  <si>
    <t>068 00</t>
  </si>
  <si>
    <t>113 00</t>
  </si>
  <si>
    <t>195 30</t>
  </si>
  <si>
    <t>160 00</t>
  </si>
  <si>
    <t>159 00</t>
  </si>
  <si>
    <t>161 00</t>
  </si>
  <si>
    <t>1 00</t>
  </si>
  <si>
    <t>23 00</t>
  </si>
  <si>
    <t>10 00</t>
  </si>
  <si>
    <t>18 00</t>
  </si>
  <si>
    <t>fall 1 foot</t>
  </si>
  <si>
    <t>rise 1 foot</t>
  </si>
  <si>
    <t>Ri</t>
  </si>
  <si>
    <t>Rii</t>
  </si>
  <si>
    <t>Riii</t>
  </si>
  <si>
    <t>Riv</t>
  </si>
  <si>
    <t>Reformatted Angles</t>
  </si>
  <si>
    <t>metres</t>
  </si>
  <si>
    <t>decimal degrees</t>
  </si>
  <si>
    <t>B1 is station B1 of page 45, at entrance to "P.G." passage</t>
  </si>
  <si>
    <t>AA on a big high rock</t>
  </si>
  <si>
    <t>AB on big rock. Stream sinks below boulders.</t>
  </si>
  <si>
    <t>AC on dirty great big rock.</t>
  </si>
  <si>
    <t>Stream rises from boulders.</t>
  </si>
  <si>
    <t>Stream sinks below boulders.</t>
  </si>
  <si>
    <t>AF above waterfall.</t>
  </si>
  <si>
    <t>AK is below hole into Upper Grottos. Asellus (sp?) present.</t>
  </si>
  <si>
    <t>Total = 1,918'</t>
  </si>
  <si>
    <t>AL is start of St. Pauls survey</t>
  </si>
  <si>
    <t>AN is at S. end of lower big pot.</t>
  </si>
  <si>
    <t>AV</t>
  </si>
  <si>
    <t>AV is in middle of upper big pot.</t>
  </si>
  <si>
    <t>AY is on stumpy stalagmite on cascade on E side of passage.</t>
  </si>
  <si>
    <t>Total = 2,188'</t>
  </si>
  <si>
    <t>Total = 2,642'</t>
  </si>
  <si>
    <t>18 is in crack at top of 11 Foot Drop.</t>
  </si>
  <si>
    <t>(sketch of 18 - 24)</t>
  </si>
  <si>
    <t>(sketch of 24 - 35)</t>
  </si>
  <si>
    <t>35 = A on p.25 = Big rock by D on p.46 (Top of)</t>
  </si>
  <si>
    <t>Bearing from FS/BS</t>
  </si>
  <si>
    <t># 18</t>
  </si>
  <si>
    <t>p. 45-46</t>
  </si>
  <si>
    <t>(=PDF p.49-50)</t>
  </si>
  <si>
    <t>SWILDONS HOLE SURVEY</t>
  </si>
  <si>
    <t xml:space="preserve"> CONTINUED</t>
  </si>
  <si>
    <t>(=PDF p.51-54)</t>
  </si>
  <si>
    <t>p. 47-50</t>
  </si>
  <si>
    <t>p. 51-52</t>
  </si>
  <si>
    <t>(=PDF p.55-56)</t>
  </si>
  <si>
    <t>ft/m</t>
  </si>
  <si>
    <t>Black hole</t>
  </si>
  <si>
    <t>158 00</t>
  </si>
  <si>
    <t>011 00</t>
  </si>
  <si>
    <t>282 00</t>
  </si>
  <si>
    <t>063 30</t>
  </si>
  <si>
    <t>284 00</t>
  </si>
  <si>
    <t>083 00</t>
  </si>
  <si>
    <t>296 30</t>
  </si>
  <si>
    <t>074 30</t>
  </si>
  <si>
    <t>337 00</t>
  </si>
  <si>
    <t>117 00</t>
  </si>
  <si>
    <t>308 00</t>
  </si>
  <si>
    <t>163 30</t>
  </si>
  <si>
    <t>020 00</t>
  </si>
  <si>
    <t>186 00</t>
  </si>
  <si>
    <t>102 30</t>
  </si>
  <si>
    <t>264 00</t>
  </si>
  <si>
    <t>338 00</t>
  </si>
  <si>
    <t>102 00</t>
  </si>
  <si>
    <t>104 00</t>
  </si>
  <si>
    <t>116 30</t>
  </si>
  <si>
    <t>157 00</t>
  </si>
  <si>
    <t>200 00</t>
  </si>
  <si>
    <t>282 30</t>
  </si>
  <si>
    <t>12 30</t>
  </si>
  <si>
    <t>90 00</t>
  </si>
  <si>
    <t>16 30</t>
  </si>
  <si>
    <t>27 00</t>
  </si>
  <si>
    <t>5 00</t>
  </si>
  <si>
    <t>8 00</t>
  </si>
  <si>
    <t>Nov. 23rd '52</t>
  </si>
  <si>
    <t>Jack Broadley</t>
  </si>
  <si>
    <t>Short Dry Way - Entrance</t>
  </si>
  <si>
    <t>EC</t>
  </si>
  <si>
    <t>EB</t>
  </si>
  <si>
    <t>EA</t>
  </si>
  <si>
    <t>DZ</t>
  </si>
  <si>
    <t>DY</t>
  </si>
  <si>
    <t>DX</t>
  </si>
  <si>
    <t>DW</t>
  </si>
  <si>
    <t>DV</t>
  </si>
  <si>
    <t>DQ</t>
  </si>
  <si>
    <t>DP</t>
  </si>
  <si>
    <t>DO</t>
  </si>
  <si>
    <t>DN</t>
  </si>
  <si>
    <t>DM</t>
  </si>
  <si>
    <t>DL</t>
  </si>
  <si>
    <t>DK</t>
  </si>
  <si>
    <t>DJ</t>
  </si>
  <si>
    <t>DI</t>
  </si>
  <si>
    <t>DH</t>
  </si>
  <si>
    <t>21st Dec '52</t>
  </si>
  <si>
    <t>Howard &amp; Jock.</t>
  </si>
  <si>
    <t>Short Dry Way to 40' Pot</t>
  </si>
  <si>
    <t>DG</t>
  </si>
  <si>
    <t>DF</t>
  </si>
  <si>
    <t>DE</t>
  </si>
  <si>
    <t>DD</t>
  </si>
  <si>
    <t>DC</t>
  </si>
  <si>
    <t>DB</t>
  </si>
  <si>
    <t>DA</t>
  </si>
  <si>
    <t>344 30</t>
  </si>
  <si>
    <t>259 00</t>
  </si>
  <si>
    <t>277 00</t>
  </si>
  <si>
    <t>348 30</t>
  </si>
  <si>
    <t>346 00</t>
  </si>
  <si>
    <t>304 00</t>
  </si>
  <si>
    <t>103 00</t>
  </si>
  <si>
    <t>216 00</t>
  </si>
  <si>
    <t>162 00</t>
  </si>
  <si>
    <t>119 00</t>
  </si>
  <si>
    <t>261 00</t>
  </si>
  <si>
    <t>112 00</t>
  </si>
  <si>
    <t>138 00</t>
  </si>
  <si>
    <t>283 00</t>
  </si>
  <si>
    <t>036 00</t>
  </si>
  <si>
    <t>342 00</t>
  </si>
  <si>
    <t>299 00</t>
  </si>
  <si>
    <t>227 00</t>
  </si>
  <si>
    <t>081 00</t>
  </si>
  <si>
    <t>292 00</t>
  </si>
  <si>
    <t>318 00</t>
  </si>
  <si>
    <t>6 00</t>
  </si>
  <si>
    <t>317 00</t>
  </si>
  <si>
    <t>319 30</t>
  </si>
  <si>
    <t>087 00</t>
  </si>
  <si>
    <t>145 30</t>
  </si>
  <si>
    <t>089 00</t>
  </si>
  <si>
    <t>267 00</t>
  </si>
  <si>
    <t>325 30</t>
  </si>
  <si>
    <t>269 00</t>
  </si>
  <si>
    <t>30 00</t>
  </si>
  <si>
    <t>2 00</t>
  </si>
  <si>
    <t>21 00</t>
  </si>
  <si>
    <t>27 = 27 of p.52</t>
  </si>
  <si>
    <t>(sketch of 36-54)</t>
  </si>
  <si>
    <t>46 marked by candle 4' beyond lip of Black Hole</t>
  </si>
  <si>
    <t>"Dry" passage starts 3' back.</t>
  </si>
  <si>
    <t>Dry passage enters 2' on North. 53 is marked by a candle 1' below (.) on roof. 54 is H2O level in sump.</t>
  </si>
  <si>
    <t>Closed on levels to 1.9 feet.  Not bad! Total 2,208 (? faint)</t>
  </si>
  <si>
    <t>EC is on dimple in projecting rock 10' below entrance on E.</t>
  </si>
  <si>
    <t>(sketch from Ent. EC-DO)</t>
  </si>
  <si>
    <t>(sketch of Short Dry Way DN-DH)</t>
  </si>
  <si>
    <t>is 2" candle on smoke BM below smoke (.)</t>
  </si>
  <si>
    <t>Entrance to Old Grotto.</t>
  </si>
  <si>
    <t>(=PDF p.57-60)</t>
  </si>
  <si>
    <t>p. 53-56</t>
  </si>
  <si>
    <t>CZ</t>
  </si>
  <si>
    <t>CY</t>
  </si>
  <si>
    <t>CX</t>
  </si>
  <si>
    <t>CW</t>
  </si>
  <si>
    <t>CV</t>
  </si>
  <si>
    <t>CU</t>
  </si>
  <si>
    <t>CT</t>
  </si>
  <si>
    <t>CS</t>
  </si>
  <si>
    <t>CR</t>
  </si>
  <si>
    <t>CQ</t>
  </si>
  <si>
    <t>CP</t>
  </si>
  <si>
    <t>CO</t>
  </si>
  <si>
    <t>CN</t>
  </si>
  <si>
    <t>CM</t>
  </si>
  <si>
    <t>202 20</t>
  </si>
  <si>
    <t>069 00</t>
  </si>
  <si>
    <t>192 00</t>
  </si>
  <si>
    <t>259 30</t>
  </si>
  <si>
    <t>321 00</t>
  </si>
  <si>
    <t>335 00</t>
  </si>
  <si>
    <t>030 00</t>
  </si>
  <si>
    <t>073 00</t>
  </si>
  <si>
    <t>144 00</t>
  </si>
  <si>
    <t>171 00</t>
  </si>
  <si>
    <t>168 00</t>
  </si>
  <si>
    <t>249 00</t>
  </si>
  <si>
    <t>210 00</t>
  </si>
  <si>
    <t>253 00</t>
  </si>
  <si>
    <t>324 00</t>
  </si>
  <si>
    <t>351 00</t>
  </si>
  <si>
    <t>348 00</t>
  </si>
  <si>
    <t>(sketch of CR-CZ-DA-DH)</t>
  </si>
  <si>
    <t>CM = On stalagmite projection over 40 ft pt.</t>
  </si>
  <si>
    <t>8th Feb '53</t>
  </si>
  <si>
    <t>Barnes' Loop to Forty</t>
  </si>
  <si>
    <t>AZ</t>
  </si>
  <si>
    <t>30 (in alcove)</t>
  </si>
  <si>
    <t>10 (in alcove)</t>
  </si>
  <si>
    <t>259 20</t>
  </si>
  <si>
    <t>079 20</t>
  </si>
  <si>
    <t>30 30</t>
  </si>
  <si>
    <t>BA</t>
  </si>
  <si>
    <t>4 (in alcove)</t>
  </si>
  <si>
    <t>113 30</t>
  </si>
  <si>
    <t>21 20</t>
  </si>
  <si>
    <t>BB</t>
  </si>
  <si>
    <t>179 30</t>
  </si>
  <si>
    <t>359 30</t>
  </si>
  <si>
    <t>BC</t>
  </si>
  <si>
    <t>011 50</t>
  </si>
  <si>
    <t>3' before little portal</t>
  </si>
  <si>
    <t>BD</t>
  </si>
  <si>
    <t>17 40</t>
  </si>
  <si>
    <t>BE</t>
  </si>
  <si>
    <t>333 00</t>
  </si>
  <si>
    <t>6' before junction with rift</t>
  </si>
  <si>
    <t>BF</t>
  </si>
  <si>
    <t>203 30</t>
  </si>
  <si>
    <t>023 30</t>
  </si>
  <si>
    <t>14 00</t>
  </si>
  <si>
    <t>over dark rift</t>
  </si>
  <si>
    <t>BG</t>
  </si>
  <si>
    <t>091 50</t>
  </si>
  <si>
    <t>15 00</t>
  </si>
  <si>
    <t>corner</t>
  </si>
  <si>
    <t>BH</t>
  </si>
  <si>
    <t>324 20</t>
  </si>
  <si>
    <t>144 20</t>
  </si>
  <si>
    <t>11 30</t>
  </si>
  <si>
    <t>BI</t>
  </si>
  <si>
    <t>104 10</t>
  </si>
  <si>
    <t>W.R. At stream level nil(?)</t>
  </si>
  <si>
    <t>BJ</t>
  </si>
  <si>
    <t>10 (in alcove above)</t>
  </si>
  <si>
    <t>212 20</t>
  </si>
  <si>
    <t>032 20</t>
  </si>
  <si>
    <t>39 00</t>
  </si>
  <si>
    <t>BK</t>
  </si>
  <si>
    <t>BL</t>
  </si>
  <si>
    <t>277 30</t>
  </si>
  <si>
    <t>097 30</t>
  </si>
  <si>
    <t>BM</t>
  </si>
  <si>
    <t>7 00</t>
  </si>
  <si>
    <t>BN</t>
  </si>
  <si>
    <t>351 20</t>
  </si>
  <si>
    <t>171 20</t>
  </si>
  <si>
    <t>BO</t>
  </si>
  <si>
    <t>102 20</t>
  </si>
  <si>
    <t>BP</t>
  </si>
  <si>
    <t>137 00</t>
  </si>
  <si>
    <t>6 50</t>
  </si>
  <si>
    <t>BQ</t>
  </si>
  <si>
    <t>152 30</t>
  </si>
  <si>
    <t>BR</t>
  </si>
  <si>
    <t>313 10</t>
  </si>
  <si>
    <t>133 10</t>
  </si>
  <si>
    <t>1 30</t>
  </si>
  <si>
    <t>1 (in alcove)</t>
  </si>
  <si>
    <t>137 30</t>
  </si>
  <si>
    <t>BT</t>
  </si>
  <si>
    <t>149 00</t>
  </si>
  <si>
    <t>BU</t>
  </si>
  <si>
    <t>265 50</t>
  </si>
  <si>
    <t>085 50</t>
  </si>
  <si>
    <t>14 20</t>
  </si>
  <si>
    <t>BV</t>
  </si>
  <si>
    <t>116 00</t>
  </si>
  <si>
    <t>BW</t>
  </si>
  <si>
    <t>266 20</t>
  </si>
  <si>
    <t>086 20</t>
  </si>
  <si>
    <t>BX</t>
  </si>
  <si>
    <t>32 30</t>
  </si>
  <si>
    <t>BY</t>
  </si>
  <si>
    <t>326 00</t>
  </si>
  <si>
    <t>146 00</t>
  </si>
  <si>
    <t>24 30</t>
  </si>
  <si>
    <t>BZ</t>
  </si>
  <si>
    <t>125 20</t>
  </si>
  <si>
    <t>CA</t>
  </si>
  <si>
    <t>352 00</t>
  </si>
  <si>
    <t>172 00</t>
  </si>
  <si>
    <t>2 15</t>
  </si>
  <si>
    <t>CB</t>
  </si>
  <si>
    <t>125 00</t>
  </si>
  <si>
    <t>4 00</t>
  </si>
  <si>
    <t>CC</t>
  </si>
  <si>
    <t>284 10</t>
  </si>
  <si>
    <t>16 00</t>
  </si>
  <si>
    <t>CD</t>
  </si>
  <si>
    <t>137 10</t>
  </si>
  <si>
    <t>7 10</t>
  </si>
  <si>
    <t>CE</t>
  </si>
  <si>
    <t>124 00</t>
  </si>
  <si>
    <t>19 00</t>
  </si>
  <si>
    <t>CF</t>
  </si>
  <si>
    <t>091 40</t>
  </si>
  <si>
    <t>CG</t>
  </si>
  <si>
    <t>294 30</t>
  </si>
  <si>
    <t>114 30</t>
  </si>
  <si>
    <t>CH</t>
  </si>
  <si>
    <t>014 20</t>
  </si>
  <si>
    <t>CI</t>
  </si>
  <si>
    <t>169 00</t>
  </si>
  <si>
    <t>349 00</t>
  </si>
  <si>
    <t>CJ</t>
  </si>
  <si>
    <t>023 00</t>
  </si>
  <si>
    <t>CK</t>
  </si>
  <si>
    <t>328 00</t>
  </si>
  <si>
    <t>CL</t>
  </si>
  <si>
    <t>272 00</t>
  </si>
  <si>
    <t>092 00</t>
  </si>
  <si>
    <t>71 00</t>
  </si>
  <si>
    <t>100 00</t>
  </si>
  <si>
    <t>AL(?)</t>
  </si>
  <si>
    <t>048 00</t>
  </si>
  <si>
    <t>184 00</t>
  </si>
  <si>
    <t>56 30</t>
  </si>
  <si>
    <t>229 40</t>
  </si>
  <si>
    <t>30 15</t>
  </si>
  <si>
    <t>203 40</t>
  </si>
  <si>
    <t>19 40</t>
  </si>
  <si>
    <t>305 10</t>
  </si>
  <si>
    <t>2 30</t>
  </si>
  <si>
    <t>above lower double pot</t>
  </si>
  <si>
    <t>low height due to stalagmite choke in high aven</t>
  </si>
  <si>
    <t>below boss in Shrine</t>
  </si>
  <si>
    <t>bloody horrible</t>
  </si>
  <si>
    <t>beside hook at top of 20' Drop. W.L. as sta 1'</t>
  </si>
  <si>
    <t>W.L. at sta 1'</t>
  </si>
  <si>
    <t>side of pot at entrance of passage</t>
  </si>
  <si>
    <t>side of pot</t>
  </si>
  <si>
    <t>lip of pot</t>
  </si>
  <si>
    <t>see p.55</t>
  </si>
  <si>
    <t>1st March 1953</t>
  </si>
  <si>
    <t>Phil, Don, Oliver, Colin</t>
  </si>
  <si>
    <t>Trats Grotto into St Pauls System</t>
  </si>
  <si>
    <t>See p.51 Below Trats Grotto</t>
  </si>
  <si>
    <t>Top of pit</t>
  </si>
  <si>
    <t>Foot of cascade</t>
  </si>
  <si>
    <t>(small sketch a-e)</t>
  </si>
  <si>
    <t>049 40</t>
  </si>
  <si>
    <t>125 10</t>
  </si>
  <si>
    <t>228 00</t>
  </si>
  <si>
    <t>(=PDF p.65-68)</t>
  </si>
  <si>
    <t>p. 61-64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</si>
  <si>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</si>
  <si>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</si>
  <si>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</si>
  <si>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</si>
  <si>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</si>
  <si>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</si>
  <si>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</si>
  <si>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</si>
  <si>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</si>
  <si>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</si>
  <si>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</si>
  <si>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</si>
  <si>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</si>
  <si>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</si>
  <si>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</si>
  <si>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</si>
  <si>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</si>
  <si>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</si>
  <si>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</si>
  <si>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</si>
  <si>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</si>
  <si>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</si>
  <si>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</si>
  <si>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</si>
  <si>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</si>
  <si>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</si>
  <si>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</si>
  <si>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</si>
  <si>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</si>
  <si>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am</t>
  </si>
  <si>
    <t>an</t>
  </si>
  <si>
    <t>ao</t>
  </si>
  <si>
    <t>ap</t>
  </si>
  <si>
    <t>aq</t>
  </si>
  <si>
    <t>ar</t>
  </si>
  <si>
    <t>as</t>
  </si>
  <si>
    <t>at</t>
  </si>
  <si>
    <t>au</t>
  </si>
  <si>
    <t>5 (10 in aven)</t>
  </si>
  <si>
    <t>15 (25 in passage)</t>
  </si>
  <si>
    <t>013 00</t>
  </si>
  <si>
    <t>002 00</t>
  </si>
  <si>
    <t>007 00</t>
  </si>
  <si>
    <t>194 00</t>
  </si>
  <si>
    <t>187 00</t>
  </si>
  <si>
    <t>251 00</t>
  </si>
  <si>
    <t>027 30</t>
  </si>
  <si>
    <t>14th March 1953</t>
  </si>
  <si>
    <t>Howard</t>
  </si>
  <si>
    <t>Damascus</t>
  </si>
  <si>
    <t>250 00</t>
  </si>
  <si>
    <t>320 00</t>
  </si>
  <si>
    <t>246 00</t>
  </si>
  <si>
    <t>255 00</t>
  </si>
  <si>
    <t>165 40</t>
  </si>
  <si>
    <t>147 00</t>
  </si>
  <si>
    <t>202 00</t>
  </si>
  <si>
    <t>263 00</t>
  </si>
  <si>
    <t>253 30</t>
  </si>
  <si>
    <t>097 00</t>
  </si>
  <si>
    <t>099 00</t>
  </si>
  <si>
    <t>101 00</t>
  </si>
  <si>
    <t>080 00</t>
  </si>
  <si>
    <t>114 00</t>
  </si>
  <si>
    <t>026 00</t>
  </si>
  <si>
    <t>003 00</t>
  </si>
  <si>
    <t>022 00</t>
  </si>
  <si>
    <t>330 00</t>
  </si>
  <si>
    <t>272 30</t>
  </si>
  <si>
    <t>327 00</t>
  </si>
  <si>
    <t>212 30</t>
  </si>
  <si>
    <t>353 00</t>
  </si>
  <si>
    <t>112 15</t>
  </si>
  <si>
    <t>322 00</t>
  </si>
  <si>
    <t>8 45</t>
  </si>
  <si>
    <t>5 30</t>
  </si>
  <si>
    <t>0 40</t>
  </si>
  <si>
    <t>20 30</t>
  </si>
  <si>
    <t>0 15</t>
  </si>
  <si>
    <t>22 00</t>
  </si>
  <si>
    <t>55 00</t>
  </si>
  <si>
    <t>50 00</t>
  </si>
  <si>
    <t>up &amp; down 2'</t>
  </si>
  <si>
    <t>(r=56.8)</t>
  </si>
  <si>
    <t>(u=61.6)</t>
  </si>
  <si>
    <t>(ah=60.6)</t>
  </si>
  <si>
    <t>sump=</t>
  </si>
  <si>
    <t>On Olivers boulder</t>
  </si>
  <si>
    <t>(sketch e-i)</t>
  </si>
  <si>
    <t>(sketch j-o)</t>
  </si>
  <si>
    <t>(sketch o-t)</t>
  </si>
  <si>
    <t>Sump 15' on at 280deg true WL 5 WR 4</t>
  </si>
  <si>
    <t>(sketch t-u) u-&gt; Howards Loop</t>
  </si>
  <si>
    <t>v in a cross rift 4' from Pearly Gate</t>
  </si>
  <si>
    <t>(sketch w-x)</t>
  </si>
  <si>
    <t>Bottom of drop. View into Damascus</t>
  </si>
  <si>
    <t>Above pool</t>
  </si>
  <si>
    <t>Bearing 238 true into Howards Loop</t>
  </si>
  <si>
    <t>(sketch ab-ac)</t>
  </si>
  <si>
    <t>15' aven explored by Oliver just before station</t>
  </si>
  <si>
    <t>(sketch ag) 6" above water. Sump level 60.1</t>
  </si>
  <si>
    <t>Near side of duck (in dry weather)</t>
  </si>
  <si>
    <t>Far side of duck (in dry weather)</t>
  </si>
  <si>
    <t>(sketch at-au) descends at 15 or 20 degrees. i.e. -9 feet vertical. Sump?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</si>
</sst>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0" fillId="0" borderId="0" xfId="0" applyFont="1"/>
    <xf numFmtId="0" fontId="0" fillId="0" borderId="0" xfId="0" applyFon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/>
    <xf numFmtId="2" fontId="4" fillId="0" borderId="0" xfId="0" applyNumberFormat="1" applyFont="1"/>
    <xf numFmtId="1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2"/>
  <sheetViews>
    <sheetView workbookViewId="0">
      <pane xSplit="2" ySplit="4" topLeftCell="G256" activePane="bottomRight" state="frozen"/>
      <selection pane="topRight" activeCell="C1" sqref="C1"/>
      <selection pane="bottomLeft" activeCell="A5" sqref="A5"/>
      <selection pane="bottomRight" activeCell="P283" sqref="P283"/>
    </sheetView>
  </sheetViews>
  <sheetFormatPr defaultRowHeight="15" x14ac:dyDescent="0.25"/>
  <cols>
    <col min="1" max="1" width="14.5703125" customWidth="1"/>
    <col min="2" max="2" width="11.42578125" bestFit="1" customWidth="1"/>
    <col min="3" max="6" width="9.140625" customWidth="1"/>
    <col min="11" max="11" width="13.85546875" bestFit="1" customWidth="1"/>
    <col min="12" max="12" width="1.85546875" customWidth="1"/>
  </cols>
  <sheetData>
    <row r="1" spans="1:16" x14ac:dyDescent="0.25">
      <c r="A1" s="1" t="s">
        <v>280</v>
      </c>
      <c r="B1" s="1" t="s">
        <v>281</v>
      </c>
      <c r="F1" s="1"/>
      <c r="G1" s="1"/>
      <c r="H1" s="1"/>
      <c r="I1" s="1"/>
      <c r="J1" s="1"/>
      <c r="K1" s="1"/>
    </row>
    <row r="2" spans="1:16" x14ac:dyDescent="0.25">
      <c r="A2" s="1" t="s">
        <v>0</v>
      </c>
      <c r="B2" s="1" t="s">
        <v>1</v>
      </c>
      <c r="C2" s="1" t="s">
        <v>2</v>
      </c>
      <c r="D2" s="1"/>
      <c r="G2" s="1"/>
      <c r="H2" s="1"/>
      <c r="I2" s="1"/>
      <c r="J2" s="1"/>
      <c r="K2" s="1"/>
      <c r="M2" t="s">
        <v>87</v>
      </c>
    </row>
    <row r="3" spans="1:16" x14ac:dyDescent="0.25">
      <c r="A3" s="1"/>
      <c r="B3" s="1"/>
      <c r="C3" s="1"/>
      <c r="D3" s="1"/>
      <c r="E3" s="13" t="s">
        <v>8</v>
      </c>
      <c r="F3" s="13"/>
      <c r="G3" s="1"/>
      <c r="H3" s="1"/>
      <c r="I3" s="1"/>
      <c r="J3" s="1"/>
      <c r="K3" s="1"/>
    </row>
    <row r="4" spans="1:16" x14ac:dyDescent="0.25">
      <c r="A4" s="1" t="s">
        <v>3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M4" s="1" t="s">
        <v>48</v>
      </c>
      <c r="N4" s="1" t="s">
        <v>49</v>
      </c>
      <c r="O4" s="1" t="s">
        <v>50</v>
      </c>
      <c r="P4" s="1" t="s">
        <v>51</v>
      </c>
    </row>
    <row r="5" spans="1:16" x14ac:dyDescent="0.25">
      <c r="A5" s="1" t="s">
        <v>14</v>
      </c>
      <c r="B5" s="5" t="s">
        <v>15</v>
      </c>
      <c r="C5" s="6">
        <v>20</v>
      </c>
      <c r="D5" s="6" t="s">
        <v>16</v>
      </c>
      <c r="E5" s="6">
        <v>4</v>
      </c>
      <c r="F5" s="6" t="s">
        <v>17</v>
      </c>
      <c r="G5" s="6" t="s">
        <v>16</v>
      </c>
      <c r="H5" s="6">
        <v>103</v>
      </c>
      <c r="I5" s="6">
        <v>283</v>
      </c>
      <c r="J5" s="6">
        <v>21</v>
      </c>
      <c r="K5" s="6" t="s">
        <v>63</v>
      </c>
      <c r="M5" s="6">
        <v>20.8</v>
      </c>
      <c r="N5" s="6">
        <v>3.1</v>
      </c>
      <c r="P5" t="s">
        <v>65</v>
      </c>
    </row>
    <row r="6" spans="1:16" x14ac:dyDescent="0.25">
      <c r="A6" s="1" t="s">
        <v>15</v>
      </c>
      <c r="B6" s="5" t="s">
        <v>18</v>
      </c>
      <c r="C6" s="6">
        <v>6</v>
      </c>
      <c r="D6" s="6">
        <v>3.5</v>
      </c>
      <c r="E6" s="6">
        <v>3</v>
      </c>
      <c r="F6" s="6">
        <v>6</v>
      </c>
      <c r="G6" s="6" t="s">
        <v>19</v>
      </c>
      <c r="H6" s="6" t="s">
        <v>16</v>
      </c>
      <c r="I6" s="6" t="s">
        <v>19</v>
      </c>
      <c r="J6" s="6">
        <v>27</v>
      </c>
      <c r="K6" s="6" t="str">
        <f>"-9 30"</f>
        <v>-9 30</v>
      </c>
      <c r="M6">
        <v>26.7</v>
      </c>
      <c r="N6" s="6">
        <v>-4.5</v>
      </c>
      <c r="O6" s="6">
        <v>3.1</v>
      </c>
      <c r="P6" t="s">
        <v>66</v>
      </c>
    </row>
    <row r="7" spans="1:16" x14ac:dyDescent="0.25">
      <c r="A7" s="1" t="s">
        <v>18</v>
      </c>
      <c r="B7" s="5" t="s">
        <v>23</v>
      </c>
      <c r="C7" s="6">
        <v>7</v>
      </c>
      <c r="D7" s="6" t="s">
        <v>16</v>
      </c>
      <c r="E7" s="6">
        <v>4</v>
      </c>
      <c r="F7" s="6">
        <v>2</v>
      </c>
      <c r="G7" s="6" t="s">
        <v>16</v>
      </c>
      <c r="H7" s="6">
        <v>83</v>
      </c>
      <c r="I7" s="6">
        <v>263</v>
      </c>
      <c r="J7" s="6">
        <v>37</v>
      </c>
      <c r="K7" s="6" t="s">
        <v>43</v>
      </c>
      <c r="M7" s="6">
        <v>37</v>
      </c>
      <c r="N7" s="6">
        <v>1.5</v>
      </c>
      <c r="O7" s="6">
        <v>-1.4</v>
      </c>
      <c r="P7" t="s">
        <v>67</v>
      </c>
    </row>
    <row r="8" spans="1:16" x14ac:dyDescent="0.25">
      <c r="A8" s="1" t="s">
        <v>23</v>
      </c>
      <c r="B8" s="5" t="s">
        <v>24</v>
      </c>
      <c r="C8" s="6">
        <v>25</v>
      </c>
      <c r="D8" s="6">
        <v>2</v>
      </c>
      <c r="E8" s="6" t="s">
        <v>16</v>
      </c>
      <c r="F8" s="6">
        <v>10</v>
      </c>
      <c r="G8" s="6" t="s">
        <v>42</v>
      </c>
      <c r="H8" s="6" t="s">
        <v>16</v>
      </c>
      <c r="I8" s="6" t="s">
        <v>42</v>
      </c>
      <c r="J8" s="6">
        <v>16.2</v>
      </c>
      <c r="K8" s="6" t="s">
        <v>80</v>
      </c>
      <c r="M8">
        <v>16.100000000000001</v>
      </c>
      <c r="N8" s="6">
        <v>1.3</v>
      </c>
      <c r="O8" s="6">
        <v>0.1</v>
      </c>
      <c r="P8" t="s">
        <v>68</v>
      </c>
    </row>
    <row r="9" spans="1:16" x14ac:dyDescent="0.25">
      <c r="A9" s="1" t="s">
        <v>24</v>
      </c>
      <c r="B9" s="5" t="s">
        <v>25</v>
      </c>
      <c r="C9" s="6">
        <v>25</v>
      </c>
      <c r="D9" s="6">
        <v>4.5</v>
      </c>
      <c r="E9" s="6">
        <v>6</v>
      </c>
      <c r="F9" s="6" t="s">
        <v>16</v>
      </c>
      <c r="G9" s="6" t="s">
        <v>16</v>
      </c>
      <c r="H9" s="6">
        <v>78</v>
      </c>
      <c r="I9" s="6">
        <v>258</v>
      </c>
      <c r="J9" s="6">
        <v>47</v>
      </c>
      <c r="K9" s="6" t="str">
        <f>"-5 30"</f>
        <v>-5 30</v>
      </c>
      <c r="M9" s="6">
        <v>46.8</v>
      </c>
      <c r="N9" s="6">
        <v>-4.5</v>
      </c>
      <c r="O9" s="6">
        <v>1.4</v>
      </c>
    </row>
    <row r="10" spans="1:16" x14ac:dyDescent="0.25">
      <c r="A10" s="1" t="s">
        <v>25</v>
      </c>
      <c r="B10" s="5" t="s">
        <v>26</v>
      </c>
      <c r="C10" s="6">
        <v>4</v>
      </c>
      <c r="D10" s="6">
        <v>2</v>
      </c>
      <c r="E10" s="6">
        <v>0.5</v>
      </c>
      <c r="F10" s="6" t="s">
        <v>41</v>
      </c>
      <c r="G10" s="6">
        <v>292</v>
      </c>
      <c r="H10" s="6" t="s">
        <v>16</v>
      </c>
      <c r="I10" s="6">
        <v>292</v>
      </c>
      <c r="J10" s="6">
        <v>48</v>
      </c>
      <c r="K10" s="6" t="s">
        <v>52</v>
      </c>
      <c r="M10">
        <v>48</v>
      </c>
      <c r="N10" s="6">
        <v>-2.5</v>
      </c>
      <c r="O10" s="6">
        <v>-3.1</v>
      </c>
      <c r="P10" t="s">
        <v>69</v>
      </c>
    </row>
    <row r="11" spans="1:16" x14ac:dyDescent="0.25">
      <c r="A11" s="1" t="s">
        <v>26</v>
      </c>
      <c r="B11" s="5" t="s">
        <v>27</v>
      </c>
      <c r="C11" s="6">
        <v>2.5</v>
      </c>
      <c r="D11" s="6">
        <v>0.5</v>
      </c>
      <c r="E11" s="6">
        <v>3.5</v>
      </c>
      <c r="F11" s="6">
        <v>7</v>
      </c>
      <c r="G11" s="6" t="s">
        <v>16</v>
      </c>
      <c r="H11" s="6">
        <v>159</v>
      </c>
      <c r="I11" s="6">
        <v>339</v>
      </c>
      <c r="J11" s="6">
        <v>36</v>
      </c>
      <c r="K11" s="6" t="s">
        <v>44</v>
      </c>
      <c r="M11" s="6">
        <v>36</v>
      </c>
      <c r="N11">
        <v>0</v>
      </c>
      <c r="O11" s="6">
        <v>-5.6</v>
      </c>
    </row>
    <row r="12" spans="1:16" x14ac:dyDescent="0.25">
      <c r="A12" s="1" t="s">
        <v>27</v>
      </c>
      <c r="B12" s="5" t="s">
        <v>28</v>
      </c>
      <c r="C12" s="6">
        <v>15</v>
      </c>
      <c r="D12" s="6">
        <v>1</v>
      </c>
      <c r="E12" s="6">
        <v>10</v>
      </c>
      <c r="F12" s="6">
        <v>3</v>
      </c>
      <c r="G12" s="6">
        <v>247</v>
      </c>
      <c r="H12" s="6" t="s">
        <v>16</v>
      </c>
      <c r="I12" s="6">
        <v>247</v>
      </c>
      <c r="J12" s="6">
        <v>31</v>
      </c>
      <c r="K12" s="6" t="str">
        <f>"-2 30"</f>
        <v>-2 30</v>
      </c>
      <c r="M12" s="6">
        <v>31</v>
      </c>
      <c r="N12" s="6">
        <v>-1.3</v>
      </c>
      <c r="O12" s="6">
        <v>-5.6</v>
      </c>
    </row>
    <row r="13" spans="1:16" x14ac:dyDescent="0.25">
      <c r="A13" s="1" t="s">
        <v>28</v>
      </c>
      <c r="B13" s="5" t="s">
        <v>29</v>
      </c>
      <c r="C13" s="6">
        <v>15</v>
      </c>
      <c r="D13" s="6">
        <v>1</v>
      </c>
      <c r="E13" s="6">
        <v>8</v>
      </c>
      <c r="F13" s="6">
        <v>2</v>
      </c>
      <c r="G13" s="6" t="s">
        <v>16</v>
      </c>
      <c r="H13" s="6">
        <v>95</v>
      </c>
      <c r="I13" s="6">
        <v>275</v>
      </c>
      <c r="J13" s="6">
        <v>26</v>
      </c>
      <c r="K13" s="6">
        <v>2</v>
      </c>
      <c r="M13" s="6">
        <v>26</v>
      </c>
      <c r="N13" s="6">
        <v>0.9</v>
      </c>
      <c r="O13" s="6">
        <v>-6.9</v>
      </c>
    </row>
    <row r="14" spans="1:16" x14ac:dyDescent="0.25">
      <c r="A14" s="1" t="s">
        <v>29</v>
      </c>
      <c r="B14" s="5" t="s">
        <v>30</v>
      </c>
      <c r="C14" s="6">
        <v>8</v>
      </c>
      <c r="D14" s="6">
        <v>3</v>
      </c>
      <c r="E14" s="6">
        <v>1</v>
      </c>
      <c r="F14" s="6">
        <v>2</v>
      </c>
      <c r="G14" s="6">
        <v>320</v>
      </c>
      <c r="H14" s="6" t="s">
        <v>16</v>
      </c>
      <c r="I14" s="6">
        <v>320</v>
      </c>
      <c r="J14" s="6">
        <v>26.5</v>
      </c>
      <c r="K14" s="6">
        <v>1</v>
      </c>
      <c r="M14" s="6">
        <v>26.5</v>
      </c>
      <c r="N14" s="6">
        <v>0.5</v>
      </c>
      <c r="O14" s="6">
        <v>-6</v>
      </c>
      <c r="P14" t="s">
        <v>70</v>
      </c>
    </row>
    <row r="15" spans="1:16" x14ac:dyDescent="0.25">
      <c r="A15" s="1" t="s">
        <v>30</v>
      </c>
      <c r="B15" s="5" t="s">
        <v>31</v>
      </c>
      <c r="C15" s="6">
        <v>25</v>
      </c>
      <c r="D15" s="6">
        <v>4.5</v>
      </c>
      <c r="E15" s="6" t="s">
        <v>16</v>
      </c>
      <c r="F15" s="6">
        <v>4</v>
      </c>
      <c r="G15" s="6" t="s">
        <v>16</v>
      </c>
      <c r="H15" s="6">
        <v>193</v>
      </c>
      <c r="I15" s="6">
        <v>13</v>
      </c>
      <c r="J15" s="6">
        <v>17.5</v>
      </c>
      <c r="K15" s="6">
        <v>-9</v>
      </c>
      <c r="M15" s="6">
        <v>17.3</v>
      </c>
      <c r="N15" s="6">
        <v>-2.7</v>
      </c>
      <c r="O15" s="6">
        <v>-5.5</v>
      </c>
      <c r="P15" t="s">
        <v>70</v>
      </c>
    </row>
    <row r="16" spans="1:16" x14ac:dyDescent="0.25">
      <c r="A16" s="1" t="s">
        <v>31</v>
      </c>
      <c r="B16" s="5" t="s">
        <v>32</v>
      </c>
      <c r="C16" s="6">
        <v>20</v>
      </c>
      <c r="D16" s="6">
        <v>3</v>
      </c>
      <c r="E16" s="6">
        <v>2</v>
      </c>
      <c r="F16" s="6">
        <v>2</v>
      </c>
      <c r="G16" s="6">
        <v>299</v>
      </c>
      <c r="H16" s="6" t="s">
        <v>16</v>
      </c>
      <c r="I16" s="6">
        <v>299</v>
      </c>
      <c r="J16" s="6">
        <v>33</v>
      </c>
      <c r="K16" s="6">
        <v>-3</v>
      </c>
      <c r="M16" s="6">
        <v>33</v>
      </c>
      <c r="N16" s="6">
        <v>-1.7</v>
      </c>
      <c r="O16" s="6">
        <v>-8.1999999999999993</v>
      </c>
      <c r="P16" t="s">
        <v>71</v>
      </c>
    </row>
    <row r="17" spans="1:16" x14ac:dyDescent="0.25">
      <c r="A17" s="1" t="s">
        <v>32</v>
      </c>
      <c r="B17" s="5" t="s">
        <v>33</v>
      </c>
      <c r="C17" s="6">
        <v>15</v>
      </c>
      <c r="D17" s="6">
        <v>7</v>
      </c>
      <c r="E17" s="6">
        <v>4</v>
      </c>
      <c r="F17" s="6" t="s">
        <v>16</v>
      </c>
      <c r="G17" s="6" t="s">
        <v>16</v>
      </c>
      <c r="H17" s="6">
        <v>142</v>
      </c>
      <c r="I17" s="6">
        <v>322</v>
      </c>
      <c r="J17" s="6">
        <v>43</v>
      </c>
      <c r="K17" s="6">
        <v>-7.3</v>
      </c>
      <c r="M17" s="6">
        <v>42.7</v>
      </c>
      <c r="N17" s="6">
        <v>-5.6</v>
      </c>
      <c r="O17" s="6">
        <v>-9.9</v>
      </c>
      <c r="P17" t="s">
        <v>70</v>
      </c>
    </row>
    <row r="18" spans="1:16" x14ac:dyDescent="0.25">
      <c r="A18" s="1" t="s">
        <v>33</v>
      </c>
      <c r="B18" s="5" t="s">
        <v>34</v>
      </c>
      <c r="C18" s="6">
        <v>25</v>
      </c>
      <c r="D18" s="6">
        <v>3</v>
      </c>
      <c r="E18" s="6">
        <v>2</v>
      </c>
      <c r="F18" s="6">
        <v>1</v>
      </c>
      <c r="G18" s="6">
        <v>281</v>
      </c>
      <c r="H18" s="6" t="s">
        <v>16</v>
      </c>
      <c r="I18" s="6">
        <v>281</v>
      </c>
      <c r="J18" s="6">
        <v>15.5</v>
      </c>
      <c r="K18" s="6">
        <v>-2</v>
      </c>
      <c r="M18" s="6">
        <v>15.5</v>
      </c>
      <c r="N18" s="6">
        <v>-0.5</v>
      </c>
      <c r="O18" s="6">
        <v>-15.5</v>
      </c>
      <c r="P18" t="s">
        <v>70</v>
      </c>
    </row>
    <row r="19" spans="1:16" x14ac:dyDescent="0.25">
      <c r="A19" s="1" t="s">
        <v>34</v>
      </c>
      <c r="B19" s="5" t="s">
        <v>35</v>
      </c>
      <c r="C19" s="6">
        <v>40</v>
      </c>
      <c r="D19" s="6">
        <v>4.5</v>
      </c>
      <c r="E19" s="6">
        <v>2</v>
      </c>
      <c r="F19" s="6">
        <v>2</v>
      </c>
      <c r="G19" s="6" t="s">
        <v>16</v>
      </c>
      <c r="H19" s="6">
        <v>127</v>
      </c>
      <c r="I19" s="6">
        <v>307</v>
      </c>
      <c r="J19" s="6">
        <v>56</v>
      </c>
      <c r="K19" s="6">
        <v>-5</v>
      </c>
      <c r="M19" s="6">
        <v>55.8</v>
      </c>
      <c r="N19" s="6">
        <v>-4.9000000000000004</v>
      </c>
      <c r="O19" s="6">
        <v>-16</v>
      </c>
      <c r="P19" t="s">
        <v>72</v>
      </c>
    </row>
    <row r="20" spans="1:16" x14ac:dyDescent="0.25">
      <c r="A20" s="1" t="s">
        <v>35</v>
      </c>
      <c r="B20" s="5" t="s">
        <v>36</v>
      </c>
      <c r="C20" s="6">
        <v>40</v>
      </c>
      <c r="D20" s="6">
        <v>3</v>
      </c>
      <c r="E20" s="6">
        <v>2</v>
      </c>
      <c r="F20" s="6">
        <v>3</v>
      </c>
      <c r="G20" s="6">
        <v>283</v>
      </c>
      <c r="H20" s="6" t="s">
        <v>16</v>
      </c>
      <c r="I20" s="6">
        <v>283</v>
      </c>
      <c r="J20" s="6">
        <v>15.8</v>
      </c>
      <c r="K20" s="6" t="str">
        <f>"-0 15"</f>
        <v>-0 15</v>
      </c>
      <c r="M20" s="6">
        <v>15.8</v>
      </c>
      <c r="N20" s="6">
        <v>-0.1</v>
      </c>
      <c r="O20" s="6">
        <v>-20.9</v>
      </c>
    </row>
    <row r="21" spans="1:16" x14ac:dyDescent="0.25">
      <c r="A21" s="1" t="s">
        <v>36</v>
      </c>
      <c r="B21" s="5" t="s">
        <v>37</v>
      </c>
      <c r="C21" s="6">
        <v>40</v>
      </c>
      <c r="D21" s="6">
        <v>4</v>
      </c>
      <c r="E21" s="6">
        <v>4</v>
      </c>
      <c r="F21" s="6" t="s">
        <v>16</v>
      </c>
      <c r="G21" s="6" t="s">
        <v>16</v>
      </c>
      <c r="H21" s="6">
        <v>37</v>
      </c>
      <c r="I21" s="6">
        <v>217</v>
      </c>
      <c r="J21" s="6">
        <v>15.3</v>
      </c>
      <c r="K21" s="6" t="s">
        <v>45</v>
      </c>
      <c r="M21" s="6">
        <v>15.3</v>
      </c>
      <c r="N21" s="6">
        <v>-4</v>
      </c>
      <c r="O21" s="6">
        <v>-21</v>
      </c>
      <c r="P21" t="s">
        <v>73</v>
      </c>
    </row>
    <row r="22" spans="1:16" x14ac:dyDescent="0.25">
      <c r="A22" s="1" t="s">
        <v>37</v>
      </c>
      <c r="B22" s="5" t="s">
        <v>40</v>
      </c>
      <c r="C22" s="6">
        <v>40</v>
      </c>
      <c r="D22" s="6" t="s">
        <v>16</v>
      </c>
      <c r="E22" s="6" t="s">
        <v>16</v>
      </c>
      <c r="F22" s="6">
        <v>4</v>
      </c>
      <c r="G22" s="6">
        <v>310</v>
      </c>
      <c r="H22" s="6" t="s">
        <v>16</v>
      </c>
      <c r="I22" s="6">
        <v>310</v>
      </c>
      <c r="J22" s="6">
        <v>39.5</v>
      </c>
      <c r="K22" s="6" t="s">
        <v>46</v>
      </c>
      <c r="M22" s="6">
        <v>39.5</v>
      </c>
      <c r="N22" s="6">
        <v>4</v>
      </c>
      <c r="O22" s="6">
        <v>-25</v>
      </c>
      <c r="P22" t="s">
        <v>74</v>
      </c>
    </row>
    <row r="23" spans="1:16" x14ac:dyDescent="0.25">
      <c r="A23" s="1" t="s">
        <v>40</v>
      </c>
      <c r="B23" s="5" t="s">
        <v>38</v>
      </c>
      <c r="C23" s="6">
        <v>12</v>
      </c>
      <c r="D23" s="6">
        <v>4.5</v>
      </c>
      <c r="E23" s="6">
        <v>8</v>
      </c>
      <c r="F23" s="6" t="s">
        <v>16</v>
      </c>
      <c r="G23" s="6" t="s">
        <v>16</v>
      </c>
      <c r="H23" s="6">
        <v>58</v>
      </c>
      <c r="I23" s="6">
        <v>238</v>
      </c>
      <c r="J23" s="6">
        <v>39.6</v>
      </c>
      <c r="K23" s="6" t="str">
        <f>"-2 30"</f>
        <v>-2 30</v>
      </c>
      <c r="M23" s="6">
        <v>39.6</v>
      </c>
      <c r="N23" s="6">
        <v>-1.9</v>
      </c>
      <c r="O23" s="6">
        <v>-21</v>
      </c>
      <c r="P23" t="s">
        <v>75</v>
      </c>
    </row>
    <row r="24" spans="1:16" x14ac:dyDescent="0.25">
      <c r="A24" s="1" t="s">
        <v>38</v>
      </c>
      <c r="B24" s="5" t="s">
        <v>39</v>
      </c>
      <c r="C24" s="6">
        <v>2</v>
      </c>
      <c r="D24" s="6">
        <v>2.5</v>
      </c>
      <c r="E24" s="6">
        <v>15</v>
      </c>
      <c r="F24" s="6">
        <v>6</v>
      </c>
      <c r="G24" s="6">
        <v>148</v>
      </c>
      <c r="H24" s="6" t="s">
        <v>16</v>
      </c>
      <c r="I24" s="6">
        <v>148</v>
      </c>
      <c r="J24" s="6">
        <v>49</v>
      </c>
      <c r="K24" s="6" t="s">
        <v>47</v>
      </c>
      <c r="M24" s="6">
        <v>49</v>
      </c>
      <c r="N24" s="6">
        <v>-1.7</v>
      </c>
      <c r="O24" s="6">
        <v>-22.9</v>
      </c>
    </row>
    <row r="25" spans="1:16" x14ac:dyDescent="0.25">
      <c r="A25" s="1" t="s">
        <v>39</v>
      </c>
      <c r="B25" s="5"/>
      <c r="C25" s="6">
        <v>1.5</v>
      </c>
      <c r="D25" s="6">
        <v>1.5</v>
      </c>
      <c r="E25" s="6"/>
      <c r="F25" s="6"/>
      <c r="G25" s="6"/>
      <c r="H25" s="6"/>
      <c r="I25" s="6"/>
      <c r="J25" s="6"/>
      <c r="K25" s="6"/>
      <c r="O25" s="6">
        <v>-24.6</v>
      </c>
      <c r="P25" t="s">
        <v>76</v>
      </c>
    </row>
    <row r="26" spans="1:16" x14ac:dyDescent="0.25">
      <c r="A26" s="1" t="s">
        <v>81</v>
      </c>
      <c r="B26" s="5" t="s">
        <v>82</v>
      </c>
      <c r="C26" s="7" t="s">
        <v>16</v>
      </c>
      <c r="D26" s="7">
        <v>1</v>
      </c>
      <c r="E26" s="7">
        <v>1</v>
      </c>
      <c r="F26" s="7">
        <v>0.5</v>
      </c>
      <c r="G26" s="7" t="s">
        <v>16</v>
      </c>
      <c r="H26" s="7">
        <v>326</v>
      </c>
      <c r="I26" s="7">
        <v>146</v>
      </c>
      <c r="J26" s="7">
        <v>30.4</v>
      </c>
      <c r="K26" s="7" t="s">
        <v>44</v>
      </c>
      <c r="M26" s="6">
        <v>30.4</v>
      </c>
      <c r="N26" t="s">
        <v>16</v>
      </c>
      <c r="P26" t="s">
        <v>85</v>
      </c>
    </row>
    <row r="27" spans="1:16" x14ac:dyDescent="0.25">
      <c r="A27" s="1" t="s">
        <v>82</v>
      </c>
      <c r="B27" s="5" t="s">
        <v>83</v>
      </c>
      <c r="C27" s="7">
        <v>4</v>
      </c>
      <c r="D27" s="7">
        <v>1</v>
      </c>
      <c r="E27" s="7">
        <v>10</v>
      </c>
      <c r="F27" s="7">
        <v>2</v>
      </c>
      <c r="G27" s="7">
        <v>248</v>
      </c>
      <c r="H27" t="s">
        <v>16</v>
      </c>
      <c r="I27" s="7">
        <v>248</v>
      </c>
      <c r="J27" s="7">
        <v>37.5</v>
      </c>
      <c r="K27">
        <v>-6</v>
      </c>
      <c r="M27" s="6">
        <v>37.299999999999997</v>
      </c>
      <c r="N27" s="6">
        <v>-3.9</v>
      </c>
      <c r="O27" s="6">
        <v>11</v>
      </c>
      <c r="P27" t="s">
        <v>86</v>
      </c>
    </row>
    <row r="28" spans="1:16" x14ac:dyDescent="0.25">
      <c r="A28" s="1" t="s">
        <v>285</v>
      </c>
      <c r="B28" s="1" t="s">
        <v>284</v>
      </c>
    </row>
    <row r="29" spans="1:16" x14ac:dyDescent="0.25">
      <c r="A29" s="1" t="s">
        <v>88</v>
      </c>
      <c r="B29" s="1" t="s">
        <v>282</v>
      </c>
      <c r="M29" s="1" t="s">
        <v>283</v>
      </c>
      <c r="O29" t="s">
        <v>87</v>
      </c>
    </row>
    <row r="30" spans="1:16" x14ac:dyDescent="0.25">
      <c r="A30" s="1" t="s">
        <v>83</v>
      </c>
      <c r="B30" s="5" t="s">
        <v>84</v>
      </c>
      <c r="C30">
        <v>5</v>
      </c>
      <c r="D30" s="7">
        <v>6</v>
      </c>
      <c r="E30">
        <v>15</v>
      </c>
      <c r="F30">
        <v>4</v>
      </c>
      <c r="G30" t="s">
        <v>16</v>
      </c>
      <c r="H30">
        <v>85</v>
      </c>
      <c r="I30">
        <v>265</v>
      </c>
      <c r="J30">
        <v>11.8</v>
      </c>
      <c r="K30">
        <v>-24</v>
      </c>
      <c r="M30">
        <v>10.8</v>
      </c>
      <c r="N30">
        <v>-4.8</v>
      </c>
      <c r="O30">
        <v>7.1</v>
      </c>
      <c r="P30" t="s">
        <v>113</v>
      </c>
    </row>
    <row r="31" spans="1:16" x14ac:dyDescent="0.25">
      <c r="A31" s="1" t="s">
        <v>84</v>
      </c>
      <c r="B31" s="5" t="s">
        <v>14</v>
      </c>
      <c r="C31">
        <v>2</v>
      </c>
      <c r="D31" s="7">
        <v>2.2999999999999998</v>
      </c>
      <c r="E31">
        <v>10</v>
      </c>
      <c r="F31">
        <v>4</v>
      </c>
      <c r="G31">
        <v>251</v>
      </c>
      <c r="H31" t="s">
        <v>16</v>
      </c>
      <c r="I31">
        <v>251</v>
      </c>
      <c r="J31">
        <v>36.799999999999997</v>
      </c>
      <c r="K31" t="s">
        <v>108</v>
      </c>
      <c r="M31">
        <v>36.6</v>
      </c>
      <c r="N31">
        <v>-2.2999999999999998</v>
      </c>
      <c r="O31">
        <v>2.2999999999999998</v>
      </c>
      <c r="P31" t="s">
        <v>114</v>
      </c>
    </row>
    <row r="32" spans="1:16" x14ac:dyDescent="0.25">
      <c r="A32" s="1" t="s">
        <v>39</v>
      </c>
      <c r="B32" s="5" t="s">
        <v>89</v>
      </c>
      <c r="C32">
        <v>1.5</v>
      </c>
      <c r="D32" s="7">
        <v>1.5</v>
      </c>
      <c r="E32">
        <v>2.5</v>
      </c>
      <c r="F32">
        <v>15</v>
      </c>
      <c r="G32" t="s">
        <v>16</v>
      </c>
      <c r="H32" t="s">
        <v>106</v>
      </c>
      <c r="I32" t="s">
        <v>107</v>
      </c>
      <c r="J32">
        <v>29</v>
      </c>
      <c r="K32" t="s">
        <v>108</v>
      </c>
      <c r="M32">
        <v>29</v>
      </c>
      <c r="N32" t="s">
        <v>16</v>
      </c>
      <c r="O32">
        <v>-24.6</v>
      </c>
      <c r="P32" t="s">
        <v>115</v>
      </c>
    </row>
    <row r="33" spans="1:16" x14ac:dyDescent="0.25">
      <c r="A33" s="1" t="s">
        <v>89</v>
      </c>
      <c r="B33" s="5" t="s">
        <v>90</v>
      </c>
      <c r="C33">
        <v>15</v>
      </c>
      <c r="D33" t="s">
        <v>16</v>
      </c>
      <c r="E33">
        <v>2</v>
      </c>
      <c r="F33">
        <v>4</v>
      </c>
      <c r="G33" t="s">
        <v>104</v>
      </c>
      <c r="H33" t="s">
        <v>16</v>
      </c>
      <c r="I33" t="s">
        <v>104</v>
      </c>
      <c r="J33">
        <v>33.799999999999997</v>
      </c>
      <c r="K33" t="s">
        <v>108</v>
      </c>
      <c r="M33">
        <v>33.799999999999997</v>
      </c>
      <c r="N33" t="s">
        <v>16</v>
      </c>
      <c r="O33">
        <v>-26.1</v>
      </c>
      <c r="P33" t="s">
        <v>116</v>
      </c>
    </row>
    <row r="34" spans="1:16" x14ac:dyDescent="0.25">
      <c r="A34" s="1" t="s">
        <v>90</v>
      </c>
      <c r="B34" s="5" t="s">
        <v>91</v>
      </c>
      <c r="C34">
        <v>4</v>
      </c>
      <c r="D34" t="s">
        <v>16</v>
      </c>
      <c r="E34">
        <v>0.5</v>
      </c>
      <c r="F34">
        <v>8</v>
      </c>
      <c r="G34" t="s">
        <v>105</v>
      </c>
      <c r="H34" t="s">
        <v>16</v>
      </c>
      <c r="I34" t="s">
        <v>105</v>
      </c>
      <c r="J34">
        <v>47</v>
      </c>
      <c r="K34" t="s">
        <v>108</v>
      </c>
      <c r="M34">
        <v>47</v>
      </c>
      <c r="N34" t="s">
        <v>16</v>
      </c>
      <c r="O34">
        <v>-26.1</v>
      </c>
      <c r="P34" t="s">
        <v>117</v>
      </c>
    </row>
    <row r="35" spans="1:16" x14ac:dyDescent="0.25">
      <c r="A35" s="1" t="s">
        <v>91</v>
      </c>
      <c r="B35" s="5" t="s">
        <v>92</v>
      </c>
      <c r="C35">
        <v>12</v>
      </c>
      <c r="D35" t="s">
        <v>16</v>
      </c>
      <c r="E35">
        <v>2</v>
      </c>
      <c r="F35">
        <v>10</v>
      </c>
      <c r="G35" t="s">
        <v>16</v>
      </c>
      <c r="H35">
        <v>354</v>
      </c>
      <c r="I35">
        <v>174</v>
      </c>
      <c r="J35">
        <v>83.5</v>
      </c>
      <c r="K35" t="s">
        <v>109</v>
      </c>
      <c r="M35">
        <v>83.5</v>
      </c>
      <c r="N35">
        <v>-0.7</v>
      </c>
      <c r="O35">
        <v>-26.1</v>
      </c>
      <c r="P35" t="s">
        <v>118</v>
      </c>
    </row>
    <row r="36" spans="1:16" x14ac:dyDescent="0.25">
      <c r="A36" s="1" t="s">
        <v>92</v>
      </c>
      <c r="C36" t="s">
        <v>102</v>
      </c>
      <c r="D36" t="s">
        <v>16</v>
      </c>
      <c r="E36">
        <v>4</v>
      </c>
      <c r="F36">
        <v>2</v>
      </c>
      <c r="O36">
        <v>-26.8</v>
      </c>
      <c r="P36" t="s">
        <v>119</v>
      </c>
    </row>
    <row r="37" spans="1:16" x14ac:dyDescent="0.25">
      <c r="A37" s="1" t="s">
        <v>38</v>
      </c>
      <c r="B37" t="s">
        <v>251</v>
      </c>
      <c r="C37" t="str">
        <f>"/"</f>
        <v>/</v>
      </c>
      <c r="D37" t="str">
        <f>"/"</f>
        <v>/</v>
      </c>
      <c r="E37" t="str">
        <f>"/"</f>
        <v>/</v>
      </c>
      <c r="F37" t="str">
        <f>"/"</f>
        <v>/</v>
      </c>
      <c r="G37">
        <v>19</v>
      </c>
      <c r="H37" t="s">
        <v>16</v>
      </c>
      <c r="I37">
        <v>19</v>
      </c>
      <c r="J37">
        <v>22.1</v>
      </c>
      <c r="K37">
        <v>20</v>
      </c>
      <c r="M37">
        <v>20.8</v>
      </c>
      <c r="N37">
        <v>7.6</v>
      </c>
      <c r="O37">
        <v>-22.9</v>
      </c>
    </row>
    <row r="38" spans="1:16" x14ac:dyDescent="0.25">
      <c r="A38" s="1" t="s">
        <v>251</v>
      </c>
      <c r="B38" t="s">
        <v>252</v>
      </c>
      <c r="C38">
        <v>1</v>
      </c>
      <c r="D38">
        <v>0.5</v>
      </c>
      <c r="E38">
        <v>8</v>
      </c>
      <c r="F38">
        <v>8</v>
      </c>
      <c r="G38">
        <v>315</v>
      </c>
      <c r="H38" t="s">
        <v>16</v>
      </c>
      <c r="I38">
        <v>315</v>
      </c>
      <c r="J38">
        <v>46</v>
      </c>
      <c r="K38">
        <v>-3</v>
      </c>
      <c r="M38">
        <v>45.9</v>
      </c>
      <c r="N38">
        <v>-2.4</v>
      </c>
      <c r="O38">
        <v>-15.5</v>
      </c>
      <c r="P38" t="s">
        <v>120</v>
      </c>
    </row>
    <row r="39" spans="1:16" x14ac:dyDescent="0.25">
      <c r="A39" s="1" t="s">
        <v>252</v>
      </c>
      <c r="B39" t="s">
        <v>253</v>
      </c>
      <c r="C39">
        <v>1</v>
      </c>
      <c r="D39">
        <v>2</v>
      </c>
      <c r="E39">
        <v>4</v>
      </c>
      <c r="F39">
        <v>4</v>
      </c>
      <c r="G39">
        <v>348</v>
      </c>
      <c r="H39" t="s">
        <v>16</v>
      </c>
      <c r="I39">
        <v>348</v>
      </c>
      <c r="J39">
        <v>32</v>
      </c>
      <c r="K39">
        <v>2</v>
      </c>
      <c r="M39">
        <v>32</v>
      </c>
      <c r="N39">
        <v>1.1000000000000001</v>
      </c>
      <c r="O39">
        <v>-17.7</v>
      </c>
      <c r="P39" t="s">
        <v>121</v>
      </c>
    </row>
    <row r="40" spans="1:16" x14ac:dyDescent="0.25">
      <c r="A40" s="1" t="s">
        <v>253</v>
      </c>
      <c r="B40" t="s">
        <v>254</v>
      </c>
      <c r="C40">
        <v>2</v>
      </c>
      <c r="D40">
        <v>1.5</v>
      </c>
      <c r="E40">
        <v>5</v>
      </c>
      <c r="F40">
        <v>2</v>
      </c>
      <c r="G40">
        <v>284</v>
      </c>
      <c r="H40" t="s">
        <v>16</v>
      </c>
      <c r="I40">
        <v>284</v>
      </c>
      <c r="J40">
        <v>27.3</v>
      </c>
      <c r="K40" t="s">
        <v>110</v>
      </c>
      <c r="M40">
        <v>27.3</v>
      </c>
      <c r="N40">
        <v>-4</v>
      </c>
      <c r="O40">
        <v>-16.600000000000001</v>
      </c>
      <c r="P40" t="s">
        <v>122</v>
      </c>
    </row>
    <row r="41" spans="1:16" x14ac:dyDescent="0.25">
      <c r="A41" s="1" t="s">
        <v>94</v>
      </c>
      <c r="B41" t="s">
        <v>95</v>
      </c>
      <c r="C41" t="str">
        <f t="shared" ref="C41:D47" si="0">"/"</f>
        <v>/</v>
      </c>
      <c r="D41">
        <v>1</v>
      </c>
      <c r="E41">
        <v>3</v>
      </c>
      <c r="F41" t="str">
        <f>"/"</f>
        <v>/</v>
      </c>
      <c r="G41">
        <v>83</v>
      </c>
      <c r="H41" t="s">
        <v>16</v>
      </c>
      <c r="I41">
        <v>83</v>
      </c>
      <c r="J41">
        <v>43</v>
      </c>
      <c r="K41">
        <v>15</v>
      </c>
      <c r="M41">
        <v>41.5</v>
      </c>
      <c r="N41">
        <v>11.1</v>
      </c>
      <c r="O41">
        <v>-4.5999999999999996</v>
      </c>
      <c r="P41" t="s">
        <v>123</v>
      </c>
    </row>
    <row r="42" spans="1:16" x14ac:dyDescent="0.25">
      <c r="A42" s="1" t="s">
        <v>95</v>
      </c>
      <c r="B42" t="s">
        <v>96</v>
      </c>
      <c r="C42" t="str">
        <f t="shared" si="0"/>
        <v>/</v>
      </c>
      <c r="D42">
        <v>2</v>
      </c>
      <c r="E42">
        <v>5</v>
      </c>
      <c r="F42">
        <v>7</v>
      </c>
      <c r="G42">
        <v>6</v>
      </c>
      <c r="H42" t="s">
        <v>16</v>
      </c>
      <c r="I42">
        <v>6</v>
      </c>
      <c r="J42">
        <v>20.7</v>
      </c>
      <c r="K42">
        <v>8</v>
      </c>
      <c r="M42">
        <v>20.5</v>
      </c>
      <c r="N42">
        <v>2.9</v>
      </c>
      <c r="O42">
        <v>6.5</v>
      </c>
    </row>
    <row r="43" spans="1:16" x14ac:dyDescent="0.25">
      <c r="A43" s="1" t="s">
        <v>96</v>
      </c>
      <c r="B43" t="s">
        <v>97</v>
      </c>
      <c r="C43" t="str">
        <f t="shared" si="0"/>
        <v>/</v>
      </c>
      <c r="D43">
        <v>1</v>
      </c>
      <c r="E43">
        <v>2</v>
      </c>
      <c r="F43">
        <v>3</v>
      </c>
      <c r="G43">
        <v>42</v>
      </c>
      <c r="H43" t="s">
        <v>16</v>
      </c>
      <c r="I43">
        <v>42</v>
      </c>
      <c r="J43">
        <v>11.3</v>
      </c>
      <c r="K43">
        <v>10</v>
      </c>
      <c r="M43">
        <v>11.1</v>
      </c>
      <c r="N43">
        <v>2</v>
      </c>
      <c r="O43" t="s">
        <v>111</v>
      </c>
    </row>
    <row r="44" spans="1:16" x14ac:dyDescent="0.25">
      <c r="A44" s="1" t="s">
        <v>97</v>
      </c>
      <c r="B44" t="s">
        <v>98</v>
      </c>
      <c r="C44" t="str">
        <f t="shared" si="0"/>
        <v>/</v>
      </c>
      <c r="D44">
        <v>0.5</v>
      </c>
      <c r="E44">
        <v>1</v>
      </c>
      <c r="F44" t="str">
        <f>"/"</f>
        <v>/</v>
      </c>
      <c r="G44">
        <v>139</v>
      </c>
      <c r="H44" t="s">
        <v>16</v>
      </c>
      <c r="I44">
        <v>139</v>
      </c>
      <c r="J44">
        <v>18.899999999999999</v>
      </c>
      <c r="K44" t="s">
        <v>44</v>
      </c>
      <c r="M44">
        <v>18.899999999999999</v>
      </c>
      <c r="N44" t="s">
        <v>16</v>
      </c>
      <c r="O44">
        <v>11.4</v>
      </c>
      <c r="P44" t="s">
        <v>124</v>
      </c>
    </row>
    <row r="45" spans="1:16" x14ac:dyDescent="0.25">
      <c r="A45" s="1" t="s">
        <v>97</v>
      </c>
      <c r="B45" t="s">
        <v>99</v>
      </c>
      <c r="C45" t="str">
        <f t="shared" si="0"/>
        <v>/</v>
      </c>
      <c r="D45" t="str">
        <f t="shared" si="0"/>
        <v>/</v>
      </c>
      <c r="E45" t="str">
        <f>"/"</f>
        <v>/</v>
      </c>
      <c r="F45">
        <v>6</v>
      </c>
      <c r="G45">
        <v>245</v>
      </c>
      <c r="H45" t="s">
        <v>16</v>
      </c>
      <c r="I45">
        <v>245</v>
      </c>
      <c r="J45">
        <v>10.3</v>
      </c>
      <c r="K45">
        <v>60</v>
      </c>
      <c r="M45">
        <v>5.0999999999999996</v>
      </c>
      <c r="N45">
        <v>8.9</v>
      </c>
      <c r="O45">
        <v>11.4</v>
      </c>
    </row>
    <row r="46" spans="1:16" x14ac:dyDescent="0.25">
      <c r="A46" s="1" t="s">
        <v>99</v>
      </c>
      <c r="B46" t="s">
        <v>100</v>
      </c>
      <c r="C46" t="str">
        <f t="shared" si="0"/>
        <v>/</v>
      </c>
      <c r="D46" t="str">
        <f t="shared" si="0"/>
        <v>/</v>
      </c>
      <c r="E46">
        <v>1</v>
      </c>
      <c r="F46">
        <v>1</v>
      </c>
      <c r="G46">
        <v>319</v>
      </c>
      <c r="H46" t="s">
        <v>16</v>
      </c>
      <c r="I46">
        <v>319</v>
      </c>
      <c r="J46">
        <v>6.2</v>
      </c>
      <c r="K46" t="s">
        <v>44</v>
      </c>
      <c r="M46">
        <v>6.2</v>
      </c>
      <c r="N46" t="s">
        <v>16</v>
      </c>
      <c r="O46">
        <v>20.3</v>
      </c>
    </row>
    <row r="47" spans="1:16" x14ac:dyDescent="0.25">
      <c r="A47" s="1" t="s">
        <v>100</v>
      </c>
      <c r="B47" t="s">
        <v>101</v>
      </c>
      <c r="C47" t="str">
        <f t="shared" si="0"/>
        <v>/</v>
      </c>
      <c r="D47" t="str">
        <f t="shared" si="0"/>
        <v>/</v>
      </c>
      <c r="E47" t="str">
        <f>"/"</f>
        <v>/</v>
      </c>
      <c r="F47">
        <v>2</v>
      </c>
      <c r="G47">
        <v>237</v>
      </c>
      <c r="H47" t="s">
        <v>16</v>
      </c>
      <c r="I47">
        <v>237</v>
      </c>
      <c r="J47">
        <v>16</v>
      </c>
      <c r="K47">
        <v>65</v>
      </c>
      <c r="M47">
        <v>6.8</v>
      </c>
      <c r="N47">
        <v>14.5</v>
      </c>
      <c r="O47">
        <v>20.3</v>
      </c>
    </row>
    <row r="48" spans="1:16" x14ac:dyDescent="0.25">
      <c r="A48" s="1" t="s">
        <v>101</v>
      </c>
      <c r="B48" t="s">
        <v>93</v>
      </c>
      <c r="C48" t="s">
        <v>103</v>
      </c>
      <c r="D48">
        <v>1</v>
      </c>
      <c r="E48">
        <v>1</v>
      </c>
      <c r="F48">
        <v>1</v>
      </c>
      <c r="G48">
        <v>329</v>
      </c>
      <c r="H48" t="s">
        <v>16</v>
      </c>
      <c r="I48">
        <v>329</v>
      </c>
      <c r="J48">
        <v>46</v>
      </c>
      <c r="K48" t="s">
        <v>44</v>
      </c>
      <c r="M48">
        <v>46</v>
      </c>
      <c r="N48" t="s">
        <v>16</v>
      </c>
      <c r="O48">
        <v>34.799999999999997</v>
      </c>
      <c r="P48" t="s">
        <v>125</v>
      </c>
    </row>
    <row r="49" spans="1:16" x14ac:dyDescent="0.25">
      <c r="A49" s="1" t="s">
        <v>32</v>
      </c>
      <c r="B49">
        <v>1</v>
      </c>
      <c r="C49" t="str">
        <f t="shared" ref="C49:C50" si="1">"/"</f>
        <v>/</v>
      </c>
      <c r="D49" t="str">
        <f>"/"</f>
        <v>/</v>
      </c>
      <c r="E49" t="str">
        <f>"/"</f>
        <v>/</v>
      </c>
      <c r="F49" t="str">
        <f>"/"</f>
        <v>/</v>
      </c>
      <c r="G49" t="s">
        <v>16</v>
      </c>
      <c r="H49">
        <v>145</v>
      </c>
      <c r="I49">
        <v>325</v>
      </c>
      <c r="J49">
        <v>11.7</v>
      </c>
      <c r="K49">
        <v>-20</v>
      </c>
      <c r="M49">
        <v>10.9</v>
      </c>
      <c r="N49">
        <v>-4</v>
      </c>
      <c r="O49">
        <v>-9.9</v>
      </c>
    </row>
    <row r="50" spans="1:16" x14ac:dyDescent="0.25">
      <c r="A50" s="1">
        <v>1</v>
      </c>
      <c r="B50">
        <v>2</v>
      </c>
      <c r="C50" t="str">
        <f t="shared" si="1"/>
        <v>/</v>
      </c>
      <c r="D50">
        <v>2.5</v>
      </c>
      <c r="E50" t="str">
        <f>"/"</f>
        <v>/</v>
      </c>
      <c r="F50" t="str">
        <f>"/"</f>
        <v>/</v>
      </c>
      <c r="G50">
        <v>35</v>
      </c>
      <c r="H50" t="s">
        <v>16</v>
      </c>
      <c r="I50">
        <v>35</v>
      </c>
      <c r="J50">
        <v>28.5</v>
      </c>
      <c r="K50">
        <v>85</v>
      </c>
      <c r="M50">
        <v>2.5</v>
      </c>
      <c r="N50">
        <v>28.4</v>
      </c>
      <c r="O50">
        <v>13.9</v>
      </c>
    </row>
    <row r="51" spans="1:16" x14ac:dyDescent="0.25">
      <c r="A51" s="1">
        <v>2</v>
      </c>
      <c r="B51">
        <v>3</v>
      </c>
      <c r="C51">
        <v>4</v>
      </c>
      <c r="D51" t="s">
        <v>16</v>
      </c>
      <c r="E51">
        <v>2</v>
      </c>
      <c r="F51">
        <v>2</v>
      </c>
      <c r="G51" t="s">
        <v>16</v>
      </c>
      <c r="H51">
        <v>230</v>
      </c>
      <c r="I51">
        <v>50</v>
      </c>
      <c r="J51">
        <v>19.899999999999999</v>
      </c>
      <c r="K51">
        <v>16</v>
      </c>
      <c r="M51">
        <v>19.100000000000001</v>
      </c>
      <c r="N51">
        <v>5.5</v>
      </c>
      <c r="O51" t="s">
        <v>112</v>
      </c>
      <c r="P51" t="s">
        <v>126</v>
      </c>
    </row>
    <row r="52" spans="1:16" x14ac:dyDescent="0.25">
      <c r="A52" s="1">
        <v>3</v>
      </c>
      <c r="B52">
        <v>4</v>
      </c>
      <c r="C52">
        <v>2</v>
      </c>
      <c r="D52">
        <v>1</v>
      </c>
      <c r="E52">
        <v>2</v>
      </c>
      <c r="F52">
        <v>2</v>
      </c>
      <c r="G52">
        <v>122</v>
      </c>
      <c r="H52" t="s">
        <v>16</v>
      </c>
      <c r="I52">
        <v>122</v>
      </c>
      <c r="J52">
        <v>16</v>
      </c>
      <c r="K52">
        <v>7</v>
      </c>
      <c r="M52">
        <v>15.9</v>
      </c>
      <c r="N52">
        <v>1.9</v>
      </c>
      <c r="O52">
        <v>22</v>
      </c>
      <c r="P52" t="s">
        <v>130</v>
      </c>
    </row>
    <row r="53" spans="1:16" x14ac:dyDescent="0.25">
      <c r="A53" s="1">
        <v>4</v>
      </c>
      <c r="B53">
        <v>5</v>
      </c>
      <c r="C53">
        <v>2</v>
      </c>
      <c r="D53">
        <v>1</v>
      </c>
      <c r="E53">
        <v>2</v>
      </c>
      <c r="F53">
        <v>4</v>
      </c>
      <c r="G53">
        <v>59</v>
      </c>
      <c r="H53" t="s">
        <v>16</v>
      </c>
      <c r="I53">
        <v>59</v>
      </c>
      <c r="J53">
        <v>18</v>
      </c>
      <c r="K53">
        <v>15</v>
      </c>
      <c r="M53">
        <v>17.399999999999999</v>
      </c>
      <c r="N53">
        <v>4.7</v>
      </c>
      <c r="O53">
        <v>26.9</v>
      </c>
      <c r="P53" t="s">
        <v>129</v>
      </c>
    </row>
    <row r="54" spans="1:16" x14ac:dyDescent="0.25">
      <c r="A54" s="1">
        <v>5</v>
      </c>
      <c r="B54">
        <v>6</v>
      </c>
      <c r="C54" t="str">
        <f t="shared" ref="C54" si="2">"/"</f>
        <v>/</v>
      </c>
      <c r="D54">
        <v>1</v>
      </c>
      <c r="E54" t="str">
        <f t="shared" ref="E54:F54" si="3">"/"</f>
        <v>/</v>
      </c>
      <c r="F54" t="str">
        <f t="shared" si="3"/>
        <v>/</v>
      </c>
      <c r="G54">
        <v>17</v>
      </c>
      <c r="H54" t="s">
        <v>16</v>
      </c>
      <c r="I54">
        <v>17</v>
      </c>
      <c r="J54">
        <v>9.5</v>
      </c>
      <c r="K54">
        <v>10</v>
      </c>
      <c r="M54">
        <v>9.4</v>
      </c>
      <c r="N54">
        <v>1.6</v>
      </c>
      <c r="O54">
        <v>33.6</v>
      </c>
    </row>
    <row r="55" spans="1:16" x14ac:dyDescent="0.25">
      <c r="A55" s="1">
        <v>6</v>
      </c>
      <c r="B55">
        <v>7</v>
      </c>
      <c r="C55">
        <v>2</v>
      </c>
      <c r="D55">
        <v>0.5</v>
      </c>
      <c r="E55">
        <v>3</v>
      </c>
      <c r="F55">
        <v>1</v>
      </c>
      <c r="G55">
        <v>46</v>
      </c>
      <c r="H55" t="s">
        <v>16</v>
      </c>
      <c r="I55">
        <v>46</v>
      </c>
      <c r="J55">
        <v>13.5</v>
      </c>
      <c r="K55">
        <v>17</v>
      </c>
      <c r="M55">
        <v>12.9</v>
      </c>
      <c r="N55">
        <v>4</v>
      </c>
      <c r="O55">
        <v>38.200000000000003</v>
      </c>
    </row>
    <row r="56" spans="1:16" x14ac:dyDescent="0.25">
      <c r="A56" s="1">
        <v>7</v>
      </c>
      <c r="B56">
        <v>8</v>
      </c>
      <c r="C56">
        <v>2</v>
      </c>
      <c r="D56">
        <v>0.5</v>
      </c>
      <c r="E56">
        <v>1</v>
      </c>
      <c r="F56">
        <v>2</v>
      </c>
      <c r="G56">
        <v>74</v>
      </c>
      <c r="H56" t="s">
        <v>16</v>
      </c>
      <c r="I56">
        <v>74</v>
      </c>
      <c r="J56">
        <v>24.2</v>
      </c>
      <c r="K56">
        <v>13</v>
      </c>
      <c r="M56">
        <v>23.6</v>
      </c>
      <c r="N56">
        <v>5.4</v>
      </c>
      <c r="O56">
        <v>46.2</v>
      </c>
    </row>
    <row r="57" spans="1:16" x14ac:dyDescent="0.25">
      <c r="A57" s="1">
        <v>8</v>
      </c>
      <c r="B57">
        <v>9</v>
      </c>
      <c r="C57">
        <v>3</v>
      </c>
      <c r="D57">
        <v>0.5</v>
      </c>
      <c r="E57">
        <v>2</v>
      </c>
      <c r="F57">
        <v>1</v>
      </c>
      <c r="G57">
        <v>137</v>
      </c>
      <c r="H57" t="s">
        <v>16</v>
      </c>
      <c r="I57">
        <v>137</v>
      </c>
      <c r="J57">
        <v>8.8000000000000007</v>
      </c>
      <c r="K57">
        <v>10</v>
      </c>
      <c r="M57">
        <v>8.6999999999999993</v>
      </c>
      <c r="N57">
        <v>1.5</v>
      </c>
      <c r="O57">
        <v>52.6</v>
      </c>
    </row>
    <row r="58" spans="1:16" x14ac:dyDescent="0.25">
      <c r="A58" s="1">
        <v>9</v>
      </c>
      <c r="B58">
        <v>10</v>
      </c>
      <c r="C58">
        <v>2</v>
      </c>
      <c r="D58">
        <v>0.5</v>
      </c>
      <c r="E58">
        <v>2</v>
      </c>
      <c r="F58">
        <v>2</v>
      </c>
      <c r="G58">
        <v>89</v>
      </c>
      <c r="H58" t="s">
        <v>16</v>
      </c>
      <c r="I58">
        <v>89</v>
      </c>
      <c r="J58">
        <v>19.8</v>
      </c>
      <c r="K58">
        <v>15</v>
      </c>
      <c r="M58">
        <v>19.100000000000001</v>
      </c>
      <c r="N58">
        <v>5.0999999999999996</v>
      </c>
      <c r="O58">
        <v>56.1</v>
      </c>
    </row>
    <row r="59" spans="1:16" x14ac:dyDescent="0.25">
      <c r="A59" s="1">
        <v>10</v>
      </c>
      <c r="B59">
        <v>11</v>
      </c>
      <c r="C59" t="str">
        <f t="shared" ref="C59" si="4">"/"</f>
        <v>/</v>
      </c>
      <c r="D59">
        <v>0.5</v>
      </c>
      <c r="E59">
        <v>1</v>
      </c>
      <c r="F59">
        <v>3</v>
      </c>
      <c r="G59">
        <v>26</v>
      </c>
      <c r="H59" t="s">
        <v>16</v>
      </c>
      <c r="I59">
        <v>26</v>
      </c>
      <c r="J59">
        <v>9</v>
      </c>
      <c r="K59">
        <v>12</v>
      </c>
      <c r="M59">
        <v>8.8000000000000007</v>
      </c>
      <c r="N59">
        <v>1.9</v>
      </c>
      <c r="O59">
        <v>62.2</v>
      </c>
    </row>
    <row r="60" spans="1:16" x14ac:dyDescent="0.25">
      <c r="A60" s="1">
        <v>11</v>
      </c>
      <c r="B60">
        <v>12</v>
      </c>
      <c r="C60">
        <v>2</v>
      </c>
      <c r="D60">
        <v>0.5</v>
      </c>
      <c r="E60" t="str">
        <f t="shared" ref="E60:F61" si="5">"/"</f>
        <v>/</v>
      </c>
      <c r="F60" t="str">
        <f t="shared" si="5"/>
        <v>/</v>
      </c>
      <c r="G60">
        <v>78</v>
      </c>
      <c r="H60" t="s">
        <v>16</v>
      </c>
      <c r="I60">
        <v>78</v>
      </c>
      <c r="J60">
        <v>10.7</v>
      </c>
      <c r="K60">
        <v>10</v>
      </c>
      <c r="M60">
        <v>10.5</v>
      </c>
      <c r="N60">
        <v>1.9</v>
      </c>
      <c r="O60">
        <v>65.099999999999994</v>
      </c>
    </row>
    <row r="61" spans="1:16" x14ac:dyDescent="0.25">
      <c r="A61" s="1">
        <v>12</v>
      </c>
      <c r="B61">
        <v>13</v>
      </c>
      <c r="C61">
        <v>2</v>
      </c>
      <c r="D61">
        <v>2</v>
      </c>
      <c r="E61" t="str">
        <f t="shared" si="5"/>
        <v>/</v>
      </c>
      <c r="F61">
        <v>1</v>
      </c>
      <c r="G61">
        <v>25</v>
      </c>
      <c r="H61" t="s">
        <v>16</v>
      </c>
      <c r="I61">
        <v>25</v>
      </c>
      <c r="J61">
        <v>8.5</v>
      </c>
      <c r="K61" t="s">
        <v>127</v>
      </c>
      <c r="M61">
        <v>8.1999999999999993</v>
      </c>
      <c r="N61">
        <v>-2</v>
      </c>
      <c r="O61">
        <v>67</v>
      </c>
      <c r="P61" t="s">
        <v>131</v>
      </c>
    </row>
    <row r="62" spans="1:16" x14ac:dyDescent="0.25">
      <c r="A62" s="1">
        <v>13</v>
      </c>
      <c r="B62">
        <v>14</v>
      </c>
      <c r="C62">
        <v>1</v>
      </c>
      <c r="D62">
        <v>0.5</v>
      </c>
      <c r="E62">
        <v>2</v>
      </c>
      <c r="F62">
        <v>3</v>
      </c>
      <c r="G62">
        <v>85</v>
      </c>
      <c r="H62" t="s">
        <v>16</v>
      </c>
      <c r="I62">
        <v>85</v>
      </c>
      <c r="J62">
        <v>12.3</v>
      </c>
      <c r="K62">
        <v>9</v>
      </c>
      <c r="M62">
        <v>12.1</v>
      </c>
      <c r="N62">
        <v>1.9</v>
      </c>
      <c r="O62">
        <v>65</v>
      </c>
    </row>
    <row r="63" spans="1:16" x14ac:dyDescent="0.25">
      <c r="A63" s="1">
        <v>14</v>
      </c>
      <c r="B63">
        <v>15</v>
      </c>
      <c r="C63">
        <v>2</v>
      </c>
      <c r="D63">
        <v>0.5</v>
      </c>
      <c r="E63" t="str">
        <f t="shared" ref="E63:F64" si="6">"/"</f>
        <v>/</v>
      </c>
      <c r="F63" t="str">
        <f t="shared" si="6"/>
        <v>/</v>
      </c>
      <c r="G63">
        <v>63</v>
      </c>
      <c r="H63" t="s">
        <v>16</v>
      </c>
      <c r="I63">
        <v>63</v>
      </c>
      <c r="J63">
        <v>11.6</v>
      </c>
      <c r="K63">
        <v>10</v>
      </c>
      <c r="M63">
        <v>11.4</v>
      </c>
      <c r="N63">
        <v>2</v>
      </c>
      <c r="O63">
        <v>69.900000000000006</v>
      </c>
    </row>
    <row r="64" spans="1:16" x14ac:dyDescent="0.25">
      <c r="A64" s="1">
        <v>15</v>
      </c>
      <c r="B64">
        <v>16</v>
      </c>
      <c r="C64">
        <v>3</v>
      </c>
      <c r="D64">
        <v>4</v>
      </c>
      <c r="E64">
        <v>2</v>
      </c>
      <c r="F64" t="str">
        <f t="shared" si="6"/>
        <v>/</v>
      </c>
      <c r="G64">
        <v>125</v>
      </c>
      <c r="H64" t="s">
        <v>16</v>
      </c>
      <c r="I64">
        <v>125</v>
      </c>
      <c r="J64">
        <v>12</v>
      </c>
      <c r="K64" t="s">
        <v>128</v>
      </c>
      <c r="M64">
        <v>12</v>
      </c>
      <c r="N64">
        <v>-3.5</v>
      </c>
      <c r="O64">
        <v>72.900000000000006</v>
      </c>
      <c r="P64" t="s">
        <v>132</v>
      </c>
    </row>
    <row r="65" spans="1:16" x14ac:dyDescent="0.25">
      <c r="A65" s="1">
        <v>16</v>
      </c>
      <c r="B65">
        <v>17</v>
      </c>
      <c r="C65">
        <v>1</v>
      </c>
      <c r="D65">
        <v>0.5</v>
      </c>
      <c r="E65">
        <v>3</v>
      </c>
      <c r="F65">
        <v>3</v>
      </c>
      <c r="G65" t="s">
        <v>16</v>
      </c>
      <c r="H65">
        <v>265</v>
      </c>
      <c r="I65">
        <v>85</v>
      </c>
      <c r="J65">
        <v>14.5</v>
      </c>
      <c r="K65">
        <v>6</v>
      </c>
      <c r="M65">
        <v>14.4</v>
      </c>
      <c r="N65">
        <v>1.5</v>
      </c>
      <c r="O65">
        <v>71.400000000000006</v>
      </c>
    </row>
    <row r="66" spans="1:16" x14ac:dyDescent="0.25">
      <c r="A66" s="1">
        <v>17</v>
      </c>
      <c r="B66">
        <v>18</v>
      </c>
      <c r="C66">
        <v>1</v>
      </c>
      <c r="D66">
        <v>1</v>
      </c>
      <c r="E66">
        <v>2</v>
      </c>
      <c r="F66">
        <v>3</v>
      </c>
      <c r="G66">
        <v>22</v>
      </c>
      <c r="H66" t="s">
        <v>16</v>
      </c>
      <c r="I66">
        <v>22</v>
      </c>
      <c r="J66">
        <v>12.6</v>
      </c>
      <c r="K66">
        <v>6</v>
      </c>
      <c r="M66">
        <v>12.5</v>
      </c>
      <c r="N66">
        <v>1.3</v>
      </c>
      <c r="O66">
        <v>74.900000000000006</v>
      </c>
    </row>
    <row r="67" spans="1:16" x14ac:dyDescent="0.25">
      <c r="A67" s="1">
        <v>18</v>
      </c>
      <c r="B67">
        <v>19</v>
      </c>
      <c r="C67">
        <v>3</v>
      </c>
      <c r="D67">
        <v>11</v>
      </c>
      <c r="E67">
        <v>2</v>
      </c>
      <c r="F67">
        <v>2</v>
      </c>
      <c r="G67" t="s">
        <v>16</v>
      </c>
      <c r="H67" t="s">
        <v>16</v>
      </c>
      <c r="I67" t="s">
        <v>16</v>
      </c>
      <c r="J67">
        <v>11</v>
      </c>
      <c r="K67">
        <v>-90</v>
      </c>
      <c r="M67" t="s">
        <v>16</v>
      </c>
      <c r="N67">
        <v>-11</v>
      </c>
      <c r="O67">
        <v>76.400000000000006</v>
      </c>
      <c r="P67" t="s">
        <v>133</v>
      </c>
    </row>
    <row r="68" spans="1:16" x14ac:dyDescent="0.25">
      <c r="P68" t="s">
        <v>134</v>
      </c>
    </row>
    <row r="69" spans="1:16" x14ac:dyDescent="0.25">
      <c r="A69" s="1" t="s">
        <v>286</v>
      </c>
      <c r="B69" s="1" t="s">
        <v>287</v>
      </c>
    </row>
    <row r="70" spans="1:16" x14ac:dyDescent="0.25">
      <c r="A70" s="1" t="s">
        <v>135</v>
      </c>
    </row>
    <row r="71" spans="1:16" x14ac:dyDescent="0.25">
      <c r="A71" s="1" t="s">
        <v>82</v>
      </c>
      <c r="B71" t="s">
        <v>136</v>
      </c>
      <c r="C71" t="str">
        <f t="shared" ref="C71" si="7">"/"</f>
        <v>/</v>
      </c>
      <c r="D71">
        <v>2</v>
      </c>
      <c r="E71" t="str">
        <f t="shared" ref="E71:F71" si="8">"/"</f>
        <v>/</v>
      </c>
      <c r="F71" t="str">
        <f t="shared" si="8"/>
        <v>/</v>
      </c>
      <c r="G71" t="s">
        <v>16</v>
      </c>
      <c r="H71" t="s">
        <v>163</v>
      </c>
      <c r="I71" t="s">
        <v>175</v>
      </c>
      <c r="J71">
        <v>78.099999999999994</v>
      </c>
      <c r="K71" t="s">
        <v>182</v>
      </c>
      <c r="M71">
        <v>77.099999999999994</v>
      </c>
      <c r="N71">
        <v>12.9</v>
      </c>
      <c r="O71">
        <v>12</v>
      </c>
      <c r="P71" t="s">
        <v>258</v>
      </c>
    </row>
    <row r="72" spans="1:16" x14ac:dyDescent="0.25">
      <c r="A72" s="1" t="s">
        <v>136</v>
      </c>
      <c r="B72" t="s">
        <v>137</v>
      </c>
      <c r="C72">
        <v>25</v>
      </c>
      <c r="D72">
        <v>5</v>
      </c>
      <c r="E72">
        <v>8</v>
      </c>
      <c r="F72">
        <v>7</v>
      </c>
      <c r="G72" t="s">
        <v>164</v>
      </c>
      <c r="H72" t="s">
        <v>16</v>
      </c>
      <c r="I72" t="s">
        <v>164</v>
      </c>
      <c r="J72">
        <v>24.1</v>
      </c>
      <c r="K72" t="str">
        <f>"-5 30"</f>
        <v>-5 30</v>
      </c>
      <c r="M72">
        <v>24</v>
      </c>
      <c r="N72">
        <v>-2.2999999999999998</v>
      </c>
      <c r="O72">
        <v>24.9</v>
      </c>
      <c r="P72" t="s">
        <v>259</v>
      </c>
    </row>
    <row r="73" spans="1:16" x14ac:dyDescent="0.25">
      <c r="A73" s="1" t="s">
        <v>137</v>
      </c>
      <c r="B73" t="s">
        <v>138</v>
      </c>
      <c r="C73">
        <v>20</v>
      </c>
      <c r="D73">
        <v>5</v>
      </c>
      <c r="E73">
        <v>6</v>
      </c>
      <c r="F73">
        <v>0.5</v>
      </c>
      <c r="G73" t="s">
        <v>16</v>
      </c>
      <c r="H73" t="s">
        <v>165</v>
      </c>
      <c r="I73" t="s">
        <v>176</v>
      </c>
      <c r="J73">
        <v>29.2</v>
      </c>
      <c r="K73" t="s">
        <v>183</v>
      </c>
      <c r="M73">
        <v>29.2</v>
      </c>
      <c r="N73">
        <v>0.3</v>
      </c>
      <c r="O73">
        <v>22.6</v>
      </c>
      <c r="P73" t="s">
        <v>260</v>
      </c>
    </row>
    <row r="74" spans="1:16" x14ac:dyDescent="0.25">
      <c r="A74" s="1" t="s">
        <v>138</v>
      </c>
      <c r="B74" t="s">
        <v>139</v>
      </c>
      <c r="C74" t="s">
        <v>160</v>
      </c>
      <c r="D74">
        <v>2.5</v>
      </c>
      <c r="E74">
        <v>1</v>
      </c>
      <c r="F74">
        <v>7.2</v>
      </c>
      <c r="G74" t="s">
        <v>166</v>
      </c>
      <c r="H74" t="s">
        <v>16</v>
      </c>
      <c r="I74" t="s">
        <v>166</v>
      </c>
      <c r="J74">
        <v>10.6</v>
      </c>
      <c r="K74" t="s">
        <v>184</v>
      </c>
      <c r="M74">
        <v>9.8000000000000007</v>
      </c>
      <c r="N74">
        <v>4.0999999999999996</v>
      </c>
      <c r="O74">
        <v>22.9</v>
      </c>
      <c r="P74" t="s">
        <v>261</v>
      </c>
    </row>
    <row r="75" spans="1:16" x14ac:dyDescent="0.25">
      <c r="A75" s="1" t="s">
        <v>139</v>
      </c>
      <c r="B75" t="s">
        <v>140</v>
      </c>
      <c r="C75">
        <v>30</v>
      </c>
      <c r="D75">
        <v>5</v>
      </c>
      <c r="E75">
        <v>5</v>
      </c>
      <c r="F75">
        <v>2</v>
      </c>
      <c r="G75" t="s">
        <v>16</v>
      </c>
      <c r="H75" t="s">
        <v>167</v>
      </c>
      <c r="I75" t="s">
        <v>177</v>
      </c>
      <c r="J75">
        <v>48.3</v>
      </c>
      <c r="K75" t="s">
        <v>185</v>
      </c>
      <c r="M75">
        <v>47.6</v>
      </c>
      <c r="N75">
        <v>8.1</v>
      </c>
      <c r="O75">
        <v>27</v>
      </c>
      <c r="P75" t="s">
        <v>262</v>
      </c>
    </row>
    <row r="76" spans="1:16" x14ac:dyDescent="0.25">
      <c r="A76" s="1" t="s">
        <v>140</v>
      </c>
      <c r="B76" t="s">
        <v>141</v>
      </c>
      <c r="C76">
        <v>40</v>
      </c>
      <c r="D76" t="s">
        <v>162</v>
      </c>
      <c r="E76">
        <v>3</v>
      </c>
      <c r="F76">
        <v>4</v>
      </c>
      <c r="G76" t="s">
        <v>168</v>
      </c>
      <c r="H76" t="s">
        <v>16</v>
      </c>
      <c r="I76" t="s">
        <v>168</v>
      </c>
      <c r="J76">
        <v>17</v>
      </c>
      <c r="K76" t="s">
        <v>186</v>
      </c>
      <c r="M76">
        <v>16.7</v>
      </c>
      <c r="N76">
        <v>3</v>
      </c>
      <c r="O76">
        <v>35.1</v>
      </c>
      <c r="P76" t="s">
        <v>263</v>
      </c>
    </row>
    <row r="77" spans="1:16" x14ac:dyDescent="0.25">
      <c r="A77" s="1" t="s">
        <v>141</v>
      </c>
      <c r="B77" t="s">
        <v>142</v>
      </c>
      <c r="C77">
        <v>30</v>
      </c>
      <c r="D77">
        <v>5</v>
      </c>
      <c r="E77" t="s">
        <v>16</v>
      </c>
      <c r="F77">
        <v>3</v>
      </c>
      <c r="G77" t="s">
        <v>16</v>
      </c>
      <c r="H77" t="s">
        <v>169</v>
      </c>
      <c r="I77" t="s">
        <v>178</v>
      </c>
      <c r="J77">
        <v>20.2</v>
      </c>
      <c r="K77" t="s">
        <v>187</v>
      </c>
      <c r="M77">
        <v>20.2</v>
      </c>
      <c r="N77">
        <v>1.1000000000000001</v>
      </c>
      <c r="O77">
        <v>38.1</v>
      </c>
      <c r="P77" t="s">
        <v>264</v>
      </c>
    </row>
    <row r="78" spans="1:16" x14ac:dyDescent="0.25">
      <c r="A78" s="1" t="s">
        <v>142</v>
      </c>
      <c r="B78" t="s">
        <v>143</v>
      </c>
      <c r="C78">
        <v>30</v>
      </c>
      <c r="D78">
        <v>4</v>
      </c>
      <c r="E78">
        <v>4</v>
      </c>
      <c r="F78" t="str">
        <f t="shared" ref="F78" si="9">"/"</f>
        <v>/</v>
      </c>
      <c r="G78" t="s">
        <v>170</v>
      </c>
      <c r="H78" t="s">
        <v>16</v>
      </c>
      <c r="I78" t="s">
        <v>179</v>
      </c>
      <c r="J78">
        <v>10.1</v>
      </c>
      <c r="K78" t="s">
        <v>188</v>
      </c>
      <c r="M78">
        <v>9.9</v>
      </c>
      <c r="N78">
        <v>2</v>
      </c>
      <c r="O78">
        <v>39.200000000000003</v>
      </c>
    </row>
    <row r="79" spans="1:16" x14ac:dyDescent="0.25">
      <c r="A79" s="1" t="s">
        <v>143</v>
      </c>
      <c r="B79" t="s">
        <v>144</v>
      </c>
      <c r="C79">
        <v>30</v>
      </c>
      <c r="D79">
        <v>3</v>
      </c>
      <c r="E79">
        <v>6</v>
      </c>
      <c r="F79">
        <v>0</v>
      </c>
      <c r="G79" t="s">
        <v>16</v>
      </c>
      <c r="H79" t="s">
        <v>171</v>
      </c>
      <c r="I79" t="s">
        <v>180</v>
      </c>
      <c r="J79">
        <v>41.6</v>
      </c>
      <c r="K79" t="s">
        <v>189</v>
      </c>
      <c r="M79">
        <v>41.4</v>
      </c>
      <c r="N79">
        <v>3.5</v>
      </c>
      <c r="O79">
        <v>41.2</v>
      </c>
    </row>
    <row r="80" spans="1:16" x14ac:dyDescent="0.25">
      <c r="A80" s="1" t="s">
        <v>144</v>
      </c>
      <c r="B80" t="s">
        <v>145</v>
      </c>
      <c r="C80">
        <v>25</v>
      </c>
      <c r="D80">
        <v>3</v>
      </c>
      <c r="E80">
        <v>2</v>
      </c>
      <c r="F80">
        <v>3</v>
      </c>
      <c r="G80" t="s">
        <v>172</v>
      </c>
      <c r="H80" t="s">
        <v>16</v>
      </c>
      <c r="I80" t="s">
        <v>172</v>
      </c>
      <c r="J80">
        <v>34.200000000000003</v>
      </c>
      <c r="K80" t="s">
        <v>106</v>
      </c>
      <c r="M80">
        <v>34</v>
      </c>
      <c r="N80">
        <v>3.9</v>
      </c>
      <c r="O80">
        <v>44.7</v>
      </c>
    </row>
    <row r="81" spans="1:16" x14ac:dyDescent="0.25">
      <c r="A81" s="1" t="s">
        <v>145</v>
      </c>
      <c r="B81" t="s">
        <v>146</v>
      </c>
      <c r="C81">
        <v>10</v>
      </c>
      <c r="D81">
        <v>6</v>
      </c>
      <c r="E81">
        <v>1</v>
      </c>
      <c r="F81">
        <v>2.5</v>
      </c>
      <c r="G81" t="s">
        <v>16</v>
      </c>
      <c r="H81" t="s">
        <v>173</v>
      </c>
      <c r="I81" t="s">
        <v>181</v>
      </c>
      <c r="J81">
        <v>31.8</v>
      </c>
      <c r="K81" t="s">
        <v>190</v>
      </c>
      <c r="M81">
        <v>30.7</v>
      </c>
      <c r="N81">
        <v>8</v>
      </c>
      <c r="O81">
        <v>48.6</v>
      </c>
    </row>
    <row r="82" spans="1:16" x14ac:dyDescent="0.25">
      <c r="A82" s="1" t="s">
        <v>146</v>
      </c>
      <c r="B82" t="s">
        <v>147</v>
      </c>
      <c r="C82" t="s">
        <v>161</v>
      </c>
      <c r="D82">
        <v>10</v>
      </c>
      <c r="E82">
        <v>4</v>
      </c>
      <c r="F82">
        <v>3</v>
      </c>
      <c r="G82" t="s">
        <v>174</v>
      </c>
      <c r="H82" t="s">
        <v>16</v>
      </c>
      <c r="I82" t="s">
        <v>174</v>
      </c>
      <c r="J82">
        <v>11.3</v>
      </c>
      <c r="K82" t="str">
        <f>"-0 30"</f>
        <v>-0 30</v>
      </c>
      <c r="M82">
        <v>11.3</v>
      </c>
      <c r="N82">
        <v>-0.1</v>
      </c>
      <c r="O82">
        <v>56.6</v>
      </c>
      <c r="P82" t="s">
        <v>265</v>
      </c>
    </row>
    <row r="83" spans="1:16" x14ac:dyDescent="0.25">
      <c r="A83" s="1" t="s">
        <v>147</v>
      </c>
      <c r="O83">
        <v>56.5</v>
      </c>
      <c r="P83" t="s">
        <v>266</v>
      </c>
    </row>
    <row r="85" spans="1:16" x14ac:dyDescent="0.25">
      <c r="A85" s="1" t="s">
        <v>159</v>
      </c>
      <c r="B85" t="s">
        <v>191</v>
      </c>
    </row>
    <row r="86" spans="1:16" x14ac:dyDescent="0.25">
      <c r="A86" s="1" t="s">
        <v>147</v>
      </c>
      <c r="B86" t="s">
        <v>148</v>
      </c>
      <c r="C86">
        <v>8</v>
      </c>
      <c r="D86">
        <v>6</v>
      </c>
      <c r="E86">
        <v>6</v>
      </c>
      <c r="F86">
        <v>0</v>
      </c>
      <c r="G86" t="s">
        <v>16</v>
      </c>
      <c r="H86" t="s">
        <v>192</v>
      </c>
      <c r="I86" t="s">
        <v>204</v>
      </c>
      <c r="J86">
        <v>12.8</v>
      </c>
      <c r="K86" t="str">
        <f>"-4 30"</f>
        <v>-4 30</v>
      </c>
      <c r="M86">
        <v>12.8</v>
      </c>
      <c r="N86">
        <v>-1</v>
      </c>
      <c r="O86">
        <v>56.5</v>
      </c>
      <c r="P86" t="s">
        <v>267</v>
      </c>
    </row>
    <row r="87" spans="1:16" x14ac:dyDescent="0.25">
      <c r="A87" s="1" t="s">
        <v>148</v>
      </c>
      <c r="B87" t="s">
        <v>149</v>
      </c>
      <c r="C87">
        <v>12</v>
      </c>
      <c r="D87">
        <v>4</v>
      </c>
      <c r="E87">
        <v>2</v>
      </c>
      <c r="F87">
        <v>4</v>
      </c>
      <c r="G87" t="s">
        <v>193</v>
      </c>
      <c r="H87" t="s">
        <v>16</v>
      </c>
      <c r="I87" t="s">
        <v>193</v>
      </c>
      <c r="J87">
        <v>16.8</v>
      </c>
      <c r="K87" t="s">
        <v>210</v>
      </c>
      <c r="M87">
        <v>15.1</v>
      </c>
      <c r="N87">
        <v>7.4</v>
      </c>
      <c r="O87">
        <v>55.5</v>
      </c>
      <c r="P87" t="s">
        <v>268</v>
      </c>
    </row>
    <row r="88" spans="1:16" x14ac:dyDescent="0.25">
      <c r="A88" s="1" t="s">
        <v>149</v>
      </c>
      <c r="B88" t="s">
        <v>150</v>
      </c>
      <c r="C88">
        <v>8</v>
      </c>
      <c r="D88">
        <v>6</v>
      </c>
      <c r="E88">
        <v>1</v>
      </c>
      <c r="F88">
        <v>2</v>
      </c>
      <c r="G88" t="s">
        <v>16</v>
      </c>
      <c r="H88" t="s">
        <v>199</v>
      </c>
      <c r="I88" t="s">
        <v>205</v>
      </c>
      <c r="J88">
        <v>27.7</v>
      </c>
      <c r="K88" t="s">
        <v>211</v>
      </c>
      <c r="M88">
        <v>27.1</v>
      </c>
      <c r="N88">
        <v>5.8</v>
      </c>
      <c r="O88">
        <v>62.9</v>
      </c>
    </row>
    <row r="89" spans="1:16" x14ac:dyDescent="0.25">
      <c r="A89" s="1" t="s">
        <v>150</v>
      </c>
      <c r="B89" t="s">
        <v>151</v>
      </c>
      <c r="C89">
        <v>20</v>
      </c>
      <c r="D89">
        <v>4.5</v>
      </c>
      <c r="E89">
        <v>1</v>
      </c>
      <c r="F89">
        <v>3</v>
      </c>
      <c r="G89" t="s">
        <v>194</v>
      </c>
      <c r="H89" t="s">
        <v>16</v>
      </c>
      <c r="I89" t="s">
        <v>194</v>
      </c>
      <c r="J89">
        <v>23.2</v>
      </c>
      <c r="K89" t="s">
        <v>212</v>
      </c>
      <c r="M89">
        <v>22.8</v>
      </c>
      <c r="N89">
        <v>4.0999999999999996</v>
      </c>
      <c r="O89">
        <v>68.7</v>
      </c>
    </row>
    <row r="90" spans="1:16" x14ac:dyDescent="0.25">
      <c r="A90" s="1" t="s">
        <v>151</v>
      </c>
      <c r="B90" t="s">
        <v>152</v>
      </c>
      <c r="C90">
        <v>30</v>
      </c>
      <c r="D90">
        <v>6</v>
      </c>
      <c r="E90">
        <v>0</v>
      </c>
      <c r="F90">
        <v>4</v>
      </c>
      <c r="G90" t="s">
        <v>16</v>
      </c>
      <c r="H90" t="s">
        <v>200</v>
      </c>
      <c r="I90" t="s">
        <v>206</v>
      </c>
      <c r="J90">
        <v>10.7</v>
      </c>
      <c r="K90" t="str">
        <f>"-5 30"</f>
        <v>-5 30</v>
      </c>
      <c r="M90">
        <v>10.6</v>
      </c>
      <c r="N90">
        <v>-1</v>
      </c>
      <c r="O90">
        <v>72.8</v>
      </c>
    </row>
    <row r="91" spans="1:16" x14ac:dyDescent="0.25">
      <c r="A91" s="1" t="s">
        <v>152</v>
      </c>
      <c r="B91" t="s">
        <v>153</v>
      </c>
      <c r="C91">
        <v>30</v>
      </c>
      <c r="D91">
        <v>4</v>
      </c>
      <c r="E91" t="str">
        <f t="shared" ref="E91" si="10">"/"</f>
        <v>/</v>
      </c>
      <c r="F91">
        <v>2</v>
      </c>
      <c r="G91" t="s">
        <v>195</v>
      </c>
      <c r="H91" t="s">
        <v>16</v>
      </c>
      <c r="I91" t="s">
        <v>195</v>
      </c>
      <c r="J91">
        <v>26.5</v>
      </c>
      <c r="K91" t="s">
        <v>213</v>
      </c>
      <c r="M91">
        <v>23.3</v>
      </c>
      <c r="N91">
        <v>12.6</v>
      </c>
      <c r="O91">
        <v>71.8</v>
      </c>
    </row>
    <row r="92" spans="1:16" x14ac:dyDescent="0.25">
      <c r="A92" s="1" t="s">
        <v>153</v>
      </c>
      <c r="B92" t="s">
        <v>154</v>
      </c>
      <c r="C92">
        <v>30</v>
      </c>
      <c r="D92">
        <v>10</v>
      </c>
      <c r="E92">
        <v>6</v>
      </c>
      <c r="F92">
        <v>1</v>
      </c>
      <c r="G92" t="s">
        <v>16</v>
      </c>
      <c r="H92" t="s">
        <v>201</v>
      </c>
      <c r="I92" t="s">
        <v>207</v>
      </c>
      <c r="J92">
        <v>38.6</v>
      </c>
      <c r="K92" t="s">
        <v>212</v>
      </c>
      <c r="M92">
        <v>38</v>
      </c>
      <c r="N92">
        <v>7</v>
      </c>
      <c r="O92">
        <v>84.4</v>
      </c>
    </row>
    <row r="93" spans="1:16" x14ac:dyDescent="0.25">
      <c r="A93" s="1" t="s">
        <v>154</v>
      </c>
      <c r="B93" t="s">
        <v>155</v>
      </c>
      <c r="C93">
        <v>8</v>
      </c>
      <c r="D93">
        <v>13</v>
      </c>
      <c r="E93">
        <v>6</v>
      </c>
      <c r="F93">
        <v>1</v>
      </c>
      <c r="G93" t="s">
        <v>196</v>
      </c>
      <c r="H93" t="s">
        <v>16</v>
      </c>
      <c r="I93" t="s">
        <v>196</v>
      </c>
      <c r="J93">
        <v>23.3</v>
      </c>
      <c r="K93" t="str">
        <f>"-4 00"</f>
        <v>-4 00</v>
      </c>
      <c r="M93">
        <v>23.2</v>
      </c>
      <c r="N93">
        <v>-1.6</v>
      </c>
      <c r="O93">
        <v>91.4</v>
      </c>
    </row>
    <row r="94" spans="1:16" x14ac:dyDescent="0.25">
      <c r="A94" s="1" t="s">
        <v>155</v>
      </c>
      <c r="B94" t="s">
        <v>269</v>
      </c>
      <c r="C94">
        <v>25</v>
      </c>
      <c r="D94">
        <v>5</v>
      </c>
      <c r="E94">
        <v>2</v>
      </c>
      <c r="F94">
        <v>6</v>
      </c>
      <c r="G94" t="s">
        <v>16</v>
      </c>
      <c r="H94" t="s">
        <v>202</v>
      </c>
      <c r="I94" t="s">
        <v>208</v>
      </c>
      <c r="J94">
        <v>23.3</v>
      </c>
      <c r="K94" t="s">
        <v>214</v>
      </c>
      <c r="M94">
        <v>23</v>
      </c>
      <c r="N94">
        <v>3.6</v>
      </c>
      <c r="O94">
        <v>89.8</v>
      </c>
    </row>
    <row r="95" spans="1:16" x14ac:dyDescent="0.25">
      <c r="A95" s="1" t="s">
        <v>269</v>
      </c>
      <c r="B95" t="s">
        <v>157</v>
      </c>
      <c r="C95">
        <v>30</v>
      </c>
      <c r="D95">
        <v>1.5</v>
      </c>
      <c r="E95">
        <v>7</v>
      </c>
      <c r="F95">
        <v>8</v>
      </c>
      <c r="G95" t="s">
        <v>197</v>
      </c>
      <c r="H95" t="s">
        <v>16</v>
      </c>
      <c r="I95" t="s">
        <v>197</v>
      </c>
      <c r="J95">
        <v>24.1</v>
      </c>
      <c r="K95" t="s">
        <v>215</v>
      </c>
      <c r="M95">
        <v>21.4</v>
      </c>
      <c r="N95">
        <v>11.1</v>
      </c>
      <c r="O95">
        <v>93.4</v>
      </c>
      <c r="P95" t="s">
        <v>270</v>
      </c>
    </row>
    <row r="96" spans="1:16" x14ac:dyDescent="0.25">
      <c r="A96" s="1" t="s">
        <v>157</v>
      </c>
      <c r="B96" t="s">
        <v>158</v>
      </c>
      <c r="C96">
        <v>35</v>
      </c>
      <c r="D96">
        <v>6</v>
      </c>
      <c r="E96">
        <v>8</v>
      </c>
      <c r="F96">
        <v>2</v>
      </c>
      <c r="G96" t="s">
        <v>16</v>
      </c>
      <c r="H96" t="s">
        <v>203</v>
      </c>
      <c r="I96" t="s">
        <v>209</v>
      </c>
      <c r="J96">
        <v>14.6</v>
      </c>
      <c r="K96" t="s">
        <v>216</v>
      </c>
      <c r="M96">
        <v>13.4</v>
      </c>
      <c r="N96">
        <v>5.8</v>
      </c>
      <c r="O96">
        <v>104.5</v>
      </c>
    </row>
    <row r="97" spans="1:16" x14ac:dyDescent="0.25">
      <c r="A97" s="1" t="s">
        <v>158</v>
      </c>
      <c r="B97" t="s">
        <v>156</v>
      </c>
      <c r="C97">
        <v>15</v>
      </c>
      <c r="D97">
        <v>6</v>
      </c>
      <c r="E97">
        <v>10</v>
      </c>
      <c r="F97">
        <v>5</v>
      </c>
      <c r="G97" t="s">
        <v>198</v>
      </c>
      <c r="H97" t="s">
        <v>16</v>
      </c>
      <c r="I97" t="s">
        <v>198</v>
      </c>
      <c r="J97">
        <v>15</v>
      </c>
      <c r="K97" t="s">
        <v>217</v>
      </c>
      <c r="M97">
        <v>14.6</v>
      </c>
      <c r="N97">
        <v>3.5</v>
      </c>
      <c r="O97">
        <v>110.3</v>
      </c>
      <c r="P97" t="s">
        <v>271</v>
      </c>
    </row>
    <row r="98" spans="1:16" x14ac:dyDescent="0.25">
      <c r="A98" s="1" t="s">
        <v>156</v>
      </c>
      <c r="O98">
        <v>113.8</v>
      </c>
      <c r="P98" t="s">
        <v>272</v>
      </c>
    </row>
    <row r="100" spans="1:16" x14ac:dyDescent="0.25">
      <c r="A100" s="1" t="s">
        <v>218</v>
      </c>
      <c r="B100" t="s">
        <v>219</v>
      </c>
      <c r="C100" t="s">
        <v>220</v>
      </c>
    </row>
    <row r="101" spans="1:16" x14ac:dyDescent="0.25">
      <c r="A101" s="1">
        <v>18</v>
      </c>
      <c r="B101">
        <v>19</v>
      </c>
      <c r="C101">
        <v>3</v>
      </c>
      <c r="D101">
        <v>11</v>
      </c>
      <c r="E101">
        <v>2</v>
      </c>
      <c r="F101">
        <v>2</v>
      </c>
      <c r="G101" t="s">
        <v>16</v>
      </c>
      <c r="H101" t="s">
        <v>16</v>
      </c>
      <c r="I101" t="s">
        <v>16</v>
      </c>
      <c r="J101">
        <v>10.1</v>
      </c>
      <c r="K101" t="str">
        <f>"-90 00"</f>
        <v>-90 00</v>
      </c>
      <c r="M101" t="s">
        <v>16</v>
      </c>
      <c r="N101">
        <v>-10.1</v>
      </c>
      <c r="O101">
        <v>76.400000000000006</v>
      </c>
      <c r="P101" t="s">
        <v>274</v>
      </c>
    </row>
    <row r="102" spans="1:16" x14ac:dyDescent="0.25">
      <c r="A102" s="1">
        <v>19</v>
      </c>
      <c r="B102">
        <v>20</v>
      </c>
      <c r="C102" t="str">
        <f t="shared" ref="C102" si="11">"/"</f>
        <v>/</v>
      </c>
      <c r="D102">
        <v>1</v>
      </c>
      <c r="E102">
        <v>3</v>
      </c>
      <c r="F102">
        <v>3</v>
      </c>
      <c r="G102" t="s">
        <v>16</v>
      </c>
      <c r="H102" t="s">
        <v>222</v>
      </c>
      <c r="I102" t="s">
        <v>237</v>
      </c>
      <c r="J102">
        <v>8</v>
      </c>
      <c r="K102" t="s">
        <v>245</v>
      </c>
      <c r="M102">
        <v>8</v>
      </c>
      <c r="N102">
        <v>0.1</v>
      </c>
      <c r="O102">
        <v>66.3</v>
      </c>
      <c r="P102" t="s">
        <v>275</v>
      </c>
    </row>
    <row r="103" spans="1:16" x14ac:dyDescent="0.25">
      <c r="A103" s="1">
        <v>20</v>
      </c>
      <c r="B103">
        <v>21</v>
      </c>
      <c r="C103">
        <v>3</v>
      </c>
      <c r="D103">
        <v>1</v>
      </c>
      <c r="E103">
        <v>3</v>
      </c>
      <c r="F103">
        <v>2</v>
      </c>
      <c r="G103" t="s">
        <v>223</v>
      </c>
      <c r="H103" t="s">
        <v>16</v>
      </c>
      <c r="I103" t="s">
        <v>223</v>
      </c>
      <c r="J103">
        <v>24.8</v>
      </c>
      <c r="K103" t="s">
        <v>246</v>
      </c>
      <c r="M103">
        <v>22.8</v>
      </c>
      <c r="N103">
        <v>9.6999999999999993</v>
      </c>
      <c r="O103">
        <v>66.400000000000006</v>
      </c>
    </row>
    <row r="104" spans="1:16" x14ac:dyDescent="0.25">
      <c r="A104" s="1">
        <v>21</v>
      </c>
      <c r="B104">
        <v>22</v>
      </c>
      <c r="C104">
        <v>1</v>
      </c>
      <c r="D104">
        <v>0.5</v>
      </c>
      <c r="E104">
        <v>1.5</v>
      </c>
      <c r="F104">
        <v>3</v>
      </c>
      <c r="G104" t="s">
        <v>16</v>
      </c>
      <c r="H104" t="s">
        <v>224</v>
      </c>
      <c r="I104" t="s">
        <v>238</v>
      </c>
      <c r="J104">
        <v>11.2</v>
      </c>
      <c r="K104" t="s">
        <v>247</v>
      </c>
      <c r="M104">
        <v>11</v>
      </c>
      <c r="N104">
        <v>1.9</v>
      </c>
      <c r="O104">
        <v>76.099999999999994</v>
      </c>
    </row>
    <row r="105" spans="1:16" x14ac:dyDescent="0.25">
      <c r="A105" s="1">
        <v>22</v>
      </c>
      <c r="B105">
        <v>23</v>
      </c>
      <c r="C105">
        <v>1</v>
      </c>
      <c r="D105">
        <v>1</v>
      </c>
      <c r="E105">
        <v>2</v>
      </c>
      <c r="F105">
        <v>3</v>
      </c>
      <c r="G105" t="s">
        <v>225</v>
      </c>
      <c r="H105" t="s">
        <v>16</v>
      </c>
      <c r="I105" t="s">
        <v>225</v>
      </c>
      <c r="J105">
        <v>25.5</v>
      </c>
      <c r="K105" t="str">
        <f>"-9 00"</f>
        <v>-9 00</v>
      </c>
      <c r="M105">
        <v>25.2</v>
      </c>
      <c r="N105">
        <v>-4</v>
      </c>
      <c r="O105">
        <v>78</v>
      </c>
    </row>
    <row r="106" spans="1:16" x14ac:dyDescent="0.25">
      <c r="A106" s="1">
        <v>23</v>
      </c>
      <c r="B106">
        <v>24</v>
      </c>
      <c r="C106">
        <v>1</v>
      </c>
      <c r="D106">
        <v>3</v>
      </c>
      <c r="E106">
        <v>5</v>
      </c>
      <c r="F106">
        <v>0</v>
      </c>
      <c r="G106" t="s">
        <v>16</v>
      </c>
      <c r="H106" t="s">
        <v>226</v>
      </c>
      <c r="I106" t="s">
        <v>239</v>
      </c>
      <c r="J106">
        <v>50.7</v>
      </c>
      <c r="K106" t="s">
        <v>248</v>
      </c>
      <c r="M106">
        <v>48.2</v>
      </c>
      <c r="N106">
        <v>15.6</v>
      </c>
      <c r="O106">
        <v>74</v>
      </c>
    </row>
    <row r="107" spans="1:16" x14ac:dyDescent="0.25">
      <c r="A107" s="1">
        <v>24</v>
      </c>
      <c r="B107">
        <v>25</v>
      </c>
      <c r="C107" t="s">
        <v>221</v>
      </c>
      <c r="D107">
        <v>1</v>
      </c>
      <c r="E107">
        <v>20</v>
      </c>
      <c r="F107">
        <v>20</v>
      </c>
      <c r="G107" t="s">
        <v>227</v>
      </c>
      <c r="H107" t="s">
        <v>16</v>
      </c>
      <c r="I107" t="s">
        <v>227</v>
      </c>
      <c r="J107">
        <v>14</v>
      </c>
      <c r="K107" t="str">
        <f>"-46 00"</f>
        <v>-46 00</v>
      </c>
      <c r="M107">
        <v>9.6999999999999993</v>
      </c>
      <c r="N107">
        <v>-10.1</v>
      </c>
      <c r="O107">
        <v>89.6</v>
      </c>
      <c r="P107" t="s">
        <v>276</v>
      </c>
    </row>
    <row r="108" spans="1:16" x14ac:dyDescent="0.25">
      <c r="A108" s="1">
        <v>25</v>
      </c>
      <c r="B108">
        <v>26</v>
      </c>
      <c r="C108" t="str">
        <f t="shared" ref="C108:F110" si="12">"/"</f>
        <v>/</v>
      </c>
      <c r="D108" t="str">
        <f t="shared" si="12"/>
        <v>/</v>
      </c>
      <c r="E108" t="str">
        <f t="shared" si="12"/>
        <v>/</v>
      </c>
      <c r="F108" t="str">
        <f t="shared" si="12"/>
        <v>/</v>
      </c>
      <c r="G108" t="s">
        <v>16</v>
      </c>
      <c r="H108" t="s">
        <v>228</v>
      </c>
      <c r="I108" t="s">
        <v>240</v>
      </c>
      <c r="J108">
        <v>15.3</v>
      </c>
      <c r="K108" t="str">
        <f>"-43 00"</f>
        <v>-43 00</v>
      </c>
      <c r="M108">
        <v>11.2</v>
      </c>
      <c r="N108">
        <v>-10.4</v>
      </c>
      <c r="O108">
        <v>79.5</v>
      </c>
    </row>
    <row r="109" spans="1:16" x14ac:dyDescent="0.25">
      <c r="A109" s="1">
        <v>26</v>
      </c>
      <c r="B109">
        <v>27</v>
      </c>
      <c r="C109" t="str">
        <f t="shared" si="12"/>
        <v>/</v>
      </c>
      <c r="D109" t="str">
        <f t="shared" si="12"/>
        <v>/</v>
      </c>
      <c r="E109" t="str">
        <f t="shared" si="12"/>
        <v>/</v>
      </c>
      <c r="F109" t="str">
        <f t="shared" si="12"/>
        <v>/</v>
      </c>
      <c r="G109" t="s">
        <v>229</v>
      </c>
      <c r="H109" t="s">
        <v>16</v>
      </c>
      <c r="I109" t="s">
        <v>229</v>
      </c>
      <c r="J109">
        <v>23.2</v>
      </c>
      <c r="K109" t="str">
        <f>"-55 00"</f>
        <v>-55 00</v>
      </c>
      <c r="M109">
        <v>13.3</v>
      </c>
      <c r="N109">
        <v>-19</v>
      </c>
      <c r="O109">
        <v>69.099999999999994</v>
      </c>
    </row>
    <row r="110" spans="1:16" x14ac:dyDescent="0.25">
      <c r="A110" s="1">
        <v>27</v>
      </c>
      <c r="B110">
        <v>28</v>
      </c>
      <c r="C110" t="str">
        <f t="shared" si="12"/>
        <v>/</v>
      </c>
      <c r="D110">
        <v>5</v>
      </c>
      <c r="E110" t="s">
        <v>16</v>
      </c>
      <c r="F110">
        <v>12</v>
      </c>
      <c r="G110" t="s">
        <v>16</v>
      </c>
      <c r="H110" t="s">
        <v>230</v>
      </c>
      <c r="I110" t="s">
        <v>241</v>
      </c>
      <c r="J110">
        <v>25.3</v>
      </c>
      <c r="K110" t="str">
        <f>"-24 30"</f>
        <v>-24 30</v>
      </c>
      <c r="M110">
        <v>23</v>
      </c>
      <c r="N110">
        <v>-10.5</v>
      </c>
      <c r="O110">
        <v>50.1</v>
      </c>
    </row>
    <row r="111" spans="1:16" x14ac:dyDescent="0.25">
      <c r="A111" s="1">
        <v>28</v>
      </c>
      <c r="B111">
        <v>29</v>
      </c>
      <c r="C111">
        <v>3</v>
      </c>
      <c r="D111">
        <v>1</v>
      </c>
      <c r="E111">
        <v>3</v>
      </c>
      <c r="F111">
        <v>4</v>
      </c>
      <c r="G111" t="s">
        <v>231</v>
      </c>
      <c r="H111" t="s">
        <v>16</v>
      </c>
      <c r="I111" t="s">
        <v>231</v>
      </c>
      <c r="J111">
        <v>51</v>
      </c>
      <c r="K111" t="str">
        <f>"-23 30"</f>
        <v>-23 30</v>
      </c>
      <c r="M111">
        <v>46.8</v>
      </c>
      <c r="N111">
        <v>-20.3</v>
      </c>
      <c r="O111">
        <v>39.6</v>
      </c>
    </row>
    <row r="112" spans="1:16" x14ac:dyDescent="0.25">
      <c r="A112" s="1">
        <v>29</v>
      </c>
      <c r="B112">
        <v>30</v>
      </c>
      <c r="C112">
        <v>3</v>
      </c>
      <c r="D112">
        <v>1</v>
      </c>
      <c r="E112" t="str">
        <f t="shared" ref="E112" si="13">"/"</f>
        <v>/</v>
      </c>
      <c r="F112">
        <v>3</v>
      </c>
      <c r="G112" t="s">
        <v>16</v>
      </c>
      <c r="H112" t="s">
        <v>232</v>
      </c>
      <c r="I112" t="s">
        <v>242</v>
      </c>
      <c r="J112">
        <v>13.7</v>
      </c>
      <c r="K112" t="str">
        <f>"-3 00"</f>
        <v>-3 00</v>
      </c>
      <c r="M112">
        <v>13.6</v>
      </c>
      <c r="N112">
        <v>-0.7</v>
      </c>
      <c r="O112">
        <v>19.3</v>
      </c>
    </row>
    <row r="113" spans="1:16" x14ac:dyDescent="0.25">
      <c r="A113" s="1">
        <v>30</v>
      </c>
      <c r="B113">
        <v>31</v>
      </c>
      <c r="C113">
        <v>2</v>
      </c>
      <c r="D113">
        <v>1</v>
      </c>
      <c r="E113">
        <v>5</v>
      </c>
      <c r="F113" t="str">
        <f t="shared" ref="F113" si="14">"/"</f>
        <v>/</v>
      </c>
      <c r="G113" t="s">
        <v>233</v>
      </c>
      <c r="H113" t="s">
        <v>16</v>
      </c>
      <c r="I113" t="s">
        <v>233</v>
      </c>
      <c r="J113">
        <v>25.4</v>
      </c>
      <c r="K113" t="str">
        <f>"-19 00"</f>
        <v>-19 00</v>
      </c>
      <c r="M113">
        <v>24</v>
      </c>
      <c r="N113">
        <v>-8.3000000000000007</v>
      </c>
      <c r="O113">
        <v>18.600000000000001</v>
      </c>
    </row>
    <row r="114" spans="1:16" x14ac:dyDescent="0.25">
      <c r="A114" s="1">
        <v>31</v>
      </c>
      <c r="B114">
        <v>32</v>
      </c>
      <c r="C114">
        <v>6</v>
      </c>
      <c r="D114">
        <v>2</v>
      </c>
      <c r="E114">
        <v>5</v>
      </c>
      <c r="F114">
        <v>4</v>
      </c>
      <c r="G114" t="s">
        <v>16</v>
      </c>
      <c r="H114" t="s">
        <v>181</v>
      </c>
      <c r="I114" t="s">
        <v>173</v>
      </c>
      <c r="J114">
        <v>11.2</v>
      </c>
      <c r="K114" t="s">
        <v>249</v>
      </c>
      <c r="M114">
        <v>11.1</v>
      </c>
      <c r="N114">
        <v>-1</v>
      </c>
      <c r="O114">
        <v>10.3</v>
      </c>
    </row>
    <row r="115" spans="1:16" x14ac:dyDescent="0.25">
      <c r="A115" s="1">
        <v>32</v>
      </c>
      <c r="B115">
        <v>33</v>
      </c>
      <c r="C115">
        <v>0.5</v>
      </c>
      <c r="D115">
        <v>0.5</v>
      </c>
      <c r="E115" t="str">
        <f t="shared" ref="E115:F117" si="15">"/"</f>
        <v>/</v>
      </c>
      <c r="F115">
        <v>1</v>
      </c>
      <c r="G115" t="s">
        <v>234</v>
      </c>
      <c r="H115" t="s">
        <v>16</v>
      </c>
      <c r="I115" t="s">
        <v>234</v>
      </c>
      <c r="J115">
        <v>14.1</v>
      </c>
      <c r="K115" t="str">
        <f>"-9 00"</f>
        <v>-9 00</v>
      </c>
      <c r="M115">
        <v>13.9</v>
      </c>
      <c r="N115">
        <v>-2.2000000000000002</v>
      </c>
      <c r="O115">
        <v>9.3000000000000007</v>
      </c>
    </row>
    <row r="116" spans="1:16" x14ac:dyDescent="0.25">
      <c r="A116" s="1">
        <v>33</v>
      </c>
      <c r="B116">
        <v>34</v>
      </c>
      <c r="C116">
        <v>0.5</v>
      </c>
      <c r="D116">
        <v>0.5</v>
      </c>
      <c r="E116" t="s">
        <v>16</v>
      </c>
      <c r="F116">
        <v>2</v>
      </c>
      <c r="G116" t="s">
        <v>16</v>
      </c>
      <c r="H116" t="s">
        <v>235</v>
      </c>
      <c r="I116" t="s">
        <v>243</v>
      </c>
      <c r="J116">
        <v>17</v>
      </c>
      <c r="K116" t="s">
        <v>250</v>
      </c>
      <c r="M116">
        <v>16.8</v>
      </c>
      <c r="N116">
        <v>1</v>
      </c>
      <c r="O116">
        <v>7.1</v>
      </c>
    </row>
    <row r="117" spans="1:16" x14ac:dyDescent="0.25">
      <c r="A117" s="1">
        <v>34</v>
      </c>
      <c r="B117">
        <v>35</v>
      </c>
      <c r="C117">
        <v>3</v>
      </c>
      <c r="D117">
        <v>2</v>
      </c>
      <c r="E117">
        <v>2</v>
      </c>
      <c r="F117" t="str">
        <f t="shared" si="15"/>
        <v>/</v>
      </c>
      <c r="G117" t="s">
        <v>16</v>
      </c>
      <c r="H117" t="s">
        <v>236</v>
      </c>
      <c r="I117" t="s">
        <v>244</v>
      </c>
      <c r="J117">
        <v>13.9</v>
      </c>
      <c r="K117" t="str">
        <f>"-12 30"</f>
        <v>-12 30</v>
      </c>
      <c r="M117">
        <v>13.7</v>
      </c>
      <c r="N117">
        <v>-3</v>
      </c>
      <c r="O117">
        <v>8.1</v>
      </c>
      <c r="P117" t="s">
        <v>277</v>
      </c>
    </row>
    <row r="118" spans="1:16" x14ac:dyDescent="0.25">
      <c r="A118" s="1">
        <v>35</v>
      </c>
      <c r="O118">
        <v>5.0999999999999996</v>
      </c>
      <c r="P118" t="s">
        <v>273</v>
      </c>
    </row>
    <row r="119" spans="1:16" x14ac:dyDescent="0.25">
      <c r="A119">
        <v>35</v>
      </c>
      <c r="B119" t="s">
        <v>98</v>
      </c>
      <c r="G119">
        <v>234</v>
      </c>
      <c r="H119" s="7" t="s">
        <v>16</v>
      </c>
      <c r="I119">
        <v>234</v>
      </c>
      <c r="J119">
        <v>18</v>
      </c>
      <c r="K119">
        <v>45</v>
      </c>
      <c r="M119">
        <v>12.7</v>
      </c>
      <c r="N119">
        <v>12.7</v>
      </c>
      <c r="P119" t="str">
        <f>P44</f>
        <v>(e) is where passage rejoins streamway. Stn 35 (p.52)-(e) is F.S. 234 (TRUE), Dist 18', Clino +45 (deg), HD 12.7, VD +12.7</v>
      </c>
    </row>
    <row r="120" spans="1:16" x14ac:dyDescent="0.25">
      <c r="A120">
        <v>35</v>
      </c>
      <c r="B120" t="s">
        <v>23</v>
      </c>
      <c r="G120" s="7">
        <v>350</v>
      </c>
      <c r="H120" s="7" t="s">
        <v>16</v>
      </c>
      <c r="I120" s="7">
        <v>350</v>
      </c>
      <c r="J120">
        <v>10</v>
      </c>
      <c r="K120" s="7">
        <v>0</v>
      </c>
      <c r="M120" s="7">
        <v>10</v>
      </c>
      <c r="N120">
        <v>0</v>
      </c>
      <c r="P120" t="str">
        <f>P8</f>
        <v>D is in stream. Big rock (start of New Series survey) 10' away at 350 (deg). Big passage starts as continuation of Howards Dig.</v>
      </c>
    </row>
    <row r="122" spans="1:16" x14ac:dyDescent="0.25">
      <c r="A122" s="1" t="s">
        <v>395</v>
      </c>
      <c r="B122" s="1" t="s">
        <v>394</v>
      </c>
    </row>
    <row r="123" spans="1:16" x14ac:dyDescent="0.25">
      <c r="A123" s="1">
        <v>27</v>
      </c>
      <c r="B123">
        <v>36</v>
      </c>
      <c r="C123" s="7" t="s">
        <v>16</v>
      </c>
      <c r="D123" s="7" t="s">
        <v>16</v>
      </c>
      <c r="E123" s="7" t="s">
        <v>16</v>
      </c>
      <c r="F123" s="7" t="s">
        <v>16</v>
      </c>
      <c r="G123" s="7" t="s">
        <v>16</v>
      </c>
      <c r="H123" s="7" t="s">
        <v>16</v>
      </c>
      <c r="I123" s="7" t="s">
        <v>16</v>
      </c>
      <c r="J123" s="7">
        <v>6</v>
      </c>
      <c r="K123" s="7" t="s">
        <v>314</v>
      </c>
      <c r="M123" s="7" t="s">
        <v>16</v>
      </c>
      <c r="N123">
        <v>6</v>
      </c>
      <c r="O123">
        <v>50.1</v>
      </c>
      <c r="P123" t="s">
        <v>383</v>
      </c>
    </row>
    <row r="124" spans="1:16" x14ac:dyDescent="0.25">
      <c r="A124" s="1">
        <v>36</v>
      </c>
      <c r="B124">
        <v>37</v>
      </c>
      <c r="C124" s="7">
        <v>3</v>
      </c>
      <c r="D124" s="7">
        <v>1</v>
      </c>
      <c r="E124" s="7">
        <v>4</v>
      </c>
      <c r="F124" s="7">
        <v>4</v>
      </c>
      <c r="G124" s="7" t="s">
        <v>16</v>
      </c>
      <c r="H124" s="7" t="s">
        <v>290</v>
      </c>
      <c r="I124" s="7" t="s">
        <v>306</v>
      </c>
      <c r="J124" s="7">
        <v>29.4</v>
      </c>
      <c r="K124" s="7" t="s">
        <v>313</v>
      </c>
      <c r="M124">
        <v>28.6</v>
      </c>
      <c r="N124">
        <v>6.4</v>
      </c>
      <c r="O124">
        <v>56.1</v>
      </c>
    </row>
    <row r="125" spans="1:16" x14ac:dyDescent="0.25">
      <c r="A125" s="1">
        <v>37</v>
      </c>
      <c r="B125">
        <v>38</v>
      </c>
      <c r="C125" s="7">
        <v>1</v>
      </c>
      <c r="D125" s="7">
        <v>3</v>
      </c>
      <c r="E125" s="7">
        <v>4</v>
      </c>
      <c r="F125" s="7">
        <v>1</v>
      </c>
      <c r="G125" s="7" t="s">
        <v>291</v>
      </c>
      <c r="H125" s="7" t="s">
        <v>16</v>
      </c>
      <c r="I125" s="7" t="s">
        <v>291</v>
      </c>
      <c r="J125" s="7">
        <v>12.1</v>
      </c>
      <c r="K125" s="7" t="str">
        <f>"-38 00"</f>
        <v>-38 00</v>
      </c>
      <c r="M125">
        <v>9.5</v>
      </c>
      <c r="N125">
        <v>-7.4</v>
      </c>
      <c r="O125">
        <v>62.5</v>
      </c>
      <c r="P125" t="s">
        <v>384</v>
      </c>
    </row>
    <row r="126" spans="1:16" x14ac:dyDescent="0.25">
      <c r="A126" s="1">
        <v>38</v>
      </c>
      <c r="B126">
        <v>39</v>
      </c>
      <c r="C126" s="7">
        <v>1</v>
      </c>
      <c r="D126" s="7">
        <v>0.5</v>
      </c>
      <c r="E126" s="7">
        <v>1</v>
      </c>
      <c r="F126" s="7">
        <v>4</v>
      </c>
      <c r="G126" s="7" t="s">
        <v>16</v>
      </c>
      <c r="H126" s="7" t="s">
        <v>292</v>
      </c>
      <c r="I126" s="7" t="s">
        <v>307</v>
      </c>
      <c r="J126" s="7">
        <v>30.2</v>
      </c>
      <c r="K126" s="7" t="s">
        <v>315</v>
      </c>
      <c r="M126">
        <v>28.9</v>
      </c>
      <c r="N126">
        <v>8.6</v>
      </c>
      <c r="O126">
        <v>55.1</v>
      </c>
    </row>
    <row r="127" spans="1:16" x14ac:dyDescent="0.25">
      <c r="A127" s="1">
        <v>39</v>
      </c>
      <c r="B127">
        <v>40</v>
      </c>
      <c r="C127" s="7">
        <v>2</v>
      </c>
      <c r="D127" s="7">
        <v>2</v>
      </c>
      <c r="E127" s="7">
        <v>3</v>
      </c>
      <c r="F127" s="7">
        <v>4</v>
      </c>
      <c r="G127" s="7" t="s">
        <v>293</v>
      </c>
      <c r="H127" s="7" t="s">
        <v>16</v>
      </c>
      <c r="I127" s="7" t="s">
        <v>293</v>
      </c>
      <c r="J127" s="7">
        <v>15</v>
      </c>
      <c r="K127" s="7" t="s">
        <v>316</v>
      </c>
      <c r="M127">
        <v>13.4</v>
      </c>
      <c r="N127">
        <v>6.8</v>
      </c>
      <c r="O127">
        <v>63.7</v>
      </c>
    </row>
    <row r="128" spans="1:16" x14ac:dyDescent="0.25">
      <c r="A128" s="1">
        <v>40</v>
      </c>
      <c r="B128">
        <v>41</v>
      </c>
      <c r="C128" s="7">
        <v>2</v>
      </c>
      <c r="D128" s="7">
        <v>2</v>
      </c>
      <c r="E128" s="7">
        <v>6</v>
      </c>
      <c r="F128" s="7">
        <v>2</v>
      </c>
      <c r="G128" s="7" t="s">
        <v>16</v>
      </c>
      <c r="H128" s="7" t="s">
        <v>294</v>
      </c>
      <c r="I128" s="7" t="s">
        <v>308</v>
      </c>
      <c r="J128" s="7">
        <v>24.4</v>
      </c>
      <c r="K128" s="7" t="s">
        <v>217</v>
      </c>
      <c r="M128">
        <v>23.7</v>
      </c>
      <c r="N128">
        <v>5.7</v>
      </c>
      <c r="O128">
        <v>70.599999999999994</v>
      </c>
    </row>
    <row r="129" spans="1:16" x14ac:dyDescent="0.25">
      <c r="A129" s="1">
        <v>41</v>
      </c>
      <c r="B129">
        <v>42</v>
      </c>
      <c r="C129" s="7">
        <v>3</v>
      </c>
      <c r="D129" s="7">
        <v>2</v>
      </c>
      <c r="E129" s="7">
        <v>2</v>
      </c>
      <c r="F129" s="7">
        <v>6</v>
      </c>
      <c r="G129" s="7" t="s">
        <v>295</v>
      </c>
      <c r="H129" s="7" t="s">
        <v>16</v>
      </c>
      <c r="I129" s="7" t="s">
        <v>295</v>
      </c>
      <c r="J129" s="7">
        <v>19.5</v>
      </c>
      <c r="K129" s="7" t="s">
        <v>212</v>
      </c>
      <c r="M129">
        <v>19.2</v>
      </c>
      <c r="N129">
        <v>3.5</v>
      </c>
      <c r="O129">
        <v>76.3</v>
      </c>
    </row>
    <row r="130" spans="1:16" x14ac:dyDescent="0.25">
      <c r="A130" s="1">
        <v>42</v>
      </c>
      <c r="B130">
        <v>43</v>
      </c>
      <c r="C130" s="7">
        <v>2</v>
      </c>
      <c r="D130" s="7">
        <v>0.5</v>
      </c>
      <c r="E130" s="7">
        <v>2</v>
      </c>
      <c r="F130" s="7">
        <v>1</v>
      </c>
      <c r="G130" s="7" t="s">
        <v>16</v>
      </c>
      <c r="H130" s="7" t="s">
        <v>296</v>
      </c>
      <c r="I130" s="7" t="s">
        <v>309</v>
      </c>
      <c r="J130" s="7">
        <v>14.8</v>
      </c>
      <c r="K130" s="7" t="s">
        <v>190</v>
      </c>
      <c r="M130">
        <v>14.3</v>
      </c>
      <c r="N130">
        <v>3.7</v>
      </c>
      <c r="O130">
        <v>79.900000000000006</v>
      </c>
    </row>
    <row r="131" spans="1:16" x14ac:dyDescent="0.25">
      <c r="A131" s="1">
        <v>43</v>
      </c>
      <c r="B131">
        <v>44</v>
      </c>
      <c r="C131" s="7">
        <v>2</v>
      </c>
      <c r="D131" s="7">
        <v>2</v>
      </c>
      <c r="E131" s="7">
        <v>2</v>
      </c>
      <c r="F131" s="7">
        <v>7</v>
      </c>
      <c r="G131" s="7" t="s">
        <v>297</v>
      </c>
      <c r="H131" s="7" t="s">
        <v>16</v>
      </c>
      <c r="I131" s="7" t="s">
        <v>297</v>
      </c>
      <c r="J131" s="7">
        <v>49.3</v>
      </c>
      <c r="K131" s="7" t="s">
        <v>246</v>
      </c>
      <c r="M131">
        <v>45.4</v>
      </c>
      <c r="N131">
        <v>19.2</v>
      </c>
      <c r="O131">
        <v>83.6</v>
      </c>
    </row>
    <row r="132" spans="1:16" x14ac:dyDescent="0.25">
      <c r="A132" s="1">
        <v>44</v>
      </c>
      <c r="B132">
        <v>45</v>
      </c>
      <c r="C132" s="7">
        <v>7</v>
      </c>
      <c r="D132" s="7">
        <v>3</v>
      </c>
      <c r="E132" s="7">
        <v>0</v>
      </c>
      <c r="F132" s="7">
        <v>4</v>
      </c>
      <c r="G132" s="7" t="s">
        <v>16</v>
      </c>
      <c r="H132" s="7" t="s">
        <v>298</v>
      </c>
      <c r="I132" s="7" t="s">
        <v>310</v>
      </c>
      <c r="J132" s="7">
        <v>7.3</v>
      </c>
      <c r="K132" s="7" t="s">
        <v>317</v>
      </c>
      <c r="M132">
        <v>7.3</v>
      </c>
      <c r="N132">
        <v>0.8</v>
      </c>
      <c r="O132">
        <v>103</v>
      </c>
    </row>
    <row r="133" spans="1:16" x14ac:dyDescent="0.25">
      <c r="A133" s="1">
        <v>45</v>
      </c>
      <c r="B133">
        <v>46</v>
      </c>
      <c r="C133" s="7">
        <v>7</v>
      </c>
      <c r="D133" s="7">
        <v>4</v>
      </c>
      <c r="E133" s="7">
        <v>2</v>
      </c>
      <c r="F133" s="7">
        <v>0.5</v>
      </c>
      <c r="G133" s="7" t="s">
        <v>299</v>
      </c>
      <c r="H133" s="7" t="s">
        <v>16</v>
      </c>
      <c r="I133" s="7" t="s">
        <v>299</v>
      </c>
      <c r="J133" s="7">
        <v>16.2</v>
      </c>
      <c r="K133" s="7" t="str">
        <f>"-31 00"</f>
        <v>-31 00</v>
      </c>
      <c r="M133">
        <v>13.8</v>
      </c>
      <c r="N133">
        <v>-8.3000000000000007</v>
      </c>
      <c r="O133">
        <v>103.8</v>
      </c>
    </row>
    <row r="134" spans="1:16" x14ac:dyDescent="0.25">
      <c r="A134" s="1">
        <v>46</v>
      </c>
      <c r="B134">
        <v>47</v>
      </c>
      <c r="C134" s="7">
        <v>15</v>
      </c>
      <c r="D134" s="7" t="str">
        <f t="shared" ref="D134:F134" si="16">"/"</f>
        <v>/</v>
      </c>
      <c r="E134" s="7" t="str">
        <f t="shared" si="16"/>
        <v>/</v>
      </c>
      <c r="F134" s="7" t="str">
        <f t="shared" si="16"/>
        <v>/</v>
      </c>
      <c r="G134" s="7" t="s">
        <v>16</v>
      </c>
      <c r="H134" s="7" t="s">
        <v>16</v>
      </c>
      <c r="I134" s="7" t="s">
        <v>16</v>
      </c>
      <c r="J134" s="7">
        <v>35</v>
      </c>
      <c r="K134" s="7" t="str">
        <f>"-90 00"</f>
        <v>-90 00</v>
      </c>
      <c r="M134" t="s">
        <v>16</v>
      </c>
      <c r="N134">
        <v>-35</v>
      </c>
      <c r="O134">
        <v>95.6</v>
      </c>
      <c r="P134" t="s">
        <v>385</v>
      </c>
    </row>
    <row r="135" spans="1:16" x14ac:dyDescent="0.25">
      <c r="A135" s="1">
        <v>47</v>
      </c>
      <c r="B135">
        <v>48</v>
      </c>
      <c r="C135" s="7" t="s">
        <v>289</v>
      </c>
      <c r="D135" s="7">
        <v>2</v>
      </c>
      <c r="E135" s="7">
        <v>7</v>
      </c>
      <c r="F135" s="7">
        <v>5</v>
      </c>
      <c r="G135" s="7" t="s">
        <v>16</v>
      </c>
      <c r="H135" s="7" t="s">
        <v>300</v>
      </c>
      <c r="I135" s="7" t="s">
        <v>198</v>
      </c>
      <c r="J135" s="7">
        <v>23.6</v>
      </c>
      <c r="K135" s="7" t="s">
        <v>318</v>
      </c>
      <c r="M135">
        <v>23.4</v>
      </c>
      <c r="N135">
        <v>3.3</v>
      </c>
      <c r="O135">
        <v>60.6</v>
      </c>
    </row>
    <row r="136" spans="1:16" x14ac:dyDescent="0.25">
      <c r="A136" s="1">
        <v>48</v>
      </c>
      <c r="B136">
        <v>49</v>
      </c>
      <c r="C136" s="7">
        <v>20</v>
      </c>
      <c r="D136" s="7">
        <v>3</v>
      </c>
      <c r="E136" s="7">
        <v>4</v>
      </c>
      <c r="F136" s="7">
        <v>3</v>
      </c>
      <c r="G136" s="7" t="s">
        <v>301</v>
      </c>
      <c r="H136" s="7" t="s">
        <v>16</v>
      </c>
      <c r="I136" s="7" t="s">
        <v>301</v>
      </c>
      <c r="J136" s="7">
        <v>27.5</v>
      </c>
      <c r="K136" s="7" t="str">
        <f>"-34 30"</f>
        <v>-34 30</v>
      </c>
      <c r="M136">
        <v>22.6</v>
      </c>
      <c r="N136">
        <v>-15.6</v>
      </c>
      <c r="O136">
        <v>64</v>
      </c>
    </row>
    <row r="137" spans="1:16" x14ac:dyDescent="0.25">
      <c r="A137" s="1">
        <v>49</v>
      </c>
      <c r="B137">
        <v>50</v>
      </c>
      <c r="C137" s="7">
        <v>15</v>
      </c>
      <c r="D137" s="7">
        <v>0.5</v>
      </c>
      <c r="E137" s="7">
        <v>0.5</v>
      </c>
      <c r="F137" s="7">
        <v>3</v>
      </c>
      <c r="G137" s="7" t="s">
        <v>16</v>
      </c>
      <c r="H137" s="7" t="s">
        <v>302</v>
      </c>
      <c r="I137" s="7" t="s">
        <v>311</v>
      </c>
      <c r="J137" s="7">
        <v>23.5</v>
      </c>
      <c r="K137" s="7" t="str">
        <f>"-5 00"</f>
        <v>-5 00</v>
      </c>
      <c r="M137">
        <v>23.4</v>
      </c>
      <c r="N137">
        <v>-2.7</v>
      </c>
      <c r="O137">
        <v>48.5</v>
      </c>
    </row>
    <row r="138" spans="1:16" x14ac:dyDescent="0.25">
      <c r="A138" s="1">
        <v>50</v>
      </c>
      <c r="B138">
        <v>51</v>
      </c>
      <c r="C138" s="7">
        <v>10</v>
      </c>
      <c r="D138" s="7">
        <v>2</v>
      </c>
      <c r="E138" s="7">
        <v>2</v>
      </c>
      <c r="F138" s="7">
        <v>3</v>
      </c>
      <c r="G138" s="7" t="s">
        <v>303</v>
      </c>
      <c r="H138" s="7" t="s">
        <v>16</v>
      </c>
      <c r="I138" s="7" t="s">
        <v>303</v>
      </c>
      <c r="J138" s="7">
        <v>16.899999999999999</v>
      </c>
      <c r="K138" s="7" t="str">
        <f>"-17 30"</f>
        <v>-17 30</v>
      </c>
      <c r="M138">
        <v>16.100000000000001</v>
      </c>
      <c r="N138">
        <v>-5.0999999999999996</v>
      </c>
      <c r="O138">
        <v>45.9</v>
      </c>
      <c r="P138" t="s">
        <v>386</v>
      </c>
    </row>
    <row r="139" spans="1:16" x14ac:dyDescent="0.25">
      <c r="A139" s="1">
        <v>51</v>
      </c>
      <c r="B139">
        <v>52</v>
      </c>
      <c r="C139" s="7">
        <v>3</v>
      </c>
      <c r="D139" s="7">
        <v>4</v>
      </c>
      <c r="E139" s="7">
        <v>0</v>
      </c>
      <c r="F139" s="7">
        <v>4</v>
      </c>
      <c r="G139" s="7" t="s">
        <v>16</v>
      </c>
      <c r="H139" s="7" t="s">
        <v>304</v>
      </c>
      <c r="I139" s="7" t="s">
        <v>312</v>
      </c>
      <c r="J139" s="7">
        <v>49.5</v>
      </c>
      <c r="K139" s="7" t="str">
        <f>"-20 30"</f>
        <v>-20 30</v>
      </c>
      <c r="M139">
        <v>46.4</v>
      </c>
      <c r="N139">
        <v>-17.3</v>
      </c>
      <c r="O139">
        <v>40.9</v>
      </c>
    </row>
    <row r="140" spans="1:16" x14ac:dyDescent="0.25">
      <c r="A140" s="1">
        <v>52</v>
      </c>
      <c r="B140">
        <v>53</v>
      </c>
      <c r="C140" s="7">
        <v>3</v>
      </c>
      <c r="D140" s="7">
        <v>2</v>
      </c>
      <c r="E140" s="7">
        <v>5</v>
      </c>
      <c r="F140" s="7">
        <v>3</v>
      </c>
      <c r="G140" s="7" t="s">
        <v>305</v>
      </c>
      <c r="H140" s="7" t="s">
        <v>16</v>
      </c>
      <c r="I140" s="7" t="s">
        <v>305</v>
      </c>
      <c r="J140" s="7">
        <v>51.2</v>
      </c>
      <c r="K140" s="7" t="str">
        <f>"-12 30"</f>
        <v>-12 30</v>
      </c>
      <c r="M140">
        <v>50</v>
      </c>
      <c r="N140">
        <v>-11.1</v>
      </c>
      <c r="O140">
        <v>23.9</v>
      </c>
    </row>
    <row r="141" spans="1:16" x14ac:dyDescent="0.25">
      <c r="A141" s="1">
        <v>53</v>
      </c>
      <c r="B141">
        <v>54</v>
      </c>
      <c r="C141" s="7">
        <v>1</v>
      </c>
      <c r="D141" s="7">
        <v>1</v>
      </c>
      <c r="E141" s="7" t="str">
        <f t="shared" ref="E141" si="17">"/"</f>
        <v>/</v>
      </c>
      <c r="F141" s="7">
        <v>2</v>
      </c>
      <c r="G141" s="7" t="s">
        <v>237</v>
      </c>
      <c r="H141" s="7" t="s">
        <v>16</v>
      </c>
      <c r="I141" s="7" t="s">
        <v>237</v>
      </c>
      <c r="J141" s="7">
        <v>14.2</v>
      </c>
      <c r="K141" s="7" t="s">
        <v>128</v>
      </c>
      <c r="M141">
        <v>13.3</v>
      </c>
      <c r="N141">
        <v>-3.5</v>
      </c>
      <c r="O141">
        <v>13.2</v>
      </c>
      <c r="P141" t="s">
        <v>387</v>
      </c>
    </row>
    <row r="142" spans="1:16" x14ac:dyDescent="0.25">
      <c r="A142" s="1">
        <v>54</v>
      </c>
      <c r="O142">
        <v>10</v>
      </c>
      <c r="P142" t="s">
        <v>388</v>
      </c>
    </row>
    <row r="144" spans="1:16" x14ac:dyDescent="0.25">
      <c r="A144" s="1" t="s">
        <v>319</v>
      </c>
      <c r="B144" s="1" t="s">
        <v>320</v>
      </c>
      <c r="C144" s="1" t="s">
        <v>321</v>
      </c>
    </row>
    <row r="145" spans="1:16" x14ac:dyDescent="0.25">
      <c r="A145" s="1" t="s">
        <v>322</v>
      </c>
      <c r="B145" t="s">
        <v>323</v>
      </c>
      <c r="C145">
        <v>3</v>
      </c>
      <c r="D145">
        <v>2</v>
      </c>
      <c r="E145">
        <v>2</v>
      </c>
      <c r="F145">
        <v>1</v>
      </c>
      <c r="G145" t="s">
        <v>16</v>
      </c>
      <c r="H145" t="s">
        <v>356</v>
      </c>
      <c r="I145" t="s">
        <v>363</v>
      </c>
      <c r="J145">
        <v>12</v>
      </c>
      <c r="K145" t="str">
        <f>"-6 00"</f>
        <v>-6 00</v>
      </c>
      <c r="M145">
        <v>11.9</v>
      </c>
      <c r="N145">
        <v>-1.3</v>
      </c>
      <c r="O145">
        <v>367.1</v>
      </c>
      <c r="P145" t="s">
        <v>389</v>
      </c>
    </row>
    <row r="146" spans="1:16" x14ac:dyDescent="0.25">
      <c r="A146" s="1" t="s">
        <v>323</v>
      </c>
      <c r="B146" t="s">
        <v>324</v>
      </c>
      <c r="C146">
        <v>1</v>
      </c>
      <c r="D146">
        <v>1</v>
      </c>
      <c r="E146">
        <v>8</v>
      </c>
      <c r="F146">
        <v>6</v>
      </c>
      <c r="G146" t="s">
        <v>291</v>
      </c>
      <c r="H146" t="s">
        <v>16</v>
      </c>
      <c r="I146" t="s">
        <v>291</v>
      </c>
      <c r="J146">
        <v>3</v>
      </c>
      <c r="K146" t="str">
        <f>"-6 00"</f>
        <v>-6 00</v>
      </c>
      <c r="M146">
        <v>3</v>
      </c>
      <c r="N146">
        <v>-0.3</v>
      </c>
      <c r="O146">
        <v>365.8</v>
      </c>
    </row>
    <row r="147" spans="1:16" x14ac:dyDescent="0.25">
      <c r="A147" s="1" t="s">
        <v>324</v>
      </c>
      <c r="B147" t="s">
        <v>325</v>
      </c>
      <c r="C147" s="7" t="str">
        <f t="shared" ref="C147:F147" si="18">"/"</f>
        <v>/</v>
      </c>
      <c r="D147" s="7" t="str">
        <f t="shared" si="18"/>
        <v>/</v>
      </c>
      <c r="E147" s="7" t="str">
        <f t="shared" si="18"/>
        <v>/</v>
      </c>
      <c r="F147" s="7" t="str">
        <f t="shared" si="18"/>
        <v>/</v>
      </c>
      <c r="G147" t="s">
        <v>16</v>
      </c>
      <c r="H147" t="s">
        <v>16</v>
      </c>
      <c r="I147" t="s">
        <v>16</v>
      </c>
      <c r="J147">
        <v>6</v>
      </c>
      <c r="K147" t="str">
        <f>"-90 00"</f>
        <v>-90 00</v>
      </c>
      <c r="M147" t="s">
        <v>16</v>
      </c>
      <c r="N147">
        <v>-6</v>
      </c>
      <c r="O147">
        <v>365.5</v>
      </c>
      <c r="P147" t="s">
        <v>390</v>
      </c>
    </row>
    <row r="148" spans="1:16" x14ac:dyDescent="0.25">
      <c r="A148" s="1" t="s">
        <v>325</v>
      </c>
      <c r="B148" t="s">
        <v>326</v>
      </c>
      <c r="C148">
        <v>5</v>
      </c>
      <c r="D148" t="s">
        <v>16</v>
      </c>
      <c r="E148">
        <v>3</v>
      </c>
      <c r="F148">
        <v>2</v>
      </c>
      <c r="G148" t="s">
        <v>16</v>
      </c>
      <c r="H148" t="s">
        <v>357</v>
      </c>
      <c r="I148" t="s">
        <v>364</v>
      </c>
      <c r="J148">
        <v>17.5</v>
      </c>
      <c r="K148" t="s">
        <v>318</v>
      </c>
      <c r="M148">
        <v>17.3</v>
      </c>
      <c r="N148">
        <v>2.4</v>
      </c>
      <c r="O148">
        <v>359.5</v>
      </c>
    </row>
    <row r="149" spans="1:16" x14ac:dyDescent="0.25">
      <c r="A149" s="1" t="s">
        <v>326</v>
      </c>
      <c r="B149" t="s">
        <v>327</v>
      </c>
      <c r="C149">
        <v>3</v>
      </c>
      <c r="D149">
        <v>4</v>
      </c>
      <c r="E149">
        <v>2</v>
      </c>
      <c r="F149">
        <v>1</v>
      </c>
      <c r="G149" t="s">
        <v>350</v>
      </c>
      <c r="H149" t="s">
        <v>16</v>
      </c>
      <c r="I149" t="s">
        <v>350</v>
      </c>
      <c r="J149">
        <v>4.9000000000000004</v>
      </c>
      <c r="K149" t="s">
        <v>371</v>
      </c>
      <c r="M149">
        <v>4.9000000000000004</v>
      </c>
      <c r="N149">
        <v>0.5</v>
      </c>
      <c r="O149">
        <v>361.9</v>
      </c>
    </row>
    <row r="150" spans="1:16" x14ac:dyDescent="0.25">
      <c r="A150" s="1" t="s">
        <v>327</v>
      </c>
      <c r="B150" t="s">
        <v>328</v>
      </c>
      <c r="C150">
        <v>15</v>
      </c>
      <c r="D150">
        <v>3</v>
      </c>
      <c r="E150">
        <v>2</v>
      </c>
      <c r="F150">
        <v>2</v>
      </c>
      <c r="G150" t="s">
        <v>16</v>
      </c>
      <c r="H150" t="s">
        <v>358</v>
      </c>
      <c r="I150" t="s">
        <v>365</v>
      </c>
      <c r="J150">
        <v>23.5</v>
      </c>
      <c r="K150" t="str">
        <f>"-12 00"</f>
        <v>-12 00</v>
      </c>
      <c r="M150">
        <v>23</v>
      </c>
      <c r="N150">
        <v>-4.9000000000000004</v>
      </c>
      <c r="O150">
        <v>362.4</v>
      </c>
    </row>
    <row r="151" spans="1:16" x14ac:dyDescent="0.25">
      <c r="A151" s="1" t="s">
        <v>328</v>
      </c>
      <c r="B151" t="s">
        <v>329</v>
      </c>
      <c r="C151">
        <v>2</v>
      </c>
      <c r="D151">
        <v>3</v>
      </c>
      <c r="E151" s="7" t="str">
        <f t="shared" ref="E151" si="19">"/"</f>
        <v>/</v>
      </c>
      <c r="F151">
        <v>3</v>
      </c>
      <c r="G151" t="s">
        <v>351</v>
      </c>
      <c r="H151" t="s">
        <v>16</v>
      </c>
      <c r="I151" t="s">
        <v>351</v>
      </c>
      <c r="J151">
        <v>8.1999999999999993</v>
      </c>
      <c r="K151" t="str">
        <f>"-21 00"</f>
        <v>-21 00</v>
      </c>
      <c r="M151">
        <v>7.6</v>
      </c>
      <c r="N151">
        <v>-3</v>
      </c>
      <c r="O151">
        <v>357.5</v>
      </c>
    </row>
    <row r="152" spans="1:16" x14ac:dyDescent="0.25">
      <c r="A152" s="1" t="s">
        <v>329</v>
      </c>
      <c r="B152" t="s">
        <v>330</v>
      </c>
      <c r="C152">
        <v>1</v>
      </c>
      <c r="D152">
        <v>3</v>
      </c>
      <c r="E152" t="s">
        <v>16</v>
      </c>
      <c r="F152">
        <v>2</v>
      </c>
      <c r="G152" t="s">
        <v>16</v>
      </c>
      <c r="H152" t="s">
        <v>359</v>
      </c>
      <c r="I152" t="s">
        <v>366</v>
      </c>
      <c r="J152">
        <v>9</v>
      </c>
      <c r="K152" t="str">
        <f>"-17 00"</f>
        <v>-17 00</v>
      </c>
      <c r="M152">
        <v>8.6</v>
      </c>
      <c r="N152">
        <v>-2.6</v>
      </c>
      <c r="O152">
        <v>354.5</v>
      </c>
      <c r="P152" t="s">
        <v>391</v>
      </c>
    </row>
    <row r="153" spans="1:16" x14ac:dyDescent="0.25">
      <c r="A153" s="1" t="s">
        <v>330</v>
      </c>
      <c r="B153" t="s">
        <v>331</v>
      </c>
      <c r="C153" t="s">
        <v>16</v>
      </c>
      <c r="D153">
        <v>3</v>
      </c>
      <c r="E153">
        <v>3</v>
      </c>
      <c r="F153">
        <v>3</v>
      </c>
      <c r="G153" t="s">
        <v>16</v>
      </c>
      <c r="H153" t="s">
        <v>16</v>
      </c>
      <c r="I153" t="s">
        <v>16</v>
      </c>
      <c r="J153">
        <v>0.5</v>
      </c>
      <c r="K153" t="str">
        <f>"-90 00"</f>
        <v>-90 00</v>
      </c>
      <c r="M153" t="s">
        <v>16</v>
      </c>
      <c r="N153">
        <v>-0.5</v>
      </c>
      <c r="O153">
        <v>351.9</v>
      </c>
    </row>
    <row r="154" spans="1:16" x14ac:dyDescent="0.25">
      <c r="A154" s="1" t="s">
        <v>331</v>
      </c>
      <c r="B154" t="s">
        <v>332</v>
      </c>
      <c r="C154" s="7" t="str">
        <f t="shared" ref="C154:F155" si="20">"/"</f>
        <v>/</v>
      </c>
      <c r="D154" s="7" t="str">
        <f t="shared" si="20"/>
        <v>/</v>
      </c>
      <c r="E154" s="7" t="str">
        <f t="shared" si="20"/>
        <v>/</v>
      </c>
      <c r="F154" s="7" t="str">
        <f t="shared" si="20"/>
        <v>/</v>
      </c>
      <c r="G154" t="s">
        <v>352</v>
      </c>
      <c r="H154" t="s">
        <v>16</v>
      </c>
      <c r="I154" t="s">
        <v>367</v>
      </c>
      <c r="J154">
        <v>14.8</v>
      </c>
      <c r="K154" t="str">
        <f>"-53 00"</f>
        <v>-53 00</v>
      </c>
      <c r="M154">
        <v>8.9</v>
      </c>
      <c r="N154">
        <v>-11.8</v>
      </c>
      <c r="O154">
        <v>351.4</v>
      </c>
    </row>
    <row r="155" spans="1:16" x14ac:dyDescent="0.25">
      <c r="A155" s="1" t="s">
        <v>332</v>
      </c>
      <c r="B155" t="s">
        <v>333</v>
      </c>
      <c r="C155">
        <v>12</v>
      </c>
      <c r="D155" t="s">
        <v>16</v>
      </c>
      <c r="E155" s="7" t="str">
        <f t="shared" si="20"/>
        <v>/</v>
      </c>
      <c r="F155">
        <v>10</v>
      </c>
      <c r="G155" t="s">
        <v>16</v>
      </c>
      <c r="H155" t="s">
        <v>360</v>
      </c>
      <c r="I155" t="s">
        <v>368</v>
      </c>
      <c r="J155">
        <v>13.3</v>
      </c>
      <c r="K155" t="str">
        <f>"-47 00"</f>
        <v>-47 00</v>
      </c>
      <c r="M155">
        <v>9</v>
      </c>
      <c r="N155">
        <v>-9.6999999999999993</v>
      </c>
      <c r="O155">
        <v>339.6</v>
      </c>
    </row>
    <row r="156" spans="1:16" x14ac:dyDescent="0.25">
      <c r="A156" s="1" t="s">
        <v>333</v>
      </c>
      <c r="B156" t="s">
        <v>334</v>
      </c>
      <c r="C156" s="7" t="str">
        <f t="shared" ref="C156:F157" si="21">"/"</f>
        <v>/</v>
      </c>
      <c r="D156" s="7" t="str">
        <f t="shared" si="21"/>
        <v>/</v>
      </c>
      <c r="E156" s="7" t="str">
        <f t="shared" si="21"/>
        <v>/</v>
      </c>
      <c r="F156" s="7" t="str">
        <f t="shared" si="21"/>
        <v>/</v>
      </c>
      <c r="G156" t="s">
        <v>16</v>
      </c>
      <c r="H156" t="s">
        <v>16</v>
      </c>
      <c r="I156" t="s">
        <v>16</v>
      </c>
      <c r="J156">
        <v>0.5</v>
      </c>
      <c r="K156" t="s">
        <v>314</v>
      </c>
      <c r="M156" t="s">
        <v>16</v>
      </c>
      <c r="N156">
        <v>0.5</v>
      </c>
      <c r="O156">
        <v>329.9</v>
      </c>
    </row>
    <row r="157" spans="1:16" x14ac:dyDescent="0.25">
      <c r="A157" s="1" t="s">
        <v>334</v>
      </c>
      <c r="B157" t="s">
        <v>335</v>
      </c>
      <c r="C157" s="7" t="str">
        <f t="shared" si="21"/>
        <v>/</v>
      </c>
      <c r="D157">
        <v>6</v>
      </c>
      <c r="E157" s="7" t="str">
        <f t="shared" si="21"/>
        <v>/</v>
      </c>
      <c r="F157">
        <v>4</v>
      </c>
      <c r="G157" t="s">
        <v>353</v>
      </c>
      <c r="H157" t="s">
        <v>16</v>
      </c>
      <c r="I157" t="s">
        <v>353</v>
      </c>
      <c r="J157">
        <v>14.5</v>
      </c>
      <c r="K157" t="str">
        <f>"-6 00"</f>
        <v>-6 00</v>
      </c>
      <c r="M157">
        <v>14.4</v>
      </c>
      <c r="N157">
        <v>-1.5</v>
      </c>
      <c r="O157">
        <v>330.4</v>
      </c>
    </row>
    <row r="158" spans="1:16" x14ac:dyDescent="0.25">
      <c r="A158" s="1" t="s">
        <v>335</v>
      </c>
      <c r="B158" t="s">
        <v>336</v>
      </c>
      <c r="C158">
        <v>10</v>
      </c>
      <c r="D158">
        <v>2</v>
      </c>
      <c r="E158">
        <v>4</v>
      </c>
      <c r="F158" t="s">
        <v>16</v>
      </c>
      <c r="G158" t="s">
        <v>16</v>
      </c>
      <c r="H158" t="s">
        <v>361</v>
      </c>
      <c r="I158" t="s">
        <v>369</v>
      </c>
      <c r="J158">
        <v>17.3</v>
      </c>
      <c r="K158" t="str">
        <f>"-20 00"</f>
        <v>-20 00</v>
      </c>
      <c r="M158">
        <v>16.2</v>
      </c>
      <c r="N158">
        <v>-5.9</v>
      </c>
      <c r="O158">
        <v>328.9</v>
      </c>
    </row>
    <row r="159" spans="1:16" x14ac:dyDescent="0.25">
      <c r="A159" s="1" t="s">
        <v>336</v>
      </c>
      <c r="B159" t="s">
        <v>337</v>
      </c>
      <c r="C159">
        <v>8</v>
      </c>
      <c r="D159">
        <v>5</v>
      </c>
      <c r="E159">
        <v>1</v>
      </c>
      <c r="F159">
        <v>2</v>
      </c>
      <c r="G159" t="s">
        <v>354</v>
      </c>
      <c r="H159" t="s">
        <v>16</v>
      </c>
      <c r="I159" t="s">
        <v>354</v>
      </c>
      <c r="J159">
        <v>17.2</v>
      </c>
      <c r="K159" t="str">
        <f>"-22 00"</f>
        <v>-22 00</v>
      </c>
      <c r="M159">
        <v>15.9</v>
      </c>
      <c r="N159">
        <v>-6.4</v>
      </c>
      <c r="O159">
        <v>323</v>
      </c>
    </row>
    <row r="160" spans="1:16" x14ac:dyDescent="0.25">
      <c r="A160" s="1" t="s">
        <v>337</v>
      </c>
      <c r="B160" t="s">
        <v>338</v>
      </c>
      <c r="C160">
        <v>10</v>
      </c>
      <c r="D160">
        <v>7</v>
      </c>
      <c r="E160">
        <v>2</v>
      </c>
      <c r="F160">
        <v>1</v>
      </c>
      <c r="G160" t="s">
        <v>16</v>
      </c>
      <c r="H160" t="s">
        <v>362</v>
      </c>
      <c r="I160" t="s">
        <v>370</v>
      </c>
      <c r="J160">
        <v>8.9</v>
      </c>
      <c r="K160" t="str">
        <f>"-13 30"</f>
        <v>-13 30</v>
      </c>
      <c r="M160">
        <v>8.6</v>
      </c>
      <c r="N160">
        <v>-2.1</v>
      </c>
      <c r="O160">
        <v>316.60000000000002</v>
      </c>
    </row>
    <row r="161" spans="1:16" x14ac:dyDescent="0.25">
      <c r="A161" s="1" t="s">
        <v>338</v>
      </c>
      <c r="B161" t="s">
        <v>339</v>
      </c>
      <c r="C161">
        <v>12</v>
      </c>
      <c r="D161">
        <v>7</v>
      </c>
      <c r="E161">
        <v>1</v>
      </c>
      <c r="F161">
        <v>2</v>
      </c>
      <c r="G161" t="s">
        <v>355</v>
      </c>
      <c r="H161" t="s">
        <v>16</v>
      </c>
      <c r="I161" t="s">
        <v>355</v>
      </c>
      <c r="J161">
        <v>32</v>
      </c>
      <c r="K161" t="str">
        <f>"-17 00"</f>
        <v>-17 00</v>
      </c>
      <c r="M161">
        <v>30.6</v>
      </c>
      <c r="N161">
        <v>-9.4</v>
      </c>
      <c r="O161">
        <v>314.5</v>
      </c>
    </row>
    <row r="162" spans="1:16" x14ac:dyDescent="0.25">
      <c r="A162" s="1" t="s">
        <v>339</v>
      </c>
      <c r="O162">
        <v>305.10000000000002</v>
      </c>
      <c r="P162" t="s">
        <v>392</v>
      </c>
    </row>
    <row r="163" spans="1:16" x14ac:dyDescent="0.25">
      <c r="A163" s="1"/>
    </row>
    <row r="164" spans="1:16" x14ac:dyDescent="0.25">
      <c r="A164" s="1" t="s">
        <v>340</v>
      </c>
      <c r="B164" s="1" t="s">
        <v>341</v>
      </c>
      <c r="C164" s="1" t="s">
        <v>342</v>
      </c>
    </row>
    <row r="165" spans="1:16" x14ac:dyDescent="0.25">
      <c r="A165" s="1" t="s">
        <v>339</v>
      </c>
      <c r="B165" t="s">
        <v>343</v>
      </c>
      <c r="C165">
        <v>20</v>
      </c>
      <c r="D165">
        <v>1</v>
      </c>
      <c r="E165">
        <v>1</v>
      </c>
      <c r="F165">
        <v>3</v>
      </c>
      <c r="G165" t="s">
        <v>16</v>
      </c>
      <c r="H165" t="s">
        <v>237</v>
      </c>
      <c r="I165" t="s">
        <v>222</v>
      </c>
      <c r="J165">
        <v>5.6</v>
      </c>
      <c r="K165" t="s">
        <v>380</v>
      </c>
      <c r="M165">
        <v>4.9000000000000004</v>
      </c>
      <c r="N165">
        <v>2.8</v>
      </c>
      <c r="O165">
        <v>305.10000000000002</v>
      </c>
    </row>
    <row r="166" spans="1:16" x14ac:dyDescent="0.25">
      <c r="A166" s="1" t="s">
        <v>343</v>
      </c>
      <c r="B166" t="s">
        <v>344</v>
      </c>
      <c r="C166">
        <v>10</v>
      </c>
      <c r="D166">
        <v>5</v>
      </c>
      <c r="E166">
        <v>2</v>
      </c>
      <c r="F166">
        <v>1</v>
      </c>
      <c r="G166" t="s">
        <v>372</v>
      </c>
      <c r="H166" t="s">
        <v>16</v>
      </c>
      <c r="I166" t="s">
        <v>372</v>
      </c>
      <c r="J166">
        <v>8.6999999999999993</v>
      </c>
      <c r="K166" t="s">
        <v>381</v>
      </c>
      <c r="M166">
        <v>8.6999999999999993</v>
      </c>
      <c r="N166">
        <v>0.3</v>
      </c>
      <c r="O166">
        <v>307.89999999999998</v>
      </c>
    </row>
    <row r="167" spans="1:16" x14ac:dyDescent="0.25">
      <c r="A167" s="1" t="s">
        <v>344</v>
      </c>
      <c r="B167" t="s">
        <v>345</v>
      </c>
      <c r="C167">
        <v>15</v>
      </c>
      <c r="D167">
        <v>4</v>
      </c>
      <c r="E167">
        <v>2</v>
      </c>
      <c r="F167">
        <v>1</v>
      </c>
      <c r="G167" t="s">
        <v>16</v>
      </c>
      <c r="H167" t="s">
        <v>374</v>
      </c>
      <c r="I167" t="s">
        <v>377</v>
      </c>
      <c r="J167">
        <v>3.1</v>
      </c>
      <c r="K167" t="s">
        <v>382</v>
      </c>
      <c r="M167">
        <v>2.9</v>
      </c>
      <c r="N167">
        <v>0.7</v>
      </c>
      <c r="O167">
        <v>308.2</v>
      </c>
    </row>
    <row r="168" spans="1:16" x14ac:dyDescent="0.25">
      <c r="A168" s="1" t="s">
        <v>345</v>
      </c>
      <c r="B168" t="s">
        <v>346</v>
      </c>
      <c r="C168">
        <v>15</v>
      </c>
      <c r="D168">
        <v>6</v>
      </c>
      <c r="E168">
        <v>1</v>
      </c>
      <c r="F168">
        <v>2</v>
      </c>
      <c r="G168" t="s">
        <v>366</v>
      </c>
      <c r="H168" t="s">
        <v>16</v>
      </c>
      <c r="I168" t="s">
        <v>366</v>
      </c>
      <c r="J168">
        <v>13.4</v>
      </c>
      <c r="K168" t="str">
        <f>"-15 00"</f>
        <v>-15 00</v>
      </c>
      <c r="M168">
        <v>12.9</v>
      </c>
      <c r="N168">
        <v>-3.5</v>
      </c>
      <c r="O168">
        <v>308.89999999999998</v>
      </c>
    </row>
    <row r="169" spans="1:16" x14ac:dyDescent="0.25">
      <c r="A169" s="1" t="s">
        <v>346</v>
      </c>
      <c r="B169" t="s">
        <v>347</v>
      </c>
      <c r="C169">
        <v>16</v>
      </c>
      <c r="D169">
        <v>2</v>
      </c>
      <c r="E169" t="s">
        <v>16</v>
      </c>
      <c r="F169">
        <v>2</v>
      </c>
      <c r="G169" t="s">
        <v>16</v>
      </c>
      <c r="H169" t="s">
        <v>375</v>
      </c>
      <c r="I169" t="s">
        <v>378</v>
      </c>
      <c r="J169">
        <v>19.2</v>
      </c>
      <c r="K169" t="str">
        <f>"-2 30"</f>
        <v>-2 30</v>
      </c>
      <c r="M169">
        <v>19.100000000000001</v>
      </c>
      <c r="N169">
        <v>-0.8</v>
      </c>
      <c r="O169">
        <v>305.39999999999998</v>
      </c>
    </row>
    <row r="170" spans="1:16" x14ac:dyDescent="0.25">
      <c r="A170" s="1" t="s">
        <v>347</v>
      </c>
      <c r="B170" t="s">
        <v>348</v>
      </c>
      <c r="C170">
        <v>6</v>
      </c>
      <c r="D170">
        <v>5</v>
      </c>
      <c r="E170">
        <v>4</v>
      </c>
      <c r="F170">
        <v>1</v>
      </c>
      <c r="G170" t="s">
        <v>373</v>
      </c>
      <c r="H170" t="s">
        <v>16</v>
      </c>
      <c r="I170" t="s">
        <v>373</v>
      </c>
      <c r="J170">
        <v>20.100000000000001</v>
      </c>
      <c r="K170" t="str">
        <f>"-13 00"</f>
        <v>-13 00</v>
      </c>
      <c r="M170">
        <v>19.600000000000001</v>
      </c>
      <c r="N170">
        <v>-4.5</v>
      </c>
      <c r="O170">
        <v>304.60000000000002</v>
      </c>
    </row>
    <row r="171" spans="1:16" x14ac:dyDescent="0.25">
      <c r="A171" s="1" t="s">
        <v>348</v>
      </c>
      <c r="B171" t="s">
        <v>349</v>
      </c>
      <c r="C171">
        <v>12</v>
      </c>
      <c r="D171">
        <v>3</v>
      </c>
      <c r="E171">
        <v>2</v>
      </c>
      <c r="F171" t="s">
        <v>16</v>
      </c>
      <c r="G171" t="s">
        <v>16</v>
      </c>
      <c r="H171" t="s">
        <v>376</v>
      </c>
      <c r="I171" t="s">
        <v>379</v>
      </c>
      <c r="J171">
        <v>23.2</v>
      </c>
      <c r="K171" t="str">
        <f>"-15 00"</f>
        <v>-15 00</v>
      </c>
      <c r="M171">
        <v>22.4</v>
      </c>
      <c r="N171">
        <v>-6</v>
      </c>
      <c r="O171">
        <v>300.10000000000002</v>
      </c>
      <c r="P171" t="s">
        <v>393</v>
      </c>
    </row>
    <row r="172" spans="1:16" x14ac:dyDescent="0.25">
      <c r="A172" s="1" t="str">
        <f>B171</f>
        <v>DA</v>
      </c>
      <c r="B172" t="s">
        <v>396</v>
      </c>
      <c r="C172">
        <v>10</v>
      </c>
      <c r="D172">
        <v>2</v>
      </c>
      <c r="E172" s="7" t="str">
        <f t="shared" ref="E172" si="22">"/"</f>
        <v>/</v>
      </c>
      <c r="F172">
        <v>7</v>
      </c>
      <c r="G172" t="s">
        <v>410</v>
      </c>
      <c r="H172" t="s">
        <v>16</v>
      </c>
      <c r="I172" t="s">
        <v>410</v>
      </c>
      <c r="J172">
        <v>27.9</v>
      </c>
      <c r="K172" t="str">
        <f>"-41 30"</f>
        <v>-41 30</v>
      </c>
      <c r="M172">
        <v>20.9</v>
      </c>
      <c r="N172">
        <v>-18.5</v>
      </c>
      <c r="O172">
        <v>294.10000000000002</v>
      </c>
    </row>
    <row r="173" spans="1:16" x14ac:dyDescent="0.25">
      <c r="A173" s="1" t="str">
        <f>B172</f>
        <v>CZ</v>
      </c>
      <c r="B173" s="5" t="s">
        <v>397</v>
      </c>
      <c r="C173">
        <v>25</v>
      </c>
      <c r="D173">
        <v>4</v>
      </c>
      <c r="E173">
        <v>3</v>
      </c>
      <c r="F173">
        <v>2</v>
      </c>
      <c r="G173" t="s">
        <v>16</v>
      </c>
      <c r="H173" t="s">
        <v>411</v>
      </c>
      <c r="I173" t="s">
        <v>421</v>
      </c>
      <c r="J173">
        <v>22.6</v>
      </c>
      <c r="K173" t="str">
        <f>"-17 00"</f>
        <v>-17 00</v>
      </c>
      <c r="M173">
        <v>21.6</v>
      </c>
      <c r="N173">
        <v>-6.6</v>
      </c>
      <c r="O173">
        <v>275.60000000000002</v>
      </c>
    </row>
    <row r="174" spans="1:16" x14ac:dyDescent="0.25">
      <c r="A174" s="1" t="str">
        <f t="shared" ref="A174:A186" si="23">B173</f>
        <v>CY</v>
      </c>
      <c r="B174" s="5" t="s">
        <v>398</v>
      </c>
      <c r="C174">
        <v>25</v>
      </c>
      <c r="D174">
        <v>2</v>
      </c>
      <c r="E174">
        <v>1</v>
      </c>
      <c r="F174">
        <v>2</v>
      </c>
      <c r="G174" t="s">
        <v>369</v>
      </c>
      <c r="H174" t="s">
        <v>16</v>
      </c>
      <c r="I174" t="s">
        <v>369</v>
      </c>
      <c r="J174">
        <v>27.4</v>
      </c>
      <c r="K174" t="str">
        <f>"-6 40"</f>
        <v>-6 40</v>
      </c>
      <c r="M174">
        <v>27.2</v>
      </c>
      <c r="N174">
        <v>-3.2</v>
      </c>
      <c r="O174">
        <v>269</v>
      </c>
    </row>
    <row r="175" spans="1:16" x14ac:dyDescent="0.25">
      <c r="A175" s="1" t="str">
        <f t="shared" si="23"/>
        <v>CX</v>
      </c>
      <c r="B175" s="5" t="s">
        <v>399</v>
      </c>
      <c r="C175">
        <v>25</v>
      </c>
      <c r="D175" t="s">
        <v>16</v>
      </c>
      <c r="E175">
        <v>4</v>
      </c>
      <c r="F175">
        <v>2</v>
      </c>
      <c r="G175" t="s">
        <v>16</v>
      </c>
      <c r="H175" t="s">
        <v>416</v>
      </c>
      <c r="I175" t="s">
        <v>422</v>
      </c>
      <c r="J175">
        <v>22.2</v>
      </c>
      <c r="K175" t="str">
        <f>"-1 40"</f>
        <v>-1 40</v>
      </c>
      <c r="M175">
        <v>22.1</v>
      </c>
      <c r="N175">
        <v>-0.6</v>
      </c>
      <c r="O175">
        <v>265.8</v>
      </c>
    </row>
    <row r="176" spans="1:16" x14ac:dyDescent="0.25">
      <c r="A176" s="1" t="str">
        <f t="shared" si="23"/>
        <v>CW</v>
      </c>
      <c r="B176" s="5" t="s">
        <v>400</v>
      </c>
      <c r="C176">
        <v>30</v>
      </c>
      <c r="D176">
        <v>3</v>
      </c>
      <c r="E176">
        <v>3</v>
      </c>
      <c r="F176">
        <v>3</v>
      </c>
      <c r="G176" t="s">
        <v>412</v>
      </c>
      <c r="H176" t="s">
        <v>16</v>
      </c>
      <c r="I176" t="s">
        <v>412</v>
      </c>
      <c r="J176">
        <v>16.3</v>
      </c>
      <c r="K176" t="s">
        <v>106</v>
      </c>
      <c r="M176">
        <v>16.2</v>
      </c>
      <c r="N176">
        <v>1.8</v>
      </c>
      <c r="O176">
        <v>265.2</v>
      </c>
    </row>
    <row r="177" spans="1:16" x14ac:dyDescent="0.25">
      <c r="A177" s="1" t="str">
        <f t="shared" si="23"/>
        <v>CV</v>
      </c>
      <c r="B177" s="5" t="s">
        <v>401</v>
      </c>
      <c r="C177">
        <v>15</v>
      </c>
      <c r="D177">
        <v>5</v>
      </c>
      <c r="E177">
        <v>1</v>
      </c>
      <c r="F177">
        <v>5</v>
      </c>
      <c r="G177" t="s">
        <v>16</v>
      </c>
      <c r="H177" t="s">
        <v>417</v>
      </c>
      <c r="I177" t="s">
        <v>423</v>
      </c>
      <c r="J177">
        <v>13.6</v>
      </c>
      <c r="K177" t="s">
        <v>371</v>
      </c>
      <c r="M177">
        <v>13.5</v>
      </c>
      <c r="N177">
        <v>1.4</v>
      </c>
      <c r="O177">
        <v>267</v>
      </c>
    </row>
    <row r="178" spans="1:16" x14ac:dyDescent="0.25">
      <c r="A178" s="1" t="str">
        <f t="shared" si="23"/>
        <v>CU</v>
      </c>
      <c r="B178" s="5" t="s">
        <v>402</v>
      </c>
      <c r="C178">
        <v>8</v>
      </c>
      <c r="D178">
        <v>10</v>
      </c>
      <c r="E178" t="s">
        <v>16</v>
      </c>
      <c r="F178">
        <v>12</v>
      </c>
      <c r="G178" t="s">
        <v>413</v>
      </c>
      <c r="H178" t="s">
        <v>16</v>
      </c>
      <c r="I178" t="s">
        <v>413</v>
      </c>
      <c r="J178">
        <v>20.100000000000001</v>
      </c>
      <c r="K178" t="str">
        <f>"-28 00"</f>
        <v>-28 00</v>
      </c>
      <c r="M178">
        <v>17.7</v>
      </c>
      <c r="N178">
        <v>-9.4</v>
      </c>
      <c r="O178">
        <v>268.39999999999998</v>
      </c>
    </row>
    <row r="179" spans="1:16" x14ac:dyDescent="0.25">
      <c r="A179" s="1" t="str">
        <f t="shared" si="23"/>
        <v>CT</v>
      </c>
      <c r="B179" s="5" t="s">
        <v>403</v>
      </c>
      <c r="C179">
        <v>4</v>
      </c>
      <c r="D179">
        <v>3</v>
      </c>
      <c r="E179">
        <v>1</v>
      </c>
      <c r="F179">
        <v>5</v>
      </c>
      <c r="G179" t="s">
        <v>16</v>
      </c>
      <c r="H179" t="s">
        <v>16</v>
      </c>
      <c r="I179" t="s">
        <v>16</v>
      </c>
      <c r="J179">
        <v>1.8</v>
      </c>
      <c r="K179" t="s">
        <v>314</v>
      </c>
      <c r="M179" t="s">
        <v>16</v>
      </c>
      <c r="N179">
        <v>1.8</v>
      </c>
      <c r="O179">
        <v>259</v>
      </c>
      <c r="P179" t="s">
        <v>427</v>
      </c>
    </row>
    <row r="180" spans="1:16" x14ac:dyDescent="0.25">
      <c r="A180" s="1" t="str">
        <f t="shared" si="23"/>
        <v>CS</v>
      </c>
      <c r="B180" s="5" t="s">
        <v>404</v>
      </c>
      <c r="C180">
        <v>5</v>
      </c>
      <c r="D180">
        <v>5</v>
      </c>
      <c r="E180">
        <v>1</v>
      </c>
      <c r="F180">
        <v>5</v>
      </c>
      <c r="G180" t="s">
        <v>414</v>
      </c>
      <c r="H180" t="s">
        <v>16</v>
      </c>
      <c r="I180" t="s">
        <v>414</v>
      </c>
      <c r="J180">
        <v>15.8</v>
      </c>
      <c r="K180" t="str">
        <f>"-1 00"</f>
        <v>-1 00</v>
      </c>
      <c r="M180">
        <v>15.7</v>
      </c>
      <c r="N180">
        <v>-0.3</v>
      </c>
      <c r="O180">
        <v>260.8</v>
      </c>
    </row>
    <row r="181" spans="1:16" x14ac:dyDescent="0.25">
      <c r="A181" s="1" t="str">
        <f t="shared" si="23"/>
        <v>CR</v>
      </c>
      <c r="B181" s="5" t="s">
        <v>405</v>
      </c>
      <c r="C181">
        <v>6</v>
      </c>
      <c r="D181">
        <v>5</v>
      </c>
      <c r="E181">
        <v>1</v>
      </c>
      <c r="F181">
        <v>2</v>
      </c>
      <c r="G181" t="s">
        <v>16</v>
      </c>
      <c r="H181" t="s">
        <v>418</v>
      </c>
      <c r="I181" t="s">
        <v>424</v>
      </c>
      <c r="J181">
        <v>16.7</v>
      </c>
      <c r="K181" t="str">
        <f>"-5 00"</f>
        <v>-5 00</v>
      </c>
      <c r="M181">
        <v>16.600000000000001</v>
      </c>
      <c r="N181">
        <v>-1.5</v>
      </c>
      <c r="O181">
        <v>260.5</v>
      </c>
    </row>
    <row r="182" spans="1:16" x14ac:dyDescent="0.25">
      <c r="A182" s="1" t="str">
        <f t="shared" si="23"/>
        <v>CQ</v>
      </c>
      <c r="B182" s="5" t="s">
        <v>406</v>
      </c>
      <c r="C182">
        <v>6</v>
      </c>
      <c r="D182">
        <v>5</v>
      </c>
      <c r="E182">
        <v>1</v>
      </c>
      <c r="F182">
        <v>2</v>
      </c>
      <c r="G182" t="s">
        <v>378</v>
      </c>
      <c r="H182" t="s">
        <v>16</v>
      </c>
      <c r="I182" t="s">
        <v>378</v>
      </c>
      <c r="J182">
        <v>14.5</v>
      </c>
      <c r="K182" t="s">
        <v>187</v>
      </c>
      <c r="M182">
        <v>14.4</v>
      </c>
      <c r="N182">
        <v>0.8</v>
      </c>
      <c r="O182">
        <v>259</v>
      </c>
    </row>
    <row r="183" spans="1:16" x14ac:dyDescent="0.25">
      <c r="A183" s="1" t="str">
        <f t="shared" si="23"/>
        <v>CP</v>
      </c>
      <c r="B183" s="5" t="s">
        <v>407</v>
      </c>
      <c r="C183">
        <v>4</v>
      </c>
      <c r="D183">
        <v>6</v>
      </c>
      <c r="E183" t="s">
        <v>16</v>
      </c>
      <c r="F183">
        <v>2</v>
      </c>
      <c r="G183" t="s">
        <v>16</v>
      </c>
      <c r="H183" t="s">
        <v>419</v>
      </c>
      <c r="I183" t="s">
        <v>425</v>
      </c>
      <c r="J183">
        <v>4.0999999999999996</v>
      </c>
      <c r="K183" t="s">
        <v>44</v>
      </c>
      <c r="M183">
        <v>4.0999999999999996</v>
      </c>
      <c r="N183" t="s">
        <v>16</v>
      </c>
      <c r="O183">
        <v>259.8</v>
      </c>
    </row>
    <row r="184" spans="1:16" x14ac:dyDescent="0.25">
      <c r="A184" s="1" t="str">
        <f t="shared" si="23"/>
        <v>CO</v>
      </c>
      <c r="B184" s="5" t="s">
        <v>408</v>
      </c>
      <c r="C184">
        <v>4</v>
      </c>
      <c r="D184">
        <v>8</v>
      </c>
      <c r="E184" t="s">
        <v>16</v>
      </c>
      <c r="F184">
        <v>2</v>
      </c>
      <c r="G184" t="s">
        <v>16</v>
      </c>
      <c r="H184" t="s">
        <v>420</v>
      </c>
      <c r="I184" t="s">
        <v>426</v>
      </c>
      <c r="J184">
        <v>9.5</v>
      </c>
      <c r="K184" t="s">
        <v>80</v>
      </c>
      <c r="M184">
        <v>9.4</v>
      </c>
      <c r="N184">
        <v>0.7</v>
      </c>
      <c r="O184">
        <v>259.8</v>
      </c>
    </row>
    <row r="185" spans="1:16" x14ac:dyDescent="0.25">
      <c r="A185" s="1" t="str">
        <f t="shared" si="23"/>
        <v>CN</v>
      </c>
      <c r="B185" s="5" t="s">
        <v>409</v>
      </c>
      <c r="C185">
        <v>3</v>
      </c>
      <c r="D185">
        <v>8</v>
      </c>
      <c r="E185">
        <v>1</v>
      </c>
      <c r="F185">
        <v>2</v>
      </c>
      <c r="G185" t="s">
        <v>415</v>
      </c>
      <c r="H185" t="s">
        <v>16</v>
      </c>
      <c r="I185" t="s">
        <v>415</v>
      </c>
      <c r="J185">
        <v>25.5</v>
      </c>
      <c r="K185" t="str">
        <f>"-21 30"</f>
        <v>-21 30</v>
      </c>
      <c r="M185">
        <v>23.8</v>
      </c>
      <c r="N185">
        <v>-9.3000000000000007</v>
      </c>
      <c r="O185">
        <v>260.5</v>
      </c>
      <c r="P185" t="s">
        <v>428</v>
      </c>
    </row>
    <row r="186" spans="1:16" x14ac:dyDescent="0.25">
      <c r="A186" s="1" t="str">
        <f t="shared" si="23"/>
        <v>CM</v>
      </c>
      <c r="K186" t="str">
        <f t="shared" ref="K186" si="24">"-"</f>
        <v>-</v>
      </c>
      <c r="O186">
        <v>251.2</v>
      </c>
    </row>
    <row r="187" spans="1:16" x14ac:dyDescent="0.25">
      <c r="A187" s="1"/>
    </row>
    <row r="188" spans="1:16" x14ac:dyDescent="0.25">
      <c r="A188" s="1" t="s">
        <v>580</v>
      </c>
      <c r="B188" s="1" t="s">
        <v>579</v>
      </c>
    </row>
    <row r="189" spans="1:16" x14ac:dyDescent="0.25">
      <c r="A189" s="1" t="s">
        <v>429</v>
      </c>
      <c r="B189" s="1"/>
      <c r="C189" s="1" t="s">
        <v>430</v>
      </c>
    </row>
    <row r="190" spans="1:16" x14ac:dyDescent="0.25">
      <c r="A190" t="s">
        <v>156</v>
      </c>
      <c r="B190" t="s">
        <v>431</v>
      </c>
      <c r="C190">
        <v>20</v>
      </c>
      <c r="D190">
        <v>8</v>
      </c>
      <c r="E190" t="s">
        <v>432</v>
      </c>
      <c r="F190" t="s">
        <v>433</v>
      </c>
      <c r="G190" t="s">
        <v>16</v>
      </c>
      <c r="H190" t="s">
        <v>434</v>
      </c>
      <c r="I190" t="s">
        <v>435</v>
      </c>
      <c r="J190">
        <v>17.600000000000001</v>
      </c>
      <c r="K190" t="s">
        <v>436</v>
      </c>
      <c r="M190">
        <v>15.2</v>
      </c>
      <c r="N190">
        <v>8.9</v>
      </c>
      <c r="O190">
        <v>113.8</v>
      </c>
    </row>
    <row r="191" spans="1:16" x14ac:dyDescent="0.25">
      <c r="A191" t="str">
        <f>B190</f>
        <v>AZ</v>
      </c>
      <c r="B191" t="s">
        <v>437</v>
      </c>
      <c r="C191">
        <v>12</v>
      </c>
      <c r="D191">
        <v>6</v>
      </c>
      <c r="E191">
        <v>2</v>
      </c>
      <c r="F191" t="s">
        <v>438</v>
      </c>
      <c r="G191" t="s">
        <v>439</v>
      </c>
      <c r="H191" t="s">
        <v>16</v>
      </c>
      <c r="I191" t="s">
        <v>439</v>
      </c>
      <c r="J191">
        <v>36.6</v>
      </c>
      <c r="K191" t="s">
        <v>440</v>
      </c>
      <c r="M191">
        <v>34.1</v>
      </c>
      <c r="N191">
        <v>13.3</v>
      </c>
      <c r="O191">
        <v>122.7</v>
      </c>
    </row>
    <row r="192" spans="1:16" x14ac:dyDescent="0.25">
      <c r="A192" t="str">
        <f t="shared" ref="A192:A230" si="25">B191</f>
        <v>BA</v>
      </c>
      <c r="B192" t="s">
        <v>441</v>
      </c>
      <c r="C192">
        <v>20</v>
      </c>
      <c r="D192">
        <v>8</v>
      </c>
      <c r="E192">
        <v>6</v>
      </c>
      <c r="F192">
        <v>2</v>
      </c>
      <c r="G192" t="s">
        <v>16</v>
      </c>
      <c r="H192" t="s">
        <v>442</v>
      </c>
      <c r="I192" t="s">
        <v>443</v>
      </c>
      <c r="J192">
        <v>10.8</v>
      </c>
      <c r="K192" t="str">
        <f>"-38 20"</f>
        <v>-38 20</v>
      </c>
      <c r="M192">
        <v>8.5</v>
      </c>
      <c r="N192">
        <v>-6.7</v>
      </c>
      <c r="O192">
        <v>136</v>
      </c>
    </row>
    <row r="193" spans="1:16" x14ac:dyDescent="0.25">
      <c r="A193" t="str">
        <f t="shared" si="25"/>
        <v>BB</v>
      </c>
      <c r="B193" t="s">
        <v>444</v>
      </c>
      <c r="C193">
        <v>12</v>
      </c>
      <c r="D193">
        <v>1</v>
      </c>
      <c r="E193">
        <v>2</v>
      </c>
      <c r="F193">
        <v>6</v>
      </c>
      <c r="G193" t="s">
        <v>445</v>
      </c>
      <c r="H193" t="s">
        <v>16</v>
      </c>
      <c r="I193" t="s">
        <v>445</v>
      </c>
      <c r="J193">
        <v>20.399999999999999</v>
      </c>
      <c r="K193" t="s">
        <v>245</v>
      </c>
      <c r="M193">
        <v>20.399999999999999</v>
      </c>
      <c r="N193">
        <v>0.35</v>
      </c>
      <c r="O193">
        <v>129.30000000000001</v>
      </c>
      <c r="P193" t="s">
        <v>446</v>
      </c>
    </row>
    <row r="194" spans="1:16" x14ac:dyDescent="0.25">
      <c r="A194" t="str">
        <f t="shared" si="25"/>
        <v>BC</v>
      </c>
      <c r="B194" t="s">
        <v>447</v>
      </c>
      <c r="C194">
        <v>18</v>
      </c>
      <c r="D194">
        <v>1</v>
      </c>
      <c r="E194">
        <v>4</v>
      </c>
      <c r="F194">
        <v>3</v>
      </c>
      <c r="G194" t="s">
        <v>16</v>
      </c>
      <c r="H194" t="s">
        <v>242</v>
      </c>
      <c r="I194" t="s">
        <v>232</v>
      </c>
      <c r="J194">
        <v>49.6</v>
      </c>
      <c r="K194" t="s">
        <v>448</v>
      </c>
      <c r="M194">
        <v>47.3</v>
      </c>
      <c r="N194">
        <v>15</v>
      </c>
      <c r="O194">
        <v>129.69999999999999</v>
      </c>
    </row>
    <row r="195" spans="1:16" x14ac:dyDescent="0.25">
      <c r="A195" t="str">
        <f t="shared" si="25"/>
        <v>BD</v>
      </c>
      <c r="B195" t="s">
        <v>449</v>
      </c>
      <c r="C195">
        <v>25</v>
      </c>
      <c r="D195">
        <v>4</v>
      </c>
      <c r="E195">
        <v>3</v>
      </c>
      <c r="F195">
        <v>6</v>
      </c>
      <c r="G195" t="s">
        <v>450</v>
      </c>
      <c r="H195" t="s">
        <v>16</v>
      </c>
      <c r="I195" t="s">
        <v>450</v>
      </c>
      <c r="J195">
        <v>24.7</v>
      </c>
      <c r="K195" t="str">
        <f>"-26 00"</f>
        <v>-26 00</v>
      </c>
      <c r="M195">
        <v>22.2</v>
      </c>
      <c r="N195">
        <v>-10.8</v>
      </c>
      <c r="O195">
        <v>144.69999999999999</v>
      </c>
      <c r="P195" t="s">
        <v>451</v>
      </c>
    </row>
    <row r="196" spans="1:16" x14ac:dyDescent="0.25">
      <c r="A196" t="str">
        <f t="shared" si="25"/>
        <v>BE</v>
      </c>
      <c r="B196" t="s">
        <v>452</v>
      </c>
      <c r="C196">
        <v>30</v>
      </c>
      <c r="D196">
        <v>10</v>
      </c>
      <c r="E196" t="s">
        <v>16</v>
      </c>
      <c r="F196">
        <v>5</v>
      </c>
      <c r="G196" t="s">
        <v>16</v>
      </c>
      <c r="H196" t="s">
        <v>453</v>
      </c>
      <c r="I196" t="s">
        <v>454</v>
      </c>
      <c r="J196">
        <v>13.3</v>
      </c>
      <c r="K196" t="s">
        <v>455</v>
      </c>
      <c r="M196">
        <v>12.9</v>
      </c>
      <c r="N196">
        <v>3.2</v>
      </c>
      <c r="O196">
        <v>133.9</v>
      </c>
      <c r="P196" t="s">
        <v>456</v>
      </c>
    </row>
    <row r="197" spans="1:16" x14ac:dyDescent="0.25">
      <c r="A197" t="str">
        <f t="shared" si="25"/>
        <v>BF</v>
      </c>
      <c r="B197" t="s">
        <v>457</v>
      </c>
      <c r="C197">
        <v>25</v>
      </c>
      <c r="D197">
        <v>5</v>
      </c>
      <c r="E197">
        <v>5</v>
      </c>
      <c r="F197" t="str">
        <f>"/"</f>
        <v>/</v>
      </c>
      <c r="G197" t="s">
        <v>458</v>
      </c>
      <c r="H197" t="s">
        <v>16</v>
      </c>
      <c r="I197" t="s">
        <v>458</v>
      </c>
      <c r="J197">
        <v>15.7</v>
      </c>
      <c r="K197" t="s">
        <v>459</v>
      </c>
      <c r="M197">
        <v>15.2</v>
      </c>
      <c r="N197">
        <v>4.0999999999999996</v>
      </c>
      <c r="O197">
        <v>137.1</v>
      </c>
      <c r="P197" t="s">
        <v>460</v>
      </c>
    </row>
    <row r="198" spans="1:16" x14ac:dyDescent="0.25">
      <c r="A198" t="str">
        <f t="shared" si="25"/>
        <v>BG</v>
      </c>
      <c r="B198" t="s">
        <v>461</v>
      </c>
      <c r="C198">
        <v>25</v>
      </c>
      <c r="D198">
        <v>5</v>
      </c>
      <c r="E198">
        <v>2</v>
      </c>
      <c r="F198">
        <v>5</v>
      </c>
      <c r="G198" t="s">
        <v>16</v>
      </c>
      <c r="H198" t="s">
        <v>462</v>
      </c>
      <c r="I198" t="s">
        <v>463</v>
      </c>
      <c r="J198">
        <v>36.9</v>
      </c>
      <c r="K198" t="s">
        <v>464</v>
      </c>
      <c r="M198">
        <v>36.1</v>
      </c>
      <c r="N198">
        <v>7.3</v>
      </c>
      <c r="O198">
        <v>141.19999999999999</v>
      </c>
    </row>
    <row r="199" spans="1:16" x14ac:dyDescent="0.25">
      <c r="A199" t="str">
        <f t="shared" si="25"/>
        <v>BH</v>
      </c>
      <c r="B199" t="s">
        <v>465</v>
      </c>
      <c r="C199">
        <v>5</v>
      </c>
      <c r="D199">
        <v>5</v>
      </c>
      <c r="E199">
        <v>6</v>
      </c>
      <c r="F199">
        <v>2</v>
      </c>
      <c r="G199" t="s">
        <v>466</v>
      </c>
      <c r="H199" t="s">
        <v>16</v>
      </c>
      <c r="I199" t="s">
        <v>466</v>
      </c>
      <c r="J199">
        <v>24.2</v>
      </c>
      <c r="K199" t="str">
        <f>"-0 30"</f>
        <v>-0 30</v>
      </c>
      <c r="M199">
        <v>24.2</v>
      </c>
      <c r="N199">
        <v>-0.2</v>
      </c>
      <c r="O199">
        <v>148.5</v>
      </c>
    </row>
    <row r="200" spans="1:16" x14ac:dyDescent="0.25">
      <c r="A200" t="str">
        <f t="shared" si="25"/>
        <v>BI</v>
      </c>
      <c r="B200" t="s">
        <v>468</v>
      </c>
      <c r="C200">
        <v>25</v>
      </c>
      <c r="D200">
        <v>3</v>
      </c>
      <c r="E200">
        <v>3</v>
      </c>
      <c r="F200" t="s">
        <v>469</v>
      </c>
      <c r="G200" t="s">
        <v>16</v>
      </c>
      <c r="H200" t="s">
        <v>470</v>
      </c>
      <c r="I200" t="s">
        <v>471</v>
      </c>
      <c r="J200">
        <v>17.5</v>
      </c>
      <c r="K200" t="s">
        <v>472</v>
      </c>
      <c r="M200">
        <v>13.6</v>
      </c>
      <c r="N200">
        <v>11</v>
      </c>
      <c r="O200">
        <v>148.30000000000001</v>
      </c>
      <c r="P200" t="s">
        <v>467</v>
      </c>
    </row>
    <row r="201" spans="1:16" x14ac:dyDescent="0.25">
      <c r="A201" t="str">
        <f t="shared" si="25"/>
        <v>BJ</v>
      </c>
      <c r="B201" t="s">
        <v>473</v>
      </c>
      <c r="C201">
        <v>20</v>
      </c>
      <c r="D201">
        <v>15</v>
      </c>
      <c r="E201">
        <v>8</v>
      </c>
      <c r="F201">
        <v>10</v>
      </c>
      <c r="G201" t="s">
        <v>166</v>
      </c>
      <c r="H201" t="s">
        <v>16</v>
      </c>
      <c r="I201" t="s">
        <v>166</v>
      </c>
      <c r="J201">
        <v>24.8</v>
      </c>
      <c r="K201" t="s">
        <v>214</v>
      </c>
      <c r="M201">
        <v>24.5</v>
      </c>
      <c r="N201">
        <v>3.9</v>
      </c>
      <c r="O201">
        <v>159.30000000000001</v>
      </c>
      <c r="P201" t="s">
        <v>559</v>
      </c>
    </row>
    <row r="202" spans="1:16" x14ac:dyDescent="0.25">
      <c r="A202" t="str">
        <f t="shared" si="25"/>
        <v>BK</v>
      </c>
      <c r="B202" t="s">
        <v>474</v>
      </c>
      <c r="C202">
        <v>7</v>
      </c>
      <c r="D202">
        <v>6</v>
      </c>
      <c r="E202">
        <v>5</v>
      </c>
      <c r="F202" t="s">
        <v>16</v>
      </c>
      <c r="G202" t="s">
        <v>16</v>
      </c>
      <c r="H202" t="s">
        <v>475</v>
      </c>
      <c r="I202" t="s">
        <v>476</v>
      </c>
      <c r="J202">
        <v>22.1</v>
      </c>
      <c r="K202" t="str">
        <f>"-0 30"</f>
        <v>-0 30</v>
      </c>
      <c r="M202">
        <v>22.1</v>
      </c>
      <c r="N202">
        <v>-0.2</v>
      </c>
      <c r="O202">
        <v>163.19999999999999</v>
      </c>
      <c r="P202" t="s">
        <v>560</v>
      </c>
    </row>
    <row r="203" spans="1:16" x14ac:dyDescent="0.25">
      <c r="A203" t="str">
        <f t="shared" si="25"/>
        <v>BL</v>
      </c>
      <c r="B203" t="s">
        <v>477</v>
      </c>
      <c r="C203">
        <v>30</v>
      </c>
      <c r="D203">
        <v>5</v>
      </c>
      <c r="E203">
        <v>1</v>
      </c>
      <c r="F203">
        <v>3</v>
      </c>
      <c r="G203" t="s">
        <v>178</v>
      </c>
      <c r="H203" t="s">
        <v>16</v>
      </c>
      <c r="I203" t="s">
        <v>178</v>
      </c>
      <c r="J203">
        <v>35.700000000000003</v>
      </c>
      <c r="K203" t="s">
        <v>478</v>
      </c>
      <c r="M203">
        <v>35.4</v>
      </c>
      <c r="N203">
        <v>4.3</v>
      </c>
      <c r="O203">
        <v>163</v>
      </c>
    </row>
    <row r="204" spans="1:16" x14ac:dyDescent="0.25">
      <c r="A204" t="str">
        <f t="shared" si="25"/>
        <v>BM</v>
      </c>
      <c r="B204" t="s">
        <v>479</v>
      </c>
      <c r="C204">
        <v>20</v>
      </c>
      <c r="D204">
        <v>8</v>
      </c>
      <c r="E204">
        <v>1</v>
      </c>
      <c r="F204">
        <v>3</v>
      </c>
      <c r="G204" t="s">
        <v>16</v>
      </c>
      <c r="H204" t="s">
        <v>480</v>
      </c>
      <c r="I204" t="s">
        <v>481</v>
      </c>
      <c r="J204">
        <v>9.9</v>
      </c>
      <c r="K204" t="str">
        <f>"-23 30"</f>
        <v>-23 30</v>
      </c>
      <c r="M204">
        <v>9.1</v>
      </c>
      <c r="N204">
        <v>-4</v>
      </c>
      <c r="O204">
        <v>167.3</v>
      </c>
    </row>
    <row r="205" spans="1:16" x14ac:dyDescent="0.25">
      <c r="A205" t="str">
        <f t="shared" si="25"/>
        <v>BN</v>
      </c>
      <c r="B205" t="s">
        <v>482</v>
      </c>
      <c r="C205">
        <v>20</v>
      </c>
      <c r="D205">
        <v>3</v>
      </c>
      <c r="E205">
        <v>4</v>
      </c>
      <c r="F205">
        <v>4</v>
      </c>
      <c r="G205" t="s">
        <v>483</v>
      </c>
      <c r="H205" t="s">
        <v>16</v>
      </c>
      <c r="I205" t="s">
        <v>483</v>
      </c>
      <c r="J205">
        <v>7.7</v>
      </c>
      <c r="K205" t="s">
        <v>459</v>
      </c>
      <c r="M205">
        <v>7.4</v>
      </c>
      <c r="N205">
        <v>2</v>
      </c>
      <c r="O205">
        <v>163.30000000000001</v>
      </c>
    </row>
    <row r="206" spans="1:16" x14ac:dyDescent="0.25">
      <c r="A206" t="str">
        <f t="shared" si="25"/>
        <v>BO</v>
      </c>
      <c r="B206" t="s">
        <v>484</v>
      </c>
      <c r="C206">
        <v>15</v>
      </c>
      <c r="D206">
        <v>4</v>
      </c>
      <c r="E206">
        <v>3</v>
      </c>
      <c r="F206">
        <v>1</v>
      </c>
      <c r="G206" t="s">
        <v>16</v>
      </c>
      <c r="H206" t="s">
        <v>372</v>
      </c>
      <c r="I206" t="s">
        <v>485</v>
      </c>
      <c r="J206">
        <v>21.2</v>
      </c>
      <c r="K206" t="s">
        <v>486</v>
      </c>
      <c r="M206">
        <v>21</v>
      </c>
      <c r="N206">
        <v>2.5</v>
      </c>
      <c r="O206">
        <v>165.3</v>
      </c>
    </row>
    <row r="207" spans="1:16" x14ac:dyDescent="0.25">
      <c r="A207" t="str">
        <f t="shared" si="25"/>
        <v>BP</v>
      </c>
      <c r="B207" t="s">
        <v>487</v>
      </c>
      <c r="C207">
        <v>25</v>
      </c>
      <c r="D207">
        <v>5</v>
      </c>
      <c r="E207">
        <v>1</v>
      </c>
      <c r="F207">
        <v>3</v>
      </c>
      <c r="G207" t="s">
        <v>488</v>
      </c>
      <c r="H207" t="s">
        <v>16</v>
      </c>
      <c r="I207" t="s">
        <v>488</v>
      </c>
      <c r="J207">
        <v>28.5</v>
      </c>
      <c r="K207" t="s">
        <v>185</v>
      </c>
      <c r="M207">
        <v>28.1</v>
      </c>
      <c r="N207">
        <v>4.8</v>
      </c>
      <c r="O207">
        <v>167.8</v>
      </c>
    </row>
    <row r="208" spans="1:16" x14ac:dyDescent="0.25">
      <c r="A208" t="str">
        <f t="shared" si="25"/>
        <v>BQ</v>
      </c>
      <c r="B208" t="s">
        <v>489</v>
      </c>
      <c r="C208">
        <v>25</v>
      </c>
      <c r="D208">
        <v>7</v>
      </c>
      <c r="E208">
        <v>3</v>
      </c>
      <c r="F208">
        <v>1</v>
      </c>
      <c r="G208" t="s">
        <v>16</v>
      </c>
      <c r="H208" t="s">
        <v>490</v>
      </c>
      <c r="I208" t="s">
        <v>491</v>
      </c>
      <c r="J208">
        <v>29.6</v>
      </c>
      <c r="K208" t="s">
        <v>492</v>
      </c>
      <c r="M208">
        <v>29.6</v>
      </c>
      <c r="N208">
        <v>0.8</v>
      </c>
      <c r="O208">
        <v>172.6</v>
      </c>
    </row>
    <row r="209" spans="1:16" x14ac:dyDescent="0.25">
      <c r="A209" t="str">
        <f t="shared" si="25"/>
        <v>BR</v>
      </c>
      <c r="B209" t="s">
        <v>10</v>
      </c>
      <c r="C209">
        <v>10</v>
      </c>
      <c r="D209">
        <v>3</v>
      </c>
      <c r="E209">
        <v>3</v>
      </c>
      <c r="F209" t="s">
        <v>493</v>
      </c>
      <c r="G209" t="s">
        <v>494</v>
      </c>
      <c r="H209" t="s">
        <v>16</v>
      </c>
      <c r="I209" t="s">
        <v>494</v>
      </c>
      <c r="J209">
        <v>20.399999999999999</v>
      </c>
      <c r="K209" t="str">
        <f>"-4 30"</f>
        <v>-4 30</v>
      </c>
      <c r="M209">
        <v>20.3</v>
      </c>
      <c r="N209">
        <v>-1.6</v>
      </c>
      <c r="O209">
        <v>173.4</v>
      </c>
      <c r="P209" t="s">
        <v>561</v>
      </c>
    </row>
    <row r="210" spans="1:16" x14ac:dyDescent="0.25">
      <c r="A210" t="str">
        <f t="shared" si="25"/>
        <v>BS</v>
      </c>
      <c r="B210" t="s">
        <v>495</v>
      </c>
      <c r="C210">
        <v>6</v>
      </c>
      <c r="D210">
        <v>1</v>
      </c>
      <c r="E210">
        <v>2</v>
      </c>
      <c r="F210">
        <v>3</v>
      </c>
      <c r="G210" t="s">
        <v>496</v>
      </c>
      <c r="H210" t="s">
        <v>16</v>
      </c>
      <c r="I210" t="s">
        <v>496</v>
      </c>
      <c r="J210">
        <v>1.5</v>
      </c>
      <c r="K210" t="str">
        <f>"-one inch"</f>
        <v>-one inch</v>
      </c>
      <c r="M210">
        <v>1.5</v>
      </c>
      <c r="N210">
        <v>-0.1</v>
      </c>
      <c r="O210">
        <v>171.8</v>
      </c>
      <c r="P210" t="s">
        <v>562</v>
      </c>
    </row>
    <row r="211" spans="1:16" x14ac:dyDescent="0.25">
      <c r="A211" t="str">
        <f t="shared" si="25"/>
        <v>BT</v>
      </c>
      <c r="B211" t="s">
        <v>497</v>
      </c>
      <c r="C211">
        <v>6</v>
      </c>
      <c r="D211">
        <v>1</v>
      </c>
      <c r="E211">
        <v>3</v>
      </c>
      <c r="F211" t="s">
        <v>16</v>
      </c>
      <c r="G211" t="s">
        <v>16</v>
      </c>
      <c r="H211" t="s">
        <v>498</v>
      </c>
      <c r="I211" t="s">
        <v>499</v>
      </c>
      <c r="J211">
        <v>21.6</v>
      </c>
      <c r="K211" t="s">
        <v>500</v>
      </c>
      <c r="M211">
        <v>20.9</v>
      </c>
      <c r="N211">
        <v>5.4</v>
      </c>
      <c r="O211">
        <v>171.7</v>
      </c>
    </row>
    <row r="212" spans="1:16" x14ac:dyDescent="0.25">
      <c r="A212" t="str">
        <f t="shared" si="25"/>
        <v>BU</v>
      </c>
      <c r="B212" t="s">
        <v>501</v>
      </c>
      <c r="C212">
        <v>6</v>
      </c>
      <c r="D212">
        <v>3</v>
      </c>
      <c r="E212">
        <v>2</v>
      </c>
      <c r="F212">
        <v>3</v>
      </c>
      <c r="G212" t="s">
        <v>502</v>
      </c>
      <c r="H212" t="s">
        <v>16</v>
      </c>
      <c r="I212" t="s">
        <v>502</v>
      </c>
      <c r="J212">
        <v>8.5</v>
      </c>
      <c r="K212" t="str">
        <f>"-6 30"</f>
        <v>-6 30</v>
      </c>
      <c r="M212">
        <v>8.4</v>
      </c>
      <c r="N212">
        <v>-1</v>
      </c>
      <c r="O212">
        <v>177.1</v>
      </c>
    </row>
    <row r="213" spans="1:16" x14ac:dyDescent="0.25">
      <c r="A213" t="str">
        <f t="shared" si="25"/>
        <v>BV</v>
      </c>
      <c r="B213" t="s">
        <v>503</v>
      </c>
      <c r="C213">
        <v>9</v>
      </c>
      <c r="D213">
        <v>1</v>
      </c>
      <c r="E213">
        <v>3</v>
      </c>
      <c r="F213">
        <v>1</v>
      </c>
      <c r="G213" t="s">
        <v>16</v>
      </c>
      <c r="H213" t="s">
        <v>504</v>
      </c>
      <c r="I213" t="s">
        <v>505</v>
      </c>
      <c r="J213">
        <v>15.7</v>
      </c>
      <c r="K213" t="s">
        <v>464</v>
      </c>
      <c r="M213">
        <v>15.4</v>
      </c>
      <c r="N213">
        <v>3.1</v>
      </c>
      <c r="O213">
        <v>176.1</v>
      </c>
    </row>
    <row r="214" spans="1:16" x14ac:dyDescent="0.25">
      <c r="A214" t="str">
        <f t="shared" si="25"/>
        <v>BW</v>
      </c>
      <c r="B214" t="s">
        <v>506</v>
      </c>
      <c r="C214">
        <v>12</v>
      </c>
      <c r="D214">
        <v>3</v>
      </c>
      <c r="E214" t="s">
        <v>438</v>
      </c>
      <c r="F214">
        <v>3</v>
      </c>
      <c r="G214" t="s">
        <v>299</v>
      </c>
      <c r="H214" t="s">
        <v>16</v>
      </c>
      <c r="I214" t="s">
        <v>299</v>
      </c>
      <c r="J214">
        <v>28.5</v>
      </c>
      <c r="K214" t="s">
        <v>507</v>
      </c>
      <c r="M214">
        <v>24</v>
      </c>
      <c r="N214">
        <v>15.3</v>
      </c>
      <c r="O214">
        <v>179.2</v>
      </c>
    </row>
    <row r="215" spans="1:16" x14ac:dyDescent="0.25">
      <c r="A215" t="str">
        <f t="shared" si="25"/>
        <v>BX</v>
      </c>
      <c r="B215" t="s">
        <v>508</v>
      </c>
      <c r="C215">
        <v>20</v>
      </c>
      <c r="D215">
        <v>2.5</v>
      </c>
      <c r="E215">
        <v>8</v>
      </c>
      <c r="F215">
        <v>3</v>
      </c>
      <c r="G215" t="s">
        <v>16</v>
      </c>
      <c r="H215" t="s">
        <v>509</v>
      </c>
      <c r="I215" t="s">
        <v>510</v>
      </c>
      <c r="J215">
        <v>6.9</v>
      </c>
      <c r="K215" t="s">
        <v>511</v>
      </c>
      <c r="M215">
        <v>6.3</v>
      </c>
      <c r="N215">
        <v>2.9</v>
      </c>
      <c r="O215">
        <v>194.5</v>
      </c>
      <c r="P215" t="s">
        <v>563</v>
      </c>
    </row>
    <row r="216" spans="1:16" x14ac:dyDescent="0.25">
      <c r="A216" t="str">
        <f t="shared" si="25"/>
        <v>BY</v>
      </c>
      <c r="B216" t="s">
        <v>512</v>
      </c>
      <c r="C216">
        <v>18</v>
      </c>
      <c r="D216">
        <v>4.5</v>
      </c>
      <c r="E216">
        <v>3</v>
      </c>
      <c r="F216">
        <v>2</v>
      </c>
      <c r="G216" t="s">
        <v>513</v>
      </c>
      <c r="H216" t="s">
        <v>16</v>
      </c>
      <c r="I216" t="s">
        <v>513</v>
      </c>
      <c r="J216">
        <v>13.8</v>
      </c>
      <c r="K216" t="str">
        <f>"-4 30"</f>
        <v>-4 30</v>
      </c>
      <c r="M216">
        <v>13.7</v>
      </c>
      <c r="N216">
        <v>-1.1000000000000001</v>
      </c>
      <c r="O216">
        <v>197.4</v>
      </c>
    </row>
    <row r="217" spans="1:16" x14ac:dyDescent="0.25">
      <c r="A217" t="str">
        <f t="shared" si="25"/>
        <v>BZ</v>
      </c>
      <c r="B217" t="s">
        <v>514</v>
      </c>
      <c r="C217">
        <v>20</v>
      </c>
      <c r="D217">
        <v>4</v>
      </c>
      <c r="E217" t="s">
        <v>16</v>
      </c>
      <c r="F217">
        <v>4</v>
      </c>
      <c r="G217" t="s">
        <v>16</v>
      </c>
      <c r="H217" t="s">
        <v>515</v>
      </c>
      <c r="I217" t="s">
        <v>516</v>
      </c>
      <c r="J217">
        <v>18.5</v>
      </c>
      <c r="K217" t="s">
        <v>517</v>
      </c>
      <c r="M217">
        <v>18.399999999999999</v>
      </c>
      <c r="N217">
        <v>0.7</v>
      </c>
      <c r="O217">
        <v>196.3</v>
      </c>
    </row>
    <row r="218" spans="1:16" x14ac:dyDescent="0.25">
      <c r="A218" t="str">
        <f t="shared" si="25"/>
        <v>CA</v>
      </c>
      <c r="B218" t="s">
        <v>518</v>
      </c>
      <c r="C218">
        <v>25</v>
      </c>
      <c r="D218">
        <v>4</v>
      </c>
      <c r="E218">
        <v>6</v>
      </c>
      <c r="F218">
        <v>1</v>
      </c>
      <c r="G218" t="s">
        <v>519</v>
      </c>
      <c r="H218" t="s">
        <v>16</v>
      </c>
      <c r="I218" t="s">
        <v>519</v>
      </c>
      <c r="J218">
        <v>8</v>
      </c>
      <c r="K218" t="s">
        <v>520</v>
      </c>
      <c r="M218">
        <v>7.9</v>
      </c>
      <c r="N218">
        <v>0.6</v>
      </c>
      <c r="O218">
        <v>197</v>
      </c>
      <c r="P218" t="s">
        <v>564</v>
      </c>
    </row>
    <row r="219" spans="1:16" x14ac:dyDescent="0.25">
      <c r="A219" t="str">
        <f t="shared" si="25"/>
        <v>CB</v>
      </c>
      <c r="B219" t="s">
        <v>521</v>
      </c>
      <c r="C219">
        <v>25</v>
      </c>
      <c r="D219">
        <v>4</v>
      </c>
      <c r="E219">
        <v>10</v>
      </c>
      <c r="F219">
        <v>3</v>
      </c>
      <c r="G219" t="s">
        <v>16</v>
      </c>
      <c r="H219" t="s">
        <v>522</v>
      </c>
      <c r="I219" t="s">
        <v>466</v>
      </c>
      <c r="J219">
        <v>17.399999999999999</v>
      </c>
      <c r="K219" t="s">
        <v>523</v>
      </c>
      <c r="M219">
        <v>16.8</v>
      </c>
      <c r="N219">
        <v>4.8</v>
      </c>
      <c r="O219">
        <v>197.6</v>
      </c>
    </row>
    <row r="220" spans="1:16" x14ac:dyDescent="0.25">
      <c r="A220" t="str">
        <f t="shared" si="25"/>
        <v>CC</v>
      </c>
      <c r="B220" t="s">
        <v>524</v>
      </c>
      <c r="C220">
        <v>20</v>
      </c>
      <c r="D220">
        <v>7</v>
      </c>
      <c r="E220">
        <v>3</v>
      </c>
      <c r="F220">
        <v>3</v>
      </c>
      <c r="G220" t="s">
        <v>525</v>
      </c>
      <c r="H220" t="s">
        <v>16</v>
      </c>
      <c r="I220" t="s">
        <v>525</v>
      </c>
      <c r="J220">
        <v>74.599999999999994</v>
      </c>
      <c r="K220" t="s">
        <v>526</v>
      </c>
      <c r="M220">
        <v>73.900000000000006</v>
      </c>
      <c r="N220">
        <v>9.3000000000000007</v>
      </c>
      <c r="O220">
        <v>202.4</v>
      </c>
    </row>
    <row r="221" spans="1:16" x14ac:dyDescent="0.25">
      <c r="A221" t="str">
        <f t="shared" si="25"/>
        <v>CD</v>
      </c>
      <c r="B221" t="s">
        <v>527</v>
      </c>
      <c r="C221">
        <v>25</v>
      </c>
      <c r="D221">
        <v>5</v>
      </c>
      <c r="E221">
        <v>4</v>
      </c>
      <c r="F221">
        <v>3</v>
      </c>
      <c r="G221" t="s">
        <v>16</v>
      </c>
      <c r="H221" t="s">
        <v>355</v>
      </c>
      <c r="I221" t="s">
        <v>528</v>
      </c>
      <c r="J221">
        <v>35</v>
      </c>
      <c r="K221" t="s">
        <v>529</v>
      </c>
      <c r="M221">
        <v>33.1</v>
      </c>
      <c r="N221">
        <v>11.4</v>
      </c>
      <c r="O221">
        <v>211.7</v>
      </c>
    </row>
    <row r="222" spans="1:16" x14ac:dyDescent="0.25">
      <c r="A222" t="str">
        <f t="shared" si="25"/>
        <v>CE</v>
      </c>
      <c r="B222" t="s">
        <v>530</v>
      </c>
      <c r="C222">
        <v>15</v>
      </c>
      <c r="D222">
        <v>12</v>
      </c>
      <c r="E222">
        <v>6</v>
      </c>
      <c r="F222">
        <v>10</v>
      </c>
      <c r="G222" t="s">
        <v>531</v>
      </c>
      <c r="H222" t="s">
        <v>16</v>
      </c>
      <c r="I222" t="s">
        <v>531</v>
      </c>
      <c r="J222">
        <v>28.3</v>
      </c>
      <c r="K222" t="str">
        <f>"-13 30"</f>
        <v>-13 30</v>
      </c>
      <c r="M222">
        <v>27.5</v>
      </c>
      <c r="N222">
        <v>-6.6</v>
      </c>
      <c r="O222">
        <v>223.1</v>
      </c>
    </row>
    <row r="223" spans="1:16" x14ac:dyDescent="0.25">
      <c r="A223" t="str">
        <f t="shared" si="25"/>
        <v>CF</v>
      </c>
      <c r="B223" t="s">
        <v>532</v>
      </c>
      <c r="C223">
        <v>4</v>
      </c>
      <c r="D223">
        <v>4</v>
      </c>
      <c r="E223">
        <v>2</v>
      </c>
      <c r="F223">
        <v>6</v>
      </c>
      <c r="G223" t="s">
        <v>16</v>
      </c>
      <c r="H223" t="s">
        <v>533</v>
      </c>
      <c r="I223" t="s">
        <v>534</v>
      </c>
      <c r="J223">
        <v>10.6</v>
      </c>
      <c r="K223" t="s">
        <v>315</v>
      </c>
      <c r="M223">
        <v>10.1</v>
      </c>
      <c r="N223">
        <v>3</v>
      </c>
      <c r="O223">
        <v>216.5</v>
      </c>
    </row>
    <row r="224" spans="1:16" x14ac:dyDescent="0.25">
      <c r="A224" t="str">
        <f t="shared" si="25"/>
        <v>CG</v>
      </c>
      <c r="B224" t="s">
        <v>535</v>
      </c>
      <c r="C224">
        <v>8</v>
      </c>
      <c r="D224">
        <v>6</v>
      </c>
      <c r="E224" t="s">
        <v>16</v>
      </c>
      <c r="F224">
        <v>4</v>
      </c>
      <c r="G224" t="s">
        <v>536</v>
      </c>
      <c r="H224" t="s">
        <v>16</v>
      </c>
      <c r="I224" t="s">
        <v>536</v>
      </c>
      <c r="J224">
        <v>31.4</v>
      </c>
      <c r="K224" t="str">
        <f>"-3 30"</f>
        <v>-3 30</v>
      </c>
      <c r="M224">
        <v>31.3</v>
      </c>
      <c r="N224">
        <v>-1.9</v>
      </c>
      <c r="O224">
        <v>219.5</v>
      </c>
    </row>
    <row r="225" spans="1:16" x14ac:dyDescent="0.25">
      <c r="A225" t="str">
        <f t="shared" si="25"/>
        <v>CH</v>
      </c>
      <c r="B225" t="s">
        <v>537</v>
      </c>
      <c r="C225">
        <v>12</v>
      </c>
      <c r="D225">
        <v>3</v>
      </c>
      <c r="E225">
        <v>4</v>
      </c>
      <c r="F225" t="s">
        <v>16</v>
      </c>
      <c r="G225" t="s">
        <v>16</v>
      </c>
      <c r="H225" t="s">
        <v>538</v>
      </c>
      <c r="I225" t="s">
        <v>539</v>
      </c>
      <c r="J225">
        <v>15.9</v>
      </c>
      <c r="K225" t="s">
        <v>80</v>
      </c>
      <c r="M225">
        <v>15.8</v>
      </c>
      <c r="N225">
        <v>1.2</v>
      </c>
      <c r="O225">
        <v>217.6</v>
      </c>
    </row>
    <row r="226" spans="1:16" x14ac:dyDescent="0.25">
      <c r="A226" t="str">
        <f t="shared" si="25"/>
        <v>CI</v>
      </c>
      <c r="B226" t="s">
        <v>540</v>
      </c>
      <c r="C226">
        <v>10</v>
      </c>
      <c r="D226">
        <v>4</v>
      </c>
      <c r="E226">
        <v>4</v>
      </c>
      <c r="F226">
        <v>6</v>
      </c>
      <c r="G226" t="s">
        <v>541</v>
      </c>
      <c r="H226" t="s">
        <v>16</v>
      </c>
      <c r="I226" t="s">
        <v>541</v>
      </c>
      <c r="J226">
        <v>35.200000000000003</v>
      </c>
      <c r="K226" t="str">
        <f>"-3 50"</f>
        <v>-3 50</v>
      </c>
      <c r="M226">
        <v>35.1</v>
      </c>
      <c r="N226">
        <v>-2.4</v>
      </c>
      <c r="O226">
        <v>218.8</v>
      </c>
    </row>
    <row r="227" spans="1:16" x14ac:dyDescent="0.25">
      <c r="A227" t="str">
        <f t="shared" si="25"/>
        <v>CJ</v>
      </c>
      <c r="B227" t="s">
        <v>542</v>
      </c>
      <c r="C227">
        <v>10</v>
      </c>
      <c r="D227">
        <v>2</v>
      </c>
      <c r="E227">
        <v>3</v>
      </c>
      <c r="F227" t="s">
        <v>16</v>
      </c>
      <c r="G227" t="s">
        <v>543</v>
      </c>
      <c r="H227" t="s">
        <v>16</v>
      </c>
      <c r="I227" t="s">
        <v>543</v>
      </c>
      <c r="J227">
        <v>12.3</v>
      </c>
      <c r="K227" t="str">
        <f>"-one foot"</f>
        <v>-one foot</v>
      </c>
      <c r="M227">
        <v>12.2</v>
      </c>
      <c r="N227">
        <v>-1</v>
      </c>
      <c r="O227">
        <v>216.4</v>
      </c>
      <c r="P227" t="s">
        <v>565</v>
      </c>
    </row>
    <row r="228" spans="1:16" x14ac:dyDescent="0.25">
      <c r="A228" t="str">
        <f t="shared" si="25"/>
        <v>CK</v>
      </c>
      <c r="B228" t="s">
        <v>544</v>
      </c>
      <c r="C228" s="7" t="str">
        <f>"/"</f>
        <v>/</v>
      </c>
      <c r="D228">
        <v>1</v>
      </c>
      <c r="E228" s="7" t="str">
        <f>"/"</f>
        <v>/</v>
      </c>
      <c r="F228" s="7" t="str">
        <f>"/"</f>
        <v>/</v>
      </c>
      <c r="G228" t="s">
        <v>16</v>
      </c>
      <c r="H228" t="s">
        <v>545</v>
      </c>
      <c r="I228" t="s">
        <v>546</v>
      </c>
      <c r="J228">
        <v>35.700000000000003</v>
      </c>
      <c r="K228" t="s">
        <v>547</v>
      </c>
      <c r="M228">
        <v>11.6</v>
      </c>
      <c r="N228">
        <v>33.799999999999997</v>
      </c>
      <c r="O228">
        <v>215.4</v>
      </c>
      <c r="P228" t="s">
        <v>566</v>
      </c>
    </row>
    <row r="229" spans="1:16" x14ac:dyDescent="0.25">
      <c r="A229" t="str">
        <f t="shared" si="25"/>
        <v>CL</v>
      </c>
      <c r="B229" t="s">
        <v>408</v>
      </c>
      <c r="C229" s="7" t="str">
        <f>"/"</f>
        <v>/</v>
      </c>
      <c r="D229" s="7" t="str">
        <f>"/"</f>
        <v>/</v>
      </c>
      <c r="E229" s="7" t="str">
        <f>"/"</f>
        <v>/</v>
      </c>
      <c r="F229" s="7" t="str">
        <f>"/"</f>
        <v>/</v>
      </c>
      <c r="G229" t="s">
        <v>548</v>
      </c>
      <c r="H229" t="s">
        <v>16</v>
      </c>
      <c r="I229" t="s">
        <v>548</v>
      </c>
      <c r="J229">
        <v>3</v>
      </c>
      <c r="K229" t="str">
        <f>"+two feet"</f>
        <v>+two feet</v>
      </c>
      <c r="M229">
        <v>2.5</v>
      </c>
      <c r="N229">
        <v>2</v>
      </c>
      <c r="O229">
        <v>249.2</v>
      </c>
      <c r="P229" t="s">
        <v>567</v>
      </c>
    </row>
    <row r="230" spans="1:16" x14ac:dyDescent="0.25">
      <c r="A230" t="str">
        <f t="shared" si="25"/>
        <v>CN</v>
      </c>
      <c r="O230">
        <v>251.2</v>
      </c>
      <c r="P230" t="s">
        <v>568</v>
      </c>
    </row>
    <row r="231" spans="1:16" x14ac:dyDescent="0.25">
      <c r="A231" s="1" t="s">
        <v>569</v>
      </c>
      <c r="B231" s="1" t="s">
        <v>570</v>
      </c>
      <c r="C231" s="1" t="s">
        <v>571</v>
      </c>
    </row>
    <row r="232" spans="1:16" x14ac:dyDescent="0.25">
      <c r="A232" t="s">
        <v>549</v>
      </c>
      <c r="B232" t="s">
        <v>94</v>
      </c>
      <c r="C232" s="7" t="str">
        <f t="shared" ref="C232:F233" si="26">"/"</f>
        <v>/</v>
      </c>
      <c r="D232" s="7" t="str">
        <f t="shared" si="26"/>
        <v>/</v>
      </c>
      <c r="E232" s="7" t="str">
        <f t="shared" si="26"/>
        <v>/</v>
      </c>
      <c r="F232" s="7" t="str">
        <f t="shared" si="26"/>
        <v>/</v>
      </c>
      <c r="G232" t="s">
        <v>16</v>
      </c>
      <c r="H232" t="s">
        <v>550</v>
      </c>
      <c r="I232" t="s">
        <v>578</v>
      </c>
      <c r="J232">
        <v>3.4</v>
      </c>
      <c r="K232" t="str">
        <f>"-one foot"</f>
        <v>-one foot</v>
      </c>
      <c r="M232">
        <v>3.2</v>
      </c>
      <c r="N232">
        <v>-1</v>
      </c>
      <c r="O232">
        <v>56.5</v>
      </c>
      <c r="P232" t="s">
        <v>572</v>
      </c>
    </row>
    <row r="233" spans="1:16" x14ac:dyDescent="0.25">
      <c r="A233" t="str">
        <f>B232</f>
        <v>a</v>
      </c>
      <c r="B233" t="s">
        <v>95</v>
      </c>
      <c r="C233" s="7" t="str">
        <f t="shared" si="26"/>
        <v>/</v>
      </c>
      <c r="D233" s="7" t="str">
        <f t="shared" si="26"/>
        <v>/</v>
      </c>
      <c r="E233" s="7" t="str">
        <f t="shared" si="26"/>
        <v>/</v>
      </c>
      <c r="F233" s="7" t="str">
        <f t="shared" si="26"/>
        <v>/</v>
      </c>
      <c r="G233" t="s">
        <v>551</v>
      </c>
      <c r="H233" t="s">
        <v>16</v>
      </c>
      <c r="I233" t="s">
        <v>551</v>
      </c>
      <c r="J233">
        <v>19.399999999999999</v>
      </c>
      <c r="K233" t="s">
        <v>552</v>
      </c>
      <c r="M233">
        <v>10.7</v>
      </c>
      <c r="N233">
        <v>16.2</v>
      </c>
      <c r="O233">
        <v>55.5</v>
      </c>
    </row>
    <row r="234" spans="1:16" x14ac:dyDescent="0.25">
      <c r="A234" t="str">
        <f>B233</f>
        <v>b</v>
      </c>
      <c r="B234" t="s">
        <v>96</v>
      </c>
      <c r="C234">
        <v>20</v>
      </c>
      <c r="D234" s="7" t="str">
        <f>"/"</f>
        <v>/</v>
      </c>
      <c r="E234">
        <v>35</v>
      </c>
      <c r="F234">
        <v>10</v>
      </c>
      <c r="G234" t="s">
        <v>16</v>
      </c>
      <c r="H234" t="s">
        <v>553</v>
      </c>
      <c r="I234" t="s">
        <v>576</v>
      </c>
      <c r="J234">
        <v>10.8</v>
      </c>
      <c r="K234" t="s">
        <v>554</v>
      </c>
      <c r="M234">
        <v>9.3000000000000007</v>
      </c>
      <c r="N234">
        <v>5.4</v>
      </c>
      <c r="O234">
        <v>71.7</v>
      </c>
      <c r="P234" t="s">
        <v>573</v>
      </c>
    </row>
    <row r="235" spans="1:16" x14ac:dyDescent="0.25">
      <c r="A235" t="str">
        <f>B234</f>
        <v>c</v>
      </c>
      <c r="B235" t="s">
        <v>97</v>
      </c>
      <c r="C235">
        <v>12</v>
      </c>
      <c r="D235">
        <v>2</v>
      </c>
      <c r="E235">
        <v>20</v>
      </c>
      <c r="F235">
        <v>8</v>
      </c>
      <c r="G235" t="s">
        <v>555</v>
      </c>
      <c r="H235" t="s">
        <v>16</v>
      </c>
      <c r="I235" t="s">
        <v>555</v>
      </c>
      <c r="J235">
        <v>23.8</v>
      </c>
      <c r="K235" t="s">
        <v>556</v>
      </c>
      <c r="M235">
        <v>22.4</v>
      </c>
      <c r="N235">
        <v>8</v>
      </c>
      <c r="O235">
        <v>77.099999999999994</v>
      </c>
      <c r="P235" t="s">
        <v>574</v>
      </c>
    </row>
    <row r="236" spans="1:16" x14ac:dyDescent="0.25">
      <c r="A236" t="str">
        <f>B235</f>
        <v>d</v>
      </c>
      <c r="B236" t="s">
        <v>98</v>
      </c>
      <c r="C236">
        <v>4</v>
      </c>
      <c r="D236">
        <v>2</v>
      </c>
      <c r="E236" s="7" t="str">
        <f>"/"</f>
        <v>/</v>
      </c>
      <c r="F236">
        <v>3</v>
      </c>
      <c r="G236" t="s">
        <v>16</v>
      </c>
      <c r="H236" t="s">
        <v>557</v>
      </c>
      <c r="I236" t="s">
        <v>577</v>
      </c>
      <c r="J236">
        <v>52</v>
      </c>
      <c r="K236" t="s">
        <v>558</v>
      </c>
      <c r="M236">
        <v>51.9</v>
      </c>
      <c r="N236">
        <v>2.2999999999999998</v>
      </c>
      <c r="O236">
        <v>85.1</v>
      </c>
      <c r="P236" t="s">
        <v>575</v>
      </c>
    </row>
    <row r="237" spans="1:16" x14ac:dyDescent="0.25">
      <c r="A237" t="str">
        <f t="shared" ref="A237:A280" si="27">B236</f>
        <v>e</v>
      </c>
      <c r="B237" t="s">
        <v>99</v>
      </c>
      <c r="C237">
        <v>2</v>
      </c>
      <c r="D237">
        <v>2</v>
      </c>
      <c r="E237">
        <v>3</v>
      </c>
      <c r="F237">
        <v>1.5</v>
      </c>
      <c r="G237" t="s">
        <v>519</v>
      </c>
      <c r="H237" t="s">
        <v>16</v>
      </c>
      <c r="J237">
        <v>23.5</v>
      </c>
      <c r="K237" t="s">
        <v>655</v>
      </c>
      <c r="M237">
        <v>23.3</v>
      </c>
      <c r="N237">
        <v>3.6</v>
      </c>
      <c r="O237">
        <v>87.4</v>
      </c>
      <c r="P237" t="s">
        <v>669</v>
      </c>
    </row>
    <row r="238" spans="1:16" x14ac:dyDescent="0.25">
      <c r="A238" t="str">
        <f t="shared" si="27"/>
        <v>f</v>
      </c>
      <c r="B238" t="s">
        <v>100</v>
      </c>
      <c r="C238">
        <v>1.5</v>
      </c>
      <c r="D238">
        <v>0.5</v>
      </c>
      <c r="E238" t="s">
        <v>16</v>
      </c>
      <c r="F238">
        <v>1.5</v>
      </c>
      <c r="G238" t="s">
        <v>16</v>
      </c>
      <c r="H238" t="s">
        <v>365</v>
      </c>
      <c r="J238">
        <v>16.899999999999999</v>
      </c>
      <c r="K238" t="str">
        <f>"-5 00"</f>
        <v>-5 00</v>
      </c>
      <c r="M238">
        <v>16.8</v>
      </c>
      <c r="N238">
        <v>-1.5</v>
      </c>
      <c r="O238">
        <v>91</v>
      </c>
    </row>
    <row r="239" spans="1:16" x14ac:dyDescent="0.25">
      <c r="A239" t="str">
        <f t="shared" si="27"/>
        <v>g</v>
      </c>
      <c r="B239" t="s">
        <v>101</v>
      </c>
      <c r="C239">
        <v>1</v>
      </c>
      <c r="D239">
        <v>1</v>
      </c>
      <c r="E239">
        <v>2</v>
      </c>
      <c r="F239">
        <v>1</v>
      </c>
      <c r="G239" t="s">
        <v>16</v>
      </c>
      <c r="H239" t="s">
        <v>621</v>
      </c>
      <c r="J239">
        <v>7.6</v>
      </c>
      <c r="K239" t="str">
        <f>"+0.5 feet"</f>
        <v>+0.5 feet</v>
      </c>
      <c r="M239">
        <v>7.5</v>
      </c>
      <c r="N239">
        <v>0.5</v>
      </c>
      <c r="O239">
        <v>89.5</v>
      </c>
    </row>
    <row r="240" spans="1:16" x14ac:dyDescent="0.25">
      <c r="A240" t="str">
        <f t="shared" si="27"/>
        <v>h</v>
      </c>
      <c r="B240" t="s">
        <v>93</v>
      </c>
      <c r="C240">
        <v>0.5</v>
      </c>
      <c r="D240">
        <v>0.5</v>
      </c>
      <c r="E240">
        <v>3</v>
      </c>
      <c r="F240">
        <v>1</v>
      </c>
      <c r="G240" t="s">
        <v>16</v>
      </c>
      <c r="H240" t="s">
        <v>622</v>
      </c>
      <c r="J240">
        <v>18.2</v>
      </c>
      <c r="K240" t="s">
        <v>656</v>
      </c>
      <c r="M240">
        <v>18</v>
      </c>
      <c r="N240">
        <v>1.7</v>
      </c>
      <c r="O240">
        <v>90</v>
      </c>
    </row>
    <row r="241" spans="1:16" x14ac:dyDescent="0.25">
      <c r="A241" t="str">
        <f t="shared" si="27"/>
        <v>i</v>
      </c>
      <c r="B241" t="s">
        <v>581</v>
      </c>
      <c r="C241">
        <v>2</v>
      </c>
      <c r="D241">
        <v>0.5</v>
      </c>
      <c r="E241">
        <v>1</v>
      </c>
      <c r="F241">
        <v>1.5</v>
      </c>
      <c r="G241" t="s">
        <v>16</v>
      </c>
      <c r="H241" t="s">
        <v>623</v>
      </c>
      <c r="J241">
        <v>7.8</v>
      </c>
      <c r="K241" t="str">
        <f>"-7 00"</f>
        <v>-7 00</v>
      </c>
      <c r="M241">
        <v>7.7</v>
      </c>
      <c r="N241">
        <v>-0.9</v>
      </c>
      <c r="O241">
        <v>91.7</v>
      </c>
      <c r="P241" t="s">
        <v>670</v>
      </c>
    </row>
    <row r="242" spans="1:16" x14ac:dyDescent="0.25">
      <c r="A242" t="str">
        <f t="shared" si="27"/>
        <v>j</v>
      </c>
      <c r="B242" t="s">
        <v>582</v>
      </c>
      <c r="C242">
        <v>2</v>
      </c>
      <c r="D242">
        <v>2</v>
      </c>
      <c r="E242">
        <v>3</v>
      </c>
      <c r="F242">
        <v>2</v>
      </c>
      <c r="G242" t="s">
        <v>624</v>
      </c>
      <c r="H242" t="s">
        <v>16</v>
      </c>
      <c r="J242">
        <v>28.9</v>
      </c>
      <c r="K242" t="str">
        <f>"-17 30"</f>
        <v>-17 30</v>
      </c>
      <c r="M242">
        <v>27.5</v>
      </c>
      <c r="N242">
        <v>-8.6999999999999993</v>
      </c>
      <c r="O242">
        <v>90.8</v>
      </c>
    </row>
    <row r="243" spans="1:16" x14ac:dyDescent="0.25">
      <c r="A243" t="str">
        <f t="shared" si="27"/>
        <v>k</v>
      </c>
      <c r="B243" t="s">
        <v>583</v>
      </c>
      <c r="C243">
        <v>3</v>
      </c>
      <c r="D243">
        <v>0.5</v>
      </c>
      <c r="E243">
        <v>3</v>
      </c>
      <c r="F243">
        <v>4</v>
      </c>
      <c r="G243" t="s">
        <v>16</v>
      </c>
      <c r="H243" t="s">
        <v>627</v>
      </c>
      <c r="J243">
        <v>22.3</v>
      </c>
      <c r="K243" t="s">
        <v>520</v>
      </c>
      <c r="M243">
        <v>22.1</v>
      </c>
      <c r="N243">
        <v>1.6</v>
      </c>
      <c r="O243">
        <v>82.1</v>
      </c>
    </row>
    <row r="244" spans="1:16" x14ac:dyDescent="0.25">
      <c r="A244" t="str">
        <f t="shared" si="27"/>
        <v>l</v>
      </c>
      <c r="B244" t="s">
        <v>584</v>
      </c>
      <c r="C244">
        <v>4</v>
      </c>
      <c r="D244">
        <v>3</v>
      </c>
      <c r="E244">
        <v>5</v>
      </c>
      <c r="F244">
        <v>3</v>
      </c>
      <c r="G244" t="s">
        <v>625</v>
      </c>
      <c r="H244" t="s">
        <v>16</v>
      </c>
      <c r="J244">
        <v>22.9</v>
      </c>
      <c r="K244" t="s">
        <v>657</v>
      </c>
      <c r="M244">
        <v>22.9</v>
      </c>
      <c r="N244">
        <v>0.3</v>
      </c>
      <c r="O244">
        <v>83.7</v>
      </c>
    </row>
    <row r="245" spans="1:16" x14ac:dyDescent="0.25">
      <c r="A245" t="str">
        <f t="shared" si="27"/>
        <v>m</v>
      </c>
      <c r="B245" t="s">
        <v>585</v>
      </c>
      <c r="C245">
        <v>2</v>
      </c>
      <c r="D245">
        <v>1.5</v>
      </c>
      <c r="E245" t="s">
        <v>16</v>
      </c>
      <c r="F245">
        <v>2</v>
      </c>
      <c r="G245" t="s">
        <v>16</v>
      </c>
      <c r="H245" t="s">
        <v>174</v>
      </c>
      <c r="J245">
        <v>18.8</v>
      </c>
      <c r="K245" t="str">
        <f>"-5 30"</f>
        <v>-5 30</v>
      </c>
      <c r="M245">
        <v>18.600000000000001</v>
      </c>
      <c r="N245">
        <v>-1.8</v>
      </c>
      <c r="O245">
        <v>84</v>
      </c>
    </row>
    <row r="246" spans="1:16" x14ac:dyDescent="0.25">
      <c r="A246" t="str">
        <f t="shared" si="27"/>
        <v>n</v>
      </c>
      <c r="B246" t="s">
        <v>586</v>
      </c>
      <c r="C246">
        <v>4</v>
      </c>
      <c r="D246">
        <v>6</v>
      </c>
      <c r="E246">
        <v>3</v>
      </c>
      <c r="F246">
        <v>3</v>
      </c>
      <c r="G246" t="s">
        <v>626</v>
      </c>
      <c r="H246" t="s">
        <v>16</v>
      </c>
      <c r="J246">
        <v>47.1</v>
      </c>
      <c r="K246" t="str">
        <f>"-11 30"</f>
        <v>-11 30</v>
      </c>
      <c r="M246">
        <v>46.2</v>
      </c>
      <c r="N246">
        <v>-9.4</v>
      </c>
      <c r="O246">
        <v>82.2</v>
      </c>
      <c r="P246" t="s">
        <v>668</v>
      </c>
    </row>
    <row r="247" spans="1:16" x14ac:dyDescent="0.25">
      <c r="A247" t="str">
        <f t="shared" si="27"/>
        <v>o</v>
      </c>
      <c r="O247">
        <v>72.8</v>
      </c>
    </row>
    <row r="248" spans="1:16" x14ac:dyDescent="0.25">
      <c r="A248" s="1" t="s">
        <v>628</v>
      </c>
      <c r="B248" s="1" t="s">
        <v>629</v>
      </c>
      <c r="C248" s="1" t="s">
        <v>630</v>
      </c>
    </row>
    <row r="249" spans="1:16" x14ac:dyDescent="0.25">
      <c r="A249" t="s">
        <v>586</v>
      </c>
      <c r="B249" t="s">
        <v>587</v>
      </c>
      <c r="C249">
        <v>3</v>
      </c>
      <c r="D249">
        <v>5</v>
      </c>
      <c r="E249">
        <v>4</v>
      </c>
      <c r="F249">
        <v>11</v>
      </c>
      <c r="G249" t="s">
        <v>16</v>
      </c>
      <c r="H249" t="s">
        <v>307</v>
      </c>
      <c r="J249">
        <v>24</v>
      </c>
      <c r="K249" t="str">
        <f>"-9 15"</f>
        <v>-9 15</v>
      </c>
      <c r="M249">
        <v>23.8</v>
      </c>
      <c r="N249">
        <v>-3.9</v>
      </c>
      <c r="O249">
        <v>72.8</v>
      </c>
      <c r="P249" t="s">
        <v>671</v>
      </c>
    </row>
    <row r="250" spans="1:16" x14ac:dyDescent="0.25">
      <c r="A250" t="str">
        <f t="shared" si="27"/>
        <v>p</v>
      </c>
      <c r="B250" t="s">
        <v>588</v>
      </c>
      <c r="C250">
        <v>15</v>
      </c>
      <c r="D250">
        <v>2</v>
      </c>
      <c r="E250" t="s">
        <v>620</v>
      </c>
      <c r="F250">
        <v>7</v>
      </c>
      <c r="G250" t="s">
        <v>631</v>
      </c>
      <c r="H250" t="s">
        <v>16</v>
      </c>
      <c r="J250">
        <v>34.4</v>
      </c>
      <c r="K250" t="str">
        <f>"-14 30"</f>
        <v>-14 30</v>
      </c>
      <c r="M250">
        <v>33.200000000000003</v>
      </c>
      <c r="N250">
        <v>-8.6</v>
      </c>
      <c r="O250">
        <v>68.900000000000006</v>
      </c>
    </row>
    <row r="251" spans="1:16" x14ac:dyDescent="0.25">
      <c r="A251" t="str">
        <f t="shared" si="27"/>
        <v>q</v>
      </c>
      <c r="B251" t="s">
        <v>589</v>
      </c>
      <c r="C251">
        <v>4</v>
      </c>
      <c r="D251">
        <v>1</v>
      </c>
      <c r="E251">
        <v>3</v>
      </c>
      <c r="F251" s="7" t="str">
        <f t="shared" ref="F251" si="28">"/"</f>
        <v>/</v>
      </c>
      <c r="G251" t="s">
        <v>632</v>
      </c>
      <c r="H251" t="s">
        <v>16</v>
      </c>
      <c r="J251">
        <v>23.1</v>
      </c>
      <c r="K251" t="str">
        <f>"-3.5 feet"</f>
        <v>-3.5 feet</v>
      </c>
      <c r="M251">
        <v>22.5</v>
      </c>
      <c r="N251">
        <v>-3.5</v>
      </c>
      <c r="O251">
        <v>60.3</v>
      </c>
      <c r="P251" t="s">
        <v>672</v>
      </c>
    </row>
    <row r="252" spans="1:16" x14ac:dyDescent="0.25">
      <c r="A252" t="s">
        <v>588</v>
      </c>
      <c r="B252" t="s">
        <v>590</v>
      </c>
      <c r="C252" s="7" t="str">
        <f t="shared" ref="C252:F252" si="29">"/"</f>
        <v>/</v>
      </c>
      <c r="D252" s="7" t="str">
        <f t="shared" si="29"/>
        <v>/</v>
      </c>
      <c r="E252" s="7" t="str">
        <f t="shared" si="29"/>
        <v>/</v>
      </c>
      <c r="F252" s="7" t="str">
        <f t="shared" si="29"/>
        <v>/</v>
      </c>
      <c r="G252" t="s">
        <v>16</v>
      </c>
      <c r="H252" t="s">
        <v>648</v>
      </c>
      <c r="J252">
        <v>21.6</v>
      </c>
      <c r="K252" t="s">
        <v>658</v>
      </c>
      <c r="M252">
        <v>20.2</v>
      </c>
      <c r="N252">
        <v>7.6</v>
      </c>
      <c r="O252" t="s">
        <v>664</v>
      </c>
    </row>
    <row r="253" spans="1:16" x14ac:dyDescent="0.25">
      <c r="A253" t="str">
        <f t="shared" si="27"/>
        <v>s</v>
      </c>
      <c r="B253" t="s">
        <v>591</v>
      </c>
      <c r="C253">
        <v>2</v>
      </c>
      <c r="D253">
        <v>3</v>
      </c>
      <c r="E253">
        <v>25</v>
      </c>
      <c r="F253">
        <v>5</v>
      </c>
      <c r="G253" t="s">
        <v>633</v>
      </c>
      <c r="H253" t="s">
        <v>16</v>
      </c>
      <c r="J253">
        <v>17.399999999999999</v>
      </c>
      <c r="K253" t="str">
        <f>"-7 30"</f>
        <v>-7 30</v>
      </c>
      <c r="M253">
        <v>17.2</v>
      </c>
      <c r="N253">
        <v>-2.2999999999999998</v>
      </c>
      <c r="O253">
        <v>67.900000000000006</v>
      </c>
    </row>
    <row r="254" spans="1:16" x14ac:dyDescent="0.25">
      <c r="A254" t="str">
        <f t="shared" si="27"/>
        <v>t</v>
      </c>
      <c r="B254" t="s">
        <v>592</v>
      </c>
      <c r="C254">
        <v>2</v>
      </c>
      <c r="D254">
        <v>1</v>
      </c>
      <c r="E254" s="7" t="str">
        <f t="shared" ref="E254" si="30">"/"</f>
        <v>/</v>
      </c>
      <c r="F254">
        <v>10</v>
      </c>
      <c r="G254" t="s">
        <v>634</v>
      </c>
      <c r="H254" t="s">
        <v>16</v>
      </c>
      <c r="J254">
        <v>18.2</v>
      </c>
      <c r="K254" t="str">
        <f>"-4 feet"</f>
        <v>-4 feet</v>
      </c>
      <c r="M254">
        <v>17.8</v>
      </c>
      <c r="N254">
        <v>-4</v>
      </c>
      <c r="O254">
        <v>65.599999999999994</v>
      </c>
      <c r="P254" t="s">
        <v>673</v>
      </c>
    </row>
    <row r="255" spans="1:16" x14ac:dyDescent="0.25">
      <c r="A255" t="s">
        <v>591</v>
      </c>
      <c r="B255" t="s">
        <v>593</v>
      </c>
      <c r="C255" s="7" t="str">
        <f t="shared" ref="C255:F255" si="31">"/"</f>
        <v>/</v>
      </c>
      <c r="D255" s="7" t="str">
        <f t="shared" si="31"/>
        <v>/</v>
      </c>
      <c r="E255" s="7" t="str">
        <f t="shared" si="31"/>
        <v>/</v>
      </c>
      <c r="F255" s="7" t="str">
        <f t="shared" si="31"/>
        <v>/</v>
      </c>
      <c r="G255" t="s">
        <v>16</v>
      </c>
      <c r="H255" t="s">
        <v>354</v>
      </c>
      <c r="J255">
        <v>17.3</v>
      </c>
      <c r="K255" t="s">
        <v>658</v>
      </c>
      <c r="M255">
        <v>16.2</v>
      </c>
      <c r="N255">
        <v>6</v>
      </c>
      <c r="O255" t="s">
        <v>665</v>
      </c>
      <c r="P255" t="s">
        <v>674</v>
      </c>
    </row>
    <row r="256" spans="1:16" x14ac:dyDescent="0.25">
      <c r="A256" t="str">
        <f t="shared" si="27"/>
        <v>v</v>
      </c>
      <c r="B256" t="s">
        <v>594</v>
      </c>
      <c r="C256">
        <v>1</v>
      </c>
      <c r="D256">
        <v>1.5</v>
      </c>
      <c r="E256">
        <v>3</v>
      </c>
      <c r="F256">
        <v>3</v>
      </c>
      <c r="G256" t="s">
        <v>635</v>
      </c>
      <c r="H256" t="s">
        <v>16</v>
      </c>
      <c r="J256">
        <v>16.2</v>
      </c>
      <c r="K256" t="str">
        <f>"-2 45"</f>
        <v>-2 45</v>
      </c>
      <c r="M256">
        <v>16.100000000000001</v>
      </c>
      <c r="N256">
        <v>-0.8</v>
      </c>
      <c r="O256">
        <v>71.599999999999994</v>
      </c>
    </row>
    <row r="257" spans="1:16" x14ac:dyDescent="0.25">
      <c r="A257" t="str">
        <f t="shared" si="27"/>
        <v>w</v>
      </c>
      <c r="B257" t="s">
        <v>595</v>
      </c>
      <c r="C257">
        <v>3</v>
      </c>
      <c r="D257" t="s">
        <v>16</v>
      </c>
      <c r="E257">
        <v>4</v>
      </c>
      <c r="F257">
        <v>2</v>
      </c>
      <c r="G257" t="s">
        <v>16</v>
      </c>
      <c r="H257" t="s">
        <v>649</v>
      </c>
      <c r="J257">
        <v>17.8</v>
      </c>
      <c r="K257" t="s">
        <v>556</v>
      </c>
      <c r="M257">
        <v>16.8</v>
      </c>
      <c r="N257">
        <v>6</v>
      </c>
      <c r="O257">
        <v>70.8</v>
      </c>
      <c r="P257" t="s">
        <v>675</v>
      </c>
    </row>
    <row r="258" spans="1:16" x14ac:dyDescent="0.25">
      <c r="A258" t="str">
        <f t="shared" si="27"/>
        <v>x</v>
      </c>
      <c r="B258" t="s">
        <v>596</v>
      </c>
      <c r="C258">
        <v>1</v>
      </c>
      <c r="D258">
        <v>2</v>
      </c>
      <c r="E258">
        <v>2</v>
      </c>
      <c r="F258">
        <v>3</v>
      </c>
      <c r="G258" t="s">
        <v>636</v>
      </c>
      <c r="H258" t="s">
        <v>16</v>
      </c>
      <c r="J258">
        <v>24.3</v>
      </c>
      <c r="K258" t="s">
        <v>247</v>
      </c>
      <c r="M258">
        <v>23.8</v>
      </c>
      <c r="N258">
        <v>4.2</v>
      </c>
      <c r="O258">
        <v>76.8</v>
      </c>
    </row>
    <row r="259" spans="1:16" x14ac:dyDescent="0.25">
      <c r="A259" t="str">
        <f t="shared" si="27"/>
        <v>y</v>
      </c>
      <c r="B259" t="s">
        <v>597</v>
      </c>
      <c r="C259">
        <v>1</v>
      </c>
      <c r="D259" s="7" t="str">
        <f t="shared" ref="D259" si="32">"/"</f>
        <v>/</v>
      </c>
      <c r="E259">
        <v>4</v>
      </c>
      <c r="F259" t="s">
        <v>16</v>
      </c>
      <c r="G259" t="s">
        <v>16</v>
      </c>
      <c r="H259" t="s">
        <v>16</v>
      </c>
      <c r="J259">
        <v>6</v>
      </c>
      <c r="K259" t="str">
        <f>"-90 00"</f>
        <v>-90 00</v>
      </c>
      <c r="M259" t="s">
        <v>16</v>
      </c>
      <c r="N259">
        <v>-6</v>
      </c>
      <c r="O259">
        <v>81</v>
      </c>
    </row>
    <row r="260" spans="1:16" x14ac:dyDescent="0.25">
      <c r="A260" t="str">
        <f t="shared" si="27"/>
        <v>z</v>
      </c>
      <c r="B260" t="s">
        <v>598</v>
      </c>
      <c r="C260" s="7" t="str">
        <f t="shared" ref="C260" si="33">"/"</f>
        <v>/</v>
      </c>
      <c r="D260" t="s">
        <v>16</v>
      </c>
      <c r="E260">
        <v>1</v>
      </c>
      <c r="F260">
        <v>2</v>
      </c>
      <c r="G260" t="s">
        <v>16</v>
      </c>
      <c r="H260" t="s">
        <v>650</v>
      </c>
      <c r="J260">
        <v>12.5</v>
      </c>
      <c r="K260" t="str">
        <f>"-2 40"</f>
        <v>-2 40</v>
      </c>
      <c r="M260">
        <v>12.4</v>
      </c>
      <c r="N260">
        <v>-0.6</v>
      </c>
      <c r="O260">
        <v>75</v>
      </c>
      <c r="P260" t="s">
        <v>676</v>
      </c>
    </row>
    <row r="261" spans="1:16" x14ac:dyDescent="0.25">
      <c r="A261" t="str">
        <f t="shared" si="27"/>
        <v>aa</v>
      </c>
      <c r="B261" t="s">
        <v>599</v>
      </c>
      <c r="C261">
        <v>4</v>
      </c>
      <c r="D261">
        <v>4</v>
      </c>
      <c r="E261">
        <v>4</v>
      </c>
      <c r="F261">
        <v>2</v>
      </c>
      <c r="G261" t="s">
        <v>651</v>
      </c>
      <c r="H261" t="s">
        <v>16</v>
      </c>
      <c r="J261">
        <v>11.2</v>
      </c>
      <c r="K261" t="str">
        <f>"-22 30"</f>
        <v>-22 30</v>
      </c>
      <c r="M261">
        <v>10.3</v>
      </c>
      <c r="N261">
        <v>-4.3</v>
      </c>
      <c r="O261">
        <v>74.400000000000006</v>
      </c>
      <c r="P261" t="s">
        <v>677</v>
      </c>
    </row>
    <row r="262" spans="1:16" x14ac:dyDescent="0.25">
      <c r="A262" t="str">
        <f t="shared" si="27"/>
        <v>ab</v>
      </c>
      <c r="B262" t="s">
        <v>600</v>
      </c>
      <c r="C262" t="s">
        <v>619</v>
      </c>
      <c r="D262" t="s">
        <v>16</v>
      </c>
      <c r="E262">
        <v>2.5</v>
      </c>
      <c r="F262">
        <v>2.5</v>
      </c>
      <c r="G262" t="s">
        <v>16</v>
      </c>
      <c r="H262" t="s">
        <v>652</v>
      </c>
      <c r="J262">
        <v>8</v>
      </c>
      <c r="K262" t="s">
        <v>464</v>
      </c>
      <c r="M262">
        <v>7.8</v>
      </c>
      <c r="N262">
        <v>1.6</v>
      </c>
      <c r="O262">
        <v>70.099999999999994</v>
      </c>
      <c r="P262" t="s">
        <v>678</v>
      </c>
    </row>
    <row r="263" spans="1:16" x14ac:dyDescent="0.25">
      <c r="A263" t="str">
        <f t="shared" si="27"/>
        <v>ac</v>
      </c>
      <c r="B263" t="s">
        <v>601</v>
      </c>
      <c r="C263">
        <v>3</v>
      </c>
      <c r="D263">
        <v>3</v>
      </c>
      <c r="E263">
        <v>4</v>
      </c>
      <c r="F263">
        <v>2</v>
      </c>
      <c r="G263" t="s">
        <v>637</v>
      </c>
      <c r="H263" t="s">
        <v>16</v>
      </c>
      <c r="J263">
        <v>14.3</v>
      </c>
      <c r="K263" t="str">
        <f>"-12 00"</f>
        <v>-12 00</v>
      </c>
      <c r="M263">
        <v>14</v>
      </c>
      <c r="N263">
        <v>-3</v>
      </c>
      <c r="O263">
        <v>71.7</v>
      </c>
      <c r="P263" t="s">
        <v>679</v>
      </c>
    </row>
    <row r="264" spans="1:16" x14ac:dyDescent="0.25">
      <c r="A264" t="str">
        <f t="shared" si="27"/>
        <v>ad</v>
      </c>
      <c r="B264" t="s">
        <v>602</v>
      </c>
      <c r="C264">
        <v>4</v>
      </c>
      <c r="D264" t="s">
        <v>16</v>
      </c>
      <c r="E264">
        <v>2</v>
      </c>
      <c r="F264">
        <v>3</v>
      </c>
      <c r="G264" t="s">
        <v>16</v>
      </c>
      <c r="H264" t="s">
        <v>645</v>
      </c>
      <c r="J264">
        <v>12.7</v>
      </c>
      <c r="K264" t="s">
        <v>371</v>
      </c>
      <c r="M264">
        <v>12.6</v>
      </c>
      <c r="N264">
        <v>1.3</v>
      </c>
      <c r="O264">
        <v>68.7</v>
      </c>
    </row>
    <row r="265" spans="1:16" x14ac:dyDescent="0.25">
      <c r="A265" t="str">
        <f t="shared" si="27"/>
        <v>ae</v>
      </c>
      <c r="B265" t="s">
        <v>603</v>
      </c>
      <c r="C265">
        <v>7</v>
      </c>
      <c r="D265">
        <v>2</v>
      </c>
      <c r="E265">
        <v>5</v>
      </c>
      <c r="F265">
        <v>2</v>
      </c>
      <c r="G265" t="s">
        <v>638</v>
      </c>
      <c r="H265" t="s">
        <v>16</v>
      </c>
      <c r="J265">
        <v>30.5</v>
      </c>
      <c r="K265" t="str">
        <f>"-8 40"</f>
        <v>-8 40</v>
      </c>
      <c r="M265">
        <v>30.1</v>
      </c>
      <c r="N265">
        <v>-4.5999999999999996</v>
      </c>
      <c r="O265">
        <v>70</v>
      </c>
      <c r="P265" t="s">
        <v>680</v>
      </c>
    </row>
    <row r="266" spans="1:16" x14ac:dyDescent="0.25">
      <c r="A266" t="str">
        <f t="shared" si="27"/>
        <v>af</v>
      </c>
      <c r="B266" t="s">
        <v>604</v>
      </c>
      <c r="C266">
        <v>5</v>
      </c>
      <c r="D266">
        <v>1</v>
      </c>
      <c r="E266">
        <v>1.5</v>
      </c>
      <c r="F266">
        <v>4</v>
      </c>
      <c r="G266" t="s">
        <v>16</v>
      </c>
      <c r="H266" t="s">
        <v>653</v>
      </c>
      <c r="J266">
        <v>27.4</v>
      </c>
      <c r="K266" t="s">
        <v>659</v>
      </c>
      <c r="M266">
        <v>27.4</v>
      </c>
      <c r="N266" t="s">
        <v>16</v>
      </c>
      <c r="O266">
        <v>65.400000000000006</v>
      </c>
    </row>
    <row r="267" spans="1:16" x14ac:dyDescent="0.25">
      <c r="A267" t="str">
        <f t="shared" si="27"/>
        <v>ag</v>
      </c>
      <c r="B267" t="s">
        <v>605</v>
      </c>
      <c r="C267">
        <v>2</v>
      </c>
      <c r="D267">
        <v>1.5</v>
      </c>
      <c r="E267">
        <v>8</v>
      </c>
      <c r="F267">
        <v>2.5</v>
      </c>
      <c r="G267" t="s">
        <v>639</v>
      </c>
      <c r="H267" t="s">
        <v>16</v>
      </c>
      <c r="J267">
        <v>13.7</v>
      </c>
      <c r="K267" t="str">
        <f>"-20 20"</f>
        <v>-20 20</v>
      </c>
      <c r="M267">
        <v>12.8</v>
      </c>
      <c r="N267">
        <v>-4.8</v>
      </c>
      <c r="O267">
        <v>65.400000000000006</v>
      </c>
      <c r="P267" t="s">
        <v>681</v>
      </c>
    </row>
    <row r="268" spans="1:16" x14ac:dyDescent="0.25">
      <c r="A268" t="s">
        <v>597</v>
      </c>
      <c r="B268" t="s">
        <v>606</v>
      </c>
      <c r="C268" s="7" t="str">
        <f t="shared" ref="C268:F280" si="34">"/"</f>
        <v>/</v>
      </c>
      <c r="D268" s="7" t="str">
        <f t="shared" si="34"/>
        <v>/</v>
      </c>
      <c r="E268" s="7" t="str">
        <f t="shared" si="34"/>
        <v>/</v>
      </c>
      <c r="F268" s="7" t="str">
        <f t="shared" si="34"/>
        <v>/</v>
      </c>
      <c r="G268" t="s">
        <v>16</v>
      </c>
      <c r="H268" t="s">
        <v>654</v>
      </c>
      <c r="J268">
        <v>19.2</v>
      </c>
      <c r="K268" t="s">
        <v>660</v>
      </c>
      <c r="M268">
        <v>17.8</v>
      </c>
      <c r="N268">
        <v>7.2</v>
      </c>
      <c r="O268" t="s">
        <v>666</v>
      </c>
    </row>
    <row r="269" spans="1:16" x14ac:dyDescent="0.25">
      <c r="A269" t="str">
        <f t="shared" si="27"/>
        <v>ai</v>
      </c>
      <c r="B269" t="s">
        <v>607</v>
      </c>
      <c r="C269" s="7" t="str">
        <f t="shared" si="34"/>
        <v>/</v>
      </c>
      <c r="D269" s="7" t="str">
        <f t="shared" si="34"/>
        <v>/</v>
      </c>
      <c r="E269" s="7" t="str">
        <f t="shared" si="34"/>
        <v>/</v>
      </c>
      <c r="F269" s="7" t="str">
        <f t="shared" si="34"/>
        <v>/</v>
      </c>
      <c r="G269" t="s">
        <v>640</v>
      </c>
      <c r="H269" t="s">
        <v>16</v>
      </c>
      <c r="J269">
        <v>7.2</v>
      </c>
      <c r="K269" t="s">
        <v>661</v>
      </c>
      <c r="M269">
        <v>4.0999999999999996</v>
      </c>
      <c r="N269">
        <v>5.9</v>
      </c>
      <c r="O269">
        <v>82.2</v>
      </c>
    </row>
    <row r="270" spans="1:16" x14ac:dyDescent="0.25">
      <c r="A270" t="str">
        <f t="shared" si="27"/>
        <v>aj</v>
      </c>
      <c r="B270" t="s">
        <v>608</v>
      </c>
      <c r="C270" s="7" t="str">
        <f t="shared" si="34"/>
        <v>/</v>
      </c>
      <c r="D270" s="7" t="str">
        <f t="shared" si="34"/>
        <v>/</v>
      </c>
      <c r="E270" s="7" t="str">
        <f t="shared" si="34"/>
        <v>/</v>
      </c>
      <c r="F270" s="7" t="str">
        <f t="shared" si="34"/>
        <v>/</v>
      </c>
      <c r="G270" t="s">
        <v>641</v>
      </c>
      <c r="H270" t="s">
        <v>16</v>
      </c>
      <c r="J270">
        <v>19.7</v>
      </c>
      <c r="K270" t="s">
        <v>248</v>
      </c>
      <c r="M270">
        <v>18.8</v>
      </c>
      <c r="N270">
        <v>6.1</v>
      </c>
      <c r="O270">
        <v>88.1</v>
      </c>
    </row>
    <row r="271" spans="1:16" x14ac:dyDescent="0.25">
      <c r="A271" t="str">
        <f t="shared" si="27"/>
        <v>ak</v>
      </c>
      <c r="B271" t="s">
        <v>609</v>
      </c>
      <c r="C271" s="7" t="str">
        <f t="shared" si="34"/>
        <v>/</v>
      </c>
      <c r="D271" s="7" t="str">
        <f t="shared" si="34"/>
        <v>/</v>
      </c>
      <c r="E271" s="7" t="str">
        <f t="shared" si="34"/>
        <v>/</v>
      </c>
      <c r="F271" s="7" t="str">
        <f t="shared" si="34"/>
        <v>/</v>
      </c>
      <c r="G271" t="s">
        <v>181</v>
      </c>
      <c r="H271" t="s">
        <v>16</v>
      </c>
      <c r="J271">
        <v>9.1999999999999993</v>
      </c>
      <c r="K271" t="str">
        <f>"-22 00"</f>
        <v>-22 00</v>
      </c>
      <c r="M271">
        <v>8.5</v>
      </c>
      <c r="N271">
        <v>-3.4</v>
      </c>
      <c r="O271">
        <v>94.2</v>
      </c>
    </row>
    <row r="272" spans="1:16" x14ac:dyDescent="0.25">
      <c r="A272" t="str">
        <f t="shared" si="27"/>
        <v>al</v>
      </c>
      <c r="B272" t="s">
        <v>610</v>
      </c>
      <c r="C272" s="7" t="str">
        <f t="shared" si="34"/>
        <v>/</v>
      </c>
      <c r="D272" s="7" t="str">
        <f t="shared" si="34"/>
        <v>/</v>
      </c>
      <c r="E272" s="7" t="str">
        <f t="shared" si="34"/>
        <v>/</v>
      </c>
      <c r="F272" s="7" t="str">
        <f t="shared" si="34"/>
        <v>/</v>
      </c>
      <c r="G272" t="s">
        <v>642</v>
      </c>
      <c r="H272" t="s">
        <v>16</v>
      </c>
      <c r="J272">
        <v>15.8</v>
      </c>
      <c r="K272" t="str">
        <f>"+ 2 feet"</f>
        <v>+ 2 feet</v>
      </c>
      <c r="M272">
        <v>15.5</v>
      </c>
      <c r="N272">
        <v>2</v>
      </c>
      <c r="O272">
        <v>90.8</v>
      </c>
      <c r="P272" t="s">
        <v>682</v>
      </c>
    </row>
    <row r="273" spans="1:16" x14ac:dyDescent="0.25">
      <c r="A273" t="str">
        <f t="shared" si="27"/>
        <v>am</v>
      </c>
      <c r="B273" t="s">
        <v>611</v>
      </c>
      <c r="C273" s="7" t="str">
        <f t="shared" si="34"/>
        <v>/</v>
      </c>
      <c r="D273" s="7" t="str">
        <f t="shared" si="34"/>
        <v>/</v>
      </c>
      <c r="E273" s="7" t="str">
        <f t="shared" si="34"/>
        <v>/</v>
      </c>
      <c r="F273" s="7" t="str">
        <f t="shared" si="34"/>
        <v>/</v>
      </c>
      <c r="G273" t="s">
        <v>643</v>
      </c>
      <c r="H273" t="s">
        <v>16</v>
      </c>
      <c r="J273">
        <v>12.3</v>
      </c>
      <c r="K273" t="s">
        <v>660</v>
      </c>
      <c r="M273">
        <v>11.4</v>
      </c>
      <c r="N273">
        <v>4.5999999999999996</v>
      </c>
      <c r="O273">
        <v>92.8</v>
      </c>
      <c r="P273" t="s">
        <v>683</v>
      </c>
    </row>
    <row r="274" spans="1:16" x14ac:dyDescent="0.25">
      <c r="A274" t="str">
        <f t="shared" si="27"/>
        <v>an</v>
      </c>
      <c r="B274" t="s">
        <v>612</v>
      </c>
      <c r="C274" s="7" t="str">
        <f t="shared" si="34"/>
        <v>/</v>
      </c>
      <c r="D274" s="7" t="str">
        <f t="shared" si="34"/>
        <v>/</v>
      </c>
      <c r="E274" s="7" t="str">
        <f t="shared" si="34"/>
        <v>/</v>
      </c>
      <c r="F274" s="7" t="str">
        <f t="shared" si="34"/>
        <v>/</v>
      </c>
      <c r="G274" t="s">
        <v>644</v>
      </c>
      <c r="H274" t="s">
        <v>16</v>
      </c>
      <c r="J274">
        <v>14.5</v>
      </c>
      <c r="K274" t="s">
        <v>662</v>
      </c>
      <c r="M274">
        <v>9.3000000000000007</v>
      </c>
      <c r="N274">
        <v>11.1</v>
      </c>
      <c r="O274">
        <v>97.4</v>
      </c>
    </row>
    <row r="275" spans="1:16" x14ac:dyDescent="0.25">
      <c r="A275" t="str">
        <f t="shared" si="27"/>
        <v>ao</v>
      </c>
      <c r="B275" t="s">
        <v>613</v>
      </c>
      <c r="C275" s="7" t="str">
        <f t="shared" si="34"/>
        <v>/</v>
      </c>
      <c r="D275" s="7" t="str">
        <f t="shared" si="34"/>
        <v>/</v>
      </c>
      <c r="E275" s="7" t="str">
        <f t="shared" si="34"/>
        <v>/</v>
      </c>
      <c r="F275" s="7" t="str">
        <f t="shared" si="34"/>
        <v>/</v>
      </c>
      <c r="G275" t="s">
        <v>356</v>
      </c>
      <c r="H275" t="s">
        <v>16</v>
      </c>
      <c r="J275">
        <v>17.8</v>
      </c>
      <c r="K275" t="str">
        <f>"-6 30"</f>
        <v>-6 30</v>
      </c>
      <c r="M275">
        <v>17.600000000000001</v>
      </c>
      <c r="N275">
        <v>-2</v>
      </c>
      <c r="O275">
        <v>108.5</v>
      </c>
    </row>
    <row r="276" spans="1:16" x14ac:dyDescent="0.25">
      <c r="A276" t="str">
        <f t="shared" si="27"/>
        <v>ap</v>
      </c>
      <c r="B276" t="s">
        <v>614</v>
      </c>
      <c r="C276" s="7" t="str">
        <f t="shared" si="34"/>
        <v>/</v>
      </c>
      <c r="D276" s="7" t="str">
        <f t="shared" si="34"/>
        <v>/</v>
      </c>
      <c r="E276" s="7" t="str">
        <f t="shared" si="34"/>
        <v>/</v>
      </c>
      <c r="F276" s="7" t="str">
        <f t="shared" si="34"/>
        <v>/</v>
      </c>
      <c r="G276" t="s">
        <v>645</v>
      </c>
      <c r="H276" t="s">
        <v>16</v>
      </c>
      <c r="J276">
        <v>7.7</v>
      </c>
      <c r="K276" t="str">
        <f>"-53 00"</f>
        <v>-53 00</v>
      </c>
      <c r="M276">
        <v>4.5999999999999996</v>
      </c>
      <c r="N276">
        <v>-6.1</v>
      </c>
      <c r="O276">
        <v>106.5</v>
      </c>
    </row>
    <row r="277" spans="1:16" x14ac:dyDescent="0.25">
      <c r="A277" t="str">
        <f t="shared" si="27"/>
        <v>aq</v>
      </c>
      <c r="B277" t="s">
        <v>615</v>
      </c>
      <c r="C277" s="7" t="str">
        <f t="shared" si="34"/>
        <v>/</v>
      </c>
      <c r="D277" s="7" t="str">
        <f t="shared" si="34"/>
        <v>/</v>
      </c>
      <c r="E277" s="7" t="str">
        <f t="shared" si="34"/>
        <v>/</v>
      </c>
      <c r="F277" s="7" t="str">
        <f t="shared" si="34"/>
        <v>/</v>
      </c>
      <c r="G277" t="s">
        <v>646</v>
      </c>
      <c r="H277" t="s">
        <v>16</v>
      </c>
      <c r="J277">
        <v>8.5</v>
      </c>
      <c r="K277" t="s">
        <v>44</v>
      </c>
      <c r="M277">
        <v>8.5</v>
      </c>
      <c r="N277" t="s">
        <v>16</v>
      </c>
      <c r="O277">
        <v>100.4</v>
      </c>
    </row>
    <row r="278" spans="1:16" x14ac:dyDescent="0.25">
      <c r="A278" t="str">
        <f t="shared" si="27"/>
        <v>ar</v>
      </c>
      <c r="B278" t="s">
        <v>616</v>
      </c>
      <c r="C278" s="7" t="str">
        <f t="shared" si="34"/>
        <v>/</v>
      </c>
      <c r="D278" s="7" t="str">
        <f t="shared" si="34"/>
        <v>/</v>
      </c>
      <c r="E278" s="7" t="str">
        <f t="shared" si="34"/>
        <v>/</v>
      </c>
      <c r="F278" s="7" t="str">
        <f t="shared" si="34"/>
        <v>/</v>
      </c>
      <c r="G278" t="s">
        <v>647</v>
      </c>
      <c r="H278" t="s">
        <v>16</v>
      </c>
      <c r="J278">
        <v>10.8</v>
      </c>
      <c r="K278" t="s">
        <v>44</v>
      </c>
      <c r="M278">
        <v>10.8</v>
      </c>
      <c r="N278" t="s">
        <v>16</v>
      </c>
      <c r="O278">
        <v>100.4</v>
      </c>
      <c r="P278" t="s">
        <v>684</v>
      </c>
    </row>
    <row r="279" spans="1:16" x14ac:dyDescent="0.25">
      <c r="A279" t="str">
        <f t="shared" si="27"/>
        <v>as</v>
      </c>
      <c r="B279" t="s">
        <v>617</v>
      </c>
      <c r="C279" s="7" t="str">
        <f t="shared" si="34"/>
        <v>/</v>
      </c>
      <c r="D279" s="7" t="str">
        <f t="shared" si="34"/>
        <v>/</v>
      </c>
      <c r="E279" s="7" t="str">
        <f t="shared" si="34"/>
        <v>/</v>
      </c>
      <c r="F279" s="7" t="str">
        <f t="shared" si="34"/>
        <v>/</v>
      </c>
      <c r="G279" t="s">
        <v>646</v>
      </c>
      <c r="H279" t="s">
        <v>16</v>
      </c>
      <c r="J279">
        <v>18.399999999999999</v>
      </c>
      <c r="K279" t="str">
        <f>"-2.5 feet"</f>
        <v>-2.5 feet</v>
      </c>
      <c r="M279">
        <v>18.100000000000001</v>
      </c>
      <c r="N279">
        <v>-2.5</v>
      </c>
      <c r="O279">
        <v>100.4</v>
      </c>
    </row>
    <row r="280" spans="1:16" x14ac:dyDescent="0.25">
      <c r="A280" t="str">
        <f t="shared" si="27"/>
        <v>at</v>
      </c>
      <c r="B280" t="s">
        <v>618</v>
      </c>
      <c r="C280" s="7" t="str">
        <f t="shared" si="34"/>
        <v>/</v>
      </c>
      <c r="D280" s="7" t="str">
        <f t="shared" si="34"/>
        <v>/</v>
      </c>
      <c r="E280" s="7" t="str">
        <f t="shared" si="34"/>
        <v>/</v>
      </c>
      <c r="F280" s="7" t="str">
        <f t="shared" si="34"/>
        <v>/</v>
      </c>
      <c r="G280" t="s">
        <v>222</v>
      </c>
      <c r="H280" t="s">
        <v>16</v>
      </c>
      <c r="J280">
        <v>11</v>
      </c>
      <c r="K280" t="s">
        <v>663</v>
      </c>
      <c r="M280">
        <v>10.6</v>
      </c>
      <c r="N280" t="s">
        <v>16</v>
      </c>
      <c r="O280">
        <v>97.9</v>
      </c>
    </row>
    <row r="281" spans="1:16" x14ac:dyDescent="0.25">
      <c r="C281" s="7"/>
      <c r="D281" s="7"/>
      <c r="E281" s="7"/>
      <c r="F281" s="7"/>
      <c r="O281">
        <v>97.9</v>
      </c>
    </row>
    <row r="282" spans="1:16" x14ac:dyDescent="0.25">
      <c r="N282" t="s">
        <v>667</v>
      </c>
      <c r="O282">
        <v>88.9</v>
      </c>
    </row>
  </sheetData>
  <mergeCells count="1">
    <mergeCell ref="E3:F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81"/>
  <sheetViews>
    <sheetView zoomScale="80" zoomScaleNormal="8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Y260" sqref="Y260"/>
    </sheetView>
  </sheetViews>
  <sheetFormatPr defaultRowHeight="15" x14ac:dyDescent="0.25"/>
  <cols>
    <col min="10" max="10" width="9.5703125" bestFit="1" customWidth="1"/>
    <col min="11" max="11" width="14.28515625" customWidth="1"/>
    <col min="12" max="15" width="10" customWidth="1"/>
    <col min="16" max="16" width="27.42578125" customWidth="1"/>
    <col min="17" max="17" width="3.42578125" customWidth="1"/>
    <col min="18" max="22" width="9.140625" style="3"/>
  </cols>
  <sheetData>
    <row r="1" spans="1:25" x14ac:dyDescent="0.25">
      <c r="A1" t="str">
        <f>IF('Raw Data'!A1="","",'Raw Data'!A1)</f>
        <v>p. 45-46</v>
      </c>
      <c r="B1" t="str">
        <f>IF('Raw Data'!B1="","",'Raw Data'!B1)</f>
        <v>(=PDF p.49-50)</v>
      </c>
      <c r="C1" t="str">
        <f>IF('Raw Data'!C1="","",'Raw Data'!C1)</f>
        <v/>
      </c>
      <c r="D1" t="str">
        <f>IF('Raw Data'!D1="","",'Raw Data'!D1)</f>
        <v/>
      </c>
      <c r="E1" t="str">
        <f>IF('Raw Data'!E1="","",'Raw Data'!E1)</f>
        <v/>
      </c>
      <c r="F1" t="str">
        <f>IF('Raw Data'!F1="","",'Raw Data'!F1)</f>
        <v/>
      </c>
      <c r="G1" t="str">
        <f>IF('Raw Data'!G1="","",'Raw Data'!G1)</f>
        <v/>
      </c>
      <c r="H1" t="str">
        <f>IF('Raw Data'!H1="","",'Raw Data'!H1)</f>
        <v/>
      </c>
      <c r="I1" t="str">
        <f>IF('Raw Data'!I1="","",'Raw Data'!I1)</f>
        <v/>
      </c>
      <c r="J1" t="str">
        <f>IF('Raw Data'!J1="","",'Raw Data'!J1)</f>
        <v/>
      </c>
      <c r="K1" t="str">
        <f>IF('Raw Data'!K1="","",'Raw Data'!K1)</f>
        <v/>
      </c>
      <c r="L1" t="str">
        <f>IF('Raw Data'!L1="","",'Raw Data'!L1)</f>
        <v/>
      </c>
      <c r="M1" t="str">
        <f>IF('Raw Data'!M1="","",'Raw Data'!M1)</f>
        <v/>
      </c>
      <c r="N1" t="str">
        <f>IF('Raw Data'!N1="","",'Raw Data'!N1)</f>
        <v/>
      </c>
      <c r="O1" t="str">
        <f>IF('Raw Data'!O1="","",'Raw Data'!O1)</f>
        <v/>
      </c>
      <c r="Q1" t="str">
        <f>" "</f>
        <v xml:space="preserve"> </v>
      </c>
      <c r="R1" s="3" t="s">
        <v>255</v>
      </c>
      <c r="W1" s="3" t="s">
        <v>22</v>
      </c>
    </row>
    <row r="2" spans="1:25" x14ac:dyDescent="0.25">
      <c r="A2" t="str">
        <f>IF('Raw Data'!A2="","",'Raw Data'!A2)</f>
        <v>21st July 1951</v>
      </c>
      <c r="B2" t="str">
        <f>IF('Raw Data'!B2="","",'Raw Data'!B2)</f>
        <v>W.I.Stanton</v>
      </c>
      <c r="C2" t="str">
        <f>IF('Raw Data'!C2="","",'Raw Data'!C2)</f>
        <v>SWILDONS HOLE</v>
      </c>
      <c r="D2" t="str">
        <f>IF('Raw Data'!D2="","",'Raw Data'!D2)</f>
        <v/>
      </c>
      <c r="E2" t="str">
        <f>IF('Raw Data'!E2="","",'Raw Data'!E2)</f>
        <v/>
      </c>
      <c r="F2" t="str">
        <f>IF('Raw Data'!F2="","",'Raw Data'!F2)</f>
        <v/>
      </c>
      <c r="G2" t="str">
        <f>IF('Raw Data'!G2="","",'Raw Data'!G2)</f>
        <v/>
      </c>
      <c r="H2" t="str">
        <f>IF('Raw Data'!H2="","",'Raw Data'!H2)</f>
        <v/>
      </c>
      <c r="I2" t="str">
        <f>IF('Raw Data'!I2="","",'Raw Data'!I2)</f>
        <v/>
      </c>
      <c r="J2" t="str">
        <f>IF('Raw Data'!J2="","",'Raw Data'!J2)</f>
        <v/>
      </c>
      <c r="K2" t="str">
        <f>IF('Raw Data'!K2="","",'Raw Data'!K2)</f>
        <v/>
      </c>
      <c r="L2" t="str">
        <f>IF('Raw Data'!L2="","",'Raw Data'!L2)</f>
        <v/>
      </c>
      <c r="M2" t="str">
        <f>IF('Raw Data'!M2="","",'Raw Data'!M2)</f>
        <v>Compass bearings magnetic 11(deg)30' W</v>
      </c>
      <c r="N2" t="str">
        <f>IF('Raw Data'!N2="","",'Raw Data'!N2)</f>
        <v/>
      </c>
      <c r="O2" t="str">
        <f>IF('Raw Data'!O2="","",'Raw Data'!O2)</f>
        <v/>
      </c>
      <c r="Q2" t="str">
        <f t="shared" ref="Q2:Q65" si="0">" "</f>
        <v xml:space="preserve"> </v>
      </c>
      <c r="W2" s="3"/>
    </row>
    <row r="3" spans="1:25" x14ac:dyDescent="0.25">
      <c r="A3" t="str">
        <f>IF('Raw Data'!A3="","",'Raw Data'!A3)</f>
        <v/>
      </c>
      <c r="B3" t="str">
        <f>IF('Raw Data'!B3="","",'Raw Data'!B3)</f>
        <v/>
      </c>
      <c r="C3" t="str">
        <f>IF('Raw Data'!C3="","",'Raw Data'!C3)</f>
        <v/>
      </c>
      <c r="D3" t="str">
        <f>IF('Raw Data'!D3="","",'Raw Data'!D3)</f>
        <v/>
      </c>
      <c r="E3" s="14" t="str">
        <f>IF('Raw Data'!E3="","",'Raw Data'!E3)</f>
        <v>Looking Forward</v>
      </c>
      <c r="F3" s="14"/>
      <c r="G3" t="str">
        <f>IF('Raw Data'!G3="","",'Raw Data'!G3)</f>
        <v/>
      </c>
      <c r="H3" t="str">
        <f>IF('Raw Data'!H3="","",'Raw Data'!H3)</f>
        <v/>
      </c>
      <c r="I3" t="str">
        <f>IF('Raw Data'!I3="","",'Raw Data'!I3)</f>
        <v/>
      </c>
      <c r="J3" t="str">
        <f>IF('Raw Data'!J3="","",'Raw Data'!J3)</f>
        <v/>
      </c>
      <c r="K3" t="str">
        <f>IF('Raw Data'!K3="","",'Raw Data'!K3)</f>
        <v/>
      </c>
      <c r="Q3" t="str">
        <f t="shared" si="0"/>
        <v xml:space="preserve"> </v>
      </c>
    </row>
    <row r="4" spans="1:25" x14ac:dyDescent="0.25">
      <c r="A4" t="str">
        <f>IF('Raw Data'!A4="","",'Raw Data'!A4)</f>
        <v>Sta.</v>
      </c>
      <c r="B4" t="str">
        <f>IF('Raw Data'!B4="","",'Raw Data'!B4)</f>
        <v>Sta.</v>
      </c>
      <c r="C4" t="str">
        <f>IF('Raw Data'!C4="","",'Raw Data'!C4)</f>
        <v>Ht Rf</v>
      </c>
      <c r="D4" t="str">
        <f>IF('Raw Data'!D4="","",'Raw Data'!D4)</f>
        <v>Dp Fl</v>
      </c>
      <c r="E4" t="str">
        <f>IF('Raw Data'!E4="","",'Raw Data'!E4)</f>
        <v>Width L</v>
      </c>
      <c r="F4" t="str">
        <f>IF('Raw Data'!F4="","",'Raw Data'!F4)</f>
        <v>Width R</v>
      </c>
      <c r="G4" t="str">
        <f>IF('Raw Data'!G4="","",'Raw Data'!G4)</f>
        <v>FS</v>
      </c>
      <c r="H4" t="str">
        <f>IF('Raw Data'!H4="","",'Raw Data'!H4)</f>
        <v>BS</v>
      </c>
      <c r="I4" t="str">
        <f>IF('Raw Data'!I4="","",'Raw Data'!I4)</f>
        <v>Bearing</v>
      </c>
      <c r="J4" t="str">
        <f>IF('Raw Data'!J4="","",'Raw Data'!J4)</f>
        <v>Distance</v>
      </c>
      <c r="K4" t="str">
        <f>IF('Raw Data'!K4="","",'Raw Data'!K4)</f>
        <v>Fore Clino</v>
      </c>
      <c r="L4" t="str">
        <f>IF('Raw Data'!L4="","",'Raw Data'!L4)</f>
        <v/>
      </c>
      <c r="M4" t="str">
        <f>IF('Raw Data'!M4="","",'Raw Data'!M4)</f>
        <v>Hor Dist.</v>
      </c>
      <c r="N4" t="str">
        <f>IF('Raw Data'!N4="","",'Raw Data'!N4)</f>
        <v>Vert Dist.</v>
      </c>
      <c r="O4" t="str">
        <f>IF('Raw Data'!O4="","",'Raw Data'!O4)</f>
        <v>Dp. Below sump I</v>
      </c>
      <c r="Q4" t="str">
        <f t="shared" si="0"/>
        <v xml:space="preserve"> </v>
      </c>
      <c r="R4" s="3" t="str">
        <f>G4</f>
        <v>FS</v>
      </c>
      <c r="S4" s="3" t="str">
        <f>H4</f>
        <v>BS</v>
      </c>
      <c r="T4" s="3" t="str">
        <f>I4</f>
        <v>Bearing</v>
      </c>
      <c r="U4" s="3" t="str">
        <f>K4</f>
        <v>Fore Clino</v>
      </c>
      <c r="W4" s="3" t="s">
        <v>20</v>
      </c>
      <c r="X4" s="3" t="s">
        <v>21</v>
      </c>
      <c r="Y4" s="3" t="s">
        <v>278</v>
      </c>
    </row>
    <row r="5" spans="1:25" x14ac:dyDescent="0.25">
      <c r="A5" t="str">
        <f>IF('Raw Data'!A5="","",'Raw Data'!A5)</f>
        <v>A</v>
      </c>
      <c r="B5" t="str">
        <f>IF('Raw Data'!B5="","",'Raw Data'!B5)</f>
        <v>B</v>
      </c>
      <c r="C5">
        <f>IF('Raw Data'!C5="","",'Raw Data'!C5)</f>
        <v>20</v>
      </c>
      <c r="D5" t="str">
        <f>IF('Raw Data'!D5="","",'Raw Data'!D5)</f>
        <v>-</v>
      </c>
      <c r="E5">
        <f>IF('Raw Data'!E5="","",'Raw Data'!E5)</f>
        <v>4</v>
      </c>
      <c r="F5" t="str">
        <f>IF('Raw Data'!F5="","",'Raw Data'!F5)</f>
        <v>4(19' in aven)</v>
      </c>
      <c r="G5" s="7" t="str">
        <f>IF('Raw Data'!G5="","",SUBSTITUTE('Raw Data'!G5," ",":",1))</f>
        <v>-</v>
      </c>
      <c r="H5" s="7" t="str">
        <f>IF('Raw Data'!H5="","",SUBSTITUTE('Raw Data'!H5," ",":",1))</f>
        <v>103</v>
      </c>
      <c r="I5" s="7" t="str">
        <f>IF('Raw Data'!I5="","",SUBSTITUTE('Raw Data'!I5," ",":",1))</f>
        <v>283</v>
      </c>
      <c r="J5" s="12">
        <f>IF('Raw Data'!J5="","",IF(LEN(K5)&gt;6,SQRT('Raw Data'!J5^2+N5^2),'Raw Data'!J5))</f>
        <v>21</v>
      </c>
      <c r="K5" s="7" t="str">
        <f>IF('Raw Data'!K5="","",IF(LEN('Raw Data'!K5)&lt;7,SUBSTITUTE('Raw Data'!K5," ",":",1),'Raw Data'!K5))</f>
        <v>8:30</v>
      </c>
      <c r="L5" t="str">
        <f>IF('Raw Data'!L5="","",'Raw Data'!L5)</f>
        <v/>
      </c>
      <c r="M5">
        <f>IF('Raw Data'!M5="","",'Raw Data'!M5)</f>
        <v>20.8</v>
      </c>
      <c r="N5">
        <f>IF('Raw Data'!N5="","",IF('Raw Data'!N5="-",0,'Raw Data'!N5))</f>
        <v>3.1</v>
      </c>
      <c r="O5" t="str">
        <f>IF('Raw Data'!O5="","",'Raw Data'!O5)</f>
        <v/>
      </c>
      <c r="P5" t="str">
        <f>IF('Raw Data'!P5="","",'Raw Data'!P5)</f>
        <v>A is at the base of the cable spike on the downstream side of Sump I</v>
      </c>
      <c r="Q5" t="str">
        <f t="shared" si="0"/>
        <v xml:space="preserve"> </v>
      </c>
      <c r="R5" s="3" t="str">
        <f>IF(ISERROR(FIND(":",G5)),IF(G5&lt;&gt;"-",1*G5,G5),1*LEFT(G5,FIND(":",G5)-1)+RIGHT(G5,LEN(G5)-FIND(":",G5))/60)</f>
        <v>-</v>
      </c>
      <c r="S5" s="3">
        <f>IF(ISERROR(FIND(":",H5)),IF(H5&lt;&gt;"-",1*H5,H5),1*LEFT(H5,FIND(":",H5)-1)+RIGHT(H5,LEN(H5)-FIND(":",H5))/60)</f>
        <v>103</v>
      </c>
      <c r="T5" s="3">
        <f>IF(ISERROR(FIND(":",I5)),IF(I5&lt;&gt;"-",1*I5,I5),1*LEFT(I5,FIND(":",I5)-1)+RIGHT(I5,LEN(I5)-FIND(":",I5))/60)</f>
        <v>283</v>
      </c>
      <c r="U5" s="3">
        <f t="shared" ref="U5:U6" si="1">IF(ISERROR(FIND(":",K5)),K5,1*CONCATENATE(LEFT(K5,FIND(":",K5)-1),".",MID(RIGHT(K5,LEN(K5)-FIND(":",K5))/60,3,8)))</f>
        <v>8.5</v>
      </c>
      <c r="W5" s="4">
        <f>J5*COS(U5*PI()/180)</f>
        <v>20.769333130600252</v>
      </c>
      <c r="X5" s="4">
        <f>J5*SIN(U5*PI()/180)</f>
        <v>3.1039976337218231</v>
      </c>
      <c r="Y5" s="3">
        <f>IF(R5="-",IF(S5&gt;180,S5-180,S5+180),R5)</f>
        <v>283</v>
      </c>
    </row>
    <row r="6" spans="1:25" x14ac:dyDescent="0.25">
      <c r="A6" t="str">
        <f>IF('Raw Data'!A6="","",'Raw Data'!A6)</f>
        <v>B</v>
      </c>
      <c r="B6" t="str">
        <f>IF('Raw Data'!B6="","",'Raw Data'!B6)</f>
        <v>C</v>
      </c>
      <c r="C6">
        <f>IF('Raw Data'!C6="","",'Raw Data'!C6)</f>
        <v>6</v>
      </c>
      <c r="D6">
        <f>IF('Raw Data'!D6="","",'Raw Data'!D6)</f>
        <v>3.5</v>
      </c>
      <c r="E6">
        <f>IF('Raw Data'!E6="","",'Raw Data'!E6)</f>
        <v>3</v>
      </c>
      <c r="F6">
        <f>IF('Raw Data'!F6="","",'Raw Data'!F6)</f>
        <v>6</v>
      </c>
      <c r="G6" s="7" t="str">
        <f>IF('Raw Data'!G6="","",SUBSTITUTE('Raw Data'!G6," ",":",1))</f>
        <v>322:30</v>
      </c>
      <c r="H6" s="7" t="str">
        <f>IF('Raw Data'!H6="","",SUBSTITUTE('Raw Data'!H6," ",":",1))</f>
        <v>-</v>
      </c>
      <c r="I6" s="7" t="str">
        <f>IF('Raw Data'!I6="","",SUBSTITUTE('Raw Data'!I6," ",":",1))</f>
        <v>322:30</v>
      </c>
      <c r="J6" s="12">
        <f>IF('Raw Data'!J6="","",IF(LEN(K6)&gt;6,SQRT('Raw Data'!J6^2+N6^2),'Raw Data'!J6))</f>
        <v>27</v>
      </c>
      <c r="K6" s="7" t="str">
        <f>IF('Raw Data'!K6="","",IF(LEN('Raw Data'!K6)&lt;7,SUBSTITUTE('Raw Data'!K6," ",":",1),'Raw Data'!K6))</f>
        <v>-9:30</v>
      </c>
      <c r="L6" t="str">
        <f>IF('Raw Data'!L6="","",'Raw Data'!L6)</f>
        <v/>
      </c>
      <c r="M6">
        <f>IF('Raw Data'!M6="","",'Raw Data'!M6)</f>
        <v>26.7</v>
      </c>
      <c r="N6">
        <f>IF('Raw Data'!N6="","",IF('Raw Data'!N6="-",0,'Raw Data'!N6))</f>
        <v>-4.5</v>
      </c>
      <c r="O6">
        <f>IF('Raw Data'!O6="","",'Raw Data'!O6)</f>
        <v>3.1</v>
      </c>
      <c r="P6" t="str">
        <f>IF('Raw Data'!P6="","",'Raw Data'!P6)</f>
        <v>B is on a rock at upstream end of pool</v>
      </c>
      <c r="Q6" t="str">
        <f t="shared" si="0"/>
        <v xml:space="preserve"> </v>
      </c>
      <c r="R6" s="3">
        <f t="shared" ref="R6:R27" si="2">IF(ISERROR(FIND(":",G6)),IF(G6&lt;&gt;"-",1*G6,G6),1*LEFT(G6,FIND(":",G6)-1)+RIGHT(G6,LEN(G6)-FIND(":",G6))/60)</f>
        <v>322.5</v>
      </c>
      <c r="S6" s="3" t="str">
        <f t="shared" ref="S6:S27" si="3">IF(ISERROR(FIND(":",H6)),IF(H6&lt;&gt;"-",1*H6,H6),1*LEFT(H6,FIND(":",H6)-1)+RIGHT(H6,LEN(H6)-FIND(":",H6))/60)</f>
        <v>-</v>
      </c>
      <c r="T6" s="3">
        <f t="shared" ref="T6:T27" si="4">IF(ISERROR(FIND(":",I6)),IF(I6&lt;&gt;"-",1*I6,I6),1*LEFT(I6,FIND(":",I6)-1)+RIGHT(I6,LEN(I6)-FIND(":",I6))/60)</f>
        <v>322.5</v>
      </c>
      <c r="U6" s="3">
        <f t="shared" si="1"/>
        <v>-9.5</v>
      </c>
      <c r="W6" s="4">
        <f t="shared" ref="W6:W8" si="5">J6*COS(U6*PI()/180)</f>
        <v>26.629711241505248</v>
      </c>
      <c r="X6" s="4">
        <f t="shared" ref="X6:X8" si="6">J6*SIN(U6*PI()/180)</f>
        <v>-4.4562853582382962</v>
      </c>
      <c r="Y6" s="3">
        <f t="shared" ref="Y6:Y67" si="7">IF(R6="-",IF(S6&gt;180,S6-180,S6+180),R6)</f>
        <v>322.5</v>
      </c>
    </row>
    <row r="7" spans="1:25" x14ac:dyDescent="0.25">
      <c r="A7" t="str">
        <f>IF('Raw Data'!A7="","",'Raw Data'!A7)</f>
        <v>C</v>
      </c>
      <c r="B7" t="str">
        <f>IF('Raw Data'!B7="","",'Raw Data'!B7)</f>
        <v>D</v>
      </c>
      <c r="C7">
        <f>IF('Raw Data'!C7="","",'Raw Data'!C7)</f>
        <v>7</v>
      </c>
      <c r="D7" t="str">
        <f>IF('Raw Data'!D7="","",'Raw Data'!D7)</f>
        <v>-</v>
      </c>
      <c r="E7">
        <f>IF('Raw Data'!E7="","",'Raw Data'!E7)</f>
        <v>4</v>
      </c>
      <c r="F7">
        <f>IF('Raw Data'!F7="","",'Raw Data'!F7)</f>
        <v>2</v>
      </c>
      <c r="G7" s="7" t="str">
        <f>IF('Raw Data'!G7="","",SUBSTITUTE('Raw Data'!G7," ",":",1))</f>
        <v>-</v>
      </c>
      <c r="H7" s="7" t="str">
        <f>IF('Raw Data'!H7="","",SUBSTITUTE('Raw Data'!H7," ",":",1))</f>
        <v>83</v>
      </c>
      <c r="I7" s="7" t="str">
        <f>IF('Raw Data'!I7="","",SUBSTITUTE('Raw Data'!I7," ",":",1))</f>
        <v>263</v>
      </c>
      <c r="J7" s="12">
        <f>IF('Raw Data'!J7="","",IF(LEN(K7)&gt;6,SQRT('Raw Data'!J7^2+N7^2),'Raw Data'!J7))</f>
        <v>37.030392922571046</v>
      </c>
      <c r="K7" s="7" t="str">
        <f>IF('Raw Data'!K7="","",IF(LEN('Raw Data'!K7)&lt;7,SUBSTITUTE('Raw Data'!K7," ",":",1),'Raw Data'!K7))</f>
        <v>rise of 1.5 feet</v>
      </c>
      <c r="L7" t="str">
        <f>IF('Raw Data'!L7="","",'Raw Data'!L7)</f>
        <v/>
      </c>
      <c r="M7">
        <f>IF('Raw Data'!M7="","",'Raw Data'!M7)</f>
        <v>37</v>
      </c>
      <c r="N7">
        <f>IF('Raw Data'!N7="","",IF('Raw Data'!N7="-",0,'Raw Data'!N7))</f>
        <v>1.5</v>
      </c>
      <c r="O7">
        <f>IF('Raw Data'!O7="","",'Raw Data'!O7)</f>
        <v>-1.4</v>
      </c>
      <c r="P7" t="str">
        <f>IF('Raw Data'!P7="","",'Raw Data'!P7)</f>
        <v>C is on edge of pool 10' before Duck I</v>
      </c>
      <c r="Q7" t="str">
        <f t="shared" si="0"/>
        <v xml:space="preserve"> </v>
      </c>
      <c r="R7" s="3" t="str">
        <f t="shared" si="2"/>
        <v>-</v>
      </c>
      <c r="S7" s="3">
        <f t="shared" si="3"/>
        <v>83</v>
      </c>
      <c r="T7" s="3">
        <f t="shared" si="4"/>
        <v>263</v>
      </c>
      <c r="U7" s="9">
        <f>ASIN(N7/J7)*180/PI()</f>
        <v>2.3215305898327188</v>
      </c>
      <c r="W7" s="4">
        <f t="shared" si="5"/>
        <v>37</v>
      </c>
      <c r="X7" s="4">
        <f t="shared" si="6"/>
        <v>1.4999999999999996</v>
      </c>
      <c r="Y7" s="3">
        <f t="shared" si="7"/>
        <v>263</v>
      </c>
    </row>
    <row r="8" spans="1:25" x14ac:dyDescent="0.25">
      <c r="A8" t="str">
        <f>IF('Raw Data'!A8="","",'Raw Data'!A8)</f>
        <v>D</v>
      </c>
      <c r="B8" t="str">
        <f>IF('Raw Data'!B8="","",'Raw Data'!B8)</f>
        <v>E</v>
      </c>
      <c r="C8">
        <f>IF('Raw Data'!C8="","",'Raw Data'!C8)</f>
        <v>25</v>
      </c>
      <c r="D8">
        <f>IF('Raw Data'!D8="","",'Raw Data'!D8)</f>
        <v>2</v>
      </c>
      <c r="E8" t="str">
        <f>IF('Raw Data'!E8="","",'Raw Data'!E8)</f>
        <v>-</v>
      </c>
      <c r="F8">
        <f>IF('Raw Data'!F8="","",'Raw Data'!F8)</f>
        <v>10</v>
      </c>
      <c r="G8" s="7" t="str">
        <f>IF('Raw Data'!G8="","",SUBSTITUTE('Raw Data'!G8," ",":",1))</f>
        <v>192:30</v>
      </c>
      <c r="H8" s="7" t="str">
        <f>IF('Raw Data'!H8="","",SUBSTITUTE('Raw Data'!H8," ",":",1))</f>
        <v>-</v>
      </c>
      <c r="I8" s="7" t="str">
        <f>IF('Raw Data'!I8="","",SUBSTITUTE('Raw Data'!I8," ",":",1))</f>
        <v>192:30</v>
      </c>
      <c r="J8" s="12">
        <f>IF('Raw Data'!J8="","",IF(LEN(K8)&gt;6,SQRT('Raw Data'!J8^2+N8^2),'Raw Data'!J8))</f>
        <v>16.2</v>
      </c>
      <c r="K8" s="7" t="str">
        <f>IF('Raw Data'!K8="","",IF(LEN('Raw Data'!K8)&lt;7,SUBSTITUTE('Raw Data'!K8," ",":",1),'Raw Data'!K8))</f>
        <v>4:30</v>
      </c>
      <c r="L8" t="str">
        <f>IF('Raw Data'!L8="","",'Raw Data'!L8)</f>
        <v/>
      </c>
      <c r="M8">
        <f>IF('Raw Data'!M8="","",'Raw Data'!M8)</f>
        <v>16.100000000000001</v>
      </c>
      <c r="N8">
        <f>IF('Raw Data'!N8="","",IF('Raw Data'!N8="-",0,'Raw Data'!N8))</f>
        <v>1.3</v>
      </c>
      <c r="O8">
        <f>IF('Raw Data'!O8="","",'Raw Data'!O8)</f>
        <v>0.1</v>
      </c>
      <c r="P8" t="str">
        <f>IF('Raw Data'!P8="","",'Raw Data'!P8)</f>
        <v>D is in stream. Big rock (start of New Series survey) 10' away at 350 (deg). Big passage starts as continuation of Howards Dig.</v>
      </c>
      <c r="Q8" t="str">
        <f t="shared" si="0"/>
        <v xml:space="preserve"> </v>
      </c>
      <c r="R8" s="3">
        <f t="shared" si="2"/>
        <v>192.5</v>
      </c>
      <c r="S8" s="3" t="str">
        <f t="shared" si="3"/>
        <v>-</v>
      </c>
      <c r="T8" s="3">
        <f t="shared" si="4"/>
        <v>192.5</v>
      </c>
      <c r="U8" s="3">
        <f t="shared" ref="U8:U9" si="8">IF(ISERROR(FIND(":",K8)),K8,1*CONCATENATE(LEFT(K8,FIND(":",K8)-1),".",MID(RIGHT(K8,LEN(K8)-FIND(":",K8))/60,3,8)))</f>
        <v>4.5</v>
      </c>
      <c r="W8" s="4">
        <f t="shared" si="5"/>
        <v>16.150060806476674</v>
      </c>
      <c r="X8" s="4">
        <f t="shared" si="6"/>
        <v>1.2710373507910879</v>
      </c>
      <c r="Y8" s="3">
        <f t="shared" si="7"/>
        <v>192.5</v>
      </c>
    </row>
    <row r="9" spans="1:25" x14ac:dyDescent="0.25">
      <c r="A9" t="str">
        <f>IF('Raw Data'!A9="","",'Raw Data'!A9)</f>
        <v>E</v>
      </c>
      <c r="B9" t="str">
        <f>IF('Raw Data'!B9="","",'Raw Data'!B9)</f>
        <v>F</v>
      </c>
      <c r="C9">
        <f>IF('Raw Data'!C9="","",'Raw Data'!C9)</f>
        <v>25</v>
      </c>
      <c r="D9">
        <f>IF('Raw Data'!D9="","",'Raw Data'!D9)</f>
        <v>4.5</v>
      </c>
      <c r="E9">
        <f>IF('Raw Data'!E9="","",'Raw Data'!E9)</f>
        <v>6</v>
      </c>
      <c r="F9" t="str">
        <f>IF('Raw Data'!F9="","",'Raw Data'!F9)</f>
        <v>-</v>
      </c>
      <c r="G9" s="7" t="str">
        <f>IF('Raw Data'!G9="","",SUBSTITUTE('Raw Data'!G9," ",":",1))</f>
        <v>-</v>
      </c>
      <c r="H9" s="7" t="str">
        <f>IF('Raw Data'!H9="","",SUBSTITUTE('Raw Data'!H9," ",":",1))</f>
        <v>78</v>
      </c>
      <c r="I9" s="7" t="str">
        <f>IF('Raw Data'!I9="","",SUBSTITUTE('Raw Data'!I9," ",":",1))</f>
        <v>258</v>
      </c>
      <c r="J9" s="12">
        <f>IF('Raw Data'!J9="","",IF(LEN(K9)&gt;6,SQRT('Raw Data'!J9^2+N9^2),'Raw Data'!J9))</f>
        <v>47</v>
      </c>
      <c r="K9" s="7" t="str">
        <f>IF('Raw Data'!K9="","",IF(LEN('Raw Data'!K9)&lt;7,SUBSTITUTE('Raw Data'!K9," ",":",1),'Raw Data'!K9))</f>
        <v>-5:30</v>
      </c>
      <c r="L9" t="str">
        <f>IF('Raw Data'!L9="","",'Raw Data'!L9)</f>
        <v/>
      </c>
      <c r="M9">
        <f>IF('Raw Data'!M9="","",'Raw Data'!M9)</f>
        <v>46.8</v>
      </c>
      <c r="N9">
        <f>IF('Raw Data'!N9="","",IF('Raw Data'!N9="-",0,'Raw Data'!N9))</f>
        <v>-4.5</v>
      </c>
      <c r="O9">
        <f>IF('Raw Data'!O9="","",'Raw Data'!O9)</f>
        <v>1.4</v>
      </c>
      <c r="P9" t="str">
        <f>IF('Raw Data'!P9="","",'Raw Data'!P9)</f>
        <v/>
      </c>
      <c r="Q9" t="str">
        <f t="shared" si="0"/>
        <v xml:space="preserve"> </v>
      </c>
      <c r="R9" s="3" t="str">
        <f t="shared" si="2"/>
        <v>-</v>
      </c>
      <c r="S9" s="3">
        <f t="shared" si="3"/>
        <v>78</v>
      </c>
      <c r="T9" s="3">
        <f t="shared" si="4"/>
        <v>258</v>
      </c>
      <c r="U9" s="3">
        <f t="shared" si="8"/>
        <v>-5.5</v>
      </c>
      <c r="W9" s="4">
        <f t="shared" ref="W9:W72" si="9">J9*COS(U9*PI()/180)</f>
        <v>46.783621323257407</v>
      </c>
      <c r="X9" s="4">
        <f t="shared" ref="X9:X72" si="10">J9*SIN(U9*PI()/180)</f>
        <v>-4.5047503684505275</v>
      </c>
      <c r="Y9" s="3">
        <f t="shared" si="7"/>
        <v>258</v>
      </c>
    </row>
    <row r="10" spans="1:25" x14ac:dyDescent="0.25">
      <c r="A10" t="str">
        <f>IF('Raw Data'!A10="","",'Raw Data'!A10)</f>
        <v>F</v>
      </c>
      <c r="B10" t="str">
        <f>IF('Raw Data'!B10="","",'Raw Data'!B10)</f>
        <v>G</v>
      </c>
      <c r="C10">
        <f>IF('Raw Data'!C10="","",'Raw Data'!C10)</f>
        <v>4</v>
      </c>
      <c r="D10">
        <f>IF('Raw Data'!D10="","",'Raw Data'!D10)</f>
        <v>2</v>
      </c>
      <c r="E10">
        <f>IF('Raw Data'!E10="","",'Raw Data'!E10)</f>
        <v>0.5</v>
      </c>
      <c r="F10" t="str">
        <f>IF('Raw Data'!F10="","",'Raw Data'!F10)</f>
        <v>3 (30 in B.Place(?))</v>
      </c>
      <c r="G10" s="7" t="str">
        <f>IF('Raw Data'!G10="","",SUBSTITUTE('Raw Data'!G10," ",":",1))</f>
        <v>292</v>
      </c>
      <c r="H10" s="7" t="str">
        <f>IF('Raw Data'!H10="","",SUBSTITUTE('Raw Data'!H10," ",":",1))</f>
        <v>-</v>
      </c>
      <c r="I10" s="7" t="str">
        <f>IF('Raw Data'!I10="","",SUBSTITUTE('Raw Data'!I10," ",":",1))</f>
        <v>292</v>
      </c>
      <c r="J10" s="12">
        <f>IF('Raw Data'!J10="","",IF(LEN(K10)&gt;6,SQRT('Raw Data'!J10^2+N10^2),'Raw Data'!J10))</f>
        <v>48.06506007486103</v>
      </c>
      <c r="K10" s="7" t="str">
        <f>IF('Raw Data'!K10="","",IF(LEN('Raw Data'!K10)&lt;7,SUBSTITUTE('Raw Data'!K10," ",":",1),'Raw Data'!K10))</f>
        <v>fall of 2.5 feet</v>
      </c>
      <c r="L10" t="str">
        <f>IF('Raw Data'!L10="","",'Raw Data'!L10)</f>
        <v/>
      </c>
      <c r="M10">
        <f>IF('Raw Data'!M10="","",'Raw Data'!M10)</f>
        <v>48</v>
      </c>
      <c r="N10">
        <f>IF('Raw Data'!N10="","",IF('Raw Data'!N10="-",0,'Raw Data'!N10))</f>
        <v>-2.5</v>
      </c>
      <c r="O10">
        <f>IF('Raw Data'!O10="","",'Raw Data'!O10)</f>
        <v>-3.1</v>
      </c>
      <c r="P10" t="str">
        <f>IF('Raw Data'!P10="","",'Raw Data'!P10)</f>
        <v>At 40' the roof lowers suddenly to Creep I. The big Bedding Plane passage comes in on the right, from -5' to 40'</v>
      </c>
      <c r="Q10" t="str">
        <f t="shared" si="0"/>
        <v xml:space="preserve"> </v>
      </c>
      <c r="R10" s="3">
        <f t="shared" si="2"/>
        <v>292</v>
      </c>
      <c r="S10" s="3" t="str">
        <f t="shared" si="3"/>
        <v>-</v>
      </c>
      <c r="T10" s="3">
        <f t="shared" si="4"/>
        <v>292</v>
      </c>
      <c r="U10" s="9">
        <f t="shared" ref="U10:U11" si="11">ASIN(N10/J10)*180/PI()</f>
        <v>-2.9814612199821924</v>
      </c>
      <c r="W10" s="4">
        <f t="shared" si="9"/>
        <v>48</v>
      </c>
      <c r="X10" s="4">
        <f t="shared" si="10"/>
        <v>-2.5000000000000009</v>
      </c>
      <c r="Y10" s="3">
        <f t="shared" si="7"/>
        <v>292</v>
      </c>
    </row>
    <row r="11" spans="1:25" x14ac:dyDescent="0.25">
      <c r="A11" t="str">
        <f>IF('Raw Data'!A11="","",'Raw Data'!A11)</f>
        <v>G</v>
      </c>
      <c r="B11" t="str">
        <f>IF('Raw Data'!B11="","",'Raw Data'!B11)</f>
        <v>H</v>
      </c>
      <c r="C11">
        <f>IF('Raw Data'!C11="","",'Raw Data'!C11)</f>
        <v>2.5</v>
      </c>
      <c r="D11">
        <f>IF('Raw Data'!D11="","",'Raw Data'!D11)</f>
        <v>0.5</v>
      </c>
      <c r="E11">
        <f>IF('Raw Data'!E11="","",'Raw Data'!E11)</f>
        <v>3.5</v>
      </c>
      <c r="F11">
        <f>IF('Raw Data'!F11="","",'Raw Data'!F11)</f>
        <v>7</v>
      </c>
      <c r="G11" s="7" t="str">
        <f>IF('Raw Data'!G11="","",SUBSTITUTE('Raw Data'!G11," ",":",1))</f>
        <v>-</v>
      </c>
      <c r="H11" s="7" t="str">
        <f>IF('Raw Data'!H11="","",SUBSTITUTE('Raw Data'!H11," ",":",1))</f>
        <v>159</v>
      </c>
      <c r="I11" s="7" t="str">
        <f>IF('Raw Data'!I11="","",SUBSTITUTE('Raw Data'!I11," ",":",1))</f>
        <v>339</v>
      </c>
      <c r="J11" s="12">
        <f>IF('Raw Data'!J11="","",IF(LEN(K11)&gt;6,SQRT('Raw Data'!J11^2+N11^2),'Raw Data'!J11))</f>
        <v>36</v>
      </c>
      <c r="K11" s="7" t="str">
        <f>IF('Raw Data'!K11="","",IF(LEN('Raw Data'!K11)&lt;7,SUBSTITUTE('Raw Data'!K11," ",":",1),'Raw Data'!K11))</f>
        <v>level</v>
      </c>
      <c r="L11" t="str">
        <f>IF('Raw Data'!L11="","",'Raw Data'!L11)</f>
        <v/>
      </c>
      <c r="M11">
        <f>IF('Raw Data'!M11="","",'Raw Data'!M11)</f>
        <v>36</v>
      </c>
      <c r="N11">
        <f>IF('Raw Data'!N11="","",IF('Raw Data'!N11="-",0,'Raw Data'!N11))</f>
        <v>0</v>
      </c>
      <c r="O11">
        <f>IF('Raw Data'!O11="","",'Raw Data'!O11)</f>
        <v>-5.6</v>
      </c>
      <c r="P11" t="str">
        <f>IF('Raw Data'!P11="","",'Raw Data'!P11)</f>
        <v/>
      </c>
      <c r="Q11" t="str">
        <f t="shared" si="0"/>
        <v xml:space="preserve"> </v>
      </c>
      <c r="R11" s="3" t="str">
        <f t="shared" si="2"/>
        <v>-</v>
      </c>
      <c r="S11" s="3">
        <f t="shared" si="3"/>
        <v>159</v>
      </c>
      <c r="T11" s="3">
        <f t="shared" si="4"/>
        <v>339</v>
      </c>
      <c r="U11" s="9">
        <f t="shared" si="11"/>
        <v>0</v>
      </c>
      <c r="W11" s="4">
        <f t="shared" si="9"/>
        <v>36</v>
      </c>
      <c r="X11" s="4">
        <f t="shared" si="10"/>
        <v>0</v>
      </c>
      <c r="Y11" s="3">
        <f t="shared" si="7"/>
        <v>339</v>
      </c>
    </row>
    <row r="12" spans="1:25" x14ac:dyDescent="0.25">
      <c r="A12" t="str">
        <f>IF('Raw Data'!A12="","",'Raw Data'!A12)</f>
        <v>H</v>
      </c>
      <c r="B12" t="str">
        <f>IF('Raw Data'!B12="","",'Raw Data'!B12)</f>
        <v>I</v>
      </c>
      <c r="C12">
        <f>IF('Raw Data'!C12="","",'Raw Data'!C12)</f>
        <v>15</v>
      </c>
      <c r="D12">
        <f>IF('Raw Data'!D12="","",'Raw Data'!D12)</f>
        <v>1</v>
      </c>
      <c r="E12">
        <f>IF('Raw Data'!E12="","",'Raw Data'!E12)</f>
        <v>10</v>
      </c>
      <c r="F12">
        <f>IF('Raw Data'!F12="","",'Raw Data'!F12)</f>
        <v>3</v>
      </c>
      <c r="G12" s="7" t="str">
        <f>IF('Raw Data'!G12="","",SUBSTITUTE('Raw Data'!G12," ",":",1))</f>
        <v>247</v>
      </c>
      <c r="H12" s="7" t="str">
        <f>IF('Raw Data'!H12="","",SUBSTITUTE('Raw Data'!H12," ",":",1))</f>
        <v>-</v>
      </c>
      <c r="I12" s="7" t="str">
        <f>IF('Raw Data'!I12="","",SUBSTITUTE('Raw Data'!I12," ",":",1))</f>
        <v>247</v>
      </c>
      <c r="J12" s="12">
        <f>IF('Raw Data'!J12="","",IF(LEN(K12)&gt;6,SQRT('Raw Data'!J12^2+N12^2),'Raw Data'!J12))</f>
        <v>31</v>
      </c>
      <c r="K12" s="7" t="str">
        <f>IF('Raw Data'!K12="","",IF(LEN('Raw Data'!K12)&lt;7,SUBSTITUTE('Raw Data'!K12," ",":",1),'Raw Data'!K12))</f>
        <v>-2:30</v>
      </c>
      <c r="L12" t="str">
        <f>IF('Raw Data'!L12="","",'Raw Data'!L12)</f>
        <v/>
      </c>
      <c r="M12">
        <f>IF('Raw Data'!M12="","",'Raw Data'!M12)</f>
        <v>31</v>
      </c>
      <c r="N12">
        <f>IF('Raw Data'!N12="","",IF('Raw Data'!N12="-",0,'Raw Data'!N12))</f>
        <v>-1.3</v>
      </c>
      <c r="O12">
        <f>IF('Raw Data'!O12="","",'Raw Data'!O12)</f>
        <v>-5.6</v>
      </c>
      <c r="P12" t="str">
        <f>IF('Raw Data'!P12="","",'Raw Data'!P12)</f>
        <v/>
      </c>
      <c r="Q12" t="str">
        <f t="shared" si="0"/>
        <v xml:space="preserve"> </v>
      </c>
      <c r="R12" s="3">
        <f t="shared" si="2"/>
        <v>247</v>
      </c>
      <c r="S12" s="3" t="str">
        <f t="shared" si="3"/>
        <v>-</v>
      </c>
      <c r="T12" s="3">
        <f t="shared" si="4"/>
        <v>247</v>
      </c>
      <c r="U12" s="3">
        <f t="shared" ref="U12:U19" si="12">IF(ISERROR(FIND(":",K12)),K12,1*CONCATENATE(LEFT(K12,FIND(":",K12)-1),".",MID(RIGHT(K12,LEN(K12)-FIND(":",K12))/60,3,8)))</f>
        <v>-2.5</v>
      </c>
      <c r="W12" s="4">
        <f t="shared" si="9"/>
        <v>30.970494869037591</v>
      </c>
      <c r="X12" s="4">
        <f t="shared" si="10"/>
        <v>-1.3522010083254159</v>
      </c>
      <c r="Y12" s="3">
        <f t="shared" si="7"/>
        <v>247</v>
      </c>
    </row>
    <row r="13" spans="1:25" x14ac:dyDescent="0.25">
      <c r="A13" t="str">
        <f>IF('Raw Data'!A13="","",'Raw Data'!A13)</f>
        <v>I</v>
      </c>
      <c r="B13" t="str">
        <f>IF('Raw Data'!B13="","",'Raw Data'!B13)</f>
        <v>J</v>
      </c>
      <c r="C13">
        <f>IF('Raw Data'!C13="","",'Raw Data'!C13)</f>
        <v>15</v>
      </c>
      <c r="D13">
        <f>IF('Raw Data'!D13="","",'Raw Data'!D13)</f>
        <v>1</v>
      </c>
      <c r="E13">
        <f>IF('Raw Data'!E13="","",'Raw Data'!E13)</f>
        <v>8</v>
      </c>
      <c r="F13">
        <f>IF('Raw Data'!F13="","",'Raw Data'!F13)</f>
        <v>2</v>
      </c>
      <c r="G13" s="7" t="str">
        <f>IF('Raw Data'!G13="","",SUBSTITUTE('Raw Data'!G13," ",":",1))</f>
        <v>-</v>
      </c>
      <c r="H13" s="7" t="str">
        <f>IF('Raw Data'!H13="","",SUBSTITUTE('Raw Data'!H13," ",":",1))</f>
        <v>95</v>
      </c>
      <c r="I13" s="7" t="str">
        <f>IF('Raw Data'!I13="","",SUBSTITUTE('Raw Data'!I13," ",":",1))</f>
        <v>275</v>
      </c>
      <c r="J13" s="12">
        <f>IF('Raw Data'!J13="","",IF(LEN(K13)&gt;6,SQRT('Raw Data'!J13^2+N13^2),'Raw Data'!J13))</f>
        <v>26</v>
      </c>
      <c r="K13" s="7" t="str">
        <f>IF('Raw Data'!K13="","",IF(LEN('Raw Data'!K13)&lt;7,SUBSTITUTE('Raw Data'!K13," ",":",1),'Raw Data'!K13))</f>
        <v>2</v>
      </c>
      <c r="L13" t="str">
        <f>IF('Raw Data'!L13="","",'Raw Data'!L13)</f>
        <v/>
      </c>
      <c r="M13">
        <f>IF('Raw Data'!M13="","",'Raw Data'!M13)</f>
        <v>26</v>
      </c>
      <c r="N13">
        <f>IF('Raw Data'!N13="","",IF('Raw Data'!N13="-",0,'Raw Data'!N13))</f>
        <v>0.9</v>
      </c>
      <c r="O13">
        <f>IF('Raw Data'!O13="","",'Raw Data'!O13)</f>
        <v>-6.9</v>
      </c>
      <c r="P13" t="str">
        <f>IF('Raw Data'!P13="","",'Raw Data'!P13)</f>
        <v/>
      </c>
      <c r="Q13" t="str">
        <f t="shared" si="0"/>
        <v xml:space="preserve"> </v>
      </c>
      <c r="R13" s="3" t="str">
        <f t="shared" si="2"/>
        <v>-</v>
      </c>
      <c r="S13" s="3">
        <f t="shared" si="3"/>
        <v>95</v>
      </c>
      <c r="T13" s="3">
        <f t="shared" si="4"/>
        <v>275</v>
      </c>
      <c r="U13" s="3" t="str">
        <f t="shared" si="12"/>
        <v>2</v>
      </c>
      <c r="W13" s="4">
        <f t="shared" si="9"/>
        <v>25.984161502496491</v>
      </c>
      <c r="X13" s="4">
        <f t="shared" si="10"/>
        <v>0.90738691426502516</v>
      </c>
      <c r="Y13" s="3">
        <f t="shared" si="7"/>
        <v>275</v>
      </c>
    </row>
    <row r="14" spans="1:25" x14ac:dyDescent="0.25">
      <c r="A14" t="str">
        <f>IF('Raw Data'!A14="","",'Raw Data'!A14)</f>
        <v>J</v>
      </c>
      <c r="B14" t="str">
        <f>IF('Raw Data'!B14="","",'Raw Data'!B14)</f>
        <v>K</v>
      </c>
      <c r="C14">
        <f>IF('Raw Data'!C14="","",'Raw Data'!C14)</f>
        <v>8</v>
      </c>
      <c r="D14">
        <f>IF('Raw Data'!D14="","",'Raw Data'!D14)</f>
        <v>3</v>
      </c>
      <c r="E14">
        <f>IF('Raw Data'!E14="","",'Raw Data'!E14)</f>
        <v>1</v>
      </c>
      <c r="F14">
        <f>IF('Raw Data'!F14="","",'Raw Data'!F14)</f>
        <v>2</v>
      </c>
      <c r="G14" s="7" t="str">
        <f>IF('Raw Data'!G14="","",SUBSTITUTE('Raw Data'!G14," ",":",1))</f>
        <v>320</v>
      </c>
      <c r="H14" s="7" t="str">
        <f>IF('Raw Data'!H14="","",SUBSTITUTE('Raw Data'!H14," ",":",1))</f>
        <v>-</v>
      </c>
      <c r="I14" s="7" t="str">
        <f>IF('Raw Data'!I14="","",SUBSTITUTE('Raw Data'!I14," ",":",1))</f>
        <v>320</v>
      </c>
      <c r="J14" s="12">
        <f>IF('Raw Data'!J14="","",IF(LEN(K14)&gt;6,SQRT('Raw Data'!J14^2+N14^2),'Raw Data'!J14))</f>
        <v>26.5</v>
      </c>
      <c r="K14" s="7" t="str">
        <f>IF('Raw Data'!K14="","",IF(LEN('Raw Data'!K14)&lt;7,SUBSTITUTE('Raw Data'!K14," ",":",1),'Raw Data'!K14))</f>
        <v>1</v>
      </c>
      <c r="L14" t="str">
        <f>IF('Raw Data'!L14="","",'Raw Data'!L14)</f>
        <v/>
      </c>
      <c r="M14">
        <f>IF('Raw Data'!M14="","",'Raw Data'!M14)</f>
        <v>26.5</v>
      </c>
      <c r="N14">
        <f>IF('Raw Data'!N14="","",IF('Raw Data'!N14="-",0,'Raw Data'!N14))</f>
        <v>0.5</v>
      </c>
      <c r="O14">
        <f>IF('Raw Data'!O14="","",'Raw Data'!O14)</f>
        <v>-6</v>
      </c>
      <c r="P14" t="str">
        <f>IF('Raw Data'!P14="","",'Raw Data'!P14)</f>
        <v>Pots</v>
      </c>
      <c r="Q14" t="str">
        <f t="shared" si="0"/>
        <v xml:space="preserve"> </v>
      </c>
      <c r="R14" s="3">
        <f t="shared" si="2"/>
        <v>320</v>
      </c>
      <c r="S14" s="3" t="str">
        <f t="shared" si="3"/>
        <v>-</v>
      </c>
      <c r="T14" s="3">
        <f t="shared" si="4"/>
        <v>320</v>
      </c>
      <c r="U14" s="3" t="str">
        <f t="shared" si="12"/>
        <v>1</v>
      </c>
      <c r="W14" s="4">
        <f t="shared" si="9"/>
        <v>26.495963921644368</v>
      </c>
      <c r="X14" s="4">
        <f t="shared" si="10"/>
        <v>0.46248877058801308</v>
      </c>
      <c r="Y14" s="3">
        <f t="shared" si="7"/>
        <v>320</v>
      </c>
    </row>
    <row r="15" spans="1:25" x14ac:dyDescent="0.25">
      <c r="A15" t="str">
        <f>IF('Raw Data'!A15="","",'Raw Data'!A15)</f>
        <v>K</v>
      </c>
      <c r="B15" t="str">
        <f>IF('Raw Data'!B15="","",'Raw Data'!B15)</f>
        <v>L</v>
      </c>
      <c r="C15">
        <f>IF('Raw Data'!C15="","",'Raw Data'!C15)</f>
        <v>25</v>
      </c>
      <c r="D15">
        <f>IF('Raw Data'!D15="","",'Raw Data'!D15)</f>
        <v>4.5</v>
      </c>
      <c r="E15" t="str">
        <f>IF('Raw Data'!E15="","",'Raw Data'!E15)</f>
        <v>-</v>
      </c>
      <c r="F15">
        <f>IF('Raw Data'!F15="","",'Raw Data'!F15)</f>
        <v>4</v>
      </c>
      <c r="G15" s="7" t="str">
        <f>IF('Raw Data'!G15="","",SUBSTITUTE('Raw Data'!G15," ",":",1))</f>
        <v>-</v>
      </c>
      <c r="H15" s="7" t="str">
        <f>IF('Raw Data'!H15="","",SUBSTITUTE('Raw Data'!H15," ",":",1))</f>
        <v>193</v>
      </c>
      <c r="I15" s="7" t="str">
        <f>IF('Raw Data'!I15="","",SUBSTITUTE('Raw Data'!I15," ",":",1))</f>
        <v>13</v>
      </c>
      <c r="J15" s="12">
        <f>IF('Raw Data'!J15="","",IF(LEN(K15)&gt;6,SQRT('Raw Data'!J15^2+N15^2),'Raw Data'!J15))</f>
        <v>17.5</v>
      </c>
      <c r="K15" s="7" t="str">
        <f>IF('Raw Data'!K15="","",IF(LEN('Raw Data'!K15)&lt;7,SUBSTITUTE('Raw Data'!K15," ",":",1),'Raw Data'!K15))</f>
        <v>-9</v>
      </c>
      <c r="L15" t="str">
        <f>IF('Raw Data'!L15="","",'Raw Data'!L15)</f>
        <v/>
      </c>
      <c r="M15">
        <f>IF('Raw Data'!M15="","",'Raw Data'!M15)</f>
        <v>17.3</v>
      </c>
      <c r="N15">
        <f>IF('Raw Data'!N15="","",IF('Raw Data'!N15="-",0,'Raw Data'!N15))</f>
        <v>-2.7</v>
      </c>
      <c r="O15">
        <f>IF('Raw Data'!O15="","",'Raw Data'!O15)</f>
        <v>-5.5</v>
      </c>
      <c r="P15" t="str">
        <f>IF('Raw Data'!P15="","",'Raw Data'!P15)</f>
        <v>Pots</v>
      </c>
      <c r="Q15" t="str">
        <f t="shared" si="0"/>
        <v xml:space="preserve"> </v>
      </c>
      <c r="R15" s="3" t="str">
        <f t="shared" si="2"/>
        <v>-</v>
      </c>
      <c r="S15" s="3">
        <f t="shared" si="3"/>
        <v>193</v>
      </c>
      <c r="T15" s="3">
        <f t="shared" si="4"/>
        <v>13</v>
      </c>
      <c r="U15" s="3" t="str">
        <f t="shared" si="12"/>
        <v>-9</v>
      </c>
      <c r="W15" s="4">
        <f t="shared" si="9"/>
        <v>17.28454596041491</v>
      </c>
      <c r="X15" s="4">
        <f t="shared" si="10"/>
        <v>-2.7376031382040402</v>
      </c>
      <c r="Y15" s="3">
        <f t="shared" si="7"/>
        <v>13</v>
      </c>
    </row>
    <row r="16" spans="1:25" x14ac:dyDescent="0.25">
      <c r="A16" t="str">
        <f>IF('Raw Data'!A16="","",'Raw Data'!A16)</f>
        <v>L</v>
      </c>
      <c r="B16" t="str">
        <f>IF('Raw Data'!B16="","",'Raw Data'!B16)</f>
        <v>M</v>
      </c>
      <c r="C16">
        <f>IF('Raw Data'!C16="","",'Raw Data'!C16)</f>
        <v>20</v>
      </c>
      <c r="D16">
        <f>IF('Raw Data'!D16="","",'Raw Data'!D16)</f>
        <v>3</v>
      </c>
      <c r="E16">
        <f>IF('Raw Data'!E16="","",'Raw Data'!E16)</f>
        <v>2</v>
      </c>
      <c r="F16">
        <f>IF('Raw Data'!F16="","",'Raw Data'!F16)</f>
        <v>2</v>
      </c>
      <c r="G16" s="7" t="str">
        <f>IF('Raw Data'!G16="","",SUBSTITUTE('Raw Data'!G16," ",":",1))</f>
        <v>299</v>
      </c>
      <c r="H16" s="7" t="str">
        <f>IF('Raw Data'!H16="","",SUBSTITUTE('Raw Data'!H16," ",":",1))</f>
        <v>-</v>
      </c>
      <c r="I16" s="7" t="str">
        <f>IF('Raw Data'!I16="","",SUBSTITUTE('Raw Data'!I16," ",":",1))</f>
        <v>299</v>
      </c>
      <c r="J16" s="12">
        <f>IF('Raw Data'!J16="","",IF(LEN(K16)&gt;6,SQRT('Raw Data'!J16^2+N16^2),'Raw Data'!J16))</f>
        <v>33</v>
      </c>
      <c r="K16" s="7" t="str">
        <f>IF('Raw Data'!K16="","",IF(LEN('Raw Data'!K16)&lt;7,SUBSTITUTE('Raw Data'!K16," ",":",1),'Raw Data'!K16))</f>
        <v>-3</v>
      </c>
      <c r="L16" t="str">
        <f>IF('Raw Data'!L16="","",'Raw Data'!L16)</f>
        <v/>
      </c>
      <c r="M16">
        <f>IF('Raw Data'!M16="","",'Raw Data'!M16)</f>
        <v>33</v>
      </c>
      <c r="N16">
        <f>IF('Raw Data'!N16="","",IF('Raw Data'!N16="-",0,'Raw Data'!N16))</f>
        <v>-1.7</v>
      </c>
      <c r="O16">
        <f>IF('Raw Data'!O16="","",'Raw Data'!O16)</f>
        <v>-8.1999999999999993</v>
      </c>
      <c r="P16" t="str">
        <f>IF('Raw Data'!P16="","",'Raw Data'!P16)</f>
        <v>L is at foot of climb to Approach passage. Clay fill remains 6' up on left wall.</v>
      </c>
      <c r="Q16" t="str">
        <f t="shared" si="0"/>
        <v xml:space="preserve"> </v>
      </c>
      <c r="R16" s="3">
        <f t="shared" si="2"/>
        <v>299</v>
      </c>
      <c r="S16" s="3" t="str">
        <f t="shared" si="3"/>
        <v>-</v>
      </c>
      <c r="T16" s="3">
        <f t="shared" si="4"/>
        <v>299</v>
      </c>
      <c r="U16" s="3" t="str">
        <f t="shared" si="12"/>
        <v>-3</v>
      </c>
      <c r="W16" s="4">
        <f t="shared" si="9"/>
        <v>32.954774646900937</v>
      </c>
      <c r="X16" s="4">
        <f t="shared" si="10"/>
        <v>-1.7270865560171462</v>
      </c>
      <c r="Y16" s="3">
        <f t="shared" si="7"/>
        <v>299</v>
      </c>
    </row>
    <row r="17" spans="1:25" x14ac:dyDescent="0.25">
      <c r="A17" t="str">
        <f>IF('Raw Data'!A17="","",'Raw Data'!A17)</f>
        <v>M</v>
      </c>
      <c r="B17" t="str">
        <f>IF('Raw Data'!B17="","",'Raw Data'!B17)</f>
        <v>N</v>
      </c>
      <c r="C17">
        <f>IF('Raw Data'!C17="","",'Raw Data'!C17)</f>
        <v>15</v>
      </c>
      <c r="D17">
        <f>IF('Raw Data'!D17="","",'Raw Data'!D17)</f>
        <v>7</v>
      </c>
      <c r="E17">
        <f>IF('Raw Data'!E17="","",'Raw Data'!E17)</f>
        <v>4</v>
      </c>
      <c r="F17" t="str">
        <f>IF('Raw Data'!F17="","",'Raw Data'!F17)</f>
        <v>-</v>
      </c>
      <c r="G17" s="7" t="str">
        <f>IF('Raw Data'!G17="","",SUBSTITUTE('Raw Data'!G17," ",":",1))</f>
        <v>-</v>
      </c>
      <c r="H17" s="7" t="str">
        <f>IF('Raw Data'!H17="","",SUBSTITUTE('Raw Data'!H17," ",":",1))</f>
        <v>142</v>
      </c>
      <c r="I17" s="7" t="str">
        <f>IF('Raw Data'!I17="","",SUBSTITUTE('Raw Data'!I17," ",":",1))</f>
        <v>322</v>
      </c>
      <c r="J17" s="12">
        <f>IF('Raw Data'!J17="","",IF(LEN(K17)&gt;6,SQRT('Raw Data'!J17^2+N17^2),'Raw Data'!J17))</f>
        <v>43</v>
      </c>
      <c r="K17" s="7" t="str">
        <f>IF('Raw Data'!K17="","",IF(LEN('Raw Data'!K17)&lt;7,SUBSTITUTE('Raw Data'!K17," ",":",1),'Raw Data'!K17))</f>
        <v>-7.3</v>
      </c>
      <c r="L17" t="str">
        <f>IF('Raw Data'!L17="","",'Raw Data'!L17)</f>
        <v/>
      </c>
      <c r="M17">
        <f>IF('Raw Data'!M17="","",'Raw Data'!M17)</f>
        <v>42.7</v>
      </c>
      <c r="N17">
        <f>IF('Raw Data'!N17="","",IF('Raw Data'!N17="-",0,'Raw Data'!N17))</f>
        <v>-5.6</v>
      </c>
      <c r="O17">
        <f>IF('Raw Data'!O17="","",'Raw Data'!O17)</f>
        <v>-9.9</v>
      </c>
      <c r="P17" t="str">
        <f>IF('Raw Data'!P17="","",'Raw Data'!P17)</f>
        <v>Pots</v>
      </c>
      <c r="Q17" t="str">
        <f t="shared" si="0"/>
        <v xml:space="preserve"> </v>
      </c>
      <c r="R17" s="3" t="str">
        <f t="shared" si="2"/>
        <v>-</v>
      </c>
      <c r="S17" s="3">
        <f t="shared" si="3"/>
        <v>142</v>
      </c>
      <c r="T17" s="3">
        <f t="shared" si="4"/>
        <v>322</v>
      </c>
      <c r="U17" s="3" t="str">
        <f t="shared" si="12"/>
        <v>-7.3</v>
      </c>
      <c r="W17" s="4">
        <f t="shared" si="9"/>
        <v>42.651461031371277</v>
      </c>
      <c r="X17" s="4">
        <f t="shared" si="10"/>
        <v>-5.4637781698580703</v>
      </c>
      <c r="Y17" s="3">
        <f t="shared" si="7"/>
        <v>322</v>
      </c>
    </row>
    <row r="18" spans="1:25" x14ac:dyDescent="0.25">
      <c r="A18" t="str">
        <f>IF('Raw Data'!A18="","",'Raw Data'!A18)</f>
        <v>N</v>
      </c>
      <c r="B18" t="str">
        <f>IF('Raw Data'!B18="","",'Raw Data'!B18)</f>
        <v>O</v>
      </c>
      <c r="C18">
        <f>IF('Raw Data'!C18="","",'Raw Data'!C18)</f>
        <v>25</v>
      </c>
      <c r="D18">
        <f>IF('Raw Data'!D18="","",'Raw Data'!D18)</f>
        <v>3</v>
      </c>
      <c r="E18">
        <f>IF('Raw Data'!E18="","",'Raw Data'!E18)</f>
        <v>2</v>
      </c>
      <c r="F18">
        <f>IF('Raw Data'!F18="","",'Raw Data'!F18)</f>
        <v>1</v>
      </c>
      <c r="G18" s="7" t="str">
        <f>IF('Raw Data'!G18="","",SUBSTITUTE('Raw Data'!G18," ",":",1))</f>
        <v>281</v>
      </c>
      <c r="H18" s="7" t="str">
        <f>IF('Raw Data'!H18="","",SUBSTITUTE('Raw Data'!H18," ",":",1))</f>
        <v>-</v>
      </c>
      <c r="I18" s="7" t="str">
        <f>IF('Raw Data'!I18="","",SUBSTITUTE('Raw Data'!I18," ",":",1))</f>
        <v>281</v>
      </c>
      <c r="J18" s="12">
        <f>IF('Raw Data'!J18="","",IF(LEN(K18)&gt;6,SQRT('Raw Data'!J18^2+N18^2),'Raw Data'!J18))</f>
        <v>15.5</v>
      </c>
      <c r="K18" s="7" t="str">
        <f>IF('Raw Data'!K18="","",IF(LEN('Raw Data'!K18)&lt;7,SUBSTITUTE('Raw Data'!K18," ",":",1),'Raw Data'!K18))</f>
        <v>-2</v>
      </c>
      <c r="L18" t="str">
        <f>IF('Raw Data'!L18="","",'Raw Data'!L18)</f>
        <v/>
      </c>
      <c r="M18">
        <f>IF('Raw Data'!M18="","",'Raw Data'!M18)</f>
        <v>15.5</v>
      </c>
      <c r="N18">
        <f>IF('Raw Data'!N18="","",IF('Raw Data'!N18="-",0,'Raw Data'!N18))</f>
        <v>-0.5</v>
      </c>
      <c r="O18">
        <f>IF('Raw Data'!O18="","",'Raw Data'!O18)</f>
        <v>-15.5</v>
      </c>
      <c r="P18" t="str">
        <f>IF('Raw Data'!P18="","",'Raw Data'!P18)</f>
        <v>Pots</v>
      </c>
      <c r="Q18" t="str">
        <f t="shared" si="0"/>
        <v xml:space="preserve"> </v>
      </c>
      <c r="R18" s="3">
        <f t="shared" si="2"/>
        <v>281</v>
      </c>
      <c r="S18" s="3" t="str">
        <f t="shared" si="3"/>
        <v>-</v>
      </c>
      <c r="T18" s="3">
        <f t="shared" si="4"/>
        <v>281</v>
      </c>
      <c r="U18" s="3" t="str">
        <f t="shared" si="12"/>
        <v>-2</v>
      </c>
      <c r="W18" s="4">
        <f t="shared" si="9"/>
        <v>15.490557818795985</v>
      </c>
      <c r="X18" s="4">
        <f t="shared" si="10"/>
        <v>-0.54094219888876505</v>
      </c>
      <c r="Y18" s="3">
        <f t="shared" si="7"/>
        <v>281</v>
      </c>
    </row>
    <row r="19" spans="1:25" x14ac:dyDescent="0.25">
      <c r="A19" t="str">
        <f>IF('Raw Data'!A19="","",'Raw Data'!A19)</f>
        <v>O</v>
      </c>
      <c r="B19" t="str">
        <f>IF('Raw Data'!B19="","",'Raw Data'!B19)</f>
        <v>P</v>
      </c>
      <c r="C19">
        <f>IF('Raw Data'!C19="","",'Raw Data'!C19)</f>
        <v>40</v>
      </c>
      <c r="D19">
        <f>IF('Raw Data'!D19="","",'Raw Data'!D19)</f>
        <v>4.5</v>
      </c>
      <c r="E19">
        <f>IF('Raw Data'!E19="","",'Raw Data'!E19)</f>
        <v>2</v>
      </c>
      <c r="F19">
        <f>IF('Raw Data'!F19="","",'Raw Data'!F19)</f>
        <v>2</v>
      </c>
      <c r="G19" s="7" t="str">
        <f>IF('Raw Data'!G19="","",SUBSTITUTE('Raw Data'!G19," ",":",1))</f>
        <v>-</v>
      </c>
      <c r="H19" s="7" t="str">
        <f>IF('Raw Data'!H19="","",SUBSTITUTE('Raw Data'!H19," ",":",1))</f>
        <v>127</v>
      </c>
      <c r="I19" s="7" t="str">
        <f>IF('Raw Data'!I19="","",SUBSTITUTE('Raw Data'!I19," ",":",1))</f>
        <v>307</v>
      </c>
      <c r="J19" s="12">
        <f>IF('Raw Data'!J19="","",IF(LEN(K19)&gt;6,SQRT('Raw Data'!J19^2+N19^2),'Raw Data'!J19))</f>
        <v>56</v>
      </c>
      <c r="K19" s="7" t="str">
        <f>IF('Raw Data'!K19="","",IF(LEN('Raw Data'!K19)&lt;7,SUBSTITUTE('Raw Data'!K19," ",":",1),'Raw Data'!K19))</f>
        <v>-5</v>
      </c>
      <c r="L19" t="str">
        <f>IF('Raw Data'!L19="","",'Raw Data'!L19)</f>
        <v/>
      </c>
      <c r="M19">
        <f>IF('Raw Data'!M19="","",'Raw Data'!M19)</f>
        <v>55.8</v>
      </c>
      <c r="N19">
        <f>IF('Raw Data'!N19="","",IF('Raw Data'!N19="-",0,'Raw Data'!N19))</f>
        <v>-4.9000000000000004</v>
      </c>
      <c r="O19">
        <f>IF('Raw Data'!O19="","",'Raw Data'!O19)</f>
        <v>-16</v>
      </c>
      <c r="P19" t="str">
        <f>IF('Raw Data'!P19="","",'Raw Data'!P19)</f>
        <v>Pots. Very pretty coral on left wall</v>
      </c>
      <c r="Q19" t="str">
        <f t="shared" si="0"/>
        <v xml:space="preserve"> </v>
      </c>
      <c r="R19" s="3" t="str">
        <f t="shared" si="2"/>
        <v>-</v>
      </c>
      <c r="S19" s="3">
        <f t="shared" si="3"/>
        <v>127</v>
      </c>
      <c r="T19" s="3">
        <f t="shared" si="4"/>
        <v>307</v>
      </c>
      <c r="U19" s="3" t="str">
        <f t="shared" si="12"/>
        <v>-5</v>
      </c>
      <c r="W19" s="4">
        <f t="shared" si="9"/>
        <v>55.786903093137752</v>
      </c>
      <c r="X19" s="4">
        <f t="shared" si="10"/>
        <v>-4.8807215938688575</v>
      </c>
      <c r="Y19" s="3">
        <f t="shared" si="7"/>
        <v>307</v>
      </c>
    </row>
    <row r="20" spans="1:25" x14ac:dyDescent="0.25">
      <c r="A20" t="str">
        <f>IF('Raw Data'!A20="","",'Raw Data'!A20)</f>
        <v>P</v>
      </c>
      <c r="B20" t="str">
        <f>IF('Raw Data'!B20="","",'Raw Data'!B20)</f>
        <v>Q</v>
      </c>
      <c r="C20">
        <f>IF('Raw Data'!C20="","",'Raw Data'!C20)</f>
        <v>40</v>
      </c>
      <c r="D20">
        <f>IF('Raw Data'!D20="","",'Raw Data'!D20)</f>
        <v>3</v>
      </c>
      <c r="E20">
        <f>IF('Raw Data'!E20="","",'Raw Data'!E20)</f>
        <v>2</v>
      </c>
      <c r="F20">
        <f>IF('Raw Data'!F20="","",'Raw Data'!F20)</f>
        <v>3</v>
      </c>
      <c r="G20" s="7" t="str">
        <f>IF('Raw Data'!G20="","",SUBSTITUTE('Raw Data'!G20," ",":",1))</f>
        <v>283</v>
      </c>
      <c r="H20" s="7" t="str">
        <f>IF('Raw Data'!H20="","",SUBSTITUTE('Raw Data'!H20," ",":",1))</f>
        <v>-</v>
      </c>
      <c r="I20" s="7" t="str">
        <f>IF('Raw Data'!I20="","",SUBSTITUTE('Raw Data'!I20," ",":",1))</f>
        <v>283</v>
      </c>
      <c r="J20" s="12">
        <f>IF('Raw Data'!J20="","",IF(LEN(K20)&gt;6,SQRT('Raw Data'!J20^2+N20^2),'Raw Data'!J20))</f>
        <v>15.8</v>
      </c>
      <c r="K20" s="7" t="str">
        <f>IF('Raw Data'!K20="","",IF(LEN('Raw Data'!K20)&lt;7,SUBSTITUTE('Raw Data'!K20," ",":",1),'Raw Data'!K20))</f>
        <v>-0:15</v>
      </c>
      <c r="L20" t="str">
        <f>IF('Raw Data'!L20="","",'Raw Data'!L20)</f>
        <v/>
      </c>
      <c r="M20">
        <f>IF('Raw Data'!M20="","",'Raw Data'!M20)</f>
        <v>15.8</v>
      </c>
      <c r="N20">
        <f>IF('Raw Data'!N20="","",IF('Raw Data'!N20="-",0,'Raw Data'!N20))</f>
        <v>-0.1</v>
      </c>
      <c r="O20">
        <f>IF('Raw Data'!O20="","",'Raw Data'!O20)</f>
        <v>-20.9</v>
      </c>
      <c r="P20" t="str">
        <f>IF('Raw Data'!P20="","",'Raw Data'!P20)</f>
        <v/>
      </c>
      <c r="Q20" t="str">
        <f t="shared" si="0"/>
        <v xml:space="preserve"> </v>
      </c>
      <c r="R20" s="3">
        <f t="shared" si="2"/>
        <v>283</v>
      </c>
      <c r="S20" s="3" t="str">
        <f t="shared" si="3"/>
        <v>-</v>
      </c>
      <c r="T20" s="3">
        <f t="shared" si="4"/>
        <v>283</v>
      </c>
      <c r="U20" s="9">
        <f t="shared" ref="U20:U22" si="13">ASIN(N20/J20)*180/PI()</f>
        <v>-0.36263393697894891</v>
      </c>
      <c r="W20" s="4">
        <f t="shared" si="9"/>
        <v>15.799683541134614</v>
      </c>
      <c r="X20" s="4">
        <f t="shared" si="10"/>
        <v>-0.1</v>
      </c>
      <c r="Y20" s="3">
        <f t="shared" si="7"/>
        <v>283</v>
      </c>
    </row>
    <row r="21" spans="1:25" x14ac:dyDescent="0.25">
      <c r="A21" t="str">
        <f>IF('Raw Data'!A21="","",'Raw Data'!A21)</f>
        <v>Q</v>
      </c>
      <c r="B21" t="str">
        <f>IF('Raw Data'!B21="","",'Raw Data'!B21)</f>
        <v>R</v>
      </c>
      <c r="C21">
        <f>IF('Raw Data'!C21="","",'Raw Data'!C21)</f>
        <v>40</v>
      </c>
      <c r="D21">
        <f>IF('Raw Data'!D21="","",'Raw Data'!D21)</f>
        <v>4</v>
      </c>
      <c r="E21">
        <f>IF('Raw Data'!E21="","",'Raw Data'!E21)</f>
        <v>4</v>
      </c>
      <c r="F21" t="str">
        <f>IF('Raw Data'!F21="","",'Raw Data'!F21)</f>
        <v>-</v>
      </c>
      <c r="G21" s="7" t="str">
        <f>IF('Raw Data'!G21="","",SUBSTITUTE('Raw Data'!G21," ",":",1))</f>
        <v>-</v>
      </c>
      <c r="H21" s="7" t="str">
        <f>IF('Raw Data'!H21="","",SUBSTITUTE('Raw Data'!H21," ",":",1))</f>
        <v>37</v>
      </c>
      <c r="I21" s="7" t="str">
        <f>IF('Raw Data'!I21="","",SUBSTITUTE('Raw Data'!I21," ",":",1))</f>
        <v>217</v>
      </c>
      <c r="J21" s="12">
        <f>IF('Raw Data'!J21="","",IF(LEN(K21)&gt;6,SQRT('Raw Data'!J21^2+N21^2),'Raw Data'!J21))</f>
        <v>15.814234094637655</v>
      </c>
      <c r="K21" s="7" t="str">
        <f>IF('Raw Data'!K21="","",IF(LEN('Raw Data'!K21)&lt;7,SUBSTITUTE('Raw Data'!K21," ",":",1),'Raw Data'!K21))</f>
        <v>fall of 4 feet</v>
      </c>
      <c r="L21" t="str">
        <f>IF('Raw Data'!L21="","",'Raw Data'!L21)</f>
        <v/>
      </c>
      <c r="M21">
        <f>IF('Raw Data'!M21="","",'Raw Data'!M21)</f>
        <v>15.3</v>
      </c>
      <c r="N21">
        <f>IF('Raw Data'!N21="","",IF('Raw Data'!N21="-",0,'Raw Data'!N21))</f>
        <v>-4</v>
      </c>
      <c r="O21">
        <f>IF('Raw Data'!O21="","",'Raw Data'!O21)</f>
        <v>-21</v>
      </c>
      <c r="P21" t="str">
        <f>IF('Raw Data'!P21="","",'Raw Data'!P21)</f>
        <v>1.5 foot deep pool starts at P.</v>
      </c>
      <c r="Q21" t="str">
        <f t="shared" si="0"/>
        <v xml:space="preserve"> </v>
      </c>
      <c r="R21" s="3" t="str">
        <f t="shared" si="2"/>
        <v>-</v>
      </c>
      <c r="S21" s="3">
        <f t="shared" si="3"/>
        <v>37</v>
      </c>
      <c r="T21" s="3">
        <f t="shared" si="4"/>
        <v>217</v>
      </c>
      <c r="U21" s="9">
        <f t="shared" si="13"/>
        <v>-14.65135857182217</v>
      </c>
      <c r="W21" s="4">
        <f t="shared" si="9"/>
        <v>15.300000000000002</v>
      </c>
      <c r="X21" s="4">
        <f t="shared" si="10"/>
        <v>-3.9999999999999996</v>
      </c>
      <c r="Y21" s="3">
        <f t="shared" si="7"/>
        <v>217</v>
      </c>
    </row>
    <row r="22" spans="1:25" x14ac:dyDescent="0.25">
      <c r="A22" t="str">
        <f>IF('Raw Data'!A22="","",'Raw Data'!A22)</f>
        <v>R</v>
      </c>
      <c r="B22" t="str">
        <f>IF('Raw Data'!B22="","",'Raw Data'!B22)</f>
        <v>S</v>
      </c>
      <c r="C22">
        <f>IF('Raw Data'!C22="","",'Raw Data'!C22)</f>
        <v>40</v>
      </c>
      <c r="D22" t="str">
        <f>IF('Raw Data'!D22="","",'Raw Data'!D22)</f>
        <v>-</v>
      </c>
      <c r="E22" t="str">
        <f>IF('Raw Data'!E22="","",'Raw Data'!E22)</f>
        <v>-</v>
      </c>
      <c r="F22">
        <f>IF('Raw Data'!F22="","",'Raw Data'!F22)</f>
        <v>4</v>
      </c>
      <c r="G22" s="7" t="str">
        <f>IF('Raw Data'!G22="","",SUBSTITUTE('Raw Data'!G22," ",":",1))</f>
        <v>310</v>
      </c>
      <c r="H22" s="7" t="str">
        <f>IF('Raw Data'!H22="","",SUBSTITUTE('Raw Data'!H22," ",":",1))</f>
        <v>-</v>
      </c>
      <c r="I22" s="7" t="str">
        <f>IF('Raw Data'!I22="","",SUBSTITUTE('Raw Data'!I22," ",":",1))</f>
        <v>310</v>
      </c>
      <c r="J22" s="12">
        <f>IF('Raw Data'!J22="","",IF(LEN(K22)&gt;6,SQRT('Raw Data'!J22^2+N22^2),'Raw Data'!J22))</f>
        <v>39.702015062210634</v>
      </c>
      <c r="K22" s="7" t="str">
        <f>IF('Raw Data'!K22="","",IF(LEN('Raw Data'!K22)&lt;7,SUBSTITUTE('Raw Data'!K22," ",":",1),'Raw Data'!K22))</f>
        <v>rise of 4 feet</v>
      </c>
      <c r="L22" t="str">
        <f>IF('Raw Data'!L22="","",'Raw Data'!L22)</f>
        <v/>
      </c>
      <c r="M22">
        <f>IF('Raw Data'!M22="","",'Raw Data'!M22)</f>
        <v>39.5</v>
      </c>
      <c r="N22">
        <f>IF('Raw Data'!N22="","",IF('Raw Data'!N22="-",0,'Raw Data'!N22))</f>
        <v>4</v>
      </c>
      <c r="O22">
        <f>IF('Raw Data'!O22="","",'Raw Data'!O22)</f>
        <v>-25</v>
      </c>
      <c r="P22" t="str">
        <f>IF('Raw Data'!P22="","",'Raw Data'!P22)</f>
        <v>Pool 2.5' deep at R, ends 15' on. Scalloping as in Goughs 1st Sandy Chamber.</v>
      </c>
      <c r="Q22" t="str">
        <f t="shared" si="0"/>
        <v xml:space="preserve"> </v>
      </c>
      <c r="R22" s="3">
        <f t="shared" si="2"/>
        <v>310</v>
      </c>
      <c r="S22" s="3" t="str">
        <f t="shared" si="3"/>
        <v>-</v>
      </c>
      <c r="T22" s="3">
        <f t="shared" si="4"/>
        <v>310</v>
      </c>
      <c r="U22" s="9">
        <f t="shared" si="13"/>
        <v>5.782392322364041</v>
      </c>
      <c r="W22" s="4">
        <f t="shared" si="9"/>
        <v>39.5</v>
      </c>
      <c r="X22" s="4">
        <f t="shared" si="10"/>
        <v>4</v>
      </c>
      <c r="Y22" s="3">
        <f t="shared" si="7"/>
        <v>310</v>
      </c>
    </row>
    <row r="23" spans="1:25" x14ac:dyDescent="0.25">
      <c r="A23" t="str">
        <f>IF('Raw Data'!A23="","",'Raw Data'!A23)</f>
        <v>S</v>
      </c>
      <c r="B23" t="str">
        <f>IF('Raw Data'!B23="","",'Raw Data'!B23)</f>
        <v>T</v>
      </c>
      <c r="C23">
        <f>IF('Raw Data'!C23="","",'Raw Data'!C23)</f>
        <v>12</v>
      </c>
      <c r="D23">
        <f>IF('Raw Data'!D23="","",'Raw Data'!D23)</f>
        <v>4.5</v>
      </c>
      <c r="E23">
        <f>IF('Raw Data'!E23="","",'Raw Data'!E23)</f>
        <v>8</v>
      </c>
      <c r="F23" t="str">
        <f>IF('Raw Data'!F23="","",'Raw Data'!F23)</f>
        <v>-</v>
      </c>
      <c r="G23" s="7" t="str">
        <f>IF('Raw Data'!G23="","",SUBSTITUTE('Raw Data'!G23," ",":",1))</f>
        <v>-</v>
      </c>
      <c r="H23" s="7" t="str">
        <f>IF('Raw Data'!H23="","",SUBSTITUTE('Raw Data'!H23," ",":",1))</f>
        <v>58</v>
      </c>
      <c r="I23" s="7" t="str">
        <f>IF('Raw Data'!I23="","",SUBSTITUTE('Raw Data'!I23," ",":",1))</f>
        <v>238</v>
      </c>
      <c r="J23" s="12">
        <f>IF('Raw Data'!J23="","",IF(LEN(K23)&gt;6,SQRT('Raw Data'!J23^2+N23^2),'Raw Data'!J23))</f>
        <v>39.6</v>
      </c>
      <c r="K23" s="7" t="str">
        <f>IF('Raw Data'!K23="","",IF(LEN('Raw Data'!K23)&lt;7,SUBSTITUTE('Raw Data'!K23," ",":",1),'Raw Data'!K23))</f>
        <v>-2:30</v>
      </c>
      <c r="L23" t="str">
        <f>IF('Raw Data'!L23="","",'Raw Data'!L23)</f>
        <v/>
      </c>
      <c r="M23">
        <f>IF('Raw Data'!M23="","",'Raw Data'!M23)</f>
        <v>39.6</v>
      </c>
      <c r="N23">
        <f>IF('Raw Data'!N23="","",IF('Raw Data'!N23="-",0,'Raw Data'!N23))</f>
        <v>-1.9</v>
      </c>
      <c r="O23">
        <f>IF('Raw Data'!O23="","",'Raw Data'!O23)</f>
        <v>-21</v>
      </c>
      <c r="P23" t="str">
        <f>IF('Raw Data'!P23="","",'Raw Data'!P23)</f>
        <v>S is marked on wall. At 20' there is a muddy chamber overhead.</v>
      </c>
      <c r="Q23" t="str">
        <f t="shared" si="0"/>
        <v xml:space="preserve"> </v>
      </c>
      <c r="R23" s="3" t="str">
        <f t="shared" si="2"/>
        <v>-</v>
      </c>
      <c r="S23" s="3">
        <f t="shared" si="3"/>
        <v>58</v>
      </c>
      <c r="T23" s="3">
        <f t="shared" si="4"/>
        <v>238</v>
      </c>
      <c r="U23" s="3">
        <f t="shared" ref="U23" si="14">IF(ISERROR(FIND(":",K23)),K23,1*CONCATENATE(LEFT(K23,FIND(":",K23)-1),".",MID(RIGHT(K23,LEN(K23)-FIND(":",K23))/60,3,8)))</f>
        <v>-2.5</v>
      </c>
      <c r="W23" s="4">
        <f t="shared" si="9"/>
        <v>39.562309574641567</v>
      </c>
      <c r="X23" s="4">
        <f t="shared" si="10"/>
        <v>-1.7273277396673057</v>
      </c>
      <c r="Y23" s="3">
        <f t="shared" si="7"/>
        <v>238</v>
      </c>
    </row>
    <row r="24" spans="1:25" x14ac:dyDescent="0.25">
      <c r="A24" t="str">
        <f>IF('Raw Data'!A24="","",'Raw Data'!A24)</f>
        <v>T</v>
      </c>
      <c r="B24" t="str">
        <f>IF('Raw Data'!B24="","",'Raw Data'!B24)</f>
        <v>U</v>
      </c>
      <c r="C24">
        <f>IF('Raw Data'!C24="","",'Raw Data'!C24)</f>
        <v>2</v>
      </c>
      <c r="D24">
        <f>IF('Raw Data'!D24="","",'Raw Data'!D24)</f>
        <v>2.5</v>
      </c>
      <c r="E24">
        <f>IF('Raw Data'!E24="","",'Raw Data'!E24)</f>
        <v>15</v>
      </c>
      <c r="F24">
        <f>IF('Raw Data'!F24="","",'Raw Data'!F24)</f>
        <v>6</v>
      </c>
      <c r="G24" s="7" t="str">
        <f>IF('Raw Data'!G24="","",SUBSTITUTE('Raw Data'!G24," ",":",1))</f>
        <v>148</v>
      </c>
      <c r="H24" s="7" t="str">
        <f>IF('Raw Data'!H24="","",SUBSTITUTE('Raw Data'!H24," ",":",1))</f>
        <v>-</v>
      </c>
      <c r="I24" s="7" t="str">
        <f>IF('Raw Data'!I24="","",SUBSTITUTE('Raw Data'!I24," ",":",1))</f>
        <v>148</v>
      </c>
      <c r="J24" s="12">
        <f>IF('Raw Data'!J24="","",IF(LEN(K24)&gt;6,SQRT('Raw Data'!J24^2+N24^2),'Raw Data'!J24))</f>
        <v>49.029480927295161</v>
      </c>
      <c r="K24" s="7" t="str">
        <f>IF('Raw Data'!K24="","",IF(LEN('Raw Data'!K24)&lt;7,SUBSTITUTE('Raw Data'!K24," ",":",1),'Raw Data'!K24))</f>
        <v>fall of 1.7 feet</v>
      </c>
      <c r="L24" t="str">
        <f>IF('Raw Data'!L24="","",'Raw Data'!L24)</f>
        <v/>
      </c>
      <c r="M24">
        <f>IF('Raw Data'!M24="","",'Raw Data'!M24)</f>
        <v>49</v>
      </c>
      <c r="N24">
        <f>IF('Raw Data'!N24="","",IF('Raw Data'!N24="-",0,'Raw Data'!N24))</f>
        <v>-1.7</v>
      </c>
      <c r="O24">
        <f>IF('Raw Data'!O24="","",'Raw Data'!O24)</f>
        <v>-22.9</v>
      </c>
      <c r="P24" t="str">
        <f>IF('Raw Data'!P24="","",'Raw Data'!P24)</f>
        <v/>
      </c>
      <c r="Q24" t="str">
        <f t="shared" si="0"/>
        <v xml:space="preserve"> </v>
      </c>
      <c r="R24" s="3">
        <f t="shared" si="2"/>
        <v>148</v>
      </c>
      <c r="S24" s="3" t="str">
        <f t="shared" si="3"/>
        <v>-</v>
      </c>
      <c r="T24" s="3">
        <f t="shared" si="4"/>
        <v>148</v>
      </c>
      <c r="U24" s="9">
        <f>ASIN(N24/J24)*180/PI()</f>
        <v>-1.987015780474414</v>
      </c>
      <c r="W24" s="4">
        <f t="shared" si="9"/>
        <v>49</v>
      </c>
      <c r="X24" s="4">
        <f t="shared" si="10"/>
        <v>-1.7</v>
      </c>
      <c r="Y24" s="3">
        <f t="shared" si="7"/>
        <v>148</v>
      </c>
    </row>
    <row r="25" spans="1:25" x14ac:dyDescent="0.25">
      <c r="A25" t="str">
        <f>IF('Raw Data'!A25="","",'Raw Data'!A25)</f>
        <v>U</v>
      </c>
      <c r="B25" t="str">
        <f>IF('Raw Data'!B25="","",'Raw Data'!B25)</f>
        <v/>
      </c>
      <c r="C25">
        <f>IF('Raw Data'!C25="","",'Raw Data'!C25)</f>
        <v>1.5</v>
      </c>
      <c r="D25">
        <f>IF('Raw Data'!D25="","",'Raw Data'!D25)</f>
        <v>1.5</v>
      </c>
      <c r="E25" t="str">
        <f>IF('Raw Data'!E25="","",'Raw Data'!E25)</f>
        <v/>
      </c>
      <c r="F25" t="str">
        <f>IF('Raw Data'!F25="","",'Raw Data'!F25)</f>
        <v/>
      </c>
      <c r="G25" s="7" t="str">
        <f>IF('Raw Data'!G25="","",SUBSTITUTE('Raw Data'!G25," ",":",1))</f>
        <v/>
      </c>
      <c r="H25" s="7" t="str">
        <f>IF('Raw Data'!H25="","",SUBSTITUTE('Raw Data'!H25," ",":",1))</f>
        <v/>
      </c>
      <c r="I25" s="7" t="str">
        <f>IF('Raw Data'!I25="","",SUBSTITUTE('Raw Data'!I25," ",":",1))</f>
        <v/>
      </c>
      <c r="J25" s="12" t="str">
        <f>IF('Raw Data'!J25="","",IF(LEN(K25)&gt;6,SQRT('Raw Data'!J25^2+N25^2),'Raw Data'!J25))</f>
        <v/>
      </c>
      <c r="K25" s="7" t="str">
        <f>IF('Raw Data'!K25="","",IF(LEN('Raw Data'!K25)&lt;7,SUBSTITUTE('Raw Data'!K25," ",":",1),'Raw Data'!K25))</f>
        <v/>
      </c>
      <c r="L25" t="str">
        <f>IF('Raw Data'!L25="","",'Raw Data'!L25)</f>
        <v/>
      </c>
      <c r="M25" t="str">
        <f>IF('Raw Data'!M25="","",'Raw Data'!M25)</f>
        <v/>
      </c>
      <c r="N25" t="str">
        <f>IF('Raw Data'!N25="","",IF('Raw Data'!N25="-",0,'Raw Data'!N25))</f>
        <v/>
      </c>
      <c r="O25">
        <f>IF('Raw Data'!O25="","",'Raw Data'!O25)</f>
        <v>-24.6</v>
      </c>
      <c r="P25" t="str">
        <f>IF('Raw Data'!P25="","",'Raw Data'!P25)</f>
        <v>Bearls (sp.?) seen here.    Total = 650'</v>
      </c>
      <c r="Q25" t="str">
        <f t="shared" si="0"/>
        <v xml:space="preserve"> </v>
      </c>
      <c r="W25" s="4"/>
      <c r="X25" s="4"/>
      <c r="Y25" s="3">
        <f t="shared" si="7"/>
        <v>0</v>
      </c>
    </row>
    <row r="26" spans="1:25" x14ac:dyDescent="0.25">
      <c r="A26" t="str">
        <f>IF('Raw Data'!A26="","",'Raw Data'!A26)</f>
        <v>A1</v>
      </c>
      <c r="B26" t="str">
        <f>IF('Raw Data'!B26="","",'Raw Data'!B26)</f>
        <v>B1</v>
      </c>
      <c r="C26" t="str">
        <f>IF('Raw Data'!C26="","",'Raw Data'!C26)</f>
        <v>-</v>
      </c>
      <c r="D26">
        <f>IF('Raw Data'!D26="","",'Raw Data'!D26)</f>
        <v>1</v>
      </c>
      <c r="E26">
        <f>IF('Raw Data'!E26="","",'Raw Data'!E26)</f>
        <v>1</v>
      </c>
      <c r="F26">
        <f>IF('Raw Data'!F26="","",'Raw Data'!F26)</f>
        <v>0.5</v>
      </c>
      <c r="G26" s="7" t="str">
        <f>IF('Raw Data'!G26="","",SUBSTITUTE('Raw Data'!G26," ",":",1))</f>
        <v>-</v>
      </c>
      <c r="H26" s="7" t="str">
        <f>IF('Raw Data'!H26="","",SUBSTITUTE('Raw Data'!H26," ",":",1))</f>
        <v>326</v>
      </c>
      <c r="I26" s="7" t="str">
        <f>IF('Raw Data'!I26="","",SUBSTITUTE('Raw Data'!I26," ",":",1))</f>
        <v>146</v>
      </c>
      <c r="J26" s="12">
        <f>IF('Raw Data'!J26="","",IF(LEN(K26)&gt;6,SQRT('Raw Data'!J26^2+N26^2),'Raw Data'!J26))</f>
        <v>30.4</v>
      </c>
      <c r="K26" s="7" t="str">
        <f>IF('Raw Data'!K26="","",IF(LEN('Raw Data'!K26)&lt;7,SUBSTITUTE('Raw Data'!K26," ",":",1),'Raw Data'!K26))</f>
        <v>level</v>
      </c>
      <c r="L26" t="str">
        <f>IF('Raw Data'!L26="","",'Raw Data'!L26)</f>
        <v/>
      </c>
      <c r="M26">
        <f>IF('Raw Data'!M26="","",'Raw Data'!M26)</f>
        <v>30.4</v>
      </c>
      <c r="N26">
        <f>IF('Raw Data'!N26="","",IF('Raw Data'!N26="-",0,'Raw Data'!N26))</f>
        <v>0</v>
      </c>
      <c r="O26" t="str">
        <f>IF('Raw Data'!O26="","",'Raw Data'!O26)</f>
        <v/>
      </c>
      <c r="P26" t="str">
        <f>IF('Raw Data'!P26="","",'Raw Data'!P26)</f>
        <v>A1 is far end of "Priddy Green" passage. At choke</v>
      </c>
      <c r="Q26" t="str">
        <f t="shared" si="0"/>
        <v xml:space="preserve"> </v>
      </c>
      <c r="R26" s="3" t="str">
        <f t="shared" si="2"/>
        <v>-</v>
      </c>
      <c r="S26" s="3">
        <f t="shared" si="3"/>
        <v>326</v>
      </c>
      <c r="T26" s="3">
        <f t="shared" si="4"/>
        <v>146</v>
      </c>
      <c r="U26" s="9">
        <f>ASIN(N26/J26)*180/PI()</f>
        <v>0</v>
      </c>
      <c r="W26" s="4">
        <f t="shared" si="9"/>
        <v>30.4</v>
      </c>
      <c r="X26" s="4">
        <f t="shared" si="10"/>
        <v>0</v>
      </c>
      <c r="Y26" s="3">
        <f t="shared" si="7"/>
        <v>146</v>
      </c>
    </row>
    <row r="27" spans="1:25" x14ac:dyDescent="0.25">
      <c r="A27" t="str">
        <f>IF('Raw Data'!A27="","",'Raw Data'!A27)</f>
        <v>B1</v>
      </c>
      <c r="B27" t="str">
        <f>IF('Raw Data'!B27="","",'Raw Data'!B27)</f>
        <v>C1</v>
      </c>
      <c r="C27">
        <f>IF('Raw Data'!C27="","",'Raw Data'!C27)</f>
        <v>4</v>
      </c>
      <c r="D27">
        <f>IF('Raw Data'!D27="","",'Raw Data'!D27)</f>
        <v>1</v>
      </c>
      <c r="E27">
        <f>IF('Raw Data'!E27="","",'Raw Data'!E27)</f>
        <v>10</v>
      </c>
      <c r="F27">
        <f>IF('Raw Data'!F27="","",'Raw Data'!F27)</f>
        <v>2</v>
      </c>
      <c r="G27" s="7" t="str">
        <f>IF('Raw Data'!G27="","",SUBSTITUTE('Raw Data'!G27," ",":",1))</f>
        <v>248</v>
      </c>
      <c r="H27" s="7" t="str">
        <f>IF('Raw Data'!H27="","",SUBSTITUTE('Raw Data'!H27," ",":",1))</f>
        <v>-</v>
      </c>
      <c r="I27" s="7" t="str">
        <f>IF('Raw Data'!I27="","",SUBSTITUTE('Raw Data'!I27," ",":",1))</f>
        <v>248</v>
      </c>
      <c r="J27" s="12">
        <f>IF('Raw Data'!J27="","",IF(LEN(K27)&gt;6,SQRT('Raw Data'!J27^2+N27^2),'Raw Data'!J27))</f>
        <v>37.5</v>
      </c>
      <c r="K27" s="7" t="str">
        <f>IF('Raw Data'!K27="","",IF(LEN('Raw Data'!K27)&lt;7,SUBSTITUTE('Raw Data'!K27," ",":",1),'Raw Data'!K27))</f>
        <v>-6</v>
      </c>
      <c r="L27" t="str">
        <f>IF('Raw Data'!L27="","",'Raw Data'!L27)</f>
        <v/>
      </c>
      <c r="M27">
        <f>IF('Raw Data'!M27="","",'Raw Data'!M27)</f>
        <v>37.299999999999997</v>
      </c>
      <c r="N27">
        <f>IF('Raw Data'!N27="","",IF('Raw Data'!N27="-",0,'Raw Data'!N27))</f>
        <v>-3.9</v>
      </c>
      <c r="O27">
        <f>IF('Raw Data'!O27="","",'Raw Data'!O27)</f>
        <v>11</v>
      </c>
      <c r="P27" t="str">
        <f>IF('Raw Data'!P27="","",'Raw Data'!P27)</f>
        <v>B1 is ent to P.G. pass, above stalagmite keloid (sp.?)</v>
      </c>
      <c r="Q27" t="str">
        <f t="shared" si="0"/>
        <v xml:space="preserve"> </v>
      </c>
      <c r="R27" s="3">
        <f t="shared" si="2"/>
        <v>248</v>
      </c>
      <c r="S27" s="3" t="str">
        <f t="shared" si="3"/>
        <v>-</v>
      </c>
      <c r="T27" s="3">
        <f t="shared" si="4"/>
        <v>248</v>
      </c>
      <c r="U27" s="3" t="str">
        <f t="shared" ref="U27" si="15">IF(ISERROR(FIND(":",K27)),K27,1*CONCATENATE(LEFT(K27,FIND(":",K27)-1),".",MID(RIGHT(K27,LEN(K27)-FIND(":",K27))/60,3,8)))</f>
        <v>-6</v>
      </c>
      <c r="W27" s="4">
        <f t="shared" si="9"/>
        <v>37.294571076310248</v>
      </c>
      <c r="X27" s="4">
        <f t="shared" si="10"/>
        <v>-3.9198173725370045</v>
      </c>
      <c r="Y27" s="3">
        <f t="shared" si="7"/>
        <v>248</v>
      </c>
    </row>
    <row r="28" spans="1:25" x14ac:dyDescent="0.25">
      <c r="A28" t="str">
        <f>IF('Raw Data'!A28="","",'Raw Data'!A28)</f>
        <v>p. 47-50</v>
      </c>
      <c r="B28" t="str">
        <f>IF('Raw Data'!B28="","",'Raw Data'!B28)</f>
        <v>(=PDF p.51-54)</v>
      </c>
      <c r="C28" t="str">
        <f>IF('Raw Data'!C28="","",'Raw Data'!C28)</f>
        <v/>
      </c>
      <c r="D28" t="str">
        <f>IF('Raw Data'!D28="","",'Raw Data'!D28)</f>
        <v/>
      </c>
      <c r="E28" t="str">
        <f>IF('Raw Data'!E28="","",'Raw Data'!E28)</f>
        <v/>
      </c>
      <c r="F28" t="str">
        <f>IF('Raw Data'!F28="","",'Raw Data'!F28)</f>
        <v/>
      </c>
      <c r="G28" s="7" t="str">
        <f>IF('Raw Data'!G28="","",SUBSTITUTE('Raw Data'!G28," ",":",1))</f>
        <v/>
      </c>
      <c r="H28" s="7" t="str">
        <f>IF('Raw Data'!H28="","",SUBSTITUTE('Raw Data'!H28," ",":",1))</f>
        <v/>
      </c>
      <c r="I28" s="7" t="str">
        <f>IF('Raw Data'!I28="","",SUBSTITUTE('Raw Data'!I28," ",":",1))</f>
        <v/>
      </c>
      <c r="J28" s="12" t="str">
        <f>IF('Raw Data'!J28="","",IF(LEN(K28)&gt;6,SQRT('Raw Data'!J28^2+N28^2),'Raw Data'!J28))</f>
        <v/>
      </c>
      <c r="K28" s="7" t="str">
        <f>IF('Raw Data'!K28="","",IF(LEN('Raw Data'!K28)&lt;7,SUBSTITUTE('Raw Data'!K28," ",":",1),'Raw Data'!K28))</f>
        <v/>
      </c>
      <c r="L28" t="str">
        <f>IF('Raw Data'!L28="","",'Raw Data'!L28)</f>
        <v/>
      </c>
      <c r="M28" t="str">
        <f>IF('Raw Data'!M28="","",'Raw Data'!M28)</f>
        <v/>
      </c>
      <c r="N28" t="str">
        <f>IF('Raw Data'!N28="","",IF('Raw Data'!N28="-",0,'Raw Data'!N28))</f>
        <v/>
      </c>
      <c r="O28" t="str">
        <f>IF('Raw Data'!O28="","",'Raw Data'!O28)</f>
        <v/>
      </c>
      <c r="P28" t="str">
        <f>IF('Raw Data'!P28="","",'Raw Data'!P28)</f>
        <v/>
      </c>
      <c r="Q28" t="str">
        <f t="shared" si="0"/>
        <v xml:space="preserve"> </v>
      </c>
      <c r="W28" s="4"/>
      <c r="X28" s="4"/>
      <c r="Y28" s="3"/>
    </row>
    <row r="29" spans="1:25" x14ac:dyDescent="0.25">
      <c r="A29" t="str">
        <f>IF('Raw Data'!A29="","",'Raw Data'!A29)</f>
        <v>5th August 1951</v>
      </c>
      <c r="B29" t="str">
        <f>IF('Raw Data'!B29="","",'Raw Data'!B29)</f>
        <v>SWILDONS HOLE SURVEY</v>
      </c>
      <c r="C29" t="str">
        <f>IF('Raw Data'!C29="","",'Raw Data'!C29)</f>
        <v/>
      </c>
      <c r="D29" t="str">
        <f>IF('Raw Data'!D29="","",'Raw Data'!D29)</f>
        <v/>
      </c>
      <c r="E29" t="str">
        <f>IF('Raw Data'!E29="","",'Raw Data'!E29)</f>
        <v/>
      </c>
      <c r="F29" t="str">
        <f>IF('Raw Data'!F29="","",'Raw Data'!F29)</f>
        <v/>
      </c>
      <c r="G29" s="7" t="str">
        <f>IF('Raw Data'!G29="","",SUBSTITUTE('Raw Data'!G29," ",":",1))</f>
        <v/>
      </c>
      <c r="H29" s="7" t="str">
        <f>IF('Raw Data'!H29="","",SUBSTITUTE('Raw Data'!H29," ",":",1))</f>
        <v/>
      </c>
      <c r="I29" s="7" t="str">
        <f>IF('Raw Data'!I29="","",SUBSTITUTE('Raw Data'!I29," ",":",1))</f>
        <v/>
      </c>
      <c r="J29" s="12" t="str">
        <f>IF('Raw Data'!J29="","",IF(LEN(K29)&gt;6,SQRT('Raw Data'!J29^2+N29^2),'Raw Data'!J29))</f>
        <v/>
      </c>
      <c r="K29" s="7" t="str">
        <f>IF('Raw Data'!K29="","",IF(LEN('Raw Data'!K29)&lt;7,SUBSTITUTE('Raw Data'!K29," ",":",1),'Raw Data'!K29))</f>
        <v/>
      </c>
      <c r="L29" t="str">
        <f>IF('Raw Data'!L29="","",'Raw Data'!L29)</f>
        <v/>
      </c>
      <c r="M29" t="str">
        <f>IF('Raw Data'!M29="","",'Raw Data'!M29)</f>
        <v xml:space="preserve"> CONTINUED</v>
      </c>
      <c r="N29" t="str">
        <f>IF('Raw Data'!N29="","",IF('Raw Data'!N29="-",0,'Raw Data'!N29))</f>
        <v/>
      </c>
      <c r="O29" t="str">
        <f>IF('Raw Data'!O29="","",'Raw Data'!O29)</f>
        <v>Compass bearings magnetic 11(deg)30' W</v>
      </c>
      <c r="P29" t="str">
        <f>IF('Raw Data'!P29="","",'Raw Data'!P29)</f>
        <v/>
      </c>
      <c r="Q29" t="str">
        <f t="shared" si="0"/>
        <v xml:space="preserve"> </v>
      </c>
      <c r="W29" s="4"/>
      <c r="X29" s="4"/>
      <c r="Y29" s="3"/>
    </row>
    <row r="30" spans="1:25" x14ac:dyDescent="0.25">
      <c r="A30" t="str">
        <f>IF('Raw Data'!A30="","",'Raw Data'!A30)</f>
        <v>C1</v>
      </c>
      <c r="B30" t="str">
        <f>IF('Raw Data'!B30="","",'Raw Data'!B30)</f>
        <v>D1</v>
      </c>
      <c r="C30">
        <f>IF('Raw Data'!C30="","",'Raw Data'!C30)</f>
        <v>5</v>
      </c>
      <c r="D30">
        <f>IF('Raw Data'!D30="","",'Raw Data'!D30)</f>
        <v>6</v>
      </c>
      <c r="E30">
        <f>IF('Raw Data'!E30="","",'Raw Data'!E30)</f>
        <v>15</v>
      </c>
      <c r="F30">
        <f>IF('Raw Data'!F30="","",'Raw Data'!F30)</f>
        <v>4</v>
      </c>
      <c r="G30" s="7" t="str">
        <f>IF('Raw Data'!G30="","",SUBSTITUTE('Raw Data'!G30," ",":",1))</f>
        <v>-</v>
      </c>
      <c r="H30" s="7" t="str">
        <f>IF('Raw Data'!H30="","",SUBSTITUTE('Raw Data'!H30," ",":",1))</f>
        <v>85</v>
      </c>
      <c r="I30" s="7" t="str">
        <f>IF('Raw Data'!I30="","",SUBSTITUTE('Raw Data'!I30," ",":",1))</f>
        <v>265</v>
      </c>
      <c r="J30" s="12">
        <f>IF('Raw Data'!J30="","",IF(LEN(K30)&gt;6,SQRT('Raw Data'!J30^2+N30^2),'Raw Data'!J30))</f>
        <v>11.8</v>
      </c>
      <c r="K30" s="7" t="str">
        <f>IF('Raw Data'!K30="","",IF(LEN('Raw Data'!K30)&lt;7,SUBSTITUTE('Raw Data'!K30," ",":",1),'Raw Data'!K30))</f>
        <v>-24</v>
      </c>
      <c r="L30" t="str">
        <f>IF('Raw Data'!L30="","",'Raw Data'!L30)</f>
        <v/>
      </c>
      <c r="M30">
        <f>IF('Raw Data'!M30="","",'Raw Data'!M30)</f>
        <v>10.8</v>
      </c>
      <c r="N30">
        <f>IF('Raw Data'!N30="","",IF('Raw Data'!N30="-",0,'Raw Data'!N30))</f>
        <v>-4.8</v>
      </c>
      <c r="O30">
        <f>IF('Raw Data'!O30="","",'Raw Data'!O30)</f>
        <v>7.1</v>
      </c>
      <c r="P30" t="str">
        <f>IF('Raw Data'!P30="","",'Raw Data'!P30)</f>
        <v>On rocky bank.</v>
      </c>
      <c r="Q30" t="str">
        <f t="shared" si="0"/>
        <v xml:space="preserve"> </v>
      </c>
      <c r="R30" s="3" t="str">
        <f t="shared" ref="R30" si="16">IF(ISERROR(FIND(":",G30)),IF(G30&lt;&gt;"-",1*G30,G30),1*LEFT(G30,FIND(":",G30)-1)+RIGHT(G30,LEN(G30)-FIND(":",G30))/60)</f>
        <v>-</v>
      </c>
      <c r="S30" s="3">
        <f t="shared" ref="S30" si="17">IF(ISERROR(FIND(":",H30)),IF(H30&lt;&gt;"-",1*H30,H30),1*LEFT(H30,FIND(":",H30)-1)+RIGHT(H30,LEN(H30)-FIND(":",H30))/60)</f>
        <v>85</v>
      </c>
      <c r="T30" s="3">
        <f t="shared" ref="T30" si="18">IF(ISERROR(FIND(":",I30)),IF(I30&lt;&gt;"-",1*I30,I30),1*LEFT(I30,FIND(":",I30)-1)+RIGHT(I30,LEN(I30)-FIND(":",I30))/60)</f>
        <v>265</v>
      </c>
      <c r="U30" s="3" t="str">
        <f t="shared" ref="U30" si="19">IF(ISERROR(FIND(":",K30)),K30,1*CONCATENATE(LEFT(K30,FIND(":",K30)-1),".",MID(RIGHT(K30,LEN(K30)-FIND(":",K30))/60,3,8)))</f>
        <v>-24</v>
      </c>
      <c r="W30" s="4">
        <f t="shared" si="9"/>
        <v>10.77983640018269</v>
      </c>
      <c r="X30" s="4">
        <f t="shared" si="10"/>
        <v>-4.7994923882944418</v>
      </c>
      <c r="Y30" s="3">
        <f t="shared" si="7"/>
        <v>265</v>
      </c>
    </row>
    <row r="31" spans="1:25" x14ac:dyDescent="0.25">
      <c r="A31" t="str">
        <f>IF('Raw Data'!A31="","",'Raw Data'!A31)</f>
        <v>D1</v>
      </c>
      <c r="B31" t="str">
        <f>IF('Raw Data'!B31="","",'Raw Data'!B31)</f>
        <v>A</v>
      </c>
      <c r="C31">
        <f>IF('Raw Data'!C31="","",'Raw Data'!C31)</f>
        <v>2</v>
      </c>
      <c r="D31">
        <f>IF('Raw Data'!D31="","",'Raw Data'!D31)</f>
        <v>2.2999999999999998</v>
      </c>
      <c r="E31">
        <f>IF('Raw Data'!E31="","",'Raw Data'!E31)</f>
        <v>10</v>
      </c>
      <c r="F31">
        <f>IF('Raw Data'!F31="","",'Raw Data'!F31)</f>
        <v>4</v>
      </c>
      <c r="G31" s="7" t="str">
        <f>IF('Raw Data'!G31="","",SUBSTITUTE('Raw Data'!G31," ",":",1))</f>
        <v>251</v>
      </c>
      <c r="H31" s="7" t="str">
        <f>IF('Raw Data'!H31="","",SUBSTITUTE('Raw Data'!H31," ",":",1))</f>
        <v>-</v>
      </c>
      <c r="I31" s="7" t="str">
        <f>IF('Raw Data'!I31="","",SUBSTITUTE('Raw Data'!I31," ",":",1))</f>
        <v>251</v>
      </c>
      <c r="J31" s="12">
        <f>IF('Raw Data'!J31="","",IF(LEN(K31)&gt;6,SQRT('Raw Data'!J31^2+N31^2),'Raw Data'!J31))</f>
        <v>36.87180494632721</v>
      </c>
      <c r="K31" s="7" t="str">
        <f>IF('Raw Data'!K31="","",IF(LEN('Raw Data'!K31)&lt;7,SUBSTITUTE('Raw Data'!K31," ",":",1),'Raw Data'!K31))</f>
        <v>water level</v>
      </c>
      <c r="L31" t="str">
        <f>IF('Raw Data'!L31="","",'Raw Data'!L31)</f>
        <v/>
      </c>
      <c r="M31">
        <f>IF('Raw Data'!M31="","",'Raw Data'!M31)</f>
        <v>36.6</v>
      </c>
      <c r="N31">
        <f>IF('Raw Data'!N31="","",IF('Raw Data'!N31="-",0,'Raw Data'!N31))</f>
        <v>-2.2999999999999998</v>
      </c>
      <c r="O31">
        <f>IF('Raw Data'!O31="","",'Raw Data'!O31)</f>
        <v>2.2999999999999998</v>
      </c>
      <c r="P31" t="str">
        <f>IF('Raw Data'!P31="","",'Raw Data'!P31)</f>
        <v>D1 to near side of Sump I 11.8'. D1 to far side of Sump I 18'. D1 is in pool at stake for cable.</v>
      </c>
      <c r="Q31" t="str">
        <f t="shared" si="0"/>
        <v xml:space="preserve"> </v>
      </c>
      <c r="R31" s="3">
        <f t="shared" ref="R31:R35" si="20">IF(ISERROR(FIND(":",G31)),IF(G31&lt;&gt;"-",1*G31,G31),1*LEFT(G31,FIND(":",G31)-1)+RIGHT(G31,LEN(G31)-FIND(":",G31))/60)</f>
        <v>251</v>
      </c>
      <c r="S31" s="3" t="str">
        <f t="shared" ref="S31:S35" si="21">IF(ISERROR(FIND(":",H31)),IF(H31&lt;&gt;"-",1*H31,H31),1*LEFT(H31,FIND(":",H31)-1)+RIGHT(H31,LEN(H31)-FIND(":",H31))/60)</f>
        <v>-</v>
      </c>
      <c r="T31" s="3">
        <f t="shared" ref="T31:T35" si="22">IF(ISERROR(FIND(":",I31)),IF(I31&lt;&gt;"-",1*I31,I31),1*LEFT(I31,FIND(":",I31)-1)+RIGHT(I31,LEN(I31)-FIND(":",I31))/60)</f>
        <v>251</v>
      </c>
      <c r="U31" s="9">
        <f t="shared" ref="U31:U35" si="23">ASIN(N31/J31)*180/PI()</f>
        <v>-3.576334374997352</v>
      </c>
      <c r="W31" s="4">
        <f t="shared" si="9"/>
        <v>36.799999999999997</v>
      </c>
      <c r="X31" s="4">
        <f t="shared" si="10"/>
        <v>-2.3000000000000003</v>
      </c>
      <c r="Y31" s="3">
        <f t="shared" si="7"/>
        <v>251</v>
      </c>
    </row>
    <row r="32" spans="1:25" x14ac:dyDescent="0.25">
      <c r="A32" t="str">
        <f>IF('Raw Data'!A32="","",'Raw Data'!A32)</f>
        <v>U</v>
      </c>
      <c r="B32" t="str">
        <f>IF('Raw Data'!B32="","",'Raw Data'!B32)</f>
        <v>V</v>
      </c>
      <c r="C32">
        <f>IF('Raw Data'!C32="","",'Raw Data'!C32)</f>
        <v>1.5</v>
      </c>
      <c r="D32">
        <f>IF('Raw Data'!D32="","",'Raw Data'!D32)</f>
        <v>1.5</v>
      </c>
      <c r="E32">
        <f>IF('Raw Data'!E32="","",'Raw Data'!E32)</f>
        <v>2.5</v>
      </c>
      <c r="F32">
        <f>IF('Raw Data'!F32="","",'Raw Data'!F32)</f>
        <v>15</v>
      </c>
      <c r="G32" s="7" t="str">
        <f>IF('Raw Data'!G32="","",SUBSTITUTE('Raw Data'!G32," ",":",1))</f>
        <v>-</v>
      </c>
      <c r="H32" s="7" t="str">
        <f>IF('Raw Data'!H32="","",SUBSTITUTE('Raw Data'!H32," ",":",1))</f>
        <v>6:30</v>
      </c>
      <c r="I32" s="7" t="str">
        <f>IF('Raw Data'!I32="","",SUBSTITUTE('Raw Data'!I32," ",":",1))</f>
        <v>186:30</v>
      </c>
      <c r="J32" s="12">
        <f>IF('Raw Data'!J32="","",IF(LEN(K32)&gt;6,SQRT('Raw Data'!J32^2+N32^2),'Raw Data'!J32))</f>
        <v>29</v>
      </c>
      <c r="K32" s="7" t="str">
        <f>IF('Raw Data'!K32="","",IF(LEN('Raw Data'!K32)&lt;7,SUBSTITUTE('Raw Data'!K32," ",":",1),'Raw Data'!K32))</f>
        <v>water level</v>
      </c>
      <c r="L32" t="str">
        <f>IF('Raw Data'!L32="","",'Raw Data'!L32)</f>
        <v/>
      </c>
      <c r="M32">
        <f>IF('Raw Data'!M32="","",'Raw Data'!M32)</f>
        <v>29</v>
      </c>
      <c r="N32">
        <f>IF('Raw Data'!N32="","",IF('Raw Data'!N32="-",0,'Raw Data'!N32))</f>
        <v>0</v>
      </c>
      <c r="O32">
        <f>IF('Raw Data'!O32="","",'Raw Data'!O32)</f>
        <v>-24.6</v>
      </c>
      <c r="P32" t="str">
        <f>IF('Raw Data'!P32="","",'Raw Data'!P32)</f>
        <v>Lake begins as 10'. (Little sketch)</v>
      </c>
      <c r="Q32" t="str">
        <f t="shared" si="0"/>
        <v xml:space="preserve"> </v>
      </c>
      <c r="R32" s="3" t="str">
        <f t="shared" si="20"/>
        <v>-</v>
      </c>
      <c r="S32" s="3">
        <f t="shared" si="21"/>
        <v>6.5</v>
      </c>
      <c r="T32" s="3">
        <f t="shared" si="22"/>
        <v>186.5</v>
      </c>
      <c r="U32" s="9">
        <f t="shared" si="23"/>
        <v>0</v>
      </c>
      <c r="W32" s="4">
        <f t="shared" si="9"/>
        <v>29</v>
      </c>
      <c r="X32" s="4">
        <f t="shared" si="10"/>
        <v>0</v>
      </c>
      <c r="Y32" s="3">
        <f t="shared" si="7"/>
        <v>186.5</v>
      </c>
    </row>
    <row r="33" spans="1:25" x14ac:dyDescent="0.25">
      <c r="A33" t="str">
        <f>IF('Raw Data'!A33="","",'Raw Data'!A33)</f>
        <v>V</v>
      </c>
      <c r="B33" t="str">
        <f>IF('Raw Data'!B33="","",'Raw Data'!B33)</f>
        <v>W</v>
      </c>
      <c r="C33">
        <f>IF('Raw Data'!C33="","",'Raw Data'!C33)</f>
        <v>15</v>
      </c>
      <c r="D33" t="str">
        <f>IF('Raw Data'!D33="","",'Raw Data'!D33)</f>
        <v>-</v>
      </c>
      <c r="E33">
        <f>IF('Raw Data'!E33="","",'Raw Data'!E33)</f>
        <v>2</v>
      </c>
      <c r="F33">
        <f>IF('Raw Data'!F33="","",'Raw Data'!F33)</f>
        <v>4</v>
      </c>
      <c r="G33" s="7" t="str">
        <f>IF('Raw Data'!G33="","",SUBSTITUTE('Raw Data'!G33," ",":",1))</f>
        <v>141:30</v>
      </c>
      <c r="H33" s="7" t="str">
        <f>IF('Raw Data'!H33="","",SUBSTITUTE('Raw Data'!H33," ",":",1))</f>
        <v>-</v>
      </c>
      <c r="I33" s="7" t="str">
        <f>IF('Raw Data'!I33="","",SUBSTITUTE('Raw Data'!I33," ",":",1))</f>
        <v>141:30</v>
      </c>
      <c r="J33" s="12">
        <f>IF('Raw Data'!J33="","",IF(LEN(K33)&gt;6,SQRT('Raw Data'!J33^2+N33^2),'Raw Data'!J33))</f>
        <v>33.799999999999997</v>
      </c>
      <c r="K33" s="7" t="str">
        <f>IF('Raw Data'!K33="","",IF(LEN('Raw Data'!K33)&lt;7,SUBSTITUTE('Raw Data'!K33," ",":",1),'Raw Data'!K33))</f>
        <v>water level</v>
      </c>
      <c r="L33" t="str">
        <f>IF('Raw Data'!L33="","",'Raw Data'!L33)</f>
        <v/>
      </c>
      <c r="M33">
        <f>IF('Raw Data'!M33="","",'Raw Data'!M33)</f>
        <v>33.799999999999997</v>
      </c>
      <c r="N33">
        <f>IF('Raw Data'!N33="","",IF('Raw Data'!N33="-",0,'Raw Data'!N33))</f>
        <v>0</v>
      </c>
      <c r="O33">
        <f>IF('Raw Data'!O33="","",'Raw Data'!O33)</f>
        <v>-26.1</v>
      </c>
      <c r="P33" t="str">
        <f>IF('Raw Data'!P33="","",'Raw Data'!P33)</f>
        <v>Lake</v>
      </c>
      <c r="Q33" t="str">
        <f t="shared" si="0"/>
        <v xml:space="preserve"> </v>
      </c>
      <c r="R33" s="3">
        <f t="shared" si="20"/>
        <v>141.5</v>
      </c>
      <c r="S33" s="3" t="str">
        <f t="shared" si="21"/>
        <v>-</v>
      </c>
      <c r="T33" s="3">
        <f t="shared" si="22"/>
        <v>141.5</v>
      </c>
      <c r="U33" s="9">
        <f t="shared" si="23"/>
        <v>0</v>
      </c>
      <c r="W33" s="4">
        <f t="shared" si="9"/>
        <v>33.799999999999997</v>
      </c>
      <c r="X33" s="4">
        <f t="shared" si="10"/>
        <v>0</v>
      </c>
      <c r="Y33" s="3">
        <f t="shared" si="7"/>
        <v>141.5</v>
      </c>
    </row>
    <row r="34" spans="1:25" x14ac:dyDescent="0.25">
      <c r="A34" t="str">
        <f>IF('Raw Data'!A34="","",'Raw Data'!A34)</f>
        <v>W</v>
      </c>
      <c r="B34" t="str">
        <f>IF('Raw Data'!B34="","",'Raw Data'!B34)</f>
        <v>X</v>
      </c>
      <c r="C34">
        <f>IF('Raw Data'!C34="","",'Raw Data'!C34)</f>
        <v>4</v>
      </c>
      <c r="D34" t="str">
        <f>IF('Raw Data'!D34="","",'Raw Data'!D34)</f>
        <v>-</v>
      </c>
      <c r="E34">
        <f>IF('Raw Data'!E34="","",'Raw Data'!E34)</f>
        <v>0.5</v>
      </c>
      <c r="F34">
        <f>IF('Raw Data'!F34="","",'Raw Data'!F34)</f>
        <v>8</v>
      </c>
      <c r="G34" s="7" t="str">
        <f>IF('Raw Data'!G34="","",SUBSTITUTE('Raw Data'!G34," ",":",1))</f>
        <v>132:10</v>
      </c>
      <c r="H34" s="7" t="str">
        <f>IF('Raw Data'!H34="","",SUBSTITUTE('Raw Data'!H34," ",":",1))</f>
        <v>-</v>
      </c>
      <c r="I34" s="7" t="str">
        <f>IF('Raw Data'!I34="","",SUBSTITUTE('Raw Data'!I34," ",":",1))</f>
        <v>132:10</v>
      </c>
      <c r="J34" s="12">
        <f>IF('Raw Data'!J34="","",IF(LEN(K34)&gt;6,SQRT('Raw Data'!J34^2+N34^2),'Raw Data'!J34))</f>
        <v>47</v>
      </c>
      <c r="K34" s="7" t="str">
        <f>IF('Raw Data'!K34="","",IF(LEN('Raw Data'!K34)&lt;7,SUBSTITUTE('Raw Data'!K34," ",":",1),'Raw Data'!K34))</f>
        <v>water level</v>
      </c>
      <c r="L34" t="str">
        <f>IF('Raw Data'!L34="","",'Raw Data'!L34)</f>
        <v/>
      </c>
      <c r="M34">
        <f>IF('Raw Data'!M34="","",'Raw Data'!M34)</f>
        <v>47</v>
      </c>
      <c r="N34">
        <f>IF('Raw Data'!N34="","",IF('Raw Data'!N34="-",0,'Raw Data'!N34))</f>
        <v>0</v>
      </c>
      <c r="O34">
        <f>IF('Raw Data'!O34="","",'Raw Data'!O34)</f>
        <v>-26.1</v>
      </c>
      <c r="P34" t="str">
        <f>IF('Raw Data'!P34="","",'Raw Data'!P34)</f>
        <v>Bearing from 2' to right. W to near side Duck II = 3.5. W to far side Duck II = 20.4</v>
      </c>
      <c r="Q34" t="str">
        <f t="shared" si="0"/>
        <v xml:space="preserve"> </v>
      </c>
      <c r="R34" s="3">
        <f t="shared" si="20"/>
        <v>132.16666666666666</v>
      </c>
      <c r="S34" s="3" t="str">
        <f t="shared" si="21"/>
        <v>-</v>
      </c>
      <c r="T34" s="3">
        <f t="shared" si="22"/>
        <v>132.16666666666666</v>
      </c>
      <c r="U34" s="9">
        <f t="shared" si="23"/>
        <v>0</v>
      </c>
      <c r="W34" s="4">
        <f t="shared" si="9"/>
        <v>47</v>
      </c>
      <c r="X34" s="4">
        <f t="shared" si="10"/>
        <v>0</v>
      </c>
      <c r="Y34" s="3">
        <f t="shared" si="7"/>
        <v>132.16666666666666</v>
      </c>
    </row>
    <row r="35" spans="1:25" x14ac:dyDescent="0.25">
      <c r="A35" t="str">
        <f>IF('Raw Data'!A35="","",'Raw Data'!A35)</f>
        <v>X</v>
      </c>
      <c r="B35" t="str">
        <f>IF('Raw Data'!B35="","",'Raw Data'!B35)</f>
        <v>Y</v>
      </c>
      <c r="C35">
        <f>IF('Raw Data'!C35="","",'Raw Data'!C35)</f>
        <v>12</v>
      </c>
      <c r="D35" t="str">
        <f>IF('Raw Data'!D35="","",'Raw Data'!D35)</f>
        <v>-</v>
      </c>
      <c r="E35">
        <f>IF('Raw Data'!E35="","",'Raw Data'!E35)</f>
        <v>2</v>
      </c>
      <c r="F35">
        <f>IF('Raw Data'!F35="","",'Raw Data'!F35)</f>
        <v>10</v>
      </c>
      <c r="G35" s="7" t="str">
        <f>IF('Raw Data'!G35="","",SUBSTITUTE('Raw Data'!G35," ",":",1))</f>
        <v>-</v>
      </c>
      <c r="H35" s="7" t="str">
        <f>IF('Raw Data'!H35="","",SUBSTITUTE('Raw Data'!H35," ",":",1))</f>
        <v>354</v>
      </c>
      <c r="I35" s="7" t="str">
        <f>IF('Raw Data'!I35="","",SUBSTITUTE('Raw Data'!I35," ",":",1))</f>
        <v>174</v>
      </c>
      <c r="J35" s="12">
        <f>IF('Raw Data'!J35="","",IF(LEN(K35)&gt;6,SQRT('Raw Data'!J35^2+N35^2),'Raw Data'!J35))</f>
        <v>83.502934080186662</v>
      </c>
      <c r="K35" s="7" t="str">
        <f>IF('Raw Data'!K35="","",IF(LEN('Raw Data'!K35)&lt;7,SUBSTITUTE('Raw Data'!K35," ",":",1),'Raw Data'!K35))</f>
        <v>fall 0.7'</v>
      </c>
      <c r="L35" t="str">
        <f>IF('Raw Data'!L35="","",'Raw Data'!L35)</f>
        <v/>
      </c>
      <c r="M35">
        <f>IF('Raw Data'!M35="","",'Raw Data'!M35)</f>
        <v>83.5</v>
      </c>
      <c r="N35">
        <f>IF('Raw Data'!N35="","",IF('Raw Data'!N35="-",0,'Raw Data'!N35))</f>
        <v>-0.7</v>
      </c>
      <c r="O35">
        <f>IF('Raw Data'!O35="","",'Raw Data'!O35)</f>
        <v>-26.1</v>
      </c>
      <c r="P35" t="str">
        <f>IF('Raw Data'!P35="","",'Raw Data'!P35)</f>
        <v>Y at lip of Sump II, 3" air space goes on 10 more</v>
      </c>
      <c r="Q35" t="str">
        <f t="shared" si="0"/>
        <v xml:space="preserve"> </v>
      </c>
      <c r="R35" s="3" t="str">
        <f t="shared" si="20"/>
        <v>-</v>
      </c>
      <c r="S35" s="3">
        <f t="shared" si="21"/>
        <v>354</v>
      </c>
      <c r="T35" s="3">
        <f t="shared" si="22"/>
        <v>174</v>
      </c>
      <c r="U35" s="9">
        <f t="shared" si="23"/>
        <v>-0.4803126484196561</v>
      </c>
      <c r="W35" s="4">
        <f t="shared" si="9"/>
        <v>83.5</v>
      </c>
      <c r="X35" s="4">
        <f t="shared" si="10"/>
        <v>-0.7</v>
      </c>
      <c r="Y35" s="3">
        <f t="shared" si="7"/>
        <v>174</v>
      </c>
    </row>
    <row r="36" spans="1:25" x14ac:dyDescent="0.25">
      <c r="A36" t="str">
        <f>IF('Raw Data'!A36="","",'Raw Data'!A36)</f>
        <v>Y</v>
      </c>
      <c r="B36" t="str">
        <f>IF('Raw Data'!B36="","",'Raw Data'!B36)</f>
        <v/>
      </c>
      <c r="C36" t="str">
        <f>IF('Raw Data'!C36="","",'Raw Data'!C36)</f>
        <v>0.4 (12)</v>
      </c>
      <c r="D36" t="str">
        <f>IF('Raw Data'!D36="","",'Raw Data'!D36)</f>
        <v>-</v>
      </c>
      <c r="E36">
        <f>IF('Raw Data'!E36="","",'Raw Data'!E36)</f>
        <v>4</v>
      </c>
      <c r="F36">
        <f>IF('Raw Data'!F36="","",'Raw Data'!F36)</f>
        <v>2</v>
      </c>
      <c r="G36" s="7" t="str">
        <f>IF('Raw Data'!G36="","",SUBSTITUTE('Raw Data'!G36," ",":",1))</f>
        <v/>
      </c>
      <c r="H36" s="7" t="str">
        <f>IF('Raw Data'!H36="","",SUBSTITUTE('Raw Data'!H36," ",":",1))</f>
        <v/>
      </c>
      <c r="I36" s="7" t="str">
        <f>IF('Raw Data'!I36="","",SUBSTITUTE('Raw Data'!I36," ",":",1))</f>
        <v/>
      </c>
      <c r="J36" s="12" t="str">
        <f>IF('Raw Data'!J36="","",IF(LEN(K36)&gt;6,SQRT('Raw Data'!J36^2+N36^2),'Raw Data'!J36))</f>
        <v/>
      </c>
      <c r="K36" s="7" t="str">
        <f>IF('Raw Data'!K36="","",IF(LEN('Raw Data'!K36)&lt;7,SUBSTITUTE('Raw Data'!K36," ",":",1),'Raw Data'!K36))</f>
        <v/>
      </c>
      <c r="L36" t="str">
        <f>IF('Raw Data'!L36="","",'Raw Data'!L36)</f>
        <v/>
      </c>
      <c r="M36" t="str">
        <f>IF('Raw Data'!M36="","",'Raw Data'!M36)</f>
        <v/>
      </c>
      <c r="N36" t="str">
        <f>IF('Raw Data'!N36="","",IF('Raw Data'!N36="-",0,'Raw Data'!N36))</f>
        <v/>
      </c>
      <c r="O36">
        <f>IF('Raw Data'!O36="","",'Raw Data'!O36)</f>
        <v>-26.8</v>
      </c>
      <c r="P36" t="str">
        <f>IF('Raw Data'!P36="","",'Raw Data'!P36)</f>
        <v>(Little sketch). Total 1010'</v>
      </c>
      <c r="Q36" t="str">
        <f t="shared" si="0"/>
        <v xml:space="preserve"> </v>
      </c>
      <c r="W36" s="4"/>
      <c r="X36" s="4"/>
      <c r="Y36" s="3"/>
    </row>
    <row r="37" spans="1:25" x14ac:dyDescent="0.25">
      <c r="A37" t="str">
        <f>IF('Raw Data'!A37="","",'Raw Data'!A37)</f>
        <v>T</v>
      </c>
      <c r="B37" t="str">
        <f>IF('Raw Data'!B37="","",'Raw Data'!B37)</f>
        <v>Ri</v>
      </c>
      <c r="C37" t="str">
        <f>IF('Raw Data'!C37="","",'Raw Data'!C37)</f>
        <v>/</v>
      </c>
      <c r="D37" t="str">
        <f>IF('Raw Data'!D37="","",'Raw Data'!D37)</f>
        <v>/</v>
      </c>
      <c r="E37" t="str">
        <f>IF('Raw Data'!E37="","",'Raw Data'!E37)</f>
        <v>/</v>
      </c>
      <c r="F37" t="str">
        <f>IF('Raw Data'!F37="","",'Raw Data'!F37)</f>
        <v>/</v>
      </c>
      <c r="G37" s="7" t="str">
        <f>IF('Raw Data'!G37="","",SUBSTITUTE('Raw Data'!G37," ",":",1))</f>
        <v>19</v>
      </c>
      <c r="H37" s="7" t="str">
        <f>IF('Raw Data'!H37="","",SUBSTITUTE('Raw Data'!H37," ",":",1))</f>
        <v>-</v>
      </c>
      <c r="I37" s="7" t="str">
        <f>IF('Raw Data'!I37="","",SUBSTITUTE('Raw Data'!I37," ",":",1))</f>
        <v>19</v>
      </c>
      <c r="J37" s="12">
        <f>IF('Raw Data'!J37="","",IF(LEN(K37)&gt;6,SQRT('Raw Data'!J37^2+N37^2),'Raw Data'!J37))</f>
        <v>22.1</v>
      </c>
      <c r="K37" s="7" t="str">
        <f>IF('Raw Data'!K37="","",IF(LEN('Raw Data'!K37)&lt;7,SUBSTITUTE('Raw Data'!K37," ",":",1),'Raw Data'!K37))</f>
        <v>20</v>
      </c>
      <c r="L37" t="str">
        <f>IF('Raw Data'!L37="","",'Raw Data'!L37)</f>
        <v/>
      </c>
      <c r="M37">
        <f>IF('Raw Data'!M37="","",'Raw Data'!M37)</f>
        <v>20.8</v>
      </c>
      <c r="N37">
        <f>IF('Raw Data'!N37="","",IF('Raw Data'!N37="-",0,'Raw Data'!N37))</f>
        <v>7.6</v>
      </c>
      <c r="O37">
        <f>IF('Raw Data'!O37="","",'Raw Data'!O37)</f>
        <v>-22.9</v>
      </c>
      <c r="P37" t="str">
        <f>IF('Raw Data'!P37="","",'Raw Data'!P37)</f>
        <v/>
      </c>
      <c r="Q37" t="str">
        <f t="shared" si="0"/>
        <v xml:space="preserve"> </v>
      </c>
      <c r="R37" s="3">
        <f t="shared" ref="R37" si="24">IF(ISERROR(FIND(":",G37)),IF(G37&lt;&gt;"-",1*G37,G37),1*LEFT(G37,FIND(":",G37)-1)+RIGHT(G37,LEN(G37)-FIND(":",G37))/60)</f>
        <v>19</v>
      </c>
      <c r="S37" s="3" t="str">
        <f t="shared" ref="S37" si="25">IF(ISERROR(FIND(":",H37)),IF(H37&lt;&gt;"-",1*H37,H37),1*LEFT(H37,FIND(":",H37)-1)+RIGHT(H37,LEN(H37)-FIND(":",H37))/60)</f>
        <v>-</v>
      </c>
      <c r="T37" s="3">
        <f t="shared" ref="T37" si="26">IF(ISERROR(FIND(":",I37)),IF(I37&lt;&gt;"-",1*I37,I37),1*LEFT(I37,FIND(":",I37)-1)+RIGHT(I37,LEN(I37)-FIND(":",I37))/60)</f>
        <v>19</v>
      </c>
      <c r="U37" s="3" t="str">
        <f t="shared" ref="U37:U39" si="27">IF(ISERROR(FIND(":",K37)),K37,1*CONCATENATE(LEFT(K37,FIND(":",K37)-1),".",MID(RIGHT(K37,LEN(K37)-FIND(":",K37))/60,3,8)))</f>
        <v>20</v>
      </c>
      <c r="W37" s="4">
        <f t="shared" si="9"/>
        <v>20.767206919368579</v>
      </c>
      <c r="X37" s="4">
        <f t="shared" si="10"/>
        <v>7.5586451674972794</v>
      </c>
      <c r="Y37" s="3">
        <f t="shared" si="7"/>
        <v>19</v>
      </c>
    </row>
    <row r="38" spans="1:25" x14ac:dyDescent="0.25">
      <c r="A38" t="str">
        <f>IF('Raw Data'!A38="","",'Raw Data'!A38)</f>
        <v>Ri</v>
      </c>
      <c r="B38" t="str">
        <f>IF('Raw Data'!B38="","",'Raw Data'!B38)</f>
        <v>Rii</v>
      </c>
      <c r="C38">
        <f>IF('Raw Data'!C38="","",'Raw Data'!C38)</f>
        <v>1</v>
      </c>
      <c r="D38">
        <f>IF('Raw Data'!D38="","",'Raw Data'!D38)</f>
        <v>0.5</v>
      </c>
      <c r="E38">
        <f>IF('Raw Data'!E38="","",'Raw Data'!E38)</f>
        <v>8</v>
      </c>
      <c r="F38">
        <f>IF('Raw Data'!F38="","",'Raw Data'!F38)</f>
        <v>8</v>
      </c>
      <c r="G38" s="7" t="str">
        <f>IF('Raw Data'!G38="","",SUBSTITUTE('Raw Data'!G38," ",":",1))</f>
        <v>315</v>
      </c>
      <c r="H38" s="7" t="str">
        <f>IF('Raw Data'!H38="","",SUBSTITUTE('Raw Data'!H38," ",":",1))</f>
        <v>-</v>
      </c>
      <c r="I38" s="7" t="str">
        <f>IF('Raw Data'!I38="","",SUBSTITUTE('Raw Data'!I38," ",":",1))</f>
        <v>315</v>
      </c>
      <c r="J38" s="12">
        <f>IF('Raw Data'!J38="","",IF(LEN(K38)&gt;6,SQRT('Raw Data'!J38^2+N38^2),'Raw Data'!J38))</f>
        <v>46</v>
      </c>
      <c r="K38" s="7" t="str">
        <f>IF('Raw Data'!K38="","",IF(LEN('Raw Data'!K38)&lt;7,SUBSTITUTE('Raw Data'!K38," ",":",1),'Raw Data'!K38))</f>
        <v>-3</v>
      </c>
      <c r="L38" t="str">
        <f>IF('Raw Data'!L38="","",'Raw Data'!L38)</f>
        <v/>
      </c>
      <c r="M38">
        <f>IF('Raw Data'!M38="","",'Raw Data'!M38)</f>
        <v>45.9</v>
      </c>
      <c r="N38">
        <f>IF('Raw Data'!N38="","",IF('Raw Data'!N38="-",0,'Raw Data'!N38))</f>
        <v>-2.4</v>
      </c>
      <c r="O38">
        <f>IF('Raw Data'!O38="","",'Raw Data'!O38)</f>
        <v>-15.5</v>
      </c>
      <c r="P38" t="str">
        <f>IF('Raw Data'!P38="","",'Raw Data'!P38)</f>
        <v>Sump on left at 41' feet</v>
      </c>
      <c r="Q38" t="str">
        <f t="shared" si="0"/>
        <v xml:space="preserve"> </v>
      </c>
      <c r="R38" s="3">
        <f t="shared" ref="R38:R71" si="28">IF(ISERROR(FIND(":",G38)),IF(G38&lt;&gt;"-",1*G38,G38),1*LEFT(G38,FIND(":",G38)-1)+RIGHT(G38,LEN(G38)-FIND(":",G38))/60)</f>
        <v>315</v>
      </c>
      <c r="S38" s="3" t="str">
        <f t="shared" ref="S38:S71" si="29">IF(ISERROR(FIND(":",H38)),IF(H38&lt;&gt;"-",1*H38,H38),1*LEFT(H38,FIND(":",H38)-1)+RIGHT(H38,LEN(H38)-FIND(":",H38))/60)</f>
        <v>-</v>
      </c>
      <c r="T38" s="3">
        <f t="shared" ref="T38:T71" si="30">IF(ISERROR(FIND(":",I38)),IF(I38&lt;&gt;"-",1*I38,I38),1*LEFT(I38,FIND(":",I38)-1)+RIGHT(I38,LEN(I38)-FIND(":",I38))/60)</f>
        <v>315</v>
      </c>
      <c r="U38" s="3" t="str">
        <f t="shared" si="27"/>
        <v>-3</v>
      </c>
      <c r="W38" s="4">
        <f t="shared" si="9"/>
        <v>45.936958598710397</v>
      </c>
      <c r="X38" s="4">
        <f t="shared" si="10"/>
        <v>-2.4074539871754159</v>
      </c>
      <c r="Y38" s="3">
        <f t="shared" si="7"/>
        <v>315</v>
      </c>
    </row>
    <row r="39" spans="1:25" x14ac:dyDescent="0.25">
      <c r="A39" t="str">
        <f>IF('Raw Data'!A39="","",'Raw Data'!A39)</f>
        <v>Rii</v>
      </c>
      <c r="B39" t="str">
        <f>IF('Raw Data'!B39="","",'Raw Data'!B39)</f>
        <v>Riii</v>
      </c>
      <c r="C39">
        <f>IF('Raw Data'!C39="","",'Raw Data'!C39)</f>
        <v>1</v>
      </c>
      <c r="D39">
        <f>IF('Raw Data'!D39="","",'Raw Data'!D39)</f>
        <v>2</v>
      </c>
      <c r="E39">
        <f>IF('Raw Data'!E39="","",'Raw Data'!E39)</f>
        <v>4</v>
      </c>
      <c r="F39">
        <f>IF('Raw Data'!F39="","",'Raw Data'!F39)</f>
        <v>4</v>
      </c>
      <c r="G39" s="7" t="str">
        <f>IF('Raw Data'!G39="","",SUBSTITUTE('Raw Data'!G39," ",":",1))</f>
        <v>348</v>
      </c>
      <c r="H39" s="7" t="str">
        <f>IF('Raw Data'!H39="","",SUBSTITUTE('Raw Data'!H39," ",":",1))</f>
        <v>-</v>
      </c>
      <c r="I39" s="7" t="str">
        <f>IF('Raw Data'!I39="","",SUBSTITUTE('Raw Data'!I39," ",":",1))</f>
        <v>348</v>
      </c>
      <c r="J39" s="12">
        <f>IF('Raw Data'!J39="","",IF(LEN(K39)&gt;6,SQRT('Raw Data'!J39^2+N39^2),'Raw Data'!J39))</f>
        <v>32</v>
      </c>
      <c r="K39" s="7" t="str">
        <f>IF('Raw Data'!K39="","",IF(LEN('Raw Data'!K39)&lt;7,SUBSTITUTE('Raw Data'!K39," ",":",1),'Raw Data'!K39))</f>
        <v>2</v>
      </c>
      <c r="L39" t="str">
        <f>IF('Raw Data'!L39="","",'Raw Data'!L39)</f>
        <v/>
      </c>
      <c r="M39">
        <f>IF('Raw Data'!M39="","",'Raw Data'!M39)</f>
        <v>32</v>
      </c>
      <c r="N39">
        <f>IF('Raw Data'!N39="","",IF('Raw Data'!N39="-",0,'Raw Data'!N39))</f>
        <v>1.1000000000000001</v>
      </c>
      <c r="O39">
        <f>IF('Raw Data'!O39="","",'Raw Data'!O39)</f>
        <v>-17.7</v>
      </c>
      <c r="P39" t="str">
        <f>IF('Raw Data'!P39="","",'Raw Data'!P39)</f>
        <v>Bearing from 3 feet to left</v>
      </c>
      <c r="Q39" t="str">
        <f t="shared" si="0"/>
        <v xml:space="preserve"> </v>
      </c>
      <c r="R39" s="3">
        <f t="shared" si="28"/>
        <v>348</v>
      </c>
      <c r="S39" s="3" t="str">
        <f t="shared" si="29"/>
        <v>-</v>
      </c>
      <c r="T39" s="3">
        <f t="shared" si="30"/>
        <v>348</v>
      </c>
      <c r="U39" s="3" t="str">
        <f t="shared" si="27"/>
        <v>2</v>
      </c>
      <c r="W39" s="4">
        <f t="shared" si="9"/>
        <v>31.980506464611064</v>
      </c>
      <c r="X39" s="4">
        <f t="shared" si="10"/>
        <v>1.116783894480031</v>
      </c>
      <c r="Y39" s="3">
        <f t="shared" si="7"/>
        <v>348</v>
      </c>
    </row>
    <row r="40" spans="1:25" x14ac:dyDescent="0.25">
      <c r="A40" t="str">
        <f>IF('Raw Data'!A40="","",'Raw Data'!A40)</f>
        <v>Riii</v>
      </c>
      <c r="B40" t="str">
        <f>IF('Raw Data'!B40="","",'Raw Data'!B40)</f>
        <v>Riv</v>
      </c>
      <c r="C40">
        <f>IF('Raw Data'!C40="","",'Raw Data'!C40)</f>
        <v>2</v>
      </c>
      <c r="D40">
        <f>IF('Raw Data'!D40="","",'Raw Data'!D40)</f>
        <v>1.5</v>
      </c>
      <c r="E40">
        <f>IF('Raw Data'!E40="","",'Raw Data'!E40)</f>
        <v>5</v>
      </c>
      <c r="F40">
        <f>IF('Raw Data'!F40="","",'Raw Data'!F40)</f>
        <v>2</v>
      </c>
      <c r="G40" s="7" t="str">
        <f>IF('Raw Data'!G40="","",SUBSTITUTE('Raw Data'!G40," ",":",1))</f>
        <v>284</v>
      </c>
      <c r="H40" s="7" t="str">
        <f>IF('Raw Data'!H40="","",SUBSTITUTE('Raw Data'!H40," ",":",1))</f>
        <v>-</v>
      </c>
      <c r="I40" s="7" t="str">
        <f>IF('Raw Data'!I40="","",SUBSTITUTE('Raw Data'!I40," ",":",1))</f>
        <v>284</v>
      </c>
      <c r="J40" s="12">
        <f>IF('Raw Data'!J40="","",IF(LEN(K40)&gt;6,SQRT('Raw Data'!J40^2+N40^2),'Raw Data'!J40))</f>
        <v>27.591484193497095</v>
      </c>
      <c r="K40" s="7" t="str">
        <f>IF('Raw Data'!K40="","",IF(LEN('Raw Data'!K40)&lt;7,SUBSTITUTE('Raw Data'!K40," ",":",1),'Raw Data'!K40))</f>
        <v>fall 4 feet</v>
      </c>
      <c r="L40" t="str">
        <f>IF('Raw Data'!L40="","",'Raw Data'!L40)</f>
        <v/>
      </c>
      <c r="M40">
        <f>IF('Raw Data'!M40="","",'Raw Data'!M40)</f>
        <v>27.3</v>
      </c>
      <c r="N40">
        <f>IF('Raw Data'!N40="","",IF('Raw Data'!N40="-",0,'Raw Data'!N40))</f>
        <v>-4</v>
      </c>
      <c r="O40">
        <f>IF('Raw Data'!O40="","",'Raw Data'!O40)</f>
        <v>-16.600000000000001</v>
      </c>
      <c r="P40" t="str">
        <f>IF('Raw Data'!P40="","",'Raw Data'!P40)</f>
        <v>Bearing from 2' to left. Iv is Muddy Sump. Dp below Sump I is 20.6 feet. Total 1127'</v>
      </c>
      <c r="Q40" t="str">
        <f t="shared" si="0"/>
        <v xml:space="preserve"> </v>
      </c>
      <c r="R40" s="3">
        <f t="shared" si="28"/>
        <v>284</v>
      </c>
      <c r="S40" s="3" t="str">
        <f t="shared" si="29"/>
        <v>-</v>
      </c>
      <c r="T40" s="3">
        <f t="shared" si="30"/>
        <v>284</v>
      </c>
      <c r="U40" s="9">
        <f>ASIN(N40/J40)*180/PI()</f>
        <v>-8.3356732078743381</v>
      </c>
      <c r="W40" s="4">
        <f t="shared" si="9"/>
        <v>27.3</v>
      </c>
      <c r="X40" s="4">
        <f t="shared" si="10"/>
        <v>-4</v>
      </c>
      <c r="Y40" s="3">
        <f t="shared" si="7"/>
        <v>284</v>
      </c>
    </row>
    <row r="41" spans="1:25" x14ac:dyDescent="0.25">
      <c r="A41" t="str">
        <f>IF('Raw Data'!A41="","",'Raw Data'!A41)</f>
        <v>a</v>
      </c>
      <c r="B41" t="str">
        <f>IF('Raw Data'!B41="","",'Raw Data'!B41)</f>
        <v>b</v>
      </c>
      <c r="C41" t="str">
        <f>IF('Raw Data'!C41="","",'Raw Data'!C41)</f>
        <v>/</v>
      </c>
      <c r="D41">
        <f>IF('Raw Data'!D41="","",'Raw Data'!D41)</f>
        <v>1</v>
      </c>
      <c r="E41">
        <f>IF('Raw Data'!E41="","",'Raw Data'!E41)</f>
        <v>3</v>
      </c>
      <c r="F41" t="str">
        <f>IF('Raw Data'!F41="","",'Raw Data'!F41)</f>
        <v>/</v>
      </c>
      <c r="G41" s="7" t="str">
        <f>IF('Raw Data'!G41="","",SUBSTITUTE('Raw Data'!G41," ",":",1))</f>
        <v>83</v>
      </c>
      <c r="H41" s="7" t="str">
        <f>IF('Raw Data'!H41="","",SUBSTITUTE('Raw Data'!H41," ",":",1))</f>
        <v>-</v>
      </c>
      <c r="I41" s="7" t="str">
        <f>IF('Raw Data'!I41="","",SUBSTITUTE('Raw Data'!I41," ",":",1))</f>
        <v>83</v>
      </c>
      <c r="J41" s="12">
        <f>IF('Raw Data'!J41="","",IF(LEN(K41)&gt;6,SQRT('Raw Data'!J41^2+N41^2),'Raw Data'!J41))</f>
        <v>43</v>
      </c>
      <c r="K41" s="7" t="str">
        <f>IF('Raw Data'!K41="","",IF(LEN('Raw Data'!K41)&lt;7,SUBSTITUTE('Raw Data'!K41," ",":",1),'Raw Data'!K41))</f>
        <v>15</v>
      </c>
      <c r="L41" t="str">
        <f>IF('Raw Data'!L41="","",'Raw Data'!L41)</f>
        <v/>
      </c>
      <c r="M41">
        <f>IF('Raw Data'!M41="","",'Raw Data'!M41)</f>
        <v>41.5</v>
      </c>
      <c r="N41">
        <f>IF('Raw Data'!N41="","",IF('Raw Data'!N41="-",0,'Raw Data'!N41))</f>
        <v>11.1</v>
      </c>
      <c r="O41">
        <f>IF('Raw Data'!O41="","",'Raw Data'!O41)</f>
        <v>-4.5999999999999996</v>
      </c>
      <c r="P41" t="str">
        <f>IF('Raw Data'!P41="","",'Raw Data'!P41)</f>
        <v>a is on N.Side of passage just before Creep I -&gt; (sketch)</v>
      </c>
      <c r="Q41" t="str">
        <f t="shared" si="0"/>
        <v xml:space="preserve"> </v>
      </c>
      <c r="R41" s="3">
        <f t="shared" si="28"/>
        <v>83</v>
      </c>
      <c r="S41" s="3" t="str">
        <f t="shared" si="29"/>
        <v>-</v>
      </c>
      <c r="T41" s="3">
        <f t="shared" si="30"/>
        <v>83</v>
      </c>
      <c r="U41" s="3" t="str">
        <f t="shared" ref="U41:U43" si="31">IF(ISERROR(FIND(":",K41)),K41,1*CONCATENATE(LEFT(K41,FIND(":",K41)-1),".",MID(RIGHT(K41,LEN(K41)-FIND(":",K41))/60,3,8)))</f>
        <v>15</v>
      </c>
      <c r="W41" s="4">
        <f t="shared" si="9"/>
        <v>41.534810530429937</v>
      </c>
      <c r="X41" s="4">
        <f t="shared" si="10"/>
        <v>11.129218939408393</v>
      </c>
      <c r="Y41" s="3">
        <f t="shared" si="7"/>
        <v>83</v>
      </c>
    </row>
    <row r="42" spans="1:25" x14ac:dyDescent="0.25">
      <c r="A42" t="str">
        <f>IF('Raw Data'!A42="","",'Raw Data'!A42)</f>
        <v>b</v>
      </c>
      <c r="B42" t="str">
        <f>IF('Raw Data'!B42="","",'Raw Data'!B42)</f>
        <v>c</v>
      </c>
      <c r="C42" t="str">
        <f>IF('Raw Data'!C42="","",'Raw Data'!C42)</f>
        <v>/</v>
      </c>
      <c r="D42">
        <f>IF('Raw Data'!D42="","",'Raw Data'!D42)</f>
        <v>2</v>
      </c>
      <c r="E42">
        <f>IF('Raw Data'!E42="","",'Raw Data'!E42)</f>
        <v>5</v>
      </c>
      <c r="F42">
        <f>IF('Raw Data'!F42="","",'Raw Data'!F42)</f>
        <v>7</v>
      </c>
      <c r="G42" s="7" t="str">
        <f>IF('Raw Data'!G42="","",SUBSTITUTE('Raw Data'!G42," ",":",1))</f>
        <v>6</v>
      </c>
      <c r="H42" s="7" t="str">
        <f>IF('Raw Data'!H42="","",SUBSTITUTE('Raw Data'!H42," ",":",1))</f>
        <v>-</v>
      </c>
      <c r="I42" s="7" t="str">
        <f>IF('Raw Data'!I42="","",SUBSTITUTE('Raw Data'!I42," ",":",1))</f>
        <v>6</v>
      </c>
      <c r="J42" s="12">
        <f>IF('Raw Data'!J42="","",IF(LEN(K42)&gt;6,SQRT('Raw Data'!J42^2+N42^2),'Raw Data'!J42))</f>
        <v>20.7</v>
      </c>
      <c r="K42" s="7" t="str">
        <f>IF('Raw Data'!K42="","",IF(LEN('Raw Data'!K42)&lt;7,SUBSTITUTE('Raw Data'!K42," ",":",1),'Raw Data'!K42))</f>
        <v>8</v>
      </c>
      <c r="L42" t="str">
        <f>IF('Raw Data'!L42="","",'Raw Data'!L42)</f>
        <v/>
      </c>
      <c r="M42">
        <f>IF('Raw Data'!M42="","",'Raw Data'!M42)</f>
        <v>20.5</v>
      </c>
      <c r="N42">
        <f>IF('Raw Data'!N42="","",IF('Raw Data'!N42="-",0,'Raw Data'!N42))</f>
        <v>2.9</v>
      </c>
      <c r="O42">
        <f>IF('Raw Data'!O42="","",'Raw Data'!O42)</f>
        <v>6.5</v>
      </c>
      <c r="P42" t="str">
        <f>IF('Raw Data'!P42="","",'Raw Data'!P42)</f>
        <v/>
      </c>
      <c r="Q42" t="str">
        <f t="shared" si="0"/>
        <v xml:space="preserve"> </v>
      </c>
      <c r="R42" s="3">
        <f t="shared" si="28"/>
        <v>6</v>
      </c>
      <c r="S42" s="3" t="str">
        <f t="shared" si="29"/>
        <v>-</v>
      </c>
      <c r="T42" s="3">
        <f t="shared" si="30"/>
        <v>6</v>
      </c>
      <c r="U42" s="3" t="str">
        <f t="shared" si="31"/>
        <v>8</v>
      </c>
      <c r="W42" s="4">
        <f t="shared" si="9"/>
        <v>20.498549022950506</v>
      </c>
      <c r="X42" s="4">
        <f t="shared" si="10"/>
        <v>2.8808831898733547</v>
      </c>
      <c r="Y42" s="3">
        <f t="shared" si="7"/>
        <v>6</v>
      </c>
    </row>
    <row r="43" spans="1:25" x14ac:dyDescent="0.25">
      <c r="A43" t="str">
        <f>IF('Raw Data'!A43="","",'Raw Data'!A43)</f>
        <v>c</v>
      </c>
      <c r="B43" t="str">
        <f>IF('Raw Data'!B43="","",'Raw Data'!B43)</f>
        <v>d</v>
      </c>
      <c r="C43" t="str">
        <f>IF('Raw Data'!C43="","",'Raw Data'!C43)</f>
        <v>/</v>
      </c>
      <c r="D43">
        <f>IF('Raw Data'!D43="","",'Raw Data'!D43)</f>
        <v>1</v>
      </c>
      <c r="E43">
        <f>IF('Raw Data'!E43="","",'Raw Data'!E43)</f>
        <v>2</v>
      </c>
      <c r="F43">
        <f>IF('Raw Data'!F43="","",'Raw Data'!F43)</f>
        <v>3</v>
      </c>
      <c r="G43" s="7" t="str">
        <f>IF('Raw Data'!G43="","",SUBSTITUTE('Raw Data'!G43," ",":",1))</f>
        <v>42</v>
      </c>
      <c r="H43" s="7" t="str">
        <f>IF('Raw Data'!H43="","",SUBSTITUTE('Raw Data'!H43," ",":",1))</f>
        <v>-</v>
      </c>
      <c r="I43" s="7" t="str">
        <f>IF('Raw Data'!I43="","",SUBSTITUTE('Raw Data'!I43," ",":",1))</f>
        <v>42</v>
      </c>
      <c r="J43" s="12">
        <f>IF('Raw Data'!J43="","",IF(LEN(K43)&gt;6,SQRT('Raw Data'!J43^2+N43^2),'Raw Data'!J43))</f>
        <v>11.3</v>
      </c>
      <c r="K43" s="7" t="str">
        <f>IF('Raw Data'!K43="","",IF(LEN('Raw Data'!K43)&lt;7,SUBSTITUTE('Raw Data'!K43," ",":",1),'Raw Data'!K43))</f>
        <v>10</v>
      </c>
      <c r="L43" t="str">
        <f>IF('Raw Data'!L43="","",'Raw Data'!L43)</f>
        <v/>
      </c>
      <c r="M43">
        <f>IF('Raw Data'!M43="","",'Raw Data'!M43)</f>
        <v>11.1</v>
      </c>
      <c r="N43">
        <f>IF('Raw Data'!N43="","",IF('Raw Data'!N43="-",0,'Raw Data'!N43))</f>
        <v>2</v>
      </c>
      <c r="O43" t="str">
        <f>IF('Raw Data'!O43="","",'Raw Data'!O43)</f>
        <v>17.5 (? indistinct)</v>
      </c>
      <c r="P43" t="str">
        <f>IF('Raw Data'!P43="","",'Raw Data'!P43)</f>
        <v/>
      </c>
      <c r="Q43" t="str">
        <f t="shared" si="0"/>
        <v xml:space="preserve"> </v>
      </c>
      <c r="R43" s="3">
        <f t="shared" si="28"/>
        <v>42</v>
      </c>
      <c r="S43" s="3" t="str">
        <f t="shared" si="29"/>
        <v>-</v>
      </c>
      <c r="T43" s="3">
        <f t="shared" si="30"/>
        <v>42</v>
      </c>
      <c r="U43" s="3" t="str">
        <f t="shared" si="31"/>
        <v>10</v>
      </c>
      <c r="W43" s="4">
        <f t="shared" si="9"/>
        <v>11.128327609037951</v>
      </c>
      <c r="X43" s="4">
        <f t="shared" si="10"/>
        <v>1.9622244076363129</v>
      </c>
      <c r="Y43" s="3">
        <f t="shared" si="7"/>
        <v>42</v>
      </c>
    </row>
    <row r="44" spans="1:25" x14ac:dyDescent="0.25">
      <c r="A44" t="str">
        <f>IF('Raw Data'!A44="","",'Raw Data'!A44)</f>
        <v>d</v>
      </c>
      <c r="B44" t="str">
        <f>IF('Raw Data'!B44="","",'Raw Data'!B44)</f>
        <v>e</v>
      </c>
      <c r="C44" t="str">
        <f>IF('Raw Data'!C44="","",'Raw Data'!C44)</f>
        <v>/</v>
      </c>
      <c r="D44">
        <f>IF('Raw Data'!D44="","",'Raw Data'!D44)</f>
        <v>0.5</v>
      </c>
      <c r="E44">
        <f>IF('Raw Data'!E44="","",'Raw Data'!E44)</f>
        <v>1</v>
      </c>
      <c r="F44" t="str">
        <f>IF('Raw Data'!F44="","",'Raw Data'!F44)</f>
        <v>/</v>
      </c>
      <c r="G44" s="7" t="str">
        <f>IF('Raw Data'!G44="","",SUBSTITUTE('Raw Data'!G44," ",":",1))</f>
        <v>139</v>
      </c>
      <c r="H44" s="7" t="str">
        <f>IF('Raw Data'!H44="","",SUBSTITUTE('Raw Data'!H44," ",":",1))</f>
        <v>-</v>
      </c>
      <c r="I44" s="7" t="str">
        <f>IF('Raw Data'!I44="","",SUBSTITUTE('Raw Data'!I44," ",":",1))</f>
        <v>139</v>
      </c>
      <c r="J44" s="12">
        <f>IF('Raw Data'!J44="","",IF(LEN(K44)&gt;6,SQRT('Raw Data'!J44^2+N44^2),'Raw Data'!J44))</f>
        <v>18.899999999999999</v>
      </c>
      <c r="K44" s="7" t="str">
        <f>IF('Raw Data'!K44="","",IF(LEN('Raw Data'!K44)&lt;7,SUBSTITUTE('Raw Data'!K44," ",":",1),'Raw Data'!K44))</f>
        <v>level</v>
      </c>
      <c r="L44" t="str">
        <f>IF('Raw Data'!L44="","",'Raw Data'!L44)</f>
        <v/>
      </c>
      <c r="M44">
        <f>IF('Raw Data'!M44="","",'Raw Data'!M44)</f>
        <v>18.899999999999999</v>
      </c>
      <c r="N44">
        <f>IF('Raw Data'!N44="","",IF('Raw Data'!N44="-",0,'Raw Data'!N44))</f>
        <v>0</v>
      </c>
      <c r="O44">
        <f>IF('Raw Data'!O44="","",'Raw Data'!O44)</f>
        <v>11.4</v>
      </c>
      <c r="P44" t="str">
        <f>IF('Raw Data'!P44="","",'Raw Data'!P44)</f>
        <v>(e) is where passage rejoins streamway. Stn 35 (p.52)-(e) is F.S. 234 (TRUE), Dist 18', Clino +45 (deg), HD 12.7, VD +12.7</v>
      </c>
      <c r="Q44" t="str">
        <f t="shared" si="0"/>
        <v xml:space="preserve"> </v>
      </c>
      <c r="R44" s="3">
        <f t="shared" si="28"/>
        <v>139</v>
      </c>
      <c r="S44" s="3" t="str">
        <f t="shared" si="29"/>
        <v>-</v>
      </c>
      <c r="T44" s="3">
        <f t="shared" si="30"/>
        <v>139</v>
      </c>
      <c r="U44" s="9">
        <f>ASIN(N44/J44)*180/PI()</f>
        <v>0</v>
      </c>
      <c r="W44" s="4">
        <f t="shared" si="9"/>
        <v>18.899999999999999</v>
      </c>
      <c r="X44" s="4">
        <f t="shared" si="10"/>
        <v>0</v>
      </c>
      <c r="Y44" s="3">
        <f t="shared" si="7"/>
        <v>139</v>
      </c>
    </row>
    <row r="45" spans="1:25" x14ac:dyDescent="0.25">
      <c r="A45" t="str">
        <f>IF('Raw Data'!A45="","",'Raw Data'!A45)</f>
        <v>d</v>
      </c>
      <c r="B45" t="str">
        <f>IF('Raw Data'!B45="","",'Raw Data'!B45)</f>
        <v>f</v>
      </c>
      <c r="C45" t="str">
        <f>IF('Raw Data'!C45="","",'Raw Data'!C45)</f>
        <v>/</v>
      </c>
      <c r="D45" t="str">
        <f>IF('Raw Data'!D45="","",'Raw Data'!D45)</f>
        <v>/</v>
      </c>
      <c r="E45" t="str">
        <f>IF('Raw Data'!E45="","",'Raw Data'!E45)</f>
        <v>/</v>
      </c>
      <c r="F45">
        <f>IF('Raw Data'!F45="","",'Raw Data'!F45)</f>
        <v>6</v>
      </c>
      <c r="G45" s="7" t="str">
        <f>IF('Raw Data'!G45="","",SUBSTITUTE('Raw Data'!G45," ",":",1))</f>
        <v>245</v>
      </c>
      <c r="H45" s="7" t="str">
        <f>IF('Raw Data'!H45="","",SUBSTITUTE('Raw Data'!H45," ",":",1))</f>
        <v>-</v>
      </c>
      <c r="I45" s="7" t="str">
        <f>IF('Raw Data'!I45="","",SUBSTITUTE('Raw Data'!I45," ",":",1))</f>
        <v>245</v>
      </c>
      <c r="J45" s="12">
        <f>IF('Raw Data'!J45="","",IF(LEN(K45)&gt;6,SQRT('Raw Data'!J45^2+N45^2),'Raw Data'!J45))</f>
        <v>10.3</v>
      </c>
      <c r="K45" s="7" t="str">
        <f>IF('Raw Data'!K45="","",IF(LEN('Raw Data'!K45)&lt;7,SUBSTITUTE('Raw Data'!K45," ",":",1),'Raw Data'!K45))</f>
        <v>60</v>
      </c>
      <c r="L45" t="str">
        <f>IF('Raw Data'!L45="","",'Raw Data'!L45)</f>
        <v/>
      </c>
      <c r="M45">
        <f>IF('Raw Data'!M45="","",'Raw Data'!M45)</f>
        <v>5.0999999999999996</v>
      </c>
      <c r="N45">
        <f>IF('Raw Data'!N45="","",IF('Raw Data'!N45="-",0,'Raw Data'!N45))</f>
        <v>8.9</v>
      </c>
      <c r="O45">
        <f>IF('Raw Data'!O45="","",'Raw Data'!O45)</f>
        <v>11.4</v>
      </c>
      <c r="P45" t="str">
        <f>IF('Raw Data'!P45="","",'Raw Data'!P45)</f>
        <v/>
      </c>
      <c r="Q45" t="str">
        <f t="shared" si="0"/>
        <v xml:space="preserve"> </v>
      </c>
      <c r="R45" s="3">
        <f t="shared" si="28"/>
        <v>245</v>
      </c>
      <c r="S45" s="3" t="str">
        <f t="shared" si="29"/>
        <v>-</v>
      </c>
      <c r="T45" s="3">
        <f t="shared" si="30"/>
        <v>245</v>
      </c>
      <c r="U45" s="3" t="str">
        <f t="shared" ref="U45" si="32">IF(ISERROR(FIND(":",K45)),K45,1*CONCATENATE(LEFT(K45,FIND(":",K45)-1),".",MID(RIGHT(K45,LEN(K45)-FIND(":",K45))/60,3,8)))</f>
        <v>60</v>
      </c>
      <c r="W45" s="4">
        <f t="shared" si="9"/>
        <v>5.1500000000000012</v>
      </c>
      <c r="X45" s="4">
        <f t="shared" si="10"/>
        <v>8.9200616589797175</v>
      </c>
      <c r="Y45" s="3">
        <f t="shared" si="7"/>
        <v>245</v>
      </c>
    </row>
    <row r="46" spans="1:25" x14ac:dyDescent="0.25">
      <c r="A46" t="str">
        <f>IF('Raw Data'!A46="","",'Raw Data'!A46)</f>
        <v>f</v>
      </c>
      <c r="B46" t="str">
        <f>IF('Raw Data'!B46="","",'Raw Data'!B46)</f>
        <v>g</v>
      </c>
      <c r="C46" t="str">
        <f>IF('Raw Data'!C46="","",'Raw Data'!C46)</f>
        <v>/</v>
      </c>
      <c r="D46" t="str">
        <f>IF('Raw Data'!D46="","",'Raw Data'!D46)</f>
        <v>/</v>
      </c>
      <c r="E46">
        <f>IF('Raw Data'!E46="","",'Raw Data'!E46)</f>
        <v>1</v>
      </c>
      <c r="F46">
        <f>IF('Raw Data'!F46="","",'Raw Data'!F46)</f>
        <v>1</v>
      </c>
      <c r="G46" s="7" t="str">
        <f>IF('Raw Data'!G46="","",SUBSTITUTE('Raw Data'!G46," ",":",1))</f>
        <v>319</v>
      </c>
      <c r="H46" s="7" t="str">
        <f>IF('Raw Data'!H46="","",SUBSTITUTE('Raw Data'!H46," ",":",1))</f>
        <v>-</v>
      </c>
      <c r="I46" s="7" t="str">
        <f>IF('Raw Data'!I46="","",SUBSTITUTE('Raw Data'!I46," ",":",1))</f>
        <v>319</v>
      </c>
      <c r="J46" s="12">
        <f>IF('Raw Data'!J46="","",IF(LEN(K46)&gt;6,SQRT('Raw Data'!J46^2+N46^2),'Raw Data'!J46))</f>
        <v>6.2</v>
      </c>
      <c r="K46" s="7" t="str">
        <f>IF('Raw Data'!K46="","",IF(LEN('Raw Data'!K46)&lt;7,SUBSTITUTE('Raw Data'!K46," ",":",1),'Raw Data'!K46))</f>
        <v>level</v>
      </c>
      <c r="L46" t="str">
        <f>IF('Raw Data'!L46="","",'Raw Data'!L46)</f>
        <v/>
      </c>
      <c r="M46">
        <f>IF('Raw Data'!M46="","",'Raw Data'!M46)</f>
        <v>6.2</v>
      </c>
      <c r="N46">
        <f>IF('Raw Data'!N46="","",IF('Raw Data'!N46="-",0,'Raw Data'!N46))</f>
        <v>0</v>
      </c>
      <c r="O46">
        <f>IF('Raw Data'!O46="","",'Raw Data'!O46)</f>
        <v>20.3</v>
      </c>
      <c r="P46" t="str">
        <f>IF('Raw Data'!P46="","",'Raw Data'!P46)</f>
        <v/>
      </c>
      <c r="Q46" t="str">
        <f t="shared" si="0"/>
        <v xml:space="preserve"> </v>
      </c>
      <c r="R46" s="3">
        <f t="shared" si="28"/>
        <v>319</v>
      </c>
      <c r="S46" s="3" t="str">
        <f t="shared" si="29"/>
        <v>-</v>
      </c>
      <c r="T46" s="3">
        <f t="shared" si="30"/>
        <v>319</v>
      </c>
      <c r="U46" s="9">
        <f>ASIN(N46/J46)*180/PI()</f>
        <v>0</v>
      </c>
      <c r="W46" s="4">
        <f t="shared" si="9"/>
        <v>6.2</v>
      </c>
      <c r="X46" s="4">
        <f t="shared" si="10"/>
        <v>0</v>
      </c>
      <c r="Y46" s="3">
        <f t="shared" si="7"/>
        <v>319</v>
      </c>
    </row>
    <row r="47" spans="1:25" x14ac:dyDescent="0.25">
      <c r="A47" t="str">
        <f>IF('Raw Data'!A47="","",'Raw Data'!A47)</f>
        <v>g</v>
      </c>
      <c r="B47" t="str">
        <f>IF('Raw Data'!B47="","",'Raw Data'!B47)</f>
        <v>h</v>
      </c>
      <c r="C47" t="str">
        <f>IF('Raw Data'!C47="","",'Raw Data'!C47)</f>
        <v>/</v>
      </c>
      <c r="D47" t="str">
        <f>IF('Raw Data'!D47="","",'Raw Data'!D47)</f>
        <v>/</v>
      </c>
      <c r="E47" t="str">
        <f>IF('Raw Data'!E47="","",'Raw Data'!E47)</f>
        <v>/</v>
      </c>
      <c r="F47">
        <f>IF('Raw Data'!F47="","",'Raw Data'!F47)</f>
        <v>2</v>
      </c>
      <c r="G47" s="7" t="str">
        <f>IF('Raw Data'!G47="","",SUBSTITUTE('Raw Data'!G47," ",":",1))</f>
        <v>237</v>
      </c>
      <c r="H47" s="7" t="str">
        <f>IF('Raw Data'!H47="","",SUBSTITUTE('Raw Data'!H47," ",":",1))</f>
        <v>-</v>
      </c>
      <c r="I47" s="7" t="str">
        <f>IF('Raw Data'!I47="","",SUBSTITUTE('Raw Data'!I47," ",":",1))</f>
        <v>237</v>
      </c>
      <c r="J47" s="12">
        <f>IF('Raw Data'!J47="","",IF(LEN(K47)&gt;6,SQRT('Raw Data'!J47^2+N47^2),'Raw Data'!J47))</f>
        <v>16</v>
      </c>
      <c r="K47" s="7" t="str">
        <f>IF('Raw Data'!K47="","",IF(LEN('Raw Data'!K47)&lt;7,SUBSTITUTE('Raw Data'!K47," ",":",1),'Raw Data'!K47))</f>
        <v>65</v>
      </c>
      <c r="L47" t="str">
        <f>IF('Raw Data'!L47="","",'Raw Data'!L47)</f>
        <v/>
      </c>
      <c r="M47">
        <f>IF('Raw Data'!M47="","",'Raw Data'!M47)</f>
        <v>6.8</v>
      </c>
      <c r="N47">
        <f>IF('Raw Data'!N47="","",IF('Raw Data'!N47="-",0,'Raw Data'!N47))</f>
        <v>14.5</v>
      </c>
      <c r="O47">
        <f>IF('Raw Data'!O47="","",'Raw Data'!O47)</f>
        <v>20.3</v>
      </c>
      <c r="P47" t="str">
        <f>IF('Raw Data'!P47="","",'Raw Data'!P47)</f>
        <v/>
      </c>
      <c r="Q47" t="str">
        <f t="shared" si="0"/>
        <v xml:space="preserve"> </v>
      </c>
      <c r="R47" s="3">
        <f t="shared" si="28"/>
        <v>237</v>
      </c>
      <c r="S47" s="3" t="str">
        <f t="shared" si="29"/>
        <v>-</v>
      </c>
      <c r="T47" s="3">
        <f t="shared" si="30"/>
        <v>237</v>
      </c>
      <c r="U47" s="3" t="str">
        <f t="shared" ref="U47" si="33">IF(ISERROR(FIND(":",K47)),K47,1*CONCATENATE(LEFT(K47,FIND(":",K47)-1),".",MID(RIGHT(K47,LEN(K47)-FIND(":",K47))/60,3,8)))</f>
        <v>65</v>
      </c>
      <c r="W47" s="4">
        <f t="shared" si="9"/>
        <v>6.7618921878511911</v>
      </c>
      <c r="X47" s="4">
        <f t="shared" si="10"/>
        <v>14.500924592586399</v>
      </c>
      <c r="Y47" s="3">
        <f t="shared" si="7"/>
        <v>237</v>
      </c>
    </row>
    <row r="48" spans="1:25" x14ac:dyDescent="0.25">
      <c r="A48" t="str">
        <f>IF('Raw Data'!A48="","",'Raw Data'!A48)</f>
        <v>h</v>
      </c>
      <c r="B48" t="str">
        <f>IF('Raw Data'!B48="","",'Raw Data'!B48)</f>
        <v>i</v>
      </c>
      <c r="C48" t="str">
        <f>IF('Raw Data'!C48="","",'Raw Data'!C48)</f>
        <v>3 (8 in aven)</v>
      </c>
      <c r="D48">
        <f>IF('Raw Data'!D48="","",'Raw Data'!D48)</f>
        <v>1</v>
      </c>
      <c r="E48">
        <f>IF('Raw Data'!E48="","",'Raw Data'!E48)</f>
        <v>1</v>
      </c>
      <c r="F48">
        <f>IF('Raw Data'!F48="","",'Raw Data'!F48)</f>
        <v>1</v>
      </c>
      <c r="G48" s="7" t="str">
        <f>IF('Raw Data'!G48="","",SUBSTITUTE('Raw Data'!G48," ",":",1))</f>
        <v>329</v>
      </c>
      <c r="H48" s="7" t="str">
        <f>IF('Raw Data'!H48="","",SUBSTITUTE('Raw Data'!H48," ",":",1))</f>
        <v>-</v>
      </c>
      <c r="I48" s="7" t="str">
        <f>IF('Raw Data'!I48="","",SUBSTITUTE('Raw Data'!I48," ",":",1))</f>
        <v>329</v>
      </c>
      <c r="J48" s="12">
        <f>IF('Raw Data'!J48="","",IF(LEN(K48)&gt;6,SQRT('Raw Data'!J48^2+N48^2),'Raw Data'!J48))</f>
        <v>46</v>
      </c>
      <c r="K48" s="7" t="str">
        <f>IF('Raw Data'!K48="","",IF(LEN('Raw Data'!K48)&lt;7,SUBSTITUTE('Raw Data'!K48," ",":",1),'Raw Data'!K48))</f>
        <v>level</v>
      </c>
      <c r="L48" t="str">
        <f>IF('Raw Data'!L48="","",'Raw Data'!L48)</f>
        <v/>
      </c>
      <c r="M48">
        <f>IF('Raw Data'!M48="","",'Raw Data'!M48)</f>
        <v>46</v>
      </c>
      <c r="N48">
        <f>IF('Raw Data'!N48="","",IF('Raw Data'!N48="-",0,'Raw Data'!N48))</f>
        <v>0</v>
      </c>
      <c r="O48">
        <f>IF('Raw Data'!O48="","",'Raw Data'!O48)</f>
        <v>34.799999999999997</v>
      </c>
      <c r="P48" t="str">
        <f>IF('Raw Data'!P48="","",'Raw Data'!P48)</f>
        <v>(i) is where passage gets too low. (some indistinct numbers follow. Too faint to read on logbook scan). Total 1207' (?)</v>
      </c>
      <c r="Q48" t="str">
        <f t="shared" si="0"/>
        <v xml:space="preserve"> </v>
      </c>
      <c r="R48" s="3">
        <f t="shared" si="28"/>
        <v>329</v>
      </c>
      <c r="S48" s="3" t="str">
        <f t="shared" si="29"/>
        <v>-</v>
      </c>
      <c r="T48" s="3">
        <f t="shared" si="30"/>
        <v>329</v>
      </c>
      <c r="U48" s="9">
        <f>ASIN(N48/J48)*180/PI()</f>
        <v>0</v>
      </c>
      <c r="W48" s="4">
        <f t="shared" si="9"/>
        <v>46</v>
      </c>
      <c r="X48" s="4">
        <f t="shared" si="10"/>
        <v>0</v>
      </c>
      <c r="Y48" s="3">
        <f t="shared" si="7"/>
        <v>329</v>
      </c>
    </row>
    <row r="49" spans="1:25" x14ac:dyDescent="0.25">
      <c r="A49" t="str">
        <f>IF('Raw Data'!A49="","",'Raw Data'!A49)</f>
        <v>M</v>
      </c>
      <c r="B49">
        <f>IF('Raw Data'!B49="","",'Raw Data'!B49)</f>
        <v>1</v>
      </c>
      <c r="C49" t="str">
        <f>IF('Raw Data'!C49="","",'Raw Data'!C49)</f>
        <v>/</v>
      </c>
      <c r="D49" t="str">
        <f>IF('Raw Data'!D49="","",'Raw Data'!D49)</f>
        <v>/</v>
      </c>
      <c r="E49" t="str">
        <f>IF('Raw Data'!E49="","",'Raw Data'!E49)</f>
        <v>/</v>
      </c>
      <c r="F49" t="str">
        <f>IF('Raw Data'!F49="","",'Raw Data'!F49)</f>
        <v>/</v>
      </c>
      <c r="G49" s="7" t="str">
        <f>IF('Raw Data'!G49="","",SUBSTITUTE('Raw Data'!G49," ",":",1))</f>
        <v>-</v>
      </c>
      <c r="H49" s="7" t="str">
        <f>IF('Raw Data'!H49="","",SUBSTITUTE('Raw Data'!H49," ",":",1))</f>
        <v>145</v>
      </c>
      <c r="I49" s="7" t="str">
        <f>IF('Raw Data'!I49="","",SUBSTITUTE('Raw Data'!I49," ",":",1))</f>
        <v>325</v>
      </c>
      <c r="J49" s="12">
        <f>IF('Raw Data'!J49="","",IF(LEN(K49)&gt;6,SQRT('Raw Data'!J49^2+N49^2),'Raw Data'!J49))</f>
        <v>11.7</v>
      </c>
      <c r="K49" s="7" t="str">
        <f>IF('Raw Data'!K49="","",IF(LEN('Raw Data'!K49)&lt;7,SUBSTITUTE('Raw Data'!K49," ",":",1),'Raw Data'!K49))</f>
        <v>-20</v>
      </c>
      <c r="L49" t="str">
        <f>IF('Raw Data'!L49="","",'Raw Data'!L49)</f>
        <v/>
      </c>
      <c r="M49">
        <f>IF('Raw Data'!M49="","",'Raw Data'!M49)</f>
        <v>10.9</v>
      </c>
      <c r="N49">
        <f>IF('Raw Data'!N49="","",IF('Raw Data'!N49="-",0,'Raw Data'!N49))</f>
        <v>-4</v>
      </c>
      <c r="O49">
        <f>IF('Raw Data'!O49="","",'Raw Data'!O49)</f>
        <v>-9.9</v>
      </c>
      <c r="P49" t="str">
        <f>IF('Raw Data'!P49="","",'Raw Data'!P49)</f>
        <v/>
      </c>
      <c r="Q49" t="str">
        <f t="shared" si="0"/>
        <v xml:space="preserve"> </v>
      </c>
      <c r="R49" s="3" t="str">
        <f t="shared" si="28"/>
        <v>-</v>
      </c>
      <c r="S49" s="3">
        <f t="shared" si="29"/>
        <v>145</v>
      </c>
      <c r="T49" s="3">
        <f t="shared" si="30"/>
        <v>325</v>
      </c>
      <c r="U49" s="3" t="str">
        <f t="shared" ref="U49:U60" si="34">IF(ISERROR(FIND(":",K49)),K49,1*CONCATENATE(LEFT(K49,FIND(":",K49)-1),".",MID(RIGHT(K49,LEN(K49)-FIND(":",K49))/60,3,8)))</f>
        <v>-20</v>
      </c>
      <c r="W49" s="4">
        <f t="shared" si="9"/>
        <v>10.994403663195127</v>
      </c>
      <c r="X49" s="4">
        <f t="shared" si="10"/>
        <v>-4.0016356769103236</v>
      </c>
      <c r="Y49" s="3">
        <f t="shared" si="7"/>
        <v>325</v>
      </c>
    </row>
    <row r="50" spans="1:25" x14ac:dyDescent="0.25">
      <c r="A50">
        <f>IF('Raw Data'!A50="","",'Raw Data'!A50)</f>
        <v>1</v>
      </c>
      <c r="B50">
        <f>IF('Raw Data'!B50="","",'Raw Data'!B50)</f>
        <v>2</v>
      </c>
      <c r="C50" t="str">
        <f>IF('Raw Data'!C50="","",'Raw Data'!C50)</f>
        <v>/</v>
      </c>
      <c r="D50">
        <f>IF('Raw Data'!D50="","",'Raw Data'!D50)</f>
        <v>2.5</v>
      </c>
      <c r="E50" t="str">
        <f>IF('Raw Data'!E50="","",'Raw Data'!E50)</f>
        <v>/</v>
      </c>
      <c r="F50" t="str">
        <f>IF('Raw Data'!F50="","",'Raw Data'!F50)</f>
        <v>/</v>
      </c>
      <c r="G50" s="7" t="str">
        <f>IF('Raw Data'!G50="","",SUBSTITUTE('Raw Data'!G50," ",":",1))</f>
        <v>35</v>
      </c>
      <c r="H50" s="7" t="str">
        <f>IF('Raw Data'!H50="","",SUBSTITUTE('Raw Data'!H50," ",":",1))</f>
        <v>-</v>
      </c>
      <c r="I50" s="7" t="str">
        <f>IF('Raw Data'!I50="","",SUBSTITUTE('Raw Data'!I50," ",":",1))</f>
        <v>35</v>
      </c>
      <c r="J50" s="12">
        <f>IF('Raw Data'!J50="","",IF(LEN(K50)&gt;6,SQRT('Raw Data'!J50^2+N50^2),'Raw Data'!J50))</f>
        <v>28.5</v>
      </c>
      <c r="K50" s="7" t="str">
        <f>IF('Raw Data'!K50="","",IF(LEN('Raw Data'!K50)&lt;7,SUBSTITUTE('Raw Data'!K50," ",":",1),'Raw Data'!K50))</f>
        <v>85</v>
      </c>
      <c r="L50" t="str">
        <f>IF('Raw Data'!L50="","",'Raw Data'!L50)</f>
        <v/>
      </c>
      <c r="M50">
        <f>IF('Raw Data'!M50="","",'Raw Data'!M50)</f>
        <v>2.5</v>
      </c>
      <c r="N50">
        <f>IF('Raw Data'!N50="","",IF('Raw Data'!N50="-",0,'Raw Data'!N50))</f>
        <v>28.4</v>
      </c>
      <c r="O50">
        <f>IF('Raw Data'!O50="","",'Raw Data'!O50)</f>
        <v>13.9</v>
      </c>
      <c r="P50" t="str">
        <f>IF('Raw Data'!P50="","",'Raw Data'!P50)</f>
        <v/>
      </c>
      <c r="Q50" t="str">
        <f t="shared" si="0"/>
        <v xml:space="preserve"> </v>
      </c>
      <c r="R50" s="3">
        <f t="shared" si="28"/>
        <v>35</v>
      </c>
      <c r="S50" s="3" t="str">
        <f t="shared" si="29"/>
        <v>-</v>
      </c>
      <c r="T50" s="3">
        <f t="shared" si="30"/>
        <v>35</v>
      </c>
      <c r="U50" s="3" t="str">
        <f t="shared" si="34"/>
        <v>85</v>
      </c>
      <c r="W50" s="4">
        <f t="shared" si="9"/>
        <v>2.4839386683082569</v>
      </c>
      <c r="X50" s="4">
        <f t="shared" si="10"/>
        <v>28.391548895614747</v>
      </c>
      <c r="Y50" s="3">
        <f t="shared" si="7"/>
        <v>35</v>
      </c>
    </row>
    <row r="51" spans="1:25" x14ac:dyDescent="0.25">
      <c r="A51">
        <f>IF('Raw Data'!A51="","",'Raw Data'!A51)</f>
        <v>2</v>
      </c>
      <c r="B51">
        <f>IF('Raw Data'!B51="","",'Raw Data'!B51)</f>
        <v>3</v>
      </c>
      <c r="C51">
        <f>IF('Raw Data'!C51="","",'Raw Data'!C51)</f>
        <v>4</v>
      </c>
      <c r="D51" t="str">
        <f>IF('Raw Data'!D51="","",'Raw Data'!D51)</f>
        <v>-</v>
      </c>
      <c r="E51">
        <f>IF('Raw Data'!E51="","",'Raw Data'!E51)</f>
        <v>2</v>
      </c>
      <c r="F51">
        <f>IF('Raw Data'!F51="","",'Raw Data'!F51)</f>
        <v>2</v>
      </c>
      <c r="G51" s="7" t="str">
        <f>IF('Raw Data'!G51="","",SUBSTITUTE('Raw Data'!G51," ",":",1))</f>
        <v>-</v>
      </c>
      <c r="H51" s="7" t="str">
        <f>IF('Raw Data'!H51="","",SUBSTITUTE('Raw Data'!H51," ",":",1))</f>
        <v>230</v>
      </c>
      <c r="I51" s="7" t="str">
        <f>IF('Raw Data'!I51="","",SUBSTITUTE('Raw Data'!I51," ",":",1))</f>
        <v>50</v>
      </c>
      <c r="J51" s="12">
        <f>IF('Raw Data'!J51="","",IF(LEN(K51)&gt;6,SQRT('Raw Data'!J51^2+N51^2),'Raw Data'!J51))</f>
        <v>19.899999999999999</v>
      </c>
      <c r="K51" s="7" t="str">
        <f>IF('Raw Data'!K51="","",IF(LEN('Raw Data'!K51)&lt;7,SUBSTITUTE('Raw Data'!K51," ",":",1),'Raw Data'!K51))</f>
        <v>16</v>
      </c>
      <c r="L51" t="str">
        <f>IF('Raw Data'!L51="","",'Raw Data'!L51)</f>
        <v/>
      </c>
      <c r="M51">
        <f>IF('Raw Data'!M51="","",'Raw Data'!M51)</f>
        <v>19.100000000000001</v>
      </c>
      <c r="N51">
        <f>IF('Raw Data'!N51="","",IF('Raw Data'!N51="-",0,'Raw Data'!N51))</f>
        <v>5.5</v>
      </c>
      <c r="O51" t="str">
        <f>IF('Raw Data'!O51="","",'Raw Data'!O51)</f>
        <v>+</v>
      </c>
      <c r="P51" t="str">
        <f>IF('Raw Data'!P51="","",'Raw Data'!P51)</f>
        <v>2 is on lip of Approach passage. Little passage starts 15 back.</v>
      </c>
      <c r="Q51" t="str">
        <f t="shared" si="0"/>
        <v xml:space="preserve"> </v>
      </c>
      <c r="R51" s="3" t="str">
        <f t="shared" si="28"/>
        <v>-</v>
      </c>
      <c r="S51" s="3">
        <f t="shared" si="29"/>
        <v>230</v>
      </c>
      <c r="T51" s="3">
        <f t="shared" si="30"/>
        <v>50</v>
      </c>
      <c r="U51" s="3" t="str">
        <f t="shared" si="34"/>
        <v>16</v>
      </c>
      <c r="W51" s="4">
        <f t="shared" si="9"/>
        <v>19.129107749172544</v>
      </c>
      <c r="X51" s="4">
        <f t="shared" si="10"/>
        <v>5.4851833807582828</v>
      </c>
      <c r="Y51" s="3">
        <f t="shared" si="7"/>
        <v>50</v>
      </c>
    </row>
    <row r="52" spans="1:25" x14ac:dyDescent="0.25">
      <c r="A52">
        <f>IF('Raw Data'!A52="","",'Raw Data'!A52)</f>
        <v>3</v>
      </c>
      <c r="B52">
        <f>IF('Raw Data'!B52="","",'Raw Data'!B52)</f>
        <v>4</v>
      </c>
      <c r="C52">
        <f>IF('Raw Data'!C52="","",'Raw Data'!C52)</f>
        <v>2</v>
      </c>
      <c r="D52">
        <f>IF('Raw Data'!D52="","",'Raw Data'!D52)</f>
        <v>1</v>
      </c>
      <c r="E52">
        <f>IF('Raw Data'!E52="","",'Raw Data'!E52)</f>
        <v>2</v>
      </c>
      <c r="F52">
        <f>IF('Raw Data'!F52="","",'Raw Data'!F52)</f>
        <v>2</v>
      </c>
      <c r="G52" s="7" t="str">
        <f>IF('Raw Data'!G52="","",SUBSTITUTE('Raw Data'!G52," ",":",1))</f>
        <v>122</v>
      </c>
      <c r="H52" s="7" t="str">
        <f>IF('Raw Data'!H52="","",SUBSTITUTE('Raw Data'!H52," ",":",1))</f>
        <v>-</v>
      </c>
      <c r="I52" s="7" t="str">
        <f>IF('Raw Data'!I52="","",SUBSTITUTE('Raw Data'!I52," ",":",1))</f>
        <v>122</v>
      </c>
      <c r="J52" s="12">
        <f>IF('Raw Data'!J52="","",IF(LEN(K52)&gt;6,SQRT('Raw Data'!J52^2+N52^2),'Raw Data'!J52))</f>
        <v>16</v>
      </c>
      <c r="K52" s="7" t="str">
        <f>IF('Raw Data'!K52="","",IF(LEN('Raw Data'!K52)&lt;7,SUBSTITUTE('Raw Data'!K52," ",":",1),'Raw Data'!K52))</f>
        <v>7</v>
      </c>
      <c r="L52" t="str">
        <f>IF('Raw Data'!L52="","",'Raw Data'!L52)</f>
        <v/>
      </c>
      <c r="M52">
        <f>IF('Raw Data'!M52="","",'Raw Data'!M52)</f>
        <v>15.9</v>
      </c>
      <c r="N52">
        <f>IF('Raw Data'!N52="","",IF('Raw Data'!N52="-",0,'Raw Data'!N52))</f>
        <v>1.9</v>
      </c>
      <c r="O52">
        <f>IF('Raw Data'!O52="","",'Raw Data'!O52)</f>
        <v>22</v>
      </c>
      <c r="P52" t="str">
        <f>IF('Raw Data'!P52="","",'Raw Data'!P52)</f>
        <v>3 - 12 Trench up to 2 feet deep in floor of this passage</v>
      </c>
      <c r="Q52" t="str">
        <f t="shared" si="0"/>
        <v xml:space="preserve"> </v>
      </c>
      <c r="R52" s="3">
        <f t="shared" si="28"/>
        <v>122</v>
      </c>
      <c r="S52" s="3" t="str">
        <f t="shared" si="29"/>
        <v>-</v>
      </c>
      <c r="T52" s="3">
        <f t="shared" si="30"/>
        <v>122</v>
      </c>
      <c r="U52" s="3" t="str">
        <f t="shared" si="34"/>
        <v>7</v>
      </c>
      <c r="W52" s="4">
        <f t="shared" si="9"/>
        <v>15.880738426261152</v>
      </c>
      <c r="X52" s="4">
        <f t="shared" si="10"/>
        <v>1.9499094944823596</v>
      </c>
      <c r="Y52" s="3">
        <f t="shared" si="7"/>
        <v>122</v>
      </c>
    </row>
    <row r="53" spans="1:25" x14ac:dyDescent="0.25">
      <c r="A53">
        <f>IF('Raw Data'!A53="","",'Raw Data'!A53)</f>
        <v>4</v>
      </c>
      <c r="B53">
        <f>IF('Raw Data'!B53="","",'Raw Data'!B53)</f>
        <v>5</v>
      </c>
      <c r="C53">
        <f>IF('Raw Data'!C53="","",'Raw Data'!C53)</f>
        <v>2</v>
      </c>
      <c r="D53">
        <f>IF('Raw Data'!D53="","",'Raw Data'!D53)</f>
        <v>1</v>
      </c>
      <c r="E53">
        <f>IF('Raw Data'!E53="","",'Raw Data'!E53)</f>
        <v>2</v>
      </c>
      <c r="F53">
        <f>IF('Raw Data'!F53="","",'Raw Data'!F53)</f>
        <v>4</v>
      </c>
      <c r="G53" s="7" t="str">
        <f>IF('Raw Data'!G53="","",SUBSTITUTE('Raw Data'!G53," ",":",1))</f>
        <v>59</v>
      </c>
      <c r="H53" s="7" t="str">
        <f>IF('Raw Data'!H53="","",SUBSTITUTE('Raw Data'!H53," ",":",1))</f>
        <v>-</v>
      </c>
      <c r="I53" s="7" t="str">
        <f>IF('Raw Data'!I53="","",SUBSTITUTE('Raw Data'!I53," ",":",1))</f>
        <v>59</v>
      </c>
      <c r="J53" s="12">
        <f>IF('Raw Data'!J53="","",IF(LEN(K53)&gt;6,SQRT('Raw Data'!J53^2+N53^2),'Raw Data'!J53))</f>
        <v>18</v>
      </c>
      <c r="K53" s="7" t="str">
        <f>IF('Raw Data'!K53="","",IF(LEN('Raw Data'!K53)&lt;7,SUBSTITUTE('Raw Data'!K53," ",":",1),'Raw Data'!K53))</f>
        <v>15</v>
      </c>
      <c r="L53" t="str">
        <f>IF('Raw Data'!L53="","",'Raw Data'!L53)</f>
        <v/>
      </c>
      <c r="M53">
        <f>IF('Raw Data'!M53="","",'Raw Data'!M53)</f>
        <v>17.399999999999999</v>
      </c>
      <c r="N53">
        <f>IF('Raw Data'!N53="","",IF('Raw Data'!N53="-",0,'Raw Data'!N53))</f>
        <v>4.7</v>
      </c>
      <c r="O53">
        <f>IF('Raw Data'!O53="","",'Raw Data'!O53)</f>
        <v>26.9</v>
      </c>
      <c r="P53" t="str">
        <f>IF('Raw Data'!P53="","",'Raw Data'!P53)</f>
        <v>Little passage off to South from 4</v>
      </c>
      <c r="Q53" t="str">
        <f t="shared" si="0"/>
        <v xml:space="preserve"> </v>
      </c>
      <c r="R53" s="3">
        <f t="shared" si="28"/>
        <v>59</v>
      </c>
      <c r="S53" s="3" t="str">
        <f t="shared" si="29"/>
        <v>-</v>
      </c>
      <c r="T53" s="3">
        <f t="shared" si="30"/>
        <v>59</v>
      </c>
      <c r="U53" s="3" t="str">
        <f t="shared" si="34"/>
        <v>15</v>
      </c>
      <c r="W53" s="4">
        <f t="shared" si="9"/>
        <v>17.38666487320323</v>
      </c>
      <c r="X53" s="4">
        <f t="shared" si="10"/>
        <v>4.6587428118453733</v>
      </c>
      <c r="Y53" s="3">
        <f t="shared" si="7"/>
        <v>59</v>
      </c>
    </row>
    <row r="54" spans="1:25" x14ac:dyDescent="0.25">
      <c r="A54">
        <f>IF('Raw Data'!A54="","",'Raw Data'!A54)</f>
        <v>5</v>
      </c>
      <c r="B54">
        <f>IF('Raw Data'!B54="","",'Raw Data'!B54)</f>
        <v>6</v>
      </c>
      <c r="C54" t="str">
        <f>IF('Raw Data'!C54="","",'Raw Data'!C54)</f>
        <v>/</v>
      </c>
      <c r="D54">
        <f>IF('Raw Data'!D54="","",'Raw Data'!D54)</f>
        <v>1</v>
      </c>
      <c r="E54" t="str">
        <f>IF('Raw Data'!E54="","",'Raw Data'!E54)</f>
        <v>/</v>
      </c>
      <c r="F54" t="str">
        <f>IF('Raw Data'!F54="","",'Raw Data'!F54)</f>
        <v>/</v>
      </c>
      <c r="G54" s="7" t="str">
        <f>IF('Raw Data'!G54="","",SUBSTITUTE('Raw Data'!G54," ",":",1))</f>
        <v>17</v>
      </c>
      <c r="H54" s="7" t="str">
        <f>IF('Raw Data'!H54="","",SUBSTITUTE('Raw Data'!H54," ",":",1))</f>
        <v>-</v>
      </c>
      <c r="I54" s="7" t="str">
        <f>IF('Raw Data'!I54="","",SUBSTITUTE('Raw Data'!I54," ",":",1))</f>
        <v>17</v>
      </c>
      <c r="J54" s="12">
        <f>IF('Raw Data'!J54="","",IF(LEN(K54)&gt;6,SQRT('Raw Data'!J54^2+N54^2),'Raw Data'!J54))</f>
        <v>9.5</v>
      </c>
      <c r="K54" s="7" t="str">
        <f>IF('Raw Data'!K54="","",IF(LEN('Raw Data'!K54)&lt;7,SUBSTITUTE('Raw Data'!K54," ",":",1),'Raw Data'!K54))</f>
        <v>10</v>
      </c>
      <c r="L54" t="str">
        <f>IF('Raw Data'!L54="","",'Raw Data'!L54)</f>
        <v/>
      </c>
      <c r="M54">
        <f>IF('Raw Data'!M54="","",'Raw Data'!M54)</f>
        <v>9.4</v>
      </c>
      <c r="N54">
        <f>IF('Raw Data'!N54="","",IF('Raw Data'!N54="-",0,'Raw Data'!N54))</f>
        <v>1.6</v>
      </c>
      <c r="O54">
        <f>IF('Raw Data'!O54="","",'Raw Data'!O54)</f>
        <v>33.6</v>
      </c>
      <c r="P54" t="str">
        <f>IF('Raw Data'!P54="","",'Raw Data'!P54)</f>
        <v/>
      </c>
      <c r="Q54" t="str">
        <f t="shared" si="0"/>
        <v xml:space="preserve"> </v>
      </c>
      <c r="R54" s="3">
        <f t="shared" si="28"/>
        <v>17</v>
      </c>
      <c r="S54" s="3" t="str">
        <f t="shared" si="29"/>
        <v>-</v>
      </c>
      <c r="T54" s="3">
        <f t="shared" si="30"/>
        <v>17</v>
      </c>
      <c r="U54" s="3" t="str">
        <f t="shared" si="34"/>
        <v>10</v>
      </c>
      <c r="W54" s="4">
        <f t="shared" si="9"/>
        <v>9.3556736536159768</v>
      </c>
      <c r="X54" s="4">
        <f t="shared" si="10"/>
        <v>1.6496576878358382</v>
      </c>
      <c r="Y54" s="3">
        <f t="shared" si="7"/>
        <v>17</v>
      </c>
    </row>
    <row r="55" spans="1:25" x14ac:dyDescent="0.25">
      <c r="A55">
        <f>IF('Raw Data'!A55="","",'Raw Data'!A55)</f>
        <v>6</v>
      </c>
      <c r="B55">
        <f>IF('Raw Data'!B55="","",'Raw Data'!B55)</f>
        <v>7</v>
      </c>
      <c r="C55">
        <f>IF('Raw Data'!C55="","",'Raw Data'!C55)</f>
        <v>2</v>
      </c>
      <c r="D55">
        <f>IF('Raw Data'!D55="","",'Raw Data'!D55)</f>
        <v>0.5</v>
      </c>
      <c r="E55">
        <f>IF('Raw Data'!E55="","",'Raw Data'!E55)</f>
        <v>3</v>
      </c>
      <c r="F55">
        <f>IF('Raw Data'!F55="","",'Raw Data'!F55)</f>
        <v>1</v>
      </c>
      <c r="G55" s="7" t="str">
        <f>IF('Raw Data'!G55="","",SUBSTITUTE('Raw Data'!G55," ",":",1))</f>
        <v>46</v>
      </c>
      <c r="H55" s="7" t="str">
        <f>IF('Raw Data'!H55="","",SUBSTITUTE('Raw Data'!H55," ",":",1))</f>
        <v>-</v>
      </c>
      <c r="I55" s="7" t="str">
        <f>IF('Raw Data'!I55="","",SUBSTITUTE('Raw Data'!I55," ",":",1))</f>
        <v>46</v>
      </c>
      <c r="J55" s="12">
        <f>IF('Raw Data'!J55="","",IF(LEN(K55)&gt;6,SQRT('Raw Data'!J55^2+N55^2),'Raw Data'!J55))</f>
        <v>13.5</v>
      </c>
      <c r="K55" s="7" t="str">
        <f>IF('Raw Data'!K55="","",IF(LEN('Raw Data'!K55)&lt;7,SUBSTITUTE('Raw Data'!K55," ",":",1),'Raw Data'!K55))</f>
        <v>17</v>
      </c>
      <c r="L55" t="str">
        <f>IF('Raw Data'!L55="","",'Raw Data'!L55)</f>
        <v/>
      </c>
      <c r="M55">
        <f>IF('Raw Data'!M55="","",'Raw Data'!M55)</f>
        <v>12.9</v>
      </c>
      <c r="N55">
        <f>IF('Raw Data'!N55="","",IF('Raw Data'!N55="-",0,'Raw Data'!N55))</f>
        <v>4</v>
      </c>
      <c r="O55">
        <f>IF('Raw Data'!O55="","",'Raw Data'!O55)</f>
        <v>38.200000000000003</v>
      </c>
      <c r="P55" t="str">
        <f>IF('Raw Data'!P55="","",'Raw Data'!P55)</f>
        <v/>
      </c>
      <c r="Q55" t="str">
        <f t="shared" si="0"/>
        <v xml:space="preserve"> </v>
      </c>
      <c r="R55" s="3">
        <f t="shared" si="28"/>
        <v>46</v>
      </c>
      <c r="S55" s="3" t="str">
        <f t="shared" si="29"/>
        <v>-</v>
      </c>
      <c r="T55" s="3">
        <f t="shared" si="30"/>
        <v>46</v>
      </c>
      <c r="U55" s="3" t="str">
        <f t="shared" si="34"/>
        <v>17</v>
      </c>
      <c r="W55" s="4">
        <f t="shared" si="9"/>
        <v>12.910114205500978</v>
      </c>
      <c r="X55" s="4">
        <f t="shared" si="10"/>
        <v>3.9470180137569466</v>
      </c>
      <c r="Y55" s="3">
        <f t="shared" si="7"/>
        <v>46</v>
      </c>
    </row>
    <row r="56" spans="1:25" x14ac:dyDescent="0.25">
      <c r="A56">
        <f>IF('Raw Data'!A56="","",'Raw Data'!A56)</f>
        <v>7</v>
      </c>
      <c r="B56">
        <f>IF('Raw Data'!B56="","",'Raw Data'!B56)</f>
        <v>8</v>
      </c>
      <c r="C56">
        <f>IF('Raw Data'!C56="","",'Raw Data'!C56)</f>
        <v>2</v>
      </c>
      <c r="D56">
        <f>IF('Raw Data'!D56="","",'Raw Data'!D56)</f>
        <v>0.5</v>
      </c>
      <c r="E56">
        <f>IF('Raw Data'!E56="","",'Raw Data'!E56)</f>
        <v>1</v>
      </c>
      <c r="F56">
        <f>IF('Raw Data'!F56="","",'Raw Data'!F56)</f>
        <v>2</v>
      </c>
      <c r="G56" s="7" t="str">
        <f>IF('Raw Data'!G56="","",SUBSTITUTE('Raw Data'!G56," ",":",1))</f>
        <v>74</v>
      </c>
      <c r="H56" s="7" t="str">
        <f>IF('Raw Data'!H56="","",SUBSTITUTE('Raw Data'!H56," ",":",1))</f>
        <v>-</v>
      </c>
      <c r="I56" s="7" t="str">
        <f>IF('Raw Data'!I56="","",SUBSTITUTE('Raw Data'!I56," ",":",1))</f>
        <v>74</v>
      </c>
      <c r="J56" s="12">
        <f>IF('Raw Data'!J56="","",IF(LEN(K56)&gt;6,SQRT('Raw Data'!J56^2+N56^2),'Raw Data'!J56))</f>
        <v>24.2</v>
      </c>
      <c r="K56" s="7" t="str">
        <f>IF('Raw Data'!K56="","",IF(LEN('Raw Data'!K56)&lt;7,SUBSTITUTE('Raw Data'!K56," ",":",1),'Raw Data'!K56))</f>
        <v>13</v>
      </c>
      <c r="L56" t="str">
        <f>IF('Raw Data'!L56="","",'Raw Data'!L56)</f>
        <v/>
      </c>
      <c r="M56">
        <f>IF('Raw Data'!M56="","",'Raw Data'!M56)</f>
        <v>23.6</v>
      </c>
      <c r="N56">
        <f>IF('Raw Data'!N56="","",IF('Raw Data'!N56="-",0,'Raw Data'!N56))</f>
        <v>5.4</v>
      </c>
      <c r="O56">
        <f>IF('Raw Data'!O56="","",'Raw Data'!O56)</f>
        <v>46.2</v>
      </c>
      <c r="P56" t="str">
        <f>IF('Raw Data'!P56="","",'Raw Data'!P56)</f>
        <v/>
      </c>
      <c r="Q56" t="str">
        <f t="shared" si="0"/>
        <v xml:space="preserve"> </v>
      </c>
      <c r="R56" s="3">
        <f t="shared" si="28"/>
        <v>74</v>
      </c>
      <c r="S56" s="3" t="str">
        <f t="shared" si="29"/>
        <v>-</v>
      </c>
      <c r="T56" s="3">
        <f t="shared" si="30"/>
        <v>74</v>
      </c>
      <c r="U56" s="3" t="str">
        <f t="shared" si="34"/>
        <v>13</v>
      </c>
      <c r="W56" s="4">
        <f t="shared" si="9"/>
        <v>23.579755567802692</v>
      </c>
      <c r="X56" s="4">
        <f t="shared" si="10"/>
        <v>5.4438155151215328</v>
      </c>
      <c r="Y56" s="3">
        <f t="shared" si="7"/>
        <v>74</v>
      </c>
    </row>
    <row r="57" spans="1:25" x14ac:dyDescent="0.25">
      <c r="A57">
        <f>IF('Raw Data'!A57="","",'Raw Data'!A57)</f>
        <v>8</v>
      </c>
      <c r="B57">
        <f>IF('Raw Data'!B57="","",'Raw Data'!B57)</f>
        <v>9</v>
      </c>
      <c r="C57">
        <f>IF('Raw Data'!C57="","",'Raw Data'!C57)</f>
        <v>3</v>
      </c>
      <c r="D57">
        <f>IF('Raw Data'!D57="","",'Raw Data'!D57)</f>
        <v>0.5</v>
      </c>
      <c r="E57">
        <f>IF('Raw Data'!E57="","",'Raw Data'!E57)</f>
        <v>2</v>
      </c>
      <c r="F57">
        <f>IF('Raw Data'!F57="","",'Raw Data'!F57)</f>
        <v>1</v>
      </c>
      <c r="G57" s="7" t="str">
        <f>IF('Raw Data'!G57="","",SUBSTITUTE('Raw Data'!G57," ",":",1))</f>
        <v>137</v>
      </c>
      <c r="H57" s="7" t="str">
        <f>IF('Raw Data'!H57="","",SUBSTITUTE('Raw Data'!H57," ",":",1))</f>
        <v>-</v>
      </c>
      <c r="I57" s="7" t="str">
        <f>IF('Raw Data'!I57="","",SUBSTITUTE('Raw Data'!I57," ",":",1))</f>
        <v>137</v>
      </c>
      <c r="J57" s="12">
        <f>IF('Raw Data'!J57="","",IF(LEN(K57)&gt;6,SQRT('Raw Data'!J57^2+N57^2),'Raw Data'!J57))</f>
        <v>8.8000000000000007</v>
      </c>
      <c r="K57" s="7" t="str">
        <f>IF('Raw Data'!K57="","",IF(LEN('Raw Data'!K57)&lt;7,SUBSTITUTE('Raw Data'!K57," ",":",1),'Raw Data'!K57))</f>
        <v>10</v>
      </c>
      <c r="L57" t="str">
        <f>IF('Raw Data'!L57="","",'Raw Data'!L57)</f>
        <v/>
      </c>
      <c r="M57">
        <f>IF('Raw Data'!M57="","",'Raw Data'!M57)</f>
        <v>8.6999999999999993</v>
      </c>
      <c r="N57">
        <f>IF('Raw Data'!N57="","",IF('Raw Data'!N57="-",0,'Raw Data'!N57))</f>
        <v>1.5</v>
      </c>
      <c r="O57">
        <f>IF('Raw Data'!O57="","",'Raw Data'!O57)</f>
        <v>52.6</v>
      </c>
      <c r="P57" t="str">
        <f>IF('Raw Data'!P57="","",'Raw Data'!P57)</f>
        <v/>
      </c>
      <c r="Q57" t="str">
        <f t="shared" si="0"/>
        <v xml:space="preserve"> </v>
      </c>
      <c r="R57" s="3">
        <f t="shared" si="28"/>
        <v>137</v>
      </c>
      <c r="S57" s="3" t="str">
        <f t="shared" si="29"/>
        <v>-</v>
      </c>
      <c r="T57" s="3">
        <f t="shared" si="30"/>
        <v>137</v>
      </c>
      <c r="U57" s="3" t="str">
        <f t="shared" si="34"/>
        <v>10</v>
      </c>
      <c r="W57" s="4">
        <f t="shared" si="9"/>
        <v>8.6663082265074305</v>
      </c>
      <c r="X57" s="4">
        <f t="shared" si="10"/>
        <v>1.528103963468987</v>
      </c>
      <c r="Y57" s="3">
        <f t="shared" si="7"/>
        <v>137</v>
      </c>
    </row>
    <row r="58" spans="1:25" x14ac:dyDescent="0.25">
      <c r="A58">
        <f>IF('Raw Data'!A58="","",'Raw Data'!A58)</f>
        <v>9</v>
      </c>
      <c r="B58">
        <f>IF('Raw Data'!B58="","",'Raw Data'!B58)</f>
        <v>10</v>
      </c>
      <c r="C58">
        <f>IF('Raw Data'!C58="","",'Raw Data'!C58)</f>
        <v>2</v>
      </c>
      <c r="D58">
        <f>IF('Raw Data'!D58="","",'Raw Data'!D58)</f>
        <v>0.5</v>
      </c>
      <c r="E58">
        <f>IF('Raw Data'!E58="","",'Raw Data'!E58)</f>
        <v>2</v>
      </c>
      <c r="F58">
        <f>IF('Raw Data'!F58="","",'Raw Data'!F58)</f>
        <v>2</v>
      </c>
      <c r="G58" s="7" t="str">
        <f>IF('Raw Data'!G58="","",SUBSTITUTE('Raw Data'!G58," ",":",1))</f>
        <v>89</v>
      </c>
      <c r="H58" s="7" t="str">
        <f>IF('Raw Data'!H58="","",SUBSTITUTE('Raw Data'!H58," ",":",1))</f>
        <v>-</v>
      </c>
      <c r="I58" s="7" t="str">
        <f>IF('Raw Data'!I58="","",SUBSTITUTE('Raw Data'!I58," ",":",1))</f>
        <v>89</v>
      </c>
      <c r="J58" s="12">
        <f>IF('Raw Data'!J58="","",IF(LEN(K58)&gt;6,SQRT('Raw Data'!J58^2+N58^2),'Raw Data'!J58))</f>
        <v>19.8</v>
      </c>
      <c r="K58" s="7" t="str">
        <f>IF('Raw Data'!K58="","",IF(LEN('Raw Data'!K58)&lt;7,SUBSTITUTE('Raw Data'!K58," ",":",1),'Raw Data'!K58))</f>
        <v>15</v>
      </c>
      <c r="L58" t="str">
        <f>IF('Raw Data'!L58="","",'Raw Data'!L58)</f>
        <v/>
      </c>
      <c r="M58">
        <f>IF('Raw Data'!M58="","",'Raw Data'!M58)</f>
        <v>19.100000000000001</v>
      </c>
      <c r="N58">
        <f>IF('Raw Data'!N58="","",IF('Raw Data'!N58="-",0,'Raw Data'!N58))</f>
        <v>5.0999999999999996</v>
      </c>
      <c r="O58">
        <f>IF('Raw Data'!O58="","",'Raw Data'!O58)</f>
        <v>56.1</v>
      </c>
      <c r="P58" t="str">
        <f>IF('Raw Data'!P58="","",'Raw Data'!P58)</f>
        <v/>
      </c>
      <c r="Q58" t="str">
        <f t="shared" si="0"/>
        <v xml:space="preserve"> </v>
      </c>
      <c r="R58" s="3">
        <f t="shared" si="28"/>
        <v>89</v>
      </c>
      <c r="S58" s="3" t="str">
        <f t="shared" si="29"/>
        <v>-</v>
      </c>
      <c r="T58" s="3">
        <f t="shared" si="30"/>
        <v>89</v>
      </c>
      <c r="U58" s="3" t="str">
        <f t="shared" si="34"/>
        <v>15</v>
      </c>
      <c r="W58" s="4">
        <f t="shared" si="9"/>
        <v>19.125331360523553</v>
      </c>
      <c r="X58" s="4">
        <f t="shared" si="10"/>
        <v>5.1246170930299106</v>
      </c>
      <c r="Y58" s="3">
        <f t="shared" si="7"/>
        <v>89</v>
      </c>
    </row>
    <row r="59" spans="1:25" x14ac:dyDescent="0.25">
      <c r="A59">
        <f>IF('Raw Data'!A59="","",'Raw Data'!A59)</f>
        <v>10</v>
      </c>
      <c r="B59">
        <f>IF('Raw Data'!B59="","",'Raw Data'!B59)</f>
        <v>11</v>
      </c>
      <c r="C59" t="str">
        <f>IF('Raw Data'!C59="","",'Raw Data'!C59)</f>
        <v>/</v>
      </c>
      <c r="D59">
        <f>IF('Raw Data'!D59="","",'Raw Data'!D59)</f>
        <v>0.5</v>
      </c>
      <c r="E59">
        <f>IF('Raw Data'!E59="","",'Raw Data'!E59)</f>
        <v>1</v>
      </c>
      <c r="F59">
        <f>IF('Raw Data'!F59="","",'Raw Data'!F59)</f>
        <v>3</v>
      </c>
      <c r="G59" s="7" t="str">
        <f>IF('Raw Data'!G59="","",SUBSTITUTE('Raw Data'!G59," ",":",1))</f>
        <v>26</v>
      </c>
      <c r="H59" s="7" t="str">
        <f>IF('Raw Data'!H59="","",SUBSTITUTE('Raw Data'!H59," ",":",1))</f>
        <v>-</v>
      </c>
      <c r="I59" s="7" t="str">
        <f>IF('Raw Data'!I59="","",SUBSTITUTE('Raw Data'!I59," ",":",1))</f>
        <v>26</v>
      </c>
      <c r="J59" s="12">
        <f>IF('Raw Data'!J59="","",IF(LEN(K59)&gt;6,SQRT('Raw Data'!J59^2+N59^2),'Raw Data'!J59))</f>
        <v>9</v>
      </c>
      <c r="K59" s="7" t="str">
        <f>IF('Raw Data'!K59="","",IF(LEN('Raw Data'!K59)&lt;7,SUBSTITUTE('Raw Data'!K59," ",":",1),'Raw Data'!K59))</f>
        <v>12</v>
      </c>
      <c r="L59" t="str">
        <f>IF('Raw Data'!L59="","",'Raw Data'!L59)</f>
        <v/>
      </c>
      <c r="M59">
        <f>IF('Raw Data'!M59="","",'Raw Data'!M59)</f>
        <v>8.8000000000000007</v>
      </c>
      <c r="N59">
        <f>IF('Raw Data'!N59="","",IF('Raw Data'!N59="-",0,'Raw Data'!N59))</f>
        <v>1.9</v>
      </c>
      <c r="O59">
        <f>IF('Raw Data'!O59="","",'Raw Data'!O59)</f>
        <v>62.2</v>
      </c>
      <c r="P59" t="str">
        <f>IF('Raw Data'!P59="","",'Raw Data'!P59)</f>
        <v/>
      </c>
      <c r="Q59" t="str">
        <f t="shared" si="0"/>
        <v xml:space="preserve"> </v>
      </c>
      <c r="R59" s="3">
        <f t="shared" si="28"/>
        <v>26</v>
      </c>
      <c r="S59" s="3" t="str">
        <f t="shared" si="29"/>
        <v>-</v>
      </c>
      <c r="T59" s="3">
        <f t="shared" si="30"/>
        <v>26</v>
      </c>
      <c r="U59" s="3" t="str">
        <f t="shared" si="34"/>
        <v>12</v>
      </c>
      <c r="W59" s="4">
        <f t="shared" si="9"/>
        <v>8.8033284066042512</v>
      </c>
      <c r="X59" s="4">
        <f t="shared" si="10"/>
        <v>1.8712052173598339</v>
      </c>
      <c r="Y59" s="3">
        <f t="shared" si="7"/>
        <v>26</v>
      </c>
    </row>
    <row r="60" spans="1:25" x14ac:dyDescent="0.25">
      <c r="A60">
        <f>IF('Raw Data'!A60="","",'Raw Data'!A60)</f>
        <v>11</v>
      </c>
      <c r="B60">
        <f>IF('Raw Data'!B60="","",'Raw Data'!B60)</f>
        <v>12</v>
      </c>
      <c r="C60">
        <f>IF('Raw Data'!C60="","",'Raw Data'!C60)</f>
        <v>2</v>
      </c>
      <c r="D60">
        <f>IF('Raw Data'!D60="","",'Raw Data'!D60)</f>
        <v>0.5</v>
      </c>
      <c r="E60" t="str">
        <f>IF('Raw Data'!E60="","",'Raw Data'!E60)</f>
        <v>/</v>
      </c>
      <c r="F60" t="str">
        <f>IF('Raw Data'!F60="","",'Raw Data'!F60)</f>
        <v>/</v>
      </c>
      <c r="G60" s="7" t="str">
        <f>IF('Raw Data'!G60="","",SUBSTITUTE('Raw Data'!G60," ",":",1))</f>
        <v>78</v>
      </c>
      <c r="H60" s="7" t="str">
        <f>IF('Raw Data'!H60="","",SUBSTITUTE('Raw Data'!H60," ",":",1))</f>
        <v>-</v>
      </c>
      <c r="I60" s="7" t="str">
        <f>IF('Raw Data'!I60="","",SUBSTITUTE('Raw Data'!I60," ",":",1))</f>
        <v>78</v>
      </c>
      <c r="J60" s="12">
        <f>IF('Raw Data'!J60="","",IF(LEN(K60)&gt;6,SQRT('Raw Data'!J60^2+N60^2),'Raw Data'!J60))</f>
        <v>10.7</v>
      </c>
      <c r="K60" s="7" t="str">
        <f>IF('Raw Data'!K60="","",IF(LEN('Raw Data'!K60)&lt;7,SUBSTITUTE('Raw Data'!K60," ",":",1),'Raw Data'!K60))</f>
        <v>10</v>
      </c>
      <c r="L60" t="str">
        <f>IF('Raw Data'!L60="","",'Raw Data'!L60)</f>
        <v/>
      </c>
      <c r="M60">
        <f>IF('Raw Data'!M60="","",'Raw Data'!M60)</f>
        <v>10.5</v>
      </c>
      <c r="N60">
        <f>IF('Raw Data'!N60="","",IF('Raw Data'!N60="-",0,'Raw Data'!N60))</f>
        <v>1.9</v>
      </c>
      <c r="O60">
        <f>IF('Raw Data'!O60="","",'Raw Data'!O60)</f>
        <v>65.099999999999994</v>
      </c>
      <c r="P60" t="str">
        <f>IF('Raw Data'!P60="","",'Raw Data'!P60)</f>
        <v/>
      </c>
      <c r="Q60" t="str">
        <f t="shared" si="0"/>
        <v xml:space="preserve"> </v>
      </c>
      <c r="R60" s="3">
        <f t="shared" si="28"/>
        <v>78</v>
      </c>
      <c r="S60" s="3" t="str">
        <f t="shared" si="29"/>
        <v>-</v>
      </c>
      <c r="T60" s="3">
        <f t="shared" si="30"/>
        <v>78</v>
      </c>
      <c r="U60" s="3" t="str">
        <f t="shared" si="34"/>
        <v>10</v>
      </c>
      <c r="W60" s="4">
        <f t="shared" si="9"/>
        <v>10.537442957230626</v>
      </c>
      <c r="X60" s="4">
        <f t="shared" si="10"/>
        <v>1.8580355010361544</v>
      </c>
      <c r="Y60" s="3">
        <f t="shared" si="7"/>
        <v>78</v>
      </c>
    </row>
    <row r="61" spans="1:25" x14ac:dyDescent="0.25">
      <c r="A61">
        <f>IF('Raw Data'!A61="","",'Raw Data'!A61)</f>
        <v>12</v>
      </c>
      <c r="B61">
        <f>IF('Raw Data'!B61="","",'Raw Data'!B61)</f>
        <v>13</v>
      </c>
      <c r="C61">
        <f>IF('Raw Data'!C61="","",'Raw Data'!C61)</f>
        <v>2</v>
      </c>
      <c r="D61">
        <f>IF('Raw Data'!D61="","",'Raw Data'!D61)</f>
        <v>2</v>
      </c>
      <c r="E61" t="str">
        <f>IF('Raw Data'!E61="","",'Raw Data'!E61)</f>
        <v>/</v>
      </c>
      <c r="F61">
        <f>IF('Raw Data'!F61="","",'Raw Data'!F61)</f>
        <v>1</v>
      </c>
      <c r="G61" s="7" t="str">
        <f>IF('Raw Data'!G61="","",SUBSTITUTE('Raw Data'!G61," ",":",1))</f>
        <v>25</v>
      </c>
      <c r="H61" s="7" t="str">
        <f>IF('Raw Data'!H61="","",SUBSTITUTE('Raw Data'!H61," ",":",1))</f>
        <v>-</v>
      </c>
      <c r="I61" s="7" t="str">
        <f>IF('Raw Data'!I61="","",SUBSTITUTE('Raw Data'!I61," ",":",1))</f>
        <v>25</v>
      </c>
      <c r="J61" s="12">
        <f>IF('Raw Data'!J61="","",IF(LEN(K61)&gt;6,SQRT('Raw Data'!J61^2+N61^2),'Raw Data'!J61))</f>
        <v>8.7321245982864895</v>
      </c>
      <c r="K61" s="7" t="str">
        <f>IF('Raw Data'!K61="","",IF(LEN('Raw Data'!K61)&lt;7,SUBSTITUTE('Raw Data'!K61," ",":",1),'Raw Data'!K61))</f>
        <v>fall 2 feet</v>
      </c>
      <c r="L61" t="str">
        <f>IF('Raw Data'!L61="","",'Raw Data'!L61)</f>
        <v/>
      </c>
      <c r="M61">
        <f>IF('Raw Data'!M61="","",'Raw Data'!M61)</f>
        <v>8.1999999999999993</v>
      </c>
      <c r="N61">
        <f>IF('Raw Data'!N61="","",IF('Raw Data'!N61="-",0,'Raw Data'!N61))</f>
        <v>-2</v>
      </c>
      <c r="O61">
        <f>IF('Raw Data'!O61="","",'Raw Data'!O61)</f>
        <v>67</v>
      </c>
      <c r="P61" t="str">
        <f>IF('Raw Data'!P61="","",'Raw Data'!P61)</f>
        <v>Little passage goes uphill straight on</v>
      </c>
      <c r="Q61" t="str">
        <f t="shared" si="0"/>
        <v xml:space="preserve"> </v>
      </c>
      <c r="R61" s="3">
        <f t="shared" si="28"/>
        <v>25</v>
      </c>
      <c r="S61" s="3" t="str">
        <f t="shared" si="29"/>
        <v>-</v>
      </c>
      <c r="T61" s="3">
        <f t="shared" si="30"/>
        <v>25</v>
      </c>
      <c r="U61" s="9">
        <f>ASIN(N61/J61)*180/PI()</f>
        <v>-13.240519915187205</v>
      </c>
      <c r="W61" s="4">
        <f t="shared" si="9"/>
        <v>8.4999999999999982</v>
      </c>
      <c r="X61" s="4">
        <f t="shared" si="10"/>
        <v>-1.9999999999999998</v>
      </c>
      <c r="Y61" s="3">
        <f t="shared" si="7"/>
        <v>25</v>
      </c>
    </row>
    <row r="62" spans="1:25" x14ac:dyDescent="0.25">
      <c r="A62">
        <f>IF('Raw Data'!A62="","",'Raw Data'!A62)</f>
        <v>13</v>
      </c>
      <c r="B62">
        <f>IF('Raw Data'!B62="","",'Raw Data'!B62)</f>
        <v>14</v>
      </c>
      <c r="C62">
        <f>IF('Raw Data'!C62="","",'Raw Data'!C62)</f>
        <v>1</v>
      </c>
      <c r="D62">
        <f>IF('Raw Data'!D62="","",'Raw Data'!D62)</f>
        <v>0.5</v>
      </c>
      <c r="E62">
        <f>IF('Raw Data'!E62="","",'Raw Data'!E62)</f>
        <v>2</v>
      </c>
      <c r="F62">
        <f>IF('Raw Data'!F62="","",'Raw Data'!F62)</f>
        <v>3</v>
      </c>
      <c r="G62" s="7" t="str">
        <f>IF('Raw Data'!G62="","",SUBSTITUTE('Raw Data'!G62," ",":",1))</f>
        <v>85</v>
      </c>
      <c r="H62" s="7" t="str">
        <f>IF('Raw Data'!H62="","",SUBSTITUTE('Raw Data'!H62," ",":",1))</f>
        <v>-</v>
      </c>
      <c r="I62" s="7" t="str">
        <f>IF('Raw Data'!I62="","",SUBSTITUTE('Raw Data'!I62," ",":",1))</f>
        <v>85</v>
      </c>
      <c r="J62" s="12">
        <f>IF('Raw Data'!J62="","",IF(LEN(K62)&gt;6,SQRT('Raw Data'!J62^2+N62^2),'Raw Data'!J62))</f>
        <v>12.3</v>
      </c>
      <c r="K62" s="7" t="str">
        <f>IF('Raw Data'!K62="","",IF(LEN('Raw Data'!K62)&lt;7,SUBSTITUTE('Raw Data'!K62," ",":",1),'Raw Data'!K62))</f>
        <v>9</v>
      </c>
      <c r="L62" t="str">
        <f>IF('Raw Data'!L62="","",'Raw Data'!L62)</f>
        <v/>
      </c>
      <c r="M62">
        <f>IF('Raw Data'!M62="","",'Raw Data'!M62)</f>
        <v>12.1</v>
      </c>
      <c r="N62">
        <f>IF('Raw Data'!N62="","",IF('Raw Data'!N62="-",0,'Raw Data'!N62))</f>
        <v>1.9</v>
      </c>
      <c r="O62">
        <f>IF('Raw Data'!O62="","",'Raw Data'!O62)</f>
        <v>65</v>
      </c>
      <c r="P62" t="str">
        <f>IF('Raw Data'!P62="","",'Raw Data'!P62)</f>
        <v/>
      </c>
      <c r="Q62" t="str">
        <f t="shared" si="0"/>
        <v xml:space="preserve"> </v>
      </c>
      <c r="R62" s="3">
        <f t="shared" si="28"/>
        <v>85</v>
      </c>
      <c r="S62" s="3" t="str">
        <f t="shared" si="29"/>
        <v>-</v>
      </c>
      <c r="T62" s="3">
        <f t="shared" si="30"/>
        <v>85</v>
      </c>
      <c r="U62" s="3" t="str">
        <f t="shared" ref="U62:U63" si="35">IF(ISERROR(FIND(":",K62)),K62,1*CONCATENATE(LEFT(K62,FIND(":",K62)-1),".",MID(RIGHT(K62,LEN(K62)-FIND(":",K62))/60,3,8)))</f>
        <v>9</v>
      </c>
      <c r="W62" s="4">
        <f t="shared" si="9"/>
        <v>12.148566589320195</v>
      </c>
      <c r="X62" s="4">
        <f t="shared" si="10"/>
        <v>1.9241439199948398</v>
      </c>
      <c r="Y62" s="3">
        <f t="shared" si="7"/>
        <v>85</v>
      </c>
    </row>
    <row r="63" spans="1:25" x14ac:dyDescent="0.25">
      <c r="A63">
        <f>IF('Raw Data'!A63="","",'Raw Data'!A63)</f>
        <v>14</v>
      </c>
      <c r="B63">
        <f>IF('Raw Data'!B63="","",'Raw Data'!B63)</f>
        <v>15</v>
      </c>
      <c r="C63">
        <f>IF('Raw Data'!C63="","",'Raw Data'!C63)</f>
        <v>2</v>
      </c>
      <c r="D63">
        <f>IF('Raw Data'!D63="","",'Raw Data'!D63)</f>
        <v>0.5</v>
      </c>
      <c r="E63" t="str">
        <f>IF('Raw Data'!E63="","",'Raw Data'!E63)</f>
        <v>/</v>
      </c>
      <c r="F63" t="str">
        <f>IF('Raw Data'!F63="","",'Raw Data'!F63)</f>
        <v>/</v>
      </c>
      <c r="G63" s="7" t="str">
        <f>IF('Raw Data'!G63="","",SUBSTITUTE('Raw Data'!G63," ",":",1))</f>
        <v>63</v>
      </c>
      <c r="H63" s="7" t="str">
        <f>IF('Raw Data'!H63="","",SUBSTITUTE('Raw Data'!H63," ",":",1))</f>
        <v>-</v>
      </c>
      <c r="I63" s="7" t="str">
        <f>IF('Raw Data'!I63="","",SUBSTITUTE('Raw Data'!I63," ",":",1))</f>
        <v>63</v>
      </c>
      <c r="J63" s="12">
        <f>IF('Raw Data'!J63="","",IF(LEN(K63)&gt;6,SQRT('Raw Data'!J63^2+N63^2),'Raw Data'!J63))</f>
        <v>11.6</v>
      </c>
      <c r="K63" s="7" t="str">
        <f>IF('Raw Data'!K63="","",IF(LEN('Raw Data'!K63)&lt;7,SUBSTITUTE('Raw Data'!K63," ",":",1),'Raw Data'!K63))</f>
        <v>10</v>
      </c>
      <c r="L63" t="str">
        <f>IF('Raw Data'!L63="","",'Raw Data'!L63)</f>
        <v/>
      </c>
      <c r="M63">
        <f>IF('Raw Data'!M63="","",'Raw Data'!M63)</f>
        <v>11.4</v>
      </c>
      <c r="N63">
        <f>IF('Raw Data'!N63="","",IF('Raw Data'!N63="-",0,'Raw Data'!N63))</f>
        <v>2</v>
      </c>
      <c r="O63">
        <f>IF('Raw Data'!O63="","",'Raw Data'!O63)</f>
        <v>69.900000000000006</v>
      </c>
      <c r="P63" t="str">
        <f>IF('Raw Data'!P63="","",'Raw Data'!P63)</f>
        <v/>
      </c>
      <c r="Q63" t="str">
        <f t="shared" si="0"/>
        <v xml:space="preserve"> </v>
      </c>
      <c r="R63" s="3">
        <f t="shared" si="28"/>
        <v>63</v>
      </c>
      <c r="S63" s="3" t="str">
        <f t="shared" si="29"/>
        <v>-</v>
      </c>
      <c r="T63" s="3">
        <f t="shared" si="30"/>
        <v>63</v>
      </c>
      <c r="U63" s="3" t="str">
        <f t="shared" si="35"/>
        <v>10</v>
      </c>
      <c r="W63" s="4">
        <f t="shared" si="9"/>
        <v>11.423769934941612</v>
      </c>
      <c r="X63" s="4">
        <f t="shared" si="10"/>
        <v>2.0143188609363918</v>
      </c>
      <c r="Y63" s="3">
        <f t="shared" si="7"/>
        <v>63</v>
      </c>
    </row>
    <row r="64" spans="1:25" x14ac:dyDescent="0.25">
      <c r="A64">
        <f>IF('Raw Data'!A64="","",'Raw Data'!A64)</f>
        <v>15</v>
      </c>
      <c r="B64">
        <f>IF('Raw Data'!B64="","",'Raw Data'!B64)</f>
        <v>16</v>
      </c>
      <c r="C64">
        <f>IF('Raw Data'!C64="","",'Raw Data'!C64)</f>
        <v>3</v>
      </c>
      <c r="D64">
        <f>IF('Raw Data'!D64="","",'Raw Data'!D64)</f>
        <v>4</v>
      </c>
      <c r="E64">
        <f>IF('Raw Data'!E64="","",'Raw Data'!E64)</f>
        <v>2</v>
      </c>
      <c r="F64" t="str">
        <f>IF('Raw Data'!F64="","",'Raw Data'!F64)</f>
        <v>/</v>
      </c>
      <c r="G64" s="7" t="str">
        <f>IF('Raw Data'!G64="","",SUBSTITUTE('Raw Data'!G64," ",":",1))</f>
        <v>125</v>
      </c>
      <c r="H64" s="7" t="str">
        <f>IF('Raw Data'!H64="","",SUBSTITUTE('Raw Data'!H64," ",":",1))</f>
        <v>-</v>
      </c>
      <c r="I64" s="7" t="str">
        <f>IF('Raw Data'!I64="","",SUBSTITUTE('Raw Data'!I64," ",":",1))</f>
        <v>125</v>
      </c>
      <c r="J64" s="12">
        <f>IF('Raw Data'!J64="","",IF(LEN(K64)&gt;6,SQRT('Raw Data'!J64^2+N64^2),'Raw Data'!J64))</f>
        <v>12.5</v>
      </c>
      <c r="K64" s="7" t="str">
        <f>IF('Raw Data'!K64="","",IF(LEN('Raw Data'!K64)&lt;7,SUBSTITUTE('Raw Data'!K64," ",":",1),'Raw Data'!K64))</f>
        <v>fall 3.5 feet</v>
      </c>
      <c r="L64" t="str">
        <f>IF('Raw Data'!L64="","",'Raw Data'!L64)</f>
        <v/>
      </c>
      <c r="M64">
        <f>IF('Raw Data'!M64="","",'Raw Data'!M64)</f>
        <v>12</v>
      </c>
      <c r="N64">
        <f>IF('Raw Data'!N64="","",IF('Raw Data'!N64="-",0,'Raw Data'!N64))</f>
        <v>-3.5</v>
      </c>
      <c r="O64">
        <f>IF('Raw Data'!O64="","",'Raw Data'!O64)</f>
        <v>72.900000000000006</v>
      </c>
      <c r="P64" t="str">
        <f>IF('Raw Data'!P64="","",'Raw Data'!P64)</f>
        <v>Low creep at 4-10 feet. Chamber goes 15' in same line</v>
      </c>
      <c r="Q64" t="str">
        <f t="shared" si="0"/>
        <v xml:space="preserve"> </v>
      </c>
      <c r="R64" s="3">
        <f t="shared" si="28"/>
        <v>125</v>
      </c>
      <c r="S64" s="3" t="str">
        <f t="shared" si="29"/>
        <v>-</v>
      </c>
      <c r="T64" s="3">
        <f t="shared" si="30"/>
        <v>125</v>
      </c>
      <c r="U64" s="9">
        <f>ASIN(N64/J64)*180/PI()</f>
        <v>-16.26020470831196</v>
      </c>
      <c r="W64" s="4">
        <f t="shared" si="9"/>
        <v>12</v>
      </c>
      <c r="X64" s="4">
        <f t="shared" si="10"/>
        <v>-3.5000000000000004</v>
      </c>
      <c r="Y64" s="3">
        <f t="shared" si="7"/>
        <v>125</v>
      </c>
    </row>
    <row r="65" spans="1:25" x14ac:dyDescent="0.25">
      <c r="A65">
        <f>IF('Raw Data'!A65="","",'Raw Data'!A65)</f>
        <v>16</v>
      </c>
      <c r="B65">
        <f>IF('Raw Data'!B65="","",'Raw Data'!B65)</f>
        <v>17</v>
      </c>
      <c r="C65">
        <f>IF('Raw Data'!C65="","",'Raw Data'!C65)</f>
        <v>1</v>
      </c>
      <c r="D65">
        <f>IF('Raw Data'!D65="","",'Raw Data'!D65)</f>
        <v>0.5</v>
      </c>
      <c r="E65">
        <f>IF('Raw Data'!E65="","",'Raw Data'!E65)</f>
        <v>3</v>
      </c>
      <c r="F65">
        <f>IF('Raw Data'!F65="","",'Raw Data'!F65)</f>
        <v>3</v>
      </c>
      <c r="G65" s="7" t="str">
        <f>IF('Raw Data'!G65="","",SUBSTITUTE('Raw Data'!G65," ",":",1))</f>
        <v>-</v>
      </c>
      <c r="H65" s="7" t="str">
        <f>IF('Raw Data'!H65="","",SUBSTITUTE('Raw Data'!H65," ",":",1))</f>
        <v>265</v>
      </c>
      <c r="I65" s="7" t="str">
        <f>IF('Raw Data'!I65="","",SUBSTITUTE('Raw Data'!I65," ",":",1))</f>
        <v>85</v>
      </c>
      <c r="J65" s="12">
        <f>IF('Raw Data'!J65="","",IF(LEN(K65)&gt;6,SQRT('Raw Data'!J65^2+N65^2),'Raw Data'!J65))</f>
        <v>14.5</v>
      </c>
      <c r="K65" s="7" t="str">
        <f>IF('Raw Data'!K65="","",IF(LEN('Raw Data'!K65)&lt;7,SUBSTITUTE('Raw Data'!K65," ",":",1),'Raw Data'!K65))</f>
        <v>6</v>
      </c>
      <c r="L65" t="str">
        <f>IF('Raw Data'!L65="","",'Raw Data'!L65)</f>
        <v/>
      </c>
      <c r="M65">
        <f>IF('Raw Data'!M65="","",'Raw Data'!M65)</f>
        <v>14.4</v>
      </c>
      <c r="N65">
        <f>IF('Raw Data'!N65="","",IF('Raw Data'!N65="-",0,'Raw Data'!N65))</f>
        <v>1.5</v>
      </c>
      <c r="O65">
        <f>IF('Raw Data'!O65="","",'Raw Data'!O65)</f>
        <v>71.400000000000006</v>
      </c>
      <c r="P65" t="str">
        <f>IF('Raw Data'!P65="","",'Raw Data'!P65)</f>
        <v/>
      </c>
      <c r="Q65" t="str">
        <f t="shared" si="0"/>
        <v xml:space="preserve"> </v>
      </c>
      <c r="R65" s="3" t="str">
        <f t="shared" si="28"/>
        <v>-</v>
      </c>
      <c r="S65" s="3">
        <f t="shared" si="29"/>
        <v>265</v>
      </c>
      <c r="T65" s="3">
        <f t="shared" si="30"/>
        <v>85</v>
      </c>
      <c r="U65" s="3" t="str">
        <f t="shared" ref="U65:U67" si="36">IF(ISERROR(FIND(":",K65)),K65,1*CONCATENATE(LEFT(K65,FIND(":",K65)-1),".",MID(RIGHT(K65,LEN(K65)-FIND(":",K65))/60,3,8)))</f>
        <v>6</v>
      </c>
      <c r="W65" s="4">
        <f t="shared" si="9"/>
        <v>14.420567482839962</v>
      </c>
      <c r="X65" s="4">
        <f t="shared" si="10"/>
        <v>1.5156627173809751</v>
      </c>
      <c r="Y65" s="3">
        <f t="shared" si="7"/>
        <v>85</v>
      </c>
    </row>
    <row r="66" spans="1:25" x14ac:dyDescent="0.25">
      <c r="A66">
        <f>IF('Raw Data'!A66="","",'Raw Data'!A66)</f>
        <v>17</v>
      </c>
      <c r="B66">
        <f>IF('Raw Data'!B66="","",'Raw Data'!B66)</f>
        <v>18</v>
      </c>
      <c r="C66">
        <f>IF('Raw Data'!C66="","",'Raw Data'!C66)</f>
        <v>1</v>
      </c>
      <c r="D66">
        <f>IF('Raw Data'!D66="","",'Raw Data'!D66)</f>
        <v>1</v>
      </c>
      <c r="E66">
        <f>IF('Raw Data'!E66="","",'Raw Data'!E66)</f>
        <v>2</v>
      </c>
      <c r="F66">
        <f>IF('Raw Data'!F66="","",'Raw Data'!F66)</f>
        <v>3</v>
      </c>
      <c r="G66" s="7" t="str">
        <f>IF('Raw Data'!G66="","",SUBSTITUTE('Raw Data'!G66," ",":",1))</f>
        <v>22</v>
      </c>
      <c r="H66" s="7" t="str">
        <f>IF('Raw Data'!H66="","",SUBSTITUTE('Raw Data'!H66," ",":",1))</f>
        <v>-</v>
      </c>
      <c r="I66" s="7" t="str">
        <f>IF('Raw Data'!I66="","",SUBSTITUTE('Raw Data'!I66," ",":",1))</f>
        <v>22</v>
      </c>
      <c r="J66" s="12">
        <f>IF('Raw Data'!J66="","",IF(LEN(K66)&gt;6,SQRT('Raw Data'!J66^2+N66^2),'Raw Data'!J66))</f>
        <v>12.6</v>
      </c>
      <c r="K66" s="7" t="str">
        <f>IF('Raw Data'!K66="","",IF(LEN('Raw Data'!K66)&lt;7,SUBSTITUTE('Raw Data'!K66," ",":",1),'Raw Data'!K66))</f>
        <v>6</v>
      </c>
      <c r="L66" t="str">
        <f>IF('Raw Data'!L66="","",'Raw Data'!L66)</f>
        <v/>
      </c>
      <c r="M66">
        <f>IF('Raw Data'!M66="","",'Raw Data'!M66)</f>
        <v>12.5</v>
      </c>
      <c r="N66">
        <f>IF('Raw Data'!N66="","",IF('Raw Data'!N66="-",0,'Raw Data'!N66))</f>
        <v>1.3</v>
      </c>
      <c r="O66">
        <f>IF('Raw Data'!O66="","",'Raw Data'!O66)</f>
        <v>74.900000000000006</v>
      </c>
      <c r="P66" t="str">
        <f>IF('Raw Data'!P66="","",'Raw Data'!P66)</f>
        <v/>
      </c>
      <c r="Q66" t="str">
        <f t="shared" ref="Q66:Q119" si="37">" "</f>
        <v xml:space="preserve"> </v>
      </c>
      <c r="R66" s="3">
        <f t="shared" si="28"/>
        <v>22</v>
      </c>
      <c r="S66" s="3" t="str">
        <f t="shared" si="29"/>
        <v>-</v>
      </c>
      <c r="T66" s="3">
        <f t="shared" si="30"/>
        <v>22</v>
      </c>
      <c r="U66" s="3" t="str">
        <f t="shared" si="36"/>
        <v>6</v>
      </c>
      <c r="W66" s="4">
        <f t="shared" si="9"/>
        <v>12.530975881640243</v>
      </c>
      <c r="X66" s="4">
        <f t="shared" si="10"/>
        <v>1.3170586371724335</v>
      </c>
      <c r="Y66" s="3">
        <f t="shared" si="7"/>
        <v>22</v>
      </c>
    </row>
    <row r="67" spans="1:25" x14ac:dyDescent="0.25">
      <c r="A67">
        <f>IF('Raw Data'!A67="","",'Raw Data'!A67)</f>
        <v>18</v>
      </c>
      <c r="B67">
        <f>IF('Raw Data'!B67="","",'Raw Data'!B67)</f>
        <v>19</v>
      </c>
      <c r="C67">
        <f>IF('Raw Data'!C67="","",'Raw Data'!C67)</f>
        <v>3</v>
      </c>
      <c r="D67">
        <f>IF('Raw Data'!D67="","",'Raw Data'!D67)</f>
        <v>11</v>
      </c>
      <c r="E67">
        <f>IF('Raw Data'!E67="","",'Raw Data'!E67)</f>
        <v>2</v>
      </c>
      <c r="F67">
        <f>IF('Raw Data'!F67="","",'Raw Data'!F67)</f>
        <v>2</v>
      </c>
      <c r="G67" s="7" t="str">
        <f>IF('Raw Data'!G67="","",SUBSTITUTE('Raw Data'!G67," ",":",1))</f>
        <v>-</v>
      </c>
      <c r="H67" s="7" t="str">
        <f>IF('Raw Data'!H67="","",SUBSTITUTE('Raw Data'!H67," ",":",1))</f>
        <v>-</v>
      </c>
      <c r="I67" s="7" t="str">
        <f>IF('Raw Data'!I67="","",SUBSTITUTE('Raw Data'!I67," ",":",1))</f>
        <v>-</v>
      </c>
      <c r="J67" s="12">
        <f>IF('Raw Data'!J67="","",IF(LEN(K67)&gt;6,SQRT('Raw Data'!J67^2+N67^2),'Raw Data'!J67))</f>
        <v>11</v>
      </c>
      <c r="K67" s="7" t="str">
        <f>IF('Raw Data'!K67="","",IF(LEN('Raw Data'!K67)&lt;7,SUBSTITUTE('Raw Data'!K67," ",":",1),'Raw Data'!K67))</f>
        <v>-90</v>
      </c>
      <c r="L67" t="str">
        <f>IF('Raw Data'!L67="","",'Raw Data'!L67)</f>
        <v/>
      </c>
      <c r="M67" t="str">
        <f>IF('Raw Data'!M67="","",'Raw Data'!M67)</f>
        <v>-</v>
      </c>
      <c r="N67">
        <f>IF('Raw Data'!N67="","",IF('Raw Data'!N67="-",0,'Raw Data'!N67))</f>
        <v>-11</v>
      </c>
      <c r="O67">
        <f>IF('Raw Data'!O67="","",'Raw Data'!O67)</f>
        <v>76.400000000000006</v>
      </c>
      <c r="P67" t="str">
        <f>IF('Raw Data'!P67="","",'Raw Data'!P67)</f>
        <v>18 is in crack at top of "11 foot drop"</v>
      </c>
      <c r="Q67" t="str">
        <f t="shared" si="37"/>
        <v xml:space="preserve"> </v>
      </c>
      <c r="R67" s="3" t="str">
        <f t="shared" si="28"/>
        <v>-</v>
      </c>
      <c r="S67" s="3" t="str">
        <f t="shared" si="29"/>
        <v>-</v>
      </c>
      <c r="T67" s="3" t="str">
        <f t="shared" si="30"/>
        <v>-</v>
      </c>
      <c r="U67" s="3" t="str">
        <f t="shared" si="36"/>
        <v>-90</v>
      </c>
      <c r="W67" s="4">
        <f t="shared" si="9"/>
        <v>6.7383165019974101E-16</v>
      </c>
      <c r="X67" s="4">
        <f t="shared" si="10"/>
        <v>-11</v>
      </c>
      <c r="Y67" s="3" t="e">
        <f t="shared" si="7"/>
        <v>#VALUE!</v>
      </c>
    </row>
    <row r="68" spans="1:25" x14ac:dyDescent="0.25">
      <c r="A68" t="str">
        <f>IF('Raw Data'!A68="","",'Raw Data'!A68)</f>
        <v/>
      </c>
      <c r="B68" t="str">
        <f>IF('Raw Data'!B68="","",'Raw Data'!B68)</f>
        <v/>
      </c>
      <c r="C68" t="str">
        <f>IF('Raw Data'!C68="","",'Raw Data'!C68)</f>
        <v/>
      </c>
      <c r="D68" t="str">
        <f>IF('Raw Data'!D68="","",'Raw Data'!D68)</f>
        <v/>
      </c>
      <c r="E68" t="str">
        <f>IF('Raw Data'!E68="","",'Raw Data'!E68)</f>
        <v/>
      </c>
      <c r="F68" t="str">
        <f>IF('Raw Data'!F68="","",'Raw Data'!F68)</f>
        <v/>
      </c>
      <c r="G68" s="7" t="str">
        <f>IF('Raw Data'!G68="","",SUBSTITUTE('Raw Data'!G68," ",":",1))</f>
        <v/>
      </c>
      <c r="H68" s="7" t="str">
        <f>IF('Raw Data'!H68="","",SUBSTITUTE('Raw Data'!H68," ",":",1))</f>
        <v/>
      </c>
      <c r="I68" s="7" t="str">
        <f>IF('Raw Data'!I68="","",SUBSTITUTE('Raw Data'!I68," ",":",1))</f>
        <v/>
      </c>
      <c r="J68" s="12" t="str">
        <f>IF('Raw Data'!J68="","",IF(LEN(K68)&gt;6,SQRT('Raw Data'!J68^2+N68^2),'Raw Data'!J68))</f>
        <v/>
      </c>
      <c r="K68" s="7" t="str">
        <f>IF('Raw Data'!K68="","",IF(LEN('Raw Data'!K68)&lt;7,SUBSTITUTE('Raw Data'!K68," ",":",1),'Raw Data'!K68))</f>
        <v/>
      </c>
      <c r="L68" t="str">
        <f>IF('Raw Data'!L68="","",'Raw Data'!L68)</f>
        <v/>
      </c>
      <c r="M68" t="str">
        <f>IF('Raw Data'!M68="","",'Raw Data'!M68)</f>
        <v/>
      </c>
      <c r="N68" t="str">
        <f>IF('Raw Data'!N68="","",IF('Raw Data'!N68="-",0,'Raw Data'!N68))</f>
        <v/>
      </c>
      <c r="O68" t="str">
        <f>IF('Raw Data'!O68="","",'Raw Data'!O68)</f>
        <v/>
      </c>
      <c r="P68" t="str">
        <f>IF('Raw Data'!P68="","",'Raw Data'!P68)</f>
        <v>Total = 1562'</v>
      </c>
      <c r="Q68" t="str">
        <f t="shared" si="37"/>
        <v xml:space="preserve"> </v>
      </c>
      <c r="W68" s="4"/>
      <c r="X68" s="4"/>
      <c r="Y68" s="3"/>
    </row>
    <row r="69" spans="1:25" x14ac:dyDescent="0.25">
      <c r="A69" t="str">
        <f>IF('Raw Data'!A69="","",'Raw Data'!A69)</f>
        <v>p. 51-52</v>
      </c>
      <c r="B69" t="str">
        <f>IF('Raw Data'!B69="","",'Raw Data'!B69)</f>
        <v>(=PDF p.55-56)</v>
      </c>
      <c r="C69" t="str">
        <f>IF('Raw Data'!C69="","",'Raw Data'!C69)</f>
        <v/>
      </c>
      <c r="D69" t="str">
        <f>IF('Raw Data'!D69="","",'Raw Data'!D69)</f>
        <v/>
      </c>
      <c r="E69" t="str">
        <f>IF('Raw Data'!E69="","",'Raw Data'!E69)</f>
        <v/>
      </c>
      <c r="F69" t="str">
        <f>IF('Raw Data'!F69="","",'Raw Data'!F69)</f>
        <v/>
      </c>
      <c r="G69" s="7" t="str">
        <f>IF('Raw Data'!G69="","",SUBSTITUTE('Raw Data'!G69," ",":",1))</f>
        <v/>
      </c>
      <c r="H69" s="7" t="str">
        <f>IF('Raw Data'!H69="","",SUBSTITUTE('Raw Data'!H69," ",":",1))</f>
        <v/>
      </c>
      <c r="I69" s="7" t="str">
        <f>IF('Raw Data'!I69="","",SUBSTITUTE('Raw Data'!I69," ",":",1))</f>
        <v/>
      </c>
      <c r="J69" s="12" t="str">
        <f>IF('Raw Data'!J69="","",IF(LEN(K69)&gt;6,SQRT('Raw Data'!J69^2+N69^2),'Raw Data'!J69))</f>
        <v/>
      </c>
      <c r="K69" s="7" t="str">
        <f>IF('Raw Data'!K69="","",IF(LEN('Raw Data'!K69)&lt;7,SUBSTITUTE('Raw Data'!K69," ",":",1),'Raw Data'!K69))</f>
        <v/>
      </c>
      <c r="L69" t="str">
        <f>IF('Raw Data'!L69="","",'Raw Data'!L69)</f>
        <v/>
      </c>
      <c r="M69" t="str">
        <f>IF('Raw Data'!M69="","",'Raw Data'!M69)</f>
        <v/>
      </c>
      <c r="N69" t="str">
        <f>IF('Raw Data'!N69="","",IF('Raw Data'!N69="-",0,'Raw Data'!N69))</f>
        <v/>
      </c>
      <c r="O69" t="str">
        <f>IF('Raw Data'!O69="","",'Raw Data'!O69)</f>
        <v/>
      </c>
      <c r="P69" t="str">
        <f>IF('Raw Data'!P69="","",'Raw Data'!P69)</f>
        <v/>
      </c>
      <c r="Q69" t="str">
        <f t="shared" si="37"/>
        <v xml:space="preserve"> </v>
      </c>
      <c r="W69" s="4"/>
      <c r="X69" s="4"/>
      <c r="Y69" s="3"/>
    </row>
    <row r="70" spans="1:25" x14ac:dyDescent="0.25">
      <c r="A70" t="str">
        <f>IF('Raw Data'!A70="","",'Raw Data'!A70)</f>
        <v>30th March 1952</v>
      </c>
      <c r="B70" t="str">
        <f>IF('Raw Data'!B70="","",'Raw Data'!B70)</f>
        <v/>
      </c>
      <c r="C70" t="str">
        <f>IF('Raw Data'!C70="","",'Raw Data'!C70)</f>
        <v/>
      </c>
      <c r="D70" t="str">
        <f>IF('Raw Data'!D70="","",'Raw Data'!D70)</f>
        <v/>
      </c>
      <c r="E70" t="str">
        <f>IF('Raw Data'!E70="","",'Raw Data'!E70)</f>
        <v/>
      </c>
      <c r="F70" t="str">
        <f>IF('Raw Data'!F70="","",'Raw Data'!F70)</f>
        <v/>
      </c>
      <c r="G70" s="7" t="str">
        <f>IF('Raw Data'!G70="","",SUBSTITUTE('Raw Data'!G70," ",":",1))</f>
        <v/>
      </c>
      <c r="H70" s="7" t="str">
        <f>IF('Raw Data'!H70="","",SUBSTITUTE('Raw Data'!H70," ",":",1))</f>
        <v/>
      </c>
      <c r="I70" s="7" t="str">
        <f>IF('Raw Data'!I70="","",SUBSTITUTE('Raw Data'!I70," ",":",1))</f>
        <v/>
      </c>
      <c r="J70" s="12" t="str">
        <f>IF('Raw Data'!J70="","",IF(LEN(K70)&gt;6,SQRT('Raw Data'!J70^2+N70^2),'Raw Data'!J70))</f>
        <v/>
      </c>
      <c r="K70" s="7" t="str">
        <f>IF('Raw Data'!K70="","",IF(LEN('Raw Data'!K70)&lt;7,SUBSTITUTE('Raw Data'!K70," ",":",1),'Raw Data'!K70))</f>
        <v/>
      </c>
      <c r="L70" t="str">
        <f>IF('Raw Data'!L70="","",'Raw Data'!L70)</f>
        <v/>
      </c>
      <c r="M70" t="str">
        <f>IF('Raw Data'!M70="","",'Raw Data'!M70)</f>
        <v/>
      </c>
      <c r="N70" t="str">
        <f>IF('Raw Data'!N70="","",IF('Raw Data'!N70="-",0,'Raw Data'!N70))</f>
        <v/>
      </c>
      <c r="O70" t="str">
        <f>IF('Raw Data'!O70="","",'Raw Data'!O70)</f>
        <v/>
      </c>
      <c r="P70" t="str">
        <f>IF('Raw Data'!P70="","",'Raw Data'!P70)</f>
        <v/>
      </c>
      <c r="Q70" t="str">
        <f t="shared" si="37"/>
        <v xml:space="preserve"> </v>
      </c>
      <c r="W70" s="4"/>
      <c r="X70" s="4"/>
      <c r="Y70" s="3"/>
    </row>
    <row r="71" spans="1:25" x14ac:dyDescent="0.25">
      <c r="A71" t="str">
        <f>IF('Raw Data'!A71="","",'Raw Data'!A71)</f>
        <v>B1</v>
      </c>
      <c r="B71" t="str">
        <f>IF('Raw Data'!B71="","",'Raw Data'!B71)</f>
        <v>AA</v>
      </c>
      <c r="C71" t="str">
        <f>IF('Raw Data'!C71="","",'Raw Data'!C71)</f>
        <v>/</v>
      </c>
      <c r="D71">
        <f>IF('Raw Data'!D71="","",'Raw Data'!D71)</f>
        <v>2</v>
      </c>
      <c r="E71" t="str">
        <f>IF('Raw Data'!E71="","",'Raw Data'!E71)</f>
        <v>/</v>
      </c>
      <c r="F71" t="str">
        <f>IF('Raw Data'!F71="","",'Raw Data'!F71)</f>
        <v>/</v>
      </c>
      <c r="G71" s="7" t="str">
        <f>IF('Raw Data'!G71="","",SUBSTITUTE('Raw Data'!G71," ",":",1))</f>
        <v>-</v>
      </c>
      <c r="H71" s="7" t="str">
        <f>IF('Raw Data'!H71="","",SUBSTITUTE('Raw Data'!H71," ",":",1))</f>
        <v>293:40</v>
      </c>
      <c r="I71" s="7" t="str">
        <f>IF('Raw Data'!I71="","",SUBSTITUTE('Raw Data'!I71," ",":",1))</f>
        <v>113:40</v>
      </c>
      <c r="J71" s="12">
        <f>IF('Raw Data'!J71="","",IF(LEN(K71)&gt;6,SQRT('Raw Data'!J71^2+N71^2),'Raw Data'!J71))</f>
        <v>78.099999999999994</v>
      </c>
      <c r="K71" s="7" t="str">
        <f>IF('Raw Data'!K71="","",IF(LEN('Raw Data'!K71)&lt;7,SUBSTITUTE('Raw Data'!K71," ",":",1),'Raw Data'!K71))</f>
        <v>9:30</v>
      </c>
      <c r="L71" t="str">
        <f>IF('Raw Data'!L71="","",'Raw Data'!L71)</f>
        <v/>
      </c>
      <c r="M71">
        <f>IF('Raw Data'!M71="","",'Raw Data'!M71)</f>
        <v>77.099999999999994</v>
      </c>
      <c r="N71">
        <f>IF('Raw Data'!N71="","",IF('Raw Data'!N71="-",0,'Raw Data'!N71))</f>
        <v>12.9</v>
      </c>
      <c r="O71">
        <f>IF('Raw Data'!O71="","",'Raw Data'!O71)</f>
        <v>12</v>
      </c>
      <c r="P71" t="str">
        <f>IF('Raw Data'!P71="","",'Raw Data'!P71)</f>
        <v>B1 is station B1 of page 45, at entrance to "P.G." passage</v>
      </c>
      <c r="Q71" t="str">
        <f t="shared" si="37"/>
        <v xml:space="preserve"> </v>
      </c>
      <c r="R71" s="3" t="str">
        <f t="shared" si="28"/>
        <v>-</v>
      </c>
      <c r="S71" s="3">
        <f t="shared" si="29"/>
        <v>293.66666666666669</v>
      </c>
      <c r="T71" s="3">
        <f t="shared" si="30"/>
        <v>113.66666666666667</v>
      </c>
      <c r="U71" s="3">
        <f t="shared" ref="U71:U74" si="38">IF(ISERROR(FIND(":",K71)),K71,1*CONCATENATE(LEFT(K71,FIND(":",K71)-1),".",MID(RIGHT(K71,LEN(K71)-FIND(":",K71))/60,3,8)))</f>
        <v>9.5</v>
      </c>
      <c r="W71" s="4">
        <f t="shared" si="9"/>
        <v>77.028905480057773</v>
      </c>
      <c r="X71" s="4">
        <f t="shared" si="10"/>
        <v>12.890218017718922</v>
      </c>
      <c r="Y71" s="3">
        <f t="shared" ref="Y71:Y119" si="39">IF(R71="-",IF(S71&gt;180,S71-180,S71+180),R71)</f>
        <v>113.66666666666669</v>
      </c>
    </row>
    <row r="72" spans="1:25" x14ac:dyDescent="0.25">
      <c r="A72" t="str">
        <f>IF('Raw Data'!A72="","",'Raw Data'!A72)</f>
        <v>AA</v>
      </c>
      <c r="B72" t="str">
        <f>IF('Raw Data'!B72="","",'Raw Data'!B72)</f>
        <v>AB</v>
      </c>
      <c r="C72">
        <f>IF('Raw Data'!C72="","",'Raw Data'!C72)</f>
        <v>25</v>
      </c>
      <c r="D72">
        <f>IF('Raw Data'!D72="","",'Raw Data'!D72)</f>
        <v>5</v>
      </c>
      <c r="E72">
        <f>IF('Raw Data'!E72="","",'Raw Data'!E72)</f>
        <v>8</v>
      </c>
      <c r="F72">
        <f>IF('Raw Data'!F72="","",'Raw Data'!F72)</f>
        <v>7</v>
      </c>
      <c r="G72" s="7" t="str">
        <f>IF('Raw Data'!G72="","",SUBSTITUTE('Raw Data'!G72," ",":",1))</f>
        <v>115:30</v>
      </c>
      <c r="H72" s="7" t="str">
        <f>IF('Raw Data'!H72="","",SUBSTITUTE('Raw Data'!H72," ",":",1))</f>
        <v>-</v>
      </c>
      <c r="I72" s="7" t="str">
        <f>IF('Raw Data'!I72="","",SUBSTITUTE('Raw Data'!I72," ",":",1))</f>
        <v>115:30</v>
      </c>
      <c r="J72" s="12">
        <f>IF('Raw Data'!J72="","",IF(LEN(K72)&gt;6,SQRT('Raw Data'!J72^2+N72^2),'Raw Data'!J72))</f>
        <v>24.1</v>
      </c>
      <c r="K72" s="7" t="str">
        <f>IF('Raw Data'!K72="","",IF(LEN('Raw Data'!K72)&lt;7,SUBSTITUTE('Raw Data'!K72," ",":",1),'Raw Data'!K72))</f>
        <v>-5:30</v>
      </c>
      <c r="L72" t="str">
        <f>IF('Raw Data'!L72="","",'Raw Data'!L72)</f>
        <v/>
      </c>
      <c r="M72">
        <f>IF('Raw Data'!M72="","",'Raw Data'!M72)</f>
        <v>24</v>
      </c>
      <c r="N72">
        <f>IF('Raw Data'!N72="","",IF('Raw Data'!N72="-",0,'Raw Data'!N72))</f>
        <v>-2.2999999999999998</v>
      </c>
      <c r="O72">
        <f>IF('Raw Data'!O72="","",'Raw Data'!O72)</f>
        <v>24.9</v>
      </c>
      <c r="P72" t="str">
        <f>IF('Raw Data'!P72="","",'Raw Data'!P72)</f>
        <v>AA on a big high rock</v>
      </c>
      <c r="Q72" t="str">
        <f t="shared" si="37"/>
        <v xml:space="preserve"> </v>
      </c>
      <c r="R72" s="3">
        <f t="shared" ref="R72:R86" si="40">IF(ISERROR(FIND(":",G72)),IF(G72&lt;&gt;"-",1*G72,G72),1*LEFT(G72,FIND(":",G72)-1)+RIGHT(G72,LEN(G72)-FIND(":",G72))/60)</f>
        <v>115.5</v>
      </c>
      <c r="S72" s="3" t="str">
        <f t="shared" ref="S72:S86" si="41">IF(ISERROR(FIND(":",H72)),IF(H72&lt;&gt;"-",1*H72,H72),1*LEFT(H72,FIND(":",H72)-1)+RIGHT(H72,LEN(H72)-FIND(":",H72))/60)</f>
        <v>-</v>
      </c>
      <c r="T72" s="3">
        <f t="shared" ref="T72:T86" si="42">IF(ISERROR(FIND(":",I72)),IF(I72&lt;&gt;"-",1*I72,I72),1*LEFT(I72,FIND(":",I72)-1)+RIGHT(I72,LEN(I72)-FIND(":",I72))/60)</f>
        <v>115.5</v>
      </c>
      <c r="U72" s="3">
        <f t="shared" si="38"/>
        <v>-5.5</v>
      </c>
      <c r="W72" s="4">
        <f t="shared" si="9"/>
        <v>23.989048380649013</v>
      </c>
      <c r="X72" s="4">
        <f t="shared" si="10"/>
        <v>-2.3098826357373983</v>
      </c>
      <c r="Y72" s="3">
        <f t="shared" si="39"/>
        <v>115.5</v>
      </c>
    </row>
    <row r="73" spans="1:25" x14ac:dyDescent="0.25">
      <c r="A73" t="str">
        <f>IF('Raw Data'!A73="","",'Raw Data'!A73)</f>
        <v>AB</v>
      </c>
      <c r="B73" t="str">
        <f>IF('Raw Data'!B73="","",'Raw Data'!B73)</f>
        <v>AC</v>
      </c>
      <c r="C73">
        <f>IF('Raw Data'!C73="","",'Raw Data'!C73)</f>
        <v>20</v>
      </c>
      <c r="D73">
        <f>IF('Raw Data'!D73="","",'Raw Data'!D73)</f>
        <v>5</v>
      </c>
      <c r="E73">
        <f>IF('Raw Data'!E73="","",'Raw Data'!E73)</f>
        <v>6</v>
      </c>
      <c r="F73">
        <f>IF('Raw Data'!F73="","",'Raw Data'!F73)</f>
        <v>0.5</v>
      </c>
      <c r="G73" s="7" t="str">
        <f>IF('Raw Data'!G73="","",SUBSTITUTE('Raw Data'!G73," ",":",1))</f>
        <v>-</v>
      </c>
      <c r="H73" s="7" t="str">
        <f>IF('Raw Data'!H73="","",SUBSTITUTE('Raw Data'!H73," ",":",1))</f>
        <v>277:50</v>
      </c>
      <c r="I73" s="7" t="str">
        <f>IF('Raw Data'!I73="","",SUBSTITUTE('Raw Data'!I73," ",":",1))</f>
        <v>097:50</v>
      </c>
      <c r="J73" s="12">
        <f>IF('Raw Data'!J73="","",IF(LEN(K73)&gt;6,SQRT('Raw Data'!J73^2+N73^2),'Raw Data'!J73))</f>
        <v>29.2</v>
      </c>
      <c r="K73" s="7" t="str">
        <f>IF('Raw Data'!K73="","",IF(LEN('Raw Data'!K73)&lt;7,SUBSTITUTE('Raw Data'!K73," ",":",1),'Raw Data'!K73))</f>
        <v>0:30</v>
      </c>
      <c r="L73" t="str">
        <f>IF('Raw Data'!L73="","",'Raw Data'!L73)</f>
        <v/>
      </c>
      <c r="M73">
        <f>IF('Raw Data'!M73="","",'Raw Data'!M73)</f>
        <v>29.2</v>
      </c>
      <c r="N73">
        <f>IF('Raw Data'!N73="","",IF('Raw Data'!N73="-",0,'Raw Data'!N73))</f>
        <v>0.3</v>
      </c>
      <c r="O73">
        <f>IF('Raw Data'!O73="","",'Raw Data'!O73)</f>
        <v>22.6</v>
      </c>
      <c r="P73" t="str">
        <f>IF('Raw Data'!P73="","",'Raw Data'!P73)</f>
        <v>AB on big rock. Stream sinks below boulders.</v>
      </c>
      <c r="Q73" t="str">
        <f t="shared" si="37"/>
        <v xml:space="preserve"> </v>
      </c>
      <c r="R73" s="3" t="str">
        <f t="shared" si="40"/>
        <v>-</v>
      </c>
      <c r="S73" s="3">
        <f t="shared" si="41"/>
        <v>277.83333333333331</v>
      </c>
      <c r="T73" s="3">
        <f t="shared" si="42"/>
        <v>97.833333333333329</v>
      </c>
      <c r="U73" s="3">
        <f t="shared" si="38"/>
        <v>0.5</v>
      </c>
      <c r="W73" s="4">
        <f t="shared" ref="W73:W119" si="43">J73*COS(U73*PI()/180)</f>
        <v>29.198888153473803</v>
      </c>
      <c r="X73" s="4">
        <f t="shared" ref="X73:X119" si="44">J73*SIN(U73*PI()/180)</f>
        <v>0.25481483655251891</v>
      </c>
      <c r="Y73" s="3">
        <f t="shared" si="39"/>
        <v>97.833333333333314</v>
      </c>
    </row>
    <row r="74" spans="1:25" x14ac:dyDescent="0.25">
      <c r="A74" t="str">
        <f>IF('Raw Data'!A74="","",'Raw Data'!A74)</f>
        <v>AC</v>
      </c>
      <c r="B74" t="str">
        <f>IF('Raw Data'!B74="","",'Raw Data'!B74)</f>
        <v>AD</v>
      </c>
      <c r="C74" t="str">
        <f>IF('Raw Data'!C74="","",'Raw Data'!C74)</f>
        <v>5 to rock jam</v>
      </c>
      <c r="D74">
        <f>IF('Raw Data'!D74="","",'Raw Data'!D74)</f>
        <v>2.5</v>
      </c>
      <c r="E74">
        <f>IF('Raw Data'!E74="","",'Raw Data'!E74)</f>
        <v>1</v>
      </c>
      <c r="F74">
        <f>IF('Raw Data'!F74="","",'Raw Data'!F74)</f>
        <v>7.2</v>
      </c>
      <c r="G74" s="7" t="str">
        <f>IF('Raw Data'!G74="","",SUBSTITUTE('Raw Data'!G74," ",":",1))</f>
        <v>121:00</v>
      </c>
      <c r="H74" s="7" t="str">
        <f>IF('Raw Data'!H74="","",SUBSTITUTE('Raw Data'!H74," ",":",1))</f>
        <v>-</v>
      </c>
      <c r="I74" s="7" t="str">
        <f>IF('Raw Data'!I74="","",SUBSTITUTE('Raw Data'!I74," ",":",1))</f>
        <v>121:00</v>
      </c>
      <c r="J74" s="12">
        <f>IF('Raw Data'!J74="","",IF(LEN(K74)&gt;6,SQRT('Raw Data'!J74^2+N74^2),'Raw Data'!J74))</f>
        <v>10.6</v>
      </c>
      <c r="K74" s="7" t="str">
        <f>IF('Raw Data'!K74="","",IF(LEN('Raw Data'!K74)&lt;7,SUBSTITUTE('Raw Data'!K74," ",":",1),'Raw Data'!K74))</f>
        <v>22:30</v>
      </c>
      <c r="L74" t="str">
        <f>IF('Raw Data'!L74="","",'Raw Data'!L74)</f>
        <v/>
      </c>
      <c r="M74">
        <f>IF('Raw Data'!M74="","",'Raw Data'!M74)</f>
        <v>9.8000000000000007</v>
      </c>
      <c r="N74">
        <f>IF('Raw Data'!N74="","",IF('Raw Data'!N74="-",0,'Raw Data'!N74))</f>
        <v>4.0999999999999996</v>
      </c>
      <c r="O74">
        <f>IF('Raw Data'!O74="","",'Raw Data'!O74)</f>
        <v>22.9</v>
      </c>
      <c r="P74" t="str">
        <f>IF('Raw Data'!P74="","",'Raw Data'!P74)</f>
        <v>AC on dirty great big rock.</v>
      </c>
      <c r="Q74" t="str">
        <f t="shared" si="37"/>
        <v xml:space="preserve"> </v>
      </c>
      <c r="R74" s="3">
        <f t="shared" si="40"/>
        <v>121</v>
      </c>
      <c r="S74" s="3" t="str">
        <f t="shared" si="41"/>
        <v>-</v>
      </c>
      <c r="T74" s="3">
        <f t="shared" si="42"/>
        <v>121</v>
      </c>
      <c r="U74" s="3">
        <f t="shared" si="38"/>
        <v>22.5</v>
      </c>
      <c r="W74" s="4">
        <f t="shared" si="43"/>
        <v>9.7931230446196391</v>
      </c>
      <c r="X74" s="4">
        <f t="shared" si="44"/>
        <v>4.0564443830699517</v>
      </c>
      <c r="Y74" s="3">
        <f t="shared" si="39"/>
        <v>121</v>
      </c>
    </row>
    <row r="75" spans="1:25" x14ac:dyDescent="0.25">
      <c r="A75" t="str">
        <f>IF('Raw Data'!A75="","",'Raw Data'!A75)</f>
        <v>AD</v>
      </c>
      <c r="B75" t="str">
        <f>IF('Raw Data'!B75="","",'Raw Data'!B75)</f>
        <v>AE</v>
      </c>
      <c r="C75">
        <f>IF('Raw Data'!C75="","",'Raw Data'!C75)</f>
        <v>30</v>
      </c>
      <c r="D75">
        <f>IF('Raw Data'!D75="","",'Raw Data'!D75)</f>
        <v>5</v>
      </c>
      <c r="E75">
        <f>IF('Raw Data'!E75="","",'Raw Data'!E75)</f>
        <v>5</v>
      </c>
      <c r="F75">
        <f>IF('Raw Data'!F75="","",'Raw Data'!F75)</f>
        <v>2</v>
      </c>
      <c r="G75" s="7" t="str">
        <f>IF('Raw Data'!G75="","",SUBSTITUTE('Raw Data'!G75," ",":",1))</f>
        <v>-</v>
      </c>
      <c r="H75" s="7" t="str">
        <f>IF('Raw Data'!H75="","",SUBSTITUTE('Raw Data'!H75," ",":",1))</f>
        <v>290:00</v>
      </c>
      <c r="I75" s="7" t="str">
        <f>IF('Raw Data'!I75="","",SUBSTITUTE('Raw Data'!I75," ",":",1))</f>
        <v>110:00</v>
      </c>
      <c r="J75" s="12">
        <f>IF('Raw Data'!J75="","",IF(LEN(K75)&gt;6,SQRT('Raw Data'!J75^2+N75^2),'Raw Data'!J75))</f>
        <v>48.3</v>
      </c>
      <c r="K75" s="7" t="str">
        <f>IF('Raw Data'!K75="","",IF(LEN('Raw Data'!K75)&lt;7,SUBSTITUTE('Raw Data'!K75," ",":",1),'Raw Data'!K75))</f>
        <v>9:40</v>
      </c>
      <c r="L75" t="str">
        <f>IF('Raw Data'!L75="","",'Raw Data'!L75)</f>
        <v/>
      </c>
      <c r="M75">
        <f>IF('Raw Data'!M75="","",'Raw Data'!M75)</f>
        <v>47.6</v>
      </c>
      <c r="N75">
        <f>IF('Raw Data'!N75="","",IF('Raw Data'!N75="-",0,'Raw Data'!N75))</f>
        <v>8.1</v>
      </c>
      <c r="O75">
        <f>IF('Raw Data'!O75="","",'Raw Data'!O75)</f>
        <v>27</v>
      </c>
      <c r="P75" t="str">
        <f>IF('Raw Data'!P75="","",'Raw Data'!P75)</f>
        <v>Stream rises from boulders.</v>
      </c>
      <c r="Q75" t="str">
        <f t="shared" si="37"/>
        <v xml:space="preserve"> </v>
      </c>
      <c r="R75" s="3" t="str">
        <f t="shared" si="40"/>
        <v>-</v>
      </c>
      <c r="S75" s="3">
        <f t="shared" si="41"/>
        <v>290</v>
      </c>
      <c r="T75" s="3">
        <f t="shared" si="42"/>
        <v>110</v>
      </c>
      <c r="U75" s="3">
        <f>IF(ISERROR(FIND(":",K75)),K75,1*CONCATENATE(LEFT(K75,FIND(":",K75)-1),".",MID(RIGHT(K75,LEN(K75)-FIND(":",K75))/60,3,8)))</f>
        <v>9.6666666600000006</v>
      </c>
      <c r="W75" s="4">
        <f t="shared" si="43"/>
        <v>47.614204018655279</v>
      </c>
      <c r="X75" s="4">
        <f t="shared" si="44"/>
        <v>8.1103375805123683</v>
      </c>
      <c r="Y75" s="3">
        <f t="shared" si="39"/>
        <v>110</v>
      </c>
    </row>
    <row r="76" spans="1:25" x14ac:dyDescent="0.25">
      <c r="A76" t="str">
        <f>IF('Raw Data'!A76="","",'Raw Data'!A76)</f>
        <v>AE</v>
      </c>
      <c r="B76" t="str">
        <f>IF('Raw Data'!B76="","",'Raw Data'!B76)</f>
        <v>AF</v>
      </c>
      <c r="C76">
        <f>IF('Raw Data'!C76="","",'Raw Data'!C76)</f>
        <v>40</v>
      </c>
      <c r="D76" t="str">
        <f>IF('Raw Data'!D76="","",'Raw Data'!D76)</f>
        <v>5 to water</v>
      </c>
      <c r="E76">
        <f>IF('Raw Data'!E76="","",'Raw Data'!E76)</f>
        <v>3</v>
      </c>
      <c r="F76">
        <f>IF('Raw Data'!F76="","",'Raw Data'!F76)</f>
        <v>4</v>
      </c>
      <c r="G76" s="7" t="str">
        <f>IF('Raw Data'!G76="","",SUBSTITUTE('Raw Data'!G76," ",":",1))</f>
        <v>050:30</v>
      </c>
      <c r="H76" s="7" t="str">
        <f>IF('Raw Data'!H76="","",SUBSTITUTE('Raw Data'!H76," ",":",1))</f>
        <v>-</v>
      </c>
      <c r="I76" s="7" t="str">
        <f>IF('Raw Data'!I76="","",SUBSTITUTE('Raw Data'!I76," ",":",1))</f>
        <v>050:30</v>
      </c>
      <c r="J76" s="12">
        <f>IF('Raw Data'!J76="","",IF(LEN(K76)&gt;6,SQRT('Raw Data'!J76^2+N76^2),'Raw Data'!J76))</f>
        <v>17</v>
      </c>
      <c r="K76" s="7" t="str">
        <f>IF('Raw Data'!K76="","",IF(LEN('Raw Data'!K76)&lt;7,SUBSTITUTE('Raw Data'!K76," ",":",1),'Raw Data'!K76))</f>
        <v>10:20</v>
      </c>
      <c r="L76" t="str">
        <f>IF('Raw Data'!L76="","",'Raw Data'!L76)</f>
        <v/>
      </c>
      <c r="M76">
        <f>IF('Raw Data'!M76="","",'Raw Data'!M76)</f>
        <v>16.7</v>
      </c>
      <c r="N76">
        <f>IF('Raw Data'!N76="","",IF('Raw Data'!N76="-",0,'Raw Data'!N76))</f>
        <v>3</v>
      </c>
      <c r="O76">
        <f>IF('Raw Data'!O76="","",'Raw Data'!O76)</f>
        <v>35.1</v>
      </c>
      <c r="P76" t="str">
        <f>IF('Raw Data'!P76="","",'Raw Data'!P76)</f>
        <v>Stream sinks below boulders.</v>
      </c>
      <c r="Q76" t="str">
        <f t="shared" si="37"/>
        <v xml:space="preserve"> </v>
      </c>
      <c r="R76" s="3">
        <f t="shared" si="40"/>
        <v>50.5</v>
      </c>
      <c r="S76" s="3" t="str">
        <f t="shared" si="41"/>
        <v>-</v>
      </c>
      <c r="T76" s="3">
        <f t="shared" si="42"/>
        <v>50.5</v>
      </c>
      <c r="U76" s="3">
        <f>IF(ISERROR(FIND(":",K76)),K76,1*CONCATENATE(LEFT(K76,FIND(":",K76)-1),".",MID(RIGHT(K76,LEN(K76)-FIND(":",K76))/60,3,8)))</f>
        <v>10.33333333</v>
      </c>
      <c r="W76" s="4">
        <f t="shared" si="43"/>
        <v>16.724274425060901</v>
      </c>
      <c r="X76" s="4">
        <f t="shared" si="44"/>
        <v>3.0493679599637966</v>
      </c>
      <c r="Y76" s="3">
        <f t="shared" si="39"/>
        <v>50.5</v>
      </c>
    </row>
    <row r="77" spans="1:25" x14ac:dyDescent="0.25">
      <c r="A77" t="str">
        <f>IF('Raw Data'!A77="","",'Raw Data'!A77)</f>
        <v>AF</v>
      </c>
      <c r="B77" t="str">
        <f>IF('Raw Data'!B77="","",'Raw Data'!B77)</f>
        <v>AG</v>
      </c>
      <c r="C77">
        <f>IF('Raw Data'!C77="","",'Raw Data'!C77)</f>
        <v>30</v>
      </c>
      <c r="D77">
        <f>IF('Raw Data'!D77="","",'Raw Data'!D77)</f>
        <v>5</v>
      </c>
      <c r="E77" t="str">
        <f>IF('Raw Data'!E77="","",'Raw Data'!E77)</f>
        <v>-</v>
      </c>
      <c r="F77">
        <f>IF('Raw Data'!F77="","",'Raw Data'!F77)</f>
        <v>3</v>
      </c>
      <c r="G77" s="7" t="str">
        <f>IF('Raw Data'!G77="","",SUBSTITUTE('Raw Data'!G77," ",":",1))</f>
        <v>-</v>
      </c>
      <c r="H77" s="7" t="str">
        <f>IF('Raw Data'!H77="","",SUBSTITUTE('Raw Data'!H77," ",":",1))</f>
        <v>313:00</v>
      </c>
      <c r="I77" s="7" t="str">
        <f>IF('Raw Data'!I77="","",SUBSTITUTE('Raw Data'!I77," ",":",1))</f>
        <v>133:00</v>
      </c>
      <c r="J77" s="12">
        <f>IF('Raw Data'!J77="","",IF(LEN(K77)&gt;6,SQRT('Raw Data'!J77^2+N77^2),'Raw Data'!J77))</f>
        <v>20.2</v>
      </c>
      <c r="K77" s="7" t="str">
        <f>IF('Raw Data'!K77="","",IF(LEN('Raw Data'!K77)&lt;7,SUBSTITUTE('Raw Data'!K77," ",":",1),'Raw Data'!K77))</f>
        <v>3:00</v>
      </c>
      <c r="L77" t="str">
        <f>IF('Raw Data'!L77="","",'Raw Data'!L77)</f>
        <v/>
      </c>
      <c r="M77">
        <f>IF('Raw Data'!M77="","",'Raw Data'!M77)</f>
        <v>20.2</v>
      </c>
      <c r="N77">
        <f>IF('Raw Data'!N77="","",IF('Raw Data'!N77="-",0,'Raw Data'!N77))</f>
        <v>1.1000000000000001</v>
      </c>
      <c r="O77">
        <f>IF('Raw Data'!O77="","",'Raw Data'!O77)</f>
        <v>38.1</v>
      </c>
      <c r="P77" t="str">
        <f>IF('Raw Data'!P77="","",'Raw Data'!P77)</f>
        <v>AF above waterfall.</v>
      </c>
      <c r="Q77" t="str">
        <f t="shared" si="37"/>
        <v xml:space="preserve"> </v>
      </c>
      <c r="R77" s="3" t="str">
        <f t="shared" si="40"/>
        <v>-</v>
      </c>
      <c r="S77" s="3">
        <f t="shared" si="41"/>
        <v>313</v>
      </c>
      <c r="T77" s="3">
        <f t="shared" si="42"/>
        <v>133</v>
      </c>
      <c r="U77" s="3">
        <f t="shared" ref="U77:U119" si="45">IF(ISERROR(FIND(":",K77)),K77,1*CONCATENATE(LEFT(K77,FIND(":",K77)-1),".",MID(RIGHT(K77,LEN(K77)-FIND(":",K77))/60,3,8)))</f>
        <v>3</v>
      </c>
      <c r="W77" s="4">
        <f t="shared" si="43"/>
        <v>20.17231660204239</v>
      </c>
      <c r="X77" s="4">
        <f t="shared" si="44"/>
        <v>1.0571863161074653</v>
      </c>
      <c r="Y77" s="3">
        <f t="shared" si="39"/>
        <v>133</v>
      </c>
    </row>
    <row r="78" spans="1:25" x14ac:dyDescent="0.25">
      <c r="A78" t="str">
        <f>IF('Raw Data'!A78="","",'Raw Data'!A78)</f>
        <v>AG</v>
      </c>
      <c r="B78" t="str">
        <f>IF('Raw Data'!B78="","",'Raw Data'!B78)</f>
        <v>AH</v>
      </c>
      <c r="C78">
        <f>IF('Raw Data'!C78="","",'Raw Data'!C78)</f>
        <v>30</v>
      </c>
      <c r="D78">
        <f>IF('Raw Data'!D78="","",'Raw Data'!D78)</f>
        <v>4</v>
      </c>
      <c r="E78">
        <f>IF('Raw Data'!E78="","",'Raw Data'!E78)</f>
        <v>4</v>
      </c>
      <c r="F78" t="str">
        <f>IF('Raw Data'!F78="","",'Raw Data'!F78)</f>
        <v>/</v>
      </c>
      <c r="G78" s="7" t="str">
        <f>IF('Raw Data'!G78="","",SUBSTITUTE('Raw Data'!G78," ",":",1))</f>
        <v>195:50</v>
      </c>
      <c r="H78" s="7" t="str">
        <f>IF('Raw Data'!H78="","",SUBSTITUTE('Raw Data'!H78," ",":",1))</f>
        <v>-</v>
      </c>
      <c r="I78" s="7" t="str">
        <f>IF('Raw Data'!I78="","",SUBSTITUTE('Raw Data'!I78," ",":",1))</f>
        <v>192:50</v>
      </c>
      <c r="J78" s="12">
        <f>IF('Raw Data'!J78="","",IF(LEN(K78)&gt;6,SQRT('Raw Data'!J78^2+N78^2),'Raw Data'!J78))</f>
        <v>10.1</v>
      </c>
      <c r="K78" s="7" t="str">
        <f>IF('Raw Data'!K78="","",IF(LEN('Raw Data'!K78)&lt;7,SUBSTITUTE('Raw Data'!K78," ",":",1),'Raw Data'!K78))</f>
        <v>11:20</v>
      </c>
      <c r="L78" t="str">
        <f>IF('Raw Data'!L78="","",'Raw Data'!L78)</f>
        <v/>
      </c>
      <c r="M78">
        <f>IF('Raw Data'!M78="","",'Raw Data'!M78)</f>
        <v>9.9</v>
      </c>
      <c r="N78">
        <f>IF('Raw Data'!N78="","",IF('Raw Data'!N78="-",0,'Raw Data'!N78))</f>
        <v>2</v>
      </c>
      <c r="O78">
        <f>IF('Raw Data'!O78="","",'Raw Data'!O78)</f>
        <v>39.200000000000003</v>
      </c>
      <c r="P78" t="str">
        <f>IF('Raw Data'!P78="","",'Raw Data'!P78)</f>
        <v/>
      </c>
      <c r="Q78" t="str">
        <f t="shared" si="37"/>
        <v xml:space="preserve"> </v>
      </c>
      <c r="R78" s="3">
        <f t="shared" si="40"/>
        <v>195.83333333333334</v>
      </c>
      <c r="S78" s="3" t="str">
        <f t="shared" si="41"/>
        <v>-</v>
      </c>
      <c r="T78" s="3">
        <f t="shared" si="42"/>
        <v>192.83333333333334</v>
      </c>
      <c r="U78" s="3">
        <f t="shared" si="45"/>
        <v>11.33333333</v>
      </c>
      <c r="W78" s="4">
        <f t="shared" si="43"/>
        <v>9.9030550072508632</v>
      </c>
      <c r="X78" s="4">
        <f t="shared" si="44"/>
        <v>1.9848177557054478</v>
      </c>
      <c r="Y78" s="3">
        <f t="shared" si="39"/>
        <v>195.83333333333334</v>
      </c>
    </row>
    <row r="79" spans="1:25" x14ac:dyDescent="0.25">
      <c r="A79" t="str">
        <f>IF('Raw Data'!A79="","",'Raw Data'!A79)</f>
        <v>AH</v>
      </c>
      <c r="B79" t="str">
        <f>IF('Raw Data'!B79="","",'Raw Data'!B79)</f>
        <v>AI</v>
      </c>
      <c r="C79">
        <f>IF('Raw Data'!C79="","",'Raw Data'!C79)</f>
        <v>30</v>
      </c>
      <c r="D79">
        <f>IF('Raw Data'!D79="","",'Raw Data'!D79)</f>
        <v>3</v>
      </c>
      <c r="E79">
        <f>IF('Raw Data'!E79="","",'Raw Data'!E79)</f>
        <v>6</v>
      </c>
      <c r="F79">
        <f>IF('Raw Data'!F79="","",'Raw Data'!F79)</f>
        <v>0</v>
      </c>
      <c r="G79" s="7" t="str">
        <f>IF('Raw Data'!G79="","",SUBSTITUTE('Raw Data'!G79," ",":",1))</f>
        <v>-</v>
      </c>
      <c r="H79" s="7" t="str">
        <f>IF('Raw Data'!H79="","",SUBSTITUTE('Raw Data'!H79," ",":",1))</f>
        <v>292:10</v>
      </c>
      <c r="I79" s="7" t="str">
        <f>IF('Raw Data'!I79="","",SUBSTITUTE('Raw Data'!I79," ",":",1))</f>
        <v>112:10</v>
      </c>
      <c r="J79" s="12">
        <f>IF('Raw Data'!J79="","",IF(LEN(K79)&gt;6,SQRT('Raw Data'!J79^2+N79^2),'Raw Data'!J79))</f>
        <v>41.6</v>
      </c>
      <c r="K79" s="7" t="str">
        <f>IF('Raw Data'!K79="","",IF(LEN('Raw Data'!K79)&lt;7,SUBSTITUTE('Raw Data'!K79," ",":",1),'Raw Data'!K79))</f>
        <v>4:50</v>
      </c>
      <c r="L79" t="str">
        <f>IF('Raw Data'!L79="","",'Raw Data'!L79)</f>
        <v/>
      </c>
      <c r="M79">
        <f>IF('Raw Data'!M79="","",'Raw Data'!M79)</f>
        <v>41.4</v>
      </c>
      <c r="N79">
        <f>IF('Raw Data'!N79="","",IF('Raw Data'!N79="-",0,'Raw Data'!N79))</f>
        <v>3.5</v>
      </c>
      <c r="O79">
        <f>IF('Raw Data'!O79="","",'Raw Data'!O79)</f>
        <v>41.2</v>
      </c>
      <c r="P79" t="str">
        <f>IF('Raw Data'!P79="","",'Raw Data'!P79)</f>
        <v/>
      </c>
      <c r="Q79" t="str">
        <f t="shared" si="37"/>
        <v xml:space="preserve"> </v>
      </c>
      <c r="R79" s="3" t="str">
        <f t="shared" si="40"/>
        <v>-</v>
      </c>
      <c r="S79" s="3">
        <f t="shared" si="41"/>
        <v>292.16666666666669</v>
      </c>
      <c r="T79" s="3">
        <f t="shared" si="42"/>
        <v>112.16666666666667</v>
      </c>
      <c r="U79" s="3">
        <f t="shared" si="45"/>
        <v>4.8333333300000003</v>
      </c>
      <c r="W79" s="4">
        <f t="shared" si="43"/>
        <v>41.452070767031543</v>
      </c>
      <c r="X79" s="4">
        <f t="shared" si="44"/>
        <v>3.5051147092512509</v>
      </c>
      <c r="Y79" s="3">
        <f t="shared" si="39"/>
        <v>112.16666666666669</v>
      </c>
    </row>
    <row r="80" spans="1:25" x14ac:dyDescent="0.25">
      <c r="A80" t="str">
        <f>IF('Raw Data'!A80="","",'Raw Data'!A80)</f>
        <v>AI</v>
      </c>
      <c r="B80" t="str">
        <f>IF('Raw Data'!B80="","",'Raw Data'!B80)</f>
        <v>AJ</v>
      </c>
      <c r="C80">
        <f>IF('Raw Data'!C80="","",'Raw Data'!C80)</f>
        <v>25</v>
      </c>
      <c r="D80">
        <f>IF('Raw Data'!D80="","",'Raw Data'!D80)</f>
        <v>3</v>
      </c>
      <c r="E80">
        <f>IF('Raw Data'!E80="","",'Raw Data'!E80)</f>
        <v>2</v>
      </c>
      <c r="F80">
        <f>IF('Raw Data'!F80="","",'Raw Data'!F80)</f>
        <v>3</v>
      </c>
      <c r="G80" s="7" t="str">
        <f>IF('Raw Data'!G80="","",SUBSTITUTE('Raw Data'!G80," ",":",1))</f>
        <v>138:30</v>
      </c>
      <c r="H80" s="7" t="str">
        <f>IF('Raw Data'!H80="","",SUBSTITUTE('Raw Data'!H80," ",":",1))</f>
        <v>-</v>
      </c>
      <c r="I80" s="7" t="str">
        <f>IF('Raw Data'!I80="","",SUBSTITUTE('Raw Data'!I80," ",":",1))</f>
        <v>138:30</v>
      </c>
      <c r="J80" s="12">
        <f>IF('Raw Data'!J80="","",IF(LEN(K80)&gt;6,SQRT('Raw Data'!J80^2+N80^2),'Raw Data'!J80))</f>
        <v>34.200000000000003</v>
      </c>
      <c r="K80" s="7" t="str">
        <f>IF('Raw Data'!K80="","",IF(LEN('Raw Data'!K80)&lt;7,SUBSTITUTE('Raw Data'!K80," ",":",1),'Raw Data'!K80))</f>
        <v>6:30</v>
      </c>
      <c r="L80" t="str">
        <f>IF('Raw Data'!L80="","",'Raw Data'!L80)</f>
        <v/>
      </c>
      <c r="M80">
        <f>IF('Raw Data'!M80="","",'Raw Data'!M80)</f>
        <v>34</v>
      </c>
      <c r="N80">
        <f>IF('Raw Data'!N80="","",IF('Raw Data'!N80="-",0,'Raw Data'!N80))</f>
        <v>3.9</v>
      </c>
      <c r="O80">
        <f>IF('Raw Data'!O80="","",'Raw Data'!O80)</f>
        <v>44.7</v>
      </c>
      <c r="P80" t="str">
        <f>IF('Raw Data'!P80="","",'Raw Data'!P80)</f>
        <v/>
      </c>
      <c r="Q80" t="str">
        <f t="shared" si="37"/>
        <v xml:space="preserve"> </v>
      </c>
      <c r="R80" s="3">
        <f t="shared" si="40"/>
        <v>138.5</v>
      </c>
      <c r="S80" s="3" t="str">
        <f t="shared" si="41"/>
        <v>-</v>
      </c>
      <c r="T80" s="3">
        <f t="shared" si="42"/>
        <v>138.5</v>
      </c>
      <c r="U80" s="3">
        <f t="shared" si="45"/>
        <v>6.5</v>
      </c>
      <c r="W80" s="4">
        <f t="shared" si="43"/>
        <v>33.980157464139296</v>
      </c>
      <c r="X80" s="4">
        <f t="shared" si="44"/>
        <v>3.8715499108624103</v>
      </c>
      <c r="Y80" s="3">
        <f t="shared" si="39"/>
        <v>138.5</v>
      </c>
    </row>
    <row r="81" spans="1:25" x14ac:dyDescent="0.25">
      <c r="A81" t="str">
        <f>IF('Raw Data'!A81="","",'Raw Data'!A81)</f>
        <v>AJ</v>
      </c>
      <c r="B81" t="str">
        <f>IF('Raw Data'!B81="","",'Raw Data'!B81)</f>
        <v>AK</v>
      </c>
      <c r="C81">
        <f>IF('Raw Data'!C81="","",'Raw Data'!C81)</f>
        <v>10</v>
      </c>
      <c r="D81">
        <f>IF('Raw Data'!D81="","",'Raw Data'!D81)</f>
        <v>6</v>
      </c>
      <c r="E81">
        <f>IF('Raw Data'!E81="","",'Raw Data'!E81)</f>
        <v>1</v>
      </c>
      <c r="F81">
        <f>IF('Raw Data'!F81="","",'Raw Data'!F81)</f>
        <v>2.5</v>
      </c>
      <c r="G81" s="7" t="str">
        <f>IF('Raw Data'!G81="","",SUBSTITUTE('Raw Data'!G81," ",":",1))</f>
        <v>-</v>
      </c>
      <c r="H81" s="7" t="str">
        <f>IF('Raw Data'!H81="","",SUBSTITUTE('Raw Data'!H81," ",":",1))</f>
        <v>286:00</v>
      </c>
      <c r="I81" s="7" t="str">
        <f>IF('Raw Data'!I81="","",SUBSTITUTE('Raw Data'!I81," ",":",1))</f>
        <v>106:00</v>
      </c>
      <c r="J81" s="12">
        <f>IF('Raw Data'!J81="","",IF(LEN(K81)&gt;6,SQRT('Raw Data'!J81^2+N81^2),'Raw Data'!J81))</f>
        <v>31.8</v>
      </c>
      <c r="K81" s="7" t="str">
        <f>IF('Raw Data'!K81="","",IF(LEN('Raw Data'!K81)&lt;7,SUBSTITUTE('Raw Data'!K81," ",":",1),'Raw Data'!K81))</f>
        <v>14:30</v>
      </c>
      <c r="L81" t="str">
        <f>IF('Raw Data'!L81="","",'Raw Data'!L81)</f>
        <v/>
      </c>
      <c r="M81">
        <f>IF('Raw Data'!M81="","",'Raw Data'!M81)</f>
        <v>30.7</v>
      </c>
      <c r="N81">
        <f>IF('Raw Data'!N81="","",IF('Raw Data'!N81="-",0,'Raw Data'!N81))</f>
        <v>8</v>
      </c>
      <c r="O81">
        <f>IF('Raw Data'!O81="","",'Raw Data'!O81)</f>
        <v>48.6</v>
      </c>
      <c r="P81" t="str">
        <f>IF('Raw Data'!P81="","",'Raw Data'!P81)</f>
        <v/>
      </c>
      <c r="Q81" t="str">
        <f t="shared" si="37"/>
        <v xml:space="preserve"> </v>
      </c>
      <c r="R81" s="3" t="str">
        <f t="shared" si="40"/>
        <v>-</v>
      </c>
      <c r="S81" s="3">
        <f t="shared" si="41"/>
        <v>286</v>
      </c>
      <c r="T81" s="3">
        <f t="shared" si="42"/>
        <v>106</v>
      </c>
      <c r="U81" s="3">
        <f t="shared" si="45"/>
        <v>14.5</v>
      </c>
      <c r="W81" s="4">
        <f t="shared" si="43"/>
        <v>30.787094964023826</v>
      </c>
      <c r="X81" s="4">
        <f t="shared" si="44"/>
        <v>7.9620841289312381</v>
      </c>
      <c r="Y81" s="3">
        <f t="shared" si="39"/>
        <v>106</v>
      </c>
    </row>
    <row r="82" spans="1:25" x14ac:dyDescent="0.25">
      <c r="A82" t="str">
        <f>IF('Raw Data'!A82="","",'Raw Data'!A82)</f>
        <v>AK</v>
      </c>
      <c r="B82" t="str">
        <f>IF('Raw Data'!B82="","",'Raw Data'!B82)</f>
        <v>AL</v>
      </c>
      <c r="C82" t="str">
        <f>IF('Raw Data'!C82="","",'Raw Data'!C82)</f>
        <v>4 (cascade)</v>
      </c>
      <c r="D82">
        <f>IF('Raw Data'!D82="","",'Raw Data'!D82)</f>
        <v>10</v>
      </c>
      <c r="E82">
        <f>IF('Raw Data'!E82="","",'Raw Data'!E82)</f>
        <v>4</v>
      </c>
      <c r="F82">
        <f>IF('Raw Data'!F82="","",'Raw Data'!F82)</f>
        <v>3</v>
      </c>
      <c r="G82" s="7" t="str">
        <f>IF('Raw Data'!G82="","",SUBSTITUTE('Raw Data'!G82," ",":",1))</f>
        <v>044:00</v>
      </c>
      <c r="H82" s="7" t="str">
        <f>IF('Raw Data'!H82="","",SUBSTITUTE('Raw Data'!H82," ",":",1))</f>
        <v>-</v>
      </c>
      <c r="I82" s="7" t="str">
        <f>IF('Raw Data'!I82="","",SUBSTITUTE('Raw Data'!I82," ",":",1))</f>
        <v>044:00</v>
      </c>
      <c r="J82" s="12">
        <f>IF('Raw Data'!J82="","",IF(LEN(K82)&gt;6,SQRT('Raw Data'!J82^2+N82^2),'Raw Data'!J82))</f>
        <v>11.3</v>
      </c>
      <c r="K82" s="7" t="str">
        <f>IF('Raw Data'!K82="","",IF(LEN('Raw Data'!K82)&lt;7,SUBSTITUTE('Raw Data'!K82," ",":",1),'Raw Data'!K82))</f>
        <v>-0:30</v>
      </c>
      <c r="L82" t="str">
        <f>IF('Raw Data'!L82="","",'Raw Data'!L82)</f>
        <v/>
      </c>
      <c r="M82">
        <f>IF('Raw Data'!M82="","",'Raw Data'!M82)</f>
        <v>11.3</v>
      </c>
      <c r="N82">
        <f>IF('Raw Data'!N82="","",IF('Raw Data'!N82="-",0,'Raw Data'!N82))</f>
        <v>-0.1</v>
      </c>
      <c r="O82">
        <f>IF('Raw Data'!O82="","",'Raw Data'!O82)</f>
        <v>56.6</v>
      </c>
      <c r="P82" t="str">
        <f>IF('Raw Data'!P82="","",'Raw Data'!P82)</f>
        <v>AK is below hole into Upper Grottos. Asellus (sp?) present.</v>
      </c>
      <c r="Q82" t="str">
        <f t="shared" si="37"/>
        <v xml:space="preserve"> </v>
      </c>
      <c r="R82" s="3">
        <f t="shared" si="40"/>
        <v>44</v>
      </c>
      <c r="S82" s="3" t="str">
        <f t="shared" si="41"/>
        <v>-</v>
      </c>
      <c r="T82" s="3">
        <f t="shared" si="42"/>
        <v>44</v>
      </c>
      <c r="U82" s="3">
        <f t="shared" si="45"/>
        <v>-0.5</v>
      </c>
      <c r="W82" s="4">
        <f t="shared" si="43"/>
        <v>11.299569730625137</v>
      </c>
      <c r="X82" s="4">
        <f t="shared" si="44"/>
        <v>-9.8609851131625473E-2</v>
      </c>
      <c r="Y82" s="3">
        <f t="shared" si="39"/>
        <v>44</v>
      </c>
    </row>
    <row r="83" spans="1:25" x14ac:dyDescent="0.25">
      <c r="A83" t="str">
        <f>IF('Raw Data'!A83="","",'Raw Data'!A83)</f>
        <v>AL</v>
      </c>
      <c r="B83" t="str">
        <f>IF('Raw Data'!B83="","",'Raw Data'!B83)</f>
        <v/>
      </c>
      <c r="C83" t="str">
        <f>IF('Raw Data'!C83="","",'Raw Data'!C83)</f>
        <v/>
      </c>
      <c r="D83" t="str">
        <f>IF('Raw Data'!D83="","",'Raw Data'!D83)</f>
        <v/>
      </c>
      <c r="E83" t="str">
        <f>IF('Raw Data'!E83="","",'Raw Data'!E83)</f>
        <v/>
      </c>
      <c r="F83" t="str">
        <f>IF('Raw Data'!F83="","",'Raw Data'!F83)</f>
        <v/>
      </c>
      <c r="G83" s="7" t="str">
        <f>IF('Raw Data'!G83="","",SUBSTITUTE('Raw Data'!G83," ",":",1))</f>
        <v/>
      </c>
      <c r="H83" s="7" t="str">
        <f>IF('Raw Data'!H83="","",SUBSTITUTE('Raw Data'!H83," ",":",1))</f>
        <v/>
      </c>
      <c r="I83" s="7" t="str">
        <f>IF('Raw Data'!I83="","",SUBSTITUTE('Raw Data'!I83," ",":",1))</f>
        <v/>
      </c>
      <c r="J83" s="12" t="str">
        <f>IF('Raw Data'!J83="","",IF(LEN(K83)&gt;6,SQRT('Raw Data'!J83^2+N83^2),'Raw Data'!J83))</f>
        <v/>
      </c>
      <c r="K83" s="7" t="str">
        <f>IF('Raw Data'!K83="","",IF(LEN('Raw Data'!K83)&lt;7,SUBSTITUTE('Raw Data'!K83," ",":",1),'Raw Data'!K83))</f>
        <v/>
      </c>
      <c r="L83" t="str">
        <f>IF('Raw Data'!L83="","",'Raw Data'!L83)</f>
        <v/>
      </c>
      <c r="M83" t="str">
        <f>IF('Raw Data'!M83="","",'Raw Data'!M83)</f>
        <v/>
      </c>
      <c r="N83" t="str">
        <f>IF('Raw Data'!N83="","",IF('Raw Data'!N83="-",0,'Raw Data'!N83))</f>
        <v/>
      </c>
      <c r="O83">
        <f>IF('Raw Data'!O83="","",'Raw Data'!O83)</f>
        <v>56.5</v>
      </c>
      <c r="P83" t="str">
        <f>IF('Raw Data'!P83="","",'Raw Data'!P83)</f>
        <v>Total = 1,918'</v>
      </c>
      <c r="Q83" t="str">
        <f t="shared" si="37"/>
        <v xml:space="preserve"> </v>
      </c>
      <c r="W83" s="4"/>
      <c r="X83" s="4"/>
      <c r="Y83" s="3"/>
    </row>
    <row r="84" spans="1:25" x14ac:dyDescent="0.25">
      <c r="A84" t="str">
        <f>IF('Raw Data'!A84="","",'Raw Data'!A84)</f>
        <v/>
      </c>
      <c r="B84" t="str">
        <f>IF('Raw Data'!B84="","",'Raw Data'!B84)</f>
        <v/>
      </c>
      <c r="C84" t="str">
        <f>IF('Raw Data'!C84="","",'Raw Data'!C84)</f>
        <v/>
      </c>
      <c r="D84" t="str">
        <f>IF('Raw Data'!D84="","",'Raw Data'!D84)</f>
        <v/>
      </c>
      <c r="E84" t="str">
        <f>IF('Raw Data'!E84="","",'Raw Data'!E84)</f>
        <v/>
      </c>
      <c r="F84" t="str">
        <f>IF('Raw Data'!F84="","",'Raw Data'!F84)</f>
        <v/>
      </c>
      <c r="G84" s="7" t="str">
        <f>IF('Raw Data'!G84="","",SUBSTITUTE('Raw Data'!G84," ",":",1))</f>
        <v/>
      </c>
      <c r="H84" s="7" t="str">
        <f>IF('Raw Data'!H84="","",SUBSTITUTE('Raw Data'!H84," ",":",1))</f>
        <v/>
      </c>
      <c r="I84" s="7" t="str">
        <f>IF('Raw Data'!I84="","",SUBSTITUTE('Raw Data'!I84," ",":",1))</f>
        <v/>
      </c>
      <c r="J84" s="12" t="str">
        <f>IF('Raw Data'!J84="","",IF(LEN(K84)&gt;6,SQRT('Raw Data'!J84^2+N84^2),'Raw Data'!J84))</f>
        <v/>
      </c>
      <c r="K84" s="7" t="str">
        <f>IF('Raw Data'!K84="","",IF(LEN('Raw Data'!K84)&lt;7,SUBSTITUTE('Raw Data'!K84," ",":",1),'Raw Data'!K84))</f>
        <v/>
      </c>
      <c r="L84" t="str">
        <f>IF('Raw Data'!L84="","",'Raw Data'!L84)</f>
        <v/>
      </c>
      <c r="M84" t="str">
        <f>IF('Raw Data'!M84="","",'Raw Data'!M84)</f>
        <v/>
      </c>
      <c r="N84" t="str">
        <f>IF('Raw Data'!N84="","",IF('Raw Data'!N84="-",0,'Raw Data'!N84))</f>
        <v/>
      </c>
      <c r="O84" t="str">
        <f>IF('Raw Data'!O84="","",'Raw Data'!O84)</f>
        <v/>
      </c>
      <c r="P84" t="str">
        <f>IF('Raw Data'!P84="","",'Raw Data'!P84)</f>
        <v/>
      </c>
      <c r="Q84" t="str">
        <f t="shared" si="37"/>
        <v xml:space="preserve"> </v>
      </c>
      <c r="W84" s="4"/>
      <c r="X84" s="4"/>
      <c r="Y84" s="3"/>
    </row>
    <row r="85" spans="1:25" x14ac:dyDescent="0.25">
      <c r="A85" t="str">
        <f>IF('Raw Data'!A85="","",'Raw Data'!A85)</f>
        <v>2nd April 1952</v>
      </c>
      <c r="B85" t="str">
        <f>IF('Raw Data'!B85="","",'Raw Data'!B85)</f>
        <v>Cono &amp; Roy Blewett</v>
      </c>
      <c r="C85" t="str">
        <f>IF('Raw Data'!C85="","",'Raw Data'!C85)</f>
        <v/>
      </c>
      <c r="D85" t="str">
        <f>IF('Raw Data'!D85="","",'Raw Data'!D85)</f>
        <v/>
      </c>
      <c r="E85" t="str">
        <f>IF('Raw Data'!E85="","",'Raw Data'!E85)</f>
        <v/>
      </c>
      <c r="F85" t="str">
        <f>IF('Raw Data'!F85="","",'Raw Data'!F85)</f>
        <v/>
      </c>
      <c r="G85" s="7" t="str">
        <f>IF('Raw Data'!G85="","",SUBSTITUTE('Raw Data'!G85," ",":",1))</f>
        <v/>
      </c>
      <c r="H85" s="7" t="str">
        <f>IF('Raw Data'!H85="","",SUBSTITUTE('Raw Data'!H85," ",":",1))</f>
        <v/>
      </c>
      <c r="I85" s="7" t="str">
        <f>IF('Raw Data'!I85="","",SUBSTITUTE('Raw Data'!I85," ",":",1))</f>
        <v/>
      </c>
      <c r="J85" s="12" t="str">
        <f>IF('Raw Data'!J85="","",IF(LEN(K85)&gt;6,SQRT('Raw Data'!J85^2+N85^2),'Raw Data'!J85))</f>
        <v/>
      </c>
      <c r="K85" s="7" t="str">
        <f>IF('Raw Data'!K85="","",IF(LEN('Raw Data'!K85)&lt;7,SUBSTITUTE('Raw Data'!K85," ",":",1),'Raw Data'!K85))</f>
        <v/>
      </c>
      <c r="L85" t="str">
        <f>IF('Raw Data'!L85="","",'Raw Data'!L85)</f>
        <v/>
      </c>
      <c r="M85" t="str">
        <f>IF('Raw Data'!M85="","",'Raw Data'!M85)</f>
        <v/>
      </c>
      <c r="N85" t="str">
        <f>IF('Raw Data'!N85="","",IF('Raw Data'!N85="-",0,'Raw Data'!N85))</f>
        <v/>
      </c>
      <c r="O85" t="str">
        <f>IF('Raw Data'!O85="","",'Raw Data'!O85)</f>
        <v/>
      </c>
      <c r="P85" t="str">
        <f>IF('Raw Data'!P85="","",'Raw Data'!P85)</f>
        <v/>
      </c>
      <c r="Q85" t="str">
        <f t="shared" si="37"/>
        <v xml:space="preserve"> </v>
      </c>
      <c r="W85" s="4"/>
      <c r="X85" s="4"/>
      <c r="Y85" s="3"/>
    </row>
    <row r="86" spans="1:25" x14ac:dyDescent="0.25">
      <c r="A86" t="str">
        <f>IF('Raw Data'!A86="","",'Raw Data'!A86)</f>
        <v>AL</v>
      </c>
      <c r="B86" t="str">
        <f>IF('Raw Data'!B86="","",'Raw Data'!B86)</f>
        <v>AN</v>
      </c>
      <c r="C86">
        <f>IF('Raw Data'!C86="","",'Raw Data'!C86)</f>
        <v>8</v>
      </c>
      <c r="D86">
        <f>IF('Raw Data'!D86="","",'Raw Data'!D86)</f>
        <v>6</v>
      </c>
      <c r="E86">
        <f>IF('Raw Data'!E86="","",'Raw Data'!E86)</f>
        <v>6</v>
      </c>
      <c r="F86">
        <f>IF('Raw Data'!F86="","",'Raw Data'!F86)</f>
        <v>0</v>
      </c>
      <c r="G86" s="7" t="str">
        <f>IF('Raw Data'!G86="","",SUBSTITUTE('Raw Data'!G86," ",":",1))</f>
        <v>-</v>
      </c>
      <c r="H86" s="7" t="str">
        <f>IF('Raw Data'!H86="","",SUBSTITUTE('Raw Data'!H86," ",":",1))</f>
        <v>126:40</v>
      </c>
      <c r="I86" s="7" t="str">
        <f>IF('Raw Data'!I86="","",SUBSTITUTE('Raw Data'!I86," ",":",1))</f>
        <v>306:40</v>
      </c>
      <c r="J86" s="12">
        <f>IF('Raw Data'!J86="","",IF(LEN(K86)&gt;6,SQRT('Raw Data'!J86^2+N86^2),'Raw Data'!J86))</f>
        <v>12.8</v>
      </c>
      <c r="K86" s="7" t="str">
        <f>IF('Raw Data'!K86="","",IF(LEN('Raw Data'!K86)&lt;7,SUBSTITUTE('Raw Data'!K86," ",":",1),'Raw Data'!K86))</f>
        <v>-4:30</v>
      </c>
      <c r="L86" t="str">
        <f>IF('Raw Data'!L86="","",'Raw Data'!L86)</f>
        <v/>
      </c>
      <c r="M86">
        <f>IF('Raw Data'!M86="","",'Raw Data'!M86)</f>
        <v>12.8</v>
      </c>
      <c r="N86">
        <f>IF('Raw Data'!N86="","",IF('Raw Data'!N86="-",0,'Raw Data'!N86))</f>
        <v>-1</v>
      </c>
      <c r="O86">
        <f>IF('Raw Data'!O86="","",'Raw Data'!O86)</f>
        <v>56.5</v>
      </c>
      <c r="P86" t="str">
        <f>IF('Raw Data'!P86="","",'Raw Data'!P86)</f>
        <v>AL is start of St. Pauls survey</v>
      </c>
      <c r="Q86" t="str">
        <f t="shared" si="37"/>
        <v xml:space="preserve"> </v>
      </c>
      <c r="R86" s="3" t="str">
        <f t="shared" si="40"/>
        <v>-</v>
      </c>
      <c r="S86" s="3">
        <f t="shared" si="41"/>
        <v>126.66666666666667</v>
      </c>
      <c r="T86" s="3">
        <f t="shared" si="42"/>
        <v>306.66666666666669</v>
      </c>
      <c r="U86" s="3">
        <f t="shared" si="45"/>
        <v>-4.5</v>
      </c>
      <c r="W86" s="4">
        <f t="shared" si="43"/>
        <v>12.760541871784039</v>
      </c>
      <c r="X86" s="4">
        <f t="shared" si="44"/>
        <v>-1.0042764253164154</v>
      </c>
      <c r="Y86" s="3">
        <f t="shared" si="39"/>
        <v>306.66666666666669</v>
      </c>
    </row>
    <row r="87" spans="1:25" x14ac:dyDescent="0.25">
      <c r="A87" t="str">
        <f>IF('Raw Data'!A87="","",'Raw Data'!A87)</f>
        <v>AN</v>
      </c>
      <c r="B87" t="str">
        <f>IF('Raw Data'!B87="","",'Raw Data'!B87)</f>
        <v>AO</v>
      </c>
      <c r="C87">
        <f>IF('Raw Data'!C87="","",'Raw Data'!C87)</f>
        <v>12</v>
      </c>
      <c r="D87">
        <f>IF('Raw Data'!D87="","",'Raw Data'!D87)</f>
        <v>4</v>
      </c>
      <c r="E87">
        <f>IF('Raw Data'!E87="","",'Raw Data'!E87)</f>
        <v>2</v>
      </c>
      <c r="F87">
        <f>IF('Raw Data'!F87="","",'Raw Data'!F87)</f>
        <v>4</v>
      </c>
      <c r="G87" s="7" t="str">
        <f>IF('Raw Data'!G87="","",SUBSTITUTE('Raw Data'!G87," ",":",1))</f>
        <v>025:20</v>
      </c>
      <c r="H87" s="7" t="str">
        <f>IF('Raw Data'!H87="","",SUBSTITUTE('Raw Data'!H87," ",":",1))</f>
        <v>-</v>
      </c>
      <c r="I87" s="7" t="str">
        <f>IF('Raw Data'!I87="","",SUBSTITUTE('Raw Data'!I87," ",":",1))</f>
        <v>025:20</v>
      </c>
      <c r="J87" s="12">
        <f>IF('Raw Data'!J87="","",IF(LEN(K87)&gt;6,SQRT('Raw Data'!J87^2+N87^2),'Raw Data'!J87))</f>
        <v>16.8</v>
      </c>
      <c r="K87" s="7" t="str">
        <f>IF('Raw Data'!K87="","",IF(LEN('Raw Data'!K87)&lt;7,SUBSTITUTE('Raw Data'!K87," ",":",1),'Raw Data'!K87))</f>
        <v>26:00</v>
      </c>
      <c r="L87" t="str">
        <f>IF('Raw Data'!L87="","",'Raw Data'!L87)</f>
        <v/>
      </c>
      <c r="M87">
        <f>IF('Raw Data'!M87="","",'Raw Data'!M87)</f>
        <v>15.1</v>
      </c>
      <c r="N87">
        <f>IF('Raw Data'!N87="","",IF('Raw Data'!N87="-",0,'Raw Data'!N87))</f>
        <v>7.4</v>
      </c>
      <c r="O87">
        <f>IF('Raw Data'!O87="","",'Raw Data'!O87)</f>
        <v>55.5</v>
      </c>
      <c r="P87" t="str">
        <f>IF('Raw Data'!P87="","",'Raw Data'!P87)</f>
        <v>AN is at S. end of lower big pot.</v>
      </c>
      <c r="Q87" t="str">
        <f t="shared" si="37"/>
        <v xml:space="preserve"> </v>
      </c>
      <c r="R87" s="3">
        <f t="shared" ref="R87:R101" si="46">IF(ISERROR(FIND(":",G87)),IF(G87&lt;&gt;"-",1*G87,G87),1*LEFT(G87,FIND(":",G87)-1)+RIGHT(G87,LEN(G87)-FIND(":",G87))/60)</f>
        <v>25.333333333333332</v>
      </c>
      <c r="S87" s="3" t="str">
        <f t="shared" ref="S87:S101" si="47">IF(ISERROR(FIND(":",H87)),IF(H87&lt;&gt;"-",1*H87,H87),1*LEFT(H87,FIND(":",H87)-1)+RIGHT(H87,LEN(H87)-FIND(":",H87))/60)</f>
        <v>-</v>
      </c>
      <c r="T87" s="3">
        <f t="shared" ref="T87:T101" si="48">IF(ISERROR(FIND(":",I87)),IF(I87&lt;&gt;"-",1*I87,I87),1*LEFT(I87,FIND(":",I87)-1)+RIGHT(I87,LEN(I87)-FIND(":",I87))/60)</f>
        <v>25.333333333333332</v>
      </c>
      <c r="U87" s="3">
        <f t="shared" si="45"/>
        <v>26</v>
      </c>
      <c r="W87" s="4">
        <f t="shared" si="43"/>
        <v>15.099739977826006</v>
      </c>
      <c r="X87" s="4">
        <f t="shared" si="44"/>
        <v>7.3646352660565011</v>
      </c>
      <c r="Y87" s="3">
        <f t="shared" si="39"/>
        <v>25.333333333333332</v>
      </c>
    </row>
    <row r="88" spans="1:25" x14ac:dyDescent="0.25">
      <c r="A88" t="str">
        <f>IF('Raw Data'!A88="","",'Raw Data'!A88)</f>
        <v>AO</v>
      </c>
      <c r="B88" t="str">
        <f>IF('Raw Data'!B88="","",'Raw Data'!B88)</f>
        <v>AP</v>
      </c>
      <c r="C88">
        <f>IF('Raw Data'!C88="","",'Raw Data'!C88)</f>
        <v>8</v>
      </c>
      <c r="D88">
        <f>IF('Raw Data'!D88="","",'Raw Data'!D88)</f>
        <v>6</v>
      </c>
      <c r="E88">
        <f>IF('Raw Data'!E88="","",'Raw Data'!E88)</f>
        <v>1</v>
      </c>
      <c r="F88">
        <f>IF('Raw Data'!F88="","",'Raw Data'!F88)</f>
        <v>2</v>
      </c>
      <c r="G88" s="7" t="str">
        <f>IF('Raw Data'!G88="","",SUBSTITUTE('Raw Data'!G88," ",":",1))</f>
        <v>-</v>
      </c>
      <c r="H88" s="7" t="str">
        <f>IF('Raw Data'!H88="","",SUBSTITUTE('Raw Data'!H88," ",":",1))</f>
        <v>243:50</v>
      </c>
      <c r="I88" s="7" t="str">
        <f>IF('Raw Data'!I88="","",SUBSTITUTE('Raw Data'!I88," ",":",1))</f>
        <v>063:50</v>
      </c>
      <c r="J88" s="12">
        <f>IF('Raw Data'!J88="","",IF(LEN(K88)&gt;6,SQRT('Raw Data'!J88^2+N88^2),'Raw Data'!J88))</f>
        <v>27.7</v>
      </c>
      <c r="K88" s="7" t="str">
        <f>IF('Raw Data'!K88="","",IF(LEN('Raw Data'!K88)&lt;7,SUBSTITUTE('Raw Data'!K88," ",":",1),'Raw Data'!K88))</f>
        <v>12:00</v>
      </c>
      <c r="L88" t="str">
        <f>IF('Raw Data'!L88="","",'Raw Data'!L88)</f>
        <v/>
      </c>
      <c r="M88">
        <f>IF('Raw Data'!M88="","",'Raw Data'!M88)</f>
        <v>27.1</v>
      </c>
      <c r="N88">
        <f>IF('Raw Data'!N88="","",IF('Raw Data'!N88="-",0,'Raw Data'!N88))</f>
        <v>5.8</v>
      </c>
      <c r="O88">
        <f>IF('Raw Data'!O88="","",'Raw Data'!O88)</f>
        <v>62.9</v>
      </c>
      <c r="P88" t="str">
        <f>IF('Raw Data'!P88="","",'Raw Data'!P88)</f>
        <v/>
      </c>
      <c r="Q88" t="str">
        <f t="shared" si="37"/>
        <v xml:space="preserve"> </v>
      </c>
      <c r="R88" s="3" t="str">
        <f t="shared" si="46"/>
        <v>-</v>
      </c>
      <c r="S88" s="3">
        <f t="shared" si="47"/>
        <v>243.83333333333334</v>
      </c>
      <c r="T88" s="3">
        <f t="shared" si="48"/>
        <v>63.833333333333336</v>
      </c>
      <c r="U88" s="3">
        <f t="shared" si="45"/>
        <v>12</v>
      </c>
      <c r="W88" s="4">
        <f t="shared" si="43"/>
        <v>27.094688540326416</v>
      </c>
      <c r="X88" s="4">
        <f t="shared" si="44"/>
        <v>5.759153835651933</v>
      </c>
      <c r="Y88" s="3">
        <f t="shared" si="39"/>
        <v>63.833333333333343</v>
      </c>
    </row>
    <row r="89" spans="1:25" x14ac:dyDescent="0.25">
      <c r="A89" t="str">
        <f>IF('Raw Data'!A89="","",'Raw Data'!A89)</f>
        <v>AP</v>
      </c>
      <c r="B89" t="str">
        <f>IF('Raw Data'!B89="","",'Raw Data'!B89)</f>
        <v>AQ</v>
      </c>
      <c r="C89">
        <f>IF('Raw Data'!C89="","",'Raw Data'!C89)</f>
        <v>20</v>
      </c>
      <c r="D89">
        <f>IF('Raw Data'!D89="","",'Raw Data'!D89)</f>
        <v>4.5</v>
      </c>
      <c r="E89">
        <f>IF('Raw Data'!E89="","",'Raw Data'!E89)</f>
        <v>1</v>
      </c>
      <c r="F89">
        <f>IF('Raw Data'!F89="","",'Raw Data'!F89)</f>
        <v>3</v>
      </c>
      <c r="G89" s="7" t="str">
        <f>IF('Raw Data'!G89="","",SUBSTITUTE('Raw Data'!G89," ",":",1))</f>
        <v>094:00</v>
      </c>
      <c r="H89" s="7" t="str">
        <f>IF('Raw Data'!H89="","",SUBSTITUTE('Raw Data'!H89," ",":",1))</f>
        <v>-</v>
      </c>
      <c r="I89" s="7" t="str">
        <f>IF('Raw Data'!I89="","",SUBSTITUTE('Raw Data'!I89," ",":",1))</f>
        <v>094:00</v>
      </c>
      <c r="J89" s="12">
        <f>IF('Raw Data'!J89="","",IF(LEN(K89)&gt;6,SQRT('Raw Data'!J89^2+N89^2),'Raw Data'!J89))</f>
        <v>23.2</v>
      </c>
      <c r="K89" s="7" t="str">
        <f>IF('Raw Data'!K89="","",IF(LEN('Raw Data'!K89)&lt;7,SUBSTITUTE('Raw Data'!K89," ",":",1),'Raw Data'!K89))</f>
        <v>10:30</v>
      </c>
      <c r="L89" t="str">
        <f>IF('Raw Data'!L89="","",'Raw Data'!L89)</f>
        <v/>
      </c>
      <c r="M89">
        <f>IF('Raw Data'!M89="","",'Raw Data'!M89)</f>
        <v>22.8</v>
      </c>
      <c r="N89">
        <f>IF('Raw Data'!N89="","",IF('Raw Data'!N89="-",0,'Raw Data'!N89))</f>
        <v>4.0999999999999996</v>
      </c>
      <c r="O89">
        <f>IF('Raw Data'!O89="","",'Raw Data'!O89)</f>
        <v>68.7</v>
      </c>
      <c r="P89" t="str">
        <f>IF('Raw Data'!P89="","",'Raw Data'!P89)</f>
        <v/>
      </c>
      <c r="Q89" t="str">
        <f t="shared" si="37"/>
        <v xml:space="preserve"> </v>
      </c>
      <c r="R89" s="3">
        <f t="shared" si="46"/>
        <v>94</v>
      </c>
      <c r="S89" s="3" t="str">
        <f t="shared" si="47"/>
        <v>-</v>
      </c>
      <c r="T89" s="3">
        <f t="shared" si="48"/>
        <v>94</v>
      </c>
      <c r="U89" s="3">
        <f t="shared" si="45"/>
        <v>10.5</v>
      </c>
      <c r="W89" s="4">
        <f t="shared" si="43"/>
        <v>22.811513855483746</v>
      </c>
      <c r="X89" s="4">
        <f t="shared" si="44"/>
        <v>4.2278641914178214</v>
      </c>
      <c r="Y89" s="3">
        <f t="shared" si="39"/>
        <v>94</v>
      </c>
    </row>
    <row r="90" spans="1:25" x14ac:dyDescent="0.25">
      <c r="A90" t="str">
        <f>IF('Raw Data'!A90="","",'Raw Data'!A90)</f>
        <v>AQ</v>
      </c>
      <c r="B90" t="str">
        <f>IF('Raw Data'!B90="","",'Raw Data'!B90)</f>
        <v>AR</v>
      </c>
      <c r="C90">
        <f>IF('Raw Data'!C90="","",'Raw Data'!C90)</f>
        <v>30</v>
      </c>
      <c r="D90">
        <f>IF('Raw Data'!D90="","",'Raw Data'!D90)</f>
        <v>6</v>
      </c>
      <c r="E90">
        <f>IF('Raw Data'!E90="","",'Raw Data'!E90)</f>
        <v>0</v>
      </c>
      <c r="F90">
        <f>IF('Raw Data'!F90="","",'Raw Data'!F90)</f>
        <v>4</v>
      </c>
      <c r="G90" s="7" t="str">
        <f>IF('Raw Data'!G90="","",SUBSTITUTE('Raw Data'!G90," ",":",1))</f>
        <v>-</v>
      </c>
      <c r="H90" s="7" t="str">
        <f>IF('Raw Data'!H90="","",SUBSTITUTE('Raw Data'!H90," ",":",1))</f>
        <v>316:00</v>
      </c>
      <c r="I90" s="7" t="str">
        <f>IF('Raw Data'!I90="","",SUBSTITUTE('Raw Data'!I90," ",":",1))</f>
        <v>136:00</v>
      </c>
      <c r="J90" s="12">
        <f>IF('Raw Data'!J90="","",IF(LEN(K90)&gt;6,SQRT('Raw Data'!J90^2+N90^2),'Raw Data'!J90))</f>
        <v>10.7</v>
      </c>
      <c r="K90" s="7" t="str">
        <f>IF('Raw Data'!K90="","",IF(LEN('Raw Data'!K90)&lt;7,SUBSTITUTE('Raw Data'!K90," ",":",1),'Raw Data'!K90))</f>
        <v>-5:30</v>
      </c>
      <c r="L90" t="str">
        <f>IF('Raw Data'!L90="","",'Raw Data'!L90)</f>
        <v/>
      </c>
      <c r="M90">
        <f>IF('Raw Data'!M90="","",'Raw Data'!M90)</f>
        <v>10.6</v>
      </c>
      <c r="N90">
        <f>IF('Raw Data'!N90="","",IF('Raw Data'!N90="-",0,'Raw Data'!N90))</f>
        <v>-1</v>
      </c>
      <c r="O90">
        <f>IF('Raw Data'!O90="","",'Raw Data'!O90)</f>
        <v>72.8</v>
      </c>
      <c r="P90" t="str">
        <f>IF('Raw Data'!P90="","",'Raw Data'!P90)</f>
        <v/>
      </c>
      <c r="Q90" t="str">
        <f t="shared" si="37"/>
        <v xml:space="preserve"> </v>
      </c>
      <c r="R90" s="3" t="str">
        <f t="shared" si="46"/>
        <v>-</v>
      </c>
      <c r="S90" s="3">
        <f t="shared" si="47"/>
        <v>316</v>
      </c>
      <c r="T90" s="3">
        <f t="shared" si="48"/>
        <v>136</v>
      </c>
      <c r="U90" s="3">
        <f t="shared" si="45"/>
        <v>-5.5</v>
      </c>
      <c r="W90" s="4">
        <f t="shared" si="43"/>
        <v>10.650739322528812</v>
      </c>
      <c r="X90" s="4">
        <f t="shared" si="44"/>
        <v>-1.0255495519663966</v>
      </c>
      <c r="Y90" s="3">
        <f t="shared" si="39"/>
        <v>136</v>
      </c>
    </row>
    <row r="91" spans="1:25" x14ac:dyDescent="0.25">
      <c r="A91" t="str">
        <f>IF('Raw Data'!A91="","",'Raw Data'!A91)</f>
        <v>AR</v>
      </c>
      <c r="B91" t="str">
        <f>IF('Raw Data'!B91="","",'Raw Data'!B91)</f>
        <v>AS</v>
      </c>
      <c r="C91">
        <f>IF('Raw Data'!C91="","",'Raw Data'!C91)</f>
        <v>30</v>
      </c>
      <c r="D91">
        <f>IF('Raw Data'!D91="","",'Raw Data'!D91)</f>
        <v>4</v>
      </c>
      <c r="E91" t="str">
        <f>IF('Raw Data'!E91="","",'Raw Data'!E91)</f>
        <v>/</v>
      </c>
      <c r="F91">
        <f>IF('Raw Data'!F91="","",'Raw Data'!F91)</f>
        <v>2</v>
      </c>
      <c r="G91" s="7" t="str">
        <f>IF('Raw Data'!G91="","",SUBSTITUTE('Raw Data'!G91," ",":",1))</f>
        <v>012:20</v>
      </c>
      <c r="H91" s="7" t="str">
        <f>IF('Raw Data'!H91="","",SUBSTITUTE('Raw Data'!H91," ",":",1))</f>
        <v>-</v>
      </c>
      <c r="I91" s="7" t="str">
        <f>IF('Raw Data'!I91="","",SUBSTITUTE('Raw Data'!I91," ",":",1))</f>
        <v>012:20</v>
      </c>
      <c r="J91" s="12">
        <f>IF('Raw Data'!J91="","",IF(LEN(K91)&gt;6,SQRT('Raw Data'!J91^2+N91^2),'Raw Data'!J91))</f>
        <v>26.5</v>
      </c>
      <c r="K91" s="7" t="str">
        <f>IF('Raw Data'!K91="","",IF(LEN('Raw Data'!K91)&lt;7,SUBSTITUTE('Raw Data'!K91," ",":",1),'Raw Data'!K91))</f>
        <v>28:30</v>
      </c>
      <c r="L91" t="str">
        <f>IF('Raw Data'!L91="","",'Raw Data'!L91)</f>
        <v/>
      </c>
      <c r="M91">
        <f>IF('Raw Data'!M91="","",'Raw Data'!M91)</f>
        <v>23.3</v>
      </c>
      <c r="N91">
        <f>IF('Raw Data'!N91="","",IF('Raw Data'!N91="-",0,'Raw Data'!N91))</f>
        <v>12.6</v>
      </c>
      <c r="O91">
        <f>IF('Raw Data'!O91="","",'Raw Data'!O91)</f>
        <v>71.8</v>
      </c>
      <c r="P91" t="str">
        <f>IF('Raw Data'!P91="","",'Raw Data'!P91)</f>
        <v/>
      </c>
      <c r="Q91" t="str">
        <f t="shared" si="37"/>
        <v xml:space="preserve"> </v>
      </c>
      <c r="R91" s="3">
        <f t="shared" si="46"/>
        <v>12.333333333333334</v>
      </c>
      <c r="S91" s="3" t="str">
        <f t="shared" si="47"/>
        <v>-</v>
      </c>
      <c r="T91" s="3">
        <f t="shared" si="48"/>
        <v>12.333333333333334</v>
      </c>
      <c r="U91" s="3">
        <f t="shared" si="45"/>
        <v>28.5</v>
      </c>
      <c r="W91" s="4">
        <f t="shared" si="43"/>
        <v>23.288653485542081</v>
      </c>
      <c r="X91" s="4">
        <f t="shared" si="44"/>
        <v>12.644707146879623</v>
      </c>
      <c r="Y91" s="3">
        <f t="shared" si="39"/>
        <v>12.333333333333334</v>
      </c>
    </row>
    <row r="92" spans="1:25" x14ac:dyDescent="0.25">
      <c r="A92" t="str">
        <f>IF('Raw Data'!A92="","",'Raw Data'!A92)</f>
        <v>AS</v>
      </c>
      <c r="B92" t="str">
        <f>IF('Raw Data'!B92="","",'Raw Data'!B92)</f>
        <v>AT</v>
      </c>
      <c r="C92">
        <f>IF('Raw Data'!C92="","",'Raw Data'!C92)</f>
        <v>30</v>
      </c>
      <c r="D92">
        <f>IF('Raw Data'!D92="","",'Raw Data'!D92)</f>
        <v>10</v>
      </c>
      <c r="E92">
        <f>IF('Raw Data'!E92="","",'Raw Data'!E92)</f>
        <v>6</v>
      </c>
      <c r="F92">
        <f>IF('Raw Data'!F92="","",'Raw Data'!F92)</f>
        <v>1</v>
      </c>
      <c r="G92" s="7" t="str">
        <f>IF('Raw Data'!G92="","",SUBSTITUTE('Raw Data'!G92," ",":",1))</f>
        <v>-</v>
      </c>
      <c r="H92" s="7" t="str">
        <f>IF('Raw Data'!H92="","",SUBSTITUTE('Raw Data'!H92," ",":",1))</f>
        <v>169:30</v>
      </c>
      <c r="I92" s="7" t="str">
        <f>IF('Raw Data'!I92="","",SUBSTITUTE('Raw Data'!I92," ",":",1))</f>
        <v>349:30</v>
      </c>
      <c r="J92" s="12">
        <f>IF('Raw Data'!J92="","",IF(LEN(K92)&gt;6,SQRT('Raw Data'!J92^2+N92^2),'Raw Data'!J92))</f>
        <v>38.6</v>
      </c>
      <c r="K92" s="7" t="str">
        <f>IF('Raw Data'!K92="","",IF(LEN('Raw Data'!K92)&lt;7,SUBSTITUTE('Raw Data'!K92," ",":",1),'Raw Data'!K92))</f>
        <v>10:30</v>
      </c>
      <c r="L92" t="str">
        <f>IF('Raw Data'!L92="","",'Raw Data'!L92)</f>
        <v/>
      </c>
      <c r="M92">
        <f>IF('Raw Data'!M92="","",'Raw Data'!M92)</f>
        <v>38</v>
      </c>
      <c r="N92">
        <f>IF('Raw Data'!N92="","",IF('Raw Data'!N92="-",0,'Raw Data'!N92))</f>
        <v>7</v>
      </c>
      <c r="O92">
        <f>IF('Raw Data'!O92="","",'Raw Data'!O92)</f>
        <v>84.4</v>
      </c>
      <c r="P92" t="str">
        <f>IF('Raw Data'!P92="","",'Raw Data'!P92)</f>
        <v/>
      </c>
      <c r="Q92" t="str">
        <f t="shared" si="37"/>
        <v xml:space="preserve"> </v>
      </c>
      <c r="R92" s="3" t="str">
        <f t="shared" si="46"/>
        <v>-</v>
      </c>
      <c r="S92" s="3">
        <f t="shared" si="47"/>
        <v>169.5</v>
      </c>
      <c r="T92" s="3">
        <f t="shared" si="48"/>
        <v>349.5</v>
      </c>
      <c r="U92" s="3">
        <f t="shared" si="45"/>
        <v>10.5</v>
      </c>
      <c r="W92" s="4">
        <f t="shared" si="43"/>
        <v>37.953639431968647</v>
      </c>
      <c r="X92" s="4">
        <f t="shared" si="44"/>
        <v>7.0342912839968923</v>
      </c>
      <c r="Y92" s="3">
        <f t="shared" si="39"/>
        <v>349.5</v>
      </c>
    </row>
    <row r="93" spans="1:25" x14ac:dyDescent="0.25">
      <c r="A93" t="str">
        <f>IF('Raw Data'!A93="","",'Raw Data'!A93)</f>
        <v>AT</v>
      </c>
      <c r="B93" t="str">
        <f>IF('Raw Data'!B93="","",'Raw Data'!B93)</f>
        <v>AU</v>
      </c>
      <c r="C93">
        <f>IF('Raw Data'!C93="","",'Raw Data'!C93)</f>
        <v>8</v>
      </c>
      <c r="D93">
        <f>IF('Raw Data'!D93="","",'Raw Data'!D93)</f>
        <v>13</v>
      </c>
      <c r="E93">
        <f>IF('Raw Data'!E93="","",'Raw Data'!E93)</f>
        <v>6</v>
      </c>
      <c r="F93">
        <f>IF('Raw Data'!F93="","",'Raw Data'!F93)</f>
        <v>1</v>
      </c>
      <c r="G93" s="7" t="str">
        <f>IF('Raw Data'!G93="","",SUBSTITUTE('Raw Data'!G93," ",":",1))</f>
        <v>321:40</v>
      </c>
      <c r="H93" s="7" t="str">
        <f>IF('Raw Data'!H93="","",SUBSTITUTE('Raw Data'!H93," ",":",1))</f>
        <v>-</v>
      </c>
      <c r="I93" s="7" t="str">
        <f>IF('Raw Data'!I93="","",SUBSTITUTE('Raw Data'!I93," ",":",1))</f>
        <v>321:40</v>
      </c>
      <c r="J93" s="12">
        <f>IF('Raw Data'!J93="","",IF(LEN(K93)&gt;6,SQRT('Raw Data'!J93^2+N93^2),'Raw Data'!J93))</f>
        <v>23.3</v>
      </c>
      <c r="K93" s="7" t="str">
        <f>IF('Raw Data'!K93="","",IF(LEN('Raw Data'!K93)&lt;7,SUBSTITUTE('Raw Data'!K93," ",":",1),'Raw Data'!K93))</f>
        <v>-4:00</v>
      </c>
      <c r="L93" t="str">
        <f>IF('Raw Data'!L93="","",'Raw Data'!L93)</f>
        <v/>
      </c>
      <c r="M93">
        <f>IF('Raw Data'!M93="","",'Raw Data'!M93)</f>
        <v>23.2</v>
      </c>
      <c r="N93">
        <f>IF('Raw Data'!N93="","",IF('Raw Data'!N93="-",0,'Raw Data'!N93))</f>
        <v>-1.6</v>
      </c>
      <c r="O93">
        <f>IF('Raw Data'!O93="","",'Raw Data'!O93)</f>
        <v>91.4</v>
      </c>
      <c r="P93" t="str">
        <f>IF('Raw Data'!P93="","",'Raw Data'!P93)</f>
        <v/>
      </c>
      <c r="Q93" t="str">
        <f t="shared" si="37"/>
        <v xml:space="preserve"> </v>
      </c>
      <c r="R93" s="3">
        <f t="shared" si="46"/>
        <v>321.66666666666669</v>
      </c>
      <c r="S93" s="3" t="str">
        <f t="shared" si="47"/>
        <v>-</v>
      </c>
      <c r="T93" s="3">
        <f t="shared" si="48"/>
        <v>321.66666666666669</v>
      </c>
      <c r="U93" s="3">
        <f t="shared" si="45"/>
        <v>-4</v>
      </c>
      <c r="W93" s="4">
        <f t="shared" si="43"/>
        <v>23.243242371053906</v>
      </c>
      <c r="X93" s="4">
        <f t="shared" si="44"/>
        <v>-1.6253258382381195</v>
      </c>
      <c r="Y93" s="3">
        <f t="shared" si="39"/>
        <v>321.66666666666669</v>
      </c>
    </row>
    <row r="94" spans="1:25" x14ac:dyDescent="0.25">
      <c r="A94" t="str">
        <f>IF('Raw Data'!A94="","",'Raw Data'!A94)</f>
        <v>AU</v>
      </c>
      <c r="B94" t="str">
        <f>IF('Raw Data'!B94="","",'Raw Data'!B94)</f>
        <v>AV</v>
      </c>
      <c r="C94">
        <f>IF('Raw Data'!C94="","",'Raw Data'!C94)</f>
        <v>25</v>
      </c>
      <c r="D94">
        <f>IF('Raw Data'!D94="","",'Raw Data'!D94)</f>
        <v>5</v>
      </c>
      <c r="E94">
        <f>IF('Raw Data'!E94="","",'Raw Data'!E94)</f>
        <v>2</v>
      </c>
      <c r="F94">
        <f>IF('Raw Data'!F94="","",'Raw Data'!F94)</f>
        <v>6</v>
      </c>
      <c r="G94" s="7" t="str">
        <f>IF('Raw Data'!G94="","",SUBSTITUTE('Raw Data'!G94," ",":",1))</f>
        <v>-</v>
      </c>
      <c r="H94" s="7" t="str">
        <f>IF('Raw Data'!H94="","",SUBSTITUTE('Raw Data'!H94," ",":",1))</f>
        <v>245:30</v>
      </c>
      <c r="I94" s="7" t="str">
        <f>IF('Raw Data'!I94="","",SUBSTITUTE('Raw Data'!I94," ",":",1))</f>
        <v>065:30</v>
      </c>
      <c r="J94" s="12">
        <f>IF('Raw Data'!J94="","",IF(LEN(K94)&gt;6,SQRT('Raw Data'!J94^2+N94^2),'Raw Data'!J94))</f>
        <v>23.3</v>
      </c>
      <c r="K94" s="7" t="str">
        <f>IF('Raw Data'!K94="","",IF(LEN('Raw Data'!K94)&lt;7,SUBSTITUTE('Raw Data'!K94," ",":",1),'Raw Data'!K94))</f>
        <v>9:00</v>
      </c>
      <c r="L94" t="str">
        <f>IF('Raw Data'!L94="","",'Raw Data'!L94)</f>
        <v/>
      </c>
      <c r="M94">
        <f>IF('Raw Data'!M94="","",'Raw Data'!M94)</f>
        <v>23</v>
      </c>
      <c r="N94">
        <f>IF('Raw Data'!N94="","",IF('Raw Data'!N94="-",0,'Raw Data'!N94))</f>
        <v>3.6</v>
      </c>
      <c r="O94">
        <f>IF('Raw Data'!O94="","",'Raw Data'!O94)</f>
        <v>89.8</v>
      </c>
      <c r="P94" t="str">
        <f>IF('Raw Data'!P94="","",'Raw Data'!P94)</f>
        <v/>
      </c>
      <c r="Q94" t="str">
        <f t="shared" si="37"/>
        <v xml:space="preserve"> </v>
      </c>
      <c r="R94" s="3" t="str">
        <f t="shared" si="46"/>
        <v>-</v>
      </c>
      <c r="S94" s="3">
        <f t="shared" si="47"/>
        <v>245.5</v>
      </c>
      <c r="T94" s="3">
        <f t="shared" si="48"/>
        <v>65.5</v>
      </c>
      <c r="U94" s="3">
        <f t="shared" si="45"/>
        <v>9</v>
      </c>
      <c r="W94" s="4">
        <f t="shared" si="43"/>
        <v>23.01313833586671</v>
      </c>
      <c r="X94" s="4">
        <f t="shared" si="44"/>
        <v>3.6449230354373792</v>
      </c>
      <c r="Y94" s="3">
        <f t="shared" si="39"/>
        <v>65.5</v>
      </c>
    </row>
    <row r="95" spans="1:25" x14ac:dyDescent="0.25">
      <c r="A95" t="str">
        <f>IF('Raw Data'!A95="","",'Raw Data'!A95)</f>
        <v>AV</v>
      </c>
      <c r="B95" t="str">
        <f>IF('Raw Data'!B95="","",'Raw Data'!B95)</f>
        <v>AW</v>
      </c>
      <c r="C95">
        <f>IF('Raw Data'!C95="","",'Raw Data'!C95)</f>
        <v>30</v>
      </c>
      <c r="D95">
        <f>IF('Raw Data'!D95="","",'Raw Data'!D95)</f>
        <v>1.5</v>
      </c>
      <c r="E95">
        <f>IF('Raw Data'!E95="","",'Raw Data'!E95)</f>
        <v>7</v>
      </c>
      <c r="F95">
        <f>IF('Raw Data'!F95="","",'Raw Data'!F95)</f>
        <v>8</v>
      </c>
      <c r="G95" s="7" t="str">
        <f>IF('Raw Data'!G95="","",SUBSTITUTE('Raw Data'!G95," ",":",1))</f>
        <v>108:30</v>
      </c>
      <c r="H95" s="7" t="str">
        <f>IF('Raw Data'!H95="","",SUBSTITUTE('Raw Data'!H95," ",":",1))</f>
        <v>-</v>
      </c>
      <c r="I95" s="7" t="str">
        <f>IF('Raw Data'!I95="","",SUBSTITUTE('Raw Data'!I95," ",":",1))</f>
        <v>108:30</v>
      </c>
      <c r="J95" s="12">
        <f>IF('Raw Data'!J95="","",IF(LEN(K95)&gt;6,SQRT('Raw Data'!J95^2+N95^2),'Raw Data'!J95))</f>
        <v>24.1</v>
      </c>
      <c r="K95" s="7" t="str">
        <f>IF('Raw Data'!K95="","",IF(LEN('Raw Data'!K95)&lt;7,SUBSTITUTE('Raw Data'!K95," ",":",1),'Raw Data'!K95))</f>
        <v>27:30</v>
      </c>
      <c r="L95" t="str">
        <f>IF('Raw Data'!L95="","",'Raw Data'!L95)</f>
        <v/>
      </c>
      <c r="M95">
        <f>IF('Raw Data'!M95="","",'Raw Data'!M95)</f>
        <v>21.4</v>
      </c>
      <c r="N95">
        <f>IF('Raw Data'!N95="","",IF('Raw Data'!N95="-",0,'Raw Data'!N95))</f>
        <v>11.1</v>
      </c>
      <c r="O95">
        <f>IF('Raw Data'!O95="","",'Raw Data'!O95)</f>
        <v>93.4</v>
      </c>
      <c r="P95" t="str">
        <f>IF('Raw Data'!P95="","",'Raw Data'!P95)</f>
        <v>AV is in middle of upper big pot.</v>
      </c>
      <c r="Q95" t="str">
        <f t="shared" si="37"/>
        <v xml:space="preserve"> </v>
      </c>
      <c r="R95" s="3">
        <f t="shared" si="46"/>
        <v>108.5</v>
      </c>
      <c r="S95" s="3" t="str">
        <f t="shared" si="47"/>
        <v>-</v>
      </c>
      <c r="T95" s="3">
        <f t="shared" si="48"/>
        <v>108.5</v>
      </c>
      <c r="U95" s="3">
        <f t="shared" si="45"/>
        <v>27.5</v>
      </c>
      <c r="W95" s="4">
        <f t="shared" si="43"/>
        <v>21.376961079595144</v>
      </c>
      <c r="X95" s="4">
        <f t="shared" si="44"/>
        <v>11.128141578964318</v>
      </c>
      <c r="Y95" s="3">
        <f t="shared" si="39"/>
        <v>108.5</v>
      </c>
    </row>
    <row r="96" spans="1:25" x14ac:dyDescent="0.25">
      <c r="A96" t="str">
        <f>IF('Raw Data'!A96="","",'Raw Data'!A96)</f>
        <v>AW</v>
      </c>
      <c r="B96" t="str">
        <f>IF('Raw Data'!B96="","",'Raw Data'!B96)</f>
        <v>AX</v>
      </c>
      <c r="C96">
        <f>IF('Raw Data'!C96="","",'Raw Data'!C96)</f>
        <v>35</v>
      </c>
      <c r="D96">
        <f>IF('Raw Data'!D96="","",'Raw Data'!D96)</f>
        <v>6</v>
      </c>
      <c r="E96">
        <f>IF('Raw Data'!E96="","",'Raw Data'!E96)</f>
        <v>8</v>
      </c>
      <c r="F96">
        <f>IF('Raw Data'!F96="","",'Raw Data'!F96)</f>
        <v>2</v>
      </c>
      <c r="G96" s="7" t="str">
        <f>IF('Raw Data'!G96="","",SUBSTITUTE('Raw Data'!G96," ",":",1))</f>
        <v>-</v>
      </c>
      <c r="H96" s="7" t="str">
        <f>IF('Raw Data'!H96="","",SUBSTITUTE('Raw Data'!H96," ",":",1))</f>
        <v>259:40</v>
      </c>
      <c r="I96" s="7" t="str">
        <f>IF('Raw Data'!I96="","",SUBSTITUTE('Raw Data'!I96," ",":",1))</f>
        <v>079:40</v>
      </c>
      <c r="J96" s="12">
        <f>IF('Raw Data'!J96="","",IF(LEN(K96)&gt;6,SQRT('Raw Data'!J96^2+N96^2),'Raw Data'!J96))</f>
        <v>14.6</v>
      </c>
      <c r="K96" s="7" t="str">
        <f>IF('Raw Data'!K96="","",IF(LEN('Raw Data'!K96)&lt;7,SUBSTITUTE('Raw Data'!K96," ",":",1),'Raw Data'!K96))</f>
        <v>23:30</v>
      </c>
      <c r="L96" t="str">
        <f>IF('Raw Data'!L96="","",'Raw Data'!L96)</f>
        <v/>
      </c>
      <c r="M96">
        <f>IF('Raw Data'!M96="","",'Raw Data'!M96)</f>
        <v>13.4</v>
      </c>
      <c r="N96">
        <f>IF('Raw Data'!N96="","",IF('Raw Data'!N96="-",0,'Raw Data'!N96))</f>
        <v>5.8</v>
      </c>
      <c r="O96">
        <f>IF('Raw Data'!O96="","",'Raw Data'!O96)</f>
        <v>104.5</v>
      </c>
      <c r="P96" t="str">
        <f>IF('Raw Data'!P96="","",'Raw Data'!P96)</f>
        <v/>
      </c>
      <c r="Q96" t="str">
        <f t="shared" si="37"/>
        <v xml:space="preserve"> </v>
      </c>
      <c r="R96" s="3" t="str">
        <f t="shared" si="46"/>
        <v>-</v>
      </c>
      <c r="S96" s="3">
        <f t="shared" si="47"/>
        <v>259.66666666666669</v>
      </c>
      <c r="T96" s="3">
        <f t="shared" si="48"/>
        <v>79.666666666666671</v>
      </c>
      <c r="U96" s="3">
        <f t="shared" si="45"/>
        <v>23.5</v>
      </c>
      <c r="W96" s="4">
        <f t="shared" si="43"/>
        <v>13.389077086022811</v>
      </c>
      <c r="X96" s="4">
        <f t="shared" si="44"/>
        <v>5.8217364063085943</v>
      </c>
      <c r="Y96" s="3">
        <f t="shared" si="39"/>
        <v>79.666666666666686</v>
      </c>
    </row>
    <row r="97" spans="1:25" x14ac:dyDescent="0.25">
      <c r="A97" t="str">
        <f>IF('Raw Data'!A97="","",'Raw Data'!A97)</f>
        <v>AX</v>
      </c>
      <c r="B97" t="str">
        <f>IF('Raw Data'!B97="","",'Raw Data'!B97)</f>
        <v>AY</v>
      </c>
      <c r="C97">
        <f>IF('Raw Data'!C97="","",'Raw Data'!C97)</f>
        <v>15</v>
      </c>
      <c r="D97">
        <f>IF('Raw Data'!D97="","",'Raw Data'!D97)</f>
        <v>6</v>
      </c>
      <c r="E97">
        <f>IF('Raw Data'!E97="","",'Raw Data'!E97)</f>
        <v>10</v>
      </c>
      <c r="F97">
        <f>IF('Raw Data'!F97="","",'Raw Data'!F97)</f>
        <v>5</v>
      </c>
      <c r="G97" s="7" t="str">
        <f>IF('Raw Data'!G97="","",SUBSTITUTE('Raw Data'!G97," ",":",1))</f>
        <v>128:00</v>
      </c>
      <c r="H97" s="7" t="str">
        <f>IF('Raw Data'!H97="","",SUBSTITUTE('Raw Data'!H97," ",":",1))</f>
        <v>-</v>
      </c>
      <c r="I97" s="7" t="str">
        <f>IF('Raw Data'!I97="","",SUBSTITUTE('Raw Data'!I97," ",":",1))</f>
        <v>128:00</v>
      </c>
      <c r="J97" s="12">
        <f>IF('Raw Data'!J97="","",IF(LEN(K97)&gt;6,SQRT('Raw Data'!J97^2+N97^2),'Raw Data'!J97))</f>
        <v>15</v>
      </c>
      <c r="K97" s="7" t="str">
        <f>IF('Raw Data'!K97="","",IF(LEN('Raw Data'!K97)&lt;7,SUBSTITUTE('Raw Data'!K97," ",":",1),'Raw Data'!K97))</f>
        <v>13:30</v>
      </c>
      <c r="L97" t="str">
        <f>IF('Raw Data'!L97="","",'Raw Data'!L97)</f>
        <v/>
      </c>
      <c r="M97">
        <f>IF('Raw Data'!M97="","",'Raw Data'!M97)</f>
        <v>14.6</v>
      </c>
      <c r="N97">
        <f>IF('Raw Data'!N97="","",IF('Raw Data'!N97="-",0,'Raw Data'!N97))</f>
        <v>3.5</v>
      </c>
      <c r="O97">
        <f>IF('Raw Data'!O97="","",'Raw Data'!O97)</f>
        <v>110.3</v>
      </c>
      <c r="P97" t="str">
        <f>IF('Raw Data'!P97="","",'Raw Data'!P97)</f>
        <v>AY is on stumpy stalagmite on cascade on E side of passage.</v>
      </c>
      <c r="Q97" t="str">
        <f t="shared" si="37"/>
        <v xml:space="preserve"> </v>
      </c>
      <c r="R97" s="3">
        <f t="shared" si="46"/>
        <v>128</v>
      </c>
      <c r="S97" s="3" t="str">
        <f t="shared" si="47"/>
        <v>-</v>
      </c>
      <c r="T97" s="3">
        <f t="shared" si="48"/>
        <v>128</v>
      </c>
      <c r="U97" s="3">
        <f t="shared" si="45"/>
        <v>13.5</v>
      </c>
      <c r="W97" s="4">
        <f t="shared" si="43"/>
        <v>14.585548805965148</v>
      </c>
      <c r="X97" s="4">
        <f t="shared" si="44"/>
        <v>3.5016804578385807</v>
      </c>
      <c r="Y97" s="3">
        <f t="shared" si="39"/>
        <v>128</v>
      </c>
    </row>
    <row r="98" spans="1:25" x14ac:dyDescent="0.25">
      <c r="A98" t="str">
        <f>IF('Raw Data'!A98="","",'Raw Data'!A98)</f>
        <v>AY</v>
      </c>
      <c r="B98" t="str">
        <f>IF('Raw Data'!B98="","",'Raw Data'!B98)</f>
        <v/>
      </c>
      <c r="C98" t="str">
        <f>IF('Raw Data'!C98="","",'Raw Data'!C98)</f>
        <v/>
      </c>
      <c r="D98" t="str">
        <f>IF('Raw Data'!D98="","",'Raw Data'!D98)</f>
        <v/>
      </c>
      <c r="E98" t="str">
        <f>IF('Raw Data'!E98="","",'Raw Data'!E98)</f>
        <v/>
      </c>
      <c r="F98" t="str">
        <f>IF('Raw Data'!F98="","",'Raw Data'!F98)</f>
        <v/>
      </c>
      <c r="G98" s="7" t="str">
        <f>IF('Raw Data'!G98="","",SUBSTITUTE('Raw Data'!G98," ",":",1))</f>
        <v/>
      </c>
      <c r="H98" s="7" t="str">
        <f>IF('Raw Data'!H98="","",SUBSTITUTE('Raw Data'!H98," ",":",1))</f>
        <v/>
      </c>
      <c r="I98" s="7" t="str">
        <f>IF('Raw Data'!I98="","",SUBSTITUTE('Raw Data'!I98," ",":",1))</f>
        <v/>
      </c>
      <c r="J98" s="12" t="str">
        <f>IF('Raw Data'!J98="","",IF(LEN(K98)&gt;6,SQRT('Raw Data'!J98^2+N98^2),'Raw Data'!J98))</f>
        <v/>
      </c>
      <c r="K98" s="7" t="str">
        <f>IF('Raw Data'!K98="","",IF(LEN('Raw Data'!K98)&lt;7,SUBSTITUTE('Raw Data'!K98," ",":",1),'Raw Data'!K98))</f>
        <v/>
      </c>
      <c r="L98" t="str">
        <f>IF('Raw Data'!L98="","",'Raw Data'!L98)</f>
        <v/>
      </c>
      <c r="M98" t="str">
        <f>IF('Raw Data'!M98="","",'Raw Data'!M98)</f>
        <v/>
      </c>
      <c r="N98" t="str">
        <f>IF('Raw Data'!N98="","",IF('Raw Data'!N98="-",0,'Raw Data'!N98))</f>
        <v/>
      </c>
      <c r="O98">
        <f>IF('Raw Data'!O98="","",'Raw Data'!O98)</f>
        <v>113.8</v>
      </c>
      <c r="P98" t="str">
        <f>IF('Raw Data'!P98="","",'Raw Data'!P98)</f>
        <v>Total = 2,188'</v>
      </c>
      <c r="Q98" t="str">
        <f t="shared" si="37"/>
        <v xml:space="preserve"> </v>
      </c>
      <c r="W98" s="4"/>
      <c r="X98" s="4"/>
      <c r="Y98" s="3"/>
    </row>
    <row r="99" spans="1:25" x14ac:dyDescent="0.25">
      <c r="A99" t="str">
        <f>IF('Raw Data'!A99="","",'Raw Data'!A99)</f>
        <v/>
      </c>
      <c r="B99" t="str">
        <f>IF('Raw Data'!B99="","",'Raw Data'!B99)</f>
        <v/>
      </c>
      <c r="C99" t="str">
        <f>IF('Raw Data'!C99="","",'Raw Data'!C99)</f>
        <v/>
      </c>
      <c r="D99" t="str">
        <f>IF('Raw Data'!D99="","",'Raw Data'!D99)</f>
        <v/>
      </c>
      <c r="E99" t="str">
        <f>IF('Raw Data'!E99="","",'Raw Data'!E99)</f>
        <v/>
      </c>
      <c r="F99" t="str">
        <f>IF('Raw Data'!F99="","",'Raw Data'!F99)</f>
        <v/>
      </c>
      <c r="G99" s="7" t="str">
        <f>IF('Raw Data'!G99="","",SUBSTITUTE('Raw Data'!G99," ",":",1))</f>
        <v/>
      </c>
      <c r="H99" s="7" t="str">
        <f>IF('Raw Data'!H99="","",SUBSTITUTE('Raw Data'!H99," ",":",1))</f>
        <v/>
      </c>
      <c r="I99" s="7" t="str">
        <f>IF('Raw Data'!I99="","",SUBSTITUTE('Raw Data'!I99," ",":",1))</f>
        <v/>
      </c>
      <c r="J99" s="12" t="str">
        <f>IF('Raw Data'!J99="","",IF(LEN(K99)&gt;6,SQRT('Raw Data'!J99^2+N99^2),'Raw Data'!J99))</f>
        <v/>
      </c>
      <c r="K99" s="7" t="str">
        <f>IF('Raw Data'!K99="","",IF(LEN('Raw Data'!K99)&lt;7,SUBSTITUTE('Raw Data'!K99," ",":",1),'Raw Data'!K99))</f>
        <v/>
      </c>
      <c r="L99" t="str">
        <f>IF('Raw Data'!L99="","",'Raw Data'!L99)</f>
        <v/>
      </c>
      <c r="M99" t="str">
        <f>IF('Raw Data'!M99="","",'Raw Data'!M99)</f>
        <v/>
      </c>
      <c r="N99" t="str">
        <f>IF('Raw Data'!N99="","",IF('Raw Data'!N99="-",0,'Raw Data'!N99))</f>
        <v/>
      </c>
      <c r="O99" t="str">
        <f>IF('Raw Data'!O99="","",'Raw Data'!O99)</f>
        <v/>
      </c>
      <c r="P99" t="str">
        <f>IF('Raw Data'!P99="","",'Raw Data'!P99)</f>
        <v/>
      </c>
      <c r="Q99" t="str">
        <f t="shared" si="37"/>
        <v xml:space="preserve"> </v>
      </c>
      <c r="W99" s="4"/>
      <c r="X99" s="4"/>
      <c r="Y99" s="3"/>
    </row>
    <row r="100" spans="1:25" x14ac:dyDescent="0.25">
      <c r="A100" t="str">
        <f>IF('Raw Data'!A100="","",'Raw Data'!A100)</f>
        <v>14th August '52</v>
      </c>
      <c r="B100" t="str">
        <f>IF('Raw Data'!B100="","",'Raw Data'!B100)</f>
        <v>Colin</v>
      </c>
      <c r="C100" t="str">
        <f>IF('Raw Data'!C100="","",'Raw Data'!C100)</f>
        <v>Contd from P.49. Upper Mud Series</v>
      </c>
      <c r="D100" t="str">
        <f>IF('Raw Data'!D100="","",'Raw Data'!D100)</f>
        <v/>
      </c>
      <c r="E100" t="str">
        <f>IF('Raw Data'!E100="","",'Raw Data'!E100)</f>
        <v/>
      </c>
      <c r="F100" t="str">
        <f>IF('Raw Data'!F100="","",'Raw Data'!F100)</f>
        <v/>
      </c>
      <c r="G100" s="7" t="str">
        <f>IF('Raw Data'!G100="","",SUBSTITUTE('Raw Data'!G100," ",":",1))</f>
        <v/>
      </c>
      <c r="H100" s="7" t="str">
        <f>IF('Raw Data'!H100="","",SUBSTITUTE('Raw Data'!H100," ",":",1))</f>
        <v/>
      </c>
      <c r="I100" s="7" t="str">
        <f>IF('Raw Data'!I100="","",SUBSTITUTE('Raw Data'!I100," ",":",1))</f>
        <v/>
      </c>
      <c r="J100" s="12" t="str">
        <f>IF('Raw Data'!J100="","",IF(LEN(K100)&gt;6,SQRT('Raw Data'!J100^2+N100^2),'Raw Data'!J100))</f>
        <v/>
      </c>
      <c r="K100" s="7" t="str">
        <f>IF('Raw Data'!K100="","",IF(LEN('Raw Data'!K100)&lt;7,SUBSTITUTE('Raw Data'!K100," ",":",1),'Raw Data'!K100))</f>
        <v/>
      </c>
      <c r="L100" t="str">
        <f>IF('Raw Data'!L100="","",'Raw Data'!L100)</f>
        <v/>
      </c>
      <c r="M100" t="str">
        <f>IF('Raw Data'!M100="","",'Raw Data'!M100)</f>
        <v/>
      </c>
      <c r="N100" t="str">
        <f>IF('Raw Data'!N100="","",IF('Raw Data'!N100="-",0,'Raw Data'!N100))</f>
        <v/>
      </c>
      <c r="O100" t="str">
        <f>IF('Raw Data'!O100="","",'Raw Data'!O100)</f>
        <v/>
      </c>
      <c r="P100" t="str">
        <f>IF('Raw Data'!P100="","",'Raw Data'!P100)</f>
        <v/>
      </c>
      <c r="Q100" t="str">
        <f t="shared" si="37"/>
        <v xml:space="preserve"> </v>
      </c>
      <c r="W100" s="4"/>
      <c r="X100" s="4"/>
      <c r="Y100" s="3"/>
    </row>
    <row r="101" spans="1:25" x14ac:dyDescent="0.25">
      <c r="A101">
        <f>IF('Raw Data'!A101="","",'Raw Data'!A101)</f>
        <v>18</v>
      </c>
      <c r="B101">
        <f>IF('Raw Data'!B101="","",'Raw Data'!B101)</f>
        <v>19</v>
      </c>
      <c r="C101">
        <f>IF('Raw Data'!C101="","",'Raw Data'!C101)</f>
        <v>3</v>
      </c>
      <c r="D101">
        <f>IF('Raw Data'!D101="","",'Raw Data'!D101)</f>
        <v>11</v>
      </c>
      <c r="E101">
        <f>IF('Raw Data'!E101="","",'Raw Data'!E101)</f>
        <v>2</v>
      </c>
      <c r="F101">
        <f>IF('Raw Data'!F101="","",'Raw Data'!F101)</f>
        <v>2</v>
      </c>
      <c r="G101" s="7" t="str">
        <f>IF('Raw Data'!G101="","",SUBSTITUTE('Raw Data'!G101," ",":",1))</f>
        <v>-</v>
      </c>
      <c r="H101" s="7" t="str">
        <f>IF('Raw Data'!H101="","",SUBSTITUTE('Raw Data'!H101," ",":",1))</f>
        <v>-</v>
      </c>
      <c r="I101" s="7" t="str">
        <f>IF('Raw Data'!I101="","",SUBSTITUTE('Raw Data'!I101," ",":",1))</f>
        <v>-</v>
      </c>
      <c r="J101" s="12">
        <f>IF('Raw Data'!J101="","",IF(LEN(K101)&gt;6,SQRT('Raw Data'!J101^2+N101^2),'Raw Data'!J101))</f>
        <v>10.1</v>
      </c>
      <c r="K101" s="7" t="str">
        <f>IF('Raw Data'!K101="","",IF(LEN('Raw Data'!K101)&lt;7,SUBSTITUTE('Raw Data'!K101," ",":",1),'Raw Data'!K101))</f>
        <v>-90:00</v>
      </c>
      <c r="L101" t="str">
        <f>IF('Raw Data'!L101="","",'Raw Data'!L101)</f>
        <v/>
      </c>
      <c r="M101" t="str">
        <f>IF('Raw Data'!M101="","",'Raw Data'!M101)</f>
        <v>-</v>
      </c>
      <c r="N101">
        <f>IF('Raw Data'!N101="","",IF('Raw Data'!N101="-",0,'Raw Data'!N101))</f>
        <v>-10.1</v>
      </c>
      <c r="O101">
        <f>IF('Raw Data'!O101="","",'Raw Data'!O101)</f>
        <v>76.400000000000006</v>
      </c>
      <c r="P101" t="str">
        <f>IF('Raw Data'!P101="","",'Raw Data'!P101)</f>
        <v>18 is in crack at top of 11 Foot Drop.</v>
      </c>
      <c r="Q101" t="str">
        <f t="shared" si="37"/>
        <v xml:space="preserve"> </v>
      </c>
      <c r="R101" s="3" t="str">
        <f t="shared" si="46"/>
        <v>-</v>
      </c>
      <c r="S101" s="3" t="str">
        <f t="shared" si="47"/>
        <v>-</v>
      </c>
      <c r="T101" s="3" t="str">
        <f t="shared" si="48"/>
        <v>-</v>
      </c>
      <c r="U101" s="3">
        <f t="shared" si="45"/>
        <v>-90</v>
      </c>
      <c r="W101" s="4">
        <f t="shared" si="43"/>
        <v>6.1869996972885311E-16</v>
      </c>
      <c r="X101" s="4">
        <f t="shared" si="44"/>
        <v>-10.1</v>
      </c>
      <c r="Y101" s="3" t="e">
        <f t="shared" si="39"/>
        <v>#VALUE!</v>
      </c>
    </row>
    <row r="102" spans="1:25" x14ac:dyDescent="0.25">
      <c r="A102">
        <f>IF('Raw Data'!A102="","",'Raw Data'!A102)</f>
        <v>19</v>
      </c>
      <c r="B102">
        <f>IF('Raw Data'!B102="","",'Raw Data'!B102)</f>
        <v>20</v>
      </c>
      <c r="C102" t="str">
        <f>IF('Raw Data'!C102="","",'Raw Data'!C102)</f>
        <v>/</v>
      </c>
      <c r="D102">
        <f>IF('Raw Data'!D102="","",'Raw Data'!D102)</f>
        <v>1</v>
      </c>
      <c r="E102">
        <f>IF('Raw Data'!E102="","",'Raw Data'!E102)</f>
        <v>3</v>
      </c>
      <c r="F102">
        <f>IF('Raw Data'!F102="","",'Raw Data'!F102)</f>
        <v>3</v>
      </c>
      <c r="G102" s="7" t="str">
        <f>IF('Raw Data'!G102="","",SUBSTITUTE('Raw Data'!G102," ",":",1))</f>
        <v>-</v>
      </c>
      <c r="H102" s="7" t="str">
        <f>IF('Raw Data'!H102="","",SUBSTITUTE('Raw Data'!H102," ",":",1))</f>
        <v>355:00</v>
      </c>
      <c r="I102" s="7" t="str">
        <f>IF('Raw Data'!I102="","",SUBSTITUTE('Raw Data'!I102," ",":",1))</f>
        <v>175:00</v>
      </c>
      <c r="J102" s="12">
        <f>IF('Raw Data'!J102="","",IF(LEN(K102)&gt;6,SQRT('Raw Data'!J102^2+N102^2),'Raw Data'!J102))</f>
        <v>8</v>
      </c>
      <c r="K102" s="7" t="str">
        <f>IF('Raw Data'!K102="","",IF(LEN('Raw Data'!K102)&lt;7,SUBSTITUTE('Raw Data'!K102," ",":",1),'Raw Data'!K102))</f>
        <v>1:00</v>
      </c>
      <c r="L102" t="str">
        <f>IF('Raw Data'!L102="","",'Raw Data'!L102)</f>
        <v/>
      </c>
      <c r="M102">
        <f>IF('Raw Data'!M102="","",'Raw Data'!M102)</f>
        <v>8</v>
      </c>
      <c r="N102">
        <f>IF('Raw Data'!N102="","",IF('Raw Data'!N102="-",0,'Raw Data'!N102))</f>
        <v>0.1</v>
      </c>
      <c r="O102">
        <f>IF('Raw Data'!O102="","",'Raw Data'!O102)</f>
        <v>66.3</v>
      </c>
      <c r="P102" t="str">
        <f>IF('Raw Data'!P102="","",'Raw Data'!P102)</f>
        <v>(sketch of 18 - 24)</v>
      </c>
      <c r="Q102" t="str">
        <f t="shared" si="37"/>
        <v xml:space="preserve"> </v>
      </c>
      <c r="R102" s="3" t="str">
        <f t="shared" ref="R102:R119" si="49">IF(ISERROR(FIND(":",G102)),IF(G102&lt;&gt;"-",1*G102,G102),1*LEFT(G102,FIND(":",G102)-1)+RIGHT(G102,LEN(G102)-FIND(":",G102))/60)</f>
        <v>-</v>
      </c>
      <c r="S102" s="3">
        <f t="shared" ref="S102:S119" si="50">IF(ISERROR(FIND(":",H102)),IF(H102&lt;&gt;"-",1*H102,H102),1*LEFT(H102,FIND(":",H102)-1)+RIGHT(H102,LEN(H102)-FIND(":",H102))/60)</f>
        <v>355</v>
      </c>
      <c r="T102" s="3">
        <f t="shared" ref="T102:T119" si="51">IF(ISERROR(FIND(":",I102)),IF(I102&lt;&gt;"-",1*I102,I102),1*LEFT(I102,FIND(":",I102)-1)+RIGHT(I102,LEN(I102)-FIND(":",I102))/60)</f>
        <v>175</v>
      </c>
      <c r="U102" s="3">
        <f t="shared" si="45"/>
        <v>1</v>
      </c>
      <c r="W102" s="4">
        <f t="shared" si="43"/>
        <v>7.9987815612511302</v>
      </c>
      <c r="X102" s="4">
        <f t="shared" si="44"/>
        <v>0.13961925149826809</v>
      </c>
      <c r="Y102" s="3">
        <f t="shared" si="39"/>
        <v>175</v>
      </c>
    </row>
    <row r="103" spans="1:25" x14ac:dyDescent="0.25">
      <c r="A103">
        <f>IF('Raw Data'!A103="","",'Raw Data'!A103)</f>
        <v>20</v>
      </c>
      <c r="B103">
        <f>IF('Raw Data'!B103="","",'Raw Data'!B103)</f>
        <v>21</v>
      </c>
      <c r="C103">
        <f>IF('Raw Data'!C103="","",'Raw Data'!C103)</f>
        <v>3</v>
      </c>
      <c r="D103">
        <f>IF('Raw Data'!D103="","",'Raw Data'!D103)</f>
        <v>1</v>
      </c>
      <c r="E103">
        <f>IF('Raw Data'!E103="","",'Raw Data'!E103)</f>
        <v>3</v>
      </c>
      <c r="F103">
        <f>IF('Raw Data'!F103="","",'Raw Data'!F103)</f>
        <v>2</v>
      </c>
      <c r="G103" s="7" t="str">
        <f>IF('Raw Data'!G103="","",SUBSTITUTE('Raw Data'!G103," ",":",1))</f>
        <v>091:00</v>
      </c>
      <c r="H103" s="7" t="str">
        <f>IF('Raw Data'!H103="","",SUBSTITUTE('Raw Data'!H103," ",":",1))</f>
        <v>-</v>
      </c>
      <c r="I103" s="7" t="str">
        <f>IF('Raw Data'!I103="","",SUBSTITUTE('Raw Data'!I103," ",":",1))</f>
        <v>091:00</v>
      </c>
      <c r="J103" s="12">
        <f>IF('Raw Data'!J103="","",IF(LEN(K103)&gt;6,SQRT('Raw Data'!J103^2+N103^2),'Raw Data'!J103))</f>
        <v>24.8</v>
      </c>
      <c r="K103" s="7" t="str">
        <f>IF('Raw Data'!K103="","",IF(LEN('Raw Data'!K103)&lt;7,SUBSTITUTE('Raw Data'!K103," ",":",1),'Raw Data'!K103))</f>
        <v>23:00</v>
      </c>
      <c r="L103" t="str">
        <f>IF('Raw Data'!L103="","",'Raw Data'!L103)</f>
        <v/>
      </c>
      <c r="M103">
        <f>IF('Raw Data'!M103="","",'Raw Data'!M103)</f>
        <v>22.8</v>
      </c>
      <c r="N103">
        <f>IF('Raw Data'!N103="","",IF('Raw Data'!N103="-",0,'Raw Data'!N103))</f>
        <v>9.6999999999999993</v>
      </c>
      <c r="O103">
        <f>IF('Raw Data'!O103="","",'Raw Data'!O103)</f>
        <v>66.400000000000006</v>
      </c>
      <c r="P103" t="str">
        <f>IF('Raw Data'!P103="","",'Raw Data'!P103)</f>
        <v/>
      </c>
      <c r="Q103" t="str">
        <f t="shared" si="37"/>
        <v xml:space="preserve"> </v>
      </c>
      <c r="R103" s="3">
        <f t="shared" si="49"/>
        <v>91</v>
      </c>
      <c r="S103" s="3" t="str">
        <f t="shared" si="50"/>
        <v>-</v>
      </c>
      <c r="T103" s="3">
        <f t="shared" si="51"/>
        <v>91</v>
      </c>
      <c r="U103" s="3">
        <f t="shared" si="45"/>
        <v>23</v>
      </c>
      <c r="W103" s="4">
        <f t="shared" si="43"/>
        <v>22.828520365620523</v>
      </c>
      <c r="X103" s="4">
        <f t="shared" si="44"/>
        <v>9.6901319865339879</v>
      </c>
      <c r="Y103" s="3">
        <f t="shared" si="39"/>
        <v>91</v>
      </c>
    </row>
    <row r="104" spans="1:25" x14ac:dyDescent="0.25">
      <c r="A104">
        <f>IF('Raw Data'!A104="","",'Raw Data'!A104)</f>
        <v>21</v>
      </c>
      <c r="B104">
        <f>IF('Raw Data'!B104="","",'Raw Data'!B104)</f>
        <v>22</v>
      </c>
      <c r="C104">
        <f>IF('Raw Data'!C104="","",'Raw Data'!C104)</f>
        <v>1</v>
      </c>
      <c r="D104">
        <f>IF('Raw Data'!D104="","",'Raw Data'!D104)</f>
        <v>0.5</v>
      </c>
      <c r="E104">
        <f>IF('Raw Data'!E104="","",'Raw Data'!E104)</f>
        <v>1.5</v>
      </c>
      <c r="F104">
        <f>IF('Raw Data'!F104="","",'Raw Data'!F104)</f>
        <v>3</v>
      </c>
      <c r="G104" s="7" t="str">
        <f>IF('Raw Data'!G104="","",SUBSTITUTE('Raw Data'!G104," ",":",1))</f>
        <v>-</v>
      </c>
      <c r="H104" s="7" t="str">
        <f>IF('Raw Data'!H104="","",SUBSTITUTE('Raw Data'!H104," ",":",1))</f>
        <v>302:00</v>
      </c>
      <c r="I104" s="7" t="str">
        <f>IF('Raw Data'!I104="","",SUBSTITUTE('Raw Data'!I104," ",":",1))</f>
        <v>122:00</v>
      </c>
      <c r="J104" s="12">
        <f>IF('Raw Data'!J104="","",IF(LEN(K104)&gt;6,SQRT('Raw Data'!J104^2+N104^2),'Raw Data'!J104))</f>
        <v>11.2</v>
      </c>
      <c r="K104" s="7" t="str">
        <f>IF('Raw Data'!K104="","",IF(LEN('Raw Data'!K104)&lt;7,SUBSTITUTE('Raw Data'!K104," ",":",1),'Raw Data'!K104))</f>
        <v>10:00</v>
      </c>
      <c r="L104" t="str">
        <f>IF('Raw Data'!L104="","",'Raw Data'!L104)</f>
        <v/>
      </c>
      <c r="M104">
        <f>IF('Raw Data'!M104="","",'Raw Data'!M104)</f>
        <v>11</v>
      </c>
      <c r="N104">
        <f>IF('Raw Data'!N104="","",IF('Raw Data'!N104="-",0,'Raw Data'!N104))</f>
        <v>1.9</v>
      </c>
      <c r="O104">
        <f>IF('Raw Data'!O104="","",'Raw Data'!O104)</f>
        <v>76.099999999999994</v>
      </c>
      <c r="P104" t="str">
        <f>IF('Raw Data'!P104="","",'Raw Data'!P104)</f>
        <v/>
      </c>
      <c r="Q104" t="str">
        <f t="shared" si="37"/>
        <v xml:space="preserve"> </v>
      </c>
      <c r="R104" s="3" t="str">
        <f t="shared" si="49"/>
        <v>-</v>
      </c>
      <c r="S104" s="3">
        <f t="shared" si="50"/>
        <v>302</v>
      </c>
      <c r="T104" s="3">
        <f t="shared" si="51"/>
        <v>122</v>
      </c>
      <c r="U104" s="3">
        <f t="shared" si="45"/>
        <v>10</v>
      </c>
      <c r="W104" s="4">
        <f t="shared" si="43"/>
        <v>11.029846833736729</v>
      </c>
      <c r="X104" s="4">
        <f t="shared" si="44"/>
        <v>1.9448595898696195</v>
      </c>
      <c r="Y104" s="3">
        <f t="shared" si="39"/>
        <v>122</v>
      </c>
    </row>
    <row r="105" spans="1:25" x14ac:dyDescent="0.25">
      <c r="A105">
        <f>IF('Raw Data'!A105="","",'Raw Data'!A105)</f>
        <v>22</v>
      </c>
      <c r="B105">
        <f>IF('Raw Data'!B105="","",'Raw Data'!B105)</f>
        <v>23</v>
      </c>
      <c r="C105">
        <f>IF('Raw Data'!C105="","",'Raw Data'!C105)</f>
        <v>1</v>
      </c>
      <c r="D105">
        <f>IF('Raw Data'!D105="","",'Raw Data'!D105)</f>
        <v>1</v>
      </c>
      <c r="E105">
        <f>IF('Raw Data'!E105="","",'Raw Data'!E105)</f>
        <v>2</v>
      </c>
      <c r="F105">
        <f>IF('Raw Data'!F105="","",'Raw Data'!F105)</f>
        <v>3</v>
      </c>
      <c r="G105" s="7" t="str">
        <f>IF('Raw Data'!G105="","",SUBSTITUTE('Raw Data'!G105," ",":",1))</f>
        <v>172:40</v>
      </c>
      <c r="H105" s="7" t="str">
        <f>IF('Raw Data'!H105="","",SUBSTITUTE('Raw Data'!H105," ",":",1))</f>
        <v>-</v>
      </c>
      <c r="I105" s="7" t="str">
        <f>IF('Raw Data'!I105="","",SUBSTITUTE('Raw Data'!I105," ",":",1))</f>
        <v>172:40</v>
      </c>
      <c r="J105" s="12">
        <f>IF('Raw Data'!J105="","",IF(LEN(K105)&gt;6,SQRT('Raw Data'!J105^2+N105^2),'Raw Data'!J105))</f>
        <v>25.5</v>
      </c>
      <c r="K105" s="7" t="str">
        <f>IF('Raw Data'!K105="","",IF(LEN('Raw Data'!K105)&lt;7,SUBSTITUTE('Raw Data'!K105," ",":",1),'Raw Data'!K105))</f>
        <v>-9:00</v>
      </c>
      <c r="L105" t="str">
        <f>IF('Raw Data'!L105="","",'Raw Data'!L105)</f>
        <v/>
      </c>
      <c r="M105">
        <f>IF('Raw Data'!M105="","",'Raw Data'!M105)</f>
        <v>25.2</v>
      </c>
      <c r="N105">
        <f>IF('Raw Data'!N105="","",IF('Raw Data'!N105="-",0,'Raw Data'!N105))</f>
        <v>-4</v>
      </c>
      <c r="O105">
        <f>IF('Raw Data'!O105="","",'Raw Data'!O105)</f>
        <v>78</v>
      </c>
      <c r="P105" t="str">
        <f>IF('Raw Data'!P105="","",'Raw Data'!P105)</f>
        <v/>
      </c>
      <c r="Q105" t="str">
        <f t="shared" si="37"/>
        <v xml:space="preserve"> </v>
      </c>
      <c r="R105" s="3">
        <f t="shared" si="49"/>
        <v>172.66666666666666</v>
      </c>
      <c r="S105" s="3" t="str">
        <f t="shared" si="50"/>
        <v>-</v>
      </c>
      <c r="T105" s="3">
        <f t="shared" si="51"/>
        <v>172.66666666666666</v>
      </c>
      <c r="U105" s="3">
        <f t="shared" si="45"/>
        <v>-9</v>
      </c>
      <c r="W105" s="4">
        <f t="shared" si="43"/>
        <v>25.186052685176012</v>
      </c>
      <c r="X105" s="4">
        <f t="shared" si="44"/>
        <v>-3.989078858525887</v>
      </c>
      <c r="Y105" s="3">
        <f t="shared" si="39"/>
        <v>172.66666666666666</v>
      </c>
    </row>
    <row r="106" spans="1:25" x14ac:dyDescent="0.25">
      <c r="A106">
        <f>IF('Raw Data'!A106="","",'Raw Data'!A106)</f>
        <v>23</v>
      </c>
      <c r="B106">
        <f>IF('Raw Data'!B106="","",'Raw Data'!B106)</f>
        <v>24</v>
      </c>
      <c r="C106">
        <f>IF('Raw Data'!C106="","",'Raw Data'!C106)</f>
        <v>1</v>
      </c>
      <c r="D106">
        <f>IF('Raw Data'!D106="","",'Raw Data'!D106)</f>
        <v>3</v>
      </c>
      <c r="E106">
        <f>IF('Raw Data'!E106="","",'Raw Data'!E106)</f>
        <v>5</v>
      </c>
      <c r="F106">
        <f>IF('Raw Data'!F106="","",'Raw Data'!F106)</f>
        <v>0</v>
      </c>
      <c r="G106" s="7" t="str">
        <f>IF('Raw Data'!G106="","",SUBSTITUTE('Raw Data'!G106," ",":",1))</f>
        <v>-</v>
      </c>
      <c r="H106" s="7" t="str">
        <f>IF('Raw Data'!H106="","",SUBSTITUTE('Raw Data'!H106," ",":",1))</f>
        <v>248:00</v>
      </c>
      <c r="I106" s="7" t="str">
        <f>IF('Raw Data'!I106="","",SUBSTITUTE('Raw Data'!I106," ",":",1))</f>
        <v>068:00</v>
      </c>
      <c r="J106" s="12">
        <f>IF('Raw Data'!J106="","",IF(LEN(K106)&gt;6,SQRT('Raw Data'!J106^2+N106^2),'Raw Data'!J106))</f>
        <v>50.7</v>
      </c>
      <c r="K106" s="7" t="str">
        <f>IF('Raw Data'!K106="","",IF(LEN('Raw Data'!K106)&lt;7,SUBSTITUTE('Raw Data'!K106," ",":",1),'Raw Data'!K106))</f>
        <v>18:00</v>
      </c>
      <c r="L106" t="str">
        <f>IF('Raw Data'!L106="","",'Raw Data'!L106)</f>
        <v/>
      </c>
      <c r="M106">
        <f>IF('Raw Data'!M106="","",'Raw Data'!M106)</f>
        <v>48.2</v>
      </c>
      <c r="N106">
        <f>IF('Raw Data'!N106="","",IF('Raw Data'!N106="-",0,'Raw Data'!N106))</f>
        <v>15.6</v>
      </c>
      <c r="O106">
        <f>IF('Raw Data'!O106="","",'Raw Data'!O106)</f>
        <v>74</v>
      </c>
      <c r="P106" t="str">
        <f>IF('Raw Data'!P106="","",'Raw Data'!P106)</f>
        <v/>
      </c>
      <c r="Q106" t="str">
        <f t="shared" si="37"/>
        <v xml:space="preserve"> </v>
      </c>
      <c r="R106" s="3" t="str">
        <f t="shared" si="49"/>
        <v>-</v>
      </c>
      <c r="S106" s="3">
        <f t="shared" si="50"/>
        <v>248</v>
      </c>
      <c r="T106" s="3">
        <f t="shared" si="51"/>
        <v>68</v>
      </c>
      <c r="U106" s="3">
        <f t="shared" si="45"/>
        <v>18</v>
      </c>
      <c r="W106" s="4">
        <f t="shared" si="43"/>
        <v>48.218565376164285</v>
      </c>
      <c r="X106" s="4">
        <f t="shared" si="44"/>
        <v>15.667161614809833</v>
      </c>
      <c r="Y106" s="3">
        <f t="shared" si="39"/>
        <v>68</v>
      </c>
    </row>
    <row r="107" spans="1:25" x14ac:dyDescent="0.25">
      <c r="A107">
        <f>IF('Raw Data'!A107="","",'Raw Data'!A107)</f>
        <v>24</v>
      </c>
      <c r="B107">
        <f>IF('Raw Data'!B107="","",'Raw Data'!B107)</f>
        <v>25</v>
      </c>
      <c r="C107" t="str">
        <f>IF('Raw Data'!C107="","",'Raw Data'!C107)</f>
        <v>3 (30)</v>
      </c>
      <c r="D107">
        <f>IF('Raw Data'!D107="","",'Raw Data'!D107)</f>
        <v>1</v>
      </c>
      <c r="E107">
        <f>IF('Raw Data'!E107="","",'Raw Data'!E107)</f>
        <v>20</v>
      </c>
      <c r="F107">
        <f>IF('Raw Data'!F107="","",'Raw Data'!F107)</f>
        <v>20</v>
      </c>
      <c r="G107" s="7" t="str">
        <f>IF('Raw Data'!G107="","",SUBSTITUTE('Raw Data'!G107," ",":",1))</f>
        <v>046:00</v>
      </c>
      <c r="H107" s="7" t="str">
        <f>IF('Raw Data'!H107="","",SUBSTITUTE('Raw Data'!H107," ",":",1))</f>
        <v>-</v>
      </c>
      <c r="I107" s="7" t="str">
        <f>IF('Raw Data'!I107="","",SUBSTITUTE('Raw Data'!I107," ",":",1))</f>
        <v>046:00</v>
      </c>
      <c r="J107" s="12">
        <f>IF('Raw Data'!J107="","",IF(LEN(K107)&gt;6,SQRT('Raw Data'!J107^2+N107^2),'Raw Data'!J107))</f>
        <v>14</v>
      </c>
      <c r="K107" s="7" t="str">
        <f>IF('Raw Data'!K107="","",IF(LEN('Raw Data'!K107)&lt;7,SUBSTITUTE('Raw Data'!K107," ",":",1),'Raw Data'!K107))</f>
        <v>-46:00</v>
      </c>
      <c r="L107" t="str">
        <f>IF('Raw Data'!L107="","",'Raw Data'!L107)</f>
        <v/>
      </c>
      <c r="M107">
        <f>IF('Raw Data'!M107="","",'Raw Data'!M107)</f>
        <v>9.6999999999999993</v>
      </c>
      <c r="N107">
        <f>IF('Raw Data'!N107="","",IF('Raw Data'!N107="-",0,'Raw Data'!N107))</f>
        <v>-10.1</v>
      </c>
      <c r="O107">
        <f>IF('Raw Data'!O107="","",'Raw Data'!O107)</f>
        <v>89.6</v>
      </c>
      <c r="P107" t="str">
        <f>IF('Raw Data'!P107="","",'Raw Data'!P107)</f>
        <v>(sketch of 24 - 35)</v>
      </c>
      <c r="Q107" t="str">
        <f t="shared" si="37"/>
        <v xml:space="preserve"> </v>
      </c>
      <c r="R107" s="3">
        <f t="shared" si="49"/>
        <v>46</v>
      </c>
      <c r="S107" s="3" t="str">
        <f t="shared" si="50"/>
        <v>-</v>
      </c>
      <c r="T107" s="3">
        <f t="shared" si="51"/>
        <v>46</v>
      </c>
      <c r="U107" s="3">
        <f t="shared" si="45"/>
        <v>-46</v>
      </c>
      <c r="W107" s="4">
        <f t="shared" si="43"/>
        <v>9.7252171864259633</v>
      </c>
      <c r="X107" s="4">
        <f t="shared" si="44"/>
        <v>-10.070757204741115</v>
      </c>
      <c r="Y107" s="3">
        <f t="shared" si="39"/>
        <v>46</v>
      </c>
    </row>
    <row r="108" spans="1:25" x14ac:dyDescent="0.25">
      <c r="A108">
        <f>IF('Raw Data'!A108="","",'Raw Data'!A108)</f>
        <v>25</v>
      </c>
      <c r="B108">
        <f>IF('Raw Data'!B108="","",'Raw Data'!B108)</f>
        <v>26</v>
      </c>
      <c r="C108" t="str">
        <f>IF('Raw Data'!C108="","",'Raw Data'!C108)</f>
        <v>/</v>
      </c>
      <c r="D108" t="str">
        <f>IF('Raw Data'!D108="","",'Raw Data'!D108)</f>
        <v>/</v>
      </c>
      <c r="E108" t="str">
        <f>IF('Raw Data'!E108="","",'Raw Data'!E108)</f>
        <v>/</v>
      </c>
      <c r="F108" t="str">
        <f>IF('Raw Data'!F108="","",'Raw Data'!F108)</f>
        <v>/</v>
      </c>
      <c r="G108" s="7" t="str">
        <f>IF('Raw Data'!G108="","",SUBSTITUTE('Raw Data'!G108," ",":",1))</f>
        <v>-</v>
      </c>
      <c r="H108" s="7" t="str">
        <f>IF('Raw Data'!H108="","",SUBSTITUTE('Raw Data'!H108," ",":",1))</f>
        <v>293:00</v>
      </c>
      <c r="I108" s="7" t="str">
        <f>IF('Raw Data'!I108="","",SUBSTITUTE('Raw Data'!I108," ",":",1))</f>
        <v>113:00</v>
      </c>
      <c r="J108" s="12">
        <f>IF('Raw Data'!J108="","",IF(LEN(K108)&gt;6,SQRT('Raw Data'!J108^2+N108^2),'Raw Data'!J108))</f>
        <v>15.3</v>
      </c>
      <c r="K108" s="7" t="str">
        <f>IF('Raw Data'!K108="","",IF(LEN('Raw Data'!K108)&lt;7,SUBSTITUTE('Raw Data'!K108," ",":",1),'Raw Data'!K108))</f>
        <v>-43:00</v>
      </c>
      <c r="L108" t="str">
        <f>IF('Raw Data'!L108="","",'Raw Data'!L108)</f>
        <v/>
      </c>
      <c r="M108">
        <f>IF('Raw Data'!M108="","",'Raw Data'!M108)</f>
        <v>11.2</v>
      </c>
      <c r="N108">
        <f>IF('Raw Data'!N108="","",IF('Raw Data'!N108="-",0,'Raw Data'!N108))</f>
        <v>-10.4</v>
      </c>
      <c r="O108">
        <f>IF('Raw Data'!O108="","",'Raw Data'!O108)</f>
        <v>79.5</v>
      </c>
      <c r="P108" t="str">
        <f>IF('Raw Data'!P108="","",'Raw Data'!P108)</f>
        <v/>
      </c>
      <c r="Q108" t="str">
        <f t="shared" si="37"/>
        <v xml:space="preserve"> </v>
      </c>
      <c r="R108" s="3" t="str">
        <f t="shared" si="49"/>
        <v>-</v>
      </c>
      <c r="S108" s="3">
        <f t="shared" si="50"/>
        <v>293</v>
      </c>
      <c r="T108" s="3">
        <f t="shared" si="51"/>
        <v>113</v>
      </c>
      <c r="U108" s="3">
        <f t="shared" si="45"/>
        <v>-43</v>
      </c>
      <c r="W108" s="4">
        <f t="shared" si="43"/>
        <v>11.18971163477331</v>
      </c>
      <c r="X108" s="4">
        <f t="shared" si="44"/>
        <v>-10.434574908956227</v>
      </c>
      <c r="Y108" s="3">
        <f t="shared" si="39"/>
        <v>113</v>
      </c>
    </row>
    <row r="109" spans="1:25" x14ac:dyDescent="0.25">
      <c r="A109">
        <f>IF('Raw Data'!A109="","",'Raw Data'!A109)</f>
        <v>26</v>
      </c>
      <c r="B109">
        <f>IF('Raw Data'!B109="","",'Raw Data'!B109)</f>
        <v>27</v>
      </c>
      <c r="C109" t="str">
        <f>IF('Raw Data'!C109="","",'Raw Data'!C109)</f>
        <v>/</v>
      </c>
      <c r="D109" t="str">
        <f>IF('Raw Data'!D109="","",'Raw Data'!D109)</f>
        <v>/</v>
      </c>
      <c r="E109" t="str">
        <f>IF('Raw Data'!E109="","",'Raw Data'!E109)</f>
        <v>/</v>
      </c>
      <c r="F109" t="str">
        <f>IF('Raw Data'!F109="","",'Raw Data'!F109)</f>
        <v>/</v>
      </c>
      <c r="G109" s="7" t="str">
        <f>IF('Raw Data'!G109="","",SUBSTITUTE('Raw Data'!G109," ",":",1))</f>
        <v>061:00</v>
      </c>
      <c r="H109" s="7" t="str">
        <f>IF('Raw Data'!H109="","",SUBSTITUTE('Raw Data'!H109," ",":",1))</f>
        <v>-</v>
      </c>
      <c r="I109" s="7" t="str">
        <f>IF('Raw Data'!I109="","",SUBSTITUTE('Raw Data'!I109," ",":",1))</f>
        <v>061:00</v>
      </c>
      <c r="J109" s="12">
        <f>IF('Raw Data'!J109="","",IF(LEN(K109)&gt;6,SQRT('Raw Data'!J109^2+N109^2),'Raw Data'!J109))</f>
        <v>23.2</v>
      </c>
      <c r="K109" s="7" t="str">
        <f>IF('Raw Data'!K109="","",IF(LEN('Raw Data'!K109)&lt;7,SUBSTITUTE('Raw Data'!K109," ",":",1),'Raw Data'!K109))</f>
        <v>-55:00</v>
      </c>
      <c r="L109" t="str">
        <f>IF('Raw Data'!L109="","",'Raw Data'!L109)</f>
        <v/>
      </c>
      <c r="M109">
        <f>IF('Raw Data'!M109="","",'Raw Data'!M109)</f>
        <v>13.3</v>
      </c>
      <c r="N109">
        <f>IF('Raw Data'!N109="","",IF('Raw Data'!N109="-",0,'Raw Data'!N109))</f>
        <v>-19</v>
      </c>
      <c r="O109">
        <f>IF('Raw Data'!O109="","",'Raw Data'!O109)</f>
        <v>69.099999999999994</v>
      </c>
      <c r="P109" t="str">
        <f>IF('Raw Data'!P109="","",'Raw Data'!P109)</f>
        <v/>
      </c>
      <c r="Q109" t="str">
        <f t="shared" si="37"/>
        <v xml:space="preserve"> </v>
      </c>
      <c r="R109" s="3">
        <f t="shared" si="49"/>
        <v>61</v>
      </c>
      <c r="S109" s="3" t="str">
        <f t="shared" si="50"/>
        <v>-</v>
      </c>
      <c r="T109" s="3">
        <f t="shared" si="51"/>
        <v>61</v>
      </c>
      <c r="U109" s="3">
        <f t="shared" si="45"/>
        <v>-55</v>
      </c>
      <c r="W109" s="4">
        <f t="shared" si="43"/>
        <v>13.30697332334427</v>
      </c>
      <c r="X109" s="4">
        <f t="shared" si="44"/>
        <v>-19.004327427504609</v>
      </c>
      <c r="Y109" s="3">
        <f t="shared" si="39"/>
        <v>61</v>
      </c>
    </row>
    <row r="110" spans="1:25" x14ac:dyDescent="0.25">
      <c r="A110">
        <f>IF('Raw Data'!A110="","",'Raw Data'!A110)</f>
        <v>27</v>
      </c>
      <c r="B110">
        <f>IF('Raw Data'!B110="","",'Raw Data'!B110)</f>
        <v>28</v>
      </c>
      <c r="C110" t="str">
        <f>IF('Raw Data'!C110="","",'Raw Data'!C110)</f>
        <v>/</v>
      </c>
      <c r="D110">
        <f>IF('Raw Data'!D110="","",'Raw Data'!D110)</f>
        <v>5</v>
      </c>
      <c r="E110" t="str">
        <f>IF('Raw Data'!E110="","",'Raw Data'!E110)</f>
        <v>-</v>
      </c>
      <c r="F110">
        <f>IF('Raw Data'!F110="","",'Raw Data'!F110)</f>
        <v>12</v>
      </c>
      <c r="G110" s="7" t="str">
        <f>IF('Raw Data'!G110="","",SUBSTITUTE('Raw Data'!G110," ",":",1))</f>
        <v>-</v>
      </c>
      <c r="H110" s="7" t="str">
        <f>IF('Raw Data'!H110="","",SUBSTITUTE('Raw Data'!H110," ",":",1))</f>
        <v>015:30</v>
      </c>
      <c r="I110" s="7" t="str">
        <f>IF('Raw Data'!I110="","",SUBSTITUTE('Raw Data'!I110," ",":",1))</f>
        <v>195:30</v>
      </c>
      <c r="J110" s="12">
        <f>IF('Raw Data'!J110="","",IF(LEN(K110)&gt;6,SQRT('Raw Data'!J110^2+N110^2),'Raw Data'!J110))</f>
        <v>25.3</v>
      </c>
      <c r="K110" s="7" t="str">
        <f>IF('Raw Data'!K110="","",IF(LEN('Raw Data'!K110)&lt;7,SUBSTITUTE('Raw Data'!K110," ",":",1),'Raw Data'!K110))</f>
        <v>-24:30</v>
      </c>
      <c r="L110" t="str">
        <f>IF('Raw Data'!L110="","",'Raw Data'!L110)</f>
        <v/>
      </c>
      <c r="M110">
        <f>IF('Raw Data'!M110="","",'Raw Data'!M110)</f>
        <v>23</v>
      </c>
      <c r="N110">
        <f>IF('Raw Data'!N110="","",IF('Raw Data'!N110="-",0,'Raw Data'!N110))</f>
        <v>-10.5</v>
      </c>
      <c r="O110">
        <f>IF('Raw Data'!O110="","",'Raw Data'!O110)</f>
        <v>50.1</v>
      </c>
      <c r="P110" t="str">
        <f>IF('Raw Data'!P110="","",'Raw Data'!P110)</f>
        <v/>
      </c>
      <c r="Q110" t="str">
        <f t="shared" si="37"/>
        <v xml:space="preserve"> </v>
      </c>
      <c r="R110" s="3" t="str">
        <f t="shared" si="49"/>
        <v>-</v>
      </c>
      <c r="S110" s="3">
        <f t="shared" si="50"/>
        <v>15.5</v>
      </c>
      <c r="T110" s="3">
        <f t="shared" si="51"/>
        <v>195.5</v>
      </c>
      <c r="U110" s="3">
        <f t="shared" si="45"/>
        <v>-24.5</v>
      </c>
      <c r="W110" s="4">
        <f t="shared" si="43"/>
        <v>23.022020153176545</v>
      </c>
      <c r="X110" s="4">
        <f t="shared" si="44"/>
        <v>-10.491739039202848</v>
      </c>
      <c r="Y110" s="3">
        <f t="shared" si="39"/>
        <v>195.5</v>
      </c>
    </row>
    <row r="111" spans="1:25" x14ac:dyDescent="0.25">
      <c r="A111">
        <f>IF('Raw Data'!A111="","",'Raw Data'!A111)</f>
        <v>28</v>
      </c>
      <c r="B111">
        <f>IF('Raw Data'!B111="","",'Raw Data'!B111)</f>
        <v>29</v>
      </c>
      <c r="C111">
        <f>IF('Raw Data'!C111="","",'Raw Data'!C111)</f>
        <v>3</v>
      </c>
      <c r="D111">
        <f>IF('Raw Data'!D111="","",'Raw Data'!D111)</f>
        <v>1</v>
      </c>
      <c r="E111">
        <f>IF('Raw Data'!E111="","",'Raw Data'!E111)</f>
        <v>3</v>
      </c>
      <c r="F111">
        <f>IF('Raw Data'!F111="","",'Raw Data'!F111)</f>
        <v>4</v>
      </c>
      <c r="G111" s="7" t="str">
        <f>IF('Raw Data'!G111="","",SUBSTITUTE('Raw Data'!G111," ",":",1))</f>
        <v>242:00</v>
      </c>
      <c r="H111" s="7" t="str">
        <f>IF('Raw Data'!H111="","",SUBSTITUTE('Raw Data'!H111," ",":",1))</f>
        <v>-</v>
      </c>
      <c r="I111" s="7" t="str">
        <f>IF('Raw Data'!I111="","",SUBSTITUTE('Raw Data'!I111," ",":",1))</f>
        <v>242:00</v>
      </c>
      <c r="J111" s="12">
        <f>IF('Raw Data'!J111="","",IF(LEN(K111)&gt;6,SQRT('Raw Data'!J111^2+N111^2),'Raw Data'!J111))</f>
        <v>51</v>
      </c>
      <c r="K111" s="7" t="str">
        <f>IF('Raw Data'!K111="","",IF(LEN('Raw Data'!K111)&lt;7,SUBSTITUTE('Raw Data'!K111," ",":",1),'Raw Data'!K111))</f>
        <v>-23:30</v>
      </c>
      <c r="L111" t="str">
        <f>IF('Raw Data'!L111="","",'Raw Data'!L111)</f>
        <v/>
      </c>
      <c r="M111">
        <f>IF('Raw Data'!M111="","",'Raw Data'!M111)</f>
        <v>46.8</v>
      </c>
      <c r="N111">
        <f>IF('Raw Data'!N111="","",IF('Raw Data'!N111="-",0,'Raw Data'!N111))</f>
        <v>-20.3</v>
      </c>
      <c r="O111">
        <f>IF('Raw Data'!O111="","",'Raw Data'!O111)</f>
        <v>39.6</v>
      </c>
      <c r="P111" t="str">
        <f>IF('Raw Data'!P111="","",'Raw Data'!P111)</f>
        <v/>
      </c>
      <c r="Q111" t="str">
        <f t="shared" si="37"/>
        <v xml:space="preserve"> </v>
      </c>
      <c r="R111" s="3">
        <f t="shared" si="49"/>
        <v>242</v>
      </c>
      <c r="S111" s="3" t="str">
        <f t="shared" si="50"/>
        <v>-</v>
      </c>
      <c r="T111" s="3">
        <f t="shared" si="51"/>
        <v>242</v>
      </c>
      <c r="U111" s="3">
        <f t="shared" si="45"/>
        <v>-23.5</v>
      </c>
      <c r="W111" s="4">
        <f t="shared" si="43"/>
        <v>46.770063793641327</v>
      </c>
      <c r="X111" s="4">
        <f t="shared" si="44"/>
        <v>-20.336202515187555</v>
      </c>
      <c r="Y111" s="3">
        <f t="shared" si="39"/>
        <v>242</v>
      </c>
    </row>
    <row r="112" spans="1:25" x14ac:dyDescent="0.25">
      <c r="A112">
        <f>IF('Raw Data'!A112="","",'Raw Data'!A112)</f>
        <v>29</v>
      </c>
      <c r="B112">
        <f>IF('Raw Data'!B112="","",'Raw Data'!B112)</f>
        <v>30</v>
      </c>
      <c r="C112">
        <f>IF('Raw Data'!C112="","",'Raw Data'!C112)</f>
        <v>3</v>
      </c>
      <c r="D112">
        <f>IF('Raw Data'!D112="","",'Raw Data'!D112)</f>
        <v>1</v>
      </c>
      <c r="E112" t="str">
        <f>IF('Raw Data'!E112="","",'Raw Data'!E112)</f>
        <v>/</v>
      </c>
      <c r="F112">
        <f>IF('Raw Data'!F112="","",'Raw Data'!F112)</f>
        <v>3</v>
      </c>
      <c r="G112" s="7" t="str">
        <f>IF('Raw Data'!G112="","",SUBSTITUTE('Raw Data'!G112," ",":",1))</f>
        <v>-</v>
      </c>
      <c r="H112" s="7" t="str">
        <f>IF('Raw Data'!H112="","",SUBSTITUTE('Raw Data'!H112," ",":",1))</f>
        <v>340:00</v>
      </c>
      <c r="I112" s="7" t="str">
        <f>IF('Raw Data'!I112="","",SUBSTITUTE('Raw Data'!I112," ",":",1))</f>
        <v>160:00</v>
      </c>
      <c r="J112" s="12">
        <f>IF('Raw Data'!J112="","",IF(LEN(K112)&gt;6,SQRT('Raw Data'!J112^2+N112^2),'Raw Data'!J112))</f>
        <v>13.7</v>
      </c>
      <c r="K112" s="7" t="str">
        <f>IF('Raw Data'!K112="","",IF(LEN('Raw Data'!K112)&lt;7,SUBSTITUTE('Raw Data'!K112," ",":",1),'Raw Data'!K112))</f>
        <v>-3:00</v>
      </c>
      <c r="L112" t="str">
        <f>IF('Raw Data'!L112="","",'Raw Data'!L112)</f>
        <v/>
      </c>
      <c r="M112">
        <f>IF('Raw Data'!M112="","",'Raw Data'!M112)</f>
        <v>13.6</v>
      </c>
      <c r="N112">
        <f>IF('Raw Data'!N112="","",IF('Raw Data'!N112="-",0,'Raw Data'!N112))</f>
        <v>-0.7</v>
      </c>
      <c r="O112">
        <f>IF('Raw Data'!O112="","",'Raw Data'!O112)</f>
        <v>19.3</v>
      </c>
      <c r="P112" t="str">
        <f>IF('Raw Data'!P112="","",'Raw Data'!P112)</f>
        <v/>
      </c>
      <c r="Q112" t="str">
        <f t="shared" si="37"/>
        <v xml:space="preserve"> </v>
      </c>
      <c r="R112" s="3" t="str">
        <f t="shared" si="49"/>
        <v>-</v>
      </c>
      <c r="S112" s="3">
        <f t="shared" si="50"/>
        <v>340</v>
      </c>
      <c r="T112" s="3">
        <f t="shared" si="51"/>
        <v>160</v>
      </c>
      <c r="U112" s="3">
        <f t="shared" si="45"/>
        <v>-3</v>
      </c>
      <c r="W112" s="4">
        <f t="shared" si="43"/>
        <v>13.681224626137661</v>
      </c>
      <c r="X112" s="4">
        <f t="shared" si="44"/>
        <v>-0.71700260052833042</v>
      </c>
      <c r="Y112" s="3">
        <f t="shared" si="39"/>
        <v>160</v>
      </c>
    </row>
    <row r="113" spans="1:25" x14ac:dyDescent="0.25">
      <c r="A113">
        <f>IF('Raw Data'!A113="","",'Raw Data'!A113)</f>
        <v>30</v>
      </c>
      <c r="B113">
        <f>IF('Raw Data'!B113="","",'Raw Data'!B113)</f>
        <v>31</v>
      </c>
      <c r="C113">
        <f>IF('Raw Data'!C113="","",'Raw Data'!C113)</f>
        <v>2</v>
      </c>
      <c r="D113">
        <f>IF('Raw Data'!D113="","",'Raw Data'!D113)</f>
        <v>1</v>
      </c>
      <c r="E113">
        <f>IF('Raw Data'!E113="","",'Raw Data'!E113)</f>
        <v>5</v>
      </c>
      <c r="F113" t="str">
        <f>IF('Raw Data'!F113="","",'Raw Data'!F113)</f>
        <v>/</v>
      </c>
      <c r="G113" s="7" t="str">
        <f>IF('Raw Data'!G113="","",SUBSTITUTE('Raw Data'!G113," ",":",1))</f>
        <v>239:00</v>
      </c>
      <c r="H113" s="7" t="str">
        <f>IF('Raw Data'!H113="","",SUBSTITUTE('Raw Data'!H113," ",":",1))</f>
        <v>-</v>
      </c>
      <c r="I113" s="7" t="str">
        <f>IF('Raw Data'!I113="","",SUBSTITUTE('Raw Data'!I113," ",":",1))</f>
        <v>239:00</v>
      </c>
      <c r="J113" s="12">
        <f>IF('Raw Data'!J113="","",IF(LEN(K113)&gt;6,SQRT('Raw Data'!J113^2+N113^2),'Raw Data'!J113))</f>
        <v>25.4</v>
      </c>
      <c r="K113" s="7" t="str">
        <f>IF('Raw Data'!K113="","",IF(LEN('Raw Data'!K113)&lt;7,SUBSTITUTE('Raw Data'!K113," ",":",1),'Raw Data'!K113))</f>
        <v>-19:00</v>
      </c>
      <c r="L113" t="str">
        <f>IF('Raw Data'!L113="","",'Raw Data'!L113)</f>
        <v/>
      </c>
      <c r="M113">
        <f>IF('Raw Data'!M113="","",'Raw Data'!M113)</f>
        <v>24</v>
      </c>
      <c r="N113">
        <f>IF('Raw Data'!N113="","",IF('Raw Data'!N113="-",0,'Raw Data'!N113))</f>
        <v>-8.3000000000000007</v>
      </c>
      <c r="O113">
        <f>IF('Raw Data'!O113="","",'Raw Data'!O113)</f>
        <v>18.600000000000001</v>
      </c>
      <c r="P113" t="str">
        <f>IF('Raw Data'!P113="","",'Raw Data'!P113)</f>
        <v/>
      </c>
      <c r="Q113" t="str">
        <f t="shared" si="37"/>
        <v xml:space="preserve"> </v>
      </c>
      <c r="R113" s="3">
        <f t="shared" si="49"/>
        <v>239</v>
      </c>
      <c r="S113" s="3" t="str">
        <f t="shared" si="50"/>
        <v>-</v>
      </c>
      <c r="T113" s="3">
        <f t="shared" si="51"/>
        <v>239</v>
      </c>
      <c r="U113" s="3">
        <f t="shared" si="45"/>
        <v>-19</v>
      </c>
      <c r="W113" s="4">
        <f t="shared" si="43"/>
        <v>24.016171820222645</v>
      </c>
      <c r="X113" s="4">
        <f t="shared" si="44"/>
        <v>-8.2694311232117776</v>
      </c>
      <c r="Y113" s="3">
        <f t="shared" si="39"/>
        <v>239</v>
      </c>
    </row>
    <row r="114" spans="1:25" x14ac:dyDescent="0.25">
      <c r="A114">
        <f>IF('Raw Data'!A114="","",'Raw Data'!A114)</f>
        <v>31</v>
      </c>
      <c r="B114">
        <f>IF('Raw Data'!B114="","",'Raw Data'!B114)</f>
        <v>32</v>
      </c>
      <c r="C114">
        <f>IF('Raw Data'!C114="","",'Raw Data'!C114)</f>
        <v>6</v>
      </c>
      <c r="D114">
        <f>IF('Raw Data'!D114="","",'Raw Data'!D114)</f>
        <v>2</v>
      </c>
      <c r="E114">
        <f>IF('Raw Data'!E114="","",'Raw Data'!E114)</f>
        <v>5</v>
      </c>
      <c r="F114">
        <f>IF('Raw Data'!F114="","",'Raw Data'!F114)</f>
        <v>4</v>
      </c>
      <c r="G114" s="7" t="str">
        <f>IF('Raw Data'!G114="","",SUBSTITUTE('Raw Data'!G114," ",":",1))</f>
        <v>-</v>
      </c>
      <c r="H114" s="7" t="str">
        <f>IF('Raw Data'!H114="","",SUBSTITUTE('Raw Data'!H114," ",":",1))</f>
        <v>106:00</v>
      </c>
      <c r="I114" s="7" t="str">
        <f>IF('Raw Data'!I114="","",SUBSTITUTE('Raw Data'!I114," ",":",1))</f>
        <v>286:00</v>
      </c>
      <c r="J114" s="12">
        <f>IF('Raw Data'!J114="","",IF(LEN(K114)&gt;6,SQRT('Raw Data'!J114^2+N114^2),'Raw Data'!J114))</f>
        <v>11.244554237496477</v>
      </c>
      <c r="K114" s="7" t="str">
        <f>IF('Raw Data'!K114="","",IF(LEN('Raw Data'!K114)&lt;7,SUBSTITUTE('Raw Data'!K114," ",":",1),'Raw Data'!K114))</f>
        <v>fall 1 foot</v>
      </c>
      <c r="L114" t="str">
        <f>IF('Raw Data'!L114="","",'Raw Data'!L114)</f>
        <v/>
      </c>
      <c r="M114">
        <f>IF('Raw Data'!M114="","",'Raw Data'!M114)</f>
        <v>11.1</v>
      </c>
      <c r="N114">
        <f>IF('Raw Data'!N114="","",IF('Raw Data'!N114="-",0,'Raw Data'!N114))</f>
        <v>-1</v>
      </c>
      <c r="O114">
        <f>IF('Raw Data'!O114="","",'Raw Data'!O114)</f>
        <v>10.3</v>
      </c>
      <c r="P114" t="str">
        <f>IF('Raw Data'!P114="","",'Raw Data'!P114)</f>
        <v/>
      </c>
      <c r="Q114" t="str">
        <f t="shared" si="37"/>
        <v xml:space="preserve"> </v>
      </c>
      <c r="R114" s="3" t="str">
        <f t="shared" si="49"/>
        <v>-</v>
      </c>
      <c r="S114" s="3">
        <f t="shared" si="50"/>
        <v>106</v>
      </c>
      <c r="T114" s="3">
        <f t="shared" si="51"/>
        <v>286</v>
      </c>
      <c r="U114" s="9">
        <f>ASIN(N114/J114)*180/PI()</f>
        <v>-5.1021652523581906</v>
      </c>
      <c r="W114" s="4">
        <f t="shared" si="43"/>
        <v>11.199999999999998</v>
      </c>
      <c r="X114" s="4">
        <f t="shared" si="44"/>
        <v>-1</v>
      </c>
      <c r="Y114" s="3">
        <f t="shared" si="39"/>
        <v>286</v>
      </c>
    </row>
    <row r="115" spans="1:25" x14ac:dyDescent="0.25">
      <c r="A115">
        <f>IF('Raw Data'!A115="","",'Raw Data'!A115)</f>
        <v>32</v>
      </c>
      <c r="B115">
        <f>IF('Raw Data'!B115="","",'Raw Data'!B115)</f>
        <v>33</v>
      </c>
      <c r="C115">
        <f>IF('Raw Data'!C115="","",'Raw Data'!C115)</f>
        <v>0.5</v>
      </c>
      <c r="D115">
        <f>IF('Raw Data'!D115="","",'Raw Data'!D115)</f>
        <v>0.5</v>
      </c>
      <c r="E115" t="str">
        <f>IF('Raw Data'!E115="","",'Raw Data'!E115)</f>
        <v>/</v>
      </c>
      <c r="F115">
        <f>IF('Raw Data'!F115="","",'Raw Data'!F115)</f>
        <v>1</v>
      </c>
      <c r="G115" s="7" t="str">
        <f>IF('Raw Data'!G115="","",SUBSTITUTE('Raw Data'!G115," ",":",1))</f>
        <v>182:00</v>
      </c>
      <c r="H115" s="7" t="str">
        <f>IF('Raw Data'!H115="","",SUBSTITUTE('Raw Data'!H115," ",":",1))</f>
        <v>-</v>
      </c>
      <c r="I115" s="7" t="str">
        <f>IF('Raw Data'!I115="","",SUBSTITUTE('Raw Data'!I115," ",":",1))</f>
        <v>182:00</v>
      </c>
      <c r="J115" s="12">
        <f>IF('Raw Data'!J115="","",IF(LEN(K115)&gt;6,SQRT('Raw Data'!J115^2+N115^2),'Raw Data'!J115))</f>
        <v>14.1</v>
      </c>
      <c r="K115" s="7" t="str">
        <f>IF('Raw Data'!K115="","",IF(LEN('Raw Data'!K115)&lt;7,SUBSTITUTE('Raw Data'!K115," ",":",1),'Raw Data'!K115))</f>
        <v>-9:00</v>
      </c>
      <c r="L115" t="str">
        <f>IF('Raw Data'!L115="","",'Raw Data'!L115)</f>
        <v/>
      </c>
      <c r="M115">
        <f>IF('Raw Data'!M115="","",'Raw Data'!M115)</f>
        <v>13.9</v>
      </c>
      <c r="N115">
        <f>IF('Raw Data'!N115="","",IF('Raw Data'!N115="-",0,'Raw Data'!N115))</f>
        <v>-2.2000000000000002</v>
      </c>
      <c r="O115">
        <f>IF('Raw Data'!O115="","",'Raw Data'!O115)</f>
        <v>9.3000000000000007</v>
      </c>
      <c r="P115" t="str">
        <f>IF('Raw Data'!P115="","",'Raw Data'!P115)</f>
        <v/>
      </c>
      <c r="Q115" t="str">
        <f t="shared" si="37"/>
        <v xml:space="preserve"> </v>
      </c>
      <c r="R115" s="3">
        <f t="shared" si="49"/>
        <v>182</v>
      </c>
      <c r="S115" s="3" t="str">
        <f t="shared" si="50"/>
        <v>-</v>
      </c>
      <c r="T115" s="3">
        <f t="shared" si="51"/>
        <v>182</v>
      </c>
      <c r="U115" s="3">
        <f t="shared" si="45"/>
        <v>-9</v>
      </c>
      <c r="W115" s="4">
        <f t="shared" si="43"/>
        <v>13.926405602391442</v>
      </c>
      <c r="X115" s="4">
        <f t="shared" si="44"/>
        <v>-2.2057259570672554</v>
      </c>
      <c r="Y115" s="3">
        <f t="shared" si="39"/>
        <v>182</v>
      </c>
    </row>
    <row r="116" spans="1:25" x14ac:dyDescent="0.25">
      <c r="A116">
        <f>IF('Raw Data'!A116="","",'Raw Data'!A116)</f>
        <v>33</v>
      </c>
      <c r="B116">
        <f>IF('Raw Data'!B116="","",'Raw Data'!B116)</f>
        <v>34</v>
      </c>
      <c r="C116">
        <f>IF('Raw Data'!C116="","",'Raw Data'!C116)</f>
        <v>0.5</v>
      </c>
      <c r="D116">
        <f>IF('Raw Data'!D116="","",'Raw Data'!D116)</f>
        <v>0.5</v>
      </c>
      <c r="E116" t="str">
        <f>IF('Raw Data'!E116="","",'Raw Data'!E116)</f>
        <v>-</v>
      </c>
      <c r="F116">
        <f>IF('Raw Data'!F116="","",'Raw Data'!F116)</f>
        <v>2</v>
      </c>
      <c r="G116" s="7" t="str">
        <f>IF('Raw Data'!G116="","",SUBSTITUTE('Raw Data'!G116," ",":",1))</f>
        <v>-</v>
      </c>
      <c r="H116" s="7" t="str">
        <f>IF('Raw Data'!H116="","",SUBSTITUTE('Raw Data'!H116," ",":",1))</f>
        <v>339:00</v>
      </c>
      <c r="I116" s="7" t="str">
        <f>IF('Raw Data'!I116="","",SUBSTITUTE('Raw Data'!I116," ",":",1))</f>
        <v>159:00</v>
      </c>
      <c r="J116" s="12">
        <f>IF('Raw Data'!J116="","",IF(LEN(K116)&gt;6,SQRT('Raw Data'!J116^2+N116^2),'Raw Data'!J116))</f>
        <v>17.029386365926403</v>
      </c>
      <c r="K116" s="7" t="str">
        <f>IF('Raw Data'!K116="","",IF(LEN('Raw Data'!K116)&lt;7,SUBSTITUTE('Raw Data'!K116," ",":",1),'Raw Data'!K116))</f>
        <v>rise 1 foot</v>
      </c>
      <c r="L116" t="str">
        <f>IF('Raw Data'!L116="","",'Raw Data'!L116)</f>
        <v/>
      </c>
      <c r="M116">
        <f>IF('Raw Data'!M116="","",'Raw Data'!M116)</f>
        <v>16.8</v>
      </c>
      <c r="N116">
        <f>IF('Raw Data'!N116="","",IF('Raw Data'!N116="-",0,'Raw Data'!N116))</f>
        <v>1</v>
      </c>
      <c r="O116">
        <f>IF('Raw Data'!O116="","",'Raw Data'!O116)</f>
        <v>7.1</v>
      </c>
      <c r="P116" t="str">
        <f>IF('Raw Data'!P116="","",'Raw Data'!P116)</f>
        <v/>
      </c>
      <c r="Q116" t="str">
        <f t="shared" si="37"/>
        <v xml:space="preserve"> </v>
      </c>
      <c r="R116" s="3" t="str">
        <f t="shared" si="49"/>
        <v>-</v>
      </c>
      <c r="S116" s="3">
        <f t="shared" si="50"/>
        <v>339</v>
      </c>
      <c r="T116" s="3">
        <f t="shared" si="51"/>
        <v>159</v>
      </c>
      <c r="U116" s="9">
        <f>ASIN(N116/J116)*180/PI()</f>
        <v>3.3664606634298013</v>
      </c>
      <c r="W116" s="4">
        <f t="shared" si="43"/>
        <v>17</v>
      </c>
      <c r="X116" s="4">
        <f t="shared" si="44"/>
        <v>1.0000000000000002</v>
      </c>
      <c r="Y116" s="3">
        <f t="shared" si="39"/>
        <v>159</v>
      </c>
    </row>
    <row r="117" spans="1:25" x14ac:dyDescent="0.25">
      <c r="A117">
        <f>IF('Raw Data'!A117="","",'Raw Data'!A117)</f>
        <v>34</v>
      </c>
      <c r="B117">
        <f>IF('Raw Data'!B117="","",'Raw Data'!B117)</f>
        <v>35</v>
      </c>
      <c r="C117">
        <f>IF('Raw Data'!C117="","",'Raw Data'!C117)</f>
        <v>3</v>
      </c>
      <c r="D117">
        <f>IF('Raw Data'!D117="","",'Raw Data'!D117)</f>
        <v>2</v>
      </c>
      <c r="E117">
        <f>IF('Raw Data'!E117="","",'Raw Data'!E117)</f>
        <v>2</v>
      </c>
      <c r="F117" t="str">
        <f>IF('Raw Data'!F117="","",'Raw Data'!F117)</f>
        <v>/</v>
      </c>
      <c r="G117" s="7" t="str">
        <f>IF('Raw Data'!G117="","",SUBSTITUTE('Raw Data'!G117," ",":",1))</f>
        <v>-</v>
      </c>
      <c r="H117" s="7" t="str">
        <f>IF('Raw Data'!H117="","",SUBSTITUTE('Raw Data'!H117," ",":",1))</f>
        <v>341:00</v>
      </c>
      <c r="I117" s="7" t="str">
        <f>IF('Raw Data'!I117="","",SUBSTITUTE('Raw Data'!I117," ",":",1))</f>
        <v>161:00</v>
      </c>
      <c r="J117" s="12">
        <f>IF('Raw Data'!J117="","",IF(LEN(K117)&gt;6,SQRT('Raw Data'!J117^2+N117^2),'Raw Data'!J117))</f>
        <v>13.9</v>
      </c>
      <c r="K117" s="7" t="str">
        <f>IF('Raw Data'!K117="","",IF(LEN('Raw Data'!K117)&lt;7,SUBSTITUTE('Raw Data'!K117," ",":",1),'Raw Data'!K117))</f>
        <v>-12:30</v>
      </c>
      <c r="L117" t="str">
        <f>IF('Raw Data'!L117="","",'Raw Data'!L117)</f>
        <v/>
      </c>
      <c r="M117">
        <f>IF('Raw Data'!M117="","",'Raw Data'!M117)</f>
        <v>13.7</v>
      </c>
      <c r="N117">
        <f>IF('Raw Data'!N117="","",IF('Raw Data'!N117="-",0,'Raw Data'!N117))</f>
        <v>-3</v>
      </c>
      <c r="O117">
        <f>IF('Raw Data'!O117="","",'Raw Data'!O117)</f>
        <v>8.1</v>
      </c>
      <c r="P117" t="str">
        <f>IF('Raw Data'!P117="","",'Raw Data'!P117)</f>
        <v>35 = A on p.25 = Big rock by D on p.46 (Top of)</v>
      </c>
      <c r="Q117" t="str">
        <f t="shared" si="37"/>
        <v xml:space="preserve"> </v>
      </c>
      <c r="R117" s="3" t="str">
        <f t="shared" si="49"/>
        <v>-</v>
      </c>
      <c r="S117" s="3">
        <f t="shared" si="50"/>
        <v>341</v>
      </c>
      <c r="T117" s="3">
        <f t="shared" si="51"/>
        <v>161</v>
      </c>
      <c r="U117" s="3">
        <f t="shared" si="45"/>
        <v>-12.5</v>
      </c>
      <c r="W117" s="4">
        <f t="shared" si="43"/>
        <v>13.570514498967075</v>
      </c>
      <c r="X117" s="4">
        <f t="shared" si="44"/>
        <v>-3.0085106337396299</v>
      </c>
      <c r="Y117" s="3">
        <f t="shared" si="39"/>
        <v>161</v>
      </c>
    </row>
    <row r="118" spans="1:25" x14ac:dyDescent="0.25">
      <c r="A118">
        <f>IF('Raw Data'!A118="","",'Raw Data'!A118)</f>
        <v>35</v>
      </c>
      <c r="B118" t="str">
        <f>IF('Raw Data'!B118="","",'Raw Data'!B118)</f>
        <v/>
      </c>
      <c r="C118" t="str">
        <f>IF('Raw Data'!C118="","",'Raw Data'!C118)</f>
        <v/>
      </c>
      <c r="D118" t="str">
        <f>IF('Raw Data'!D118="","",'Raw Data'!D118)</f>
        <v/>
      </c>
      <c r="E118" t="str">
        <f>IF('Raw Data'!E118="","",'Raw Data'!E118)</f>
        <v/>
      </c>
      <c r="F118" t="str">
        <f>IF('Raw Data'!F118="","",'Raw Data'!F118)</f>
        <v/>
      </c>
      <c r="G118" s="7" t="str">
        <f>IF('Raw Data'!G118="","",SUBSTITUTE('Raw Data'!G118," ",":",1))</f>
        <v/>
      </c>
      <c r="H118" s="7" t="str">
        <f>IF('Raw Data'!H118="","",SUBSTITUTE('Raw Data'!H118," ",":",1))</f>
        <v/>
      </c>
      <c r="I118" s="7" t="str">
        <f>IF('Raw Data'!I118="","",SUBSTITUTE('Raw Data'!I118," ",":",1))</f>
        <v/>
      </c>
      <c r="J118" s="12" t="str">
        <f>IF('Raw Data'!J118="","",IF(LEN(K118)&gt;6,SQRT('Raw Data'!J118^2+N118^2),'Raw Data'!J118))</f>
        <v/>
      </c>
      <c r="K118" s="7" t="str">
        <f>IF('Raw Data'!K118="","",IF(LEN('Raw Data'!K118)&lt;7,SUBSTITUTE('Raw Data'!K118," ",":",1),'Raw Data'!K118))</f>
        <v/>
      </c>
      <c r="L118" t="str">
        <f>IF('Raw Data'!L118="","",'Raw Data'!L118)</f>
        <v/>
      </c>
      <c r="M118" t="str">
        <f>IF('Raw Data'!M118="","",'Raw Data'!M118)</f>
        <v/>
      </c>
      <c r="N118" t="str">
        <f>IF('Raw Data'!N118="","",IF('Raw Data'!N118="-",0,'Raw Data'!N118))</f>
        <v/>
      </c>
      <c r="O118">
        <f>IF('Raw Data'!O118="","",'Raw Data'!O118)</f>
        <v>5.0999999999999996</v>
      </c>
      <c r="P118" t="str">
        <f>IF('Raw Data'!P118="","",'Raw Data'!P118)</f>
        <v>Total = 2,642'</v>
      </c>
      <c r="Q118" t="str">
        <f t="shared" si="37"/>
        <v xml:space="preserve"> </v>
      </c>
      <c r="W118" s="4"/>
      <c r="X118" s="4"/>
      <c r="Y118" s="3"/>
    </row>
    <row r="119" spans="1:25" x14ac:dyDescent="0.25">
      <c r="A119">
        <f>IF('Raw Data'!A119="","",'Raw Data'!A119)</f>
        <v>35</v>
      </c>
      <c r="B119" t="str">
        <f>IF('Raw Data'!B119="","",'Raw Data'!B119)</f>
        <v>e</v>
      </c>
      <c r="C119" t="str">
        <f>IF('Raw Data'!C119="","",'Raw Data'!C119)</f>
        <v/>
      </c>
      <c r="D119" t="str">
        <f>IF('Raw Data'!D119="","",'Raw Data'!D119)</f>
        <v/>
      </c>
      <c r="E119" t="str">
        <f>IF('Raw Data'!E119="","",'Raw Data'!E119)</f>
        <v/>
      </c>
      <c r="F119" t="str">
        <f>IF('Raw Data'!F119="","",'Raw Data'!F119)</f>
        <v/>
      </c>
      <c r="G119" s="7" t="str">
        <f>IF('Raw Data'!G119="","",SUBSTITUTE('Raw Data'!G119," ",":",1))</f>
        <v>234</v>
      </c>
      <c r="H119" s="7" t="str">
        <f>IF('Raw Data'!H119="","",SUBSTITUTE('Raw Data'!H119," ",":",1))</f>
        <v>-</v>
      </c>
      <c r="I119" s="7" t="str">
        <f>IF('Raw Data'!I119="","",SUBSTITUTE('Raw Data'!I119," ",":",1))</f>
        <v>234</v>
      </c>
      <c r="J119" s="12">
        <f>IF('Raw Data'!J119="","",IF(LEN(K119)&gt;6,SQRT('Raw Data'!J119^2+N119^2),'Raw Data'!J119))</f>
        <v>18</v>
      </c>
      <c r="K119" s="7" t="str">
        <f>IF('Raw Data'!K119="","",IF(LEN('Raw Data'!K119)&lt;7,SUBSTITUTE('Raw Data'!K119," ",":",1),'Raw Data'!K119))</f>
        <v>45</v>
      </c>
      <c r="L119" t="str">
        <f>IF('Raw Data'!L119="","",'Raw Data'!L119)</f>
        <v/>
      </c>
      <c r="M119">
        <f>IF('Raw Data'!M119="","",'Raw Data'!M119)</f>
        <v>12.7</v>
      </c>
      <c r="N119">
        <f>IF('Raw Data'!N119="","",IF('Raw Data'!N119="-",0,'Raw Data'!N119))</f>
        <v>12.7</v>
      </c>
      <c r="O119" t="str">
        <f>IF('Raw Data'!O119="","",'Raw Data'!O119)</f>
        <v/>
      </c>
      <c r="P119" t="str">
        <f>IF('Raw Data'!P119="","",'Raw Data'!P119)</f>
        <v>(e) is where passage rejoins streamway. Stn 35 (p.52)-(e) is F.S. 234 (TRUE), Dist 18', Clino +45 (deg), HD 12.7, VD +12.7</v>
      </c>
      <c r="Q119" t="str">
        <f t="shared" si="37"/>
        <v xml:space="preserve"> </v>
      </c>
      <c r="R119" s="3">
        <f t="shared" si="49"/>
        <v>234</v>
      </c>
      <c r="S119" s="3" t="str">
        <f t="shared" si="50"/>
        <v>-</v>
      </c>
      <c r="T119" s="3">
        <f t="shared" si="51"/>
        <v>234</v>
      </c>
      <c r="U119" s="3" t="str">
        <f t="shared" si="45"/>
        <v>45</v>
      </c>
      <c r="W119" s="4">
        <f t="shared" si="43"/>
        <v>12.727922061357857</v>
      </c>
      <c r="X119" s="4">
        <f t="shared" si="44"/>
        <v>12.727922061357855</v>
      </c>
      <c r="Y119" s="3">
        <f t="shared" si="39"/>
        <v>234</v>
      </c>
    </row>
    <row r="120" spans="1:25" x14ac:dyDescent="0.25">
      <c r="A120">
        <f>IF('Raw Data'!A120="","",'Raw Data'!A120)</f>
        <v>35</v>
      </c>
      <c r="B120" t="str">
        <f>IF('Raw Data'!B120="","",'Raw Data'!B120)</f>
        <v>D</v>
      </c>
      <c r="C120" t="str">
        <f>IF('Raw Data'!C120="","",'Raw Data'!C120)</f>
        <v/>
      </c>
      <c r="D120" t="str">
        <f>IF('Raw Data'!D120="","",'Raw Data'!D120)</f>
        <v/>
      </c>
      <c r="E120" t="str">
        <f>IF('Raw Data'!E120="","",'Raw Data'!E120)</f>
        <v/>
      </c>
      <c r="F120" t="str">
        <f>IF('Raw Data'!F120="","",'Raw Data'!F120)</f>
        <v/>
      </c>
      <c r="G120" s="7" t="str">
        <f>IF('Raw Data'!G120="","",SUBSTITUTE('Raw Data'!G120," ",":",1))</f>
        <v>350</v>
      </c>
      <c r="H120" s="7" t="str">
        <f>IF('Raw Data'!H120="","",SUBSTITUTE('Raw Data'!H120," ",":",1))</f>
        <v>-</v>
      </c>
      <c r="I120" s="7" t="str">
        <f>IF('Raw Data'!I120="","",SUBSTITUTE('Raw Data'!I120," ",":",1))</f>
        <v>350</v>
      </c>
      <c r="J120" s="12">
        <f>IF('Raw Data'!J120="","",IF(LEN(K120)&gt;6,SQRT('Raw Data'!J120^2+N120^2),'Raw Data'!J120))</f>
        <v>10</v>
      </c>
      <c r="K120" s="7" t="str">
        <f>IF('Raw Data'!K120="","",IF(LEN('Raw Data'!K120)&lt;7,SUBSTITUTE('Raw Data'!K120," ",":",1),'Raw Data'!K120))</f>
        <v>0</v>
      </c>
      <c r="L120" t="str">
        <f>IF('Raw Data'!L120="","",'Raw Data'!L120)</f>
        <v/>
      </c>
      <c r="M120">
        <f>IF('Raw Data'!M120="","",'Raw Data'!M120)</f>
        <v>10</v>
      </c>
      <c r="N120">
        <f>IF('Raw Data'!N120="","",IF('Raw Data'!N120="-",0,'Raw Data'!N120))</f>
        <v>0</v>
      </c>
      <c r="O120" t="str">
        <f>IF('Raw Data'!O120="","",'Raw Data'!O120)</f>
        <v/>
      </c>
      <c r="P120" t="str">
        <f>IF('Raw Data'!P120="","",'Raw Data'!P120)</f>
        <v>D is in stream. Big rock (start of New Series survey) 10' away at 350 (deg). Big passage starts as continuation of Howards Dig.</v>
      </c>
      <c r="R120" s="3">
        <f t="shared" ref="R120" si="52">IF(ISERROR(FIND(":",G120)),IF(G120&lt;&gt;"-",1*G120,G120),1*LEFT(G120,FIND(":",G120)-1)+RIGHT(G120,LEN(G120)-FIND(":",G120))/60)</f>
        <v>350</v>
      </c>
      <c r="S120" s="3" t="str">
        <f t="shared" ref="S120" si="53">IF(ISERROR(FIND(":",H120)),IF(H120&lt;&gt;"-",1*H120,H120),1*LEFT(H120,FIND(":",H120)-1)+RIGHT(H120,LEN(H120)-FIND(":",H120))/60)</f>
        <v>-</v>
      </c>
      <c r="T120" s="3">
        <f t="shared" ref="T120" si="54">IF(ISERROR(FIND(":",I120)),IF(I120&lt;&gt;"-",1*I120,I120),1*LEFT(I120,FIND(":",I120)-1)+RIGHT(I120,LEN(I120)-FIND(":",I120))/60)</f>
        <v>350</v>
      </c>
      <c r="U120" s="3" t="str">
        <f t="shared" ref="U120" si="55">IF(ISERROR(FIND(":",K120)),K120,1*CONCATENATE(LEFT(K120,FIND(":",K120)-1),".",MID(RIGHT(K120,LEN(K120)-FIND(":",K120))/60,3,8)))</f>
        <v>0</v>
      </c>
      <c r="W120" s="4">
        <f t="shared" ref="W120" si="56">J120*COS(U120*PI()/180)</f>
        <v>10</v>
      </c>
      <c r="X120" s="4">
        <f t="shared" ref="X120" si="57">J120*SIN(U120*PI()/180)</f>
        <v>0</v>
      </c>
      <c r="Y120" s="3">
        <f t="shared" ref="Y120" si="58">IF(R120="-",IF(S120&gt;180,S120-180,S120+180),R120)</f>
        <v>350</v>
      </c>
    </row>
    <row r="121" spans="1:25" x14ac:dyDescent="0.25">
      <c r="A121" t="str">
        <f>IF('Raw Data'!A121="","",'Raw Data'!A121)</f>
        <v/>
      </c>
      <c r="B121" t="str">
        <f>IF('Raw Data'!B121="","",'Raw Data'!B121)</f>
        <v/>
      </c>
      <c r="C121" t="str">
        <f>IF('Raw Data'!C121="","",'Raw Data'!C121)</f>
        <v/>
      </c>
      <c r="D121" t="str">
        <f>IF('Raw Data'!D121="","",'Raw Data'!D121)</f>
        <v/>
      </c>
      <c r="E121" t="str">
        <f>IF('Raw Data'!E121="","",'Raw Data'!E121)</f>
        <v/>
      </c>
      <c r="F121" t="str">
        <f>IF('Raw Data'!F121="","",'Raw Data'!F121)</f>
        <v/>
      </c>
      <c r="G121" s="7" t="str">
        <f>IF('Raw Data'!G121="","",SUBSTITUTE('Raw Data'!G121," ",":",1))</f>
        <v/>
      </c>
      <c r="H121" s="7" t="str">
        <f>IF('Raw Data'!H121="","",SUBSTITUTE('Raw Data'!H121," ",":",1))</f>
        <v/>
      </c>
      <c r="I121" s="7"/>
      <c r="J121" s="12"/>
      <c r="K121" s="7"/>
      <c r="W121" s="4"/>
      <c r="X121" s="4"/>
      <c r="Y121" s="3"/>
    </row>
    <row r="122" spans="1:25" x14ac:dyDescent="0.25">
      <c r="A122" t="str">
        <f>IF('Raw Data'!A122="","",'Raw Data'!A122)</f>
        <v>p. 53-56</v>
      </c>
      <c r="B122" t="str">
        <f>IF('Raw Data'!B122="","",'Raw Data'!B122)</f>
        <v>(=PDF p.57-60)</v>
      </c>
      <c r="C122" t="str">
        <f>IF('Raw Data'!C122="","",'Raw Data'!C122)</f>
        <v/>
      </c>
      <c r="D122" t="str">
        <f>IF('Raw Data'!D122="","",'Raw Data'!D122)</f>
        <v/>
      </c>
      <c r="E122" t="str">
        <f>IF('Raw Data'!E122="","",'Raw Data'!E122)</f>
        <v/>
      </c>
      <c r="F122" t="str">
        <f>IF('Raw Data'!F122="","",'Raw Data'!F122)</f>
        <v/>
      </c>
      <c r="G122" s="7" t="str">
        <f>IF('Raw Data'!G122="","",SUBSTITUTE('Raw Data'!G122," ",":",1))</f>
        <v/>
      </c>
      <c r="H122" s="7" t="str">
        <f>IF('Raw Data'!H122="","",SUBSTITUTE('Raw Data'!H122," ",":",1))</f>
        <v/>
      </c>
      <c r="I122" s="7"/>
      <c r="J122" s="12"/>
      <c r="K122" s="7"/>
      <c r="W122" s="4"/>
      <c r="X122" s="4"/>
      <c r="Y122" s="3"/>
    </row>
    <row r="123" spans="1:25" x14ac:dyDescent="0.25">
      <c r="A123">
        <f>IF('Raw Data'!A123="","",'Raw Data'!A123)</f>
        <v>27</v>
      </c>
      <c r="B123">
        <f>IF('Raw Data'!B123="","",'Raw Data'!B123)</f>
        <v>36</v>
      </c>
      <c r="C123" t="str">
        <f>IF('Raw Data'!C123="","",'Raw Data'!C123)</f>
        <v>-</v>
      </c>
      <c r="D123" t="str">
        <f>IF('Raw Data'!D123="","",'Raw Data'!D123)</f>
        <v>-</v>
      </c>
      <c r="E123" t="str">
        <f>IF('Raw Data'!E123="","",'Raw Data'!E123)</f>
        <v>-</v>
      </c>
      <c r="F123" t="str">
        <f>IF('Raw Data'!F123="","",'Raw Data'!F123)</f>
        <v>-</v>
      </c>
      <c r="G123" s="7" t="str">
        <f>IF('Raw Data'!G123="","",SUBSTITUTE('Raw Data'!G123," ",":",1))</f>
        <v>-</v>
      </c>
      <c r="H123" s="7" t="str">
        <f>IF('Raw Data'!H123="","",SUBSTITUTE('Raw Data'!H123," ",":",1))</f>
        <v>-</v>
      </c>
      <c r="I123" s="7" t="str">
        <f>IF('Raw Data'!I123="","",SUBSTITUTE('Raw Data'!I123," ",":",1))</f>
        <v>-</v>
      </c>
      <c r="J123" s="12">
        <f>IF('Raw Data'!J123="","",IF(LEN(K123)&gt;6,SQRT('Raw Data'!J123^2+N123^2),'Raw Data'!J123))</f>
        <v>6</v>
      </c>
      <c r="K123" s="7" t="str">
        <f>IF('Raw Data'!K123="","",IF(LEN('Raw Data'!K123)&lt;7,SUBSTITUTE('Raw Data'!K123," ",":",1),'Raw Data'!K123))</f>
        <v>90:00</v>
      </c>
      <c r="L123" t="str">
        <f>IF('Raw Data'!L123="","",'Raw Data'!L123)</f>
        <v/>
      </c>
      <c r="M123" t="str">
        <f>IF('Raw Data'!M123="","",'Raw Data'!M123)</f>
        <v>-</v>
      </c>
      <c r="N123">
        <f>IF('Raw Data'!N123="","",IF('Raw Data'!N123="-",0,'Raw Data'!N123))</f>
        <v>6</v>
      </c>
      <c r="O123">
        <f>IF('Raw Data'!O123="","",'Raw Data'!O123)</f>
        <v>50.1</v>
      </c>
      <c r="P123" t="str">
        <f>IF('Raw Data'!P123="","",'Raw Data'!P123)</f>
        <v>27 = 27 of p.52</v>
      </c>
      <c r="R123" s="3" t="str">
        <f t="shared" ref="R123:R131" si="59">IF(ISERROR(FIND(":",G123)),IF(G123&lt;&gt;"-",1*G123,G123),1*LEFT(G123,FIND(":",G123)-1)+RIGHT(G123,LEN(G123)-FIND(":",G123))/60)</f>
        <v>-</v>
      </c>
      <c r="S123" s="3" t="str">
        <f t="shared" ref="S123:S131" si="60">IF(ISERROR(FIND(":",H123)),IF(H123&lt;&gt;"-",1*H123,H123),1*LEFT(H123,FIND(":",H123)-1)+RIGHT(H123,LEN(H123)-FIND(":",H123))/60)</f>
        <v>-</v>
      </c>
      <c r="T123" s="3" t="str">
        <f t="shared" ref="T123:T131" si="61">IF(ISERROR(FIND(":",I123)),IF(I123&lt;&gt;"-",1*I123,I123),1*LEFT(I123,FIND(":",I123)-1)+RIGHT(I123,LEN(I123)-FIND(":",I123))/60)</f>
        <v>-</v>
      </c>
      <c r="U123" s="3">
        <f t="shared" ref="U123:U131" si="62">IF(ISERROR(FIND(":",K123)),K123,1*CONCATENATE(LEFT(K123,FIND(":",K123)-1),".",MID(RIGHT(K123,LEN(K123)-FIND(":",K123))/60,3,8)))</f>
        <v>90</v>
      </c>
      <c r="W123" s="4">
        <f t="shared" ref="W123:W131" si="63">J123*COS(U123*PI()/180)</f>
        <v>3.67544536472586E-16</v>
      </c>
      <c r="X123" s="4">
        <f t="shared" ref="X123:X131" si="64">J123*SIN(U123*PI()/180)</f>
        <v>6</v>
      </c>
      <c r="Y123" s="3" t="e">
        <f t="shared" ref="Y123:Y131" si="65">IF(R123="-",IF(S123&gt;180,S123-180,S123+180),R123)</f>
        <v>#VALUE!</v>
      </c>
    </row>
    <row r="124" spans="1:25" x14ac:dyDescent="0.25">
      <c r="A124">
        <f>IF('Raw Data'!A124="","",'Raw Data'!A124)</f>
        <v>36</v>
      </c>
      <c r="B124">
        <f>IF('Raw Data'!B124="","",'Raw Data'!B124)</f>
        <v>37</v>
      </c>
      <c r="C124">
        <f>IF('Raw Data'!C124="","",'Raw Data'!C124)</f>
        <v>3</v>
      </c>
      <c r="D124">
        <f>IF('Raw Data'!D124="","",'Raw Data'!D124)</f>
        <v>1</v>
      </c>
      <c r="E124">
        <f>IF('Raw Data'!E124="","",'Raw Data'!E124)</f>
        <v>4</v>
      </c>
      <c r="F124">
        <f>IF('Raw Data'!F124="","",'Raw Data'!F124)</f>
        <v>4</v>
      </c>
      <c r="G124" s="7" t="str">
        <f>IF('Raw Data'!G124="","",SUBSTITUTE('Raw Data'!G124," ",":",1))</f>
        <v>-</v>
      </c>
      <c r="H124" s="7" t="str">
        <f>IF('Raw Data'!H124="","",SUBSTITUTE('Raw Data'!H124," ",":",1))</f>
        <v>158:00</v>
      </c>
      <c r="I124" s="7" t="str">
        <f>IF('Raw Data'!I124="","",SUBSTITUTE('Raw Data'!I124," ",":",1))</f>
        <v>338:00</v>
      </c>
      <c r="J124" s="12">
        <f>IF('Raw Data'!J124="","",IF(LEN(K124)&gt;6,SQRT('Raw Data'!J124^2+N124^2),'Raw Data'!J124))</f>
        <v>29.4</v>
      </c>
      <c r="K124" s="7" t="str">
        <f>IF('Raw Data'!K124="","",IF(LEN('Raw Data'!K124)&lt;7,SUBSTITUTE('Raw Data'!K124," ",":",1),'Raw Data'!K124))</f>
        <v>12:30</v>
      </c>
      <c r="L124" t="str">
        <f>IF('Raw Data'!L124="","",'Raw Data'!L124)</f>
        <v/>
      </c>
      <c r="M124">
        <f>IF('Raw Data'!M124="","",'Raw Data'!M124)</f>
        <v>28.6</v>
      </c>
      <c r="N124">
        <f>IF('Raw Data'!N124="","",IF('Raw Data'!N124="-",0,'Raw Data'!N124))</f>
        <v>6.4</v>
      </c>
      <c r="O124">
        <f>IF('Raw Data'!O124="","",'Raw Data'!O124)</f>
        <v>56.1</v>
      </c>
      <c r="P124" t="str">
        <f>IF('Raw Data'!P124="","",'Raw Data'!P124)</f>
        <v/>
      </c>
      <c r="R124" s="3" t="str">
        <f t="shared" si="59"/>
        <v>-</v>
      </c>
      <c r="S124" s="3">
        <f t="shared" si="60"/>
        <v>158</v>
      </c>
      <c r="T124" s="3">
        <f t="shared" si="61"/>
        <v>338</v>
      </c>
      <c r="U124" s="3">
        <f t="shared" si="62"/>
        <v>12.5</v>
      </c>
      <c r="W124" s="4">
        <f t="shared" si="63"/>
        <v>28.703102609326038</v>
      </c>
      <c r="X124" s="4">
        <f t="shared" si="64"/>
        <v>6.3633246497802238</v>
      </c>
      <c r="Y124" s="3">
        <f t="shared" si="65"/>
        <v>338</v>
      </c>
    </row>
    <row r="125" spans="1:25" x14ac:dyDescent="0.25">
      <c r="A125">
        <f>IF('Raw Data'!A125="","",'Raw Data'!A125)</f>
        <v>37</v>
      </c>
      <c r="B125">
        <f>IF('Raw Data'!B125="","",'Raw Data'!B125)</f>
        <v>38</v>
      </c>
      <c r="C125">
        <f>IF('Raw Data'!C125="","",'Raw Data'!C125)</f>
        <v>1</v>
      </c>
      <c r="D125">
        <f>IF('Raw Data'!D125="","",'Raw Data'!D125)</f>
        <v>3</v>
      </c>
      <c r="E125">
        <f>IF('Raw Data'!E125="","",'Raw Data'!E125)</f>
        <v>4</v>
      </c>
      <c r="F125">
        <f>IF('Raw Data'!F125="","",'Raw Data'!F125)</f>
        <v>1</v>
      </c>
      <c r="G125" s="7" t="str">
        <f>IF('Raw Data'!G125="","",SUBSTITUTE('Raw Data'!G125," ",":",1))</f>
        <v>011:00</v>
      </c>
      <c r="H125" s="7" t="str">
        <f>IF('Raw Data'!H125="","",SUBSTITUTE('Raw Data'!H125," ",":",1))</f>
        <v>-</v>
      </c>
      <c r="I125" s="7" t="str">
        <f>IF('Raw Data'!I125="","",SUBSTITUTE('Raw Data'!I125," ",":",1))</f>
        <v>011:00</v>
      </c>
      <c r="J125" s="12">
        <f>IF('Raw Data'!J125="","",IF(LEN(K125)&gt;6,SQRT('Raw Data'!J125^2+N125^2),'Raw Data'!J125))</f>
        <v>12.1</v>
      </c>
      <c r="K125" s="7" t="str">
        <f>IF('Raw Data'!K125="","",IF(LEN('Raw Data'!K125)&lt;7,SUBSTITUTE('Raw Data'!K125," ",":",1),'Raw Data'!K125))</f>
        <v>-38:00</v>
      </c>
      <c r="L125" t="str">
        <f>IF('Raw Data'!L125="","",'Raw Data'!L125)</f>
        <v/>
      </c>
      <c r="M125">
        <f>IF('Raw Data'!M125="","",'Raw Data'!M125)</f>
        <v>9.5</v>
      </c>
      <c r="N125">
        <f>IF('Raw Data'!N125="","",IF('Raw Data'!N125="-",0,'Raw Data'!N125))</f>
        <v>-7.4</v>
      </c>
      <c r="O125">
        <f>IF('Raw Data'!O125="","",'Raw Data'!O125)</f>
        <v>62.5</v>
      </c>
      <c r="P125" t="str">
        <f>IF('Raw Data'!P125="","",'Raw Data'!P125)</f>
        <v>(sketch of 36-54)</v>
      </c>
      <c r="R125" s="3">
        <f t="shared" si="59"/>
        <v>11</v>
      </c>
      <c r="S125" s="3" t="str">
        <f t="shared" si="60"/>
        <v>-</v>
      </c>
      <c r="T125" s="3">
        <f t="shared" si="61"/>
        <v>11</v>
      </c>
      <c r="U125" s="3">
        <f t="shared" si="62"/>
        <v>-38</v>
      </c>
      <c r="W125" s="4">
        <f t="shared" si="63"/>
        <v>9.534930118641336</v>
      </c>
      <c r="X125" s="4">
        <f t="shared" si="64"/>
        <v>-7.4495038514404639</v>
      </c>
      <c r="Y125" s="3">
        <f t="shared" si="65"/>
        <v>11</v>
      </c>
    </row>
    <row r="126" spans="1:25" x14ac:dyDescent="0.25">
      <c r="A126">
        <f>IF('Raw Data'!A126="","",'Raw Data'!A126)</f>
        <v>38</v>
      </c>
      <c r="B126">
        <f>IF('Raw Data'!B126="","",'Raw Data'!B126)</f>
        <v>39</v>
      </c>
      <c r="C126">
        <f>IF('Raw Data'!C126="","",'Raw Data'!C126)</f>
        <v>1</v>
      </c>
      <c r="D126">
        <f>IF('Raw Data'!D126="","",'Raw Data'!D126)</f>
        <v>0.5</v>
      </c>
      <c r="E126">
        <f>IF('Raw Data'!E126="","",'Raw Data'!E126)</f>
        <v>1</v>
      </c>
      <c r="F126">
        <f>IF('Raw Data'!F126="","",'Raw Data'!F126)</f>
        <v>4</v>
      </c>
      <c r="G126" s="7" t="str">
        <f>IF('Raw Data'!G126="","",SUBSTITUTE('Raw Data'!G126," ",":",1))</f>
        <v>-</v>
      </c>
      <c r="H126" s="7" t="str">
        <f>IF('Raw Data'!H126="","",SUBSTITUTE('Raw Data'!H126," ",":",1))</f>
        <v>282:00</v>
      </c>
      <c r="I126" s="7" t="str">
        <f>IF('Raw Data'!I126="","",SUBSTITUTE('Raw Data'!I126," ",":",1))</f>
        <v>102:00</v>
      </c>
      <c r="J126" s="12">
        <f>IF('Raw Data'!J126="","",IF(LEN(K126)&gt;6,SQRT('Raw Data'!J126^2+N126^2),'Raw Data'!J126))</f>
        <v>30.2</v>
      </c>
      <c r="K126" s="7" t="str">
        <f>IF('Raw Data'!K126="","",IF(LEN('Raw Data'!K126)&lt;7,SUBSTITUTE('Raw Data'!K126," ",":",1),'Raw Data'!K126))</f>
        <v>16:30</v>
      </c>
      <c r="L126" t="str">
        <f>IF('Raw Data'!L126="","",'Raw Data'!L126)</f>
        <v/>
      </c>
      <c r="M126">
        <f>IF('Raw Data'!M126="","",'Raw Data'!M126)</f>
        <v>28.9</v>
      </c>
      <c r="N126">
        <f>IF('Raw Data'!N126="","",IF('Raw Data'!N126="-",0,'Raw Data'!N126))</f>
        <v>8.6</v>
      </c>
      <c r="O126">
        <f>IF('Raw Data'!O126="","",'Raw Data'!O126)</f>
        <v>55.1</v>
      </c>
      <c r="P126" t="str">
        <f>IF('Raw Data'!P126="","",'Raw Data'!P126)</f>
        <v/>
      </c>
      <c r="R126" s="3" t="str">
        <f t="shared" si="59"/>
        <v>-</v>
      </c>
      <c r="S126" s="3">
        <f t="shared" si="60"/>
        <v>282</v>
      </c>
      <c r="T126" s="3">
        <f t="shared" si="61"/>
        <v>102</v>
      </c>
      <c r="U126" s="3">
        <f t="shared" si="62"/>
        <v>16.5</v>
      </c>
      <c r="W126" s="4">
        <f t="shared" si="63"/>
        <v>28.956355993019429</v>
      </c>
      <c r="X126" s="4">
        <f t="shared" si="64"/>
        <v>8.5772634100584639</v>
      </c>
      <c r="Y126" s="3">
        <f t="shared" si="65"/>
        <v>102</v>
      </c>
    </row>
    <row r="127" spans="1:25" x14ac:dyDescent="0.25">
      <c r="A127">
        <f>IF('Raw Data'!A127="","",'Raw Data'!A127)</f>
        <v>39</v>
      </c>
      <c r="B127">
        <f>IF('Raw Data'!B127="","",'Raw Data'!B127)</f>
        <v>40</v>
      </c>
      <c r="C127">
        <f>IF('Raw Data'!C127="","",'Raw Data'!C127)</f>
        <v>2</v>
      </c>
      <c r="D127">
        <f>IF('Raw Data'!D127="","",'Raw Data'!D127)</f>
        <v>2</v>
      </c>
      <c r="E127">
        <f>IF('Raw Data'!E127="","",'Raw Data'!E127)</f>
        <v>3</v>
      </c>
      <c r="F127">
        <f>IF('Raw Data'!F127="","",'Raw Data'!F127)</f>
        <v>4</v>
      </c>
      <c r="G127" s="7" t="str">
        <f>IF('Raw Data'!G127="","",SUBSTITUTE('Raw Data'!G127," ",":",1))</f>
        <v>063:30</v>
      </c>
      <c r="H127" s="7" t="str">
        <f>IF('Raw Data'!H127="","",SUBSTITUTE('Raw Data'!H127," ",":",1))</f>
        <v>-</v>
      </c>
      <c r="I127" s="7" t="str">
        <f>IF('Raw Data'!I127="","",SUBSTITUTE('Raw Data'!I127," ",":",1))</f>
        <v>063:30</v>
      </c>
      <c r="J127" s="12">
        <f>IF('Raw Data'!J127="","",IF(LEN(K127)&gt;6,SQRT('Raw Data'!J127^2+N127^2),'Raw Data'!J127))</f>
        <v>15</v>
      </c>
      <c r="K127" s="7" t="str">
        <f>IF('Raw Data'!K127="","",IF(LEN('Raw Data'!K127)&lt;7,SUBSTITUTE('Raw Data'!K127," ",":",1),'Raw Data'!K127))</f>
        <v>27:00</v>
      </c>
      <c r="L127" t="str">
        <f>IF('Raw Data'!L127="","",'Raw Data'!L127)</f>
        <v/>
      </c>
      <c r="M127">
        <f>IF('Raw Data'!M127="","",'Raw Data'!M127)</f>
        <v>13.4</v>
      </c>
      <c r="N127">
        <f>IF('Raw Data'!N127="","",IF('Raw Data'!N127="-",0,'Raw Data'!N127))</f>
        <v>6.8</v>
      </c>
      <c r="O127">
        <f>IF('Raw Data'!O127="","",'Raw Data'!O127)</f>
        <v>63.7</v>
      </c>
      <c r="P127" t="str">
        <f>IF('Raw Data'!P127="","",'Raw Data'!P127)</f>
        <v/>
      </c>
      <c r="R127" s="3">
        <f t="shared" si="59"/>
        <v>63.5</v>
      </c>
      <c r="S127" s="3" t="str">
        <f t="shared" si="60"/>
        <v>-</v>
      </c>
      <c r="T127" s="3">
        <f t="shared" si="61"/>
        <v>63.5</v>
      </c>
      <c r="U127" s="3">
        <f t="shared" si="62"/>
        <v>27</v>
      </c>
      <c r="W127" s="4">
        <f t="shared" si="63"/>
        <v>13.365097862825518</v>
      </c>
      <c r="X127" s="4">
        <f t="shared" si="64"/>
        <v>6.8098574960932012</v>
      </c>
      <c r="Y127" s="3">
        <f t="shared" si="65"/>
        <v>63.5</v>
      </c>
    </row>
    <row r="128" spans="1:25" x14ac:dyDescent="0.25">
      <c r="A128">
        <f>IF('Raw Data'!A128="","",'Raw Data'!A128)</f>
        <v>40</v>
      </c>
      <c r="B128">
        <f>IF('Raw Data'!B128="","",'Raw Data'!B128)</f>
        <v>41</v>
      </c>
      <c r="C128">
        <f>IF('Raw Data'!C128="","",'Raw Data'!C128)</f>
        <v>2</v>
      </c>
      <c r="D128">
        <f>IF('Raw Data'!D128="","",'Raw Data'!D128)</f>
        <v>2</v>
      </c>
      <c r="E128">
        <f>IF('Raw Data'!E128="","",'Raw Data'!E128)</f>
        <v>6</v>
      </c>
      <c r="F128">
        <f>IF('Raw Data'!F128="","",'Raw Data'!F128)</f>
        <v>2</v>
      </c>
      <c r="G128" s="7" t="str">
        <f>IF('Raw Data'!G128="","",SUBSTITUTE('Raw Data'!G128," ",":",1))</f>
        <v>-</v>
      </c>
      <c r="H128" s="7" t="str">
        <f>IF('Raw Data'!H128="","",SUBSTITUTE('Raw Data'!H128," ",":",1))</f>
        <v>284:00</v>
      </c>
      <c r="I128" s="7" t="str">
        <f>IF('Raw Data'!I128="","",SUBSTITUTE('Raw Data'!I128," ",":",1))</f>
        <v>104:00</v>
      </c>
      <c r="J128" s="12">
        <f>IF('Raw Data'!J128="","",IF(LEN(K128)&gt;6,SQRT('Raw Data'!J128^2+N128^2),'Raw Data'!J128))</f>
        <v>24.4</v>
      </c>
      <c r="K128" s="7" t="str">
        <f>IF('Raw Data'!K128="","",IF(LEN('Raw Data'!K128)&lt;7,SUBSTITUTE('Raw Data'!K128," ",":",1),'Raw Data'!K128))</f>
        <v>13:30</v>
      </c>
      <c r="L128" t="str">
        <f>IF('Raw Data'!L128="","",'Raw Data'!L128)</f>
        <v/>
      </c>
      <c r="M128">
        <f>IF('Raw Data'!M128="","",'Raw Data'!M128)</f>
        <v>23.7</v>
      </c>
      <c r="N128">
        <f>IF('Raw Data'!N128="","",IF('Raw Data'!N128="-",0,'Raw Data'!N128))</f>
        <v>5.7</v>
      </c>
      <c r="O128">
        <f>IF('Raw Data'!O128="","",'Raw Data'!O128)</f>
        <v>70.599999999999994</v>
      </c>
      <c r="P128" t="str">
        <f>IF('Raw Data'!P128="","",'Raw Data'!P128)</f>
        <v/>
      </c>
      <c r="R128" s="3" t="str">
        <f t="shared" si="59"/>
        <v>-</v>
      </c>
      <c r="S128" s="3">
        <f t="shared" si="60"/>
        <v>284</v>
      </c>
      <c r="T128" s="3">
        <f t="shared" si="61"/>
        <v>104</v>
      </c>
      <c r="U128" s="3">
        <f t="shared" si="62"/>
        <v>13.5</v>
      </c>
      <c r="W128" s="4">
        <f t="shared" si="63"/>
        <v>23.725826057703305</v>
      </c>
      <c r="X128" s="4">
        <f t="shared" si="64"/>
        <v>5.6960668780840908</v>
      </c>
      <c r="Y128" s="3">
        <f t="shared" si="65"/>
        <v>104</v>
      </c>
    </row>
    <row r="129" spans="1:25" x14ac:dyDescent="0.25">
      <c r="A129">
        <f>IF('Raw Data'!A129="","",'Raw Data'!A129)</f>
        <v>41</v>
      </c>
      <c r="B129">
        <f>IF('Raw Data'!B129="","",'Raw Data'!B129)</f>
        <v>42</v>
      </c>
      <c r="C129">
        <f>IF('Raw Data'!C129="","",'Raw Data'!C129)</f>
        <v>3</v>
      </c>
      <c r="D129">
        <f>IF('Raw Data'!D129="","",'Raw Data'!D129)</f>
        <v>2</v>
      </c>
      <c r="E129">
        <f>IF('Raw Data'!E129="","",'Raw Data'!E129)</f>
        <v>2</v>
      </c>
      <c r="F129">
        <f>IF('Raw Data'!F129="","",'Raw Data'!F129)</f>
        <v>6</v>
      </c>
      <c r="G129" s="7" t="str">
        <f>IF('Raw Data'!G129="","",SUBSTITUTE('Raw Data'!G129," ",":",1))</f>
        <v>083:00</v>
      </c>
      <c r="H129" s="7" t="str">
        <f>IF('Raw Data'!H129="","",SUBSTITUTE('Raw Data'!H129," ",":",1))</f>
        <v>-</v>
      </c>
      <c r="I129" s="7" t="str">
        <f>IF('Raw Data'!I129="","",SUBSTITUTE('Raw Data'!I129," ",":",1))</f>
        <v>083:00</v>
      </c>
      <c r="J129" s="12">
        <f>IF('Raw Data'!J129="","",IF(LEN(K129)&gt;6,SQRT('Raw Data'!J129^2+N129^2),'Raw Data'!J129))</f>
        <v>19.5</v>
      </c>
      <c r="K129" s="7" t="str">
        <f>IF('Raw Data'!K129="","",IF(LEN('Raw Data'!K129)&lt;7,SUBSTITUTE('Raw Data'!K129," ",":",1),'Raw Data'!K129))</f>
        <v>10:30</v>
      </c>
      <c r="L129" t="str">
        <f>IF('Raw Data'!L129="","",'Raw Data'!L129)</f>
        <v/>
      </c>
      <c r="M129">
        <f>IF('Raw Data'!M129="","",'Raw Data'!M129)</f>
        <v>19.2</v>
      </c>
      <c r="N129">
        <f>IF('Raw Data'!N129="","",IF('Raw Data'!N129="-",0,'Raw Data'!N129))</f>
        <v>3.5</v>
      </c>
      <c r="O129">
        <f>IF('Raw Data'!O129="","",'Raw Data'!O129)</f>
        <v>76.3</v>
      </c>
      <c r="P129" t="str">
        <f>IF('Raw Data'!P129="","",'Raw Data'!P129)</f>
        <v/>
      </c>
      <c r="R129" s="3">
        <f t="shared" si="59"/>
        <v>83</v>
      </c>
      <c r="S129" s="3" t="str">
        <f t="shared" si="60"/>
        <v>-</v>
      </c>
      <c r="T129" s="3">
        <f t="shared" si="61"/>
        <v>83</v>
      </c>
      <c r="U129" s="3">
        <f t="shared" si="62"/>
        <v>10.5</v>
      </c>
      <c r="W129" s="4">
        <f t="shared" si="63"/>
        <v>19.173470697497116</v>
      </c>
      <c r="X129" s="4">
        <f t="shared" si="64"/>
        <v>3.5535927470968756</v>
      </c>
      <c r="Y129" s="3">
        <f t="shared" si="65"/>
        <v>83</v>
      </c>
    </row>
    <row r="130" spans="1:25" x14ac:dyDescent="0.25">
      <c r="A130">
        <f>IF('Raw Data'!A130="","",'Raw Data'!A130)</f>
        <v>42</v>
      </c>
      <c r="B130">
        <f>IF('Raw Data'!B130="","",'Raw Data'!B130)</f>
        <v>43</v>
      </c>
      <c r="C130">
        <f>IF('Raw Data'!C130="","",'Raw Data'!C130)</f>
        <v>2</v>
      </c>
      <c r="D130">
        <f>IF('Raw Data'!D130="","",'Raw Data'!D130)</f>
        <v>0.5</v>
      </c>
      <c r="E130">
        <f>IF('Raw Data'!E130="","",'Raw Data'!E130)</f>
        <v>2</v>
      </c>
      <c r="F130">
        <f>IF('Raw Data'!F130="","",'Raw Data'!F130)</f>
        <v>1</v>
      </c>
      <c r="G130" s="7" t="str">
        <f>IF('Raw Data'!G130="","",SUBSTITUTE('Raw Data'!G130," ",":",1))</f>
        <v>-</v>
      </c>
      <c r="H130" s="7" t="str">
        <f>IF('Raw Data'!H130="","",SUBSTITUTE('Raw Data'!H130," ",":",1))</f>
        <v>296:30</v>
      </c>
      <c r="I130" s="7" t="str">
        <f>IF('Raw Data'!I130="","",SUBSTITUTE('Raw Data'!I130," ",":",1))</f>
        <v>116:30</v>
      </c>
      <c r="J130" s="12">
        <f>IF('Raw Data'!J130="","",IF(LEN(K130)&gt;6,SQRT('Raw Data'!J130^2+N130^2),'Raw Data'!J130))</f>
        <v>14.8</v>
      </c>
      <c r="K130" s="7" t="str">
        <f>IF('Raw Data'!K130="","",IF(LEN('Raw Data'!K130)&lt;7,SUBSTITUTE('Raw Data'!K130," ",":",1),'Raw Data'!K130))</f>
        <v>14:30</v>
      </c>
      <c r="L130" t="str">
        <f>IF('Raw Data'!L130="","",'Raw Data'!L130)</f>
        <v/>
      </c>
      <c r="M130">
        <f>IF('Raw Data'!M130="","",'Raw Data'!M130)</f>
        <v>14.3</v>
      </c>
      <c r="N130">
        <f>IF('Raw Data'!N130="","",IF('Raw Data'!N130="-",0,'Raw Data'!N130))</f>
        <v>3.7</v>
      </c>
      <c r="O130">
        <f>IF('Raw Data'!O130="","",'Raw Data'!O130)</f>
        <v>79.900000000000006</v>
      </c>
      <c r="P130" t="str">
        <f>IF('Raw Data'!P130="","",'Raw Data'!P130)</f>
        <v/>
      </c>
      <c r="R130" s="3" t="str">
        <f t="shared" si="59"/>
        <v>-</v>
      </c>
      <c r="S130" s="3">
        <f t="shared" si="60"/>
        <v>296.5</v>
      </c>
      <c r="T130" s="3">
        <f t="shared" si="61"/>
        <v>116.5</v>
      </c>
      <c r="U130" s="3">
        <f t="shared" si="62"/>
        <v>14.5</v>
      </c>
      <c r="W130" s="4">
        <f t="shared" si="63"/>
        <v>14.328585077595996</v>
      </c>
      <c r="X130" s="4">
        <f t="shared" si="64"/>
        <v>3.7056240600057335</v>
      </c>
      <c r="Y130" s="3">
        <f t="shared" si="65"/>
        <v>116.5</v>
      </c>
    </row>
    <row r="131" spans="1:25" x14ac:dyDescent="0.25">
      <c r="A131">
        <f>IF('Raw Data'!A131="","",'Raw Data'!A131)</f>
        <v>43</v>
      </c>
      <c r="B131">
        <f>IF('Raw Data'!B131="","",'Raw Data'!B131)</f>
        <v>44</v>
      </c>
      <c r="C131">
        <f>IF('Raw Data'!C131="","",'Raw Data'!C131)</f>
        <v>2</v>
      </c>
      <c r="D131">
        <f>IF('Raw Data'!D131="","",'Raw Data'!D131)</f>
        <v>2</v>
      </c>
      <c r="E131">
        <f>IF('Raw Data'!E131="","",'Raw Data'!E131)</f>
        <v>2</v>
      </c>
      <c r="F131">
        <f>IF('Raw Data'!F131="","",'Raw Data'!F131)</f>
        <v>7</v>
      </c>
      <c r="G131" s="7" t="str">
        <f>IF('Raw Data'!G131="","",SUBSTITUTE('Raw Data'!G131," ",":",1))</f>
        <v>074:30</v>
      </c>
      <c r="H131" s="7" t="str">
        <f>IF('Raw Data'!H131="","",SUBSTITUTE('Raw Data'!H131," ",":",1))</f>
        <v>-</v>
      </c>
      <c r="I131" s="7" t="str">
        <f>IF('Raw Data'!I131="","",SUBSTITUTE('Raw Data'!I131," ",":",1))</f>
        <v>074:30</v>
      </c>
      <c r="J131" s="12">
        <f>IF('Raw Data'!J131="","",IF(LEN(K131)&gt;6,SQRT('Raw Data'!J131^2+N131^2),'Raw Data'!J131))</f>
        <v>49.3</v>
      </c>
      <c r="K131" s="7" t="str">
        <f>IF('Raw Data'!K131="","",IF(LEN('Raw Data'!K131)&lt;7,SUBSTITUTE('Raw Data'!K131," ",":",1),'Raw Data'!K131))</f>
        <v>23:00</v>
      </c>
      <c r="L131" t="str">
        <f>IF('Raw Data'!L131="","",'Raw Data'!L131)</f>
        <v/>
      </c>
      <c r="M131">
        <f>IF('Raw Data'!M131="","",'Raw Data'!M131)</f>
        <v>45.4</v>
      </c>
      <c r="N131">
        <f>IF('Raw Data'!N131="","",IF('Raw Data'!N131="-",0,'Raw Data'!N131))</f>
        <v>19.2</v>
      </c>
      <c r="O131">
        <f>IF('Raw Data'!O131="","",'Raw Data'!O131)</f>
        <v>83.6</v>
      </c>
      <c r="P131" t="str">
        <f>IF('Raw Data'!P131="","",'Raw Data'!P131)</f>
        <v/>
      </c>
      <c r="R131" s="3">
        <f t="shared" si="59"/>
        <v>74.5</v>
      </c>
      <c r="S131" s="3" t="str">
        <f t="shared" si="60"/>
        <v>-</v>
      </c>
      <c r="T131" s="3">
        <f t="shared" si="61"/>
        <v>74.5</v>
      </c>
      <c r="U131" s="3">
        <f t="shared" si="62"/>
        <v>23</v>
      </c>
      <c r="W131" s="4">
        <f t="shared" si="63"/>
        <v>45.380889275205305</v>
      </c>
      <c r="X131" s="4">
        <f t="shared" si="64"/>
        <v>19.263044634521194</v>
      </c>
      <c r="Y131" s="3">
        <f t="shared" si="65"/>
        <v>74.5</v>
      </c>
    </row>
    <row r="132" spans="1:25" x14ac:dyDescent="0.25">
      <c r="A132">
        <f>IF('Raw Data'!A132="","",'Raw Data'!A132)</f>
        <v>44</v>
      </c>
      <c r="B132">
        <f>IF('Raw Data'!B132="","",'Raw Data'!B132)</f>
        <v>45</v>
      </c>
      <c r="C132">
        <f>IF('Raw Data'!C132="","",'Raw Data'!C132)</f>
        <v>7</v>
      </c>
      <c r="D132">
        <f>IF('Raw Data'!D132="","",'Raw Data'!D132)</f>
        <v>3</v>
      </c>
      <c r="E132">
        <f>IF('Raw Data'!E132="","",'Raw Data'!E132)</f>
        <v>0</v>
      </c>
      <c r="F132">
        <f>IF('Raw Data'!F132="","",'Raw Data'!F132)</f>
        <v>4</v>
      </c>
      <c r="G132" s="7" t="str">
        <f>IF('Raw Data'!G132="","",SUBSTITUTE('Raw Data'!G132," ",":",1))</f>
        <v>-</v>
      </c>
      <c r="H132" s="7" t="str">
        <f>IF('Raw Data'!H132="","",SUBSTITUTE('Raw Data'!H132," ",":",1))</f>
        <v>337:00</v>
      </c>
      <c r="I132" s="7" t="str">
        <f>IF('Raw Data'!I132="","",SUBSTITUTE('Raw Data'!I132," ",":",1))</f>
        <v>157:00</v>
      </c>
      <c r="J132" s="12">
        <f>IF('Raw Data'!J132="","",IF(LEN(K132)&gt;6,SQRT('Raw Data'!J132^2+N132^2),'Raw Data'!J132))</f>
        <v>7.3</v>
      </c>
      <c r="K132" s="7" t="str">
        <f>IF('Raw Data'!K132="","",IF(LEN('Raw Data'!K132)&lt;7,SUBSTITUTE('Raw Data'!K132," ",":",1),'Raw Data'!K132))</f>
        <v>5:00</v>
      </c>
      <c r="L132" t="str">
        <f>IF('Raw Data'!L132="","",'Raw Data'!L132)</f>
        <v/>
      </c>
      <c r="M132">
        <f>IF('Raw Data'!M132="","",'Raw Data'!M132)</f>
        <v>7.3</v>
      </c>
      <c r="N132">
        <f>IF('Raw Data'!N132="","",IF('Raw Data'!N132="-",0,'Raw Data'!N132))</f>
        <v>0.8</v>
      </c>
      <c r="O132">
        <f>IF('Raw Data'!O132="","",'Raw Data'!O132)</f>
        <v>103</v>
      </c>
      <c r="P132" t="str">
        <f>IF('Raw Data'!P132="","",'Raw Data'!P132)</f>
        <v/>
      </c>
      <c r="R132" s="3" t="str">
        <f t="shared" ref="R132:R179" si="66">IF(ISERROR(FIND(":",G132)),IF(G132&lt;&gt;"-",1*G132,G132),1*LEFT(G132,FIND(":",G132)-1)+RIGHT(G132,LEN(G132)-FIND(":",G132))/60)</f>
        <v>-</v>
      </c>
      <c r="S132" s="3">
        <f t="shared" ref="S132:S179" si="67">IF(ISERROR(FIND(":",H132)),IF(H132&lt;&gt;"-",1*H132,H132),1*LEFT(H132,FIND(":",H132)-1)+RIGHT(H132,LEN(H132)-FIND(":",H132))/60)</f>
        <v>337</v>
      </c>
      <c r="T132" s="3">
        <f t="shared" ref="T132:T179" si="68">IF(ISERROR(FIND(":",I132)),IF(I132&lt;&gt;"-",1*I132,I132),1*LEFT(I132,FIND(":",I132)-1)+RIGHT(I132,LEN(I132)-FIND(":",I132))/60)</f>
        <v>157</v>
      </c>
      <c r="U132" s="3">
        <f t="shared" ref="U132:U179" si="69">IF(ISERROR(FIND(":",K132)),K132,1*CONCATENATE(LEFT(K132,FIND(":",K132)-1),".",MID(RIGHT(K132,LEN(K132)-FIND(":",K132))/60,3,8)))</f>
        <v>5</v>
      </c>
      <c r="W132" s="4">
        <f t="shared" ref="W132:W179" si="70">J132*COS(U132*PI()/180)</f>
        <v>7.2722212960697421</v>
      </c>
      <c r="X132" s="4">
        <f t="shared" ref="X132:X179" si="71">J132*SIN(U132*PI()/180)</f>
        <v>0.63623692205790461</v>
      </c>
      <c r="Y132" s="3">
        <f t="shared" ref="Y132:Y179" si="72">IF(R132="-",IF(S132&gt;180,S132-180,S132+180),R132)</f>
        <v>157</v>
      </c>
    </row>
    <row r="133" spans="1:25" x14ac:dyDescent="0.25">
      <c r="A133">
        <f>IF('Raw Data'!A133="","",'Raw Data'!A133)</f>
        <v>45</v>
      </c>
      <c r="B133">
        <f>IF('Raw Data'!B133="","",'Raw Data'!B133)</f>
        <v>46</v>
      </c>
      <c r="C133">
        <f>IF('Raw Data'!C133="","",'Raw Data'!C133)</f>
        <v>7</v>
      </c>
      <c r="D133">
        <f>IF('Raw Data'!D133="","",'Raw Data'!D133)</f>
        <v>4</v>
      </c>
      <c r="E133">
        <f>IF('Raw Data'!E133="","",'Raw Data'!E133)</f>
        <v>2</v>
      </c>
      <c r="F133">
        <f>IF('Raw Data'!F133="","",'Raw Data'!F133)</f>
        <v>0.5</v>
      </c>
      <c r="G133" s="7" t="str">
        <f>IF('Raw Data'!G133="","",SUBSTITUTE('Raw Data'!G133," ",":",1))</f>
        <v>117:00</v>
      </c>
      <c r="H133" s="7" t="str">
        <f>IF('Raw Data'!H133="","",SUBSTITUTE('Raw Data'!H133," ",":",1))</f>
        <v>-</v>
      </c>
      <c r="I133" s="7" t="str">
        <f>IF('Raw Data'!I133="","",SUBSTITUTE('Raw Data'!I133," ",":",1))</f>
        <v>117:00</v>
      </c>
      <c r="J133" s="12">
        <f>IF('Raw Data'!J133="","",IF(LEN(K133)&gt;6,SQRT('Raw Data'!J133^2+N133^2),'Raw Data'!J133))</f>
        <v>16.2</v>
      </c>
      <c r="K133" s="7" t="str">
        <f>IF('Raw Data'!K133="","",IF(LEN('Raw Data'!K133)&lt;7,SUBSTITUTE('Raw Data'!K133," ",":",1),'Raw Data'!K133))</f>
        <v>-31:00</v>
      </c>
      <c r="L133" t="str">
        <f>IF('Raw Data'!L133="","",'Raw Data'!L133)</f>
        <v/>
      </c>
      <c r="M133">
        <f>IF('Raw Data'!M133="","",'Raw Data'!M133)</f>
        <v>13.8</v>
      </c>
      <c r="N133">
        <f>IF('Raw Data'!N133="","",IF('Raw Data'!N133="-",0,'Raw Data'!N133))</f>
        <v>-8.3000000000000007</v>
      </c>
      <c r="O133">
        <f>IF('Raw Data'!O133="","",'Raw Data'!O133)</f>
        <v>103.8</v>
      </c>
      <c r="P133" t="str">
        <f>IF('Raw Data'!P133="","",'Raw Data'!P133)</f>
        <v/>
      </c>
      <c r="R133" s="3">
        <f t="shared" si="66"/>
        <v>117</v>
      </c>
      <c r="S133" s="3" t="str">
        <f t="shared" si="67"/>
        <v>-</v>
      </c>
      <c r="T133" s="3">
        <f t="shared" si="68"/>
        <v>117</v>
      </c>
      <c r="U133" s="3">
        <f t="shared" si="69"/>
        <v>-31</v>
      </c>
      <c r="W133" s="4">
        <f t="shared" si="70"/>
        <v>13.886110271374219</v>
      </c>
      <c r="X133" s="4">
        <f t="shared" si="71"/>
        <v>-8.3436168135428765</v>
      </c>
      <c r="Y133" s="3">
        <f t="shared" si="72"/>
        <v>117</v>
      </c>
    </row>
    <row r="134" spans="1:25" x14ac:dyDescent="0.25">
      <c r="A134">
        <f>IF('Raw Data'!A134="","",'Raw Data'!A134)</f>
        <v>46</v>
      </c>
      <c r="B134">
        <f>IF('Raw Data'!B134="","",'Raw Data'!B134)</f>
        <v>47</v>
      </c>
      <c r="C134">
        <f>IF('Raw Data'!C134="","",'Raw Data'!C134)</f>
        <v>15</v>
      </c>
      <c r="D134" t="str">
        <f>IF('Raw Data'!D134="","",'Raw Data'!D134)</f>
        <v>/</v>
      </c>
      <c r="E134" t="str">
        <f>IF('Raw Data'!E134="","",'Raw Data'!E134)</f>
        <v>/</v>
      </c>
      <c r="F134" t="str">
        <f>IF('Raw Data'!F134="","",'Raw Data'!F134)</f>
        <v>/</v>
      </c>
      <c r="G134" s="7" t="str">
        <f>IF('Raw Data'!G134="","",SUBSTITUTE('Raw Data'!G134," ",":",1))</f>
        <v>-</v>
      </c>
      <c r="H134" s="7" t="str">
        <f>IF('Raw Data'!H134="","",SUBSTITUTE('Raw Data'!H134," ",":",1))</f>
        <v>-</v>
      </c>
      <c r="I134" s="7" t="str">
        <f>IF('Raw Data'!I134="","",SUBSTITUTE('Raw Data'!I134," ",":",1))</f>
        <v>-</v>
      </c>
      <c r="J134" s="12">
        <f>IF('Raw Data'!J134="","",IF(LEN(K134)&gt;6,SQRT('Raw Data'!J134^2+N134^2),'Raw Data'!J134))</f>
        <v>35</v>
      </c>
      <c r="K134" s="7" t="str">
        <f>IF('Raw Data'!K134="","",IF(LEN('Raw Data'!K134)&lt;7,SUBSTITUTE('Raw Data'!K134," ",":",1),'Raw Data'!K134))</f>
        <v>-90:00</v>
      </c>
      <c r="L134" t="str">
        <f>IF('Raw Data'!L134="","",'Raw Data'!L134)</f>
        <v/>
      </c>
      <c r="M134" t="str">
        <f>IF('Raw Data'!M134="","",'Raw Data'!M134)</f>
        <v>-</v>
      </c>
      <c r="N134">
        <f>IF('Raw Data'!N134="","",IF('Raw Data'!N134="-",0,'Raw Data'!N134))</f>
        <v>-35</v>
      </c>
      <c r="O134">
        <f>IF('Raw Data'!O134="","",'Raw Data'!O134)</f>
        <v>95.6</v>
      </c>
      <c r="P134" t="str">
        <f>IF('Raw Data'!P134="","",'Raw Data'!P134)</f>
        <v>46 marked by candle 4' beyond lip of Black Hole</v>
      </c>
      <c r="R134" s="3" t="str">
        <f t="shared" si="66"/>
        <v>-</v>
      </c>
      <c r="S134" s="3" t="str">
        <f t="shared" si="67"/>
        <v>-</v>
      </c>
      <c r="T134" s="3" t="str">
        <f t="shared" si="68"/>
        <v>-</v>
      </c>
      <c r="U134" s="3">
        <f t="shared" si="69"/>
        <v>-90</v>
      </c>
      <c r="W134" s="4">
        <f t="shared" si="70"/>
        <v>2.144009796090085E-15</v>
      </c>
      <c r="X134" s="4">
        <f t="shared" si="71"/>
        <v>-35</v>
      </c>
      <c r="Y134" s="3" t="e">
        <f t="shared" si="72"/>
        <v>#VALUE!</v>
      </c>
    </row>
    <row r="135" spans="1:25" x14ac:dyDescent="0.25">
      <c r="A135">
        <f>IF('Raw Data'!A135="","",'Raw Data'!A135)</f>
        <v>47</v>
      </c>
      <c r="B135">
        <f>IF('Raw Data'!B135="","",'Raw Data'!B135)</f>
        <v>48</v>
      </c>
      <c r="C135" t="str">
        <f>IF('Raw Data'!C135="","",'Raw Data'!C135)</f>
        <v>Black hole</v>
      </c>
      <c r="D135">
        <f>IF('Raw Data'!D135="","",'Raw Data'!D135)</f>
        <v>2</v>
      </c>
      <c r="E135">
        <f>IF('Raw Data'!E135="","",'Raw Data'!E135)</f>
        <v>7</v>
      </c>
      <c r="F135">
        <f>IF('Raw Data'!F135="","",'Raw Data'!F135)</f>
        <v>5</v>
      </c>
      <c r="G135" s="7" t="str">
        <f>IF('Raw Data'!G135="","",SUBSTITUTE('Raw Data'!G135," ",":",1))</f>
        <v>-</v>
      </c>
      <c r="H135" s="7" t="str">
        <f>IF('Raw Data'!H135="","",SUBSTITUTE('Raw Data'!H135," ",":",1))</f>
        <v>308:00</v>
      </c>
      <c r="I135" s="7" t="str">
        <f>IF('Raw Data'!I135="","",SUBSTITUTE('Raw Data'!I135," ",":",1))</f>
        <v>128:00</v>
      </c>
      <c r="J135" s="12">
        <f>IF('Raw Data'!J135="","",IF(LEN(K135)&gt;6,SQRT('Raw Data'!J135^2+N135^2),'Raw Data'!J135))</f>
        <v>23.6</v>
      </c>
      <c r="K135" s="7" t="str">
        <f>IF('Raw Data'!K135="","",IF(LEN('Raw Data'!K135)&lt;7,SUBSTITUTE('Raw Data'!K135," ",":",1),'Raw Data'!K135))</f>
        <v>8:00</v>
      </c>
      <c r="L135" t="str">
        <f>IF('Raw Data'!L135="","",'Raw Data'!L135)</f>
        <v/>
      </c>
      <c r="M135">
        <f>IF('Raw Data'!M135="","",'Raw Data'!M135)</f>
        <v>23.4</v>
      </c>
      <c r="N135">
        <f>IF('Raw Data'!N135="","",IF('Raw Data'!N135="-",0,'Raw Data'!N135))</f>
        <v>3.3</v>
      </c>
      <c r="O135">
        <f>IF('Raw Data'!O135="","",'Raw Data'!O135)</f>
        <v>60.6</v>
      </c>
      <c r="P135" t="str">
        <f>IF('Raw Data'!P135="","",'Raw Data'!P135)</f>
        <v/>
      </c>
      <c r="R135" s="3" t="str">
        <f t="shared" si="66"/>
        <v>-</v>
      </c>
      <c r="S135" s="3">
        <f t="shared" si="67"/>
        <v>308</v>
      </c>
      <c r="T135" s="3">
        <f t="shared" si="68"/>
        <v>128</v>
      </c>
      <c r="U135" s="3">
        <f t="shared" si="69"/>
        <v>8</v>
      </c>
      <c r="W135" s="4">
        <f t="shared" si="70"/>
        <v>23.370326422301062</v>
      </c>
      <c r="X135" s="4">
        <f t="shared" si="71"/>
        <v>3.2844851826575447</v>
      </c>
      <c r="Y135" s="3">
        <f t="shared" si="72"/>
        <v>128</v>
      </c>
    </row>
    <row r="136" spans="1:25" x14ac:dyDescent="0.25">
      <c r="A136">
        <f>IF('Raw Data'!A136="","",'Raw Data'!A136)</f>
        <v>48</v>
      </c>
      <c r="B136">
        <f>IF('Raw Data'!B136="","",'Raw Data'!B136)</f>
        <v>49</v>
      </c>
      <c r="C136">
        <f>IF('Raw Data'!C136="","",'Raw Data'!C136)</f>
        <v>20</v>
      </c>
      <c r="D136">
        <f>IF('Raw Data'!D136="","",'Raw Data'!D136)</f>
        <v>3</v>
      </c>
      <c r="E136">
        <f>IF('Raw Data'!E136="","",'Raw Data'!E136)</f>
        <v>4</v>
      </c>
      <c r="F136">
        <f>IF('Raw Data'!F136="","",'Raw Data'!F136)</f>
        <v>3</v>
      </c>
      <c r="G136" s="7" t="str">
        <f>IF('Raw Data'!G136="","",SUBSTITUTE('Raw Data'!G136," ",":",1))</f>
        <v>163:30</v>
      </c>
      <c r="H136" s="7" t="str">
        <f>IF('Raw Data'!H136="","",SUBSTITUTE('Raw Data'!H136," ",":",1))</f>
        <v>-</v>
      </c>
      <c r="I136" s="7" t="str">
        <f>IF('Raw Data'!I136="","",SUBSTITUTE('Raw Data'!I136," ",":",1))</f>
        <v>163:30</v>
      </c>
      <c r="J136" s="12">
        <f>IF('Raw Data'!J136="","",IF(LEN(K136)&gt;6,SQRT('Raw Data'!J136^2+N136^2),'Raw Data'!J136))</f>
        <v>27.5</v>
      </c>
      <c r="K136" s="7" t="str">
        <f>IF('Raw Data'!K136="","",IF(LEN('Raw Data'!K136)&lt;7,SUBSTITUTE('Raw Data'!K136," ",":",1),'Raw Data'!K136))</f>
        <v>-34:30</v>
      </c>
      <c r="L136" t="str">
        <f>IF('Raw Data'!L136="","",'Raw Data'!L136)</f>
        <v/>
      </c>
      <c r="M136">
        <f>IF('Raw Data'!M136="","",'Raw Data'!M136)</f>
        <v>22.6</v>
      </c>
      <c r="N136">
        <f>IF('Raw Data'!N136="","",IF('Raw Data'!N136="-",0,'Raw Data'!N136))</f>
        <v>-15.6</v>
      </c>
      <c r="O136">
        <f>IF('Raw Data'!O136="","",'Raw Data'!O136)</f>
        <v>64</v>
      </c>
      <c r="P136" t="str">
        <f>IF('Raw Data'!P136="","",'Raw Data'!P136)</f>
        <v/>
      </c>
      <c r="R136" s="3">
        <f t="shared" si="66"/>
        <v>163.5</v>
      </c>
      <c r="S136" s="3" t="str">
        <f t="shared" si="67"/>
        <v>-</v>
      </c>
      <c r="T136" s="3">
        <f t="shared" si="68"/>
        <v>163.5</v>
      </c>
      <c r="U136" s="3">
        <f t="shared" si="69"/>
        <v>-34.5</v>
      </c>
      <c r="W136" s="4">
        <f t="shared" si="70"/>
        <v>22.663470187105432</v>
      </c>
      <c r="X136" s="4">
        <f t="shared" si="71"/>
        <v>-15.576171515432902</v>
      </c>
      <c r="Y136" s="3">
        <f t="shared" si="72"/>
        <v>163.5</v>
      </c>
    </row>
    <row r="137" spans="1:25" x14ac:dyDescent="0.25">
      <c r="A137">
        <f>IF('Raw Data'!A137="","",'Raw Data'!A137)</f>
        <v>49</v>
      </c>
      <c r="B137">
        <f>IF('Raw Data'!B137="","",'Raw Data'!B137)</f>
        <v>50</v>
      </c>
      <c r="C137">
        <f>IF('Raw Data'!C137="","",'Raw Data'!C137)</f>
        <v>15</v>
      </c>
      <c r="D137">
        <f>IF('Raw Data'!D137="","",'Raw Data'!D137)</f>
        <v>0.5</v>
      </c>
      <c r="E137">
        <f>IF('Raw Data'!E137="","",'Raw Data'!E137)</f>
        <v>0.5</v>
      </c>
      <c r="F137">
        <f>IF('Raw Data'!F137="","",'Raw Data'!F137)</f>
        <v>3</v>
      </c>
      <c r="G137" s="7" t="str">
        <f>IF('Raw Data'!G137="","",SUBSTITUTE('Raw Data'!G137," ",":",1))</f>
        <v>-</v>
      </c>
      <c r="H137" s="7" t="str">
        <f>IF('Raw Data'!H137="","",SUBSTITUTE('Raw Data'!H137," ",":",1))</f>
        <v>020:00</v>
      </c>
      <c r="I137" s="7" t="str">
        <f>IF('Raw Data'!I137="","",SUBSTITUTE('Raw Data'!I137," ",":",1))</f>
        <v>200:00</v>
      </c>
      <c r="J137" s="12">
        <f>IF('Raw Data'!J137="","",IF(LEN(K137)&gt;6,SQRT('Raw Data'!J137^2+N137^2),'Raw Data'!J137))</f>
        <v>23.5</v>
      </c>
      <c r="K137" s="7" t="str">
        <f>IF('Raw Data'!K137="","",IF(LEN('Raw Data'!K137)&lt;7,SUBSTITUTE('Raw Data'!K137," ",":",1),'Raw Data'!K137))</f>
        <v>-5:00</v>
      </c>
      <c r="L137" t="str">
        <f>IF('Raw Data'!L137="","",'Raw Data'!L137)</f>
        <v/>
      </c>
      <c r="M137">
        <f>IF('Raw Data'!M137="","",'Raw Data'!M137)</f>
        <v>23.4</v>
      </c>
      <c r="N137">
        <f>IF('Raw Data'!N137="","",IF('Raw Data'!N137="-",0,'Raw Data'!N137))</f>
        <v>-2.7</v>
      </c>
      <c r="O137">
        <f>IF('Raw Data'!O137="","",'Raw Data'!O137)</f>
        <v>48.5</v>
      </c>
      <c r="P137" t="str">
        <f>IF('Raw Data'!P137="","",'Raw Data'!P137)</f>
        <v/>
      </c>
      <c r="R137" s="3" t="str">
        <f t="shared" si="66"/>
        <v>-</v>
      </c>
      <c r="S137" s="3">
        <f t="shared" si="67"/>
        <v>20</v>
      </c>
      <c r="T137" s="3">
        <f t="shared" si="68"/>
        <v>200</v>
      </c>
      <c r="U137" s="3">
        <f t="shared" si="69"/>
        <v>-5</v>
      </c>
      <c r="W137" s="4">
        <f t="shared" si="70"/>
        <v>23.41057540515602</v>
      </c>
      <c r="X137" s="4">
        <f t="shared" si="71"/>
        <v>-2.0481599545699667</v>
      </c>
      <c r="Y137" s="3">
        <f t="shared" si="72"/>
        <v>200</v>
      </c>
    </row>
    <row r="138" spans="1:25" x14ac:dyDescent="0.25">
      <c r="A138">
        <f>IF('Raw Data'!A138="","",'Raw Data'!A138)</f>
        <v>50</v>
      </c>
      <c r="B138">
        <f>IF('Raw Data'!B138="","",'Raw Data'!B138)</f>
        <v>51</v>
      </c>
      <c r="C138">
        <f>IF('Raw Data'!C138="","",'Raw Data'!C138)</f>
        <v>10</v>
      </c>
      <c r="D138">
        <f>IF('Raw Data'!D138="","",'Raw Data'!D138)</f>
        <v>2</v>
      </c>
      <c r="E138">
        <f>IF('Raw Data'!E138="","",'Raw Data'!E138)</f>
        <v>2</v>
      </c>
      <c r="F138">
        <f>IF('Raw Data'!F138="","",'Raw Data'!F138)</f>
        <v>3</v>
      </c>
      <c r="G138" s="7" t="str">
        <f>IF('Raw Data'!G138="","",SUBSTITUTE('Raw Data'!G138," ",":",1))</f>
        <v>186:00</v>
      </c>
      <c r="H138" s="7" t="str">
        <f>IF('Raw Data'!H138="","",SUBSTITUTE('Raw Data'!H138," ",":",1))</f>
        <v>-</v>
      </c>
      <c r="I138" s="7" t="str">
        <f>IF('Raw Data'!I138="","",SUBSTITUTE('Raw Data'!I138," ",":",1))</f>
        <v>186:00</v>
      </c>
      <c r="J138" s="12">
        <f>IF('Raw Data'!J138="","",IF(LEN(K138)&gt;6,SQRT('Raw Data'!J138^2+N138^2),'Raw Data'!J138))</f>
        <v>16.899999999999999</v>
      </c>
      <c r="K138" s="7" t="str">
        <f>IF('Raw Data'!K138="","",IF(LEN('Raw Data'!K138)&lt;7,SUBSTITUTE('Raw Data'!K138," ",":",1),'Raw Data'!K138))</f>
        <v>-17:30</v>
      </c>
      <c r="L138" t="str">
        <f>IF('Raw Data'!L138="","",'Raw Data'!L138)</f>
        <v/>
      </c>
      <c r="M138">
        <f>IF('Raw Data'!M138="","",'Raw Data'!M138)</f>
        <v>16.100000000000001</v>
      </c>
      <c r="N138">
        <f>IF('Raw Data'!N138="","",IF('Raw Data'!N138="-",0,'Raw Data'!N138))</f>
        <v>-5.0999999999999996</v>
      </c>
      <c r="O138">
        <f>IF('Raw Data'!O138="","",'Raw Data'!O138)</f>
        <v>45.9</v>
      </c>
      <c r="P138" t="str">
        <f>IF('Raw Data'!P138="","",'Raw Data'!P138)</f>
        <v>"Dry" passage starts 3' back.</v>
      </c>
      <c r="R138" s="3">
        <f t="shared" si="66"/>
        <v>186</v>
      </c>
      <c r="S138" s="3" t="str">
        <f t="shared" si="67"/>
        <v>-</v>
      </c>
      <c r="T138" s="3">
        <f t="shared" si="68"/>
        <v>186</v>
      </c>
      <c r="U138" s="3">
        <f t="shared" si="69"/>
        <v>-17.5</v>
      </c>
      <c r="W138" s="4">
        <f t="shared" si="70"/>
        <v>16.117816467645035</v>
      </c>
      <c r="X138" s="4">
        <f t="shared" si="71"/>
        <v>-5.0819280116222156</v>
      </c>
      <c r="Y138" s="3">
        <f t="shared" si="72"/>
        <v>186</v>
      </c>
    </row>
    <row r="139" spans="1:25" x14ac:dyDescent="0.25">
      <c r="A139">
        <f>IF('Raw Data'!A139="","",'Raw Data'!A139)</f>
        <v>51</v>
      </c>
      <c r="B139">
        <f>IF('Raw Data'!B139="","",'Raw Data'!B139)</f>
        <v>52</v>
      </c>
      <c r="C139">
        <f>IF('Raw Data'!C139="","",'Raw Data'!C139)</f>
        <v>3</v>
      </c>
      <c r="D139">
        <f>IF('Raw Data'!D139="","",'Raw Data'!D139)</f>
        <v>4</v>
      </c>
      <c r="E139">
        <f>IF('Raw Data'!E139="","",'Raw Data'!E139)</f>
        <v>0</v>
      </c>
      <c r="F139">
        <f>IF('Raw Data'!F139="","",'Raw Data'!F139)</f>
        <v>4</v>
      </c>
      <c r="G139" s="7" t="str">
        <f>IF('Raw Data'!G139="","",SUBSTITUTE('Raw Data'!G139," ",":",1))</f>
        <v>-</v>
      </c>
      <c r="H139" s="7" t="str">
        <f>IF('Raw Data'!H139="","",SUBSTITUTE('Raw Data'!H139," ",":",1))</f>
        <v>102:30</v>
      </c>
      <c r="I139" s="7" t="str">
        <f>IF('Raw Data'!I139="","",SUBSTITUTE('Raw Data'!I139," ",":",1))</f>
        <v>282:30</v>
      </c>
      <c r="J139" s="12">
        <f>IF('Raw Data'!J139="","",IF(LEN(K139)&gt;6,SQRT('Raw Data'!J139^2+N139^2),'Raw Data'!J139))</f>
        <v>49.5</v>
      </c>
      <c r="K139" s="7" t="str">
        <f>IF('Raw Data'!K139="","",IF(LEN('Raw Data'!K139)&lt;7,SUBSTITUTE('Raw Data'!K139," ",":",1),'Raw Data'!K139))</f>
        <v>-20:30</v>
      </c>
      <c r="L139" t="str">
        <f>IF('Raw Data'!L139="","",'Raw Data'!L139)</f>
        <v/>
      </c>
      <c r="M139">
        <f>IF('Raw Data'!M139="","",'Raw Data'!M139)</f>
        <v>46.4</v>
      </c>
      <c r="N139">
        <f>IF('Raw Data'!N139="","",IF('Raw Data'!N139="-",0,'Raw Data'!N139))</f>
        <v>-17.3</v>
      </c>
      <c r="O139">
        <f>IF('Raw Data'!O139="","",'Raw Data'!O139)</f>
        <v>40.9</v>
      </c>
      <c r="P139" t="str">
        <f>IF('Raw Data'!P139="","",'Raw Data'!P139)</f>
        <v/>
      </c>
      <c r="R139" s="3" t="str">
        <f t="shared" si="66"/>
        <v>-</v>
      </c>
      <c r="S139" s="3">
        <f t="shared" si="67"/>
        <v>102.5</v>
      </c>
      <c r="T139" s="3">
        <f t="shared" si="68"/>
        <v>282.5</v>
      </c>
      <c r="U139" s="3">
        <f t="shared" si="69"/>
        <v>-20.5</v>
      </c>
      <c r="W139" s="4">
        <f t="shared" si="70"/>
        <v>46.365273367795687</v>
      </c>
      <c r="X139" s="4">
        <f t="shared" si="71"/>
        <v>-17.335265372343635</v>
      </c>
      <c r="Y139" s="3">
        <f t="shared" si="72"/>
        <v>282.5</v>
      </c>
    </row>
    <row r="140" spans="1:25" x14ac:dyDescent="0.25">
      <c r="A140">
        <f>IF('Raw Data'!A140="","",'Raw Data'!A140)</f>
        <v>52</v>
      </c>
      <c r="B140">
        <f>IF('Raw Data'!B140="","",'Raw Data'!B140)</f>
        <v>53</v>
      </c>
      <c r="C140">
        <f>IF('Raw Data'!C140="","",'Raw Data'!C140)</f>
        <v>3</v>
      </c>
      <c r="D140">
        <f>IF('Raw Data'!D140="","",'Raw Data'!D140)</f>
        <v>2</v>
      </c>
      <c r="E140">
        <f>IF('Raw Data'!E140="","",'Raw Data'!E140)</f>
        <v>5</v>
      </c>
      <c r="F140">
        <f>IF('Raw Data'!F140="","",'Raw Data'!F140)</f>
        <v>3</v>
      </c>
      <c r="G140" s="7" t="str">
        <f>IF('Raw Data'!G140="","",SUBSTITUTE('Raw Data'!G140," ",":",1))</f>
        <v>264:00</v>
      </c>
      <c r="H140" s="7" t="str">
        <f>IF('Raw Data'!H140="","",SUBSTITUTE('Raw Data'!H140," ",":",1))</f>
        <v>-</v>
      </c>
      <c r="I140" s="7" t="str">
        <f>IF('Raw Data'!I140="","",SUBSTITUTE('Raw Data'!I140," ",":",1))</f>
        <v>264:00</v>
      </c>
      <c r="J140" s="12">
        <f>IF('Raw Data'!J140="","",IF(LEN(K140)&gt;6,SQRT('Raw Data'!J140^2+N140^2),'Raw Data'!J140))</f>
        <v>51.2</v>
      </c>
      <c r="K140" s="7" t="str">
        <f>IF('Raw Data'!K140="","",IF(LEN('Raw Data'!K140)&lt;7,SUBSTITUTE('Raw Data'!K140," ",":",1),'Raw Data'!K140))</f>
        <v>-12:30</v>
      </c>
      <c r="L140" t="str">
        <f>IF('Raw Data'!L140="","",'Raw Data'!L140)</f>
        <v/>
      </c>
      <c r="M140">
        <f>IF('Raw Data'!M140="","",'Raw Data'!M140)</f>
        <v>50</v>
      </c>
      <c r="N140">
        <f>IF('Raw Data'!N140="","",IF('Raw Data'!N140="-",0,'Raw Data'!N140))</f>
        <v>-11.1</v>
      </c>
      <c r="O140">
        <f>IF('Raw Data'!O140="","",'Raw Data'!O140)</f>
        <v>23.9</v>
      </c>
      <c r="P140" t="str">
        <f>IF('Raw Data'!P140="","",'Raw Data'!P140)</f>
        <v/>
      </c>
      <c r="R140" s="3">
        <f t="shared" si="66"/>
        <v>264</v>
      </c>
      <c r="S140" s="3" t="str">
        <f t="shared" si="67"/>
        <v>-</v>
      </c>
      <c r="T140" s="3">
        <f t="shared" si="68"/>
        <v>264</v>
      </c>
      <c r="U140" s="3">
        <f t="shared" si="69"/>
        <v>-12.5</v>
      </c>
      <c r="W140" s="4">
        <f t="shared" si="70"/>
        <v>49.986355564540588</v>
      </c>
      <c r="X140" s="4">
        <f t="shared" si="71"/>
        <v>-11.081708233630868</v>
      </c>
      <c r="Y140" s="3">
        <f t="shared" si="72"/>
        <v>264</v>
      </c>
    </row>
    <row r="141" spans="1:25" x14ac:dyDescent="0.25">
      <c r="A141">
        <f>IF('Raw Data'!A141="","",'Raw Data'!A141)</f>
        <v>53</v>
      </c>
      <c r="B141">
        <f>IF('Raw Data'!B141="","",'Raw Data'!B141)</f>
        <v>54</v>
      </c>
      <c r="C141">
        <f>IF('Raw Data'!C141="","",'Raw Data'!C141)</f>
        <v>1</v>
      </c>
      <c r="D141">
        <f>IF('Raw Data'!D141="","",'Raw Data'!D141)</f>
        <v>1</v>
      </c>
      <c r="E141" t="str">
        <f>IF('Raw Data'!E141="","",'Raw Data'!E141)</f>
        <v>/</v>
      </c>
      <c r="F141">
        <f>IF('Raw Data'!F141="","",'Raw Data'!F141)</f>
        <v>2</v>
      </c>
      <c r="G141" s="7" t="str">
        <f>IF('Raw Data'!G141="","",SUBSTITUTE('Raw Data'!G141," ",":",1))</f>
        <v>175:00</v>
      </c>
      <c r="H141" s="7" t="str">
        <f>IF('Raw Data'!H141="","",SUBSTITUTE('Raw Data'!H141," ",":",1))</f>
        <v>-</v>
      </c>
      <c r="I141" s="7" t="str">
        <f>IF('Raw Data'!I141="","",SUBSTITUTE('Raw Data'!I141," ",":",1))</f>
        <v>175:00</v>
      </c>
      <c r="J141" s="12">
        <f>IF('Raw Data'!J141="","",IF(LEN(K141)&gt;6,SQRT('Raw Data'!J141^2+N141^2),'Raw Data'!J141))</f>
        <v>14.624978632463023</v>
      </c>
      <c r="K141" s="7" t="str">
        <f>IF('Raw Data'!K141="","",IF(LEN('Raw Data'!K141)&lt;7,SUBSTITUTE('Raw Data'!K141," ",":",1),'Raw Data'!K141))</f>
        <v>fall 3.5 feet</v>
      </c>
      <c r="L141" t="str">
        <f>IF('Raw Data'!L141="","",'Raw Data'!L141)</f>
        <v/>
      </c>
      <c r="M141">
        <f>IF('Raw Data'!M141="","",'Raw Data'!M141)</f>
        <v>13.3</v>
      </c>
      <c r="N141">
        <f>IF('Raw Data'!N141="","",IF('Raw Data'!N141="-",0,'Raw Data'!N141))</f>
        <v>-3.5</v>
      </c>
      <c r="O141">
        <f>IF('Raw Data'!O141="","",'Raw Data'!O141)</f>
        <v>13.2</v>
      </c>
      <c r="P141" t="str">
        <f>IF('Raw Data'!P141="","",'Raw Data'!P141)</f>
        <v>Dry passage enters 2' on North. 53 is marked by a candle 1' below (.) on roof. 54 is H2O level in sump.</v>
      </c>
      <c r="R141" s="3">
        <f t="shared" si="66"/>
        <v>175</v>
      </c>
      <c r="S141" s="3" t="str">
        <f t="shared" si="67"/>
        <v>-</v>
      </c>
      <c r="T141" s="3">
        <f t="shared" si="68"/>
        <v>175</v>
      </c>
      <c r="U141" s="9">
        <f>ASIN(N141/J141)*180/PI()</f>
        <v>-13.846208411826533</v>
      </c>
      <c r="W141" s="4">
        <f t="shared" si="70"/>
        <v>14.2</v>
      </c>
      <c r="X141" s="4">
        <f t="shared" si="71"/>
        <v>-3.5000000000000004</v>
      </c>
      <c r="Y141" s="3">
        <f t="shared" si="72"/>
        <v>175</v>
      </c>
    </row>
    <row r="142" spans="1:25" x14ac:dyDescent="0.25">
      <c r="A142">
        <f>IF('Raw Data'!A142="","",'Raw Data'!A142)</f>
        <v>54</v>
      </c>
      <c r="B142" t="str">
        <f>IF('Raw Data'!B142="","",'Raw Data'!B142)</f>
        <v/>
      </c>
      <c r="C142" t="str">
        <f>IF('Raw Data'!C142="","",'Raw Data'!C142)</f>
        <v/>
      </c>
      <c r="D142" t="str">
        <f>IF('Raw Data'!D142="","",'Raw Data'!D142)</f>
        <v/>
      </c>
      <c r="E142" t="str">
        <f>IF('Raw Data'!E142="","",'Raw Data'!E142)</f>
        <v/>
      </c>
      <c r="F142" t="str">
        <f>IF('Raw Data'!F142="","",'Raw Data'!F142)</f>
        <v/>
      </c>
      <c r="G142" s="7" t="str">
        <f>IF('Raw Data'!G142="","",SUBSTITUTE('Raw Data'!G142," ",":",1))</f>
        <v/>
      </c>
      <c r="H142" s="7" t="str">
        <f>IF('Raw Data'!H142="","",SUBSTITUTE('Raw Data'!H142," ",":",1))</f>
        <v/>
      </c>
      <c r="I142" s="7" t="str">
        <f>IF('Raw Data'!I142="","",SUBSTITUTE('Raw Data'!I142," ",":",1))</f>
        <v/>
      </c>
      <c r="J142" s="12" t="str">
        <f>IF('Raw Data'!J142="","",IF(LEN(K142)&gt;6,SQRT('Raw Data'!J142^2+N142^2),'Raw Data'!J142))</f>
        <v/>
      </c>
      <c r="K142" s="7" t="str">
        <f>IF('Raw Data'!K142="","",IF(LEN('Raw Data'!K142)&lt;7,SUBSTITUTE('Raw Data'!K142," ",":",1),'Raw Data'!K142))</f>
        <v/>
      </c>
      <c r="L142" t="str">
        <f>IF('Raw Data'!L142="","",'Raw Data'!L142)</f>
        <v/>
      </c>
      <c r="M142" t="str">
        <f>IF('Raw Data'!M142="","",'Raw Data'!M142)</f>
        <v/>
      </c>
      <c r="N142" t="str">
        <f>IF('Raw Data'!N142="","",IF('Raw Data'!N142="-",0,'Raw Data'!N142))</f>
        <v/>
      </c>
      <c r="O142">
        <f>IF('Raw Data'!O142="","",'Raw Data'!O142)</f>
        <v>10</v>
      </c>
      <c r="P142" t="str">
        <f>IF('Raw Data'!P142="","",'Raw Data'!P142)</f>
        <v>Closed on levels to 1.9 feet.  Not bad! Total 2,208 (? faint)</v>
      </c>
      <c r="W142" s="4"/>
      <c r="X142" s="4"/>
      <c r="Y142" s="3"/>
    </row>
    <row r="143" spans="1:25" x14ac:dyDescent="0.25">
      <c r="A143" t="str">
        <f>IF('Raw Data'!A143="","",'Raw Data'!A143)</f>
        <v/>
      </c>
      <c r="B143" t="str">
        <f>IF('Raw Data'!B143="","",'Raw Data'!B143)</f>
        <v/>
      </c>
      <c r="C143" t="str">
        <f>IF('Raw Data'!C143="","",'Raw Data'!C143)</f>
        <v/>
      </c>
      <c r="D143" t="str">
        <f>IF('Raw Data'!D143="","",'Raw Data'!D143)</f>
        <v/>
      </c>
      <c r="E143" t="str">
        <f>IF('Raw Data'!E143="","",'Raw Data'!E143)</f>
        <v/>
      </c>
      <c r="F143" t="str">
        <f>IF('Raw Data'!F143="","",'Raw Data'!F143)</f>
        <v/>
      </c>
      <c r="G143" s="7" t="str">
        <f>IF('Raw Data'!G143="","",SUBSTITUTE('Raw Data'!G143," ",":",1))</f>
        <v/>
      </c>
      <c r="H143" s="7" t="str">
        <f>IF('Raw Data'!H143="","",SUBSTITUTE('Raw Data'!H143," ",":",1))</f>
        <v/>
      </c>
      <c r="I143" s="7" t="str">
        <f>IF('Raw Data'!I143="","",SUBSTITUTE('Raw Data'!I143," ",":",1))</f>
        <v/>
      </c>
      <c r="J143" s="12" t="str">
        <f>IF('Raw Data'!J143="","",IF(LEN(K143)&gt;6,SQRT('Raw Data'!J143^2+N143^2),'Raw Data'!J143))</f>
        <v/>
      </c>
      <c r="K143" s="7" t="str">
        <f>IF('Raw Data'!K143="","",IF(LEN('Raw Data'!K143)&lt;7,SUBSTITUTE('Raw Data'!K143," ",":",1),'Raw Data'!K143))</f>
        <v/>
      </c>
      <c r="L143" t="str">
        <f>IF('Raw Data'!L143="","",'Raw Data'!L143)</f>
        <v/>
      </c>
      <c r="M143" t="str">
        <f>IF('Raw Data'!M143="","",'Raw Data'!M143)</f>
        <v/>
      </c>
      <c r="N143" t="str">
        <f>IF('Raw Data'!N143="","",IF('Raw Data'!N143="-",0,'Raw Data'!N143))</f>
        <v/>
      </c>
      <c r="O143" t="str">
        <f>IF('Raw Data'!O143="","",'Raw Data'!O143)</f>
        <v/>
      </c>
      <c r="P143" t="str">
        <f>IF('Raw Data'!P143="","",'Raw Data'!P143)</f>
        <v/>
      </c>
      <c r="W143" s="4"/>
      <c r="X143" s="4"/>
      <c r="Y143" s="3"/>
    </row>
    <row r="144" spans="1:25" x14ac:dyDescent="0.25">
      <c r="A144" t="str">
        <f>IF('Raw Data'!A144="","",'Raw Data'!A144)</f>
        <v>Nov. 23rd '52</v>
      </c>
      <c r="B144" t="str">
        <f>IF('Raw Data'!B144="","",'Raw Data'!B144)</f>
        <v>Jack Broadley</v>
      </c>
      <c r="C144" t="str">
        <f>IF('Raw Data'!C144="","",'Raw Data'!C144)</f>
        <v>Short Dry Way - Entrance</v>
      </c>
      <c r="D144" t="str">
        <f>IF('Raw Data'!D144="","",'Raw Data'!D144)</f>
        <v/>
      </c>
      <c r="E144" t="str">
        <f>IF('Raw Data'!E144="","",'Raw Data'!E144)</f>
        <v/>
      </c>
      <c r="F144" t="str">
        <f>IF('Raw Data'!F144="","",'Raw Data'!F144)</f>
        <v/>
      </c>
      <c r="G144" s="7" t="str">
        <f>IF('Raw Data'!G144="","",SUBSTITUTE('Raw Data'!G144," ",":",1))</f>
        <v/>
      </c>
      <c r="H144" s="7" t="str">
        <f>IF('Raw Data'!H144="","",SUBSTITUTE('Raw Data'!H144," ",":",1))</f>
        <v/>
      </c>
      <c r="I144" s="7" t="str">
        <f>IF('Raw Data'!I144="","",SUBSTITUTE('Raw Data'!I144," ",":",1))</f>
        <v/>
      </c>
      <c r="J144" s="12" t="str">
        <f>IF('Raw Data'!J144="","",IF(LEN(K144)&gt;6,SQRT('Raw Data'!J144^2+N144^2),'Raw Data'!J144))</f>
        <v/>
      </c>
      <c r="K144" s="7" t="str">
        <f>IF('Raw Data'!K144="","",IF(LEN('Raw Data'!K144)&lt;7,SUBSTITUTE('Raw Data'!K144," ",":",1),'Raw Data'!K144))</f>
        <v/>
      </c>
      <c r="L144" t="str">
        <f>IF('Raw Data'!L144="","",'Raw Data'!L144)</f>
        <v/>
      </c>
      <c r="M144" t="str">
        <f>IF('Raw Data'!M144="","",'Raw Data'!M144)</f>
        <v/>
      </c>
      <c r="N144" t="str">
        <f>IF('Raw Data'!N144="","",IF('Raw Data'!N144="-",0,'Raw Data'!N144))</f>
        <v/>
      </c>
      <c r="O144" t="str">
        <f>IF('Raw Data'!O144="","",'Raw Data'!O144)</f>
        <v/>
      </c>
      <c r="P144" t="str">
        <f>IF('Raw Data'!P144="","",'Raw Data'!P144)</f>
        <v/>
      </c>
      <c r="W144" s="4"/>
      <c r="X144" s="4"/>
      <c r="Y144" s="3"/>
    </row>
    <row r="145" spans="1:25" x14ac:dyDescent="0.25">
      <c r="A145" t="str">
        <f>IF('Raw Data'!A145="","",'Raw Data'!A145)</f>
        <v>EC</v>
      </c>
      <c r="B145" t="str">
        <f>IF('Raw Data'!B145="","",'Raw Data'!B145)</f>
        <v>EB</v>
      </c>
      <c r="C145">
        <f>IF('Raw Data'!C145="","",'Raw Data'!C145)</f>
        <v>3</v>
      </c>
      <c r="D145">
        <f>IF('Raw Data'!D145="","",'Raw Data'!D145)</f>
        <v>2</v>
      </c>
      <c r="E145">
        <f>IF('Raw Data'!E145="","",'Raw Data'!E145)</f>
        <v>2</v>
      </c>
      <c r="F145">
        <f>IF('Raw Data'!F145="","",'Raw Data'!F145)</f>
        <v>1</v>
      </c>
      <c r="G145" s="7" t="str">
        <f>IF('Raw Data'!G145="","",SUBSTITUTE('Raw Data'!G145," ",":",1))</f>
        <v>-</v>
      </c>
      <c r="H145" s="7" t="str">
        <f>IF('Raw Data'!H145="","",SUBSTITUTE('Raw Data'!H145," ",":",1))</f>
        <v>103:00</v>
      </c>
      <c r="I145" s="7" t="str">
        <f>IF('Raw Data'!I145="","",SUBSTITUTE('Raw Data'!I145," ",":",1))</f>
        <v>283:00</v>
      </c>
      <c r="J145" s="12">
        <f>IF('Raw Data'!J145="","",IF(LEN(K145)&gt;6,SQRT('Raw Data'!J145^2+N145^2),'Raw Data'!J145))</f>
        <v>12</v>
      </c>
      <c r="K145" s="7" t="str">
        <f>IF('Raw Data'!K145="","",IF(LEN('Raw Data'!K145)&lt;7,SUBSTITUTE('Raw Data'!K145," ",":",1),'Raw Data'!K145))</f>
        <v>-6:00</v>
      </c>
      <c r="L145" t="str">
        <f>IF('Raw Data'!L145="","",'Raw Data'!L145)</f>
        <v/>
      </c>
      <c r="M145">
        <f>IF('Raw Data'!M145="","",'Raw Data'!M145)</f>
        <v>11.9</v>
      </c>
      <c r="N145">
        <f>IF('Raw Data'!N145="","",IF('Raw Data'!N145="-",0,'Raw Data'!N145))</f>
        <v>-1.3</v>
      </c>
      <c r="O145">
        <f>IF('Raw Data'!O145="","",'Raw Data'!O145)</f>
        <v>367.1</v>
      </c>
      <c r="P145" t="str">
        <f>IF('Raw Data'!P145="","",'Raw Data'!P145)</f>
        <v>EC is on dimple in projecting rock 10' below entrance on E.</v>
      </c>
      <c r="R145" s="3" t="str">
        <f t="shared" si="66"/>
        <v>-</v>
      </c>
      <c r="S145" s="3">
        <f t="shared" si="67"/>
        <v>103</v>
      </c>
      <c r="T145" s="3">
        <f t="shared" si="68"/>
        <v>283</v>
      </c>
      <c r="U145" s="3">
        <f t="shared" si="69"/>
        <v>-6</v>
      </c>
      <c r="W145" s="4">
        <f t="shared" si="70"/>
        <v>11.934262744419279</v>
      </c>
      <c r="X145" s="4">
        <f t="shared" si="71"/>
        <v>-1.2543415592118414</v>
      </c>
      <c r="Y145" s="3">
        <f t="shared" si="72"/>
        <v>283</v>
      </c>
    </row>
    <row r="146" spans="1:25" x14ac:dyDescent="0.25">
      <c r="A146" t="str">
        <f>IF('Raw Data'!A146="","",'Raw Data'!A146)</f>
        <v>EB</v>
      </c>
      <c r="B146" t="str">
        <f>IF('Raw Data'!B146="","",'Raw Data'!B146)</f>
        <v>EA</v>
      </c>
      <c r="C146">
        <f>IF('Raw Data'!C146="","",'Raw Data'!C146)</f>
        <v>1</v>
      </c>
      <c r="D146">
        <f>IF('Raw Data'!D146="","",'Raw Data'!D146)</f>
        <v>1</v>
      </c>
      <c r="E146">
        <f>IF('Raw Data'!E146="","",'Raw Data'!E146)</f>
        <v>8</v>
      </c>
      <c r="F146">
        <f>IF('Raw Data'!F146="","",'Raw Data'!F146)</f>
        <v>6</v>
      </c>
      <c r="G146" s="7" t="str">
        <f>IF('Raw Data'!G146="","",SUBSTITUTE('Raw Data'!G146," ",":",1))</f>
        <v>011:00</v>
      </c>
      <c r="H146" s="7" t="str">
        <f>IF('Raw Data'!H146="","",SUBSTITUTE('Raw Data'!H146," ",":",1))</f>
        <v>-</v>
      </c>
      <c r="I146" s="7" t="str">
        <f>IF('Raw Data'!I146="","",SUBSTITUTE('Raw Data'!I146," ",":",1))</f>
        <v>011:00</v>
      </c>
      <c r="J146" s="12">
        <f>IF('Raw Data'!J146="","",IF(LEN(K146)&gt;6,SQRT('Raw Data'!J146^2+N146^2),'Raw Data'!J146))</f>
        <v>3</v>
      </c>
      <c r="K146" s="7" t="str">
        <f>IF('Raw Data'!K146="","",IF(LEN('Raw Data'!K146)&lt;7,SUBSTITUTE('Raw Data'!K146," ",":",1),'Raw Data'!K146))</f>
        <v>-6:00</v>
      </c>
      <c r="L146" t="str">
        <f>IF('Raw Data'!L146="","",'Raw Data'!L146)</f>
        <v/>
      </c>
      <c r="M146">
        <f>IF('Raw Data'!M146="","",'Raw Data'!M146)</f>
        <v>3</v>
      </c>
      <c r="N146">
        <f>IF('Raw Data'!N146="","",IF('Raw Data'!N146="-",0,'Raw Data'!N146))</f>
        <v>-0.3</v>
      </c>
      <c r="O146">
        <f>IF('Raw Data'!O146="","",'Raw Data'!O146)</f>
        <v>365.8</v>
      </c>
      <c r="P146" t="str">
        <f>IF('Raw Data'!P146="","",'Raw Data'!P146)</f>
        <v/>
      </c>
      <c r="R146" s="3">
        <f t="shared" si="66"/>
        <v>11</v>
      </c>
      <c r="S146" s="3" t="str">
        <f t="shared" si="67"/>
        <v>-</v>
      </c>
      <c r="T146" s="3">
        <f t="shared" si="68"/>
        <v>11</v>
      </c>
      <c r="U146" s="3">
        <f t="shared" si="69"/>
        <v>-6</v>
      </c>
      <c r="W146" s="4">
        <f t="shared" si="70"/>
        <v>2.9835656861048196</v>
      </c>
      <c r="X146" s="4">
        <f t="shared" si="71"/>
        <v>-0.31358538980296036</v>
      </c>
      <c r="Y146" s="3">
        <f t="shared" si="72"/>
        <v>11</v>
      </c>
    </row>
    <row r="147" spans="1:25" x14ac:dyDescent="0.25">
      <c r="A147" t="str">
        <f>IF('Raw Data'!A147="","",'Raw Data'!A147)</f>
        <v>EA</v>
      </c>
      <c r="B147" t="str">
        <f>IF('Raw Data'!B147="","",'Raw Data'!B147)</f>
        <v>DZ</v>
      </c>
      <c r="C147" t="str">
        <f>IF('Raw Data'!C147="","",'Raw Data'!C147)</f>
        <v>/</v>
      </c>
      <c r="D147" t="str">
        <f>IF('Raw Data'!D147="","",'Raw Data'!D147)</f>
        <v>/</v>
      </c>
      <c r="E147" t="str">
        <f>IF('Raw Data'!E147="","",'Raw Data'!E147)</f>
        <v>/</v>
      </c>
      <c r="F147" t="str">
        <f>IF('Raw Data'!F147="","",'Raw Data'!F147)</f>
        <v>/</v>
      </c>
      <c r="G147" s="7" t="str">
        <f>IF('Raw Data'!G147="","",SUBSTITUTE('Raw Data'!G147," ",":",1))</f>
        <v>-</v>
      </c>
      <c r="H147" s="7" t="str">
        <f>IF('Raw Data'!H147="","",SUBSTITUTE('Raw Data'!H147," ",":",1))</f>
        <v>-</v>
      </c>
      <c r="I147" s="7" t="str">
        <f>IF('Raw Data'!I147="","",SUBSTITUTE('Raw Data'!I147," ",":",1))</f>
        <v>-</v>
      </c>
      <c r="J147" s="12">
        <f>IF('Raw Data'!J147="","",IF(LEN(K147)&gt;6,SQRT('Raw Data'!J147^2+N147^2),'Raw Data'!J147))</f>
        <v>6</v>
      </c>
      <c r="K147" s="7" t="str">
        <f>IF('Raw Data'!K147="","",IF(LEN('Raw Data'!K147)&lt;7,SUBSTITUTE('Raw Data'!K147," ",":",1),'Raw Data'!K147))</f>
        <v>-90:00</v>
      </c>
      <c r="L147" t="str">
        <f>IF('Raw Data'!L147="","",'Raw Data'!L147)</f>
        <v/>
      </c>
      <c r="M147" t="str">
        <f>IF('Raw Data'!M147="","",'Raw Data'!M147)</f>
        <v>-</v>
      </c>
      <c r="N147">
        <f>IF('Raw Data'!N147="","",IF('Raw Data'!N147="-",0,'Raw Data'!N147))</f>
        <v>-6</v>
      </c>
      <c r="O147">
        <f>IF('Raw Data'!O147="","",'Raw Data'!O147)</f>
        <v>365.5</v>
      </c>
      <c r="P147" t="str">
        <f>IF('Raw Data'!P147="","",'Raw Data'!P147)</f>
        <v>(sketch from Ent. EC-DO)</v>
      </c>
      <c r="R147" s="3" t="str">
        <f t="shared" si="66"/>
        <v>-</v>
      </c>
      <c r="S147" s="3" t="str">
        <f t="shared" si="67"/>
        <v>-</v>
      </c>
      <c r="T147" s="3" t="str">
        <f t="shared" si="68"/>
        <v>-</v>
      </c>
      <c r="U147" s="3">
        <f t="shared" si="69"/>
        <v>-90</v>
      </c>
      <c r="W147" s="4">
        <f t="shared" si="70"/>
        <v>3.67544536472586E-16</v>
      </c>
      <c r="X147" s="4">
        <f t="shared" si="71"/>
        <v>-6</v>
      </c>
      <c r="Y147" s="3" t="e">
        <f t="shared" si="72"/>
        <v>#VALUE!</v>
      </c>
    </row>
    <row r="148" spans="1:25" x14ac:dyDescent="0.25">
      <c r="A148" t="str">
        <f>IF('Raw Data'!A148="","",'Raw Data'!A148)</f>
        <v>DZ</v>
      </c>
      <c r="B148" t="str">
        <f>IF('Raw Data'!B148="","",'Raw Data'!B148)</f>
        <v>DY</v>
      </c>
      <c r="C148">
        <f>IF('Raw Data'!C148="","",'Raw Data'!C148)</f>
        <v>5</v>
      </c>
      <c r="D148" t="str">
        <f>IF('Raw Data'!D148="","",'Raw Data'!D148)</f>
        <v>-</v>
      </c>
      <c r="E148">
        <f>IF('Raw Data'!E148="","",'Raw Data'!E148)</f>
        <v>3</v>
      </c>
      <c r="F148">
        <f>IF('Raw Data'!F148="","",'Raw Data'!F148)</f>
        <v>2</v>
      </c>
      <c r="G148" s="7" t="str">
        <f>IF('Raw Data'!G148="","",SUBSTITUTE('Raw Data'!G148," ",":",1))</f>
        <v>-</v>
      </c>
      <c r="H148" s="7" t="str">
        <f>IF('Raw Data'!H148="","",SUBSTITUTE('Raw Data'!H148," ",":",1))</f>
        <v>216:00</v>
      </c>
      <c r="I148" s="7" t="str">
        <f>IF('Raw Data'!I148="","",SUBSTITUTE('Raw Data'!I148," ",":",1))</f>
        <v>036:00</v>
      </c>
      <c r="J148" s="12">
        <f>IF('Raw Data'!J148="","",IF(LEN(K148)&gt;6,SQRT('Raw Data'!J148^2+N148^2),'Raw Data'!J148))</f>
        <v>17.5</v>
      </c>
      <c r="K148" s="7" t="str">
        <f>IF('Raw Data'!K148="","",IF(LEN('Raw Data'!K148)&lt;7,SUBSTITUTE('Raw Data'!K148," ",":",1),'Raw Data'!K148))</f>
        <v>8:00</v>
      </c>
      <c r="L148" t="str">
        <f>IF('Raw Data'!L148="","",'Raw Data'!L148)</f>
        <v/>
      </c>
      <c r="M148">
        <f>IF('Raw Data'!M148="","",'Raw Data'!M148)</f>
        <v>17.3</v>
      </c>
      <c r="N148">
        <f>IF('Raw Data'!N148="","",IF('Raw Data'!N148="-",0,'Raw Data'!N148))</f>
        <v>2.4</v>
      </c>
      <c r="O148">
        <f>IF('Raw Data'!O148="","",'Raw Data'!O148)</f>
        <v>359.5</v>
      </c>
      <c r="P148" t="str">
        <f>IF('Raw Data'!P148="","",'Raw Data'!P148)</f>
        <v/>
      </c>
      <c r="R148" s="3" t="str">
        <f t="shared" si="66"/>
        <v>-</v>
      </c>
      <c r="S148" s="3">
        <f t="shared" si="67"/>
        <v>216</v>
      </c>
      <c r="T148" s="3">
        <f t="shared" si="68"/>
        <v>36</v>
      </c>
      <c r="U148" s="3">
        <f t="shared" si="69"/>
        <v>8</v>
      </c>
      <c r="W148" s="4">
        <f t="shared" si="70"/>
        <v>17.329691202977482</v>
      </c>
      <c r="X148" s="4">
        <f t="shared" si="71"/>
        <v>2.435529266801145</v>
      </c>
      <c r="Y148" s="3">
        <f t="shared" si="72"/>
        <v>36</v>
      </c>
    </row>
    <row r="149" spans="1:25" x14ac:dyDescent="0.25">
      <c r="A149" t="str">
        <f>IF('Raw Data'!A149="","",'Raw Data'!A149)</f>
        <v>DY</v>
      </c>
      <c r="B149" t="str">
        <f>IF('Raw Data'!B149="","",'Raw Data'!B149)</f>
        <v>DX</v>
      </c>
      <c r="C149">
        <f>IF('Raw Data'!C149="","",'Raw Data'!C149)</f>
        <v>3</v>
      </c>
      <c r="D149">
        <f>IF('Raw Data'!D149="","",'Raw Data'!D149)</f>
        <v>4</v>
      </c>
      <c r="E149">
        <f>IF('Raw Data'!E149="","",'Raw Data'!E149)</f>
        <v>2</v>
      </c>
      <c r="F149">
        <f>IF('Raw Data'!F149="","",'Raw Data'!F149)</f>
        <v>1</v>
      </c>
      <c r="G149" s="7" t="str">
        <f>IF('Raw Data'!G149="","",SUBSTITUTE('Raw Data'!G149," ",":",1))</f>
        <v>344:30</v>
      </c>
      <c r="H149" s="7" t="str">
        <f>IF('Raw Data'!H149="","",SUBSTITUTE('Raw Data'!H149," ",":",1))</f>
        <v>-</v>
      </c>
      <c r="I149" s="7" t="str">
        <f>IF('Raw Data'!I149="","",SUBSTITUTE('Raw Data'!I149," ",":",1))</f>
        <v>344:30</v>
      </c>
      <c r="J149" s="12">
        <f>IF('Raw Data'!J149="","",IF(LEN(K149)&gt;6,SQRT('Raw Data'!J149^2+N149^2),'Raw Data'!J149))</f>
        <v>4.9000000000000004</v>
      </c>
      <c r="K149" s="7" t="str">
        <f>IF('Raw Data'!K149="","",IF(LEN('Raw Data'!K149)&lt;7,SUBSTITUTE('Raw Data'!K149," ",":",1),'Raw Data'!K149))</f>
        <v>6:00</v>
      </c>
      <c r="L149" t="str">
        <f>IF('Raw Data'!L149="","",'Raw Data'!L149)</f>
        <v/>
      </c>
      <c r="M149">
        <f>IF('Raw Data'!M149="","",'Raw Data'!M149)</f>
        <v>4.9000000000000004</v>
      </c>
      <c r="N149">
        <f>IF('Raw Data'!N149="","",IF('Raw Data'!N149="-",0,'Raw Data'!N149))</f>
        <v>0.5</v>
      </c>
      <c r="O149">
        <f>IF('Raw Data'!O149="","",'Raw Data'!O149)</f>
        <v>361.9</v>
      </c>
      <c r="P149" t="str">
        <f>IF('Raw Data'!P149="","",'Raw Data'!P149)</f>
        <v/>
      </c>
      <c r="R149" s="3">
        <f t="shared" si="66"/>
        <v>344.5</v>
      </c>
      <c r="S149" s="3" t="str">
        <f t="shared" si="67"/>
        <v>-</v>
      </c>
      <c r="T149" s="3">
        <f t="shared" si="68"/>
        <v>344.5</v>
      </c>
      <c r="U149" s="3">
        <f t="shared" si="69"/>
        <v>6</v>
      </c>
      <c r="W149" s="4">
        <f t="shared" si="70"/>
        <v>4.8731572873045392</v>
      </c>
      <c r="X149" s="4">
        <f t="shared" si="71"/>
        <v>0.51218947001150195</v>
      </c>
      <c r="Y149" s="3">
        <f t="shared" si="72"/>
        <v>344.5</v>
      </c>
    </row>
    <row r="150" spans="1:25" x14ac:dyDescent="0.25">
      <c r="A150" t="str">
        <f>IF('Raw Data'!A150="","",'Raw Data'!A150)</f>
        <v>DX</v>
      </c>
      <c r="B150" t="str">
        <f>IF('Raw Data'!B150="","",'Raw Data'!B150)</f>
        <v>DW</v>
      </c>
      <c r="C150">
        <f>IF('Raw Data'!C150="","",'Raw Data'!C150)</f>
        <v>15</v>
      </c>
      <c r="D150">
        <f>IF('Raw Data'!D150="","",'Raw Data'!D150)</f>
        <v>3</v>
      </c>
      <c r="E150">
        <f>IF('Raw Data'!E150="","",'Raw Data'!E150)</f>
        <v>2</v>
      </c>
      <c r="F150">
        <f>IF('Raw Data'!F150="","",'Raw Data'!F150)</f>
        <v>2</v>
      </c>
      <c r="G150" s="7" t="str">
        <f>IF('Raw Data'!G150="","",SUBSTITUTE('Raw Data'!G150," ",":",1))</f>
        <v>-</v>
      </c>
      <c r="H150" s="7" t="str">
        <f>IF('Raw Data'!H150="","",SUBSTITUTE('Raw Data'!H150," ",":",1))</f>
        <v>162:00</v>
      </c>
      <c r="I150" s="7" t="str">
        <f>IF('Raw Data'!I150="","",SUBSTITUTE('Raw Data'!I150," ",":",1))</f>
        <v>342:00</v>
      </c>
      <c r="J150" s="12">
        <f>IF('Raw Data'!J150="","",IF(LEN(K150)&gt;6,SQRT('Raw Data'!J150^2+N150^2),'Raw Data'!J150))</f>
        <v>23.5</v>
      </c>
      <c r="K150" s="7" t="str">
        <f>IF('Raw Data'!K150="","",IF(LEN('Raw Data'!K150)&lt;7,SUBSTITUTE('Raw Data'!K150," ",":",1),'Raw Data'!K150))</f>
        <v>-12:00</v>
      </c>
      <c r="L150" t="str">
        <f>IF('Raw Data'!L150="","",'Raw Data'!L150)</f>
        <v/>
      </c>
      <c r="M150">
        <f>IF('Raw Data'!M150="","",'Raw Data'!M150)</f>
        <v>23</v>
      </c>
      <c r="N150">
        <f>IF('Raw Data'!N150="","",IF('Raw Data'!N150="-",0,'Raw Data'!N150))</f>
        <v>-4.9000000000000004</v>
      </c>
      <c r="O150">
        <f>IF('Raw Data'!O150="","",'Raw Data'!O150)</f>
        <v>362.4</v>
      </c>
      <c r="P150" t="str">
        <f>IF('Raw Data'!P150="","",'Raw Data'!P150)</f>
        <v/>
      </c>
      <c r="R150" s="3" t="str">
        <f t="shared" si="66"/>
        <v>-</v>
      </c>
      <c r="S150" s="3">
        <f t="shared" si="67"/>
        <v>162</v>
      </c>
      <c r="T150" s="3">
        <f t="shared" si="68"/>
        <v>342</v>
      </c>
      <c r="U150" s="3">
        <f t="shared" si="69"/>
        <v>-12</v>
      </c>
      <c r="W150" s="4">
        <f t="shared" si="70"/>
        <v>22.986468617244434</v>
      </c>
      <c r="X150" s="4">
        <f t="shared" si="71"/>
        <v>-4.885924734217344</v>
      </c>
      <c r="Y150" s="3">
        <f t="shared" si="72"/>
        <v>342</v>
      </c>
    </row>
    <row r="151" spans="1:25" x14ac:dyDescent="0.25">
      <c r="A151" t="str">
        <f>IF('Raw Data'!A151="","",'Raw Data'!A151)</f>
        <v>DW</v>
      </c>
      <c r="B151" t="str">
        <f>IF('Raw Data'!B151="","",'Raw Data'!B151)</f>
        <v>DV</v>
      </c>
      <c r="C151">
        <f>IF('Raw Data'!C151="","",'Raw Data'!C151)</f>
        <v>2</v>
      </c>
      <c r="D151">
        <f>IF('Raw Data'!D151="","",'Raw Data'!D151)</f>
        <v>3</v>
      </c>
      <c r="E151" t="str">
        <f>IF('Raw Data'!E151="","",'Raw Data'!E151)</f>
        <v>/</v>
      </c>
      <c r="F151">
        <f>IF('Raw Data'!F151="","",'Raw Data'!F151)</f>
        <v>3</v>
      </c>
      <c r="G151" s="7" t="str">
        <f>IF('Raw Data'!G151="","",SUBSTITUTE('Raw Data'!G151," ",":",1))</f>
        <v>259:00</v>
      </c>
      <c r="H151" s="7" t="str">
        <f>IF('Raw Data'!H151="","",SUBSTITUTE('Raw Data'!H151," ",":",1))</f>
        <v>-</v>
      </c>
      <c r="I151" s="7" t="str">
        <f>IF('Raw Data'!I151="","",SUBSTITUTE('Raw Data'!I151," ",":",1))</f>
        <v>259:00</v>
      </c>
      <c r="J151" s="12">
        <f>IF('Raw Data'!J151="","",IF(LEN(K151)&gt;6,SQRT('Raw Data'!J151^2+N151^2),'Raw Data'!J151))</f>
        <v>8.1999999999999993</v>
      </c>
      <c r="K151" s="7" t="str">
        <f>IF('Raw Data'!K151="","",IF(LEN('Raw Data'!K151)&lt;7,SUBSTITUTE('Raw Data'!K151," ",":",1),'Raw Data'!K151))</f>
        <v>-21:00</v>
      </c>
      <c r="L151" t="str">
        <f>IF('Raw Data'!L151="","",'Raw Data'!L151)</f>
        <v/>
      </c>
      <c r="M151">
        <f>IF('Raw Data'!M151="","",'Raw Data'!M151)</f>
        <v>7.6</v>
      </c>
      <c r="N151">
        <f>IF('Raw Data'!N151="","",IF('Raw Data'!N151="-",0,'Raw Data'!N151))</f>
        <v>-3</v>
      </c>
      <c r="O151">
        <f>IF('Raw Data'!O151="","",'Raw Data'!O151)</f>
        <v>357.5</v>
      </c>
      <c r="P151" t="str">
        <f>IF('Raw Data'!P151="","",'Raw Data'!P151)</f>
        <v/>
      </c>
      <c r="R151" s="3">
        <f t="shared" si="66"/>
        <v>259</v>
      </c>
      <c r="S151" s="3" t="str">
        <f t="shared" si="67"/>
        <v>-</v>
      </c>
      <c r="T151" s="3">
        <f t="shared" si="68"/>
        <v>259</v>
      </c>
      <c r="U151" s="3">
        <f t="shared" si="69"/>
        <v>-21</v>
      </c>
      <c r="W151" s="4">
        <f t="shared" si="70"/>
        <v>7.655359497277054</v>
      </c>
      <c r="X151" s="4">
        <f t="shared" si="71"/>
        <v>-2.9386171862714621</v>
      </c>
      <c r="Y151" s="3">
        <f t="shared" si="72"/>
        <v>259</v>
      </c>
    </row>
    <row r="152" spans="1:25" x14ac:dyDescent="0.25">
      <c r="A152" t="str">
        <f>IF('Raw Data'!A152="","",'Raw Data'!A152)</f>
        <v>DV</v>
      </c>
      <c r="B152" t="str">
        <f>IF('Raw Data'!B152="","",'Raw Data'!B152)</f>
        <v>DQ</v>
      </c>
      <c r="C152">
        <f>IF('Raw Data'!C152="","",'Raw Data'!C152)</f>
        <v>1</v>
      </c>
      <c r="D152">
        <f>IF('Raw Data'!D152="","",'Raw Data'!D152)</f>
        <v>3</v>
      </c>
      <c r="E152" t="str">
        <f>IF('Raw Data'!E152="","",'Raw Data'!E152)</f>
        <v>-</v>
      </c>
      <c r="F152">
        <f>IF('Raw Data'!F152="","",'Raw Data'!F152)</f>
        <v>2</v>
      </c>
      <c r="G152" s="7" t="str">
        <f>IF('Raw Data'!G152="","",SUBSTITUTE('Raw Data'!G152," ",":",1))</f>
        <v>-</v>
      </c>
      <c r="H152" s="7" t="str">
        <f>IF('Raw Data'!H152="","",SUBSTITUTE('Raw Data'!H152," ",":",1))</f>
        <v>119:00</v>
      </c>
      <c r="I152" s="7" t="str">
        <f>IF('Raw Data'!I152="","",SUBSTITUTE('Raw Data'!I152," ",":",1))</f>
        <v>299:00</v>
      </c>
      <c r="J152" s="12">
        <f>IF('Raw Data'!J152="","",IF(LEN(K152)&gt;6,SQRT('Raw Data'!J152^2+N152^2),'Raw Data'!J152))</f>
        <v>9</v>
      </c>
      <c r="K152" s="7" t="str">
        <f>IF('Raw Data'!K152="","",IF(LEN('Raw Data'!K152)&lt;7,SUBSTITUTE('Raw Data'!K152," ",":",1),'Raw Data'!K152))</f>
        <v>-17:00</v>
      </c>
      <c r="L152" t="str">
        <f>IF('Raw Data'!L152="","",'Raw Data'!L152)</f>
        <v/>
      </c>
      <c r="M152">
        <f>IF('Raw Data'!M152="","",'Raw Data'!M152)</f>
        <v>8.6</v>
      </c>
      <c r="N152">
        <f>IF('Raw Data'!N152="","",IF('Raw Data'!N152="-",0,'Raw Data'!N152))</f>
        <v>-2.6</v>
      </c>
      <c r="O152">
        <f>IF('Raw Data'!O152="","",'Raw Data'!O152)</f>
        <v>354.5</v>
      </c>
      <c r="P152" t="str">
        <f>IF('Raw Data'!P152="","",'Raw Data'!P152)</f>
        <v>(sketch of Short Dry Way DN-DH)</v>
      </c>
      <c r="R152" s="3" t="str">
        <f t="shared" si="66"/>
        <v>-</v>
      </c>
      <c r="S152" s="3">
        <f t="shared" si="67"/>
        <v>119</v>
      </c>
      <c r="T152" s="3">
        <f t="shared" si="68"/>
        <v>299</v>
      </c>
      <c r="U152" s="3">
        <f t="shared" si="69"/>
        <v>-17</v>
      </c>
      <c r="W152" s="4">
        <f t="shared" si="70"/>
        <v>8.6067428036673181</v>
      </c>
      <c r="X152" s="4">
        <f t="shared" si="71"/>
        <v>-2.6313453425046309</v>
      </c>
      <c r="Y152" s="3">
        <f t="shared" si="72"/>
        <v>299</v>
      </c>
    </row>
    <row r="153" spans="1:25" x14ac:dyDescent="0.25">
      <c r="A153" t="str">
        <f>IF('Raw Data'!A153="","",'Raw Data'!A153)</f>
        <v>DQ</v>
      </c>
      <c r="B153" t="str">
        <f>IF('Raw Data'!B153="","",'Raw Data'!B153)</f>
        <v>DP</v>
      </c>
      <c r="C153" t="str">
        <f>IF('Raw Data'!C153="","",'Raw Data'!C153)</f>
        <v>-</v>
      </c>
      <c r="D153">
        <f>IF('Raw Data'!D153="","",'Raw Data'!D153)</f>
        <v>3</v>
      </c>
      <c r="E153">
        <f>IF('Raw Data'!E153="","",'Raw Data'!E153)</f>
        <v>3</v>
      </c>
      <c r="F153">
        <f>IF('Raw Data'!F153="","",'Raw Data'!F153)</f>
        <v>3</v>
      </c>
      <c r="G153" s="7" t="str">
        <f>IF('Raw Data'!G153="","",SUBSTITUTE('Raw Data'!G153," ",":",1))</f>
        <v>-</v>
      </c>
      <c r="H153" s="7" t="str">
        <f>IF('Raw Data'!H153="","",SUBSTITUTE('Raw Data'!H153," ",":",1))</f>
        <v>-</v>
      </c>
      <c r="I153" s="7" t="str">
        <f>IF('Raw Data'!I153="","",SUBSTITUTE('Raw Data'!I153," ",":",1))</f>
        <v>-</v>
      </c>
      <c r="J153" s="12">
        <f>IF('Raw Data'!J153="","",IF(LEN(K153)&gt;6,SQRT('Raw Data'!J153^2+N153^2),'Raw Data'!J153))</f>
        <v>0.5</v>
      </c>
      <c r="K153" s="7" t="str">
        <f>IF('Raw Data'!K153="","",IF(LEN('Raw Data'!K153)&lt;7,SUBSTITUTE('Raw Data'!K153," ",":",1),'Raw Data'!K153))</f>
        <v>-90:00</v>
      </c>
      <c r="L153" t="str">
        <f>IF('Raw Data'!L153="","",'Raw Data'!L153)</f>
        <v/>
      </c>
      <c r="M153" t="str">
        <f>IF('Raw Data'!M153="","",'Raw Data'!M153)</f>
        <v>-</v>
      </c>
      <c r="N153">
        <f>IF('Raw Data'!N153="","",IF('Raw Data'!N153="-",0,'Raw Data'!N153))</f>
        <v>-0.5</v>
      </c>
      <c r="O153">
        <f>IF('Raw Data'!O153="","",'Raw Data'!O153)</f>
        <v>351.9</v>
      </c>
      <c r="P153" t="str">
        <f>IF('Raw Data'!P153="","",'Raw Data'!P153)</f>
        <v/>
      </c>
      <c r="R153" s="3" t="str">
        <f t="shared" si="66"/>
        <v>-</v>
      </c>
      <c r="S153" s="3" t="str">
        <f t="shared" si="67"/>
        <v>-</v>
      </c>
      <c r="T153" s="3" t="str">
        <f t="shared" si="68"/>
        <v>-</v>
      </c>
      <c r="U153" s="3">
        <f t="shared" si="69"/>
        <v>-90</v>
      </c>
      <c r="W153" s="4">
        <f t="shared" si="70"/>
        <v>3.06287113727155E-17</v>
      </c>
      <c r="X153" s="4">
        <f t="shared" si="71"/>
        <v>-0.5</v>
      </c>
      <c r="Y153" s="3" t="e">
        <f t="shared" si="72"/>
        <v>#VALUE!</v>
      </c>
    </row>
    <row r="154" spans="1:25" x14ac:dyDescent="0.25">
      <c r="A154" t="str">
        <f>IF('Raw Data'!A154="","",'Raw Data'!A154)</f>
        <v>DP</v>
      </c>
      <c r="B154" t="str">
        <f>IF('Raw Data'!B154="","",'Raw Data'!B154)</f>
        <v>DO</v>
      </c>
      <c r="C154" t="str">
        <f>IF('Raw Data'!C154="","",'Raw Data'!C154)</f>
        <v>/</v>
      </c>
      <c r="D154" t="str">
        <f>IF('Raw Data'!D154="","",'Raw Data'!D154)</f>
        <v>/</v>
      </c>
      <c r="E154" t="str">
        <f>IF('Raw Data'!E154="","",'Raw Data'!E154)</f>
        <v>/</v>
      </c>
      <c r="F154" t="str">
        <f>IF('Raw Data'!F154="","",'Raw Data'!F154)</f>
        <v>/</v>
      </c>
      <c r="G154" s="7" t="str">
        <f>IF('Raw Data'!G154="","",SUBSTITUTE('Raw Data'!G154," ",":",1))</f>
        <v>277:00</v>
      </c>
      <c r="H154" s="7" t="str">
        <f>IF('Raw Data'!H154="","",SUBSTITUTE('Raw Data'!H154," ",":",1))</f>
        <v>-</v>
      </c>
      <c r="I154" s="7" t="str">
        <f>IF('Raw Data'!I154="","",SUBSTITUTE('Raw Data'!I154," ",":",1))</f>
        <v>227:00</v>
      </c>
      <c r="J154" s="12">
        <f>IF('Raw Data'!J154="","",IF(LEN(K154)&gt;6,SQRT('Raw Data'!J154^2+N154^2),'Raw Data'!J154))</f>
        <v>14.8</v>
      </c>
      <c r="K154" s="7" t="str">
        <f>IF('Raw Data'!K154="","",IF(LEN('Raw Data'!K154)&lt;7,SUBSTITUTE('Raw Data'!K154," ",":",1),'Raw Data'!K154))</f>
        <v>-53:00</v>
      </c>
      <c r="L154" t="str">
        <f>IF('Raw Data'!L154="","",'Raw Data'!L154)</f>
        <v/>
      </c>
      <c r="M154">
        <f>IF('Raw Data'!M154="","",'Raw Data'!M154)</f>
        <v>8.9</v>
      </c>
      <c r="N154">
        <f>IF('Raw Data'!N154="","",IF('Raw Data'!N154="-",0,'Raw Data'!N154))</f>
        <v>-11.8</v>
      </c>
      <c r="O154">
        <f>IF('Raw Data'!O154="","",'Raw Data'!O154)</f>
        <v>351.4</v>
      </c>
      <c r="P154" t="str">
        <f>IF('Raw Data'!P154="","",'Raw Data'!P154)</f>
        <v/>
      </c>
      <c r="R154" s="3">
        <f t="shared" si="66"/>
        <v>277</v>
      </c>
      <c r="S154" s="3" t="str">
        <f t="shared" si="67"/>
        <v>-</v>
      </c>
      <c r="T154" s="3">
        <f t="shared" si="68"/>
        <v>227</v>
      </c>
      <c r="U154" s="3">
        <f t="shared" si="69"/>
        <v>-53</v>
      </c>
      <c r="W154" s="4">
        <f t="shared" si="70"/>
        <v>8.9068623426503173</v>
      </c>
      <c r="X154" s="4">
        <f t="shared" si="71"/>
        <v>-11.819805548699934</v>
      </c>
      <c r="Y154" s="3">
        <f t="shared" si="72"/>
        <v>277</v>
      </c>
    </row>
    <row r="155" spans="1:25" x14ac:dyDescent="0.25">
      <c r="A155" t="str">
        <f>IF('Raw Data'!A155="","",'Raw Data'!A155)</f>
        <v>DO</v>
      </c>
      <c r="B155" t="str">
        <f>IF('Raw Data'!B155="","",'Raw Data'!B155)</f>
        <v>DN</v>
      </c>
      <c r="C155">
        <f>IF('Raw Data'!C155="","",'Raw Data'!C155)</f>
        <v>12</v>
      </c>
      <c r="D155" t="str">
        <f>IF('Raw Data'!D155="","",'Raw Data'!D155)</f>
        <v>-</v>
      </c>
      <c r="E155" t="str">
        <f>IF('Raw Data'!E155="","",'Raw Data'!E155)</f>
        <v>/</v>
      </c>
      <c r="F155">
        <f>IF('Raw Data'!F155="","",'Raw Data'!F155)</f>
        <v>10</v>
      </c>
      <c r="G155" s="7" t="str">
        <f>IF('Raw Data'!G155="","",SUBSTITUTE('Raw Data'!G155," ",":",1))</f>
        <v>-</v>
      </c>
      <c r="H155" s="7" t="str">
        <f>IF('Raw Data'!H155="","",SUBSTITUTE('Raw Data'!H155," ",":",1))</f>
        <v>261:00</v>
      </c>
      <c r="I155" s="7" t="str">
        <f>IF('Raw Data'!I155="","",SUBSTITUTE('Raw Data'!I155," ",":",1))</f>
        <v>081:00</v>
      </c>
      <c r="J155" s="12">
        <f>IF('Raw Data'!J155="","",IF(LEN(K155)&gt;6,SQRT('Raw Data'!J155^2+N155^2),'Raw Data'!J155))</f>
        <v>13.3</v>
      </c>
      <c r="K155" s="7" t="str">
        <f>IF('Raw Data'!K155="","",IF(LEN('Raw Data'!K155)&lt;7,SUBSTITUTE('Raw Data'!K155," ",":",1),'Raw Data'!K155))</f>
        <v>-47:00</v>
      </c>
      <c r="L155" t="str">
        <f>IF('Raw Data'!L155="","",'Raw Data'!L155)</f>
        <v/>
      </c>
      <c r="M155">
        <f>IF('Raw Data'!M155="","",'Raw Data'!M155)</f>
        <v>9</v>
      </c>
      <c r="N155">
        <f>IF('Raw Data'!N155="","",IF('Raw Data'!N155="-",0,'Raw Data'!N155))</f>
        <v>-9.6999999999999993</v>
      </c>
      <c r="O155">
        <f>IF('Raw Data'!O155="","",'Raw Data'!O155)</f>
        <v>339.6</v>
      </c>
      <c r="P155" t="str">
        <f>IF('Raw Data'!P155="","",'Raw Data'!P155)</f>
        <v/>
      </c>
      <c r="R155" s="3" t="str">
        <f t="shared" si="66"/>
        <v>-</v>
      </c>
      <c r="S155" s="3">
        <f t="shared" si="67"/>
        <v>261</v>
      </c>
      <c r="T155" s="3">
        <f t="shared" si="68"/>
        <v>81</v>
      </c>
      <c r="U155" s="3">
        <f t="shared" si="69"/>
        <v>-47</v>
      </c>
      <c r="W155" s="4">
        <f t="shared" si="70"/>
        <v>9.0705781888312309</v>
      </c>
      <c r="X155" s="4">
        <f t="shared" si="71"/>
        <v>-9.7270042315349681</v>
      </c>
      <c r="Y155" s="3">
        <f t="shared" si="72"/>
        <v>81</v>
      </c>
    </row>
    <row r="156" spans="1:25" x14ac:dyDescent="0.25">
      <c r="A156" t="str">
        <f>IF('Raw Data'!A156="","",'Raw Data'!A156)</f>
        <v>DN</v>
      </c>
      <c r="B156" t="str">
        <f>IF('Raw Data'!B156="","",'Raw Data'!B156)</f>
        <v>DM</v>
      </c>
      <c r="C156" t="str">
        <f>IF('Raw Data'!C156="","",'Raw Data'!C156)</f>
        <v>/</v>
      </c>
      <c r="D156" t="str">
        <f>IF('Raw Data'!D156="","",'Raw Data'!D156)</f>
        <v>/</v>
      </c>
      <c r="E156" t="str">
        <f>IF('Raw Data'!E156="","",'Raw Data'!E156)</f>
        <v>/</v>
      </c>
      <c r="F156" t="str">
        <f>IF('Raw Data'!F156="","",'Raw Data'!F156)</f>
        <v>/</v>
      </c>
      <c r="G156" s="7" t="str">
        <f>IF('Raw Data'!G156="","",SUBSTITUTE('Raw Data'!G156," ",":",1))</f>
        <v>-</v>
      </c>
      <c r="H156" s="7" t="str">
        <f>IF('Raw Data'!H156="","",SUBSTITUTE('Raw Data'!H156," ",":",1))</f>
        <v>-</v>
      </c>
      <c r="I156" s="7" t="str">
        <f>IF('Raw Data'!I156="","",SUBSTITUTE('Raw Data'!I156," ",":",1))</f>
        <v>-</v>
      </c>
      <c r="J156" s="12">
        <f>IF('Raw Data'!J156="","",IF(LEN(K156)&gt;6,SQRT('Raw Data'!J156^2+N156^2),'Raw Data'!J156))</f>
        <v>0.5</v>
      </c>
      <c r="K156" s="7" t="str">
        <f>IF('Raw Data'!K156="","",IF(LEN('Raw Data'!K156)&lt;7,SUBSTITUTE('Raw Data'!K156," ",":",1),'Raw Data'!K156))</f>
        <v>90:00</v>
      </c>
      <c r="L156" t="str">
        <f>IF('Raw Data'!L156="","",'Raw Data'!L156)</f>
        <v/>
      </c>
      <c r="M156" t="str">
        <f>IF('Raw Data'!M156="","",'Raw Data'!M156)</f>
        <v>-</v>
      </c>
      <c r="N156">
        <f>IF('Raw Data'!N156="","",IF('Raw Data'!N156="-",0,'Raw Data'!N156))</f>
        <v>0.5</v>
      </c>
      <c r="O156">
        <f>IF('Raw Data'!O156="","",'Raw Data'!O156)</f>
        <v>329.9</v>
      </c>
      <c r="P156" t="str">
        <f>IF('Raw Data'!P156="","",'Raw Data'!P156)</f>
        <v/>
      </c>
      <c r="R156" s="3" t="str">
        <f t="shared" si="66"/>
        <v>-</v>
      </c>
      <c r="S156" s="3" t="str">
        <f t="shared" si="67"/>
        <v>-</v>
      </c>
      <c r="T156" s="3" t="str">
        <f t="shared" si="68"/>
        <v>-</v>
      </c>
      <c r="U156" s="3">
        <f t="shared" si="69"/>
        <v>90</v>
      </c>
      <c r="W156" s="4">
        <f t="shared" si="70"/>
        <v>3.06287113727155E-17</v>
      </c>
      <c r="X156" s="4">
        <f t="shared" si="71"/>
        <v>0.5</v>
      </c>
      <c r="Y156" s="3" t="e">
        <f t="shared" si="72"/>
        <v>#VALUE!</v>
      </c>
    </row>
    <row r="157" spans="1:25" x14ac:dyDescent="0.25">
      <c r="A157" t="str">
        <f>IF('Raw Data'!A157="","",'Raw Data'!A157)</f>
        <v>DM</v>
      </c>
      <c r="B157" t="str">
        <f>IF('Raw Data'!B157="","",'Raw Data'!B157)</f>
        <v>DL</v>
      </c>
      <c r="C157" t="str">
        <f>IF('Raw Data'!C157="","",'Raw Data'!C157)</f>
        <v>/</v>
      </c>
      <c r="D157">
        <f>IF('Raw Data'!D157="","",'Raw Data'!D157)</f>
        <v>6</v>
      </c>
      <c r="E157" t="str">
        <f>IF('Raw Data'!E157="","",'Raw Data'!E157)</f>
        <v>/</v>
      </c>
      <c r="F157">
        <f>IF('Raw Data'!F157="","",'Raw Data'!F157)</f>
        <v>4</v>
      </c>
      <c r="G157" s="7" t="str">
        <f>IF('Raw Data'!G157="","",SUBSTITUTE('Raw Data'!G157," ",":",1))</f>
        <v>348:30</v>
      </c>
      <c r="H157" s="7" t="str">
        <f>IF('Raw Data'!H157="","",SUBSTITUTE('Raw Data'!H157," ",":",1))</f>
        <v>-</v>
      </c>
      <c r="I157" s="7" t="str">
        <f>IF('Raw Data'!I157="","",SUBSTITUTE('Raw Data'!I157," ",":",1))</f>
        <v>348:30</v>
      </c>
      <c r="J157" s="12">
        <f>IF('Raw Data'!J157="","",IF(LEN(K157)&gt;6,SQRT('Raw Data'!J157^2+N157^2),'Raw Data'!J157))</f>
        <v>14.5</v>
      </c>
      <c r="K157" s="7" t="str">
        <f>IF('Raw Data'!K157="","",IF(LEN('Raw Data'!K157)&lt;7,SUBSTITUTE('Raw Data'!K157," ",":",1),'Raw Data'!K157))</f>
        <v>-6:00</v>
      </c>
      <c r="L157" t="str">
        <f>IF('Raw Data'!L157="","",'Raw Data'!L157)</f>
        <v/>
      </c>
      <c r="M157">
        <f>IF('Raw Data'!M157="","",'Raw Data'!M157)</f>
        <v>14.4</v>
      </c>
      <c r="N157">
        <f>IF('Raw Data'!N157="","",IF('Raw Data'!N157="-",0,'Raw Data'!N157))</f>
        <v>-1.5</v>
      </c>
      <c r="O157">
        <f>IF('Raw Data'!O157="","",'Raw Data'!O157)</f>
        <v>330.4</v>
      </c>
      <c r="P157" t="str">
        <f>IF('Raw Data'!P157="","",'Raw Data'!P157)</f>
        <v/>
      </c>
      <c r="R157" s="3">
        <f t="shared" si="66"/>
        <v>348.5</v>
      </c>
      <c r="S157" s="3" t="str">
        <f t="shared" si="67"/>
        <v>-</v>
      </c>
      <c r="T157" s="3">
        <f t="shared" si="68"/>
        <v>348.5</v>
      </c>
      <c r="U157" s="3">
        <f t="shared" si="69"/>
        <v>-6</v>
      </c>
      <c r="W157" s="4">
        <f t="shared" si="70"/>
        <v>14.420567482839962</v>
      </c>
      <c r="X157" s="4">
        <f t="shared" si="71"/>
        <v>-1.5156627173809751</v>
      </c>
      <c r="Y157" s="3">
        <f t="shared" si="72"/>
        <v>348.5</v>
      </c>
    </row>
    <row r="158" spans="1:25" x14ac:dyDescent="0.25">
      <c r="A158" t="str">
        <f>IF('Raw Data'!A158="","",'Raw Data'!A158)</f>
        <v>DL</v>
      </c>
      <c r="B158" t="str">
        <f>IF('Raw Data'!B158="","",'Raw Data'!B158)</f>
        <v>DK</v>
      </c>
      <c r="C158">
        <f>IF('Raw Data'!C158="","",'Raw Data'!C158)</f>
        <v>10</v>
      </c>
      <c r="D158">
        <f>IF('Raw Data'!D158="","",'Raw Data'!D158)</f>
        <v>2</v>
      </c>
      <c r="E158">
        <f>IF('Raw Data'!E158="","",'Raw Data'!E158)</f>
        <v>4</v>
      </c>
      <c r="F158" t="str">
        <f>IF('Raw Data'!F158="","",'Raw Data'!F158)</f>
        <v>-</v>
      </c>
      <c r="G158" s="7" t="str">
        <f>IF('Raw Data'!G158="","",SUBSTITUTE('Raw Data'!G158," ",":",1))</f>
        <v>-</v>
      </c>
      <c r="H158" s="7" t="str">
        <f>IF('Raw Data'!H158="","",SUBSTITUTE('Raw Data'!H158," ",":",1))</f>
        <v>112:00</v>
      </c>
      <c r="I158" s="7" t="str">
        <f>IF('Raw Data'!I158="","",SUBSTITUTE('Raw Data'!I158," ",":",1))</f>
        <v>292:00</v>
      </c>
      <c r="J158" s="12">
        <f>IF('Raw Data'!J158="","",IF(LEN(K158)&gt;6,SQRT('Raw Data'!J158^2+N158^2),'Raw Data'!J158))</f>
        <v>17.3</v>
      </c>
      <c r="K158" s="7" t="str">
        <f>IF('Raw Data'!K158="","",IF(LEN('Raw Data'!K158)&lt;7,SUBSTITUTE('Raw Data'!K158," ",":",1),'Raw Data'!K158))</f>
        <v>-20:00</v>
      </c>
      <c r="L158" t="str">
        <f>IF('Raw Data'!L158="","",'Raw Data'!L158)</f>
        <v/>
      </c>
      <c r="M158">
        <f>IF('Raw Data'!M158="","",'Raw Data'!M158)</f>
        <v>16.2</v>
      </c>
      <c r="N158">
        <f>IF('Raw Data'!N158="","",IF('Raw Data'!N158="-",0,'Raw Data'!N158))</f>
        <v>-5.9</v>
      </c>
      <c r="O158">
        <f>IF('Raw Data'!O158="","",'Raw Data'!O158)</f>
        <v>328.9</v>
      </c>
      <c r="P158" t="str">
        <f>IF('Raw Data'!P158="","",'Raw Data'!P158)</f>
        <v/>
      </c>
      <c r="R158" s="3" t="str">
        <f t="shared" si="66"/>
        <v>-</v>
      </c>
      <c r="S158" s="3">
        <f t="shared" si="67"/>
        <v>112</v>
      </c>
      <c r="T158" s="3">
        <f t="shared" si="68"/>
        <v>292</v>
      </c>
      <c r="U158" s="3">
        <f t="shared" si="69"/>
        <v>-20</v>
      </c>
      <c r="W158" s="4">
        <f t="shared" si="70"/>
        <v>16.256682339596217</v>
      </c>
      <c r="X158" s="4">
        <f t="shared" si="71"/>
        <v>-5.916948479534069</v>
      </c>
      <c r="Y158" s="3">
        <f t="shared" si="72"/>
        <v>292</v>
      </c>
    </row>
    <row r="159" spans="1:25" x14ac:dyDescent="0.25">
      <c r="A159" t="str">
        <f>IF('Raw Data'!A159="","",'Raw Data'!A159)</f>
        <v>DK</v>
      </c>
      <c r="B159" t="str">
        <f>IF('Raw Data'!B159="","",'Raw Data'!B159)</f>
        <v>DJ</v>
      </c>
      <c r="C159">
        <f>IF('Raw Data'!C159="","",'Raw Data'!C159)</f>
        <v>8</v>
      </c>
      <c r="D159">
        <f>IF('Raw Data'!D159="","",'Raw Data'!D159)</f>
        <v>5</v>
      </c>
      <c r="E159">
        <f>IF('Raw Data'!E159="","",'Raw Data'!E159)</f>
        <v>1</v>
      </c>
      <c r="F159">
        <f>IF('Raw Data'!F159="","",'Raw Data'!F159)</f>
        <v>2</v>
      </c>
      <c r="G159" s="7" t="str">
        <f>IF('Raw Data'!G159="","",SUBSTITUTE('Raw Data'!G159," ",":",1))</f>
        <v>346:00</v>
      </c>
      <c r="H159" s="7" t="str">
        <f>IF('Raw Data'!H159="","",SUBSTITUTE('Raw Data'!H159," ",":",1))</f>
        <v>-</v>
      </c>
      <c r="I159" s="7" t="str">
        <f>IF('Raw Data'!I159="","",SUBSTITUTE('Raw Data'!I159," ",":",1))</f>
        <v>346:00</v>
      </c>
      <c r="J159" s="12">
        <f>IF('Raw Data'!J159="","",IF(LEN(K159)&gt;6,SQRT('Raw Data'!J159^2+N159^2),'Raw Data'!J159))</f>
        <v>17.2</v>
      </c>
      <c r="K159" s="7" t="str">
        <f>IF('Raw Data'!K159="","",IF(LEN('Raw Data'!K159)&lt;7,SUBSTITUTE('Raw Data'!K159," ",":",1),'Raw Data'!K159))</f>
        <v>-22:00</v>
      </c>
      <c r="L159" t="str">
        <f>IF('Raw Data'!L159="","",'Raw Data'!L159)</f>
        <v/>
      </c>
      <c r="M159">
        <f>IF('Raw Data'!M159="","",'Raw Data'!M159)</f>
        <v>15.9</v>
      </c>
      <c r="N159">
        <f>IF('Raw Data'!N159="","",IF('Raw Data'!N159="-",0,'Raw Data'!N159))</f>
        <v>-6.4</v>
      </c>
      <c r="O159">
        <f>IF('Raw Data'!O159="","",'Raw Data'!O159)</f>
        <v>323</v>
      </c>
      <c r="P159" t="str">
        <f>IF('Raw Data'!P159="","",'Raw Data'!P159)</f>
        <v/>
      </c>
      <c r="R159" s="3">
        <f t="shared" si="66"/>
        <v>346</v>
      </c>
      <c r="S159" s="3" t="str">
        <f t="shared" si="67"/>
        <v>-</v>
      </c>
      <c r="T159" s="3">
        <f t="shared" si="68"/>
        <v>346</v>
      </c>
      <c r="U159" s="3">
        <f t="shared" si="69"/>
        <v>-22</v>
      </c>
      <c r="W159" s="4">
        <f t="shared" si="70"/>
        <v>15.947562298548743</v>
      </c>
      <c r="X159" s="4">
        <f t="shared" si="71"/>
        <v>-6.4432334067536861</v>
      </c>
      <c r="Y159" s="3">
        <f t="shared" si="72"/>
        <v>346</v>
      </c>
    </row>
    <row r="160" spans="1:25" x14ac:dyDescent="0.25">
      <c r="A160" t="str">
        <f>IF('Raw Data'!A160="","",'Raw Data'!A160)</f>
        <v>DJ</v>
      </c>
      <c r="B160" t="str">
        <f>IF('Raw Data'!B160="","",'Raw Data'!B160)</f>
        <v>DI</v>
      </c>
      <c r="C160">
        <f>IF('Raw Data'!C160="","",'Raw Data'!C160)</f>
        <v>10</v>
      </c>
      <c r="D160">
        <f>IF('Raw Data'!D160="","",'Raw Data'!D160)</f>
        <v>7</v>
      </c>
      <c r="E160">
        <f>IF('Raw Data'!E160="","",'Raw Data'!E160)</f>
        <v>2</v>
      </c>
      <c r="F160">
        <f>IF('Raw Data'!F160="","",'Raw Data'!F160)</f>
        <v>1</v>
      </c>
      <c r="G160" s="7" t="str">
        <f>IF('Raw Data'!G160="","",SUBSTITUTE('Raw Data'!G160," ",":",1))</f>
        <v>-</v>
      </c>
      <c r="H160" s="7" t="str">
        <f>IF('Raw Data'!H160="","",SUBSTITUTE('Raw Data'!H160," ",":",1))</f>
        <v>138:00</v>
      </c>
      <c r="I160" s="7" t="str">
        <f>IF('Raw Data'!I160="","",SUBSTITUTE('Raw Data'!I160," ",":",1))</f>
        <v>318:00</v>
      </c>
      <c r="J160" s="12">
        <f>IF('Raw Data'!J160="","",IF(LEN(K160)&gt;6,SQRT('Raw Data'!J160^2+N160^2),'Raw Data'!J160))</f>
        <v>8.9</v>
      </c>
      <c r="K160" s="7" t="str">
        <f>IF('Raw Data'!K160="","",IF(LEN('Raw Data'!K160)&lt;7,SUBSTITUTE('Raw Data'!K160," ",":",1),'Raw Data'!K160))</f>
        <v>-13:30</v>
      </c>
      <c r="L160" t="str">
        <f>IF('Raw Data'!L160="","",'Raw Data'!L160)</f>
        <v/>
      </c>
      <c r="M160">
        <f>IF('Raw Data'!M160="","",'Raw Data'!M160)</f>
        <v>8.6</v>
      </c>
      <c r="N160">
        <f>IF('Raw Data'!N160="","",IF('Raw Data'!N160="-",0,'Raw Data'!N160))</f>
        <v>-2.1</v>
      </c>
      <c r="O160">
        <f>IF('Raw Data'!O160="","",'Raw Data'!O160)</f>
        <v>316.60000000000002</v>
      </c>
      <c r="P160" t="str">
        <f>IF('Raw Data'!P160="","",'Raw Data'!P160)</f>
        <v/>
      </c>
      <c r="R160" s="3" t="str">
        <f t="shared" si="66"/>
        <v>-</v>
      </c>
      <c r="S160" s="3">
        <f t="shared" si="67"/>
        <v>138</v>
      </c>
      <c r="T160" s="3">
        <f t="shared" si="68"/>
        <v>318</v>
      </c>
      <c r="U160" s="3">
        <f t="shared" si="69"/>
        <v>-13.5</v>
      </c>
      <c r="W160" s="4">
        <f t="shared" si="70"/>
        <v>8.654092291539321</v>
      </c>
      <c r="X160" s="4">
        <f t="shared" si="71"/>
        <v>-2.077663738317558</v>
      </c>
      <c r="Y160" s="3">
        <f t="shared" si="72"/>
        <v>318</v>
      </c>
    </row>
    <row r="161" spans="1:25" x14ac:dyDescent="0.25">
      <c r="A161" t="str">
        <f>IF('Raw Data'!A161="","",'Raw Data'!A161)</f>
        <v>DI</v>
      </c>
      <c r="B161" t="str">
        <f>IF('Raw Data'!B161="","",'Raw Data'!B161)</f>
        <v>DH</v>
      </c>
      <c r="C161">
        <f>IF('Raw Data'!C161="","",'Raw Data'!C161)</f>
        <v>12</v>
      </c>
      <c r="D161">
        <f>IF('Raw Data'!D161="","",'Raw Data'!D161)</f>
        <v>7</v>
      </c>
      <c r="E161">
        <f>IF('Raw Data'!E161="","",'Raw Data'!E161)</f>
        <v>1</v>
      </c>
      <c r="F161">
        <f>IF('Raw Data'!F161="","",'Raw Data'!F161)</f>
        <v>2</v>
      </c>
      <c r="G161" s="7" t="str">
        <f>IF('Raw Data'!G161="","",SUBSTITUTE('Raw Data'!G161," ",":",1))</f>
        <v>304:00</v>
      </c>
      <c r="H161" s="7" t="str">
        <f>IF('Raw Data'!H161="","",SUBSTITUTE('Raw Data'!H161," ",":",1))</f>
        <v>-</v>
      </c>
      <c r="I161" s="7" t="str">
        <f>IF('Raw Data'!I161="","",SUBSTITUTE('Raw Data'!I161," ",":",1))</f>
        <v>304:00</v>
      </c>
      <c r="J161" s="12">
        <f>IF('Raw Data'!J161="","",IF(LEN(K161)&gt;6,SQRT('Raw Data'!J161^2+N161^2),'Raw Data'!J161))</f>
        <v>32</v>
      </c>
      <c r="K161" s="7" t="str">
        <f>IF('Raw Data'!K161="","",IF(LEN('Raw Data'!K161)&lt;7,SUBSTITUTE('Raw Data'!K161," ",":",1),'Raw Data'!K161))</f>
        <v>-17:00</v>
      </c>
      <c r="L161" t="str">
        <f>IF('Raw Data'!L161="","",'Raw Data'!L161)</f>
        <v/>
      </c>
      <c r="M161">
        <f>IF('Raw Data'!M161="","",'Raw Data'!M161)</f>
        <v>30.6</v>
      </c>
      <c r="N161">
        <f>IF('Raw Data'!N161="","",IF('Raw Data'!N161="-",0,'Raw Data'!N161))</f>
        <v>-9.4</v>
      </c>
      <c r="O161">
        <f>IF('Raw Data'!O161="","",'Raw Data'!O161)</f>
        <v>314.5</v>
      </c>
      <c r="P161" t="str">
        <f>IF('Raw Data'!P161="","",'Raw Data'!P161)</f>
        <v/>
      </c>
      <c r="R161" s="3">
        <f t="shared" si="66"/>
        <v>304</v>
      </c>
      <c r="S161" s="3" t="str">
        <f t="shared" si="67"/>
        <v>-</v>
      </c>
      <c r="T161" s="3">
        <f t="shared" si="68"/>
        <v>304</v>
      </c>
      <c r="U161" s="3">
        <f t="shared" si="69"/>
        <v>-17</v>
      </c>
      <c r="W161" s="4">
        <f t="shared" si="70"/>
        <v>30.601752190817134</v>
      </c>
      <c r="X161" s="4">
        <f t="shared" si="71"/>
        <v>-9.3558945511275766</v>
      </c>
      <c r="Y161" s="3">
        <f t="shared" si="72"/>
        <v>304</v>
      </c>
    </row>
    <row r="162" spans="1:25" x14ac:dyDescent="0.25">
      <c r="A162" t="str">
        <f>IF('Raw Data'!A162="","",'Raw Data'!A162)</f>
        <v>DH</v>
      </c>
      <c r="B162" t="str">
        <f>IF('Raw Data'!B162="","",'Raw Data'!B162)</f>
        <v/>
      </c>
      <c r="C162" t="str">
        <f>IF('Raw Data'!C162="","",'Raw Data'!C162)</f>
        <v/>
      </c>
      <c r="D162" t="str">
        <f>IF('Raw Data'!D162="","",'Raw Data'!D162)</f>
        <v/>
      </c>
      <c r="E162" t="str">
        <f>IF('Raw Data'!E162="","",'Raw Data'!E162)</f>
        <v/>
      </c>
      <c r="F162" t="str">
        <f>IF('Raw Data'!F162="","",'Raw Data'!F162)</f>
        <v/>
      </c>
      <c r="G162" s="7" t="str">
        <f>IF('Raw Data'!G162="","",SUBSTITUTE('Raw Data'!G162," ",":",1))</f>
        <v/>
      </c>
      <c r="H162" s="7" t="str">
        <f>IF('Raw Data'!H162="","",SUBSTITUTE('Raw Data'!H162," ",":",1))</f>
        <v/>
      </c>
      <c r="I162" s="7" t="str">
        <f>IF('Raw Data'!I162="","",SUBSTITUTE('Raw Data'!I162," ",":",1))</f>
        <v/>
      </c>
      <c r="J162" s="12" t="str">
        <f>IF('Raw Data'!J162="","",IF(LEN(K162)&gt;6,SQRT('Raw Data'!J162^2+N162^2),'Raw Data'!J162))</f>
        <v/>
      </c>
      <c r="K162" s="7" t="str">
        <f>IF('Raw Data'!K162="","",IF(LEN('Raw Data'!K162)&lt;7,SUBSTITUTE('Raw Data'!K162," ",":",1),'Raw Data'!K162))</f>
        <v/>
      </c>
      <c r="L162" t="str">
        <f>IF('Raw Data'!L162="","",'Raw Data'!L162)</f>
        <v/>
      </c>
      <c r="M162" t="str">
        <f>IF('Raw Data'!M162="","",'Raw Data'!M162)</f>
        <v/>
      </c>
      <c r="N162" t="str">
        <f>IF('Raw Data'!N162="","",IF('Raw Data'!N162="-",0,'Raw Data'!N162))</f>
        <v/>
      </c>
      <c r="O162">
        <f>IF('Raw Data'!O162="","",'Raw Data'!O162)</f>
        <v>305.10000000000002</v>
      </c>
      <c r="P162" t="str">
        <f>IF('Raw Data'!P162="","",'Raw Data'!P162)</f>
        <v>is 2" candle on smoke BM below smoke (.)</v>
      </c>
      <c r="W162" s="4"/>
      <c r="X162" s="4"/>
      <c r="Y162" s="3"/>
    </row>
    <row r="163" spans="1:25" x14ac:dyDescent="0.25">
      <c r="A163" t="str">
        <f>IF('Raw Data'!A163="","",'Raw Data'!A163)</f>
        <v/>
      </c>
      <c r="B163" t="str">
        <f>IF('Raw Data'!B163="","",'Raw Data'!B163)</f>
        <v/>
      </c>
      <c r="C163" t="str">
        <f>IF('Raw Data'!C163="","",'Raw Data'!C163)</f>
        <v/>
      </c>
      <c r="D163" t="str">
        <f>IF('Raw Data'!D163="","",'Raw Data'!D163)</f>
        <v/>
      </c>
      <c r="E163" t="str">
        <f>IF('Raw Data'!E163="","",'Raw Data'!E163)</f>
        <v/>
      </c>
      <c r="F163" t="str">
        <f>IF('Raw Data'!F163="","",'Raw Data'!F163)</f>
        <v/>
      </c>
      <c r="G163" s="7" t="str">
        <f>IF('Raw Data'!G163="","",SUBSTITUTE('Raw Data'!G163," ",":",1))</f>
        <v/>
      </c>
      <c r="H163" s="7" t="str">
        <f>IF('Raw Data'!H163="","",SUBSTITUTE('Raw Data'!H163," ",":",1))</f>
        <v/>
      </c>
      <c r="I163" s="7" t="str">
        <f>IF('Raw Data'!I163="","",SUBSTITUTE('Raw Data'!I163," ",":",1))</f>
        <v/>
      </c>
      <c r="J163" s="12" t="str">
        <f>IF('Raw Data'!J163="","",IF(LEN(K163)&gt;6,SQRT('Raw Data'!J163^2+N163^2),'Raw Data'!J163))</f>
        <v/>
      </c>
      <c r="K163" s="7" t="str">
        <f>IF('Raw Data'!K163="","",IF(LEN('Raw Data'!K163)&lt;7,SUBSTITUTE('Raw Data'!K163," ",":",1),'Raw Data'!K163))</f>
        <v/>
      </c>
      <c r="L163" t="str">
        <f>IF('Raw Data'!L163="","",'Raw Data'!L163)</f>
        <v/>
      </c>
      <c r="M163" t="str">
        <f>IF('Raw Data'!M163="","",'Raw Data'!M163)</f>
        <v/>
      </c>
      <c r="N163" t="str">
        <f>IF('Raw Data'!N163="","",IF('Raw Data'!N163="-",0,'Raw Data'!N163))</f>
        <v/>
      </c>
      <c r="O163" t="str">
        <f>IF('Raw Data'!O163="","",'Raw Data'!O163)</f>
        <v/>
      </c>
      <c r="P163" t="str">
        <f>IF('Raw Data'!P163="","",'Raw Data'!P163)</f>
        <v/>
      </c>
      <c r="W163" s="4"/>
      <c r="X163" s="4"/>
      <c r="Y163" s="3"/>
    </row>
    <row r="164" spans="1:25" x14ac:dyDescent="0.25">
      <c r="A164" t="str">
        <f>IF('Raw Data'!A164="","",'Raw Data'!A164)</f>
        <v>21st Dec '52</v>
      </c>
      <c r="B164" t="str">
        <f>IF('Raw Data'!B164="","",'Raw Data'!B164)</f>
        <v>Howard &amp; Jock.</v>
      </c>
      <c r="C164" t="str">
        <f>IF('Raw Data'!C164="","",'Raw Data'!C164)</f>
        <v>Short Dry Way to 40' Pot</v>
      </c>
      <c r="D164" t="str">
        <f>IF('Raw Data'!D164="","",'Raw Data'!D164)</f>
        <v/>
      </c>
      <c r="E164" t="str">
        <f>IF('Raw Data'!E164="","",'Raw Data'!E164)</f>
        <v/>
      </c>
      <c r="F164" t="str">
        <f>IF('Raw Data'!F164="","",'Raw Data'!F164)</f>
        <v/>
      </c>
      <c r="G164" s="7" t="str">
        <f>IF('Raw Data'!G164="","",SUBSTITUTE('Raw Data'!G164," ",":",1))</f>
        <v/>
      </c>
      <c r="H164" s="7" t="str">
        <f>IF('Raw Data'!H164="","",SUBSTITUTE('Raw Data'!H164," ",":",1))</f>
        <v/>
      </c>
      <c r="I164" s="7" t="str">
        <f>IF('Raw Data'!I164="","",SUBSTITUTE('Raw Data'!I164," ",":",1))</f>
        <v/>
      </c>
      <c r="J164" s="12" t="str">
        <f>IF('Raw Data'!J164="","",IF(LEN(K164)&gt;6,SQRT('Raw Data'!J164^2+N164^2),'Raw Data'!J164))</f>
        <v/>
      </c>
      <c r="K164" s="7" t="str">
        <f>IF('Raw Data'!K164="","",IF(LEN('Raw Data'!K164)&lt;7,SUBSTITUTE('Raw Data'!K164," ",":",1),'Raw Data'!K164))</f>
        <v/>
      </c>
      <c r="L164" t="str">
        <f>IF('Raw Data'!L164="","",'Raw Data'!L164)</f>
        <v/>
      </c>
      <c r="M164" t="str">
        <f>IF('Raw Data'!M164="","",'Raw Data'!M164)</f>
        <v/>
      </c>
      <c r="N164" t="str">
        <f>IF('Raw Data'!N164="","",IF('Raw Data'!N164="-",0,'Raw Data'!N164))</f>
        <v/>
      </c>
      <c r="O164" t="str">
        <f>IF('Raw Data'!O164="","",'Raw Data'!O164)</f>
        <v/>
      </c>
      <c r="P164" t="str">
        <f>IF('Raw Data'!P164="","",'Raw Data'!P164)</f>
        <v/>
      </c>
      <c r="W164" s="4"/>
      <c r="X164" s="4"/>
      <c r="Y164" s="3"/>
    </row>
    <row r="165" spans="1:25" x14ac:dyDescent="0.25">
      <c r="A165" t="str">
        <f>IF('Raw Data'!A165="","",'Raw Data'!A165)</f>
        <v>DH</v>
      </c>
      <c r="B165" t="str">
        <f>IF('Raw Data'!B165="","",'Raw Data'!B165)</f>
        <v>DG</v>
      </c>
      <c r="C165">
        <f>IF('Raw Data'!C165="","",'Raw Data'!C165)</f>
        <v>20</v>
      </c>
      <c r="D165">
        <f>IF('Raw Data'!D165="","",'Raw Data'!D165)</f>
        <v>1</v>
      </c>
      <c r="E165">
        <f>IF('Raw Data'!E165="","",'Raw Data'!E165)</f>
        <v>1</v>
      </c>
      <c r="F165">
        <f>IF('Raw Data'!F165="","",'Raw Data'!F165)</f>
        <v>3</v>
      </c>
      <c r="G165" s="7" t="str">
        <f>IF('Raw Data'!G165="","",SUBSTITUTE('Raw Data'!G165," ",":",1))</f>
        <v>-</v>
      </c>
      <c r="H165" s="7" t="str">
        <f>IF('Raw Data'!H165="","",SUBSTITUTE('Raw Data'!H165," ",":",1))</f>
        <v>175:00</v>
      </c>
      <c r="I165" s="7" t="str">
        <f>IF('Raw Data'!I165="","",SUBSTITUTE('Raw Data'!I165," ",":",1))</f>
        <v>355:00</v>
      </c>
      <c r="J165" s="12">
        <f>IF('Raw Data'!J165="","",IF(LEN(K165)&gt;6,SQRT('Raw Data'!J165^2+N165^2),'Raw Data'!J165))</f>
        <v>5.6</v>
      </c>
      <c r="K165" s="7" t="str">
        <f>IF('Raw Data'!K165="","",IF(LEN('Raw Data'!K165)&lt;7,SUBSTITUTE('Raw Data'!K165," ",":",1),'Raw Data'!K165))</f>
        <v>30:00</v>
      </c>
      <c r="L165" t="str">
        <f>IF('Raw Data'!L165="","",'Raw Data'!L165)</f>
        <v/>
      </c>
      <c r="M165">
        <f>IF('Raw Data'!M165="","",'Raw Data'!M165)</f>
        <v>4.9000000000000004</v>
      </c>
      <c r="N165">
        <f>IF('Raw Data'!N165="","",IF('Raw Data'!N165="-",0,'Raw Data'!N165))</f>
        <v>2.8</v>
      </c>
      <c r="O165">
        <f>IF('Raw Data'!O165="","",'Raw Data'!O165)</f>
        <v>305.10000000000002</v>
      </c>
      <c r="P165" t="str">
        <f>IF('Raw Data'!P165="","",'Raw Data'!P165)</f>
        <v/>
      </c>
      <c r="R165" s="3" t="str">
        <f t="shared" si="66"/>
        <v>-</v>
      </c>
      <c r="S165" s="3">
        <f t="shared" si="67"/>
        <v>175</v>
      </c>
      <c r="T165" s="3">
        <f t="shared" si="68"/>
        <v>355</v>
      </c>
      <c r="U165" s="3">
        <f t="shared" si="69"/>
        <v>30</v>
      </c>
      <c r="W165" s="4">
        <f t="shared" si="70"/>
        <v>4.8497422611928567</v>
      </c>
      <c r="X165" s="4">
        <f t="shared" si="71"/>
        <v>2.7999999999999994</v>
      </c>
      <c r="Y165" s="3">
        <f t="shared" si="72"/>
        <v>355</v>
      </c>
    </row>
    <row r="166" spans="1:25" x14ac:dyDescent="0.25">
      <c r="A166" t="str">
        <f>IF('Raw Data'!A166="","",'Raw Data'!A166)</f>
        <v>DG</v>
      </c>
      <c r="B166" t="str">
        <f>IF('Raw Data'!B166="","",'Raw Data'!B166)</f>
        <v>DF</v>
      </c>
      <c r="C166">
        <f>IF('Raw Data'!C166="","",'Raw Data'!C166)</f>
        <v>10</v>
      </c>
      <c r="D166">
        <f>IF('Raw Data'!D166="","",'Raw Data'!D166)</f>
        <v>5</v>
      </c>
      <c r="E166">
        <f>IF('Raw Data'!E166="","",'Raw Data'!E166)</f>
        <v>2</v>
      </c>
      <c r="F166">
        <f>IF('Raw Data'!F166="","",'Raw Data'!F166)</f>
        <v>1</v>
      </c>
      <c r="G166" s="7" t="str">
        <f>IF('Raw Data'!G166="","",SUBSTITUTE('Raw Data'!G166," ",":",1))</f>
        <v>317:00</v>
      </c>
      <c r="H166" s="7" t="str">
        <f>IF('Raw Data'!H166="","",SUBSTITUTE('Raw Data'!H166," ",":",1))</f>
        <v>-</v>
      </c>
      <c r="I166" s="7" t="str">
        <f>IF('Raw Data'!I166="","",SUBSTITUTE('Raw Data'!I166," ",":",1))</f>
        <v>317:00</v>
      </c>
      <c r="J166" s="12">
        <f>IF('Raw Data'!J166="","",IF(LEN(K166)&gt;6,SQRT('Raw Data'!J166^2+N166^2),'Raw Data'!J166))</f>
        <v>8.6999999999999993</v>
      </c>
      <c r="K166" s="7" t="str">
        <f>IF('Raw Data'!K166="","",IF(LEN('Raw Data'!K166)&lt;7,SUBSTITUTE('Raw Data'!K166," ",":",1),'Raw Data'!K166))</f>
        <v>2:00</v>
      </c>
      <c r="L166" t="str">
        <f>IF('Raw Data'!L166="","",'Raw Data'!L166)</f>
        <v/>
      </c>
      <c r="M166">
        <f>IF('Raw Data'!M166="","",'Raw Data'!M166)</f>
        <v>8.6999999999999993</v>
      </c>
      <c r="N166">
        <f>IF('Raw Data'!N166="","",IF('Raw Data'!N166="-",0,'Raw Data'!N166))</f>
        <v>0.3</v>
      </c>
      <c r="O166">
        <f>IF('Raw Data'!O166="","",'Raw Data'!O166)</f>
        <v>307.89999999999998</v>
      </c>
      <c r="P166" t="str">
        <f>IF('Raw Data'!P166="","",'Raw Data'!P166)</f>
        <v/>
      </c>
      <c r="R166" s="3">
        <f t="shared" si="66"/>
        <v>317</v>
      </c>
      <c r="S166" s="3" t="str">
        <f t="shared" si="67"/>
        <v>-</v>
      </c>
      <c r="T166" s="3">
        <f t="shared" si="68"/>
        <v>317</v>
      </c>
      <c r="U166" s="3">
        <f t="shared" si="69"/>
        <v>2</v>
      </c>
      <c r="W166" s="4">
        <f t="shared" si="70"/>
        <v>8.6947001950661331</v>
      </c>
      <c r="X166" s="4">
        <f t="shared" si="71"/>
        <v>0.30362562131175841</v>
      </c>
      <c r="Y166" s="3">
        <f t="shared" si="72"/>
        <v>317</v>
      </c>
    </row>
    <row r="167" spans="1:25" x14ac:dyDescent="0.25">
      <c r="A167" t="str">
        <f>IF('Raw Data'!A167="","",'Raw Data'!A167)</f>
        <v>DF</v>
      </c>
      <c r="B167" t="str">
        <f>IF('Raw Data'!B167="","",'Raw Data'!B167)</f>
        <v>DE</v>
      </c>
      <c r="C167">
        <f>IF('Raw Data'!C167="","",'Raw Data'!C167)</f>
        <v>15</v>
      </c>
      <c r="D167">
        <f>IF('Raw Data'!D167="","",'Raw Data'!D167)</f>
        <v>4</v>
      </c>
      <c r="E167">
        <f>IF('Raw Data'!E167="","",'Raw Data'!E167)</f>
        <v>2</v>
      </c>
      <c r="F167">
        <f>IF('Raw Data'!F167="","",'Raw Data'!F167)</f>
        <v>1</v>
      </c>
      <c r="G167" s="7" t="str">
        <f>IF('Raw Data'!G167="","",SUBSTITUTE('Raw Data'!G167," ",":",1))</f>
        <v>-</v>
      </c>
      <c r="H167" s="7" t="str">
        <f>IF('Raw Data'!H167="","",SUBSTITUTE('Raw Data'!H167," ",":",1))</f>
        <v>087:00</v>
      </c>
      <c r="I167" s="7" t="str">
        <f>IF('Raw Data'!I167="","",SUBSTITUTE('Raw Data'!I167," ",":",1))</f>
        <v>267:00</v>
      </c>
      <c r="J167" s="12">
        <f>IF('Raw Data'!J167="","",IF(LEN(K167)&gt;6,SQRT('Raw Data'!J167^2+N167^2),'Raw Data'!J167))</f>
        <v>3.1</v>
      </c>
      <c r="K167" s="7" t="str">
        <f>IF('Raw Data'!K167="","",IF(LEN('Raw Data'!K167)&lt;7,SUBSTITUTE('Raw Data'!K167," ",":",1),'Raw Data'!K167))</f>
        <v>21:00</v>
      </c>
      <c r="L167" t="str">
        <f>IF('Raw Data'!L167="","",'Raw Data'!L167)</f>
        <v/>
      </c>
      <c r="M167">
        <f>IF('Raw Data'!M167="","",'Raw Data'!M167)</f>
        <v>2.9</v>
      </c>
      <c r="N167">
        <f>IF('Raw Data'!N167="","",IF('Raw Data'!N167="-",0,'Raw Data'!N167))</f>
        <v>0.7</v>
      </c>
      <c r="O167">
        <f>IF('Raw Data'!O167="","",'Raw Data'!O167)</f>
        <v>308.2</v>
      </c>
      <c r="P167" t="str">
        <f>IF('Raw Data'!P167="","",'Raw Data'!P167)</f>
        <v/>
      </c>
      <c r="R167" s="3" t="str">
        <f t="shared" si="66"/>
        <v>-</v>
      </c>
      <c r="S167" s="3">
        <f t="shared" si="67"/>
        <v>87</v>
      </c>
      <c r="T167" s="3">
        <f t="shared" si="68"/>
        <v>267</v>
      </c>
      <c r="U167" s="3">
        <f t="shared" si="69"/>
        <v>21</v>
      </c>
      <c r="W167" s="4">
        <f t="shared" si="70"/>
        <v>2.8940993221413254</v>
      </c>
      <c r="X167" s="4">
        <f t="shared" si="71"/>
        <v>1.1109406435904308</v>
      </c>
      <c r="Y167" s="3">
        <f t="shared" si="72"/>
        <v>267</v>
      </c>
    </row>
    <row r="168" spans="1:25" x14ac:dyDescent="0.25">
      <c r="A168" t="str">
        <f>IF('Raw Data'!A168="","",'Raw Data'!A168)</f>
        <v>DE</v>
      </c>
      <c r="B168" t="str">
        <f>IF('Raw Data'!B168="","",'Raw Data'!B168)</f>
        <v>DD</v>
      </c>
      <c r="C168">
        <f>IF('Raw Data'!C168="","",'Raw Data'!C168)</f>
        <v>15</v>
      </c>
      <c r="D168">
        <f>IF('Raw Data'!D168="","",'Raw Data'!D168)</f>
        <v>6</v>
      </c>
      <c r="E168">
        <f>IF('Raw Data'!E168="","",'Raw Data'!E168)</f>
        <v>1</v>
      </c>
      <c r="F168">
        <f>IF('Raw Data'!F168="","",'Raw Data'!F168)</f>
        <v>2</v>
      </c>
      <c r="G168" s="7" t="str">
        <f>IF('Raw Data'!G168="","",SUBSTITUTE('Raw Data'!G168," ",":",1))</f>
        <v>299:00</v>
      </c>
      <c r="H168" s="7" t="str">
        <f>IF('Raw Data'!H168="","",SUBSTITUTE('Raw Data'!H168," ",":",1))</f>
        <v>-</v>
      </c>
      <c r="I168" s="7" t="str">
        <f>IF('Raw Data'!I168="","",SUBSTITUTE('Raw Data'!I168," ",":",1))</f>
        <v>299:00</v>
      </c>
      <c r="J168" s="12">
        <f>IF('Raw Data'!J168="","",IF(LEN(K168)&gt;6,SQRT('Raw Data'!J168^2+N168^2),'Raw Data'!J168))</f>
        <v>13.4</v>
      </c>
      <c r="K168" s="7" t="str">
        <f>IF('Raw Data'!K168="","",IF(LEN('Raw Data'!K168)&lt;7,SUBSTITUTE('Raw Data'!K168," ",":",1),'Raw Data'!K168))</f>
        <v>-15:00</v>
      </c>
      <c r="L168" t="str">
        <f>IF('Raw Data'!L168="","",'Raw Data'!L168)</f>
        <v/>
      </c>
      <c r="M168">
        <f>IF('Raw Data'!M168="","",'Raw Data'!M168)</f>
        <v>12.9</v>
      </c>
      <c r="N168">
        <f>IF('Raw Data'!N168="","",IF('Raw Data'!N168="-",0,'Raw Data'!N168))</f>
        <v>-3.5</v>
      </c>
      <c r="O168">
        <f>IF('Raw Data'!O168="","",'Raw Data'!O168)</f>
        <v>308.89999999999998</v>
      </c>
      <c r="P168" t="str">
        <f>IF('Raw Data'!P168="","",'Raw Data'!P168)</f>
        <v/>
      </c>
      <c r="R168" s="3">
        <f t="shared" si="66"/>
        <v>299</v>
      </c>
      <c r="S168" s="3" t="str">
        <f t="shared" si="67"/>
        <v>-</v>
      </c>
      <c r="T168" s="3">
        <f t="shared" si="68"/>
        <v>299</v>
      </c>
      <c r="U168" s="3">
        <f t="shared" si="69"/>
        <v>-15</v>
      </c>
      <c r="W168" s="4">
        <f t="shared" si="70"/>
        <v>12.943406072273516</v>
      </c>
      <c r="X168" s="4">
        <f t="shared" si="71"/>
        <v>-3.4681752043737779</v>
      </c>
      <c r="Y168" s="3">
        <f t="shared" si="72"/>
        <v>299</v>
      </c>
    </row>
    <row r="169" spans="1:25" x14ac:dyDescent="0.25">
      <c r="A169" t="str">
        <f>IF('Raw Data'!A169="","",'Raw Data'!A169)</f>
        <v>DD</v>
      </c>
      <c r="B169" t="str">
        <f>IF('Raw Data'!B169="","",'Raw Data'!B169)</f>
        <v>DC</v>
      </c>
      <c r="C169">
        <f>IF('Raw Data'!C169="","",'Raw Data'!C169)</f>
        <v>16</v>
      </c>
      <c r="D169">
        <f>IF('Raw Data'!D169="","",'Raw Data'!D169)</f>
        <v>2</v>
      </c>
      <c r="E169" t="str">
        <f>IF('Raw Data'!E169="","",'Raw Data'!E169)</f>
        <v>-</v>
      </c>
      <c r="F169">
        <f>IF('Raw Data'!F169="","",'Raw Data'!F169)</f>
        <v>2</v>
      </c>
      <c r="G169" s="7" t="str">
        <f>IF('Raw Data'!G169="","",SUBSTITUTE('Raw Data'!G169," ",":",1))</f>
        <v>-</v>
      </c>
      <c r="H169" s="7" t="str">
        <f>IF('Raw Data'!H169="","",SUBSTITUTE('Raw Data'!H169," ",":",1))</f>
        <v>145:30</v>
      </c>
      <c r="I169" s="7" t="str">
        <f>IF('Raw Data'!I169="","",SUBSTITUTE('Raw Data'!I169," ",":",1))</f>
        <v>325:30</v>
      </c>
      <c r="J169" s="12">
        <f>IF('Raw Data'!J169="","",IF(LEN(K169)&gt;6,SQRT('Raw Data'!J169^2+N169^2),'Raw Data'!J169))</f>
        <v>19.2</v>
      </c>
      <c r="K169" s="7" t="str">
        <f>IF('Raw Data'!K169="","",IF(LEN('Raw Data'!K169)&lt;7,SUBSTITUTE('Raw Data'!K169," ",":",1),'Raw Data'!K169))</f>
        <v>-2:30</v>
      </c>
      <c r="L169" t="str">
        <f>IF('Raw Data'!L169="","",'Raw Data'!L169)</f>
        <v/>
      </c>
      <c r="M169">
        <f>IF('Raw Data'!M169="","",'Raw Data'!M169)</f>
        <v>19.100000000000001</v>
      </c>
      <c r="N169">
        <f>IF('Raw Data'!N169="","",IF('Raw Data'!N169="-",0,'Raw Data'!N169))</f>
        <v>-0.8</v>
      </c>
      <c r="O169">
        <f>IF('Raw Data'!O169="","",'Raw Data'!O169)</f>
        <v>305.39999999999998</v>
      </c>
      <c r="P169" t="str">
        <f>IF('Raw Data'!P169="","",'Raw Data'!P169)</f>
        <v/>
      </c>
      <c r="R169" s="3" t="str">
        <f t="shared" si="66"/>
        <v>-</v>
      </c>
      <c r="S169" s="3">
        <f t="shared" si="67"/>
        <v>145.5</v>
      </c>
      <c r="T169" s="3">
        <f t="shared" si="68"/>
        <v>325.5</v>
      </c>
      <c r="U169" s="3">
        <f t="shared" si="69"/>
        <v>-2.5</v>
      </c>
      <c r="W169" s="4">
        <f t="shared" si="70"/>
        <v>19.18172585437167</v>
      </c>
      <c r="X169" s="4">
        <f t="shared" si="71"/>
        <v>-0.83749223741445122</v>
      </c>
      <c r="Y169" s="3">
        <f t="shared" si="72"/>
        <v>325.5</v>
      </c>
    </row>
    <row r="170" spans="1:25" x14ac:dyDescent="0.25">
      <c r="A170" t="str">
        <f>IF('Raw Data'!A170="","",'Raw Data'!A170)</f>
        <v>DC</v>
      </c>
      <c r="B170" t="str">
        <f>IF('Raw Data'!B170="","",'Raw Data'!B170)</f>
        <v>DB</v>
      </c>
      <c r="C170">
        <f>IF('Raw Data'!C170="","",'Raw Data'!C170)</f>
        <v>6</v>
      </c>
      <c r="D170">
        <f>IF('Raw Data'!D170="","",'Raw Data'!D170)</f>
        <v>5</v>
      </c>
      <c r="E170">
        <f>IF('Raw Data'!E170="","",'Raw Data'!E170)</f>
        <v>4</v>
      </c>
      <c r="F170">
        <f>IF('Raw Data'!F170="","",'Raw Data'!F170)</f>
        <v>1</v>
      </c>
      <c r="G170" s="7" t="str">
        <f>IF('Raw Data'!G170="","",SUBSTITUTE('Raw Data'!G170," ",":",1))</f>
        <v>319:30</v>
      </c>
      <c r="H170" s="7" t="str">
        <f>IF('Raw Data'!H170="","",SUBSTITUTE('Raw Data'!H170," ",":",1))</f>
        <v>-</v>
      </c>
      <c r="I170" s="7" t="str">
        <f>IF('Raw Data'!I170="","",SUBSTITUTE('Raw Data'!I170," ",":",1))</f>
        <v>319:30</v>
      </c>
      <c r="J170" s="12">
        <f>IF('Raw Data'!J170="","",IF(LEN(K170)&gt;6,SQRT('Raw Data'!J170^2+N170^2),'Raw Data'!J170))</f>
        <v>20.100000000000001</v>
      </c>
      <c r="K170" s="7" t="str">
        <f>IF('Raw Data'!K170="","",IF(LEN('Raw Data'!K170)&lt;7,SUBSTITUTE('Raw Data'!K170," ",":",1),'Raw Data'!K170))</f>
        <v>-13:00</v>
      </c>
      <c r="L170" t="str">
        <f>IF('Raw Data'!L170="","",'Raw Data'!L170)</f>
        <v/>
      </c>
      <c r="M170">
        <f>IF('Raw Data'!M170="","",'Raw Data'!M170)</f>
        <v>19.600000000000001</v>
      </c>
      <c r="N170">
        <f>IF('Raw Data'!N170="","",IF('Raw Data'!N170="-",0,'Raw Data'!N170))</f>
        <v>-4.5</v>
      </c>
      <c r="O170">
        <f>IF('Raw Data'!O170="","",'Raw Data'!O170)</f>
        <v>304.60000000000002</v>
      </c>
      <c r="P170" t="str">
        <f>IF('Raw Data'!P170="","",'Raw Data'!P170)</f>
        <v/>
      </c>
      <c r="R170" s="3">
        <f t="shared" si="66"/>
        <v>319.5</v>
      </c>
      <c r="S170" s="3" t="str">
        <f t="shared" si="67"/>
        <v>-</v>
      </c>
      <c r="T170" s="3">
        <f t="shared" si="68"/>
        <v>319.5</v>
      </c>
      <c r="U170" s="3">
        <f t="shared" si="69"/>
        <v>-13</v>
      </c>
      <c r="W170" s="4">
        <f t="shared" si="70"/>
        <v>19.584838302183229</v>
      </c>
      <c r="X170" s="4">
        <f t="shared" si="71"/>
        <v>-4.5215161923116867</v>
      </c>
      <c r="Y170" s="3">
        <f t="shared" si="72"/>
        <v>319.5</v>
      </c>
    </row>
    <row r="171" spans="1:25" x14ac:dyDescent="0.25">
      <c r="A171" t="str">
        <f>IF('Raw Data'!A171="","",'Raw Data'!A171)</f>
        <v>DB</v>
      </c>
      <c r="B171" t="str">
        <f>IF('Raw Data'!B171="","",'Raw Data'!B171)</f>
        <v>DA</v>
      </c>
      <c r="C171">
        <f>IF('Raw Data'!C171="","",'Raw Data'!C171)</f>
        <v>12</v>
      </c>
      <c r="D171">
        <f>IF('Raw Data'!D171="","",'Raw Data'!D171)</f>
        <v>3</v>
      </c>
      <c r="E171">
        <f>IF('Raw Data'!E171="","",'Raw Data'!E171)</f>
        <v>2</v>
      </c>
      <c r="F171" t="str">
        <f>IF('Raw Data'!F171="","",'Raw Data'!F171)</f>
        <v>-</v>
      </c>
      <c r="G171" s="7" t="str">
        <f>IF('Raw Data'!G171="","",SUBSTITUTE('Raw Data'!G171," ",":",1))</f>
        <v>-</v>
      </c>
      <c r="H171" s="7" t="str">
        <f>IF('Raw Data'!H171="","",SUBSTITUTE('Raw Data'!H171," ",":",1))</f>
        <v>089:00</v>
      </c>
      <c r="I171" s="7" t="str">
        <f>IF('Raw Data'!I171="","",SUBSTITUTE('Raw Data'!I171," ",":",1))</f>
        <v>269:00</v>
      </c>
      <c r="J171" s="12">
        <f>IF('Raw Data'!J171="","",IF(LEN(K171)&gt;6,SQRT('Raw Data'!J171^2+N171^2),'Raw Data'!J171))</f>
        <v>23.2</v>
      </c>
      <c r="K171" s="7" t="str">
        <f>IF('Raw Data'!K171="","",IF(LEN('Raw Data'!K171)&lt;7,SUBSTITUTE('Raw Data'!K171," ",":",1),'Raw Data'!K171))</f>
        <v>-15:00</v>
      </c>
      <c r="L171" t="str">
        <f>IF('Raw Data'!L171="","",'Raw Data'!L171)</f>
        <v/>
      </c>
      <c r="M171">
        <f>IF('Raw Data'!M171="","",'Raw Data'!M171)</f>
        <v>22.4</v>
      </c>
      <c r="N171">
        <f>IF('Raw Data'!N171="","",IF('Raw Data'!N171="-",0,'Raw Data'!N171))</f>
        <v>-6</v>
      </c>
      <c r="O171">
        <f>IF('Raw Data'!O171="","",'Raw Data'!O171)</f>
        <v>300.10000000000002</v>
      </c>
      <c r="P171" t="str">
        <f>IF('Raw Data'!P171="","",'Raw Data'!P171)</f>
        <v>Entrance to Old Grotto.</v>
      </c>
      <c r="R171" s="3" t="str">
        <f t="shared" si="66"/>
        <v>-</v>
      </c>
      <c r="S171" s="3">
        <f t="shared" si="67"/>
        <v>89</v>
      </c>
      <c r="T171" s="3">
        <f t="shared" si="68"/>
        <v>269</v>
      </c>
      <c r="U171" s="3">
        <f t="shared" si="69"/>
        <v>-15</v>
      </c>
      <c r="W171" s="4">
        <f t="shared" si="70"/>
        <v>22.409479169906383</v>
      </c>
      <c r="X171" s="4">
        <f t="shared" si="71"/>
        <v>-6.0046018463784812</v>
      </c>
      <c r="Y171" s="3">
        <f t="shared" si="72"/>
        <v>269</v>
      </c>
    </row>
    <row r="172" spans="1:25" x14ac:dyDescent="0.25">
      <c r="A172" t="str">
        <f>IF('Raw Data'!A172="","",'Raw Data'!A172)</f>
        <v>DA</v>
      </c>
      <c r="B172" t="str">
        <f>IF('Raw Data'!B172="","",'Raw Data'!B172)</f>
        <v>CZ</v>
      </c>
      <c r="C172">
        <f>IF('Raw Data'!C172="","",'Raw Data'!C172)</f>
        <v>10</v>
      </c>
      <c r="D172">
        <f>IF('Raw Data'!D172="","",'Raw Data'!D172)</f>
        <v>2</v>
      </c>
      <c r="E172" t="str">
        <f>IF('Raw Data'!E172="","",'Raw Data'!E172)</f>
        <v>/</v>
      </c>
      <c r="F172">
        <f>IF('Raw Data'!F172="","",'Raw Data'!F172)</f>
        <v>7</v>
      </c>
      <c r="G172" s="7" t="str">
        <f>IF('Raw Data'!G172="","",SUBSTITUTE('Raw Data'!G172," ",":",1))</f>
        <v>202:20</v>
      </c>
      <c r="H172" s="7" t="str">
        <f>IF('Raw Data'!H172="","",SUBSTITUTE('Raw Data'!H172," ",":",1))</f>
        <v>-</v>
      </c>
      <c r="I172" s="7" t="str">
        <f>IF('Raw Data'!I172="","",SUBSTITUTE('Raw Data'!I172," ",":",1))</f>
        <v>202:20</v>
      </c>
      <c r="J172" s="12">
        <f>IF('Raw Data'!J172="","",IF(LEN(K172)&gt;6,SQRT('Raw Data'!J172^2+N172^2),'Raw Data'!J172))</f>
        <v>27.9</v>
      </c>
      <c r="K172" s="7" t="str">
        <f>IF('Raw Data'!K172="","",IF(LEN('Raw Data'!K172)&lt;7,SUBSTITUTE('Raw Data'!K172," ",":",1),'Raw Data'!K172))</f>
        <v>-41:30</v>
      </c>
      <c r="L172" t="str">
        <f>IF('Raw Data'!L172="","",'Raw Data'!L172)</f>
        <v/>
      </c>
      <c r="M172">
        <f>IF('Raw Data'!M172="","",'Raw Data'!M172)</f>
        <v>20.9</v>
      </c>
      <c r="N172">
        <f>IF('Raw Data'!N172="","",IF('Raw Data'!N172="-",0,'Raw Data'!N172))</f>
        <v>-18.5</v>
      </c>
      <c r="O172">
        <f>IF('Raw Data'!O172="","",'Raw Data'!O172)</f>
        <v>294.10000000000002</v>
      </c>
      <c r="P172" t="str">
        <f>IF('Raw Data'!P172="","",'Raw Data'!P172)</f>
        <v/>
      </c>
      <c r="R172" s="3">
        <f t="shared" si="66"/>
        <v>202.33333333333334</v>
      </c>
      <c r="S172" s="3" t="str">
        <f t="shared" si="67"/>
        <v>-</v>
      </c>
      <c r="T172" s="3">
        <f t="shared" si="68"/>
        <v>202.33333333333334</v>
      </c>
      <c r="U172" s="3">
        <f t="shared" si="69"/>
        <v>-41.5</v>
      </c>
      <c r="W172" s="4">
        <f t="shared" si="70"/>
        <v>20.89586461001316</v>
      </c>
      <c r="X172" s="4">
        <f t="shared" si="71"/>
        <v>-18.487099345219075</v>
      </c>
      <c r="Y172" s="3">
        <f t="shared" si="72"/>
        <v>202.33333333333334</v>
      </c>
    </row>
    <row r="173" spans="1:25" x14ac:dyDescent="0.25">
      <c r="A173" t="str">
        <f>IF('Raw Data'!A173="","",'Raw Data'!A173)</f>
        <v>CZ</v>
      </c>
      <c r="B173" t="str">
        <f>IF('Raw Data'!B173="","",'Raw Data'!B173)</f>
        <v>CY</v>
      </c>
      <c r="C173">
        <f>IF('Raw Data'!C173="","",'Raw Data'!C173)</f>
        <v>25</v>
      </c>
      <c r="D173">
        <f>IF('Raw Data'!D173="","",'Raw Data'!D173)</f>
        <v>4</v>
      </c>
      <c r="E173">
        <f>IF('Raw Data'!E173="","",'Raw Data'!E173)</f>
        <v>3</v>
      </c>
      <c r="F173">
        <f>IF('Raw Data'!F173="","",'Raw Data'!F173)</f>
        <v>2</v>
      </c>
      <c r="G173" s="7" t="str">
        <f>IF('Raw Data'!G173="","",SUBSTITUTE('Raw Data'!G173," ",":",1))</f>
        <v>-</v>
      </c>
      <c r="H173" s="7" t="str">
        <f>IF('Raw Data'!H173="","",SUBSTITUTE('Raw Data'!H173," ",":",1))</f>
        <v>069:00</v>
      </c>
      <c r="I173" s="7" t="str">
        <f>IF('Raw Data'!I173="","",SUBSTITUTE('Raw Data'!I173," ",":",1))</f>
        <v>249:00</v>
      </c>
      <c r="J173" s="12">
        <f>IF('Raw Data'!J173="","",IF(LEN(K173)&gt;6,SQRT('Raw Data'!J173^2+N173^2),'Raw Data'!J173))</f>
        <v>22.6</v>
      </c>
      <c r="K173" s="7" t="str">
        <f>IF('Raw Data'!K173="","",IF(LEN('Raw Data'!K173)&lt;7,SUBSTITUTE('Raw Data'!K173," ",":",1),'Raw Data'!K173))</f>
        <v>-17:00</v>
      </c>
      <c r="L173" t="str">
        <f>IF('Raw Data'!L173="","",'Raw Data'!L173)</f>
        <v/>
      </c>
      <c r="M173">
        <f>IF('Raw Data'!M173="","",'Raw Data'!M173)</f>
        <v>21.6</v>
      </c>
      <c r="N173">
        <f>IF('Raw Data'!N173="","",IF('Raw Data'!N173="-",0,'Raw Data'!N173))</f>
        <v>-6.6</v>
      </c>
      <c r="O173">
        <f>IF('Raw Data'!O173="","",'Raw Data'!O173)</f>
        <v>275.60000000000002</v>
      </c>
      <c r="P173" t="str">
        <f>IF('Raw Data'!P173="","",'Raw Data'!P173)</f>
        <v/>
      </c>
      <c r="R173" s="3" t="str">
        <f t="shared" si="66"/>
        <v>-</v>
      </c>
      <c r="S173" s="3">
        <f t="shared" si="67"/>
        <v>69</v>
      </c>
      <c r="T173" s="3">
        <f t="shared" si="68"/>
        <v>249</v>
      </c>
      <c r="U173" s="3">
        <f t="shared" si="69"/>
        <v>-17</v>
      </c>
      <c r="W173" s="4">
        <f t="shared" si="70"/>
        <v>21.612487484764603</v>
      </c>
      <c r="X173" s="4">
        <f t="shared" si="71"/>
        <v>-6.6076005267338518</v>
      </c>
      <c r="Y173" s="3">
        <f t="shared" si="72"/>
        <v>249</v>
      </c>
    </row>
    <row r="174" spans="1:25" x14ac:dyDescent="0.25">
      <c r="A174" t="str">
        <f>IF('Raw Data'!A174="","",'Raw Data'!A174)</f>
        <v>CY</v>
      </c>
      <c r="B174" t="str">
        <f>IF('Raw Data'!B174="","",'Raw Data'!B174)</f>
        <v>CX</v>
      </c>
      <c r="C174">
        <f>IF('Raw Data'!C174="","",'Raw Data'!C174)</f>
        <v>25</v>
      </c>
      <c r="D174">
        <f>IF('Raw Data'!D174="","",'Raw Data'!D174)</f>
        <v>2</v>
      </c>
      <c r="E174">
        <f>IF('Raw Data'!E174="","",'Raw Data'!E174)</f>
        <v>1</v>
      </c>
      <c r="F174">
        <f>IF('Raw Data'!F174="","",'Raw Data'!F174)</f>
        <v>2</v>
      </c>
      <c r="G174" s="7" t="str">
        <f>IF('Raw Data'!G174="","",SUBSTITUTE('Raw Data'!G174," ",":",1))</f>
        <v>292:00</v>
      </c>
      <c r="H174" s="7" t="str">
        <f>IF('Raw Data'!H174="","",SUBSTITUTE('Raw Data'!H174," ",":",1))</f>
        <v>-</v>
      </c>
      <c r="I174" s="7" t="str">
        <f>IF('Raw Data'!I174="","",SUBSTITUTE('Raw Data'!I174," ",":",1))</f>
        <v>292:00</v>
      </c>
      <c r="J174" s="12">
        <f>IF('Raw Data'!J174="","",IF(LEN(K174)&gt;6,SQRT('Raw Data'!J174^2+N174^2),'Raw Data'!J174))</f>
        <v>27.4</v>
      </c>
      <c r="K174" s="7" t="str">
        <f>IF('Raw Data'!K174="","",IF(LEN('Raw Data'!K174)&lt;7,SUBSTITUTE('Raw Data'!K174," ",":",1),'Raw Data'!K174))</f>
        <v>-6:40</v>
      </c>
      <c r="L174" t="str">
        <f>IF('Raw Data'!L174="","",'Raw Data'!L174)</f>
        <v/>
      </c>
      <c r="M174">
        <f>IF('Raw Data'!M174="","",'Raw Data'!M174)</f>
        <v>27.2</v>
      </c>
      <c r="N174">
        <f>IF('Raw Data'!N174="","",IF('Raw Data'!N174="-",0,'Raw Data'!N174))</f>
        <v>-3.2</v>
      </c>
      <c r="O174">
        <f>IF('Raw Data'!O174="","",'Raw Data'!O174)</f>
        <v>269</v>
      </c>
      <c r="P174" t="str">
        <f>IF('Raw Data'!P174="","",'Raw Data'!P174)</f>
        <v/>
      </c>
      <c r="R174" s="3">
        <f t="shared" si="66"/>
        <v>292</v>
      </c>
      <c r="S174" s="3" t="str">
        <f t="shared" si="67"/>
        <v>-</v>
      </c>
      <c r="T174" s="3">
        <f t="shared" si="68"/>
        <v>292</v>
      </c>
      <c r="U174" s="3">
        <f t="shared" si="69"/>
        <v>-6.6666666599999997</v>
      </c>
      <c r="W174" s="4">
        <f t="shared" si="70"/>
        <v>27.214731002499356</v>
      </c>
      <c r="X174" s="4">
        <f t="shared" si="71"/>
        <v>-3.18094584386473</v>
      </c>
      <c r="Y174" s="3">
        <f t="shared" si="72"/>
        <v>292</v>
      </c>
    </row>
    <row r="175" spans="1:25" x14ac:dyDescent="0.25">
      <c r="A175" t="str">
        <f>IF('Raw Data'!A175="","",'Raw Data'!A175)</f>
        <v>CX</v>
      </c>
      <c r="B175" t="str">
        <f>IF('Raw Data'!B175="","",'Raw Data'!B175)</f>
        <v>CW</v>
      </c>
      <c r="C175">
        <f>IF('Raw Data'!C175="","",'Raw Data'!C175)</f>
        <v>25</v>
      </c>
      <c r="D175" t="str">
        <f>IF('Raw Data'!D175="","",'Raw Data'!D175)</f>
        <v>-</v>
      </c>
      <c r="E175">
        <f>IF('Raw Data'!E175="","",'Raw Data'!E175)</f>
        <v>4</v>
      </c>
      <c r="F175">
        <f>IF('Raw Data'!F175="","",'Raw Data'!F175)</f>
        <v>2</v>
      </c>
      <c r="G175" s="7" t="str">
        <f>IF('Raw Data'!G175="","",SUBSTITUTE('Raw Data'!G175," ",":",1))</f>
        <v>-</v>
      </c>
      <c r="H175" s="7" t="str">
        <f>IF('Raw Data'!H175="","",SUBSTITUTE('Raw Data'!H175," ",":",1))</f>
        <v>030:00</v>
      </c>
      <c r="I175" s="7" t="str">
        <f>IF('Raw Data'!I175="","",SUBSTITUTE('Raw Data'!I175," ",":",1))</f>
        <v>210:00</v>
      </c>
      <c r="J175" s="12">
        <f>IF('Raw Data'!J175="","",IF(LEN(K175)&gt;6,SQRT('Raw Data'!J175^2+N175^2),'Raw Data'!J175))</f>
        <v>22.2</v>
      </c>
      <c r="K175" s="7" t="str">
        <f>IF('Raw Data'!K175="","",IF(LEN('Raw Data'!K175)&lt;7,SUBSTITUTE('Raw Data'!K175," ",":",1),'Raw Data'!K175))</f>
        <v>-1:40</v>
      </c>
      <c r="L175" t="str">
        <f>IF('Raw Data'!L175="","",'Raw Data'!L175)</f>
        <v/>
      </c>
      <c r="M175">
        <f>IF('Raw Data'!M175="","",'Raw Data'!M175)</f>
        <v>22.1</v>
      </c>
      <c r="N175">
        <f>IF('Raw Data'!N175="","",IF('Raw Data'!N175="-",0,'Raw Data'!N175))</f>
        <v>-0.6</v>
      </c>
      <c r="O175">
        <f>IF('Raw Data'!O175="","",'Raw Data'!O175)</f>
        <v>265.8</v>
      </c>
      <c r="P175" t="str">
        <f>IF('Raw Data'!P175="","",'Raw Data'!P175)</f>
        <v/>
      </c>
      <c r="R175" s="3" t="str">
        <f t="shared" si="66"/>
        <v>-</v>
      </c>
      <c r="S175" s="3">
        <f t="shared" si="67"/>
        <v>30</v>
      </c>
      <c r="T175" s="3">
        <f t="shared" si="68"/>
        <v>210</v>
      </c>
      <c r="U175" s="3">
        <f t="shared" si="69"/>
        <v>-1.66666666</v>
      </c>
      <c r="W175" s="4">
        <f t="shared" si="70"/>
        <v>22.190608291899981</v>
      </c>
      <c r="X175" s="4">
        <f t="shared" si="71"/>
        <v>-0.64568075351507859</v>
      </c>
      <c r="Y175" s="3">
        <f t="shared" si="72"/>
        <v>210</v>
      </c>
    </row>
    <row r="176" spans="1:25" x14ac:dyDescent="0.25">
      <c r="A176" t="str">
        <f>IF('Raw Data'!A176="","",'Raw Data'!A176)</f>
        <v>CW</v>
      </c>
      <c r="B176" t="str">
        <f>IF('Raw Data'!B176="","",'Raw Data'!B176)</f>
        <v>CV</v>
      </c>
      <c r="C176">
        <f>IF('Raw Data'!C176="","",'Raw Data'!C176)</f>
        <v>30</v>
      </c>
      <c r="D176">
        <f>IF('Raw Data'!D176="","",'Raw Data'!D176)</f>
        <v>3</v>
      </c>
      <c r="E176">
        <f>IF('Raw Data'!E176="","",'Raw Data'!E176)</f>
        <v>3</v>
      </c>
      <c r="F176">
        <f>IF('Raw Data'!F176="","",'Raw Data'!F176)</f>
        <v>3</v>
      </c>
      <c r="G176" s="7" t="str">
        <f>IF('Raw Data'!G176="","",SUBSTITUTE('Raw Data'!G176," ",":",1))</f>
        <v>192:00</v>
      </c>
      <c r="H176" s="7" t="str">
        <f>IF('Raw Data'!H176="","",SUBSTITUTE('Raw Data'!H176," ",":",1))</f>
        <v>-</v>
      </c>
      <c r="I176" s="7" t="str">
        <f>IF('Raw Data'!I176="","",SUBSTITUTE('Raw Data'!I176," ",":",1))</f>
        <v>192:00</v>
      </c>
      <c r="J176" s="12">
        <f>IF('Raw Data'!J176="","",IF(LEN(K176)&gt;6,SQRT('Raw Data'!J176^2+N176^2),'Raw Data'!J176))</f>
        <v>16.3</v>
      </c>
      <c r="K176" s="7" t="str">
        <f>IF('Raw Data'!K176="","",IF(LEN('Raw Data'!K176)&lt;7,SUBSTITUTE('Raw Data'!K176," ",":",1),'Raw Data'!K176))</f>
        <v>6:30</v>
      </c>
      <c r="L176" t="str">
        <f>IF('Raw Data'!L176="","",'Raw Data'!L176)</f>
        <v/>
      </c>
      <c r="M176">
        <f>IF('Raw Data'!M176="","",'Raw Data'!M176)</f>
        <v>16.2</v>
      </c>
      <c r="N176">
        <f>IF('Raw Data'!N176="","",IF('Raw Data'!N176="-",0,'Raw Data'!N176))</f>
        <v>1.8</v>
      </c>
      <c r="O176">
        <f>IF('Raw Data'!O176="","",'Raw Data'!O176)</f>
        <v>265.2</v>
      </c>
      <c r="P176" t="str">
        <f>IF('Raw Data'!P176="","",'Raw Data'!P176)</f>
        <v/>
      </c>
      <c r="R176" s="3">
        <f t="shared" si="66"/>
        <v>192</v>
      </c>
      <c r="S176" s="3" t="str">
        <f t="shared" si="67"/>
        <v>-</v>
      </c>
      <c r="T176" s="3">
        <f t="shared" si="68"/>
        <v>192</v>
      </c>
      <c r="U176" s="3">
        <f t="shared" si="69"/>
        <v>6.5</v>
      </c>
      <c r="W176" s="4">
        <f t="shared" si="70"/>
        <v>16.195221247528377</v>
      </c>
      <c r="X176" s="4">
        <f t="shared" si="71"/>
        <v>1.8452123844168797</v>
      </c>
      <c r="Y176" s="3">
        <f t="shared" si="72"/>
        <v>192</v>
      </c>
    </row>
    <row r="177" spans="1:25" x14ac:dyDescent="0.25">
      <c r="A177" t="str">
        <f>IF('Raw Data'!A177="","",'Raw Data'!A177)</f>
        <v>CV</v>
      </c>
      <c r="B177" t="str">
        <f>IF('Raw Data'!B177="","",'Raw Data'!B177)</f>
        <v>CU</v>
      </c>
      <c r="C177">
        <f>IF('Raw Data'!C177="","",'Raw Data'!C177)</f>
        <v>15</v>
      </c>
      <c r="D177">
        <f>IF('Raw Data'!D177="","",'Raw Data'!D177)</f>
        <v>5</v>
      </c>
      <c r="E177">
        <f>IF('Raw Data'!E177="","",'Raw Data'!E177)</f>
        <v>1</v>
      </c>
      <c r="F177">
        <f>IF('Raw Data'!F177="","",'Raw Data'!F177)</f>
        <v>5</v>
      </c>
      <c r="G177" s="7" t="str">
        <f>IF('Raw Data'!G177="","",SUBSTITUTE('Raw Data'!G177," ",":",1))</f>
        <v>-</v>
      </c>
      <c r="H177" s="7" t="str">
        <f>IF('Raw Data'!H177="","",SUBSTITUTE('Raw Data'!H177," ",":",1))</f>
        <v>073:00</v>
      </c>
      <c r="I177" s="7" t="str">
        <f>IF('Raw Data'!I177="","",SUBSTITUTE('Raw Data'!I177," ",":",1))</f>
        <v>253:00</v>
      </c>
      <c r="J177" s="12">
        <f>IF('Raw Data'!J177="","",IF(LEN(K177)&gt;6,SQRT('Raw Data'!J177^2+N177^2),'Raw Data'!J177))</f>
        <v>13.6</v>
      </c>
      <c r="K177" s="7" t="str">
        <f>IF('Raw Data'!K177="","",IF(LEN('Raw Data'!K177)&lt;7,SUBSTITUTE('Raw Data'!K177," ",":",1),'Raw Data'!K177))</f>
        <v>6:00</v>
      </c>
      <c r="L177" t="str">
        <f>IF('Raw Data'!L177="","",'Raw Data'!L177)</f>
        <v/>
      </c>
      <c r="M177">
        <f>IF('Raw Data'!M177="","",'Raw Data'!M177)</f>
        <v>13.5</v>
      </c>
      <c r="N177">
        <f>IF('Raw Data'!N177="","",IF('Raw Data'!N177="-",0,'Raw Data'!N177))</f>
        <v>1.4</v>
      </c>
      <c r="O177">
        <f>IF('Raw Data'!O177="","",'Raw Data'!O177)</f>
        <v>267</v>
      </c>
      <c r="P177" t="str">
        <f>IF('Raw Data'!P177="","",'Raw Data'!P177)</f>
        <v/>
      </c>
      <c r="R177" s="3" t="str">
        <f t="shared" si="66"/>
        <v>-</v>
      </c>
      <c r="S177" s="3">
        <f t="shared" si="67"/>
        <v>73</v>
      </c>
      <c r="T177" s="3">
        <f t="shared" si="68"/>
        <v>253</v>
      </c>
      <c r="U177" s="3">
        <f t="shared" si="69"/>
        <v>6</v>
      </c>
      <c r="W177" s="4">
        <f t="shared" si="70"/>
        <v>13.525497777008516</v>
      </c>
      <c r="X177" s="4">
        <f t="shared" si="71"/>
        <v>1.4215871004400871</v>
      </c>
      <c r="Y177" s="3">
        <f t="shared" si="72"/>
        <v>253</v>
      </c>
    </row>
    <row r="178" spans="1:25" x14ac:dyDescent="0.25">
      <c r="A178" t="str">
        <f>IF('Raw Data'!A178="","",'Raw Data'!A178)</f>
        <v>CU</v>
      </c>
      <c r="B178" t="str">
        <f>IF('Raw Data'!B178="","",'Raw Data'!B178)</f>
        <v>CT</v>
      </c>
      <c r="C178">
        <f>IF('Raw Data'!C178="","",'Raw Data'!C178)</f>
        <v>8</v>
      </c>
      <c r="D178">
        <f>IF('Raw Data'!D178="","",'Raw Data'!D178)</f>
        <v>10</v>
      </c>
      <c r="E178" t="str">
        <f>IF('Raw Data'!E178="","",'Raw Data'!E178)</f>
        <v>-</v>
      </c>
      <c r="F178">
        <f>IF('Raw Data'!F178="","",'Raw Data'!F178)</f>
        <v>12</v>
      </c>
      <c r="G178" s="7" t="str">
        <f>IF('Raw Data'!G178="","",SUBSTITUTE('Raw Data'!G178," ",":",1))</f>
        <v>259:30</v>
      </c>
      <c r="H178" s="7" t="str">
        <f>IF('Raw Data'!H178="","",SUBSTITUTE('Raw Data'!H178," ",":",1))</f>
        <v>-</v>
      </c>
      <c r="I178" s="7" t="str">
        <f>IF('Raw Data'!I178="","",SUBSTITUTE('Raw Data'!I178," ",":",1))</f>
        <v>259:30</v>
      </c>
      <c r="J178" s="12">
        <f>IF('Raw Data'!J178="","",IF(LEN(K178)&gt;6,SQRT('Raw Data'!J178^2+N178^2),'Raw Data'!J178))</f>
        <v>20.100000000000001</v>
      </c>
      <c r="K178" s="7" t="str">
        <f>IF('Raw Data'!K178="","",IF(LEN('Raw Data'!K178)&lt;7,SUBSTITUTE('Raw Data'!K178," ",":",1),'Raw Data'!K178))</f>
        <v>-28:00</v>
      </c>
      <c r="L178" t="str">
        <f>IF('Raw Data'!L178="","",'Raw Data'!L178)</f>
        <v/>
      </c>
      <c r="M178">
        <f>IF('Raw Data'!M178="","",'Raw Data'!M178)</f>
        <v>17.7</v>
      </c>
      <c r="N178">
        <f>IF('Raw Data'!N178="","",IF('Raw Data'!N178="-",0,'Raw Data'!N178))</f>
        <v>-9.4</v>
      </c>
      <c r="O178">
        <f>IF('Raw Data'!O178="","",'Raw Data'!O178)</f>
        <v>268.39999999999998</v>
      </c>
      <c r="P178" t="str">
        <f>IF('Raw Data'!P178="","",'Raw Data'!P178)</f>
        <v/>
      </c>
      <c r="R178" s="3">
        <f t="shared" si="66"/>
        <v>259.5</v>
      </c>
      <c r="S178" s="3" t="str">
        <f t="shared" si="67"/>
        <v>-</v>
      </c>
      <c r="T178" s="3">
        <f t="shared" si="68"/>
        <v>259.5</v>
      </c>
      <c r="U178" s="3">
        <f t="shared" si="69"/>
        <v>-28</v>
      </c>
      <c r="W178" s="4">
        <f t="shared" si="70"/>
        <v>17.747246616464434</v>
      </c>
      <c r="X178" s="4">
        <f t="shared" si="71"/>
        <v>-9.4363784119964063</v>
      </c>
      <c r="Y178" s="3">
        <f t="shared" si="72"/>
        <v>259.5</v>
      </c>
    </row>
    <row r="179" spans="1:25" x14ac:dyDescent="0.25">
      <c r="A179" t="str">
        <f>IF('Raw Data'!A179="","",'Raw Data'!A179)</f>
        <v>CT</v>
      </c>
      <c r="B179" t="str">
        <f>IF('Raw Data'!B179="","",'Raw Data'!B179)</f>
        <v>CS</v>
      </c>
      <c r="C179">
        <f>IF('Raw Data'!C179="","",'Raw Data'!C179)</f>
        <v>4</v>
      </c>
      <c r="D179">
        <f>IF('Raw Data'!D179="","",'Raw Data'!D179)</f>
        <v>3</v>
      </c>
      <c r="E179">
        <f>IF('Raw Data'!E179="","",'Raw Data'!E179)</f>
        <v>1</v>
      </c>
      <c r="F179">
        <f>IF('Raw Data'!F179="","",'Raw Data'!F179)</f>
        <v>5</v>
      </c>
      <c r="G179" s="7" t="str">
        <f>IF('Raw Data'!G179="","",SUBSTITUTE('Raw Data'!G179," ",":",1))</f>
        <v>-</v>
      </c>
      <c r="H179" s="7" t="str">
        <f>IF('Raw Data'!H179="","",SUBSTITUTE('Raw Data'!H179," ",":",1))</f>
        <v>-</v>
      </c>
      <c r="I179" s="7" t="str">
        <f>IF('Raw Data'!I179="","",SUBSTITUTE('Raw Data'!I179," ",":",1))</f>
        <v>-</v>
      </c>
      <c r="J179" s="12">
        <f>IF('Raw Data'!J179="","",IF(LEN(K179)&gt;6,SQRT('Raw Data'!J179^2+N179^2),'Raw Data'!J179))</f>
        <v>1.8</v>
      </c>
      <c r="K179" s="7" t="str">
        <f>IF('Raw Data'!K179="","",IF(LEN('Raw Data'!K179)&lt;7,SUBSTITUTE('Raw Data'!K179," ",":",1),'Raw Data'!K179))</f>
        <v>90:00</v>
      </c>
      <c r="L179" t="str">
        <f>IF('Raw Data'!L179="","",'Raw Data'!L179)</f>
        <v/>
      </c>
      <c r="M179" t="str">
        <f>IF('Raw Data'!M179="","",'Raw Data'!M179)</f>
        <v>-</v>
      </c>
      <c r="N179">
        <f>IF('Raw Data'!N179="","",IF('Raw Data'!N179="-",0,'Raw Data'!N179))</f>
        <v>1.8</v>
      </c>
      <c r="O179">
        <f>IF('Raw Data'!O179="","",'Raw Data'!O179)</f>
        <v>259</v>
      </c>
      <c r="P179" t="str">
        <f>IF('Raw Data'!P179="","",'Raw Data'!P179)</f>
        <v>(sketch of CR-CZ-DA-DH)</v>
      </c>
      <c r="R179" s="3" t="str">
        <f t="shared" si="66"/>
        <v>-</v>
      </c>
      <c r="S179" s="3" t="str">
        <f t="shared" si="67"/>
        <v>-</v>
      </c>
      <c r="T179" s="3" t="str">
        <f t="shared" si="68"/>
        <v>-</v>
      </c>
      <c r="U179" s="3">
        <f t="shared" si="69"/>
        <v>90</v>
      </c>
      <c r="W179" s="4">
        <f t="shared" si="70"/>
        <v>1.102633609417758E-16</v>
      </c>
      <c r="X179" s="4">
        <f t="shared" si="71"/>
        <v>1.8</v>
      </c>
      <c r="Y179" s="3" t="e">
        <f t="shared" si="72"/>
        <v>#VALUE!</v>
      </c>
    </row>
    <row r="180" spans="1:25" x14ac:dyDescent="0.25">
      <c r="A180" t="str">
        <f>IF('Raw Data'!A180="","",'Raw Data'!A180)</f>
        <v>CS</v>
      </c>
      <c r="B180" t="str">
        <f>IF('Raw Data'!B180="","",'Raw Data'!B180)</f>
        <v>CR</v>
      </c>
      <c r="C180">
        <f>IF('Raw Data'!C180="","",'Raw Data'!C180)</f>
        <v>5</v>
      </c>
      <c r="D180">
        <f>IF('Raw Data'!D180="","",'Raw Data'!D180)</f>
        <v>5</v>
      </c>
      <c r="E180">
        <f>IF('Raw Data'!E180="","",'Raw Data'!E180)</f>
        <v>1</v>
      </c>
      <c r="F180">
        <f>IF('Raw Data'!F180="","",'Raw Data'!F180)</f>
        <v>5</v>
      </c>
      <c r="G180" s="7" t="str">
        <f>IF('Raw Data'!G180="","",SUBSTITUTE('Raw Data'!G180," ",":",1))</f>
        <v>321:00</v>
      </c>
      <c r="H180" s="7" t="str">
        <f>IF('Raw Data'!H180="","",SUBSTITUTE('Raw Data'!H180," ",":",1))</f>
        <v>-</v>
      </c>
      <c r="I180" s="7" t="str">
        <f>IF('Raw Data'!I180="","",SUBSTITUTE('Raw Data'!I180," ",":",1))</f>
        <v>321:00</v>
      </c>
      <c r="J180" s="12">
        <f>IF('Raw Data'!J180="","",IF(LEN(K180)&gt;6,SQRT('Raw Data'!J180^2+N180^2),'Raw Data'!J180))</f>
        <v>15.8</v>
      </c>
      <c r="K180" s="7" t="str">
        <f>IF('Raw Data'!K180="","",IF(LEN('Raw Data'!K180)&lt;7,SUBSTITUTE('Raw Data'!K180," ",":",1),'Raw Data'!K180))</f>
        <v>-1:00</v>
      </c>
      <c r="L180" t="str">
        <f>IF('Raw Data'!L180="","",'Raw Data'!L180)</f>
        <v/>
      </c>
      <c r="M180">
        <f>IF('Raw Data'!M180="","",'Raw Data'!M180)</f>
        <v>15.7</v>
      </c>
      <c r="N180">
        <f>IF('Raw Data'!N180="","",IF('Raw Data'!N180="-",0,'Raw Data'!N180))</f>
        <v>-0.3</v>
      </c>
      <c r="O180">
        <f>IF('Raw Data'!O180="","",'Raw Data'!O180)</f>
        <v>260.8</v>
      </c>
      <c r="P180" t="str">
        <f>IF('Raw Data'!P180="","",'Raw Data'!P180)</f>
        <v/>
      </c>
      <c r="R180" s="3">
        <f t="shared" ref="R180:R185" si="73">IF(ISERROR(FIND(":",G180)),IF(G180&lt;&gt;"-",1*G180,G180),1*LEFT(G180,FIND(":",G180)-1)+RIGHT(G180,LEN(G180)-FIND(":",G180))/60)</f>
        <v>321</v>
      </c>
      <c r="S180" s="3" t="str">
        <f t="shared" ref="S180:S185" si="74">IF(ISERROR(FIND(":",H180)),IF(H180&lt;&gt;"-",1*H180,H180),1*LEFT(H180,FIND(":",H180)-1)+RIGHT(H180,LEN(H180)-FIND(":",H180))/60)</f>
        <v>-</v>
      </c>
      <c r="T180" s="3">
        <f t="shared" ref="T180:T185" si="75">IF(ISERROR(FIND(":",I180)),IF(I180&lt;&gt;"-",1*I180,I180),1*LEFT(I180,FIND(":",I180)-1)+RIGHT(I180,LEN(I180)-FIND(":",I180))/60)</f>
        <v>321</v>
      </c>
      <c r="U180" s="3">
        <f t="shared" ref="U180:U185" si="76">IF(ISERROR(FIND(":",K180)),K180,1*CONCATENATE(LEFT(K180,FIND(":",K180)-1),".",MID(RIGHT(K180,LEN(K180)-FIND(":",K180))/60,3,8)))</f>
        <v>-1</v>
      </c>
      <c r="W180" s="4">
        <f t="shared" ref="W180:W185" si="77">J180*COS(U180*PI()/180)</f>
        <v>15.797593583470983</v>
      </c>
      <c r="X180" s="4">
        <f t="shared" ref="X180:X185" si="78">J180*SIN(U180*PI()/180)</f>
        <v>-0.27574802170907947</v>
      </c>
      <c r="Y180" s="3">
        <f t="shared" ref="Y180:Y185" si="79">IF(R180="-",IF(S180&gt;180,S180-180,S180+180),R180)</f>
        <v>321</v>
      </c>
    </row>
    <row r="181" spans="1:25" x14ac:dyDescent="0.25">
      <c r="A181" t="str">
        <f>IF('Raw Data'!A181="","",'Raw Data'!A181)</f>
        <v>CR</v>
      </c>
      <c r="B181" t="str">
        <f>IF('Raw Data'!B181="","",'Raw Data'!B181)</f>
        <v>CQ</v>
      </c>
      <c r="C181">
        <f>IF('Raw Data'!C181="","",'Raw Data'!C181)</f>
        <v>6</v>
      </c>
      <c r="D181">
        <f>IF('Raw Data'!D181="","",'Raw Data'!D181)</f>
        <v>5</v>
      </c>
      <c r="E181">
        <f>IF('Raw Data'!E181="","",'Raw Data'!E181)</f>
        <v>1</v>
      </c>
      <c r="F181">
        <f>IF('Raw Data'!F181="","",'Raw Data'!F181)</f>
        <v>2</v>
      </c>
      <c r="G181" s="7" t="str">
        <f>IF('Raw Data'!G181="","",SUBSTITUTE('Raw Data'!G181," ",":",1))</f>
        <v>-</v>
      </c>
      <c r="H181" s="7" t="str">
        <f>IF('Raw Data'!H181="","",SUBSTITUTE('Raw Data'!H181," ",":",1))</f>
        <v>144:00</v>
      </c>
      <c r="I181" s="7" t="str">
        <f>IF('Raw Data'!I181="","",SUBSTITUTE('Raw Data'!I181," ",":",1))</f>
        <v>324:00</v>
      </c>
      <c r="J181" s="12">
        <f>IF('Raw Data'!J181="","",IF(LEN(K181)&gt;6,SQRT('Raw Data'!J181^2+N181^2),'Raw Data'!J181))</f>
        <v>16.7</v>
      </c>
      <c r="K181" s="7" t="str">
        <f>IF('Raw Data'!K181="","",IF(LEN('Raw Data'!K181)&lt;7,SUBSTITUTE('Raw Data'!K181," ",":",1),'Raw Data'!K181))</f>
        <v>-5:00</v>
      </c>
      <c r="L181" t="str">
        <f>IF('Raw Data'!L181="","",'Raw Data'!L181)</f>
        <v/>
      </c>
      <c r="M181">
        <f>IF('Raw Data'!M181="","",'Raw Data'!M181)</f>
        <v>16.600000000000001</v>
      </c>
      <c r="N181">
        <f>IF('Raw Data'!N181="","",IF('Raw Data'!N181="-",0,'Raw Data'!N181))</f>
        <v>-1.5</v>
      </c>
      <c r="O181">
        <f>IF('Raw Data'!O181="","",'Raw Data'!O181)</f>
        <v>260.5</v>
      </c>
      <c r="P181" t="str">
        <f>IF('Raw Data'!P181="","",'Raw Data'!P181)</f>
        <v/>
      </c>
      <c r="R181" s="3" t="str">
        <f t="shared" si="73"/>
        <v>-</v>
      </c>
      <c r="S181" s="3">
        <f t="shared" si="74"/>
        <v>144</v>
      </c>
      <c r="T181" s="3">
        <f t="shared" si="75"/>
        <v>324</v>
      </c>
      <c r="U181" s="3">
        <f t="shared" si="76"/>
        <v>-5</v>
      </c>
      <c r="W181" s="4">
        <f t="shared" si="77"/>
        <v>16.63645145813215</v>
      </c>
      <c r="X181" s="4">
        <f t="shared" si="78"/>
        <v>-1.4555009038858913</v>
      </c>
      <c r="Y181" s="3">
        <f t="shared" si="79"/>
        <v>324</v>
      </c>
    </row>
    <row r="182" spans="1:25" x14ac:dyDescent="0.25">
      <c r="A182" t="str">
        <f>IF('Raw Data'!A182="","",'Raw Data'!A182)</f>
        <v>CQ</v>
      </c>
      <c r="B182" t="str">
        <f>IF('Raw Data'!B182="","",'Raw Data'!B182)</f>
        <v>CP</v>
      </c>
      <c r="C182">
        <f>IF('Raw Data'!C182="","",'Raw Data'!C182)</f>
        <v>6</v>
      </c>
      <c r="D182">
        <f>IF('Raw Data'!D182="","",'Raw Data'!D182)</f>
        <v>5</v>
      </c>
      <c r="E182">
        <f>IF('Raw Data'!E182="","",'Raw Data'!E182)</f>
        <v>1</v>
      </c>
      <c r="F182">
        <f>IF('Raw Data'!F182="","",'Raw Data'!F182)</f>
        <v>2</v>
      </c>
      <c r="G182" s="7" t="str">
        <f>IF('Raw Data'!G182="","",SUBSTITUTE('Raw Data'!G182," ",":",1))</f>
        <v>325:30</v>
      </c>
      <c r="H182" s="7" t="str">
        <f>IF('Raw Data'!H182="","",SUBSTITUTE('Raw Data'!H182," ",":",1))</f>
        <v>-</v>
      </c>
      <c r="I182" s="7" t="str">
        <f>IF('Raw Data'!I182="","",SUBSTITUTE('Raw Data'!I182," ",":",1))</f>
        <v>325:30</v>
      </c>
      <c r="J182" s="12">
        <f>IF('Raw Data'!J182="","",IF(LEN(K182)&gt;6,SQRT('Raw Data'!J182^2+N182^2),'Raw Data'!J182))</f>
        <v>14.5</v>
      </c>
      <c r="K182" s="7" t="str">
        <f>IF('Raw Data'!K182="","",IF(LEN('Raw Data'!K182)&lt;7,SUBSTITUTE('Raw Data'!K182," ",":",1),'Raw Data'!K182))</f>
        <v>3:00</v>
      </c>
      <c r="L182" t="str">
        <f>IF('Raw Data'!L182="","",'Raw Data'!L182)</f>
        <v/>
      </c>
      <c r="M182">
        <f>IF('Raw Data'!M182="","",'Raw Data'!M182)</f>
        <v>14.4</v>
      </c>
      <c r="N182">
        <f>IF('Raw Data'!N182="","",IF('Raw Data'!N182="-",0,'Raw Data'!N182))</f>
        <v>0.8</v>
      </c>
      <c r="O182">
        <f>IF('Raw Data'!O182="","",'Raw Data'!O182)</f>
        <v>259</v>
      </c>
      <c r="P182" t="str">
        <f>IF('Raw Data'!P182="","",'Raw Data'!P182)</f>
        <v/>
      </c>
      <c r="R182" s="3">
        <f t="shared" si="73"/>
        <v>325.5</v>
      </c>
      <c r="S182" s="3" t="str">
        <f t="shared" si="74"/>
        <v>-</v>
      </c>
      <c r="T182" s="3">
        <f t="shared" si="75"/>
        <v>325.5</v>
      </c>
      <c r="U182" s="3">
        <f t="shared" si="76"/>
        <v>3</v>
      </c>
      <c r="W182" s="4">
        <f t="shared" si="77"/>
        <v>14.48012825394132</v>
      </c>
      <c r="X182" s="4">
        <f t="shared" si="78"/>
        <v>0.75887136552268553</v>
      </c>
      <c r="Y182" s="3">
        <f t="shared" si="79"/>
        <v>325.5</v>
      </c>
    </row>
    <row r="183" spans="1:25" x14ac:dyDescent="0.25">
      <c r="A183" t="str">
        <f>IF('Raw Data'!A183="","",'Raw Data'!A183)</f>
        <v>CP</v>
      </c>
      <c r="B183" t="str">
        <f>IF('Raw Data'!B183="","",'Raw Data'!B183)</f>
        <v>CO</v>
      </c>
      <c r="C183">
        <f>IF('Raw Data'!C183="","",'Raw Data'!C183)</f>
        <v>4</v>
      </c>
      <c r="D183">
        <f>IF('Raw Data'!D183="","",'Raw Data'!D183)</f>
        <v>6</v>
      </c>
      <c r="E183" t="str">
        <f>IF('Raw Data'!E183="","",'Raw Data'!E183)</f>
        <v>-</v>
      </c>
      <c r="F183">
        <f>IF('Raw Data'!F183="","",'Raw Data'!F183)</f>
        <v>2</v>
      </c>
      <c r="G183" s="7" t="str">
        <f>IF('Raw Data'!G183="","",SUBSTITUTE('Raw Data'!G183," ",":",1))</f>
        <v>-</v>
      </c>
      <c r="H183" s="7" t="str">
        <f>IF('Raw Data'!H183="","",SUBSTITUTE('Raw Data'!H183," ",":",1))</f>
        <v>171:00</v>
      </c>
      <c r="I183" s="7" t="str">
        <f>IF('Raw Data'!I183="","",SUBSTITUTE('Raw Data'!I183," ",":",1))</f>
        <v>351:00</v>
      </c>
      <c r="J183" s="12">
        <f>IF('Raw Data'!J183="","",IF(LEN(K183)&gt;6,SQRT('Raw Data'!J183^2+N183^2),'Raw Data'!J183))</f>
        <v>4.0999999999999996</v>
      </c>
      <c r="K183" s="7" t="str">
        <f>IF('Raw Data'!K183="","",IF(LEN('Raw Data'!K183)&lt;7,SUBSTITUTE('Raw Data'!K183," ",":",1),'Raw Data'!K183))</f>
        <v>level</v>
      </c>
      <c r="L183" t="str">
        <f>IF('Raw Data'!L183="","",'Raw Data'!L183)</f>
        <v/>
      </c>
      <c r="M183">
        <f>IF('Raw Data'!M183="","",'Raw Data'!M183)</f>
        <v>4.0999999999999996</v>
      </c>
      <c r="N183">
        <f>IF('Raw Data'!N183="","",IF('Raw Data'!N183="-",0,'Raw Data'!N183))</f>
        <v>0</v>
      </c>
      <c r="O183">
        <f>IF('Raw Data'!O183="","",'Raw Data'!O183)</f>
        <v>259.8</v>
      </c>
      <c r="P183" t="str">
        <f>IF('Raw Data'!P183="","",'Raw Data'!P183)</f>
        <v/>
      </c>
      <c r="R183" s="3" t="str">
        <f t="shared" si="73"/>
        <v>-</v>
      </c>
      <c r="S183" s="3">
        <f t="shared" si="74"/>
        <v>171</v>
      </c>
      <c r="T183" s="3">
        <f t="shared" si="75"/>
        <v>351</v>
      </c>
      <c r="U183" s="9">
        <f>ASIN(N183/J183)*180/PI()</f>
        <v>0</v>
      </c>
      <c r="W183" s="4">
        <f t="shared" si="77"/>
        <v>4.0999999999999996</v>
      </c>
      <c r="X183" s="4">
        <f t="shared" si="78"/>
        <v>0</v>
      </c>
      <c r="Y183" s="3">
        <f t="shared" si="79"/>
        <v>351</v>
      </c>
    </row>
    <row r="184" spans="1:25" x14ac:dyDescent="0.25">
      <c r="A184" t="str">
        <f>IF('Raw Data'!A184="","",'Raw Data'!A184)</f>
        <v>CO</v>
      </c>
      <c r="B184" t="str">
        <f>IF('Raw Data'!B184="","",'Raw Data'!B184)</f>
        <v>CN</v>
      </c>
      <c r="C184">
        <f>IF('Raw Data'!C184="","",'Raw Data'!C184)</f>
        <v>4</v>
      </c>
      <c r="D184">
        <f>IF('Raw Data'!D184="","",'Raw Data'!D184)</f>
        <v>8</v>
      </c>
      <c r="E184" t="str">
        <f>IF('Raw Data'!E184="","",'Raw Data'!E184)</f>
        <v>-</v>
      </c>
      <c r="F184">
        <f>IF('Raw Data'!F184="","",'Raw Data'!F184)</f>
        <v>2</v>
      </c>
      <c r="G184" s="7" t="str">
        <f>IF('Raw Data'!G184="","",SUBSTITUTE('Raw Data'!G184," ",":",1))</f>
        <v>-</v>
      </c>
      <c r="H184" s="7" t="str">
        <f>IF('Raw Data'!H184="","",SUBSTITUTE('Raw Data'!H184," ",":",1))</f>
        <v>168:00</v>
      </c>
      <c r="I184" s="7" t="str">
        <f>IF('Raw Data'!I184="","",SUBSTITUTE('Raw Data'!I184," ",":",1))</f>
        <v>348:00</v>
      </c>
      <c r="J184" s="12">
        <f>IF('Raw Data'!J184="","",IF(LEN(K184)&gt;6,SQRT('Raw Data'!J184^2+N184^2),'Raw Data'!J184))</f>
        <v>9.5</v>
      </c>
      <c r="K184" s="7" t="str">
        <f>IF('Raw Data'!K184="","",IF(LEN('Raw Data'!K184)&lt;7,SUBSTITUTE('Raw Data'!K184," ",":",1),'Raw Data'!K184))</f>
        <v>4:30</v>
      </c>
      <c r="L184" t="str">
        <f>IF('Raw Data'!L184="","",'Raw Data'!L184)</f>
        <v/>
      </c>
      <c r="M184">
        <f>IF('Raw Data'!M184="","",'Raw Data'!M184)</f>
        <v>9.4</v>
      </c>
      <c r="N184">
        <f>IF('Raw Data'!N184="","",IF('Raw Data'!N184="-",0,'Raw Data'!N184))</f>
        <v>0.7</v>
      </c>
      <c r="O184">
        <f>IF('Raw Data'!O184="","",'Raw Data'!O184)</f>
        <v>259.8</v>
      </c>
      <c r="P184" t="str">
        <f>IF('Raw Data'!P184="","",'Raw Data'!P184)</f>
        <v/>
      </c>
      <c r="R184" s="3" t="str">
        <f t="shared" si="73"/>
        <v>-</v>
      </c>
      <c r="S184" s="3">
        <f t="shared" si="74"/>
        <v>168</v>
      </c>
      <c r="T184" s="3">
        <f t="shared" si="75"/>
        <v>348</v>
      </c>
      <c r="U184" s="3">
        <f t="shared" si="76"/>
        <v>4.5</v>
      </c>
      <c r="W184" s="4">
        <f t="shared" si="77"/>
        <v>9.4707146704647158</v>
      </c>
      <c r="X184" s="4">
        <f t="shared" si="78"/>
        <v>0.745361409414527</v>
      </c>
      <c r="Y184" s="3">
        <f t="shared" si="79"/>
        <v>348</v>
      </c>
    </row>
    <row r="185" spans="1:25" x14ac:dyDescent="0.25">
      <c r="A185" t="str">
        <f>IF('Raw Data'!A185="","",'Raw Data'!A185)</f>
        <v>CN</v>
      </c>
      <c r="B185" t="str">
        <f>IF('Raw Data'!B185="","",'Raw Data'!B185)</f>
        <v>CM</v>
      </c>
      <c r="C185">
        <f>IF('Raw Data'!C185="","",'Raw Data'!C185)</f>
        <v>3</v>
      </c>
      <c r="D185">
        <f>IF('Raw Data'!D185="","",'Raw Data'!D185)</f>
        <v>8</v>
      </c>
      <c r="E185">
        <f>IF('Raw Data'!E185="","",'Raw Data'!E185)</f>
        <v>1</v>
      </c>
      <c r="F185">
        <f>IF('Raw Data'!F185="","",'Raw Data'!F185)</f>
        <v>2</v>
      </c>
      <c r="G185" s="7" t="str">
        <f>IF('Raw Data'!G185="","",SUBSTITUTE('Raw Data'!G185," ",":",1))</f>
        <v>335:00</v>
      </c>
      <c r="H185" s="7" t="str">
        <f>IF('Raw Data'!H185="","",SUBSTITUTE('Raw Data'!H185," ",":",1))</f>
        <v>-</v>
      </c>
      <c r="I185" s="7" t="str">
        <f>IF('Raw Data'!I185="","",SUBSTITUTE('Raw Data'!I185," ",":",1))</f>
        <v>335:00</v>
      </c>
      <c r="J185" s="12">
        <f>IF('Raw Data'!J185="","",IF(LEN(K185)&gt;6,SQRT('Raw Data'!J185^2+N185^2),'Raw Data'!J185))</f>
        <v>25.5</v>
      </c>
      <c r="K185" s="7" t="str">
        <f>IF('Raw Data'!K185="","",IF(LEN('Raw Data'!K185)&lt;7,SUBSTITUTE('Raw Data'!K185," ",":",1),'Raw Data'!K185))</f>
        <v>-21:30</v>
      </c>
      <c r="L185" t="str">
        <f>IF('Raw Data'!L185="","",'Raw Data'!L185)</f>
        <v/>
      </c>
      <c r="M185">
        <f>IF('Raw Data'!M185="","",'Raw Data'!M185)</f>
        <v>23.8</v>
      </c>
      <c r="N185">
        <f>IF('Raw Data'!N185="","",IF('Raw Data'!N185="-",0,'Raw Data'!N185))</f>
        <v>-9.3000000000000007</v>
      </c>
      <c r="O185">
        <f>IF('Raw Data'!O185="","",'Raw Data'!O185)</f>
        <v>260.5</v>
      </c>
      <c r="P185" t="str">
        <f>IF('Raw Data'!P185="","",'Raw Data'!P185)</f>
        <v>CM = On stalagmite projection over 40 ft pt.</v>
      </c>
      <c r="R185" s="3">
        <f t="shared" si="73"/>
        <v>335</v>
      </c>
      <c r="S185" s="3" t="str">
        <f t="shared" si="74"/>
        <v>-</v>
      </c>
      <c r="T185" s="3">
        <f t="shared" si="75"/>
        <v>335</v>
      </c>
      <c r="U185" s="3">
        <f t="shared" si="76"/>
        <v>-21.5</v>
      </c>
      <c r="W185" s="4">
        <f t="shared" si="77"/>
        <v>23.725647983541627</v>
      </c>
      <c r="X185" s="4">
        <f t="shared" si="78"/>
        <v>-9.3457812814695806</v>
      </c>
      <c r="Y185" s="3">
        <f t="shared" si="79"/>
        <v>335</v>
      </c>
    </row>
    <row r="186" spans="1:25" x14ac:dyDescent="0.25">
      <c r="A186" t="str">
        <f>IF('Raw Data'!A186="","",'Raw Data'!A186)</f>
        <v>CM</v>
      </c>
      <c r="B186" t="str">
        <f>IF('Raw Data'!B186="","",'Raw Data'!B186)</f>
        <v/>
      </c>
      <c r="C186" t="str">
        <f>IF('Raw Data'!C186="","",'Raw Data'!C186)</f>
        <v/>
      </c>
      <c r="D186" t="str">
        <f>IF('Raw Data'!D186="","",'Raw Data'!D186)</f>
        <v/>
      </c>
      <c r="E186" t="str">
        <f>IF('Raw Data'!E186="","",'Raw Data'!E186)</f>
        <v/>
      </c>
      <c r="F186" t="str">
        <f>IF('Raw Data'!F186="","",'Raw Data'!F186)</f>
        <v/>
      </c>
      <c r="G186" s="7" t="str">
        <f>IF('Raw Data'!G186="","",SUBSTITUTE('Raw Data'!G186," ",":",1))</f>
        <v/>
      </c>
      <c r="H186" s="7" t="str">
        <f>IF('Raw Data'!H186="","",SUBSTITUTE('Raw Data'!H186," ",":",1))</f>
        <v/>
      </c>
      <c r="I186" s="7" t="str">
        <f>IF('Raw Data'!I186="","",SUBSTITUTE('Raw Data'!I186," ",":",1))</f>
        <v/>
      </c>
      <c r="J186" s="12" t="str">
        <f>IF('Raw Data'!J186="","",IF(LEN(K186)&gt;6,SQRT('Raw Data'!J186^2+N186^2),'Raw Data'!J186))</f>
        <v/>
      </c>
      <c r="K186" s="7" t="str">
        <f>IF('Raw Data'!K186="","",IF(LEN('Raw Data'!K186)&lt;7,SUBSTITUTE('Raw Data'!K186," ",":",1),'Raw Data'!K186))</f>
        <v>-</v>
      </c>
      <c r="L186" t="str">
        <f>IF('Raw Data'!L186="","",'Raw Data'!L186)</f>
        <v/>
      </c>
      <c r="M186" t="str">
        <f>IF('Raw Data'!M186="","",'Raw Data'!M186)</f>
        <v/>
      </c>
      <c r="N186" t="str">
        <f>IF('Raw Data'!N186="","",IF('Raw Data'!N186="-",0,'Raw Data'!N186))</f>
        <v/>
      </c>
      <c r="O186">
        <f>IF('Raw Data'!O186="","",'Raw Data'!O186)</f>
        <v>251.2</v>
      </c>
      <c r="P186" t="str">
        <f>IF('Raw Data'!P186="","",'Raw Data'!P186)</f>
        <v/>
      </c>
      <c r="W186" s="4"/>
      <c r="X186" s="4"/>
      <c r="Y186" s="3"/>
    </row>
    <row r="187" spans="1:25" x14ac:dyDescent="0.25">
      <c r="A187" t="str">
        <f>IF('Raw Data'!A187="","",'Raw Data'!A187)</f>
        <v/>
      </c>
      <c r="B187" t="str">
        <f>IF('Raw Data'!B187="","",'Raw Data'!B187)</f>
        <v/>
      </c>
      <c r="C187" t="str">
        <f>IF('Raw Data'!C187="","",'Raw Data'!C187)</f>
        <v/>
      </c>
      <c r="D187" t="str">
        <f>IF('Raw Data'!D187="","",'Raw Data'!D187)</f>
        <v/>
      </c>
      <c r="E187" t="str">
        <f>IF('Raw Data'!E187="","",'Raw Data'!E187)</f>
        <v/>
      </c>
      <c r="F187" t="str">
        <f>IF('Raw Data'!F187="","",'Raw Data'!F187)</f>
        <v/>
      </c>
      <c r="G187" s="7" t="str">
        <f>IF('Raw Data'!G187="","",SUBSTITUTE('Raw Data'!G187," ",":",1))</f>
        <v/>
      </c>
      <c r="H187" s="7" t="str">
        <f>IF('Raw Data'!H187="","",SUBSTITUTE('Raw Data'!H187," ",":",1))</f>
        <v/>
      </c>
      <c r="I187" s="7" t="str">
        <f>IF('Raw Data'!I187="","",SUBSTITUTE('Raw Data'!I187," ",":",1))</f>
        <v/>
      </c>
      <c r="J187" s="12" t="str">
        <f>IF('Raw Data'!J187="","",IF(LEN(K187)&gt;6,SQRT('Raw Data'!J187^2+N187^2),'Raw Data'!J187))</f>
        <v/>
      </c>
      <c r="K187" s="7" t="str">
        <f>IF('Raw Data'!K187="","",IF(LEN('Raw Data'!K187)&lt;7,SUBSTITUTE('Raw Data'!K187," ",":",1),'Raw Data'!K187))</f>
        <v/>
      </c>
      <c r="L187" t="str">
        <f>IF('Raw Data'!L187="","",'Raw Data'!L187)</f>
        <v/>
      </c>
      <c r="M187" t="str">
        <f>IF('Raw Data'!M187="","",'Raw Data'!M187)</f>
        <v/>
      </c>
      <c r="N187" t="str">
        <f>IF('Raw Data'!N187="","",IF('Raw Data'!N187="-",0,'Raw Data'!N187))</f>
        <v/>
      </c>
      <c r="O187" t="str">
        <f>IF('Raw Data'!O187="","",'Raw Data'!O187)</f>
        <v/>
      </c>
      <c r="P187" t="str">
        <f>IF('Raw Data'!P187="","",'Raw Data'!P187)</f>
        <v/>
      </c>
      <c r="W187" s="4"/>
      <c r="X187" s="4"/>
      <c r="Y187" s="3"/>
    </row>
    <row r="188" spans="1:25" x14ac:dyDescent="0.25">
      <c r="A188" t="str">
        <f>IF('Raw Data'!A188="","",'Raw Data'!A188)</f>
        <v>p. 61-64</v>
      </c>
      <c r="B188" t="str">
        <f>IF('Raw Data'!B188="","",'Raw Data'!B188)</f>
        <v>(=PDF p.65-68)</v>
      </c>
      <c r="C188" t="str">
        <f>IF('Raw Data'!C188="","",'Raw Data'!C188)</f>
        <v/>
      </c>
      <c r="D188" t="str">
        <f>IF('Raw Data'!D188="","",'Raw Data'!D188)</f>
        <v/>
      </c>
      <c r="E188" t="str">
        <f>IF('Raw Data'!E188="","",'Raw Data'!E188)</f>
        <v/>
      </c>
      <c r="F188" t="str">
        <f>IF('Raw Data'!F188="","",'Raw Data'!F188)</f>
        <v/>
      </c>
      <c r="G188" s="7" t="str">
        <f>IF('Raw Data'!G188="","",SUBSTITUTE('Raw Data'!G188," ",":",1))</f>
        <v/>
      </c>
      <c r="H188" s="7" t="str">
        <f>IF('Raw Data'!H188="","",SUBSTITUTE('Raw Data'!H188," ",":",1))</f>
        <v/>
      </c>
      <c r="I188" s="7" t="str">
        <f>IF('Raw Data'!I188="","",SUBSTITUTE('Raw Data'!I188," ",":",1))</f>
        <v/>
      </c>
      <c r="J188" s="12" t="str">
        <f>IF('Raw Data'!J188="","",IF(LEN(K188)&gt;6,SQRT('Raw Data'!J188^2+N188^2),'Raw Data'!J188))</f>
        <v/>
      </c>
      <c r="K188" s="7" t="str">
        <f>IF('Raw Data'!K188="","",IF(LEN('Raw Data'!K188)&lt;7,SUBSTITUTE('Raw Data'!K188," ",":",1),'Raw Data'!K188))</f>
        <v/>
      </c>
      <c r="L188" t="str">
        <f>IF('Raw Data'!L188="","",'Raw Data'!L188)</f>
        <v/>
      </c>
      <c r="M188" t="str">
        <f>IF('Raw Data'!M188="","",'Raw Data'!M188)</f>
        <v/>
      </c>
      <c r="N188" t="str">
        <f>IF('Raw Data'!N188="","",IF('Raw Data'!N188="-",0,'Raw Data'!N188))</f>
        <v/>
      </c>
      <c r="O188" t="str">
        <f>IF('Raw Data'!O188="","",'Raw Data'!O188)</f>
        <v/>
      </c>
      <c r="P188" t="str">
        <f>IF('Raw Data'!P188="","",'Raw Data'!P188)</f>
        <v/>
      </c>
      <c r="W188" s="4"/>
      <c r="X188" s="4"/>
      <c r="Y188" s="3"/>
    </row>
    <row r="189" spans="1:25" x14ac:dyDescent="0.25">
      <c r="A189" t="str">
        <f>IF('Raw Data'!A189="","",'Raw Data'!A189)</f>
        <v>8th Feb '53</v>
      </c>
      <c r="B189" t="str">
        <f>IF('Raw Data'!B189="","",'Raw Data'!B189)</f>
        <v/>
      </c>
      <c r="C189" t="str">
        <f>IF('Raw Data'!C189="","",'Raw Data'!C189)</f>
        <v>Barnes' Loop to Forty</v>
      </c>
      <c r="D189" t="str">
        <f>IF('Raw Data'!D189="","",'Raw Data'!D189)</f>
        <v/>
      </c>
      <c r="E189" t="str">
        <f>IF('Raw Data'!E189="","",'Raw Data'!E189)</f>
        <v/>
      </c>
      <c r="F189" t="str">
        <f>IF('Raw Data'!F189="","",'Raw Data'!F189)</f>
        <v/>
      </c>
      <c r="G189" s="7" t="str">
        <f>IF('Raw Data'!G189="","",SUBSTITUTE('Raw Data'!G189," ",":",1))</f>
        <v/>
      </c>
      <c r="H189" s="7" t="str">
        <f>IF('Raw Data'!H189="","",SUBSTITUTE('Raw Data'!H189," ",":",1))</f>
        <v/>
      </c>
      <c r="I189" s="7" t="str">
        <f>IF('Raw Data'!I189="","",SUBSTITUTE('Raw Data'!I189," ",":",1))</f>
        <v/>
      </c>
      <c r="J189" s="12" t="str">
        <f>IF('Raw Data'!J189="","",IF(LEN(K189)&gt;6,SQRT('Raw Data'!J189^2+N189^2),'Raw Data'!J189))</f>
        <v/>
      </c>
      <c r="K189" s="7" t="str">
        <f>IF('Raw Data'!K189="","",IF(LEN('Raw Data'!K189)&lt;7,SUBSTITUTE('Raw Data'!K189," ",":",1),'Raw Data'!K189))</f>
        <v/>
      </c>
      <c r="L189" t="str">
        <f>IF('Raw Data'!L189="","",'Raw Data'!L189)</f>
        <v/>
      </c>
      <c r="M189" t="str">
        <f>IF('Raw Data'!M189="","",'Raw Data'!M189)</f>
        <v/>
      </c>
      <c r="N189" t="str">
        <f>IF('Raw Data'!N189="","",IF('Raw Data'!N189="-",0,'Raw Data'!N189))</f>
        <v/>
      </c>
      <c r="O189" t="str">
        <f>IF('Raw Data'!O189="","",'Raw Data'!O189)</f>
        <v/>
      </c>
      <c r="P189" t="str">
        <f>IF('Raw Data'!P189="","",'Raw Data'!P189)</f>
        <v/>
      </c>
      <c r="W189" s="4"/>
      <c r="X189" s="4"/>
      <c r="Y189" s="3"/>
    </row>
    <row r="190" spans="1:25" x14ac:dyDescent="0.25">
      <c r="A190" t="str">
        <f>IF('Raw Data'!A190="","",'Raw Data'!A190)</f>
        <v>AY</v>
      </c>
      <c r="B190" t="str">
        <f>IF('Raw Data'!B190="","",'Raw Data'!B190)</f>
        <v>AZ</v>
      </c>
      <c r="C190">
        <f>IF('Raw Data'!C190="","",'Raw Data'!C190)</f>
        <v>20</v>
      </c>
      <c r="D190">
        <f>IF('Raw Data'!D190="","",'Raw Data'!D190)</f>
        <v>8</v>
      </c>
      <c r="E190" t="str">
        <f>IF('Raw Data'!E190="","",'Raw Data'!E190)</f>
        <v>30 (in alcove)</v>
      </c>
      <c r="F190" t="str">
        <f>IF('Raw Data'!F190="","",'Raw Data'!F190)</f>
        <v>10 (in alcove)</v>
      </c>
      <c r="G190" s="7" t="str">
        <f>IF('Raw Data'!G190="","",SUBSTITUTE('Raw Data'!G190," ",":",1))</f>
        <v>-</v>
      </c>
      <c r="H190" s="7" t="str">
        <f>IF('Raw Data'!H190="","",SUBSTITUTE('Raw Data'!H190," ",":",1))</f>
        <v>259:20</v>
      </c>
      <c r="I190" s="7" t="str">
        <f>IF('Raw Data'!I190="","",SUBSTITUTE('Raw Data'!I190," ",":",1))</f>
        <v>079:20</v>
      </c>
      <c r="J190" s="12">
        <f>IF('Raw Data'!J190="","",IF(LEN(K190)&gt;6,SQRT('Raw Data'!J190^2+N190^2),'Raw Data'!J190))</f>
        <v>17.600000000000001</v>
      </c>
      <c r="K190" s="7" t="str">
        <f>IF('Raw Data'!K190="","",IF(LEN('Raw Data'!K190)&lt;7,SUBSTITUTE('Raw Data'!K190," ",":",1),'Raw Data'!K190))</f>
        <v>30:30</v>
      </c>
      <c r="L190" t="str">
        <f>IF('Raw Data'!L190="","",'Raw Data'!L190)</f>
        <v/>
      </c>
      <c r="M190">
        <f>IF('Raw Data'!M190="","",'Raw Data'!M190)</f>
        <v>15.2</v>
      </c>
      <c r="N190">
        <f>IF('Raw Data'!N190="","",IF('Raw Data'!N190="-",0,'Raw Data'!N190))</f>
        <v>8.9</v>
      </c>
      <c r="O190">
        <f>IF('Raw Data'!O190="","",'Raw Data'!O190)</f>
        <v>113.8</v>
      </c>
      <c r="P190" t="str">
        <f>IF('Raw Data'!P190="","",'Raw Data'!P190)</f>
        <v/>
      </c>
      <c r="R190" s="3" t="str">
        <f t="shared" ref="R190:R203" si="80">IF(ISERROR(FIND(":",G190)),IF(G190&lt;&gt;"-",1*G190,G190),1*LEFT(G190,FIND(":",G190)-1)+RIGHT(G190,LEN(G190)-FIND(":",G190))/60)</f>
        <v>-</v>
      </c>
      <c r="S190" s="3">
        <f t="shared" ref="S190:S203" si="81">IF(ISERROR(FIND(":",H190)),IF(H190&lt;&gt;"-",1*H190,H190),1*LEFT(H190,FIND(":",H190)-1)+RIGHT(H190,LEN(H190)-FIND(":",H190))/60)</f>
        <v>259.33333333333331</v>
      </c>
      <c r="T190" s="3">
        <f t="shared" ref="T190:T203" si="82">IF(ISERROR(FIND(":",I190)),IF(I190&lt;&gt;"-",1*I190,I190),1*LEFT(I190,FIND(":",I190)-1)+RIGHT(I190,LEN(I190)-FIND(":",I190))/60)</f>
        <v>79.333333333333329</v>
      </c>
      <c r="U190" s="3">
        <f t="shared" ref="U190:U203" si="83">IF(ISERROR(FIND(":",K190)),K190,1*CONCATENATE(LEFT(K190,FIND(":",K190)-1),".",MID(RIGHT(K190,LEN(K190)-FIND(":",K190))/60,3,8)))</f>
        <v>30.5</v>
      </c>
      <c r="W190" s="4">
        <f t="shared" ref="W190:W203" si="84">J190*COS(U190*PI()/180)</f>
        <v>15.164673223770855</v>
      </c>
      <c r="X190" s="4">
        <f t="shared" ref="X190:X203" si="85">J190*SIN(U190*PI()/180)</f>
        <v>8.9326751881083926</v>
      </c>
      <c r="Y190" s="3">
        <f t="shared" ref="Y190:Y203" si="86">IF(R190="-",IF(S190&gt;180,S190-180,S190+180),R190)</f>
        <v>79.333333333333314</v>
      </c>
    </row>
    <row r="191" spans="1:25" x14ac:dyDescent="0.25">
      <c r="A191" t="str">
        <f>IF('Raw Data'!A191="","",'Raw Data'!A191)</f>
        <v>AZ</v>
      </c>
      <c r="B191" t="str">
        <f>IF('Raw Data'!B191="","",'Raw Data'!B191)</f>
        <v>BA</v>
      </c>
      <c r="C191">
        <f>IF('Raw Data'!C191="","",'Raw Data'!C191)</f>
        <v>12</v>
      </c>
      <c r="D191">
        <f>IF('Raw Data'!D191="","",'Raw Data'!D191)</f>
        <v>6</v>
      </c>
      <c r="E191">
        <f>IF('Raw Data'!E191="","",'Raw Data'!E191)</f>
        <v>2</v>
      </c>
      <c r="F191" t="str">
        <f>IF('Raw Data'!F191="","",'Raw Data'!F191)</f>
        <v>4 (in alcove)</v>
      </c>
      <c r="G191" s="7" t="str">
        <f>IF('Raw Data'!G191="","",SUBSTITUTE('Raw Data'!G191," ",":",1))</f>
        <v>113:30</v>
      </c>
      <c r="H191" s="7" t="str">
        <f>IF('Raw Data'!H191="","",SUBSTITUTE('Raw Data'!H191," ",":",1))</f>
        <v>-</v>
      </c>
      <c r="I191" s="7" t="str">
        <f>IF('Raw Data'!I191="","",SUBSTITUTE('Raw Data'!I191," ",":",1))</f>
        <v>113:30</v>
      </c>
      <c r="J191" s="12">
        <f>IF('Raw Data'!J191="","",IF(LEN(K191)&gt;6,SQRT('Raw Data'!J191^2+N191^2),'Raw Data'!J191))</f>
        <v>36.6</v>
      </c>
      <c r="K191" s="7" t="str">
        <f>IF('Raw Data'!K191="","",IF(LEN('Raw Data'!K191)&lt;7,SUBSTITUTE('Raw Data'!K191," ",":",1),'Raw Data'!K191))</f>
        <v>21:20</v>
      </c>
      <c r="L191" t="str">
        <f>IF('Raw Data'!L191="","",'Raw Data'!L191)</f>
        <v/>
      </c>
      <c r="M191">
        <f>IF('Raw Data'!M191="","",'Raw Data'!M191)</f>
        <v>34.1</v>
      </c>
      <c r="N191">
        <f>IF('Raw Data'!N191="","",IF('Raw Data'!N191="-",0,'Raw Data'!N191))</f>
        <v>13.3</v>
      </c>
      <c r="O191">
        <f>IF('Raw Data'!O191="","",'Raw Data'!O191)</f>
        <v>122.7</v>
      </c>
      <c r="P191" t="str">
        <f>IF('Raw Data'!P191="","",'Raw Data'!P191)</f>
        <v/>
      </c>
      <c r="R191" s="3">
        <f t="shared" si="80"/>
        <v>113.5</v>
      </c>
      <c r="S191" s="3" t="str">
        <f t="shared" si="81"/>
        <v>-</v>
      </c>
      <c r="T191" s="3">
        <f t="shared" si="82"/>
        <v>113.5</v>
      </c>
      <c r="U191" s="3">
        <f t="shared" si="83"/>
        <v>21.333333329999999</v>
      </c>
      <c r="W191" s="4">
        <f t="shared" si="84"/>
        <v>34.092158445471433</v>
      </c>
      <c r="X191" s="4">
        <f t="shared" si="85"/>
        <v>13.314831299301943</v>
      </c>
      <c r="Y191" s="3">
        <f t="shared" si="86"/>
        <v>113.5</v>
      </c>
    </row>
    <row r="192" spans="1:25" x14ac:dyDescent="0.25">
      <c r="A192" t="str">
        <f>IF('Raw Data'!A192="","",'Raw Data'!A192)</f>
        <v>BA</v>
      </c>
      <c r="B192" t="str">
        <f>IF('Raw Data'!B192="","",'Raw Data'!B192)</f>
        <v>BB</v>
      </c>
      <c r="C192">
        <f>IF('Raw Data'!C192="","",'Raw Data'!C192)</f>
        <v>20</v>
      </c>
      <c r="D192">
        <f>IF('Raw Data'!D192="","",'Raw Data'!D192)</f>
        <v>8</v>
      </c>
      <c r="E192">
        <f>IF('Raw Data'!E192="","",'Raw Data'!E192)</f>
        <v>6</v>
      </c>
      <c r="F192">
        <f>IF('Raw Data'!F192="","",'Raw Data'!F192)</f>
        <v>2</v>
      </c>
      <c r="G192" s="7" t="str">
        <f>IF('Raw Data'!G192="","",SUBSTITUTE('Raw Data'!G192," ",":",1))</f>
        <v>-</v>
      </c>
      <c r="H192" s="7" t="str">
        <f>IF('Raw Data'!H192="","",SUBSTITUTE('Raw Data'!H192," ",":",1))</f>
        <v>179:30</v>
      </c>
      <c r="I192" s="7" t="str">
        <f>IF('Raw Data'!I192="","",SUBSTITUTE('Raw Data'!I192," ",":",1))</f>
        <v>359:30</v>
      </c>
      <c r="J192" s="12">
        <f>IF('Raw Data'!J192="","",IF(LEN(K192)&gt;6,SQRT('Raw Data'!J192^2+N192^2),'Raw Data'!J192))</f>
        <v>10.8</v>
      </c>
      <c r="K192" s="7" t="str">
        <f>IF('Raw Data'!K192="","",IF(LEN('Raw Data'!K192)&lt;7,SUBSTITUTE('Raw Data'!K192," ",":",1),'Raw Data'!K192))</f>
        <v>-38:20</v>
      </c>
      <c r="L192" t="str">
        <f>IF('Raw Data'!L192="","",'Raw Data'!L192)</f>
        <v/>
      </c>
      <c r="M192">
        <f>IF('Raw Data'!M192="","",'Raw Data'!M192)</f>
        <v>8.5</v>
      </c>
      <c r="N192">
        <f>IF('Raw Data'!N192="","",IF('Raw Data'!N192="-",0,'Raw Data'!N192))</f>
        <v>-6.7</v>
      </c>
      <c r="O192">
        <f>IF('Raw Data'!O192="","",'Raw Data'!O192)</f>
        <v>136</v>
      </c>
      <c r="P192" t="str">
        <f>IF('Raw Data'!P192="","",'Raw Data'!P192)</f>
        <v/>
      </c>
      <c r="R192" s="3" t="str">
        <f t="shared" si="80"/>
        <v>-</v>
      </c>
      <c r="S192" s="3">
        <f t="shared" si="81"/>
        <v>179.5</v>
      </c>
      <c r="T192" s="3">
        <f t="shared" si="82"/>
        <v>359.5</v>
      </c>
      <c r="U192" s="3">
        <f t="shared" si="83"/>
        <v>-38.333333330000002</v>
      </c>
      <c r="W192" s="4">
        <f t="shared" si="84"/>
        <v>8.471689181521123</v>
      </c>
      <c r="X192" s="4">
        <f t="shared" si="85"/>
        <v>-6.698543305204347</v>
      </c>
      <c r="Y192" s="3">
        <f t="shared" si="86"/>
        <v>359.5</v>
      </c>
    </row>
    <row r="193" spans="1:25" x14ac:dyDescent="0.25">
      <c r="A193" t="str">
        <f>IF('Raw Data'!A193="","",'Raw Data'!A193)</f>
        <v>BB</v>
      </c>
      <c r="B193" t="str">
        <f>IF('Raw Data'!B193="","",'Raw Data'!B193)</f>
        <v>BC</v>
      </c>
      <c r="C193">
        <f>IF('Raw Data'!C193="","",'Raw Data'!C193)</f>
        <v>12</v>
      </c>
      <c r="D193">
        <f>IF('Raw Data'!D193="","",'Raw Data'!D193)</f>
        <v>1</v>
      </c>
      <c r="E193">
        <f>IF('Raw Data'!E193="","",'Raw Data'!E193)</f>
        <v>2</v>
      </c>
      <c r="F193">
        <f>IF('Raw Data'!F193="","",'Raw Data'!F193)</f>
        <v>6</v>
      </c>
      <c r="G193" s="7" t="str">
        <f>IF('Raw Data'!G193="","",SUBSTITUTE('Raw Data'!G193," ",":",1))</f>
        <v>011:50</v>
      </c>
      <c r="H193" s="7" t="str">
        <f>IF('Raw Data'!H193="","",SUBSTITUTE('Raw Data'!H193," ",":",1))</f>
        <v>-</v>
      </c>
      <c r="I193" s="7" t="str">
        <f>IF('Raw Data'!I193="","",SUBSTITUTE('Raw Data'!I193," ",":",1))</f>
        <v>011:50</v>
      </c>
      <c r="J193" s="12">
        <f>IF('Raw Data'!J193="","",IF(LEN(K193)&gt;6,SQRT('Raw Data'!J193^2+N193^2),'Raw Data'!J193))</f>
        <v>20.399999999999999</v>
      </c>
      <c r="K193" s="7" t="str">
        <f>IF('Raw Data'!K193="","",IF(LEN('Raw Data'!K193)&lt;7,SUBSTITUTE('Raw Data'!K193," ",":",1),'Raw Data'!K193))</f>
        <v>1:00</v>
      </c>
      <c r="L193" t="str">
        <f>IF('Raw Data'!L193="","",'Raw Data'!L193)</f>
        <v/>
      </c>
      <c r="M193">
        <f>IF('Raw Data'!M193="","",'Raw Data'!M193)</f>
        <v>20.399999999999999</v>
      </c>
      <c r="N193">
        <f>IF('Raw Data'!N193="","",IF('Raw Data'!N193="-",0,'Raw Data'!N193))</f>
        <v>0.35</v>
      </c>
      <c r="O193">
        <f>IF('Raw Data'!O193="","",'Raw Data'!O193)</f>
        <v>129.30000000000001</v>
      </c>
      <c r="P193" t="str">
        <f>IF('Raw Data'!P193="","",'Raw Data'!P193)</f>
        <v>3' before little portal</v>
      </c>
      <c r="R193" s="3">
        <f t="shared" si="80"/>
        <v>11.833333333333334</v>
      </c>
      <c r="S193" s="3" t="str">
        <f t="shared" si="81"/>
        <v>-</v>
      </c>
      <c r="T193" s="3">
        <f t="shared" si="82"/>
        <v>11.833333333333334</v>
      </c>
      <c r="U193" s="3">
        <f t="shared" si="83"/>
        <v>1</v>
      </c>
      <c r="W193" s="4">
        <f t="shared" si="84"/>
        <v>20.39689298119038</v>
      </c>
      <c r="X193" s="4">
        <f t="shared" si="85"/>
        <v>0.35602909132058363</v>
      </c>
      <c r="Y193" s="3">
        <f t="shared" si="86"/>
        <v>11.833333333333334</v>
      </c>
    </row>
    <row r="194" spans="1:25" x14ac:dyDescent="0.25">
      <c r="A194" t="str">
        <f>IF('Raw Data'!A194="","",'Raw Data'!A194)</f>
        <v>BC</v>
      </c>
      <c r="B194" t="str">
        <f>IF('Raw Data'!B194="","",'Raw Data'!B194)</f>
        <v>BD</v>
      </c>
      <c r="C194">
        <f>IF('Raw Data'!C194="","",'Raw Data'!C194)</f>
        <v>18</v>
      </c>
      <c r="D194">
        <f>IF('Raw Data'!D194="","",'Raw Data'!D194)</f>
        <v>1</v>
      </c>
      <c r="E194">
        <f>IF('Raw Data'!E194="","",'Raw Data'!E194)</f>
        <v>4</v>
      </c>
      <c r="F194">
        <f>IF('Raw Data'!F194="","",'Raw Data'!F194)</f>
        <v>3</v>
      </c>
      <c r="G194" s="7" t="str">
        <f>IF('Raw Data'!G194="","",SUBSTITUTE('Raw Data'!G194," ",":",1))</f>
        <v>-</v>
      </c>
      <c r="H194" s="7" t="str">
        <f>IF('Raw Data'!H194="","",SUBSTITUTE('Raw Data'!H194," ",":",1))</f>
        <v>160:00</v>
      </c>
      <c r="I194" s="7" t="str">
        <f>IF('Raw Data'!I194="","",SUBSTITUTE('Raw Data'!I194," ",":",1))</f>
        <v>340:00</v>
      </c>
      <c r="J194" s="12">
        <f>IF('Raw Data'!J194="","",IF(LEN(K194)&gt;6,SQRT('Raw Data'!J194^2+N194^2),'Raw Data'!J194))</f>
        <v>49.6</v>
      </c>
      <c r="K194" s="7" t="str">
        <f>IF('Raw Data'!K194="","",IF(LEN('Raw Data'!K194)&lt;7,SUBSTITUTE('Raw Data'!K194," ",":",1),'Raw Data'!K194))</f>
        <v>17:40</v>
      </c>
      <c r="L194" t="str">
        <f>IF('Raw Data'!L194="","",'Raw Data'!L194)</f>
        <v/>
      </c>
      <c r="M194">
        <f>IF('Raw Data'!M194="","",'Raw Data'!M194)</f>
        <v>47.3</v>
      </c>
      <c r="N194">
        <f>IF('Raw Data'!N194="","",IF('Raw Data'!N194="-",0,'Raw Data'!N194))</f>
        <v>15</v>
      </c>
      <c r="O194">
        <f>IF('Raw Data'!O194="","",'Raw Data'!O194)</f>
        <v>129.69999999999999</v>
      </c>
      <c r="P194" t="str">
        <f>IF('Raw Data'!P194="","",'Raw Data'!P194)</f>
        <v/>
      </c>
      <c r="R194" s="3" t="str">
        <f t="shared" si="80"/>
        <v>-</v>
      </c>
      <c r="S194" s="3">
        <f t="shared" si="81"/>
        <v>160</v>
      </c>
      <c r="T194" s="3">
        <f t="shared" si="82"/>
        <v>340</v>
      </c>
      <c r="U194" s="3">
        <f t="shared" si="83"/>
        <v>17.666666660000001</v>
      </c>
      <c r="W194" s="4">
        <f t="shared" si="84"/>
        <v>47.260774686428114</v>
      </c>
      <c r="X194" s="4">
        <f t="shared" si="85"/>
        <v>15.052547161151024</v>
      </c>
      <c r="Y194" s="3">
        <f t="shared" si="86"/>
        <v>340</v>
      </c>
    </row>
    <row r="195" spans="1:25" x14ac:dyDescent="0.25">
      <c r="A195" t="str">
        <f>IF('Raw Data'!A195="","",'Raw Data'!A195)</f>
        <v>BD</v>
      </c>
      <c r="B195" t="str">
        <f>IF('Raw Data'!B195="","",'Raw Data'!B195)</f>
        <v>BE</v>
      </c>
      <c r="C195">
        <f>IF('Raw Data'!C195="","",'Raw Data'!C195)</f>
        <v>25</v>
      </c>
      <c r="D195">
        <f>IF('Raw Data'!D195="","",'Raw Data'!D195)</f>
        <v>4</v>
      </c>
      <c r="E195">
        <f>IF('Raw Data'!E195="","",'Raw Data'!E195)</f>
        <v>3</v>
      </c>
      <c r="F195">
        <f>IF('Raw Data'!F195="","",'Raw Data'!F195)</f>
        <v>6</v>
      </c>
      <c r="G195" s="7" t="str">
        <f>IF('Raw Data'!G195="","",SUBSTITUTE('Raw Data'!G195," ",":",1))</f>
        <v>333:00</v>
      </c>
      <c r="H195" s="7" t="str">
        <f>IF('Raw Data'!H195="","",SUBSTITUTE('Raw Data'!H195," ",":",1))</f>
        <v>-</v>
      </c>
      <c r="I195" s="7" t="str">
        <f>IF('Raw Data'!I195="","",SUBSTITUTE('Raw Data'!I195," ",":",1))</f>
        <v>333:00</v>
      </c>
      <c r="J195" s="12">
        <f>IF('Raw Data'!J195="","",IF(LEN(K195)&gt;6,SQRT('Raw Data'!J195^2+N195^2),'Raw Data'!J195))</f>
        <v>24.7</v>
      </c>
      <c r="K195" s="7" t="str">
        <f>IF('Raw Data'!K195="","",IF(LEN('Raw Data'!K195)&lt;7,SUBSTITUTE('Raw Data'!K195," ",":",1),'Raw Data'!K195))</f>
        <v>-26:00</v>
      </c>
      <c r="L195" t="str">
        <f>IF('Raw Data'!L195="","",'Raw Data'!L195)</f>
        <v/>
      </c>
      <c r="M195">
        <f>IF('Raw Data'!M195="","",'Raw Data'!M195)</f>
        <v>22.2</v>
      </c>
      <c r="N195">
        <f>IF('Raw Data'!N195="","",IF('Raw Data'!N195="-",0,'Raw Data'!N195))</f>
        <v>-10.8</v>
      </c>
      <c r="O195">
        <f>IF('Raw Data'!O195="","",'Raw Data'!O195)</f>
        <v>144.69999999999999</v>
      </c>
      <c r="P195" t="str">
        <f>IF('Raw Data'!P195="","",'Raw Data'!P195)</f>
        <v>6' before junction with rift</v>
      </c>
      <c r="R195" s="3">
        <f t="shared" si="80"/>
        <v>333</v>
      </c>
      <c r="S195" s="3" t="str">
        <f t="shared" si="81"/>
        <v>-</v>
      </c>
      <c r="T195" s="3">
        <f t="shared" si="82"/>
        <v>333</v>
      </c>
      <c r="U195" s="3">
        <f t="shared" si="83"/>
        <v>-26</v>
      </c>
      <c r="W195" s="4">
        <f t="shared" si="84"/>
        <v>22.200212943589424</v>
      </c>
      <c r="X195" s="4">
        <f t="shared" si="85"/>
        <v>-10.827767325690212</v>
      </c>
      <c r="Y195" s="3">
        <f t="shared" si="86"/>
        <v>333</v>
      </c>
    </row>
    <row r="196" spans="1:25" x14ac:dyDescent="0.25">
      <c r="A196" t="str">
        <f>IF('Raw Data'!A196="","",'Raw Data'!A196)</f>
        <v>BE</v>
      </c>
      <c r="B196" t="str">
        <f>IF('Raw Data'!B196="","",'Raw Data'!B196)</f>
        <v>BF</v>
      </c>
      <c r="C196">
        <f>IF('Raw Data'!C196="","",'Raw Data'!C196)</f>
        <v>30</v>
      </c>
      <c r="D196">
        <f>IF('Raw Data'!D196="","",'Raw Data'!D196)</f>
        <v>10</v>
      </c>
      <c r="E196" t="str">
        <f>IF('Raw Data'!E196="","",'Raw Data'!E196)</f>
        <v>-</v>
      </c>
      <c r="F196">
        <f>IF('Raw Data'!F196="","",'Raw Data'!F196)</f>
        <v>5</v>
      </c>
      <c r="G196" s="7" t="str">
        <f>IF('Raw Data'!G196="","",SUBSTITUTE('Raw Data'!G196," ",":",1))</f>
        <v>-</v>
      </c>
      <c r="H196" s="7" t="str">
        <f>IF('Raw Data'!H196="","",SUBSTITUTE('Raw Data'!H196," ",":",1))</f>
        <v>203:30</v>
      </c>
      <c r="I196" s="7" t="str">
        <f>IF('Raw Data'!I196="","",SUBSTITUTE('Raw Data'!I196," ",":",1))</f>
        <v>023:30</v>
      </c>
      <c r="J196" s="12">
        <f>IF('Raw Data'!J196="","",IF(LEN(K196)&gt;6,SQRT('Raw Data'!J196^2+N196^2),'Raw Data'!J196))</f>
        <v>13.3</v>
      </c>
      <c r="K196" s="7" t="str">
        <f>IF('Raw Data'!K196="","",IF(LEN('Raw Data'!K196)&lt;7,SUBSTITUTE('Raw Data'!K196," ",":",1),'Raw Data'!K196))</f>
        <v>14:00</v>
      </c>
      <c r="L196" t="str">
        <f>IF('Raw Data'!L196="","",'Raw Data'!L196)</f>
        <v/>
      </c>
      <c r="M196">
        <f>IF('Raw Data'!M196="","",'Raw Data'!M196)</f>
        <v>12.9</v>
      </c>
      <c r="N196">
        <f>IF('Raw Data'!N196="","",IF('Raw Data'!N196="-",0,'Raw Data'!N196))</f>
        <v>3.2</v>
      </c>
      <c r="O196">
        <f>IF('Raw Data'!O196="","",'Raw Data'!O196)</f>
        <v>133.9</v>
      </c>
      <c r="P196" t="str">
        <f>IF('Raw Data'!P196="","",'Raw Data'!P196)</f>
        <v>over dark rift</v>
      </c>
      <c r="R196" s="3" t="str">
        <f t="shared" si="80"/>
        <v>-</v>
      </c>
      <c r="S196" s="3">
        <f t="shared" si="81"/>
        <v>203.5</v>
      </c>
      <c r="T196" s="3">
        <f t="shared" si="82"/>
        <v>23.5</v>
      </c>
      <c r="U196" s="3">
        <f t="shared" si="83"/>
        <v>14</v>
      </c>
      <c r="W196" s="4">
        <f t="shared" si="84"/>
        <v>12.904933159470755</v>
      </c>
      <c r="X196" s="4">
        <f t="shared" si="85"/>
        <v>3.2175612114755809</v>
      </c>
      <c r="Y196" s="3">
        <f t="shared" si="86"/>
        <v>23.5</v>
      </c>
    </row>
    <row r="197" spans="1:25" x14ac:dyDescent="0.25">
      <c r="A197" t="str">
        <f>IF('Raw Data'!A197="","",'Raw Data'!A197)</f>
        <v>BF</v>
      </c>
      <c r="B197" t="str">
        <f>IF('Raw Data'!B197="","",'Raw Data'!B197)</f>
        <v>BG</v>
      </c>
      <c r="C197">
        <f>IF('Raw Data'!C197="","",'Raw Data'!C197)</f>
        <v>25</v>
      </c>
      <c r="D197">
        <f>IF('Raw Data'!D197="","",'Raw Data'!D197)</f>
        <v>5</v>
      </c>
      <c r="E197">
        <f>IF('Raw Data'!E197="","",'Raw Data'!E197)</f>
        <v>5</v>
      </c>
      <c r="F197" t="str">
        <f>IF('Raw Data'!F197="","",'Raw Data'!F197)</f>
        <v>/</v>
      </c>
      <c r="G197" s="7" t="str">
        <f>IF('Raw Data'!G197="","",SUBSTITUTE('Raw Data'!G197," ",":",1))</f>
        <v>091:50</v>
      </c>
      <c r="H197" s="7" t="str">
        <f>IF('Raw Data'!H197="","",SUBSTITUTE('Raw Data'!H197," ",":",1))</f>
        <v>-</v>
      </c>
      <c r="I197" s="7" t="str">
        <f>IF('Raw Data'!I197="","",SUBSTITUTE('Raw Data'!I197," ",":",1))</f>
        <v>091:50</v>
      </c>
      <c r="J197" s="12">
        <f>IF('Raw Data'!J197="","",IF(LEN(K197)&gt;6,SQRT('Raw Data'!J197^2+N197^2),'Raw Data'!J197))</f>
        <v>15.7</v>
      </c>
      <c r="K197" s="7" t="str">
        <f>IF('Raw Data'!K197="","",IF(LEN('Raw Data'!K197)&lt;7,SUBSTITUTE('Raw Data'!K197," ",":",1),'Raw Data'!K197))</f>
        <v>15:00</v>
      </c>
      <c r="L197" t="str">
        <f>IF('Raw Data'!L197="","",'Raw Data'!L197)</f>
        <v/>
      </c>
      <c r="M197">
        <f>IF('Raw Data'!M197="","",'Raw Data'!M197)</f>
        <v>15.2</v>
      </c>
      <c r="N197">
        <f>IF('Raw Data'!N197="","",IF('Raw Data'!N197="-",0,'Raw Data'!N197))</f>
        <v>4.0999999999999996</v>
      </c>
      <c r="O197">
        <f>IF('Raw Data'!O197="","",'Raw Data'!O197)</f>
        <v>137.1</v>
      </c>
      <c r="P197" t="str">
        <f>IF('Raw Data'!P197="","",'Raw Data'!P197)</f>
        <v>corner</v>
      </c>
      <c r="R197" s="3">
        <f t="shared" si="80"/>
        <v>91.833333333333329</v>
      </c>
      <c r="S197" s="3" t="str">
        <f t="shared" si="81"/>
        <v>-</v>
      </c>
      <c r="T197" s="3">
        <f t="shared" si="82"/>
        <v>91.833333333333329</v>
      </c>
      <c r="U197" s="3">
        <f t="shared" si="83"/>
        <v>15</v>
      </c>
      <c r="W197" s="4">
        <f t="shared" si="84"/>
        <v>15.165035472738372</v>
      </c>
      <c r="X197" s="4">
        <f t="shared" si="85"/>
        <v>4.0634590081095752</v>
      </c>
      <c r="Y197" s="3">
        <f t="shared" si="86"/>
        <v>91.833333333333329</v>
      </c>
    </row>
    <row r="198" spans="1:25" x14ac:dyDescent="0.25">
      <c r="A198" t="str">
        <f>IF('Raw Data'!A198="","",'Raw Data'!A198)</f>
        <v>BG</v>
      </c>
      <c r="B198" t="str">
        <f>IF('Raw Data'!B198="","",'Raw Data'!B198)</f>
        <v>BH</v>
      </c>
      <c r="C198">
        <f>IF('Raw Data'!C198="","",'Raw Data'!C198)</f>
        <v>25</v>
      </c>
      <c r="D198">
        <f>IF('Raw Data'!D198="","",'Raw Data'!D198)</f>
        <v>5</v>
      </c>
      <c r="E198">
        <f>IF('Raw Data'!E198="","",'Raw Data'!E198)</f>
        <v>2</v>
      </c>
      <c r="F198">
        <f>IF('Raw Data'!F198="","",'Raw Data'!F198)</f>
        <v>5</v>
      </c>
      <c r="G198" s="7" t="str">
        <f>IF('Raw Data'!G198="","",SUBSTITUTE('Raw Data'!G198," ",":",1))</f>
        <v>-</v>
      </c>
      <c r="H198" s="7" t="str">
        <f>IF('Raw Data'!H198="","",SUBSTITUTE('Raw Data'!H198," ",":",1))</f>
        <v>324:20</v>
      </c>
      <c r="I198" s="7" t="str">
        <f>IF('Raw Data'!I198="","",SUBSTITUTE('Raw Data'!I198," ",":",1))</f>
        <v>144:20</v>
      </c>
      <c r="J198" s="12">
        <f>IF('Raw Data'!J198="","",IF(LEN(K198)&gt;6,SQRT('Raw Data'!J198^2+N198^2),'Raw Data'!J198))</f>
        <v>36.9</v>
      </c>
      <c r="K198" s="7" t="str">
        <f>IF('Raw Data'!K198="","",IF(LEN('Raw Data'!K198)&lt;7,SUBSTITUTE('Raw Data'!K198," ",":",1),'Raw Data'!K198))</f>
        <v>11:30</v>
      </c>
      <c r="L198" t="str">
        <f>IF('Raw Data'!L198="","",'Raw Data'!L198)</f>
        <v/>
      </c>
      <c r="M198">
        <f>IF('Raw Data'!M198="","",'Raw Data'!M198)</f>
        <v>36.1</v>
      </c>
      <c r="N198">
        <f>IF('Raw Data'!N198="","",IF('Raw Data'!N198="-",0,'Raw Data'!N198))</f>
        <v>7.3</v>
      </c>
      <c r="O198">
        <f>IF('Raw Data'!O198="","",'Raw Data'!O198)</f>
        <v>141.19999999999999</v>
      </c>
      <c r="P198" t="str">
        <f>IF('Raw Data'!P198="","",'Raw Data'!P198)</f>
        <v/>
      </c>
      <c r="R198" s="3" t="str">
        <f t="shared" si="80"/>
        <v>-</v>
      </c>
      <c r="S198" s="3">
        <f t="shared" si="81"/>
        <v>324.33333333333331</v>
      </c>
      <c r="T198" s="3">
        <f t="shared" si="82"/>
        <v>144.33333333333334</v>
      </c>
      <c r="U198" s="3">
        <f t="shared" si="83"/>
        <v>11.5</v>
      </c>
      <c r="W198" s="4">
        <f t="shared" si="84"/>
        <v>36.159221600508609</v>
      </c>
      <c r="X198" s="4">
        <f t="shared" si="85"/>
        <v>7.3566767799945749</v>
      </c>
      <c r="Y198" s="3">
        <f t="shared" si="86"/>
        <v>144.33333333333331</v>
      </c>
    </row>
    <row r="199" spans="1:25" x14ac:dyDescent="0.25">
      <c r="A199" t="str">
        <f>IF('Raw Data'!A199="","",'Raw Data'!A199)</f>
        <v>BH</v>
      </c>
      <c r="B199" t="str">
        <f>IF('Raw Data'!B199="","",'Raw Data'!B199)</f>
        <v>BI</v>
      </c>
      <c r="C199">
        <f>IF('Raw Data'!C199="","",'Raw Data'!C199)</f>
        <v>5</v>
      </c>
      <c r="D199">
        <f>IF('Raw Data'!D199="","",'Raw Data'!D199)</f>
        <v>5</v>
      </c>
      <c r="E199">
        <f>IF('Raw Data'!E199="","",'Raw Data'!E199)</f>
        <v>6</v>
      </c>
      <c r="F199">
        <f>IF('Raw Data'!F199="","",'Raw Data'!F199)</f>
        <v>2</v>
      </c>
      <c r="G199" s="7" t="str">
        <f>IF('Raw Data'!G199="","",SUBSTITUTE('Raw Data'!G199," ",":",1))</f>
        <v>104:10</v>
      </c>
      <c r="H199" s="7" t="str">
        <f>IF('Raw Data'!H199="","",SUBSTITUTE('Raw Data'!H199," ",":",1))</f>
        <v>-</v>
      </c>
      <c r="I199" s="7" t="str">
        <f>IF('Raw Data'!I199="","",SUBSTITUTE('Raw Data'!I199," ",":",1))</f>
        <v>104:10</v>
      </c>
      <c r="J199" s="12">
        <f>IF('Raw Data'!J199="","",IF(LEN(K199)&gt;6,SQRT('Raw Data'!J199^2+N199^2),'Raw Data'!J199))</f>
        <v>24.2</v>
      </c>
      <c r="K199" s="7" t="str">
        <f>IF('Raw Data'!K199="","",IF(LEN('Raw Data'!K199)&lt;7,SUBSTITUTE('Raw Data'!K199," ",":",1),'Raw Data'!K199))</f>
        <v>-0:30</v>
      </c>
      <c r="L199" t="str">
        <f>IF('Raw Data'!L199="","",'Raw Data'!L199)</f>
        <v/>
      </c>
      <c r="M199">
        <f>IF('Raw Data'!M199="","",'Raw Data'!M199)</f>
        <v>24.2</v>
      </c>
      <c r="N199">
        <f>IF('Raw Data'!N199="","",IF('Raw Data'!N199="-",0,'Raw Data'!N199))</f>
        <v>-0.2</v>
      </c>
      <c r="O199">
        <f>IF('Raw Data'!O199="","",'Raw Data'!O199)</f>
        <v>148.5</v>
      </c>
      <c r="P199" t="str">
        <f>IF('Raw Data'!P199="","",'Raw Data'!P199)</f>
        <v/>
      </c>
      <c r="R199" s="3">
        <f t="shared" si="80"/>
        <v>104.16666666666667</v>
      </c>
      <c r="S199" s="3" t="str">
        <f t="shared" si="81"/>
        <v>-</v>
      </c>
      <c r="T199" s="3">
        <f t="shared" si="82"/>
        <v>104.16666666666667</v>
      </c>
      <c r="U199" s="3">
        <f t="shared" si="83"/>
        <v>-0.5</v>
      </c>
      <c r="W199" s="4">
        <f t="shared" si="84"/>
        <v>24.199078538152946</v>
      </c>
      <c r="X199" s="4">
        <f t="shared" si="85"/>
        <v>-0.21118215906064922</v>
      </c>
      <c r="Y199" s="3">
        <f t="shared" si="86"/>
        <v>104.16666666666667</v>
      </c>
    </row>
    <row r="200" spans="1:25" x14ac:dyDescent="0.25">
      <c r="A200" t="str">
        <f>IF('Raw Data'!A200="","",'Raw Data'!A200)</f>
        <v>BI</v>
      </c>
      <c r="B200" t="str">
        <f>IF('Raw Data'!B200="","",'Raw Data'!B200)</f>
        <v>BJ</v>
      </c>
      <c r="C200">
        <f>IF('Raw Data'!C200="","",'Raw Data'!C200)</f>
        <v>25</v>
      </c>
      <c r="D200">
        <f>IF('Raw Data'!D200="","",'Raw Data'!D200)</f>
        <v>3</v>
      </c>
      <c r="E200">
        <f>IF('Raw Data'!E200="","",'Raw Data'!E200)</f>
        <v>3</v>
      </c>
      <c r="F200" t="str">
        <f>IF('Raw Data'!F200="","",'Raw Data'!F200)</f>
        <v>10 (in alcove above)</v>
      </c>
      <c r="G200" s="7" t="str">
        <f>IF('Raw Data'!G200="","",SUBSTITUTE('Raw Data'!G200," ",":",1))</f>
        <v>-</v>
      </c>
      <c r="H200" s="7" t="str">
        <f>IF('Raw Data'!H200="","",SUBSTITUTE('Raw Data'!H200," ",":",1))</f>
        <v>212:20</v>
      </c>
      <c r="I200" s="7" t="str">
        <f>IF('Raw Data'!I200="","",SUBSTITUTE('Raw Data'!I200," ",":",1))</f>
        <v>032:20</v>
      </c>
      <c r="J200" s="12">
        <f>IF('Raw Data'!J200="","",IF(LEN(K200)&gt;6,SQRT('Raw Data'!J200^2+N200^2),'Raw Data'!J200))</f>
        <v>17.5</v>
      </c>
      <c r="K200" s="7" t="str">
        <f>IF('Raw Data'!K200="","",IF(LEN('Raw Data'!K200)&lt;7,SUBSTITUTE('Raw Data'!K200," ",":",1),'Raw Data'!K200))</f>
        <v>39:00</v>
      </c>
      <c r="L200" t="str">
        <f>IF('Raw Data'!L200="","",'Raw Data'!L200)</f>
        <v/>
      </c>
      <c r="M200">
        <f>IF('Raw Data'!M200="","",'Raw Data'!M200)</f>
        <v>13.6</v>
      </c>
      <c r="N200">
        <f>IF('Raw Data'!N200="","",IF('Raw Data'!N200="-",0,'Raw Data'!N200))</f>
        <v>11</v>
      </c>
      <c r="O200">
        <f>IF('Raw Data'!O200="","",'Raw Data'!O200)</f>
        <v>148.30000000000001</v>
      </c>
      <c r="P200" t="str">
        <f>IF('Raw Data'!P200="","",'Raw Data'!P200)</f>
        <v>W.R. At stream level nil(?)</v>
      </c>
      <c r="R200" s="3" t="str">
        <f t="shared" si="80"/>
        <v>-</v>
      </c>
      <c r="S200" s="3">
        <f t="shared" si="81"/>
        <v>212.33333333333334</v>
      </c>
      <c r="T200" s="3">
        <f t="shared" si="82"/>
        <v>32.333333333333336</v>
      </c>
      <c r="U200" s="3">
        <f t="shared" si="83"/>
        <v>39</v>
      </c>
      <c r="W200" s="4">
        <f t="shared" si="84"/>
        <v>13.600054325496991</v>
      </c>
      <c r="X200" s="4">
        <f t="shared" si="85"/>
        <v>11.013106843372155</v>
      </c>
      <c r="Y200" s="3">
        <f t="shared" si="86"/>
        <v>32.333333333333343</v>
      </c>
    </row>
    <row r="201" spans="1:25" x14ac:dyDescent="0.25">
      <c r="A201" t="str">
        <f>IF('Raw Data'!A201="","",'Raw Data'!A201)</f>
        <v>BJ</v>
      </c>
      <c r="B201" t="str">
        <f>IF('Raw Data'!B201="","",'Raw Data'!B201)</f>
        <v>BK</v>
      </c>
      <c r="C201">
        <f>IF('Raw Data'!C201="","",'Raw Data'!C201)</f>
        <v>20</v>
      </c>
      <c r="D201">
        <f>IF('Raw Data'!D201="","",'Raw Data'!D201)</f>
        <v>15</v>
      </c>
      <c r="E201">
        <f>IF('Raw Data'!E201="","",'Raw Data'!E201)</f>
        <v>8</v>
      </c>
      <c r="F201">
        <f>IF('Raw Data'!F201="","",'Raw Data'!F201)</f>
        <v>10</v>
      </c>
      <c r="G201" s="7" t="str">
        <f>IF('Raw Data'!G201="","",SUBSTITUTE('Raw Data'!G201," ",":",1))</f>
        <v>121:00</v>
      </c>
      <c r="H201" s="7" t="str">
        <f>IF('Raw Data'!H201="","",SUBSTITUTE('Raw Data'!H201," ",":",1))</f>
        <v>-</v>
      </c>
      <c r="I201" s="7" t="str">
        <f>IF('Raw Data'!I201="","",SUBSTITUTE('Raw Data'!I201," ",":",1))</f>
        <v>121:00</v>
      </c>
      <c r="J201" s="12">
        <f>IF('Raw Data'!J201="","",IF(LEN(K201)&gt;6,SQRT('Raw Data'!J201^2+N201^2),'Raw Data'!J201))</f>
        <v>24.8</v>
      </c>
      <c r="K201" s="7" t="str">
        <f>IF('Raw Data'!K201="","",IF(LEN('Raw Data'!K201)&lt;7,SUBSTITUTE('Raw Data'!K201," ",":",1),'Raw Data'!K201))</f>
        <v>9:00</v>
      </c>
      <c r="L201" t="str">
        <f>IF('Raw Data'!L201="","",'Raw Data'!L201)</f>
        <v/>
      </c>
      <c r="M201">
        <f>IF('Raw Data'!M201="","",'Raw Data'!M201)</f>
        <v>24.5</v>
      </c>
      <c r="N201">
        <f>IF('Raw Data'!N201="","",IF('Raw Data'!N201="-",0,'Raw Data'!N201))</f>
        <v>3.9</v>
      </c>
      <c r="O201">
        <f>IF('Raw Data'!O201="","",'Raw Data'!O201)</f>
        <v>159.30000000000001</v>
      </c>
      <c r="P201" t="str">
        <f>IF('Raw Data'!P201="","",'Raw Data'!P201)</f>
        <v>above lower double pot</v>
      </c>
      <c r="R201" s="3">
        <f t="shared" si="80"/>
        <v>121</v>
      </c>
      <c r="S201" s="3" t="str">
        <f t="shared" si="81"/>
        <v>-</v>
      </c>
      <c r="T201" s="3">
        <f t="shared" si="82"/>
        <v>121</v>
      </c>
      <c r="U201" s="3">
        <f t="shared" si="83"/>
        <v>9</v>
      </c>
      <c r="W201" s="4">
        <f t="shared" si="84"/>
        <v>24.494670846759416</v>
      </c>
      <c r="X201" s="4">
        <f t="shared" si="85"/>
        <v>3.8795747329977255</v>
      </c>
      <c r="Y201" s="3">
        <f t="shared" si="86"/>
        <v>121</v>
      </c>
    </row>
    <row r="202" spans="1:25" x14ac:dyDescent="0.25">
      <c r="A202" t="str">
        <f>IF('Raw Data'!A202="","",'Raw Data'!A202)</f>
        <v>BK</v>
      </c>
      <c r="B202" t="str">
        <f>IF('Raw Data'!B202="","",'Raw Data'!B202)</f>
        <v>BL</v>
      </c>
      <c r="C202">
        <f>IF('Raw Data'!C202="","",'Raw Data'!C202)</f>
        <v>7</v>
      </c>
      <c r="D202">
        <f>IF('Raw Data'!D202="","",'Raw Data'!D202)</f>
        <v>6</v>
      </c>
      <c r="E202">
        <f>IF('Raw Data'!E202="","",'Raw Data'!E202)</f>
        <v>5</v>
      </c>
      <c r="F202" t="str">
        <f>IF('Raw Data'!F202="","",'Raw Data'!F202)</f>
        <v>-</v>
      </c>
      <c r="G202" s="7" t="str">
        <f>IF('Raw Data'!G202="","",SUBSTITUTE('Raw Data'!G202," ",":",1))</f>
        <v>-</v>
      </c>
      <c r="H202" s="7" t="str">
        <f>IF('Raw Data'!H202="","",SUBSTITUTE('Raw Data'!H202," ",":",1))</f>
        <v>277:30</v>
      </c>
      <c r="I202" s="7" t="str">
        <f>IF('Raw Data'!I202="","",SUBSTITUTE('Raw Data'!I202," ",":",1))</f>
        <v>097:30</v>
      </c>
      <c r="J202" s="12">
        <f>IF('Raw Data'!J202="","",IF(LEN(K202)&gt;6,SQRT('Raw Data'!J202^2+N202^2),'Raw Data'!J202))</f>
        <v>22.1</v>
      </c>
      <c r="K202" s="7" t="str">
        <f>IF('Raw Data'!K202="","",IF(LEN('Raw Data'!K202)&lt;7,SUBSTITUTE('Raw Data'!K202," ",":",1),'Raw Data'!K202))</f>
        <v>-0:30</v>
      </c>
      <c r="L202" t="str">
        <f>IF('Raw Data'!L202="","",'Raw Data'!L202)</f>
        <v/>
      </c>
      <c r="M202">
        <f>IF('Raw Data'!M202="","",'Raw Data'!M202)</f>
        <v>22.1</v>
      </c>
      <c r="N202">
        <f>IF('Raw Data'!N202="","",IF('Raw Data'!N202="-",0,'Raw Data'!N202))</f>
        <v>-0.2</v>
      </c>
      <c r="O202">
        <f>IF('Raw Data'!O202="","",'Raw Data'!O202)</f>
        <v>163.19999999999999</v>
      </c>
      <c r="P202" t="str">
        <f>IF('Raw Data'!P202="","",'Raw Data'!P202)</f>
        <v>low height due to stalagmite choke in high aven</v>
      </c>
      <c r="R202" s="3" t="str">
        <f t="shared" si="80"/>
        <v>-</v>
      </c>
      <c r="S202" s="3">
        <f t="shared" si="81"/>
        <v>277.5</v>
      </c>
      <c r="T202" s="3">
        <f t="shared" si="82"/>
        <v>97.5</v>
      </c>
      <c r="U202" s="3">
        <f t="shared" si="83"/>
        <v>-0.5</v>
      </c>
      <c r="W202" s="4">
        <f t="shared" si="84"/>
        <v>22.099158499718186</v>
      </c>
      <c r="X202" s="4">
        <f t="shared" si="85"/>
        <v>-0.19285643451406398</v>
      </c>
      <c r="Y202" s="3">
        <f t="shared" si="86"/>
        <v>97.5</v>
      </c>
    </row>
    <row r="203" spans="1:25" x14ac:dyDescent="0.25">
      <c r="A203" t="str">
        <f>IF('Raw Data'!A203="","",'Raw Data'!A203)</f>
        <v>BL</v>
      </c>
      <c r="B203" t="str">
        <f>IF('Raw Data'!B203="","",'Raw Data'!B203)</f>
        <v>BM</v>
      </c>
      <c r="C203">
        <f>IF('Raw Data'!C203="","",'Raw Data'!C203)</f>
        <v>30</v>
      </c>
      <c r="D203">
        <f>IF('Raw Data'!D203="","",'Raw Data'!D203)</f>
        <v>5</v>
      </c>
      <c r="E203">
        <f>IF('Raw Data'!E203="","",'Raw Data'!E203)</f>
        <v>1</v>
      </c>
      <c r="F203">
        <f>IF('Raw Data'!F203="","",'Raw Data'!F203)</f>
        <v>3</v>
      </c>
      <c r="G203" s="7" t="str">
        <f>IF('Raw Data'!G203="","",SUBSTITUTE('Raw Data'!G203," ",":",1))</f>
        <v>133:00</v>
      </c>
      <c r="H203" s="7" t="str">
        <f>IF('Raw Data'!H203="","",SUBSTITUTE('Raw Data'!H203," ",":",1))</f>
        <v>-</v>
      </c>
      <c r="I203" s="7" t="str">
        <f>IF('Raw Data'!I203="","",SUBSTITUTE('Raw Data'!I203," ",":",1))</f>
        <v>133:00</v>
      </c>
      <c r="J203" s="12">
        <f>IF('Raw Data'!J203="","",IF(LEN(K203)&gt;6,SQRT('Raw Data'!J203^2+N203^2),'Raw Data'!J203))</f>
        <v>35.700000000000003</v>
      </c>
      <c r="K203" s="7" t="str">
        <f>IF('Raw Data'!K203="","",IF(LEN('Raw Data'!K203)&lt;7,SUBSTITUTE('Raw Data'!K203," ",":",1),'Raw Data'!K203))</f>
        <v>7:00</v>
      </c>
      <c r="L203" t="str">
        <f>IF('Raw Data'!L203="","",'Raw Data'!L203)</f>
        <v/>
      </c>
      <c r="M203">
        <f>IF('Raw Data'!M203="","",'Raw Data'!M203)</f>
        <v>35.4</v>
      </c>
      <c r="N203">
        <f>IF('Raw Data'!N203="","",IF('Raw Data'!N203="-",0,'Raw Data'!N203))</f>
        <v>4.3</v>
      </c>
      <c r="O203">
        <f>IF('Raw Data'!O203="","",'Raw Data'!O203)</f>
        <v>163</v>
      </c>
      <c r="P203" t="str">
        <f>IF('Raw Data'!P203="","",'Raw Data'!P203)</f>
        <v/>
      </c>
      <c r="R203" s="3">
        <f t="shared" si="80"/>
        <v>133</v>
      </c>
      <c r="S203" s="3" t="str">
        <f t="shared" si="81"/>
        <v>-</v>
      </c>
      <c r="T203" s="3">
        <f t="shared" si="82"/>
        <v>133</v>
      </c>
      <c r="U203" s="3">
        <f t="shared" si="83"/>
        <v>7</v>
      </c>
      <c r="W203" s="4">
        <f t="shared" si="84"/>
        <v>35.4338976135952</v>
      </c>
      <c r="X203" s="4">
        <f t="shared" si="85"/>
        <v>4.3507355595637653</v>
      </c>
      <c r="Y203" s="3">
        <f t="shared" si="86"/>
        <v>133</v>
      </c>
    </row>
    <row r="204" spans="1:25" x14ac:dyDescent="0.25">
      <c r="A204" t="str">
        <f>IF('Raw Data'!A204="","",'Raw Data'!A204)</f>
        <v>BM</v>
      </c>
      <c r="B204" t="str">
        <f>IF('Raw Data'!B204="","",'Raw Data'!B204)</f>
        <v>BN</v>
      </c>
      <c r="C204">
        <f>IF('Raw Data'!C204="","",'Raw Data'!C204)</f>
        <v>20</v>
      </c>
      <c r="D204">
        <f>IF('Raw Data'!D204="","",'Raw Data'!D204)</f>
        <v>8</v>
      </c>
      <c r="E204">
        <f>IF('Raw Data'!E204="","",'Raw Data'!E204)</f>
        <v>1</v>
      </c>
      <c r="F204">
        <f>IF('Raw Data'!F204="","",'Raw Data'!F204)</f>
        <v>3</v>
      </c>
      <c r="G204" s="7" t="str">
        <f>IF('Raw Data'!G204="","",SUBSTITUTE('Raw Data'!G204," ",":",1))</f>
        <v>-</v>
      </c>
      <c r="H204" s="7" t="str">
        <f>IF('Raw Data'!H204="","",SUBSTITUTE('Raw Data'!H204," ",":",1))</f>
        <v>351:20</v>
      </c>
      <c r="I204" s="7" t="str">
        <f>IF('Raw Data'!I204="","",SUBSTITUTE('Raw Data'!I204," ",":",1))</f>
        <v>171:20</v>
      </c>
      <c r="J204" s="12">
        <f>IF('Raw Data'!J204="","",IF(LEN(K204)&gt;6,SQRT('Raw Data'!J204^2+N204^2),'Raw Data'!J204))</f>
        <v>9.9</v>
      </c>
      <c r="K204" s="7" t="str">
        <f>IF('Raw Data'!K204="","",IF(LEN('Raw Data'!K204)&lt;7,SUBSTITUTE('Raw Data'!K204," ",":",1),'Raw Data'!K204))</f>
        <v>-23:30</v>
      </c>
      <c r="L204" t="str">
        <f>IF('Raw Data'!L204="","",'Raw Data'!L204)</f>
        <v/>
      </c>
      <c r="M204">
        <f>IF('Raw Data'!M204="","",'Raw Data'!M204)</f>
        <v>9.1</v>
      </c>
      <c r="N204">
        <f>IF('Raw Data'!N204="","",IF('Raw Data'!N204="-",0,'Raw Data'!N204))</f>
        <v>-4</v>
      </c>
      <c r="O204">
        <f>IF('Raw Data'!O204="","",'Raw Data'!O204)</f>
        <v>167.3</v>
      </c>
      <c r="P204" t="str">
        <f>IF('Raw Data'!P204="","",'Raw Data'!P204)</f>
        <v/>
      </c>
      <c r="R204" s="3" t="str">
        <f t="shared" ref="R204:R238" si="87">IF(ISERROR(FIND(":",G204)),IF(G204&lt;&gt;"-",1*G204,G204),1*LEFT(G204,FIND(":",G204)-1)+RIGHT(G204,LEN(G204)-FIND(":",G204))/60)</f>
        <v>-</v>
      </c>
      <c r="S204" s="3">
        <f t="shared" ref="S204:S238" si="88">IF(ISERROR(FIND(":",H204)),IF(H204&lt;&gt;"-",1*H204,H204),1*LEFT(H204,FIND(":",H204)-1)+RIGHT(H204,LEN(H204)-FIND(":",H204))/60)</f>
        <v>351.33333333333331</v>
      </c>
      <c r="T204" s="3">
        <f t="shared" ref="T204:T238" si="89">IF(ISERROR(FIND(":",I204)),IF(I204&lt;&gt;"-",1*I204,I204),1*LEFT(I204,FIND(":",I204)-1)+RIGHT(I204,LEN(I204)-FIND(":",I204))/60)</f>
        <v>171.33333333333334</v>
      </c>
      <c r="U204" s="3">
        <f t="shared" ref="U204:U238" si="90">IF(ISERROR(FIND(":",K204)),K204,1*CONCATENATE(LEFT(K204,FIND(":",K204)-1),".",MID(RIGHT(K204,LEN(K204)-FIND(":",K204))/60,3,8)))</f>
        <v>-23.5</v>
      </c>
      <c r="W204" s="4">
        <f t="shared" ref="W204:W238" si="91">J204*COS(U204*PI()/180)</f>
        <v>9.0788947364127282</v>
      </c>
      <c r="X204" s="4">
        <f t="shared" ref="X204:X238" si="92">J204*SIN(U204*PI()/180)</f>
        <v>-3.9476157823599376</v>
      </c>
      <c r="Y204" s="3">
        <f t="shared" ref="Y204:Y238" si="93">IF(R204="-",IF(S204&gt;180,S204-180,S204+180),R204)</f>
        <v>171.33333333333331</v>
      </c>
    </row>
    <row r="205" spans="1:25" x14ac:dyDescent="0.25">
      <c r="A205" t="str">
        <f>IF('Raw Data'!A205="","",'Raw Data'!A205)</f>
        <v>BN</v>
      </c>
      <c r="B205" t="str">
        <f>IF('Raw Data'!B205="","",'Raw Data'!B205)</f>
        <v>BO</v>
      </c>
      <c r="C205">
        <f>IF('Raw Data'!C205="","",'Raw Data'!C205)</f>
        <v>20</v>
      </c>
      <c r="D205">
        <f>IF('Raw Data'!D205="","",'Raw Data'!D205)</f>
        <v>3</v>
      </c>
      <c r="E205">
        <f>IF('Raw Data'!E205="","",'Raw Data'!E205)</f>
        <v>4</v>
      </c>
      <c r="F205">
        <f>IF('Raw Data'!F205="","",'Raw Data'!F205)</f>
        <v>4</v>
      </c>
      <c r="G205" s="7" t="str">
        <f>IF('Raw Data'!G205="","",SUBSTITUTE('Raw Data'!G205," ",":",1))</f>
        <v>102:20</v>
      </c>
      <c r="H205" s="7" t="str">
        <f>IF('Raw Data'!H205="","",SUBSTITUTE('Raw Data'!H205," ",":",1))</f>
        <v>-</v>
      </c>
      <c r="I205" s="7" t="str">
        <f>IF('Raw Data'!I205="","",SUBSTITUTE('Raw Data'!I205," ",":",1))</f>
        <v>102:20</v>
      </c>
      <c r="J205" s="12">
        <f>IF('Raw Data'!J205="","",IF(LEN(K205)&gt;6,SQRT('Raw Data'!J205^2+N205^2),'Raw Data'!J205))</f>
        <v>7.7</v>
      </c>
      <c r="K205" s="7" t="str">
        <f>IF('Raw Data'!K205="","",IF(LEN('Raw Data'!K205)&lt;7,SUBSTITUTE('Raw Data'!K205," ",":",1),'Raw Data'!K205))</f>
        <v>15:00</v>
      </c>
      <c r="L205" t="str">
        <f>IF('Raw Data'!L205="","",'Raw Data'!L205)</f>
        <v/>
      </c>
      <c r="M205">
        <f>IF('Raw Data'!M205="","",'Raw Data'!M205)</f>
        <v>7.4</v>
      </c>
      <c r="N205">
        <f>IF('Raw Data'!N205="","",IF('Raw Data'!N205="-",0,'Raw Data'!N205))</f>
        <v>2</v>
      </c>
      <c r="O205">
        <f>IF('Raw Data'!O205="","",'Raw Data'!O205)</f>
        <v>163.30000000000001</v>
      </c>
      <c r="P205" t="str">
        <f>IF('Raw Data'!P205="","",'Raw Data'!P205)</f>
        <v/>
      </c>
      <c r="R205" s="3">
        <f t="shared" si="87"/>
        <v>102.33333333333333</v>
      </c>
      <c r="S205" s="3" t="str">
        <f t="shared" si="88"/>
        <v>-</v>
      </c>
      <c r="T205" s="3">
        <f t="shared" si="89"/>
        <v>102.33333333333333</v>
      </c>
      <c r="U205" s="3">
        <f t="shared" si="90"/>
        <v>15</v>
      </c>
      <c r="W205" s="4">
        <f t="shared" si="91"/>
        <v>7.437628862425826</v>
      </c>
      <c r="X205" s="4">
        <f t="shared" si="92"/>
        <v>1.9929066472894097</v>
      </c>
      <c r="Y205" s="3">
        <f t="shared" si="93"/>
        <v>102.33333333333333</v>
      </c>
    </row>
    <row r="206" spans="1:25" x14ac:dyDescent="0.25">
      <c r="A206" t="str">
        <f>IF('Raw Data'!A206="","",'Raw Data'!A206)</f>
        <v>BO</v>
      </c>
      <c r="B206" t="str">
        <f>IF('Raw Data'!B206="","",'Raw Data'!B206)</f>
        <v>BP</v>
      </c>
      <c r="C206">
        <f>IF('Raw Data'!C206="","",'Raw Data'!C206)</f>
        <v>15</v>
      </c>
      <c r="D206">
        <f>IF('Raw Data'!D206="","",'Raw Data'!D206)</f>
        <v>4</v>
      </c>
      <c r="E206">
        <f>IF('Raw Data'!E206="","",'Raw Data'!E206)</f>
        <v>3</v>
      </c>
      <c r="F206">
        <f>IF('Raw Data'!F206="","",'Raw Data'!F206)</f>
        <v>1</v>
      </c>
      <c r="G206" s="7" t="str">
        <f>IF('Raw Data'!G206="","",SUBSTITUTE('Raw Data'!G206," ",":",1))</f>
        <v>-</v>
      </c>
      <c r="H206" s="7" t="str">
        <f>IF('Raw Data'!H206="","",SUBSTITUTE('Raw Data'!H206," ",":",1))</f>
        <v>317:00</v>
      </c>
      <c r="I206" s="7" t="str">
        <f>IF('Raw Data'!I206="","",SUBSTITUTE('Raw Data'!I206," ",":",1))</f>
        <v>137:00</v>
      </c>
      <c r="J206" s="12">
        <f>IF('Raw Data'!J206="","",IF(LEN(K206)&gt;6,SQRT('Raw Data'!J206^2+N206^2),'Raw Data'!J206))</f>
        <v>21.2</v>
      </c>
      <c r="K206" s="7" t="str">
        <f>IF('Raw Data'!K206="","",IF(LEN('Raw Data'!K206)&lt;7,SUBSTITUTE('Raw Data'!K206," ",":",1),'Raw Data'!K206))</f>
        <v>6:50</v>
      </c>
      <c r="L206" t="str">
        <f>IF('Raw Data'!L206="","",'Raw Data'!L206)</f>
        <v/>
      </c>
      <c r="M206">
        <f>IF('Raw Data'!M206="","",'Raw Data'!M206)</f>
        <v>21</v>
      </c>
      <c r="N206">
        <f>IF('Raw Data'!N206="","",IF('Raw Data'!N206="-",0,'Raw Data'!N206))</f>
        <v>2.5</v>
      </c>
      <c r="O206">
        <f>IF('Raw Data'!O206="","",'Raw Data'!O206)</f>
        <v>165.3</v>
      </c>
      <c r="P206" t="str">
        <f>IF('Raw Data'!P206="","",'Raw Data'!P206)</f>
        <v/>
      </c>
      <c r="R206" s="3" t="str">
        <f t="shared" si="87"/>
        <v>-</v>
      </c>
      <c r="S206" s="3">
        <f t="shared" si="88"/>
        <v>317</v>
      </c>
      <c r="T206" s="3">
        <f t="shared" si="89"/>
        <v>137</v>
      </c>
      <c r="U206" s="3">
        <f t="shared" si="90"/>
        <v>6.8333333300000003</v>
      </c>
      <c r="W206" s="4">
        <f t="shared" si="91"/>
        <v>21.049404855315935</v>
      </c>
      <c r="X206" s="4">
        <f t="shared" si="92"/>
        <v>2.522410600398334</v>
      </c>
      <c r="Y206" s="3">
        <f t="shared" si="93"/>
        <v>137</v>
      </c>
    </row>
    <row r="207" spans="1:25" x14ac:dyDescent="0.25">
      <c r="A207" t="str">
        <f>IF('Raw Data'!A207="","",'Raw Data'!A207)</f>
        <v>BP</v>
      </c>
      <c r="B207" t="str">
        <f>IF('Raw Data'!B207="","",'Raw Data'!B207)</f>
        <v>BQ</v>
      </c>
      <c r="C207">
        <f>IF('Raw Data'!C207="","",'Raw Data'!C207)</f>
        <v>25</v>
      </c>
      <c r="D207">
        <f>IF('Raw Data'!D207="","",'Raw Data'!D207)</f>
        <v>5</v>
      </c>
      <c r="E207">
        <f>IF('Raw Data'!E207="","",'Raw Data'!E207)</f>
        <v>1</v>
      </c>
      <c r="F207">
        <f>IF('Raw Data'!F207="","",'Raw Data'!F207)</f>
        <v>3</v>
      </c>
      <c r="G207" s="7" t="str">
        <f>IF('Raw Data'!G207="","",SUBSTITUTE('Raw Data'!G207," ",":",1))</f>
        <v>152:30</v>
      </c>
      <c r="H207" s="7" t="str">
        <f>IF('Raw Data'!H207="","",SUBSTITUTE('Raw Data'!H207," ",":",1))</f>
        <v>-</v>
      </c>
      <c r="I207" s="7" t="str">
        <f>IF('Raw Data'!I207="","",SUBSTITUTE('Raw Data'!I207," ",":",1))</f>
        <v>152:30</v>
      </c>
      <c r="J207" s="12">
        <f>IF('Raw Data'!J207="","",IF(LEN(K207)&gt;6,SQRT('Raw Data'!J207^2+N207^2),'Raw Data'!J207))</f>
        <v>28.5</v>
      </c>
      <c r="K207" s="7" t="str">
        <f>IF('Raw Data'!K207="","",IF(LEN('Raw Data'!K207)&lt;7,SUBSTITUTE('Raw Data'!K207," ",":",1),'Raw Data'!K207))</f>
        <v>9:40</v>
      </c>
      <c r="L207" t="str">
        <f>IF('Raw Data'!L207="","",'Raw Data'!L207)</f>
        <v/>
      </c>
      <c r="M207">
        <f>IF('Raw Data'!M207="","",'Raw Data'!M207)</f>
        <v>28.1</v>
      </c>
      <c r="N207">
        <f>IF('Raw Data'!N207="","",IF('Raw Data'!N207="-",0,'Raw Data'!N207))</f>
        <v>4.8</v>
      </c>
      <c r="O207">
        <f>IF('Raw Data'!O207="","",'Raw Data'!O207)</f>
        <v>167.8</v>
      </c>
      <c r="P207" t="str">
        <f>IF('Raw Data'!P207="","",'Raw Data'!P207)</f>
        <v/>
      </c>
      <c r="R207" s="3">
        <f t="shared" si="87"/>
        <v>152.5</v>
      </c>
      <c r="S207" s="3" t="str">
        <f t="shared" si="88"/>
        <v>-</v>
      </c>
      <c r="T207" s="3">
        <f t="shared" si="89"/>
        <v>152.5</v>
      </c>
      <c r="U207" s="3">
        <f t="shared" si="90"/>
        <v>9.6666666600000006</v>
      </c>
      <c r="W207" s="4">
        <f t="shared" si="91"/>
        <v>28.09533777498293</v>
      </c>
      <c r="X207" s="4">
        <f t="shared" si="92"/>
        <v>4.7856029201781061</v>
      </c>
      <c r="Y207" s="3">
        <f t="shared" si="93"/>
        <v>152.5</v>
      </c>
    </row>
    <row r="208" spans="1:25" x14ac:dyDescent="0.25">
      <c r="A208" t="str">
        <f>IF('Raw Data'!A208="","",'Raw Data'!A208)</f>
        <v>BQ</v>
      </c>
      <c r="B208" t="str">
        <f>IF('Raw Data'!B208="","",'Raw Data'!B208)</f>
        <v>BR</v>
      </c>
      <c r="C208">
        <f>IF('Raw Data'!C208="","",'Raw Data'!C208)</f>
        <v>25</v>
      </c>
      <c r="D208">
        <f>IF('Raw Data'!D208="","",'Raw Data'!D208)</f>
        <v>7</v>
      </c>
      <c r="E208">
        <f>IF('Raw Data'!E208="","",'Raw Data'!E208)</f>
        <v>3</v>
      </c>
      <c r="F208">
        <f>IF('Raw Data'!F208="","",'Raw Data'!F208)</f>
        <v>1</v>
      </c>
      <c r="G208" s="7" t="str">
        <f>IF('Raw Data'!G208="","",SUBSTITUTE('Raw Data'!G208," ",":",1))</f>
        <v>-</v>
      </c>
      <c r="H208" s="7" t="str">
        <f>IF('Raw Data'!H208="","",SUBSTITUTE('Raw Data'!H208," ",":",1))</f>
        <v>313:10</v>
      </c>
      <c r="I208" s="7" t="str">
        <f>IF('Raw Data'!I208="","",SUBSTITUTE('Raw Data'!I208," ",":",1))</f>
        <v>133:10</v>
      </c>
      <c r="J208" s="12">
        <f>IF('Raw Data'!J208="","",IF(LEN(K208)&gt;6,SQRT('Raw Data'!J208^2+N208^2),'Raw Data'!J208))</f>
        <v>29.6</v>
      </c>
      <c r="K208" s="7" t="str">
        <f>IF('Raw Data'!K208="","",IF(LEN('Raw Data'!K208)&lt;7,SUBSTITUTE('Raw Data'!K208," ",":",1),'Raw Data'!K208))</f>
        <v>1:30</v>
      </c>
      <c r="L208" t="str">
        <f>IF('Raw Data'!L208="","",'Raw Data'!L208)</f>
        <v/>
      </c>
      <c r="M208">
        <f>IF('Raw Data'!M208="","",'Raw Data'!M208)</f>
        <v>29.6</v>
      </c>
      <c r="N208">
        <f>IF('Raw Data'!N208="","",IF('Raw Data'!N208="-",0,'Raw Data'!N208))</f>
        <v>0.8</v>
      </c>
      <c r="O208">
        <f>IF('Raw Data'!O208="","",'Raw Data'!O208)</f>
        <v>172.6</v>
      </c>
      <c r="P208" t="str">
        <f>IF('Raw Data'!P208="","",'Raw Data'!P208)</f>
        <v/>
      </c>
      <c r="R208" s="3" t="str">
        <f t="shared" si="87"/>
        <v>-</v>
      </c>
      <c r="S208" s="3">
        <f t="shared" si="88"/>
        <v>313.16666666666669</v>
      </c>
      <c r="T208" s="3">
        <f t="shared" si="89"/>
        <v>133.16666666666666</v>
      </c>
      <c r="U208" s="3">
        <f t="shared" si="90"/>
        <v>1.5</v>
      </c>
      <c r="W208" s="4">
        <f t="shared" si="91"/>
        <v>29.589856819276495</v>
      </c>
      <c r="X208" s="4">
        <f t="shared" si="92"/>
        <v>0.77483766991304526</v>
      </c>
      <c r="Y208" s="3">
        <f t="shared" si="93"/>
        <v>133.16666666666669</v>
      </c>
    </row>
    <row r="209" spans="1:25" x14ac:dyDescent="0.25">
      <c r="A209" t="str">
        <f>IF('Raw Data'!A209="","",'Raw Data'!A209)</f>
        <v>BR</v>
      </c>
      <c r="B209" t="str">
        <f>IF('Raw Data'!B209="","",'Raw Data'!B209)</f>
        <v>BS</v>
      </c>
      <c r="C209">
        <f>IF('Raw Data'!C209="","",'Raw Data'!C209)</f>
        <v>10</v>
      </c>
      <c r="D209">
        <f>IF('Raw Data'!D209="","",'Raw Data'!D209)</f>
        <v>3</v>
      </c>
      <c r="E209">
        <f>IF('Raw Data'!E209="","",'Raw Data'!E209)</f>
        <v>3</v>
      </c>
      <c r="F209" t="str">
        <f>IF('Raw Data'!F209="","",'Raw Data'!F209)</f>
        <v>1 (in alcove)</v>
      </c>
      <c r="G209" s="7" t="str">
        <f>IF('Raw Data'!G209="","",SUBSTITUTE('Raw Data'!G209," ",":",1))</f>
        <v>137:30</v>
      </c>
      <c r="H209" s="7" t="str">
        <f>IF('Raw Data'!H209="","",SUBSTITUTE('Raw Data'!H209," ",":",1))</f>
        <v>-</v>
      </c>
      <c r="I209" s="7" t="str">
        <f>IF('Raw Data'!I209="","",SUBSTITUTE('Raw Data'!I209," ",":",1))</f>
        <v>137:30</v>
      </c>
      <c r="J209" s="12">
        <f>IF('Raw Data'!J209="","",IF(LEN(K209)&gt;6,SQRT('Raw Data'!J209^2+N209^2),'Raw Data'!J209))</f>
        <v>20.399999999999999</v>
      </c>
      <c r="K209" s="7" t="str">
        <f>IF('Raw Data'!K209="","",IF(LEN('Raw Data'!K209)&lt;7,SUBSTITUTE('Raw Data'!K209," ",":",1),'Raw Data'!K209))</f>
        <v>-4:30</v>
      </c>
      <c r="L209" t="str">
        <f>IF('Raw Data'!L209="","",'Raw Data'!L209)</f>
        <v/>
      </c>
      <c r="M209">
        <f>IF('Raw Data'!M209="","",'Raw Data'!M209)</f>
        <v>20.3</v>
      </c>
      <c r="N209">
        <f>IF('Raw Data'!N209="","",IF('Raw Data'!N209="-",0,'Raw Data'!N209))</f>
        <v>-1.6</v>
      </c>
      <c r="O209">
        <f>IF('Raw Data'!O209="","",'Raw Data'!O209)</f>
        <v>173.4</v>
      </c>
      <c r="P209" t="str">
        <f>IF('Raw Data'!P209="","",'Raw Data'!P209)</f>
        <v>below boss in Shrine</v>
      </c>
      <c r="R209" s="3">
        <f t="shared" si="87"/>
        <v>137.5</v>
      </c>
      <c r="S209" s="3" t="str">
        <f t="shared" si="88"/>
        <v>-</v>
      </c>
      <c r="T209" s="3">
        <f t="shared" si="89"/>
        <v>137.5</v>
      </c>
      <c r="U209" s="3">
        <f t="shared" si="90"/>
        <v>-4.5</v>
      </c>
      <c r="W209" s="4">
        <f t="shared" si="91"/>
        <v>20.337113608155811</v>
      </c>
      <c r="X209" s="4">
        <f t="shared" si="92"/>
        <v>-1.6005655528480367</v>
      </c>
      <c r="Y209" s="3">
        <f t="shared" si="93"/>
        <v>137.5</v>
      </c>
    </row>
    <row r="210" spans="1:25" x14ac:dyDescent="0.25">
      <c r="A210" t="str">
        <f>IF('Raw Data'!A210="","",'Raw Data'!A210)</f>
        <v>BS</v>
      </c>
      <c r="B210" t="str">
        <f>IF('Raw Data'!B210="","",'Raw Data'!B210)</f>
        <v>BT</v>
      </c>
      <c r="C210">
        <f>IF('Raw Data'!C210="","",'Raw Data'!C210)</f>
        <v>6</v>
      </c>
      <c r="D210">
        <f>IF('Raw Data'!D210="","",'Raw Data'!D210)</f>
        <v>1</v>
      </c>
      <c r="E210">
        <f>IF('Raw Data'!E210="","",'Raw Data'!E210)</f>
        <v>2</v>
      </c>
      <c r="F210">
        <f>IF('Raw Data'!F210="","",'Raw Data'!F210)</f>
        <v>3</v>
      </c>
      <c r="G210" s="7" t="str">
        <f>IF('Raw Data'!G210="","",SUBSTITUTE('Raw Data'!G210," ",":",1))</f>
        <v>149:00</v>
      </c>
      <c r="H210" s="7" t="str">
        <f>IF('Raw Data'!H210="","",SUBSTITUTE('Raw Data'!H210," ",":",1))</f>
        <v>-</v>
      </c>
      <c r="I210" s="7" t="str">
        <f>IF('Raw Data'!I210="","",SUBSTITUTE('Raw Data'!I210," ",":",1))</f>
        <v>149:00</v>
      </c>
      <c r="J210" s="12">
        <f>IF('Raw Data'!J210="","",IF(LEN(K210)&gt;6,SQRT('Raw Data'!J210^2+N210^2),'Raw Data'!J210))</f>
        <v>1.5033296378372907</v>
      </c>
      <c r="K210" s="7" t="str">
        <f>IF('Raw Data'!K210="","",IF(LEN('Raw Data'!K210)&lt;7,SUBSTITUTE('Raw Data'!K210," ",":",1),'Raw Data'!K210))</f>
        <v>-one inch</v>
      </c>
      <c r="L210" t="str">
        <f>IF('Raw Data'!L210="","",'Raw Data'!L210)</f>
        <v/>
      </c>
      <c r="M210">
        <f>IF('Raw Data'!M210="","",'Raw Data'!M210)</f>
        <v>1.5</v>
      </c>
      <c r="N210">
        <f>IF('Raw Data'!N210="","",IF('Raw Data'!N210="-",0,'Raw Data'!N210))</f>
        <v>-0.1</v>
      </c>
      <c r="O210">
        <f>IF('Raw Data'!O210="","",'Raw Data'!O210)</f>
        <v>171.8</v>
      </c>
      <c r="P210" t="str">
        <f>IF('Raw Data'!P210="","",'Raw Data'!P210)</f>
        <v>bloody horrible</v>
      </c>
      <c r="R210" s="3">
        <f t="shared" si="87"/>
        <v>149</v>
      </c>
      <c r="S210" s="3" t="str">
        <f t="shared" si="88"/>
        <v>-</v>
      </c>
      <c r="T210" s="3">
        <f t="shared" si="89"/>
        <v>149</v>
      </c>
      <c r="U210" s="9">
        <f>ASIN(N210/J210)*180/PI()</f>
        <v>-3.8140748342903552</v>
      </c>
      <c r="W210" s="4">
        <f t="shared" si="91"/>
        <v>1.4999999999999998</v>
      </c>
      <c r="X210" s="4">
        <f t="shared" si="92"/>
        <v>-0.1</v>
      </c>
      <c r="Y210" s="3">
        <f t="shared" si="93"/>
        <v>149</v>
      </c>
    </row>
    <row r="211" spans="1:25" x14ac:dyDescent="0.25">
      <c r="A211" t="str">
        <f>IF('Raw Data'!A211="","",'Raw Data'!A211)</f>
        <v>BT</v>
      </c>
      <c r="B211" t="str">
        <f>IF('Raw Data'!B211="","",'Raw Data'!B211)</f>
        <v>BU</v>
      </c>
      <c r="C211">
        <f>IF('Raw Data'!C211="","",'Raw Data'!C211)</f>
        <v>6</v>
      </c>
      <c r="D211">
        <f>IF('Raw Data'!D211="","",'Raw Data'!D211)</f>
        <v>1</v>
      </c>
      <c r="E211">
        <f>IF('Raw Data'!E211="","",'Raw Data'!E211)</f>
        <v>3</v>
      </c>
      <c r="F211" t="str">
        <f>IF('Raw Data'!F211="","",'Raw Data'!F211)</f>
        <v>-</v>
      </c>
      <c r="G211" s="7" t="str">
        <f>IF('Raw Data'!G211="","",SUBSTITUTE('Raw Data'!G211," ",":",1))</f>
        <v>-</v>
      </c>
      <c r="H211" s="7" t="str">
        <f>IF('Raw Data'!H211="","",SUBSTITUTE('Raw Data'!H211," ",":",1))</f>
        <v>265:50</v>
      </c>
      <c r="I211" s="7" t="str">
        <f>IF('Raw Data'!I211="","",SUBSTITUTE('Raw Data'!I211," ",":",1))</f>
        <v>085:50</v>
      </c>
      <c r="J211" s="12">
        <f>IF('Raw Data'!J211="","",IF(LEN(K211)&gt;6,SQRT('Raw Data'!J211^2+N211^2),'Raw Data'!J211))</f>
        <v>21.6</v>
      </c>
      <c r="K211" s="7" t="str">
        <f>IF('Raw Data'!K211="","",IF(LEN('Raw Data'!K211)&lt;7,SUBSTITUTE('Raw Data'!K211," ",":",1),'Raw Data'!K211))</f>
        <v>14:20</v>
      </c>
      <c r="L211" t="str">
        <f>IF('Raw Data'!L211="","",'Raw Data'!L211)</f>
        <v/>
      </c>
      <c r="M211">
        <f>IF('Raw Data'!M211="","",'Raw Data'!M211)</f>
        <v>20.9</v>
      </c>
      <c r="N211">
        <f>IF('Raw Data'!N211="","",IF('Raw Data'!N211="-",0,'Raw Data'!N211))</f>
        <v>5.4</v>
      </c>
      <c r="O211">
        <f>IF('Raw Data'!O211="","",'Raw Data'!O211)</f>
        <v>171.7</v>
      </c>
      <c r="P211" t="str">
        <f>IF('Raw Data'!P211="","",'Raw Data'!P211)</f>
        <v/>
      </c>
      <c r="R211" s="3" t="str">
        <f t="shared" si="87"/>
        <v>-</v>
      </c>
      <c r="S211" s="3">
        <f t="shared" si="88"/>
        <v>265.83333333333331</v>
      </c>
      <c r="T211" s="3">
        <f t="shared" si="89"/>
        <v>85.833333333333329</v>
      </c>
      <c r="U211" s="3">
        <f t="shared" si="90"/>
        <v>14.33333333</v>
      </c>
      <c r="W211" s="4">
        <f t="shared" si="91"/>
        <v>20.927632375590552</v>
      </c>
      <c r="X211" s="4">
        <f t="shared" si="92"/>
        <v>5.3473547808364188</v>
      </c>
      <c r="Y211" s="3">
        <f t="shared" si="93"/>
        <v>85.833333333333314</v>
      </c>
    </row>
    <row r="212" spans="1:25" x14ac:dyDescent="0.25">
      <c r="A212" t="str">
        <f>IF('Raw Data'!A212="","",'Raw Data'!A212)</f>
        <v>BU</v>
      </c>
      <c r="B212" t="str">
        <f>IF('Raw Data'!B212="","",'Raw Data'!B212)</f>
        <v>BV</v>
      </c>
      <c r="C212">
        <f>IF('Raw Data'!C212="","",'Raw Data'!C212)</f>
        <v>6</v>
      </c>
      <c r="D212">
        <f>IF('Raw Data'!D212="","",'Raw Data'!D212)</f>
        <v>3</v>
      </c>
      <c r="E212">
        <f>IF('Raw Data'!E212="","",'Raw Data'!E212)</f>
        <v>2</v>
      </c>
      <c r="F212">
        <f>IF('Raw Data'!F212="","",'Raw Data'!F212)</f>
        <v>3</v>
      </c>
      <c r="G212" s="7" t="str">
        <f>IF('Raw Data'!G212="","",SUBSTITUTE('Raw Data'!G212," ",":",1))</f>
        <v>116:00</v>
      </c>
      <c r="H212" s="7" t="str">
        <f>IF('Raw Data'!H212="","",SUBSTITUTE('Raw Data'!H212," ",":",1))</f>
        <v>-</v>
      </c>
      <c r="I212" s="7" t="str">
        <f>IF('Raw Data'!I212="","",SUBSTITUTE('Raw Data'!I212," ",":",1))</f>
        <v>116:00</v>
      </c>
      <c r="J212" s="12">
        <f>IF('Raw Data'!J212="","",IF(LEN(K212)&gt;6,SQRT('Raw Data'!J212^2+N212^2),'Raw Data'!J212))</f>
        <v>8.5</v>
      </c>
      <c r="K212" s="7" t="str">
        <f>IF('Raw Data'!K212="","",IF(LEN('Raw Data'!K212)&lt;7,SUBSTITUTE('Raw Data'!K212," ",":",1),'Raw Data'!K212))</f>
        <v>-6:30</v>
      </c>
      <c r="L212" t="str">
        <f>IF('Raw Data'!L212="","",'Raw Data'!L212)</f>
        <v/>
      </c>
      <c r="M212">
        <f>IF('Raw Data'!M212="","",'Raw Data'!M212)</f>
        <v>8.4</v>
      </c>
      <c r="N212">
        <f>IF('Raw Data'!N212="","",IF('Raw Data'!N212="-",0,'Raw Data'!N212))</f>
        <v>-1</v>
      </c>
      <c r="O212">
        <f>IF('Raw Data'!O212="","",'Raw Data'!O212)</f>
        <v>177.1</v>
      </c>
      <c r="P212" t="str">
        <f>IF('Raw Data'!P212="","",'Raw Data'!P212)</f>
        <v/>
      </c>
      <c r="R212" s="3">
        <f t="shared" si="87"/>
        <v>116</v>
      </c>
      <c r="S212" s="3" t="str">
        <f t="shared" si="88"/>
        <v>-</v>
      </c>
      <c r="T212" s="3">
        <f t="shared" si="89"/>
        <v>116</v>
      </c>
      <c r="U212" s="3">
        <f t="shared" si="90"/>
        <v>-6.5</v>
      </c>
      <c r="W212" s="4">
        <f t="shared" si="91"/>
        <v>8.445360773250993</v>
      </c>
      <c r="X212" s="4">
        <f t="shared" si="92"/>
        <v>-0.9622273170272071</v>
      </c>
      <c r="Y212" s="3">
        <f t="shared" si="93"/>
        <v>116</v>
      </c>
    </row>
    <row r="213" spans="1:25" x14ac:dyDescent="0.25">
      <c r="A213" t="str">
        <f>IF('Raw Data'!A213="","",'Raw Data'!A213)</f>
        <v>BV</v>
      </c>
      <c r="B213" t="str">
        <f>IF('Raw Data'!B213="","",'Raw Data'!B213)</f>
        <v>BW</v>
      </c>
      <c r="C213">
        <f>IF('Raw Data'!C213="","",'Raw Data'!C213)</f>
        <v>9</v>
      </c>
      <c r="D213">
        <f>IF('Raw Data'!D213="","",'Raw Data'!D213)</f>
        <v>1</v>
      </c>
      <c r="E213">
        <f>IF('Raw Data'!E213="","",'Raw Data'!E213)</f>
        <v>3</v>
      </c>
      <c r="F213">
        <f>IF('Raw Data'!F213="","",'Raw Data'!F213)</f>
        <v>1</v>
      </c>
      <c r="G213" s="7" t="str">
        <f>IF('Raw Data'!G213="","",SUBSTITUTE('Raw Data'!G213," ",":",1))</f>
        <v>-</v>
      </c>
      <c r="H213" s="7" t="str">
        <f>IF('Raw Data'!H213="","",SUBSTITUTE('Raw Data'!H213," ",":",1))</f>
        <v>266:20</v>
      </c>
      <c r="I213" s="7" t="str">
        <f>IF('Raw Data'!I213="","",SUBSTITUTE('Raw Data'!I213," ",":",1))</f>
        <v>086:20</v>
      </c>
      <c r="J213" s="12">
        <f>IF('Raw Data'!J213="","",IF(LEN(K213)&gt;6,SQRT('Raw Data'!J213^2+N213^2),'Raw Data'!J213))</f>
        <v>15.7</v>
      </c>
      <c r="K213" s="7" t="str">
        <f>IF('Raw Data'!K213="","",IF(LEN('Raw Data'!K213)&lt;7,SUBSTITUTE('Raw Data'!K213," ",":",1),'Raw Data'!K213))</f>
        <v>11:30</v>
      </c>
      <c r="L213" t="str">
        <f>IF('Raw Data'!L213="","",'Raw Data'!L213)</f>
        <v/>
      </c>
      <c r="M213">
        <f>IF('Raw Data'!M213="","",'Raw Data'!M213)</f>
        <v>15.4</v>
      </c>
      <c r="N213">
        <f>IF('Raw Data'!N213="","",IF('Raw Data'!N213="-",0,'Raw Data'!N213))</f>
        <v>3.1</v>
      </c>
      <c r="O213">
        <f>IF('Raw Data'!O213="","",'Raw Data'!O213)</f>
        <v>176.1</v>
      </c>
      <c r="P213" t="str">
        <f>IF('Raw Data'!P213="","",'Raw Data'!P213)</f>
        <v/>
      </c>
      <c r="R213" s="3" t="str">
        <f t="shared" si="87"/>
        <v>-</v>
      </c>
      <c r="S213" s="3">
        <f t="shared" si="88"/>
        <v>266.33333333333331</v>
      </c>
      <c r="T213" s="3">
        <f t="shared" si="89"/>
        <v>86.333333333333329</v>
      </c>
      <c r="U213" s="3">
        <f t="shared" si="90"/>
        <v>11.5</v>
      </c>
      <c r="W213" s="4">
        <f t="shared" si="91"/>
        <v>15.384817862547024</v>
      </c>
      <c r="X213" s="4">
        <f t="shared" si="92"/>
        <v>3.1300765703499951</v>
      </c>
      <c r="Y213" s="3">
        <f t="shared" si="93"/>
        <v>86.333333333333314</v>
      </c>
    </row>
    <row r="214" spans="1:25" x14ac:dyDescent="0.25">
      <c r="A214" t="str">
        <f>IF('Raw Data'!A214="","",'Raw Data'!A214)</f>
        <v>BW</v>
      </c>
      <c r="B214" t="str">
        <f>IF('Raw Data'!B214="","",'Raw Data'!B214)</f>
        <v>BX</v>
      </c>
      <c r="C214">
        <f>IF('Raw Data'!C214="","",'Raw Data'!C214)</f>
        <v>12</v>
      </c>
      <c r="D214">
        <f>IF('Raw Data'!D214="","",'Raw Data'!D214)</f>
        <v>3</v>
      </c>
      <c r="E214" t="str">
        <f>IF('Raw Data'!E214="","",'Raw Data'!E214)</f>
        <v>4 (in alcove)</v>
      </c>
      <c r="F214">
        <f>IF('Raw Data'!F214="","",'Raw Data'!F214)</f>
        <v>3</v>
      </c>
      <c r="G214" s="7" t="str">
        <f>IF('Raw Data'!G214="","",SUBSTITUTE('Raw Data'!G214," ",":",1))</f>
        <v>117:00</v>
      </c>
      <c r="H214" s="7" t="str">
        <f>IF('Raw Data'!H214="","",SUBSTITUTE('Raw Data'!H214," ",":",1))</f>
        <v>-</v>
      </c>
      <c r="I214" s="7" t="str">
        <f>IF('Raw Data'!I214="","",SUBSTITUTE('Raw Data'!I214," ",":",1))</f>
        <v>117:00</v>
      </c>
      <c r="J214" s="12">
        <f>IF('Raw Data'!J214="","",IF(LEN(K214)&gt;6,SQRT('Raw Data'!J214^2+N214^2),'Raw Data'!J214))</f>
        <v>28.5</v>
      </c>
      <c r="K214" s="7" t="str">
        <f>IF('Raw Data'!K214="","",IF(LEN('Raw Data'!K214)&lt;7,SUBSTITUTE('Raw Data'!K214," ",":",1),'Raw Data'!K214))</f>
        <v>32:30</v>
      </c>
      <c r="L214" t="str">
        <f>IF('Raw Data'!L214="","",'Raw Data'!L214)</f>
        <v/>
      </c>
      <c r="M214">
        <f>IF('Raw Data'!M214="","",'Raw Data'!M214)</f>
        <v>24</v>
      </c>
      <c r="N214">
        <f>IF('Raw Data'!N214="","",IF('Raw Data'!N214="-",0,'Raw Data'!N214))</f>
        <v>15.3</v>
      </c>
      <c r="O214">
        <f>IF('Raw Data'!O214="","",'Raw Data'!O214)</f>
        <v>179.2</v>
      </c>
      <c r="P214" t="str">
        <f>IF('Raw Data'!P214="","",'Raw Data'!P214)</f>
        <v/>
      </c>
      <c r="R214" s="3">
        <f t="shared" si="87"/>
        <v>117</v>
      </c>
      <c r="S214" s="3" t="str">
        <f t="shared" si="88"/>
        <v>-</v>
      </c>
      <c r="T214" s="3">
        <f t="shared" si="89"/>
        <v>117</v>
      </c>
      <c r="U214" s="3">
        <f t="shared" si="90"/>
        <v>32.5</v>
      </c>
      <c r="W214" s="4">
        <f t="shared" si="91"/>
        <v>24.036656205667242</v>
      </c>
      <c r="X214" s="4">
        <f t="shared" si="92"/>
        <v>15.313038837884481</v>
      </c>
      <c r="Y214" s="3">
        <f t="shared" si="93"/>
        <v>117</v>
      </c>
    </row>
    <row r="215" spans="1:25" x14ac:dyDescent="0.25">
      <c r="A215" t="str">
        <f>IF('Raw Data'!A215="","",'Raw Data'!A215)</f>
        <v>BX</v>
      </c>
      <c r="B215" t="str">
        <f>IF('Raw Data'!B215="","",'Raw Data'!B215)</f>
        <v>BY</v>
      </c>
      <c r="C215">
        <f>IF('Raw Data'!C215="","",'Raw Data'!C215)</f>
        <v>20</v>
      </c>
      <c r="D215">
        <f>IF('Raw Data'!D215="","",'Raw Data'!D215)</f>
        <v>2.5</v>
      </c>
      <c r="E215">
        <f>IF('Raw Data'!E215="","",'Raw Data'!E215)</f>
        <v>8</v>
      </c>
      <c r="F215">
        <f>IF('Raw Data'!F215="","",'Raw Data'!F215)</f>
        <v>3</v>
      </c>
      <c r="G215" s="7" t="str">
        <f>IF('Raw Data'!G215="","",SUBSTITUTE('Raw Data'!G215," ",":",1))</f>
        <v>-</v>
      </c>
      <c r="H215" s="7" t="str">
        <f>IF('Raw Data'!H215="","",SUBSTITUTE('Raw Data'!H215," ",":",1))</f>
        <v>326:00</v>
      </c>
      <c r="I215" s="7" t="str">
        <f>IF('Raw Data'!I215="","",SUBSTITUTE('Raw Data'!I215," ",":",1))</f>
        <v>146:00</v>
      </c>
      <c r="J215" s="12">
        <f>IF('Raw Data'!J215="","",IF(LEN(K215)&gt;6,SQRT('Raw Data'!J215^2+N215^2),'Raw Data'!J215))</f>
        <v>6.9</v>
      </c>
      <c r="K215" s="7" t="str">
        <f>IF('Raw Data'!K215="","",IF(LEN('Raw Data'!K215)&lt;7,SUBSTITUTE('Raw Data'!K215," ",":",1),'Raw Data'!K215))</f>
        <v>24:30</v>
      </c>
      <c r="L215" t="str">
        <f>IF('Raw Data'!L215="","",'Raw Data'!L215)</f>
        <v/>
      </c>
      <c r="M215">
        <f>IF('Raw Data'!M215="","",'Raw Data'!M215)</f>
        <v>6.3</v>
      </c>
      <c r="N215">
        <f>IF('Raw Data'!N215="","",IF('Raw Data'!N215="-",0,'Raw Data'!N215))</f>
        <v>2.9</v>
      </c>
      <c r="O215">
        <f>IF('Raw Data'!O215="","",'Raw Data'!O215)</f>
        <v>194.5</v>
      </c>
      <c r="P215" t="str">
        <f>IF('Raw Data'!P215="","",'Raw Data'!P215)</f>
        <v>beside hook at top of 20' Drop. W.L. as sta 1'</v>
      </c>
      <c r="R215" s="3" t="str">
        <f t="shared" si="87"/>
        <v>-</v>
      </c>
      <c r="S215" s="3">
        <f t="shared" si="88"/>
        <v>326</v>
      </c>
      <c r="T215" s="3">
        <f t="shared" si="89"/>
        <v>146</v>
      </c>
      <c r="U215" s="3">
        <f t="shared" si="90"/>
        <v>24.5</v>
      </c>
      <c r="W215" s="4">
        <f t="shared" si="91"/>
        <v>6.2787327690481485</v>
      </c>
      <c r="X215" s="4">
        <f t="shared" si="92"/>
        <v>2.8613833743280495</v>
      </c>
      <c r="Y215" s="3">
        <f t="shared" si="93"/>
        <v>146</v>
      </c>
    </row>
    <row r="216" spans="1:25" x14ac:dyDescent="0.25">
      <c r="A216" t="str">
        <f>IF('Raw Data'!A216="","",'Raw Data'!A216)</f>
        <v>BY</v>
      </c>
      <c r="B216" t="str">
        <f>IF('Raw Data'!B216="","",'Raw Data'!B216)</f>
        <v>BZ</v>
      </c>
      <c r="C216">
        <f>IF('Raw Data'!C216="","",'Raw Data'!C216)</f>
        <v>18</v>
      </c>
      <c r="D216">
        <f>IF('Raw Data'!D216="","",'Raw Data'!D216)</f>
        <v>4.5</v>
      </c>
      <c r="E216">
        <f>IF('Raw Data'!E216="","",'Raw Data'!E216)</f>
        <v>3</v>
      </c>
      <c r="F216">
        <f>IF('Raw Data'!F216="","",'Raw Data'!F216)</f>
        <v>2</v>
      </c>
      <c r="G216" s="7" t="str">
        <f>IF('Raw Data'!G216="","",SUBSTITUTE('Raw Data'!G216," ",":",1))</f>
        <v>125:20</v>
      </c>
      <c r="H216" s="7" t="str">
        <f>IF('Raw Data'!H216="","",SUBSTITUTE('Raw Data'!H216," ",":",1))</f>
        <v>-</v>
      </c>
      <c r="I216" s="7" t="str">
        <f>IF('Raw Data'!I216="","",SUBSTITUTE('Raw Data'!I216," ",":",1))</f>
        <v>125:20</v>
      </c>
      <c r="J216" s="12">
        <f>IF('Raw Data'!J216="","",IF(LEN(K216)&gt;6,SQRT('Raw Data'!J216^2+N216^2),'Raw Data'!J216))</f>
        <v>13.8</v>
      </c>
      <c r="K216" s="7" t="str">
        <f>IF('Raw Data'!K216="","",IF(LEN('Raw Data'!K216)&lt;7,SUBSTITUTE('Raw Data'!K216," ",":",1),'Raw Data'!K216))</f>
        <v>-4:30</v>
      </c>
      <c r="L216" t="str">
        <f>IF('Raw Data'!L216="","",'Raw Data'!L216)</f>
        <v/>
      </c>
      <c r="M216">
        <f>IF('Raw Data'!M216="","",'Raw Data'!M216)</f>
        <v>13.7</v>
      </c>
      <c r="N216">
        <f>IF('Raw Data'!N216="","",IF('Raw Data'!N216="-",0,'Raw Data'!N216))</f>
        <v>-1.1000000000000001</v>
      </c>
      <c r="O216">
        <f>IF('Raw Data'!O216="","",'Raw Data'!O216)</f>
        <v>197.4</v>
      </c>
      <c r="P216" t="str">
        <f>IF('Raw Data'!P216="","",'Raw Data'!P216)</f>
        <v/>
      </c>
      <c r="R216" s="3">
        <f t="shared" si="87"/>
        <v>125.33333333333333</v>
      </c>
      <c r="S216" s="3" t="str">
        <f t="shared" si="88"/>
        <v>-</v>
      </c>
      <c r="T216" s="3">
        <f t="shared" si="89"/>
        <v>125.33333333333333</v>
      </c>
      <c r="U216" s="3">
        <f t="shared" si="90"/>
        <v>-4.5</v>
      </c>
      <c r="W216" s="4">
        <f t="shared" si="91"/>
        <v>13.757459205517167</v>
      </c>
      <c r="X216" s="4">
        <f t="shared" si="92"/>
        <v>-1.0827355210442602</v>
      </c>
      <c r="Y216" s="3">
        <f t="shared" si="93"/>
        <v>125.33333333333333</v>
      </c>
    </row>
    <row r="217" spans="1:25" x14ac:dyDescent="0.25">
      <c r="A217" t="str">
        <f>IF('Raw Data'!A217="","",'Raw Data'!A217)</f>
        <v>BZ</v>
      </c>
      <c r="B217" t="str">
        <f>IF('Raw Data'!B217="","",'Raw Data'!B217)</f>
        <v>CA</v>
      </c>
      <c r="C217">
        <f>IF('Raw Data'!C217="","",'Raw Data'!C217)</f>
        <v>20</v>
      </c>
      <c r="D217">
        <f>IF('Raw Data'!D217="","",'Raw Data'!D217)</f>
        <v>4</v>
      </c>
      <c r="E217" t="str">
        <f>IF('Raw Data'!E217="","",'Raw Data'!E217)</f>
        <v>-</v>
      </c>
      <c r="F217">
        <f>IF('Raw Data'!F217="","",'Raw Data'!F217)</f>
        <v>4</v>
      </c>
      <c r="G217" s="7" t="str">
        <f>IF('Raw Data'!G217="","",SUBSTITUTE('Raw Data'!G217," ",":",1))</f>
        <v>-</v>
      </c>
      <c r="H217" s="7" t="str">
        <f>IF('Raw Data'!H217="","",SUBSTITUTE('Raw Data'!H217," ",":",1))</f>
        <v>352:00</v>
      </c>
      <c r="I217" s="7" t="str">
        <f>IF('Raw Data'!I217="","",SUBSTITUTE('Raw Data'!I217," ",":",1))</f>
        <v>172:00</v>
      </c>
      <c r="J217" s="12">
        <f>IF('Raw Data'!J217="","",IF(LEN(K217)&gt;6,SQRT('Raw Data'!J217^2+N217^2),'Raw Data'!J217))</f>
        <v>18.5</v>
      </c>
      <c r="K217" s="7" t="str">
        <f>IF('Raw Data'!K217="","",IF(LEN('Raw Data'!K217)&lt;7,SUBSTITUTE('Raw Data'!K217," ",":",1),'Raw Data'!K217))</f>
        <v>2:15</v>
      </c>
      <c r="L217" t="str">
        <f>IF('Raw Data'!L217="","",'Raw Data'!L217)</f>
        <v/>
      </c>
      <c r="M217">
        <f>IF('Raw Data'!M217="","",'Raw Data'!M217)</f>
        <v>18.399999999999999</v>
      </c>
      <c r="N217">
        <f>IF('Raw Data'!N217="","",IF('Raw Data'!N217="-",0,'Raw Data'!N217))</f>
        <v>0.7</v>
      </c>
      <c r="O217">
        <f>IF('Raw Data'!O217="","",'Raw Data'!O217)</f>
        <v>196.3</v>
      </c>
      <c r="P217" t="str">
        <f>IF('Raw Data'!P217="","",'Raw Data'!P217)</f>
        <v/>
      </c>
      <c r="R217" s="3" t="str">
        <f t="shared" si="87"/>
        <v>-</v>
      </c>
      <c r="S217" s="3">
        <f t="shared" si="88"/>
        <v>352</v>
      </c>
      <c r="T217" s="3">
        <f t="shared" si="89"/>
        <v>172</v>
      </c>
      <c r="U217" s="3">
        <f t="shared" si="90"/>
        <v>2.25</v>
      </c>
      <c r="W217" s="4">
        <f t="shared" si="91"/>
        <v>18.485737170453373</v>
      </c>
      <c r="X217" s="4">
        <f t="shared" si="92"/>
        <v>0.72630659154276933</v>
      </c>
      <c r="Y217" s="3">
        <f t="shared" si="93"/>
        <v>172</v>
      </c>
    </row>
    <row r="218" spans="1:25" x14ac:dyDescent="0.25">
      <c r="A218" t="str">
        <f>IF('Raw Data'!A218="","",'Raw Data'!A218)</f>
        <v>CA</v>
      </c>
      <c r="B218" t="str">
        <f>IF('Raw Data'!B218="","",'Raw Data'!B218)</f>
        <v>CB</v>
      </c>
      <c r="C218">
        <f>IF('Raw Data'!C218="","",'Raw Data'!C218)</f>
        <v>25</v>
      </c>
      <c r="D218">
        <f>IF('Raw Data'!D218="","",'Raw Data'!D218)</f>
        <v>4</v>
      </c>
      <c r="E218">
        <f>IF('Raw Data'!E218="","",'Raw Data'!E218)</f>
        <v>6</v>
      </c>
      <c r="F218">
        <f>IF('Raw Data'!F218="","",'Raw Data'!F218)</f>
        <v>1</v>
      </c>
      <c r="G218" s="7" t="str">
        <f>IF('Raw Data'!G218="","",SUBSTITUTE('Raw Data'!G218," ",":",1))</f>
        <v>125:00</v>
      </c>
      <c r="H218" s="7" t="str">
        <f>IF('Raw Data'!H218="","",SUBSTITUTE('Raw Data'!H218," ",":",1))</f>
        <v>-</v>
      </c>
      <c r="I218" s="7" t="str">
        <f>IF('Raw Data'!I218="","",SUBSTITUTE('Raw Data'!I218," ",":",1))</f>
        <v>125:00</v>
      </c>
      <c r="J218" s="12">
        <f>IF('Raw Data'!J218="","",IF(LEN(K218)&gt;6,SQRT('Raw Data'!J218^2+N218^2),'Raw Data'!J218))</f>
        <v>8</v>
      </c>
      <c r="K218" s="7" t="str">
        <f>IF('Raw Data'!K218="","",IF(LEN('Raw Data'!K218)&lt;7,SUBSTITUTE('Raw Data'!K218," ",":",1),'Raw Data'!K218))</f>
        <v>4:00</v>
      </c>
      <c r="L218" t="str">
        <f>IF('Raw Data'!L218="","",'Raw Data'!L218)</f>
        <v/>
      </c>
      <c r="M218">
        <f>IF('Raw Data'!M218="","",'Raw Data'!M218)</f>
        <v>7.9</v>
      </c>
      <c r="N218">
        <f>IF('Raw Data'!N218="","",IF('Raw Data'!N218="-",0,'Raw Data'!N218))</f>
        <v>0.6</v>
      </c>
      <c r="O218">
        <f>IF('Raw Data'!O218="","",'Raw Data'!O218)</f>
        <v>197</v>
      </c>
      <c r="P218" t="str">
        <f>IF('Raw Data'!P218="","",'Raw Data'!P218)</f>
        <v>W.L. at sta 1'</v>
      </c>
      <c r="R218" s="3">
        <f t="shared" si="87"/>
        <v>125</v>
      </c>
      <c r="S218" s="3" t="str">
        <f t="shared" si="88"/>
        <v>-</v>
      </c>
      <c r="T218" s="3">
        <f t="shared" si="89"/>
        <v>125</v>
      </c>
      <c r="U218" s="3">
        <f t="shared" si="90"/>
        <v>4</v>
      </c>
      <c r="W218" s="4">
        <f t="shared" si="91"/>
        <v>7.9805124020785936</v>
      </c>
      <c r="X218" s="4">
        <f t="shared" si="92"/>
        <v>0.55805178995300242</v>
      </c>
      <c r="Y218" s="3">
        <f t="shared" si="93"/>
        <v>125</v>
      </c>
    </row>
    <row r="219" spans="1:25" x14ac:dyDescent="0.25">
      <c r="A219" t="str">
        <f>IF('Raw Data'!A219="","",'Raw Data'!A219)</f>
        <v>CB</v>
      </c>
      <c r="B219" t="str">
        <f>IF('Raw Data'!B219="","",'Raw Data'!B219)</f>
        <v>CC</v>
      </c>
      <c r="C219">
        <f>IF('Raw Data'!C219="","",'Raw Data'!C219)</f>
        <v>25</v>
      </c>
      <c r="D219">
        <f>IF('Raw Data'!D219="","",'Raw Data'!D219)</f>
        <v>4</v>
      </c>
      <c r="E219">
        <f>IF('Raw Data'!E219="","",'Raw Data'!E219)</f>
        <v>10</v>
      </c>
      <c r="F219">
        <f>IF('Raw Data'!F219="","",'Raw Data'!F219)</f>
        <v>3</v>
      </c>
      <c r="G219" s="7" t="str">
        <f>IF('Raw Data'!G219="","",SUBSTITUTE('Raw Data'!G219," ",":",1))</f>
        <v>-</v>
      </c>
      <c r="H219" s="7" t="str">
        <f>IF('Raw Data'!H219="","",SUBSTITUTE('Raw Data'!H219," ",":",1))</f>
        <v>284:10</v>
      </c>
      <c r="I219" s="7" t="str">
        <f>IF('Raw Data'!I219="","",SUBSTITUTE('Raw Data'!I219," ",":",1))</f>
        <v>104:10</v>
      </c>
      <c r="J219" s="12">
        <f>IF('Raw Data'!J219="","",IF(LEN(K219)&gt;6,SQRT('Raw Data'!J219^2+N219^2),'Raw Data'!J219))</f>
        <v>17.399999999999999</v>
      </c>
      <c r="K219" s="7" t="str">
        <f>IF('Raw Data'!K219="","",IF(LEN('Raw Data'!K219)&lt;7,SUBSTITUTE('Raw Data'!K219," ",":",1),'Raw Data'!K219))</f>
        <v>16:00</v>
      </c>
      <c r="L219" t="str">
        <f>IF('Raw Data'!L219="","",'Raw Data'!L219)</f>
        <v/>
      </c>
      <c r="M219">
        <f>IF('Raw Data'!M219="","",'Raw Data'!M219)</f>
        <v>16.8</v>
      </c>
      <c r="N219">
        <f>IF('Raw Data'!N219="","",IF('Raw Data'!N219="-",0,'Raw Data'!N219))</f>
        <v>4.8</v>
      </c>
      <c r="O219">
        <f>IF('Raw Data'!O219="","",'Raw Data'!O219)</f>
        <v>197.6</v>
      </c>
      <c r="P219" t="str">
        <f>IF('Raw Data'!P219="","",'Raw Data'!P219)</f>
        <v/>
      </c>
      <c r="R219" s="3" t="str">
        <f t="shared" si="87"/>
        <v>-</v>
      </c>
      <c r="S219" s="3">
        <f t="shared" si="88"/>
        <v>284.16666666666669</v>
      </c>
      <c r="T219" s="3">
        <f t="shared" si="89"/>
        <v>104.16666666666667</v>
      </c>
      <c r="U219" s="3">
        <f t="shared" si="90"/>
        <v>16</v>
      </c>
      <c r="W219" s="4">
        <f t="shared" si="91"/>
        <v>16.725953509326747</v>
      </c>
      <c r="X219" s="4">
        <f t="shared" si="92"/>
        <v>4.7960899912157853</v>
      </c>
      <c r="Y219" s="3">
        <f t="shared" si="93"/>
        <v>104.16666666666669</v>
      </c>
    </row>
    <row r="220" spans="1:25" x14ac:dyDescent="0.25">
      <c r="A220" t="str">
        <f>IF('Raw Data'!A220="","",'Raw Data'!A220)</f>
        <v>CC</v>
      </c>
      <c r="B220" t="str">
        <f>IF('Raw Data'!B220="","",'Raw Data'!B220)</f>
        <v>CD</v>
      </c>
      <c r="C220">
        <f>IF('Raw Data'!C220="","",'Raw Data'!C220)</f>
        <v>20</v>
      </c>
      <c r="D220">
        <f>IF('Raw Data'!D220="","",'Raw Data'!D220)</f>
        <v>7</v>
      </c>
      <c r="E220">
        <f>IF('Raw Data'!E220="","",'Raw Data'!E220)</f>
        <v>3</v>
      </c>
      <c r="F220">
        <f>IF('Raw Data'!F220="","",'Raw Data'!F220)</f>
        <v>3</v>
      </c>
      <c r="G220" s="7" t="str">
        <f>IF('Raw Data'!G220="","",SUBSTITUTE('Raw Data'!G220," ",":",1))</f>
        <v>137:10</v>
      </c>
      <c r="H220" s="7" t="str">
        <f>IF('Raw Data'!H220="","",SUBSTITUTE('Raw Data'!H220," ",":",1))</f>
        <v>-</v>
      </c>
      <c r="I220" s="7" t="str">
        <f>IF('Raw Data'!I220="","",SUBSTITUTE('Raw Data'!I220," ",":",1))</f>
        <v>137:10</v>
      </c>
      <c r="J220" s="12">
        <f>IF('Raw Data'!J220="","",IF(LEN(K220)&gt;6,SQRT('Raw Data'!J220^2+N220^2),'Raw Data'!J220))</f>
        <v>74.599999999999994</v>
      </c>
      <c r="K220" s="7" t="str">
        <f>IF('Raw Data'!K220="","",IF(LEN('Raw Data'!K220)&lt;7,SUBSTITUTE('Raw Data'!K220," ",":",1),'Raw Data'!K220))</f>
        <v>7:10</v>
      </c>
      <c r="L220" t="str">
        <f>IF('Raw Data'!L220="","",'Raw Data'!L220)</f>
        <v/>
      </c>
      <c r="M220">
        <f>IF('Raw Data'!M220="","",'Raw Data'!M220)</f>
        <v>73.900000000000006</v>
      </c>
      <c r="N220">
        <f>IF('Raw Data'!N220="","",IF('Raw Data'!N220="-",0,'Raw Data'!N220))</f>
        <v>9.3000000000000007</v>
      </c>
      <c r="O220">
        <f>IF('Raw Data'!O220="","",'Raw Data'!O220)</f>
        <v>202.4</v>
      </c>
      <c r="P220" t="str">
        <f>IF('Raw Data'!P220="","",'Raw Data'!P220)</f>
        <v/>
      </c>
      <c r="R220" s="3">
        <f t="shared" si="87"/>
        <v>137.16666666666666</v>
      </c>
      <c r="S220" s="3" t="str">
        <f t="shared" si="88"/>
        <v>-</v>
      </c>
      <c r="T220" s="3">
        <f t="shared" si="89"/>
        <v>137.16666666666666</v>
      </c>
      <c r="U220" s="3">
        <f t="shared" si="90"/>
        <v>7.1666666599999997</v>
      </c>
      <c r="W220" s="4">
        <f t="shared" si="91"/>
        <v>74.017183721288077</v>
      </c>
      <c r="X220" s="4">
        <f t="shared" si="92"/>
        <v>9.3067993407555161</v>
      </c>
      <c r="Y220" s="3">
        <f t="shared" si="93"/>
        <v>137.16666666666666</v>
      </c>
    </row>
    <row r="221" spans="1:25" x14ac:dyDescent="0.25">
      <c r="A221" t="str">
        <f>IF('Raw Data'!A221="","",'Raw Data'!A221)</f>
        <v>CD</v>
      </c>
      <c r="B221" t="str">
        <f>IF('Raw Data'!B221="","",'Raw Data'!B221)</f>
        <v>CE</v>
      </c>
      <c r="C221">
        <f>IF('Raw Data'!C221="","",'Raw Data'!C221)</f>
        <v>25</v>
      </c>
      <c r="D221">
        <f>IF('Raw Data'!D221="","",'Raw Data'!D221)</f>
        <v>5</v>
      </c>
      <c r="E221">
        <f>IF('Raw Data'!E221="","",'Raw Data'!E221)</f>
        <v>4</v>
      </c>
      <c r="F221">
        <f>IF('Raw Data'!F221="","",'Raw Data'!F221)</f>
        <v>3</v>
      </c>
      <c r="G221" s="7" t="str">
        <f>IF('Raw Data'!G221="","",SUBSTITUTE('Raw Data'!G221," ",":",1))</f>
        <v>-</v>
      </c>
      <c r="H221" s="7" t="str">
        <f>IF('Raw Data'!H221="","",SUBSTITUTE('Raw Data'!H221," ",":",1))</f>
        <v>304:00</v>
      </c>
      <c r="I221" s="7" t="str">
        <f>IF('Raw Data'!I221="","",SUBSTITUTE('Raw Data'!I221," ",":",1))</f>
        <v>124:00</v>
      </c>
      <c r="J221" s="12">
        <f>IF('Raw Data'!J221="","",IF(LEN(K221)&gt;6,SQRT('Raw Data'!J221^2+N221^2),'Raw Data'!J221))</f>
        <v>35</v>
      </c>
      <c r="K221" s="7" t="str">
        <f>IF('Raw Data'!K221="","",IF(LEN('Raw Data'!K221)&lt;7,SUBSTITUTE('Raw Data'!K221," ",":",1),'Raw Data'!K221))</f>
        <v>19:00</v>
      </c>
      <c r="L221" t="str">
        <f>IF('Raw Data'!L221="","",'Raw Data'!L221)</f>
        <v/>
      </c>
      <c r="M221">
        <f>IF('Raw Data'!M221="","",'Raw Data'!M221)</f>
        <v>33.1</v>
      </c>
      <c r="N221">
        <f>IF('Raw Data'!N221="","",IF('Raw Data'!N221="-",0,'Raw Data'!N221))</f>
        <v>11.4</v>
      </c>
      <c r="O221">
        <f>IF('Raw Data'!O221="","",'Raw Data'!O221)</f>
        <v>211.7</v>
      </c>
      <c r="P221" t="str">
        <f>IF('Raw Data'!P221="","",'Raw Data'!P221)</f>
        <v/>
      </c>
      <c r="R221" s="3" t="str">
        <f t="shared" si="87"/>
        <v>-</v>
      </c>
      <c r="S221" s="3">
        <f t="shared" si="88"/>
        <v>304</v>
      </c>
      <c r="T221" s="3">
        <f t="shared" si="89"/>
        <v>124</v>
      </c>
      <c r="U221" s="3">
        <f t="shared" si="90"/>
        <v>19</v>
      </c>
      <c r="W221" s="4">
        <f t="shared" si="91"/>
        <v>33.09315014597609</v>
      </c>
      <c r="X221" s="4">
        <f t="shared" si="92"/>
        <v>11.394885406000483</v>
      </c>
      <c r="Y221" s="3">
        <f t="shared" si="93"/>
        <v>124</v>
      </c>
    </row>
    <row r="222" spans="1:25" x14ac:dyDescent="0.25">
      <c r="A222" t="str">
        <f>IF('Raw Data'!A222="","",'Raw Data'!A222)</f>
        <v>CE</v>
      </c>
      <c r="B222" t="str">
        <f>IF('Raw Data'!B222="","",'Raw Data'!B222)</f>
        <v>CF</v>
      </c>
      <c r="C222">
        <f>IF('Raw Data'!C222="","",'Raw Data'!C222)</f>
        <v>15</v>
      </c>
      <c r="D222">
        <f>IF('Raw Data'!D222="","",'Raw Data'!D222)</f>
        <v>12</v>
      </c>
      <c r="E222">
        <f>IF('Raw Data'!E222="","",'Raw Data'!E222)</f>
        <v>6</v>
      </c>
      <c r="F222">
        <f>IF('Raw Data'!F222="","",'Raw Data'!F222)</f>
        <v>10</v>
      </c>
      <c r="G222" s="7" t="str">
        <f>IF('Raw Data'!G222="","",SUBSTITUTE('Raw Data'!G222," ",":",1))</f>
        <v>091:40</v>
      </c>
      <c r="H222" s="7" t="str">
        <f>IF('Raw Data'!H222="","",SUBSTITUTE('Raw Data'!H222," ",":",1))</f>
        <v>-</v>
      </c>
      <c r="I222" s="7" t="str">
        <f>IF('Raw Data'!I222="","",SUBSTITUTE('Raw Data'!I222," ",":",1))</f>
        <v>091:40</v>
      </c>
      <c r="J222" s="12">
        <f>IF('Raw Data'!J222="","",IF(LEN(K222)&gt;6,SQRT('Raw Data'!J222^2+N222^2),'Raw Data'!J222))</f>
        <v>28.3</v>
      </c>
      <c r="K222" s="7" t="str">
        <f>IF('Raw Data'!K222="","",IF(LEN('Raw Data'!K222)&lt;7,SUBSTITUTE('Raw Data'!K222," ",":",1),'Raw Data'!K222))</f>
        <v>-13:30</v>
      </c>
      <c r="L222" t="str">
        <f>IF('Raw Data'!L222="","",'Raw Data'!L222)</f>
        <v/>
      </c>
      <c r="M222">
        <f>IF('Raw Data'!M222="","",'Raw Data'!M222)</f>
        <v>27.5</v>
      </c>
      <c r="N222">
        <f>IF('Raw Data'!N222="","",IF('Raw Data'!N222="-",0,'Raw Data'!N222))</f>
        <v>-6.6</v>
      </c>
      <c r="O222">
        <f>IF('Raw Data'!O222="","",'Raw Data'!O222)</f>
        <v>223.1</v>
      </c>
      <c r="P222" t="str">
        <f>IF('Raw Data'!P222="","",'Raw Data'!P222)</f>
        <v/>
      </c>
      <c r="R222" s="3">
        <f t="shared" si="87"/>
        <v>91.666666666666671</v>
      </c>
      <c r="S222" s="3" t="str">
        <f t="shared" si="88"/>
        <v>-</v>
      </c>
      <c r="T222" s="3">
        <f t="shared" si="89"/>
        <v>91.666666666666671</v>
      </c>
      <c r="U222" s="3">
        <f t="shared" si="90"/>
        <v>-13.5</v>
      </c>
      <c r="W222" s="4">
        <f t="shared" si="91"/>
        <v>27.518068747254247</v>
      </c>
      <c r="X222" s="4">
        <f t="shared" si="92"/>
        <v>-6.606503797122123</v>
      </c>
      <c r="Y222" s="3">
        <f t="shared" si="93"/>
        <v>91.666666666666671</v>
      </c>
    </row>
    <row r="223" spans="1:25" x14ac:dyDescent="0.25">
      <c r="A223" t="str">
        <f>IF('Raw Data'!A223="","",'Raw Data'!A223)</f>
        <v>CF</v>
      </c>
      <c r="B223" t="str">
        <f>IF('Raw Data'!B223="","",'Raw Data'!B223)</f>
        <v>CG</v>
      </c>
      <c r="C223">
        <f>IF('Raw Data'!C223="","",'Raw Data'!C223)</f>
        <v>4</v>
      </c>
      <c r="D223">
        <f>IF('Raw Data'!D223="","",'Raw Data'!D223)</f>
        <v>4</v>
      </c>
      <c r="E223">
        <f>IF('Raw Data'!E223="","",'Raw Data'!E223)</f>
        <v>2</v>
      </c>
      <c r="F223">
        <f>IF('Raw Data'!F223="","",'Raw Data'!F223)</f>
        <v>6</v>
      </c>
      <c r="G223" s="7" t="str">
        <f>IF('Raw Data'!G223="","",SUBSTITUTE('Raw Data'!G223," ",":",1))</f>
        <v>-</v>
      </c>
      <c r="H223" s="7" t="str">
        <f>IF('Raw Data'!H223="","",SUBSTITUTE('Raw Data'!H223," ",":",1))</f>
        <v>294:30</v>
      </c>
      <c r="I223" s="7" t="str">
        <f>IF('Raw Data'!I223="","",SUBSTITUTE('Raw Data'!I223," ",":",1))</f>
        <v>114:30</v>
      </c>
      <c r="J223" s="12">
        <f>IF('Raw Data'!J223="","",IF(LEN(K223)&gt;6,SQRT('Raw Data'!J223^2+N223^2),'Raw Data'!J223))</f>
        <v>10.6</v>
      </c>
      <c r="K223" s="7" t="str">
        <f>IF('Raw Data'!K223="","",IF(LEN('Raw Data'!K223)&lt;7,SUBSTITUTE('Raw Data'!K223," ",":",1),'Raw Data'!K223))</f>
        <v>16:30</v>
      </c>
      <c r="L223" t="str">
        <f>IF('Raw Data'!L223="","",'Raw Data'!L223)</f>
        <v/>
      </c>
      <c r="M223">
        <f>IF('Raw Data'!M223="","",'Raw Data'!M223)</f>
        <v>10.1</v>
      </c>
      <c r="N223">
        <f>IF('Raw Data'!N223="","",IF('Raw Data'!N223="-",0,'Raw Data'!N223))</f>
        <v>3</v>
      </c>
      <c r="O223">
        <f>IF('Raw Data'!O223="","",'Raw Data'!O223)</f>
        <v>216.5</v>
      </c>
      <c r="P223" t="str">
        <f>IF('Raw Data'!P223="","",'Raw Data'!P223)</f>
        <v/>
      </c>
      <c r="R223" s="3" t="str">
        <f t="shared" si="87"/>
        <v>-</v>
      </c>
      <c r="S223" s="3">
        <f t="shared" si="88"/>
        <v>294.5</v>
      </c>
      <c r="T223" s="3">
        <f t="shared" si="89"/>
        <v>114.5</v>
      </c>
      <c r="U223" s="3">
        <f t="shared" si="90"/>
        <v>16.5</v>
      </c>
      <c r="W223" s="4">
        <f t="shared" si="91"/>
        <v>10.163489189602846</v>
      </c>
      <c r="X223" s="4">
        <f t="shared" si="92"/>
        <v>3.0105626538615797</v>
      </c>
      <c r="Y223" s="3">
        <f t="shared" si="93"/>
        <v>114.5</v>
      </c>
    </row>
    <row r="224" spans="1:25" x14ac:dyDescent="0.25">
      <c r="A224" t="str">
        <f>IF('Raw Data'!A224="","",'Raw Data'!A224)</f>
        <v>CG</v>
      </c>
      <c r="B224" t="str">
        <f>IF('Raw Data'!B224="","",'Raw Data'!B224)</f>
        <v>CH</v>
      </c>
      <c r="C224">
        <f>IF('Raw Data'!C224="","",'Raw Data'!C224)</f>
        <v>8</v>
      </c>
      <c r="D224">
        <f>IF('Raw Data'!D224="","",'Raw Data'!D224)</f>
        <v>6</v>
      </c>
      <c r="E224" t="str">
        <f>IF('Raw Data'!E224="","",'Raw Data'!E224)</f>
        <v>-</v>
      </c>
      <c r="F224">
        <f>IF('Raw Data'!F224="","",'Raw Data'!F224)</f>
        <v>4</v>
      </c>
      <c r="G224" s="7" t="str">
        <f>IF('Raw Data'!G224="","",SUBSTITUTE('Raw Data'!G224," ",":",1))</f>
        <v>014:20</v>
      </c>
      <c r="H224" s="7" t="str">
        <f>IF('Raw Data'!H224="","",SUBSTITUTE('Raw Data'!H224," ",":",1))</f>
        <v>-</v>
      </c>
      <c r="I224" s="7" t="str">
        <f>IF('Raw Data'!I224="","",SUBSTITUTE('Raw Data'!I224," ",":",1))</f>
        <v>014:20</v>
      </c>
      <c r="J224" s="12">
        <f>IF('Raw Data'!J224="","",IF(LEN(K224)&gt;6,SQRT('Raw Data'!J224^2+N224^2),'Raw Data'!J224))</f>
        <v>31.4</v>
      </c>
      <c r="K224" s="7" t="str">
        <f>IF('Raw Data'!K224="","",IF(LEN('Raw Data'!K224)&lt;7,SUBSTITUTE('Raw Data'!K224," ",":",1),'Raw Data'!K224))</f>
        <v>-3:30</v>
      </c>
      <c r="L224" t="str">
        <f>IF('Raw Data'!L224="","",'Raw Data'!L224)</f>
        <v/>
      </c>
      <c r="M224">
        <f>IF('Raw Data'!M224="","",'Raw Data'!M224)</f>
        <v>31.3</v>
      </c>
      <c r="N224">
        <f>IF('Raw Data'!N224="","",IF('Raw Data'!N224="-",0,'Raw Data'!N224))</f>
        <v>-1.9</v>
      </c>
      <c r="O224">
        <f>IF('Raw Data'!O224="","",'Raw Data'!O224)</f>
        <v>219.5</v>
      </c>
      <c r="P224" t="str">
        <f>IF('Raw Data'!P224="","",'Raw Data'!P224)</f>
        <v/>
      </c>
      <c r="R224" s="3">
        <f t="shared" si="87"/>
        <v>14.333333333333334</v>
      </c>
      <c r="S224" s="3" t="str">
        <f t="shared" si="88"/>
        <v>-</v>
      </c>
      <c r="T224" s="3">
        <f t="shared" si="89"/>
        <v>14.333333333333334</v>
      </c>
      <c r="U224" s="3">
        <f t="shared" si="90"/>
        <v>-3.5</v>
      </c>
      <c r="W224" s="4">
        <f t="shared" si="91"/>
        <v>31.341432670446618</v>
      </c>
      <c r="X224" s="4">
        <f t="shared" si="92"/>
        <v>-1.9169241413945057</v>
      </c>
      <c r="Y224" s="3">
        <f t="shared" si="93"/>
        <v>14.333333333333334</v>
      </c>
    </row>
    <row r="225" spans="1:25" x14ac:dyDescent="0.25">
      <c r="A225" t="str">
        <f>IF('Raw Data'!A225="","",'Raw Data'!A225)</f>
        <v>CH</v>
      </c>
      <c r="B225" t="str">
        <f>IF('Raw Data'!B225="","",'Raw Data'!B225)</f>
        <v>CI</v>
      </c>
      <c r="C225">
        <f>IF('Raw Data'!C225="","",'Raw Data'!C225)</f>
        <v>12</v>
      </c>
      <c r="D225">
        <f>IF('Raw Data'!D225="","",'Raw Data'!D225)</f>
        <v>3</v>
      </c>
      <c r="E225">
        <f>IF('Raw Data'!E225="","",'Raw Data'!E225)</f>
        <v>4</v>
      </c>
      <c r="F225" t="str">
        <f>IF('Raw Data'!F225="","",'Raw Data'!F225)</f>
        <v>-</v>
      </c>
      <c r="G225" s="7" t="str">
        <f>IF('Raw Data'!G225="","",SUBSTITUTE('Raw Data'!G225," ",":",1))</f>
        <v>-</v>
      </c>
      <c r="H225" s="7" t="str">
        <f>IF('Raw Data'!H225="","",SUBSTITUTE('Raw Data'!H225," ",":",1))</f>
        <v>169:00</v>
      </c>
      <c r="I225" s="7" t="str">
        <f>IF('Raw Data'!I225="","",SUBSTITUTE('Raw Data'!I225," ",":",1))</f>
        <v>349:00</v>
      </c>
      <c r="J225" s="12">
        <f>IF('Raw Data'!J225="","",IF(LEN(K225)&gt;6,SQRT('Raw Data'!J225^2+N225^2),'Raw Data'!J225))</f>
        <v>15.9</v>
      </c>
      <c r="K225" s="7" t="str">
        <f>IF('Raw Data'!K225="","",IF(LEN('Raw Data'!K225)&lt;7,SUBSTITUTE('Raw Data'!K225," ",":",1),'Raw Data'!K225))</f>
        <v>4:30</v>
      </c>
      <c r="L225" t="str">
        <f>IF('Raw Data'!L225="","",'Raw Data'!L225)</f>
        <v/>
      </c>
      <c r="M225">
        <f>IF('Raw Data'!M225="","",'Raw Data'!M225)</f>
        <v>15.8</v>
      </c>
      <c r="N225">
        <f>IF('Raw Data'!N225="","",IF('Raw Data'!N225="-",0,'Raw Data'!N225))</f>
        <v>1.2</v>
      </c>
      <c r="O225">
        <f>IF('Raw Data'!O225="","",'Raw Data'!O225)</f>
        <v>217.6</v>
      </c>
      <c r="P225" t="str">
        <f>IF('Raw Data'!P225="","",'Raw Data'!P225)</f>
        <v/>
      </c>
      <c r="R225" s="3" t="str">
        <f t="shared" si="87"/>
        <v>-</v>
      </c>
      <c r="S225" s="3">
        <f t="shared" si="88"/>
        <v>169</v>
      </c>
      <c r="T225" s="3">
        <f t="shared" si="89"/>
        <v>349</v>
      </c>
      <c r="U225" s="3">
        <f t="shared" si="90"/>
        <v>4.5</v>
      </c>
      <c r="W225" s="4">
        <f t="shared" si="91"/>
        <v>15.850985606356735</v>
      </c>
      <c r="X225" s="4">
        <f t="shared" si="92"/>
        <v>1.2474996220727346</v>
      </c>
      <c r="Y225" s="3">
        <f t="shared" si="93"/>
        <v>349</v>
      </c>
    </row>
    <row r="226" spans="1:25" x14ac:dyDescent="0.25">
      <c r="A226" t="str">
        <f>IF('Raw Data'!A226="","",'Raw Data'!A226)</f>
        <v>CI</v>
      </c>
      <c r="B226" t="str">
        <f>IF('Raw Data'!B226="","",'Raw Data'!B226)</f>
        <v>CJ</v>
      </c>
      <c r="C226">
        <f>IF('Raw Data'!C226="","",'Raw Data'!C226)</f>
        <v>10</v>
      </c>
      <c r="D226">
        <f>IF('Raw Data'!D226="","",'Raw Data'!D226)</f>
        <v>4</v>
      </c>
      <c r="E226">
        <f>IF('Raw Data'!E226="","",'Raw Data'!E226)</f>
        <v>4</v>
      </c>
      <c r="F226">
        <f>IF('Raw Data'!F226="","",'Raw Data'!F226)</f>
        <v>6</v>
      </c>
      <c r="G226" s="7" t="str">
        <f>IF('Raw Data'!G226="","",SUBSTITUTE('Raw Data'!G226," ",":",1))</f>
        <v>023:00</v>
      </c>
      <c r="H226" s="7" t="str">
        <f>IF('Raw Data'!H226="","",SUBSTITUTE('Raw Data'!H226," ",":",1))</f>
        <v>-</v>
      </c>
      <c r="I226" s="7" t="str">
        <f>IF('Raw Data'!I226="","",SUBSTITUTE('Raw Data'!I226," ",":",1))</f>
        <v>023:00</v>
      </c>
      <c r="J226" s="12">
        <f>IF('Raw Data'!J226="","",IF(LEN(K226)&gt;6,SQRT('Raw Data'!J226^2+N226^2),'Raw Data'!J226))</f>
        <v>35.200000000000003</v>
      </c>
      <c r="K226" s="7" t="str">
        <f>IF('Raw Data'!K226="","",IF(LEN('Raw Data'!K226)&lt;7,SUBSTITUTE('Raw Data'!K226," ",":",1),'Raw Data'!K226))</f>
        <v>-3:50</v>
      </c>
      <c r="L226" t="str">
        <f>IF('Raw Data'!L226="","",'Raw Data'!L226)</f>
        <v/>
      </c>
      <c r="M226">
        <f>IF('Raw Data'!M226="","",'Raw Data'!M226)</f>
        <v>35.1</v>
      </c>
      <c r="N226">
        <f>IF('Raw Data'!N226="","",IF('Raw Data'!N226="-",0,'Raw Data'!N226))</f>
        <v>-2.4</v>
      </c>
      <c r="O226">
        <f>IF('Raw Data'!O226="","",'Raw Data'!O226)</f>
        <v>218.8</v>
      </c>
      <c r="P226" t="str">
        <f>IF('Raw Data'!P226="","",'Raw Data'!P226)</f>
        <v/>
      </c>
      <c r="R226" s="3">
        <f t="shared" si="87"/>
        <v>23</v>
      </c>
      <c r="S226" s="3" t="str">
        <f t="shared" si="88"/>
        <v>-</v>
      </c>
      <c r="T226" s="3">
        <f t="shared" si="89"/>
        <v>23</v>
      </c>
      <c r="U226" s="3">
        <f t="shared" si="90"/>
        <v>-3.8333333299999999</v>
      </c>
      <c r="W226" s="4">
        <f t="shared" si="91"/>
        <v>35.121248548177221</v>
      </c>
      <c r="X226" s="4">
        <f t="shared" si="92"/>
        <v>-2.3532744032856843</v>
      </c>
      <c r="Y226" s="3">
        <f t="shared" si="93"/>
        <v>23</v>
      </c>
    </row>
    <row r="227" spans="1:25" x14ac:dyDescent="0.25">
      <c r="A227" t="str">
        <f>IF('Raw Data'!A227="","",'Raw Data'!A227)</f>
        <v>CJ</v>
      </c>
      <c r="B227" t="str">
        <f>IF('Raw Data'!B227="","",'Raw Data'!B227)</f>
        <v>CK</v>
      </c>
      <c r="C227">
        <f>IF('Raw Data'!C227="","",'Raw Data'!C227)</f>
        <v>10</v>
      </c>
      <c r="D227">
        <f>IF('Raw Data'!D227="","",'Raw Data'!D227)</f>
        <v>2</v>
      </c>
      <c r="E227">
        <f>IF('Raw Data'!E227="","",'Raw Data'!E227)</f>
        <v>3</v>
      </c>
      <c r="F227" t="str">
        <f>IF('Raw Data'!F227="","",'Raw Data'!F227)</f>
        <v>-</v>
      </c>
      <c r="G227" s="7" t="str">
        <f>IF('Raw Data'!G227="","",SUBSTITUTE('Raw Data'!G227," ",":",1))</f>
        <v>328:00</v>
      </c>
      <c r="H227" s="7" t="str">
        <f>IF('Raw Data'!H227="","",SUBSTITUTE('Raw Data'!H227," ",":",1))</f>
        <v>-</v>
      </c>
      <c r="I227" s="7" t="str">
        <f>IF('Raw Data'!I227="","",SUBSTITUTE('Raw Data'!I227," ",":",1))</f>
        <v>328:00</v>
      </c>
      <c r="J227" s="12">
        <f>IF('Raw Data'!J227="","",IF(LEN(K227)&gt;6,SQRT('Raw Data'!J227^2+N227^2),'Raw Data'!J227))</f>
        <v>12.340583454602138</v>
      </c>
      <c r="K227" s="7" t="str">
        <f>IF('Raw Data'!K227="","",IF(LEN('Raw Data'!K227)&lt;7,SUBSTITUTE('Raw Data'!K227," ",":",1),'Raw Data'!K227))</f>
        <v>-one foot</v>
      </c>
      <c r="L227" t="str">
        <f>IF('Raw Data'!L227="","",'Raw Data'!L227)</f>
        <v/>
      </c>
      <c r="M227">
        <f>IF('Raw Data'!M227="","",'Raw Data'!M227)</f>
        <v>12.2</v>
      </c>
      <c r="N227">
        <f>IF('Raw Data'!N227="","",IF('Raw Data'!N227="-",0,'Raw Data'!N227))</f>
        <v>-1</v>
      </c>
      <c r="O227">
        <f>IF('Raw Data'!O227="","",'Raw Data'!O227)</f>
        <v>216.4</v>
      </c>
      <c r="P227" t="str">
        <f>IF('Raw Data'!P227="","",'Raw Data'!P227)</f>
        <v>side of pot at entrance of passage</v>
      </c>
      <c r="R227" s="3">
        <f t="shared" si="87"/>
        <v>328</v>
      </c>
      <c r="S227" s="3" t="str">
        <f t="shared" si="88"/>
        <v>-</v>
      </c>
      <c r="T227" s="3">
        <f t="shared" si="89"/>
        <v>328</v>
      </c>
      <c r="U227" s="9">
        <f>ASIN(N227/J227)*180/PI()</f>
        <v>-4.6479706913870329</v>
      </c>
      <c r="W227" s="4">
        <f t="shared" si="91"/>
        <v>12.3</v>
      </c>
      <c r="X227" s="4">
        <f t="shared" si="92"/>
        <v>-1</v>
      </c>
      <c r="Y227" s="3">
        <f t="shared" si="93"/>
        <v>328</v>
      </c>
    </row>
    <row r="228" spans="1:25" x14ac:dyDescent="0.25">
      <c r="A228" t="str">
        <f>IF('Raw Data'!A228="","",'Raw Data'!A228)</f>
        <v>CK</v>
      </c>
      <c r="B228" t="str">
        <f>IF('Raw Data'!B228="","",'Raw Data'!B228)</f>
        <v>CL</v>
      </c>
      <c r="C228" t="str">
        <f>IF('Raw Data'!C228="","",'Raw Data'!C228)</f>
        <v>/</v>
      </c>
      <c r="D228">
        <f>IF('Raw Data'!D228="","",'Raw Data'!D228)</f>
        <v>1</v>
      </c>
      <c r="E228" t="str">
        <f>IF('Raw Data'!E228="","",'Raw Data'!E228)</f>
        <v>/</v>
      </c>
      <c r="F228" t="str">
        <f>IF('Raw Data'!F228="","",'Raw Data'!F228)</f>
        <v>/</v>
      </c>
      <c r="G228" s="7" t="str">
        <f>IF('Raw Data'!G228="","",SUBSTITUTE('Raw Data'!G228," ",":",1))</f>
        <v>-</v>
      </c>
      <c r="H228" s="7" t="str">
        <f>IF('Raw Data'!H228="","",SUBSTITUTE('Raw Data'!H228," ",":",1))</f>
        <v>272:00</v>
      </c>
      <c r="I228" s="7" t="str">
        <f>IF('Raw Data'!I228="","",SUBSTITUTE('Raw Data'!I228," ",":",1))</f>
        <v>092:00</v>
      </c>
      <c r="J228" s="12">
        <f>IF('Raw Data'!J228="","",IF(LEN(K228)&gt;6,SQRT('Raw Data'!J228^2+N228^2),'Raw Data'!J228))</f>
        <v>35.700000000000003</v>
      </c>
      <c r="K228" s="7" t="str">
        <f>IF('Raw Data'!K228="","",IF(LEN('Raw Data'!K228)&lt;7,SUBSTITUTE('Raw Data'!K228," ",":",1),'Raw Data'!K228))</f>
        <v>71:00</v>
      </c>
      <c r="L228" t="str">
        <f>IF('Raw Data'!L228="","",'Raw Data'!L228)</f>
        <v/>
      </c>
      <c r="M228">
        <f>IF('Raw Data'!M228="","",'Raw Data'!M228)</f>
        <v>11.6</v>
      </c>
      <c r="N228">
        <f>IF('Raw Data'!N228="","",IF('Raw Data'!N228="-",0,'Raw Data'!N228))</f>
        <v>33.799999999999997</v>
      </c>
      <c r="O228">
        <f>IF('Raw Data'!O228="","",'Raw Data'!O228)</f>
        <v>215.4</v>
      </c>
      <c r="P228" t="str">
        <f>IF('Raw Data'!P228="","",'Raw Data'!P228)</f>
        <v>side of pot</v>
      </c>
      <c r="R228" s="3" t="str">
        <f t="shared" si="87"/>
        <v>-</v>
      </c>
      <c r="S228" s="3">
        <f t="shared" si="88"/>
        <v>272</v>
      </c>
      <c r="T228" s="3">
        <f t="shared" si="89"/>
        <v>92</v>
      </c>
      <c r="U228" s="3">
        <f t="shared" si="90"/>
        <v>71</v>
      </c>
      <c r="W228" s="4">
        <f t="shared" si="91"/>
        <v>11.622783114120496</v>
      </c>
      <c r="X228" s="4">
        <f t="shared" si="92"/>
        <v>33.755013148895607</v>
      </c>
      <c r="Y228" s="3">
        <f t="shared" si="93"/>
        <v>92</v>
      </c>
    </row>
    <row r="229" spans="1:25" x14ac:dyDescent="0.25">
      <c r="A229" t="str">
        <f>IF('Raw Data'!A229="","",'Raw Data'!A229)</f>
        <v>CL</v>
      </c>
      <c r="B229" t="str">
        <f>IF('Raw Data'!B229="","",'Raw Data'!B229)</f>
        <v>CN</v>
      </c>
      <c r="C229" t="str">
        <f>IF('Raw Data'!C229="","",'Raw Data'!C229)</f>
        <v>/</v>
      </c>
      <c r="D229" t="str">
        <f>IF('Raw Data'!D229="","",'Raw Data'!D229)</f>
        <v>/</v>
      </c>
      <c r="E229" t="str">
        <f>IF('Raw Data'!E229="","",'Raw Data'!E229)</f>
        <v>/</v>
      </c>
      <c r="F229" t="str">
        <f>IF('Raw Data'!F229="","",'Raw Data'!F229)</f>
        <v>/</v>
      </c>
      <c r="G229" s="7" t="str">
        <f>IF('Raw Data'!G229="","",SUBSTITUTE('Raw Data'!G229," ",":",1))</f>
        <v>100:00</v>
      </c>
      <c r="H229" s="7" t="str">
        <f>IF('Raw Data'!H229="","",SUBSTITUTE('Raw Data'!H229," ",":",1))</f>
        <v>-</v>
      </c>
      <c r="I229" s="7" t="str">
        <f>IF('Raw Data'!I229="","",SUBSTITUTE('Raw Data'!I229," ",":",1))</f>
        <v>100:00</v>
      </c>
      <c r="J229" s="12">
        <f>IF('Raw Data'!J229="","",IF(LEN(K229)&gt;6,SQRT('Raw Data'!J229^2+N229^2),'Raw Data'!J229))</f>
        <v>3.6055512754639891</v>
      </c>
      <c r="K229" s="7" t="str">
        <f>IF('Raw Data'!K229="","",IF(LEN('Raw Data'!K229)&lt;7,SUBSTITUTE('Raw Data'!K229," ",":",1),'Raw Data'!K229))</f>
        <v>+two feet</v>
      </c>
      <c r="L229" t="str">
        <f>IF('Raw Data'!L229="","",'Raw Data'!L229)</f>
        <v/>
      </c>
      <c r="M229">
        <f>IF('Raw Data'!M229="","",'Raw Data'!M229)</f>
        <v>2.5</v>
      </c>
      <c r="N229">
        <f>IF('Raw Data'!N229="","",IF('Raw Data'!N229="-",0,'Raw Data'!N229))</f>
        <v>2</v>
      </c>
      <c r="O229">
        <f>IF('Raw Data'!O229="","",'Raw Data'!O229)</f>
        <v>249.2</v>
      </c>
      <c r="P229" t="str">
        <f>IF('Raw Data'!P229="","",'Raw Data'!P229)</f>
        <v>lip of pot</v>
      </c>
      <c r="R229" s="3">
        <f t="shared" si="87"/>
        <v>100</v>
      </c>
      <c r="S229" s="3" t="str">
        <f t="shared" si="88"/>
        <v>-</v>
      </c>
      <c r="T229" s="3">
        <f t="shared" si="89"/>
        <v>100</v>
      </c>
      <c r="U229" s="9">
        <f>ASIN(N229/J229)*180/PI()</f>
        <v>33.690067525979785</v>
      </c>
      <c r="W229" s="4">
        <f t="shared" si="91"/>
        <v>3</v>
      </c>
      <c r="X229" s="4">
        <f t="shared" si="92"/>
        <v>1.9999999999999996</v>
      </c>
      <c r="Y229" s="3">
        <f t="shared" si="93"/>
        <v>100</v>
      </c>
    </row>
    <row r="230" spans="1:25" x14ac:dyDescent="0.25">
      <c r="A230" t="str">
        <f>IF('Raw Data'!A230="","",'Raw Data'!A230)</f>
        <v>CN</v>
      </c>
      <c r="B230" t="str">
        <f>IF('Raw Data'!B230="","",'Raw Data'!B230)</f>
        <v/>
      </c>
      <c r="C230" t="str">
        <f>IF('Raw Data'!C230="","",'Raw Data'!C230)</f>
        <v/>
      </c>
      <c r="D230" t="str">
        <f>IF('Raw Data'!D230="","",'Raw Data'!D230)</f>
        <v/>
      </c>
      <c r="E230" t="str">
        <f>IF('Raw Data'!E230="","",'Raw Data'!E230)</f>
        <v/>
      </c>
      <c r="F230" t="str">
        <f>IF('Raw Data'!F230="","",'Raw Data'!F230)</f>
        <v/>
      </c>
      <c r="G230" s="7" t="str">
        <f>IF('Raw Data'!G230="","",SUBSTITUTE('Raw Data'!G230," ",":",1))</f>
        <v/>
      </c>
      <c r="H230" s="7" t="str">
        <f>IF('Raw Data'!H230="","",SUBSTITUTE('Raw Data'!H230," ",":",1))</f>
        <v/>
      </c>
      <c r="I230" s="7" t="str">
        <f>IF('Raw Data'!I230="","",SUBSTITUTE('Raw Data'!I230," ",":",1))</f>
        <v/>
      </c>
      <c r="J230" s="12" t="str">
        <f>IF('Raw Data'!J230="","",IF(LEN(K230)&gt;6,SQRT('Raw Data'!J230^2+N230^2),'Raw Data'!J230))</f>
        <v/>
      </c>
      <c r="K230" s="7" t="str">
        <f>IF('Raw Data'!K230="","",IF(LEN('Raw Data'!K230)&lt;7,SUBSTITUTE('Raw Data'!K230," ",":",1),'Raw Data'!K230))</f>
        <v/>
      </c>
      <c r="L230" t="str">
        <f>IF('Raw Data'!L230="","",'Raw Data'!L230)</f>
        <v/>
      </c>
      <c r="M230" t="str">
        <f>IF('Raw Data'!M230="","",'Raw Data'!M230)</f>
        <v/>
      </c>
      <c r="N230" t="str">
        <f>IF('Raw Data'!N230="","",IF('Raw Data'!N230="-",0,'Raw Data'!N230))</f>
        <v/>
      </c>
      <c r="O230">
        <f>IF('Raw Data'!O230="","",'Raw Data'!O230)</f>
        <v>251.2</v>
      </c>
      <c r="P230" t="str">
        <f>IF('Raw Data'!P230="","",'Raw Data'!P230)</f>
        <v>see p.55</v>
      </c>
      <c r="W230" s="4"/>
      <c r="X230" s="4"/>
      <c r="Y230" s="3"/>
    </row>
    <row r="231" spans="1:25" x14ac:dyDescent="0.25">
      <c r="A231" t="str">
        <f>IF('Raw Data'!A231="","",'Raw Data'!A231)</f>
        <v>1st March 1953</v>
      </c>
      <c r="B231" t="str">
        <f>IF('Raw Data'!B231="","",'Raw Data'!B231)</f>
        <v>Phil, Don, Oliver, Colin</v>
      </c>
      <c r="C231" t="str">
        <f>IF('Raw Data'!C231="","",'Raw Data'!C231)</f>
        <v>Trats Grotto into St Pauls System</v>
      </c>
      <c r="D231" t="str">
        <f>IF('Raw Data'!D231="","",'Raw Data'!D231)</f>
        <v/>
      </c>
      <c r="E231" t="str">
        <f>IF('Raw Data'!E231="","",'Raw Data'!E231)</f>
        <v/>
      </c>
      <c r="F231" t="str">
        <f>IF('Raw Data'!F231="","",'Raw Data'!F231)</f>
        <v/>
      </c>
      <c r="G231" s="7" t="str">
        <f>IF('Raw Data'!G231="","",SUBSTITUTE('Raw Data'!G231," ",":",1))</f>
        <v/>
      </c>
      <c r="H231" s="7" t="str">
        <f>IF('Raw Data'!H231="","",SUBSTITUTE('Raw Data'!H231," ",":",1))</f>
        <v/>
      </c>
      <c r="I231" s="7" t="str">
        <f>IF('Raw Data'!I231="","",SUBSTITUTE('Raw Data'!I231," ",":",1))</f>
        <v/>
      </c>
      <c r="J231" s="12" t="str">
        <f>IF('Raw Data'!J231="","",IF(LEN(K231)&gt;6,SQRT('Raw Data'!J231^2+N231^2),'Raw Data'!J231))</f>
        <v/>
      </c>
      <c r="K231" s="7" t="str">
        <f>IF('Raw Data'!K231="","",IF(LEN('Raw Data'!K231)&lt;7,SUBSTITUTE('Raw Data'!K231," ",":",1),'Raw Data'!K231))</f>
        <v/>
      </c>
      <c r="L231" t="str">
        <f>IF('Raw Data'!L231="","",'Raw Data'!L231)</f>
        <v/>
      </c>
      <c r="M231" t="str">
        <f>IF('Raw Data'!M231="","",'Raw Data'!M231)</f>
        <v/>
      </c>
      <c r="N231" t="str">
        <f>IF('Raw Data'!N231="","",IF('Raw Data'!N231="-",0,'Raw Data'!N231))</f>
        <v/>
      </c>
      <c r="O231" t="str">
        <f>IF('Raw Data'!O231="","",'Raw Data'!O231)</f>
        <v/>
      </c>
      <c r="P231" t="str">
        <f>IF('Raw Data'!P231="","",'Raw Data'!P231)</f>
        <v/>
      </c>
      <c r="W231" s="4"/>
      <c r="X231" s="4"/>
      <c r="Y231" s="3"/>
    </row>
    <row r="232" spans="1:25" x14ac:dyDescent="0.25">
      <c r="A232" t="str">
        <f>IF('Raw Data'!A232="","",'Raw Data'!A232)</f>
        <v>AL(?)</v>
      </c>
      <c r="B232" t="str">
        <f>IF('Raw Data'!B232="","",'Raw Data'!B232)</f>
        <v>a</v>
      </c>
      <c r="C232" t="str">
        <f>IF('Raw Data'!C232="","",'Raw Data'!C232)</f>
        <v>/</v>
      </c>
      <c r="D232" t="str">
        <f>IF('Raw Data'!D232="","",'Raw Data'!D232)</f>
        <v>/</v>
      </c>
      <c r="E232" t="str">
        <f>IF('Raw Data'!E232="","",'Raw Data'!E232)</f>
        <v>/</v>
      </c>
      <c r="F232" t="str">
        <f>IF('Raw Data'!F232="","",'Raw Data'!F232)</f>
        <v>/</v>
      </c>
      <c r="G232" s="7" t="str">
        <f>IF('Raw Data'!G232="","",SUBSTITUTE('Raw Data'!G232," ",":",1))</f>
        <v>-</v>
      </c>
      <c r="H232" s="7" t="str">
        <f>IF('Raw Data'!H232="","",SUBSTITUTE('Raw Data'!H232," ",":",1))</f>
        <v>048:00</v>
      </c>
      <c r="I232" s="7" t="str">
        <f>IF('Raw Data'!I232="","",SUBSTITUTE('Raw Data'!I232," ",":",1))</f>
        <v>228:00</v>
      </c>
      <c r="J232" s="12">
        <f>IF('Raw Data'!J232="","",IF(LEN(K232)&gt;6,SQRT('Raw Data'!J232^2+N232^2),'Raw Data'!J232))</f>
        <v>3.54400902933387</v>
      </c>
      <c r="K232" s="7" t="str">
        <f>IF('Raw Data'!K232="","",IF(LEN('Raw Data'!K232)&lt;7,SUBSTITUTE('Raw Data'!K232," ",":",1),'Raw Data'!K232))</f>
        <v>-one foot</v>
      </c>
      <c r="L232" t="str">
        <f>IF('Raw Data'!L232="","",'Raw Data'!L232)</f>
        <v/>
      </c>
      <c r="M232">
        <f>IF('Raw Data'!M232="","",'Raw Data'!M232)</f>
        <v>3.2</v>
      </c>
      <c r="N232">
        <f>IF('Raw Data'!N232="","",IF('Raw Data'!N232="-",0,'Raw Data'!N232))</f>
        <v>-1</v>
      </c>
      <c r="O232">
        <f>IF('Raw Data'!O232="","",'Raw Data'!O232)</f>
        <v>56.5</v>
      </c>
      <c r="P232" t="str">
        <f>IF('Raw Data'!P232="","",'Raw Data'!P232)</f>
        <v>See p.51 Below Trats Grotto</v>
      </c>
      <c r="R232" s="3" t="str">
        <f t="shared" si="87"/>
        <v>-</v>
      </c>
      <c r="S232" s="3">
        <f t="shared" si="88"/>
        <v>48</v>
      </c>
      <c r="T232" s="3">
        <f t="shared" si="89"/>
        <v>228</v>
      </c>
      <c r="U232" s="9">
        <f>ASIN(N232/J232)*180/PI()</f>
        <v>-16.389540334034784</v>
      </c>
      <c r="W232" s="4">
        <f t="shared" si="91"/>
        <v>3.4</v>
      </c>
      <c r="X232" s="4">
        <f t="shared" si="92"/>
        <v>-1</v>
      </c>
      <c r="Y232" s="3">
        <f t="shared" si="93"/>
        <v>228</v>
      </c>
    </row>
    <row r="233" spans="1:25" x14ac:dyDescent="0.25">
      <c r="A233" t="str">
        <f>IF('Raw Data'!A233="","",'Raw Data'!A233)</f>
        <v>a</v>
      </c>
      <c r="B233" t="str">
        <f>IF('Raw Data'!B233="","",'Raw Data'!B233)</f>
        <v>b</v>
      </c>
      <c r="C233" t="str">
        <f>IF('Raw Data'!C233="","",'Raw Data'!C233)</f>
        <v>/</v>
      </c>
      <c r="D233" t="str">
        <f>IF('Raw Data'!D233="","",'Raw Data'!D233)</f>
        <v>/</v>
      </c>
      <c r="E233" t="str">
        <f>IF('Raw Data'!E233="","",'Raw Data'!E233)</f>
        <v>/</v>
      </c>
      <c r="F233" t="str">
        <f>IF('Raw Data'!F233="","",'Raw Data'!F233)</f>
        <v>/</v>
      </c>
      <c r="G233" s="7" t="str">
        <f>IF('Raw Data'!G233="","",SUBSTITUTE('Raw Data'!G233," ",":",1))</f>
        <v>184:00</v>
      </c>
      <c r="H233" s="7" t="str">
        <f>IF('Raw Data'!H233="","",SUBSTITUTE('Raw Data'!H233," ",":",1))</f>
        <v>-</v>
      </c>
      <c r="I233" s="7" t="str">
        <f>IF('Raw Data'!I233="","",SUBSTITUTE('Raw Data'!I233," ",":",1))</f>
        <v>184:00</v>
      </c>
      <c r="J233" s="12">
        <f>IF('Raw Data'!J233="","",IF(LEN(K233)&gt;6,SQRT('Raw Data'!J233^2+N233^2),'Raw Data'!J233))</f>
        <v>19.399999999999999</v>
      </c>
      <c r="K233" s="7" t="str">
        <f>IF('Raw Data'!K233="","",IF(LEN('Raw Data'!K233)&lt;7,SUBSTITUTE('Raw Data'!K233," ",":",1),'Raw Data'!K233))</f>
        <v>56:30</v>
      </c>
      <c r="L233" t="str">
        <f>IF('Raw Data'!L233="","",'Raw Data'!L233)</f>
        <v/>
      </c>
      <c r="M233">
        <f>IF('Raw Data'!M233="","",'Raw Data'!M233)</f>
        <v>10.7</v>
      </c>
      <c r="N233">
        <f>IF('Raw Data'!N233="","",IF('Raw Data'!N233="-",0,'Raw Data'!N233))</f>
        <v>16.2</v>
      </c>
      <c r="O233">
        <f>IF('Raw Data'!O233="","",'Raw Data'!O233)</f>
        <v>55.5</v>
      </c>
      <c r="P233" t="str">
        <f>IF('Raw Data'!P233="","",'Raw Data'!P233)</f>
        <v/>
      </c>
      <c r="R233" s="3">
        <f t="shared" si="87"/>
        <v>184</v>
      </c>
      <c r="S233" s="3" t="str">
        <f t="shared" si="88"/>
        <v>-</v>
      </c>
      <c r="T233" s="3">
        <f t="shared" si="89"/>
        <v>184</v>
      </c>
      <c r="U233" s="3">
        <f t="shared" si="90"/>
        <v>56.5</v>
      </c>
      <c r="W233" s="4">
        <f t="shared" si="91"/>
        <v>10.707577515053929</v>
      </c>
      <c r="X233" s="4">
        <f t="shared" si="92"/>
        <v>16.177384948103061</v>
      </c>
      <c r="Y233" s="3">
        <f t="shared" si="93"/>
        <v>184</v>
      </c>
    </row>
    <row r="234" spans="1:25" x14ac:dyDescent="0.25">
      <c r="A234" t="str">
        <f>IF('Raw Data'!A234="","",'Raw Data'!A234)</f>
        <v>b</v>
      </c>
      <c r="B234" t="str">
        <f>IF('Raw Data'!B234="","",'Raw Data'!B234)</f>
        <v>c</v>
      </c>
      <c r="C234">
        <f>IF('Raw Data'!C234="","",'Raw Data'!C234)</f>
        <v>20</v>
      </c>
      <c r="D234" t="str">
        <f>IF('Raw Data'!D234="","",'Raw Data'!D234)</f>
        <v>/</v>
      </c>
      <c r="E234">
        <f>IF('Raw Data'!E234="","",'Raw Data'!E234)</f>
        <v>35</v>
      </c>
      <c r="F234">
        <f>IF('Raw Data'!F234="","",'Raw Data'!F234)</f>
        <v>10</v>
      </c>
      <c r="G234" s="7" t="str">
        <f>IF('Raw Data'!G234="","",SUBSTITUTE('Raw Data'!G234," ",":",1))</f>
        <v>-</v>
      </c>
      <c r="H234" s="7" t="str">
        <f>IF('Raw Data'!H234="","",SUBSTITUTE('Raw Data'!H234," ",":",1))</f>
        <v>229:40</v>
      </c>
      <c r="I234" s="7" t="str">
        <f>IF('Raw Data'!I234="","",SUBSTITUTE('Raw Data'!I234," ",":",1))</f>
        <v>049:40</v>
      </c>
      <c r="J234" s="12">
        <f>IF('Raw Data'!J234="","",IF(LEN(K234)&gt;6,SQRT('Raw Data'!J234^2+N234^2),'Raw Data'!J234))</f>
        <v>10.8</v>
      </c>
      <c r="K234" s="7" t="str">
        <f>IF('Raw Data'!K234="","",IF(LEN('Raw Data'!K234)&lt;7,SUBSTITUTE('Raw Data'!K234," ",":",1),'Raw Data'!K234))</f>
        <v>30:15</v>
      </c>
      <c r="L234" t="str">
        <f>IF('Raw Data'!L234="","",'Raw Data'!L234)</f>
        <v/>
      </c>
      <c r="M234">
        <f>IF('Raw Data'!M234="","",'Raw Data'!M234)</f>
        <v>9.3000000000000007</v>
      </c>
      <c r="N234">
        <f>IF('Raw Data'!N234="","",IF('Raw Data'!N234="-",0,'Raw Data'!N234))</f>
        <v>5.4</v>
      </c>
      <c r="O234">
        <f>IF('Raw Data'!O234="","",'Raw Data'!O234)</f>
        <v>71.7</v>
      </c>
      <c r="P234" t="str">
        <f>IF('Raw Data'!P234="","",'Raw Data'!P234)</f>
        <v>Top of pit</v>
      </c>
      <c r="R234" s="3" t="str">
        <f t="shared" si="87"/>
        <v>-</v>
      </c>
      <c r="S234" s="3">
        <f t="shared" si="88"/>
        <v>229.66666666666666</v>
      </c>
      <c r="T234" s="3">
        <f t="shared" si="89"/>
        <v>49.666666666666664</v>
      </c>
      <c r="U234" s="3">
        <f t="shared" si="90"/>
        <v>30.25</v>
      </c>
      <c r="W234" s="4">
        <f t="shared" si="91"/>
        <v>9.3294234562074738</v>
      </c>
      <c r="X234" s="4">
        <f t="shared" si="92"/>
        <v>5.4407589520916844</v>
      </c>
      <c r="Y234" s="3">
        <f t="shared" si="93"/>
        <v>49.666666666666657</v>
      </c>
    </row>
    <row r="235" spans="1:25" x14ac:dyDescent="0.25">
      <c r="A235" t="str">
        <f>IF('Raw Data'!A235="","",'Raw Data'!A235)</f>
        <v>c</v>
      </c>
      <c r="B235" t="str">
        <f>IF('Raw Data'!B235="","",'Raw Data'!B235)</f>
        <v>d</v>
      </c>
      <c r="C235">
        <f>IF('Raw Data'!C235="","",'Raw Data'!C235)</f>
        <v>12</v>
      </c>
      <c r="D235">
        <f>IF('Raw Data'!D235="","",'Raw Data'!D235)</f>
        <v>2</v>
      </c>
      <c r="E235">
        <f>IF('Raw Data'!E235="","",'Raw Data'!E235)</f>
        <v>20</v>
      </c>
      <c r="F235">
        <f>IF('Raw Data'!F235="","",'Raw Data'!F235)</f>
        <v>8</v>
      </c>
      <c r="G235" s="7" t="str">
        <f>IF('Raw Data'!G235="","",SUBSTITUTE('Raw Data'!G235," ",":",1))</f>
        <v>203:40</v>
      </c>
      <c r="H235" s="7" t="str">
        <f>IF('Raw Data'!H235="","",SUBSTITUTE('Raw Data'!H235," ",":",1))</f>
        <v>-</v>
      </c>
      <c r="I235" s="7" t="str">
        <f>IF('Raw Data'!I235="","",SUBSTITUTE('Raw Data'!I235," ",":",1))</f>
        <v>203:40</v>
      </c>
      <c r="J235" s="12">
        <f>IF('Raw Data'!J235="","",IF(LEN(K235)&gt;6,SQRT('Raw Data'!J235^2+N235^2),'Raw Data'!J235))</f>
        <v>23.8</v>
      </c>
      <c r="K235" s="7" t="str">
        <f>IF('Raw Data'!K235="","",IF(LEN('Raw Data'!K235)&lt;7,SUBSTITUTE('Raw Data'!K235," ",":",1),'Raw Data'!K235))</f>
        <v>19:40</v>
      </c>
      <c r="L235" t="str">
        <f>IF('Raw Data'!L235="","",'Raw Data'!L235)</f>
        <v/>
      </c>
      <c r="M235">
        <f>IF('Raw Data'!M235="","",'Raw Data'!M235)</f>
        <v>22.4</v>
      </c>
      <c r="N235">
        <f>IF('Raw Data'!N235="","",IF('Raw Data'!N235="-",0,'Raw Data'!N235))</f>
        <v>8</v>
      </c>
      <c r="O235">
        <f>IF('Raw Data'!O235="","",'Raw Data'!O235)</f>
        <v>77.099999999999994</v>
      </c>
      <c r="P235" t="str">
        <f>IF('Raw Data'!P235="","",'Raw Data'!P235)</f>
        <v>Foot of cascade</v>
      </c>
      <c r="R235" s="3">
        <f t="shared" si="87"/>
        <v>203.66666666666666</v>
      </c>
      <c r="S235" s="3" t="str">
        <f t="shared" si="88"/>
        <v>-</v>
      </c>
      <c r="T235" s="3">
        <f t="shared" si="89"/>
        <v>203.66666666666666</v>
      </c>
      <c r="U235" s="3">
        <f t="shared" si="90"/>
        <v>19.666666660000001</v>
      </c>
      <c r="W235" s="4">
        <f t="shared" si="91"/>
        <v>22.411662690123819</v>
      </c>
      <c r="X235" s="4">
        <f t="shared" si="92"/>
        <v>8.0098299272900935</v>
      </c>
      <c r="Y235" s="3">
        <f t="shared" si="93"/>
        <v>203.66666666666666</v>
      </c>
    </row>
    <row r="236" spans="1:25" x14ac:dyDescent="0.25">
      <c r="A236" t="str">
        <f>IF('Raw Data'!A236="","",'Raw Data'!A236)</f>
        <v>d</v>
      </c>
      <c r="B236" t="str">
        <f>IF('Raw Data'!B236="","",'Raw Data'!B236)</f>
        <v>e</v>
      </c>
      <c r="C236">
        <f>IF('Raw Data'!C236="","",'Raw Data'!C236)</f>
        <v>4</v>
      </c>
      <c r="D236">
        <f>IF('Raw Data'!D236="","",'Raw Data'!D236)</f>
        <v>2</v>
      </c>
      <c r="E236" t="str">
        <f>IF('Raw Data'!E236="","",'Raw Data'!E236)</f>
        <v>/</v>
      </c>
      <c r="F236">
        <f>IF('Raw Data'!F236="","",'Raw Data'!F236)</f>
        <v>3</v>
      </c>
      <c r="G236" s="7" t="str">
        <f>IF('Raw Data'!G236="","",SUBSTITUTE('Raw Data'!G236," ",":",1))</f>
        <v>-</v>
      </c>
      <c r="H236" s="7" t="str">
        <f>IF('Raw Data'!H236="","",SUBSTITUTE('Raw Data'!H236," ",":",1))</f>
        <v>305:10</v>
      </c>
      <c r="I236" s="7" t="str">
        <f>IF('Raw Data'!I236="","",SUBSTITUTE('Raw Data'!I236," ",":",1))</f>
        <v>125:10</v>
      </c>
      <c r="J236" s="12">
        <f>IF('Raw Data'!J236="","",IF(LEN(K236)&gt;6,SQRT('Raw Data'!J236^2+N236^2),'Raw Data'!J236))</f>
        <v>52</v>
      </c>
      <c r="K236" s="7" t="str">
        <f>IF('Raw Data'!K236="","",IF(LEN('Raw Data'!K236)&lt;7,SUBSTITUTE('Raw Data'!K236," ",":",1),'Raw Data'!K236))</f>
        <v>2:30</v>
      </c>
      <c r="L236" t="str">
        <f>IF('Raw Data'!L236="","",'Raw Data'!L236)</f>
        <v/>
      </c>
      <c r="M236">
        <f>IF('Raw Data'!M236="","",'Raw Data'!M236)</f>
        <v>51.9</v>
      </c>
      <c r="N236">
        <f>IF('Raw Data'!N236="","",IF('Raw Data'!N236="-",0,'Raw Data'!N236))</f>
        <v>2.2999999999999998</v>
      </c>
      <c r="O236">
        <f>IF('Raw Data'!O236="","",'Raw Data'!O236)</f>
        <v>85.1</v>
      </c>
      <c r="P236" t="str">
        <f>IF('Raw Data'!P236="","",'Raw Data'!P236)</f>
        <v>(small sketch a-e)</v>
      </c>
      <c r="R236" s="3" t="str">
        <f t="shared" si="87"/>
        <v>-</v>
      </c>
      <c r="S236" s="3">
        <f t="shared" si="88"/>
        <v>305.16666666666669</v>
      </c>
      <c r="T236" s="3">
        <f t="shared" si="89"/>
        <v>125.16666666666667</v>
      </c>
      <c r="U236" s="3">
        <f t="shared" si="90"/>
        <v>2.5</v>
      </c>
      <c r="W236" s="4">
        <f t="shared" si="91"/>
        <v>51.950507522256608</v>
      </c>
      <c r="X236" s="4">
        <f t="shared" si="92"/>
        <v>2.2682081429974721</v>
      </c>
      <c r="Y236" s="3">
        <f t="shared" si="93"/>
        <v>125.16666666666669</v>
      </c>
    </row>
    <row r="237" spans="1:25" x14ac:dyDescent="0.25">
      <c r="A237" t="str">
        <f>IF('Raw Data'!A237="","",'Raw Data'!A237)</f>
        <v>e</v>
      </c>
      <c r="B237" t="str">
        <f>IF('Raw Data'!B237="","",'Raw Data'!B237)</f>
        <v>f</v>
      </c>
      <c r="C237">
        <f>IF('Raw Data'!C237="","",'Raw Data'!C237)</f>
        <v>2</v>
      </c>
      <c r="D237">
        <f>IF('Raw Data'!D237="","",'Raw Data'!D237)</f>
        <v>2</v>
      </c>
      <c r="E237">
        <f>IF('Raw Data'!E237="","",'Raw Data'!E237)</f>
        <v>3</v>
      </c>
      <c r="F237">
        <f>IF('Raw Data'!F237="","",'Raw Data'!F237)</f>
        <v>1.5</v>
      </c>
      <c r="G237" s="7" t="str">
        <f>IF('Raw Data'!G237="","",SUBSTITUTE('Raw Data'!G237," ",":",1))</f>
        <v>125:00</v>
      </c>
      <c r="H237" s="7" t="str">
        <f>IF('Raw Data'!H237="","",SUBSTITUTE('Raw Data'!H237," ",":",1))</f>
        <v>-</v>
      </c>
      <c r="I237" s="7" t="str">
        <f>IF('Raw Data'!I237="","",SUBSTITUTE('Raw Data'!I237," ",":",1))</f>
        <v/>
      </c>
      <c r="J237" s="12">
        <f>IF('Raw Data'!J237="","",IF(LEN(K237)&gt;6,SQRT('Raw Data'!J237^2+N237^2),'Raw Data'!J237))</f>
        <v>23.5</v>
      </c>
      <c r="K237" s="7" t="str">
        <f>IF('Raw Data'!K237="","",IF(LEN('Raw Data'!K237)&lt;7,SUBSTITUTE('Raw Data'!K237," ",":",1),'Raw Data'!K237))</f>
        <v>8:45</v>
      </c>
      <c r="L237" t="str">
        <f>IF('Raw Data'!L237="","",'Raw Data'!L237)</f>
        <v/>
      </c>
      <c r="M237">
        <f>IF('Raw Data'!M237="","",'Raw Data'!M237)</f>
        <v>23.3</v>
      </c>
      <c r="N237">
        <f>IF('Raw Data'!N237="","",IF('Raw Data'!N237="-",0,'Raw Data'!N237))</f>
        <v>3.6</v>
      </c>
      <c r="O237">
        <f>IF('Raw Data'!O237="","",'Raw Data'!O237)</f>
        <v>87.4</v>
      </c>
      <c r="P237" t="str">
        <f>IF('Raw Data'!P237="","",'Raw Data'!P237)</f>
        <v>(sketch e-i)</v>
      </c>
      <c r="R237" s="3">
        <f t="shared" si="87"/>
        <v>125</v>
      </c>
      <c r="S237" s="3" t="str">
        <f t="shared" si="88"/>
        <v>-</v>
      </c>
      <c r="T237" s="3" t="e">
        <f t="shared" si="89"/>
        <v>#VALUE!</v>
      </c>
      <c r="U237" s="3">
        <f t="shared" si="90"/>
        <v>8.75</v>
      </c>
      <c r="W237" s="4">
        <f t="shared" si="91"/>
        <v>23.226495495992374</v>
      </c>
      <c r="X237" s="4">
        <f t="shared" si="92"/>
        <v>3.5748995754630424</v>
      </c>
      <c r="Y237" s="3">
        <f t="shared" si="93"/>
        <v>125</v>
      </c>
    </row>
    <row r="238" spans="1:25" x14ac:dyDescent="0.25">
      <c r="A238" t="str">
        <f>IF('Raw Data'!A238="","",'Raw Data'!A238)</f>
        <v>f</v>
      </c>
      <c r="B238" t="str">
        <f>IF('Raw Data'!B238="","",'Raw Data'!B238)</f>
        <v>g</v>
      </c>
      <c r="C238">
        <f>IF('Raw Data'!C238="","",'Raw Data'!C238)</f>
        <v>1.5</v>
      </c>
      <c r="D238">
        <f>IF('Raw Data'!D238="","",'Raw Data'!D238)</f>
        <v>0.5</v>
      </c>
      <c r="E238" t="str">
        <f>IF('Raw Data'!E238="","",'Raw Data'!E238)</f>
        <v>-</v>
      </c>
      <c r="F238">
        <f>IF('Raw Data'!F238="","",'Raw Data'!F238)</f>
        <v>1.5</v>
      </c>
      <c r="G238" s="7" t="str">
        <f>IF('Raw Data'!G238="","",SUBSTITUTE('Raw Data'!G238," ",":",1))</f>
        <v>-</v>
      </c>
      <c r="H238" s="7" t="str">
        <f>IF('Raw Data'!H238="","",SUBSTITUTE('Raw Data'!H238," ",":",1))</f>
        <v>342:00</v>
      </c>
      <c r="I238" s="7" t="str">
        <f>IF('Raw Data'!I238="","",SUBSTITUTE('Raw Data'!I238," ",":",1))</f>
        <v/>
      </c>
      <c r="J238" s="12">
        <f>IF('Raw Data'!J238="","",IF(LEN(K238)&gt;6,SQRT('Raw Data'!J238^2+N238^2),'Raw Data'!J238))</f>
        <v>16.899999999999999</v>
      </c>
      <c r="K238" s="7" t="str">
        <f>IF('Raw Data'!K238="","",IF(LEN('Raw Data'!K238)&lt;7,SUBSTITUTE('Raw Data'!K238," ",":",1),'Raw Data'!K238))</f>
        <v>-5:00</v>
      </c>
      <c r="L238" t="str">
        <f>IF('Raw Data'!L238="","",'Raw Data'!L238)</f>
        <v/>
      </c>
      <c r="M238">
        <f>IF('Raw Data'!M238="","",'Raw Data'!M238)</f>
        <v>16.8</v>
      </c>
      <c r="N238">
        <f>IF('Raw Data'!N238="","",IF('Raw Data'!N238="-",0,'Raw Data'!N238))</f>
        <v>-1.5</v>
      </c>
      <c r="O238">
        <f>IF('Raw Data'!O238="","",'Raw Data'!O238)</f>
        <v>91</v>
      </c>
      <c r="P238" t="str">
        <f>IF('Raw Data'!P238="","",'Raw Data'!P238)</f>
        <v/>
      </c>
      <c r="R238" s="3" t="str">
        <f t="shared" si="87"/>
        <v>-</v>
      </c>
      <c r="S238" s="3">
        <f t="shared" si="88"/>
        <v>342</v>
      </c>
      <c r="T238" s="3" t="e">
        <f t="shared" si="89"/>
        <v>#VALUE!</v>
      </c>
      <c r="U238" s="3">
        <f t="shared" si="90"/>
        <v>-5</v>
      </c>
      <c r="W238" s="4">
        <f t="shared" si="91"/>
        <v>16.835690397750497</v>
      </c>
      <c r="X238" s="4">
        <f t="shared" si="92"/>
        <v>-1.4729320524354228</v>
      </c>
      <c r="Y238" s="3">
        <f t="shared" si="93"/>
        <v>162</v>
      </c>
    </row>
    <row r="239" spans="1:25" x14ac:dyDescent="0.25">
      <c r="A239" t="str">
        <f>IF('Raw Data'!A239="","",'Raw Data'!A239)</f>
        <v>g</v>
      </c>
      <c r="B239" t="str">
        <f>IF('Raw Data'!B239="","",'Raw Data'!B239)</f>
        <v>h</v>
      </c>
      <c r="C239">
        <f>IF('Raw Data'!C239="","",'Raw Data'!C239)</f>
        <v>1</v>
      </c>
      <c r="D239">
        <f>IF('Raw Data'!D239="","",'Raw Data'!D239)</f>
        <v>1</v>
      </c>
      <c r="E239">
        <f>IF('Raw Data'!E239="","",'Raw Data'!E239)</f>
        <v>2</v>
      </c>
      <c r="F239">
        <f>IF('Raw Data'!F239="","",'Raw Data'!F239)</f>
        <v>1</v>
      </c>
      <c r="G239" s="7" t="str">
        <f>IF('Raw Data'!G239="","",SUBSTITUTE('Raw Data'!G239," ",":",1))</f>
        <v>-</v>
      </c>
      <c r="H239" s="7" t="str">
        <f>IF('Raw Data'!H239="","",SUBSTITUTE('Raw Data'!H239," ",":",1))</f>
        <v>013:00</v>
      </c>
      <c r="I239" s="7" t="str">
        <f>IF('Raw Data'!I239="","",SUBSTITUTE('Raw Data'!I239," ",":",1))</f>
        <v/>
      </c>
      <c r="J239" s="12">
        <f>IF('Raw Data'!J239="","",IF(LEN(K239)&gt;6,SQRT('Raw Data'!J239^2+N239^2),'Raw Data'!J239))</f>
        <v>7.6164296097318456</v>
      </c>
      <c r="K239" s="7" t="str">
        <f>IF('Raw Data'!K239="","",IF(LEN('Raw Data'!K239)&lt;7,SUBSTITUTE('Raw Data'!K239," ",":",1),'Raw Data'!K239))</f>
        <v>+0.5 feet</v>
      </c>
      <c r="L239" t="str">
        <f>IF('Raw Data'!L239="","",'Raw Data'!L239)</f>
        <v/>
      </c>
      <c r="M239">
        <f>IF('Raw Data'!M239="","",'Raw Data'!M239)</f>
        <v>7.5</v>
      </c>
      <c r="N239">
        <f>IF('Raw Data'!N239="","",IF('Raw Data'!N239="-",0,'Raw Data'!N239))</f>
        <v>0.5</v>
      </c>
      <c r="O239">
        <f>IF('Raw Data'!O239="","",'Raw Data'!O239)</f>
        <v>89.5</v>
      </c>
      <c r="P239" t="str">
        <f>IF('Raw Data'!P239="","",'Raw Data'!P239)</f>
        <v/>
      </c>
      <c r="R239" s="3" t="str">
        <f t="shared" ref="R239:R281" si="94">IF(ISERROR(FIND(":",G239)),IF(G239&lt;&gt;"-",1*G239,G239),1*LEFT(G239,FIND(":",G239)-1)+RIGHT(G239,LEN(G239)-FIND(":",G239))/60)</f>
        <v>-</v>
      </c>
      <c r="S239" s="3">
        <f t="shared" ref="S239:S281" si="95">IF(ISERROR(FIND(":",H239)),IF(H239&lt;&gt;"-",1*H239,H239),1*LEFT(H239,FIND(":",H239)-1)+RIGHT(H239,LEN(H239)-FIND(":",H239))/60)</f>
        <v>13</v>
      </c>
      <c r="T239" s="3" t="e">
        <f t="shared" ref="T239:T281" si="96">IF(ISERROR(FIND(":",I239)),IF(I239&lt;&gt;"-",1*I239,I239),1*LEFT(I239,FIND(":",I239)-1)+RIGHT(I239,LEN(I239)-FIND(":",I239))/60)</f>
        <v>#VALUE!</v>
      </c>
      <c r="U239" s="9">
        <f>ASIN(N239/J239)*180/PI()</f>
        <v>3.7640348649057183</v>
      </c>
      <c r="W239" s="4">
        <f t="shared" ref="W239:W281" si="97">J239*COS(U239*PI()/180)</f>
        <v>7.6</v>
      </c>
      <c r="X239" s="4">
        <f t="shared" ref="X239:X281" si="98">J239*SIN(U239*PI()/180)</f>
        <v>0.5</v>
      </c>
      <c r="Y239" s="3">
        <f t="shared" ref="Y239:Y281" si="99">IF(R239="-",IF(S239&gt;180,S239-180,S239+180),R239)</f>
        <v>193</v>
      </c>
    </row>
    <row r="240" spans="1:25" x14ac:dyDescent="0.25">
      <c r="A240" t="str">
        <f>IF('Raw Data'!A240="","",'Raw Data'!A240)</f>
        <v>h</v>
      </c>
      <c r="B240" t="str">
        <f>IF('Raw Data'!B240="","",'Raw Data'!B240)</f>
        <v>i</v>
      </c>
      <c r="C240">
        <f>IF('Raw Data'!C240="","",'Raw Data'!C240)</f>
        <v>0.5</v>
      </c>
      <c r="D240">
        <f>IF('Raw Data'!D240="","",'Raw Data'!D240)</f>
        <v>0.5</v>
      </c>
      <c r="E240">
        <f>IF('Raw Data'!E240="","",'Raw Data'!E240)</f>
        <v>3</v>
      </c>
      <c r="F240">
        <f>IF('Raw Data'!F240="","",'Raw Data'!F240)</f>
        <v>1</v>
      </c>
      <c r="G240" s="7" t="str">
        <f>IF('Raw Data'!G240="","",SUBSTITUTE('Raw Data'!G240," ",":",1))</f>
        <v>-</v>
      </c>
      <c r="H240" s="7" t="str">
        <f>IF('Raw Data'!H240="","",SUBSTITUTE('Raw Data'!H240," ",":",1))</f>
        <v>002:00</v>
      </c>
      <c r="I240" s="7" t="str">
        <f>IF('Raw Data'!I240="","",SUBSTITUTE('Raw Data'!I240," ",":",1))</f>
        <v/>
      </c>
      <c r="J240" s="12">
        <f>IF('Raw Data'!J240="","",IF(LEN(K240)&gt;6,SQRT('Raw Data'!J240^2+N240^2),'Raw Data'!J240))</f>
        <v>18.2</v>
      </c>
      <c r="K240" s="7" t="str">
        <f>IF('Raw Data'!K240="","",IF(LEN('Raw Data'!K240)&lt;7,SUBSTITUTE('Raw Data'!K240," ",":",1),'Raw Data'!K240))</f>
        <v>5:30</v>
      </c>
      <c r="L240" t="str">
        <f>IF('Raw Data'!L240="","",'Raw Data'!L240)</f>
        <v/>
      </c>
      <c r="M240">
        <f>IF('Raw Data'!M240="","",'Raw Data'!M240)</f>
        <v>18</v>
      </c>
      <c r="N240">
        <f>IF('Raw Data'!N240="","",IF('Raw Data'!N240="-",0,'Raw Data'!N240))</f>
        <v>1.7</v>
      </c>
      <c r="O240">
        <f>IF('Raw Data'!O240="","",'Raw Data'!O240)</f>
        <v>90</v>
      </c>
      <c r="P240" t="str">
        <f>IF('Raw Data'!P240="","",'Raw Data'!P240)</f>
        <v/>
      </c>
      <c r="R240" s="3" t="str">
        <f t="shared" si="94"/>
        <v>-</v>
      </c>
      <c r="S240" s="3">
        <f t="shared" si="95"/>
        <v>2</v>
      </c>
      <c r="T240" s="3" t="e">
        <f t="shared" si="96"/>
        <v>#VALUE!</v>
      </c>
      <c r="U240" s="3">
        <f t="shared" ref="U240:U281" si="100">IF(ISERROR(FIND(":",K240)),K240,1*CONCATENATE(LEFT(K240,FIND(":",K240)-1),".",MID(RIGHT(K240,LEN(K240)-FIND(":",K240))/60,3,8)))</f>
        <v>5.5</v>
      </c>
      <c r="W240" s="4">
        <f t="shared" si="97"/>
        <v>18.116210810282656</v>
      </c>
      <c r="X240" s="4">
        <f t="shared" si="98"/>
        <v>1.7443926958680764</v>
      </c>
      <c r="Y240" s="3">
        <f t="shared" si="99"/>
        <v>182</v>
      </c>
    </row>
    <row r="241" spans="1:25" x14ac:dyDescent="0.25">
      <c r="A241" t="str">
        <f>IF('Raw Data'!A241="","",'Raw Data'!A241)</f>
        <v>i</v>
      </c>
      <c r="B241" t="str">
        <f>IF('Raw Data'!B241="","",'Raw Data'!B241)</f>
        <v>j</v>
      </c>
      <c r="C241">
        <f>IF('Raw Data'!C241="","",'Raw Data'!C241)</f>
        <v>2</v>
      </c>
      <c r="D241">
        <f>IF('Raw Data'!D241="","",'Raw Data'!D241)</f>
        <v>0.5</v>
      </c>
      <c r="E241">
        <f>IF('Raw Data'!E241="","",'Raw Data'!E241)</f>
        <v>1</v>
      </c>
      <c r="F241">
        <f>IF('Raw Data'!F241="","",'Raw Data'!F241)</f>
        <v>1.5</v>
      </c>
      <c r="G241" s="7" t="str">
        <f>IF('Raw Data'!G241="","",SUBSTITUTE('Raw Data'!G241," ",":",1))</f>
        <v>-</v>
      </c>
      <c r="H241" s="7" t="str">
        <f>IF('Raw Data'!H241="","",SUBSTITUTE('Raw Data'!H241," ",":",1))</f>
        <v>007:00</v>
      </c>
      <c r="I241" s="7" t="str">
        <f>IF('Raw Data'!I241="","",SUBSTITUTE('Raw Data'!I241," ",":",1))</f>
        <v/>
      </c>
      <c r="J241" s="12">
        <f>IF('Raw Data'!J241="","",IF(LEN(K241)&gt;6,SQRT('Raw Data'!J241^2+N241^2),'Raw Data'!J241))</f>
        <v>7.8</v>
      </c>
      <c r="K241" s="7" t="str">
        <f>IF('Raw Data'!K241="","",IF(LEN('Raw Data'!K241)&lt;7,SUBSTITUTE('Raw Data'!K241," ",":",1),'Raw Data'!K241))</f>
        <v>-7:00</v>
      </c>
      <c r="L241" t="str">
        <f>IF('Raw Data'!L241="","",'Raw Data'!L241)</f>
        <v/>
      </c>
      <c r="M241">
        <f>IF('Raw Data'!M241="","",'Raw Data'!M241)</f>
        <v>7.7</v>
      </c>
      <c r="N241">
        <f>IF('Raw Data'!N241="","",IF('Raw Data'!N241="-",0,'Raw Data'!N241))</f>
        <v>-0.9</v>
      </c>
      <c r="O241">
        <f>IF('Raw Data'!O241="","",'Raw Data'!O241)</f>
        <v>91.7</v>
      </c>
      <c r="P241" t="str">
        <f>IF('Raw Data'!P241="","",'Raw Data'!P241)</f>
        <v>(sketch j-o)</v>
      </c>
      <c r="R241" s="3" t="str">
        <f t="shared" si="94"/>
        <v>-</v>
      </c>
      <c r="S241" s="3">
        <f t="shared" si="95"/>
        <v>7</v>
      </c>
      <c r="T241" s="3" t="e">
        <f t="shared" si="96"/>
        <v>#VALUE!</v>
      </c>
      <c r="U241" s="3">
        <f t="shared" si="100"/>
        <v>-7</v>
      </c>
      <c r="W241" s="4">
        <f t="shared" si="97"/>
        <v>7.7418599828023114</v>
      </c>
      <c r="X241" s="4">
        <f t="shared" si="98"/>
        <v>-0.95058087856015028</v>
      </c>
      <c r="Y241" s="3">
        <f t="shared" si="99"/>
        <v>187</v>
      </c>
    </row>
    <row r="242" spans="1:25" x14ac:dyDescent="0.25">
      <c r="A242" t="str">
        <f>IF('Raw Data'!A242="","",'Raw Data'!A242)</f>
        <v>j</v>
      </c>
      <c r="B242" t="str">
        <f>IF('Raw Data'!B242="","",'Raw Data'!B242)</f>
        <v>k</v>
      </c>
      <c r="C242">
        <f>IF('Raw Data'!C242="","",'Raw Data'!C242)</f>
        <v>2</v>
      </c>
      <c r="D242">
        <f>IF('Raw Data'!D242="","",'Raw Data'!D242)</f>
        <v>2</v>
      </c>
      <c r="E242">
        <f>IF('Raw Data'!E242="","",'Raw Data'!E242)</f>
        <v>3</v>
      </c>
      <c r="F242">
        <f>IF('Raw Data'!F242="","",'Raw Data'!F242)</f>
        <v>2</v>
      </c>
      <c r="G242" s="7" t="str">
        <f>IF('Raw Data'!G242="","",SUBSTITUTE('Raw Data'!G242," ",":",1))</f>
        <v>194:00</v>
      </c>
      <c r="H242" s="7" t="str">
        <f>IF('Raw Data'!H242="","",SUBSTITUTE('Raw Data'!H242," ",":",1))</f>
        <v>-</v>
      </c>
      <c r="I242" s="7" t="str">
        <f>IF('Raw Data'!I242="","",SUBSTITUTE('Raw Data'!I242," ",":",1))</f>
        <v/>
      </c>
      <c r="J242" s="12">
        <f>IF('Raw Data'!J242="","",IF(LEN(K242)&gt;6,SQRT('Raw Data'!J242^2+N242^2),'Raw Data'!J242))</f>
        <v>28.9</v>
      </c>
      <c r="K242" s="7" t="str">
        <f>IF('Raw Data'!K242="","",IF(LEN('Raw Data'!K242)&lt;7,SUBSTITUTE('Raw Data'!K242," ",":",1),'Raw Data'!K242))</f>
        <v>-17:30</v>
      </c>
      <c r="L242" t="str">
        <f>IF('Raw Data'!L242="","",'Raw Data'!L242)</f>
        <v/>
      </c>
      <c r="M242">
        <f>IF('Raw Data'!M242="","",'Raw Data'!M242)</f>
        <v>27.5</v>
      </c>
      <c r="N242">
        <f>IF('Raw Data'!N242="","",IF('Raw Data'!N242="-",0,'Raw Data'!N242))</f>
        <v>-8.6999999999999993</v>
      </c>
      <c r="O242">
        <f>IF('Raw Data'!O242="","",'Raw Data'!O242)</f>
        <v>90.8</v>
      </c>
      <c r="P242" t="str">
        <f>IF('Raw Data'!P242="","",'Raw Data'!P242)</f>
        <v/>
      </c>
      <c r="R242" s="3">
        <f t="shared" si="94"/>
        <v>194</v>
      </c>
      <c r="S242" s="3" t="str">
        <f t="shared" si="95"/>
        <v>-</v>
      </c>
      <c r="T242" s="3" t="e">
        <f t="shared" si="96"/>
        <v>#VALUE!</v>
      </c>
      <c r="U242" s="3">
        <f t="shared" si="100"/>
        <v>-17.5</v>
      </c>
      <c r="W242" s="4">
        <f t="shared" si="97"/>
        <v>27.562419876623757</v>
      </c>
      <c r="X242" s="4">
        <f t="shared" si="98"/>
        <v>-8.6903976056734926</v>
      </c>
      <c r="Y242" s="3">
        <f t="shared" si="99"/>
        <v>194</v>
      </c>
    </row>
    <row r="243" spans="1:25" x14ac:dyDescent="0.25">
      <c r="A243" t="str">
        <f>IF('Raw Data'!A243="","",'Raw Data'!A243)</f>
        <v>k</v>
      </c>
      <c r="B243" t="str">
        <f>IF('Raw Data'!B243="","",'Raw Data'!B243)</f>
        <v>l</v>
      </c>
      <c r="C243">
        <f>IF('Raw Data'!C243="","",'Raw Data'!C243)</f>
        <v>3</v>
      </c>
      <c r="D243">
        <f>IF('Raw Data'!D243="","",'Raw Data'!D243)</f>
        <v>0.5</v>
      </c>
      <c r="E243">
        <f>IF('Raw Data'!E243="","",'Raw Data'!E243)</f>
        <v>3</v>
      </c>
      <c r="F243">
        <f>IF('Raw Data'!F243="","",'Raw Data'!F243)</f>
        <v>4</v>
      </c>
      <c r="G243" s="7" t="str">
        <f>IF('Raw Data'!G243="","",SUBSTITUTE('Raw Data'!G243," ",":",1))</f>
        <v>-</v>
      </c>
      <c r="H243" s="7" t="str">
        <f>IF('Raw Data'!H243="","",SUBSTITUTE('Raw Data'!H243," ",":",1))</f>
        <v>027:30</v>
      </c>
      <c r="I243" s="7" t="str">
        <f>IF('Raw Data'!I243="","",SUBSTITUTE('Raw Data'!I243," ",":",1))</f>
        <v/>
      </c>
      <c r="J243" s="12">
        <f>IF('Raw Data'!J243="","",IF(LEN(K243)&gt;6,SQRT('Raw Data'!J243^2+N243^2),'Raw Data'!J243))</f>
        <v>22.3</v>
      </c>
      <c r="K243" s="7" t="str">
        <f>IF('Raw Data'!K243="","",IF(LEN('Raw Data'!K243)&lt;7,SUBSTITUTE('Raw Data'!K243," ",":",1),'Raw Data'!K243))</f>
        <v>4:00</v>
      </c>
      <c r="L243" t="str">
        <f>IF('Raw Data'!L243="","",'Raw Data'!L243)</f>
        <v/>
      </c>
      <c r="M243">
        <f>IF('Raw Data'!M243="","",'Raw Data'!M243)</f>
        <v>22.1</v>
      </c>
      <c r="N243">
        <f>IF('Raw Data'!N243="","",IF('Raw Data'!N243="-",0,'Raw Data'!N243))</f>
        <v>1.6</v>
      </c>
      <c r="O243">
        <f>IF('Raw Data'!O243="","",'Raw Data'!O243)</f>
        <v>82.1</v>
      </c>
      <c r="P243" t="str">
        <f>IF('Raw Data'!P243="","",'Raw Data'!P243)</f>
        <v/>
      </c>
      <c r="R243" s="3" t="str">
        <f t="shared" si="94"/>
        <v>-</v>
      </c>
      <c r="S243" s="3">
        <f t="shared" si="95"/>
        <v>27.5</v>
      </c>
      <c r="T243" s="3" t="e">
        <f t="shared" si="96"/>
        <v>#VALUE!</v>
      </c>
      <c r="U243" s="3">
        <f t="shared" si="100"/>
        <v>4</v>
      </c>
      <c r="W243" s="4">
        <f t="shared" si="97"/>
        <v>22.245678320794081</v>
      </c>
      <c r="X243" s="4">
        <f t="shared" si="98"/>
        <v>1.5555693644939943</v>
      </c>
      <c r="Y243" s="3">
        <f t="shared" si="99"/>
        <v>207.5</v>
      </c>
    </row>
    <row r="244" spans="1:25" x14ac:dyDescent="0.25">
      <c r="A244" t="str">
        <f>IF('Raw Data'!A244="","",'Raw Data'!A244)</f>
        <v>l</v>
      </c>
      <c r="B244" t="str">
        <f>IF('Raw Data'!B244="","",'Raw Data'!B244)</f>
        <v>m</v>
      </c>
      <c r="C244">
        <f>IF('Raw Data'!C244="","",'Raw Data'!C244)</f>
        <v>4</v>
      </c>
      <c r="D244">
        <f>IF('Raw Data'!D244="","",'Raw Data'!D244)</f>
        <v>3</v>
      </c>
      <c r="E244">
        <f>IF('Raw Data'!E244="","",'Raw Data'!E244)</f>
        <v>5</v>
      </c>
      <c r="F244">
        <f>IF('Raw Data'!F244="","",'Raw Data'!F244)</f>
        <v>3</v>
      </c>
      <c r="G244" s="7" t="str">
        <f>IF('Raw Data'!G244="","",SUBSTITUTE('Raw Data'!G244," ",":",1))</f>
        <v>187:00</v>
      </c>
      <c r="H244" s="7" t="str">
        <f>IF('Raw Data'!H244="","",SUBSTITUTE('Raw Data'!H244," ",":",1))</f>
        <v>-</v>
      </c>
      <c r="I244" s="7" t="str">
        <f>IF('Raw Data'!I244="","",SUBSTITUTE('Raw Data'!I244," ",":",1))</f>
        <v/>
      </c>
      <c r="J244" s="12">
        <f>IF('Raw Data'!J244="","",IF(LEN(K244)&gt;6,SQRT('Raw Data'!J244^2+N244^2),'Raw Data'!J244))</f>
        <v>22.9</v>
      </c>
      <c r="K244" s="7" t="str">
        <f>IF('Raw Data'!K244="","",IF(LEN('Raw Data'!K244)&lt;7,SUBSTITUTE('Raw Data'!K244," ",":",1),'Raw Data'!K244))</f>
        <v>0:40</v>
      </c>
      <c r="L244" t="str">
        <f>IF('Raw Data'!L244="","",'Raw Data'!L244)</f>
        <v/>
      </c>
      <c r="M244">
        <f>IF('Raw Data'!M244="","",'Raw Data'!M244)</f>
        <v>22.9</v>
      </c>
      <c r="N244">
        <f>IF('Raw Data'!N244="","",IF('Raw Data'!N244="-",0,'Raw Data'!N244))</f>
        <v>0.3</v>
      </c>
      <c r="O244">
        <f>IF('Raw Data'!O244="","",'Raw Data'!O244)</f>
        <v>83.7</v>
      </c>
      <c r="P244" t="str">
        <f>IF('Raw Data'!P244="","",'Raw Data'!P244)</f>
        <v/>
      </c>
      <c r="R244" s="3">
        <f t="shared" si="94"/>
        <v>187</v>
      </c>
      <c r="S244" s="3" t="str">
        <f t="shared" si="95"/>
        <v>-</v>
      </c>
      <c r="T244" s="3" t="e">
        <f t="shared" si="96"/>
        <v>#VALUE!</v>
      </c>
      <c r="U244" s="3">
        <f t="shared" si="100"/>
        <v>0.66666665999999997</v>
      </c>
      <c r="W244" s="4">
        <f t="shared" si="97"/>
        <v>22.898449853317157</v>
      </c>
      <c r="X244" s="4">
        <f t="shared" si="98"/>
        <v>0.26644758418763598</v>
      </c>
      <c r="Y244" s="3">
        <f t="shared" si="99"/>
        <v>187</v>
      </c>
    </row>
    <row r="245" spans="1:25" x14ac:dyDescent="0.25">
      <c r="A245" t="str">
        <f>IF('Raw Data'!A245="","",'Raw Data'!A245)</f>
        <v>m</v>
      </c>
      <c r="B245" t="str">
        <f>IF('Raw Data'!B245="","",'Raw Data'!B245)</f>
        <v>n</v>
      </c>
      <c r="C245">
        <f>IF('Raw Data'!C245="","",'Raw Data'!C245)</f>
        <v>2</v>
      </c>
      <c r="D245">
        <f>IF('Raw Data'!D245="","",'Raw Data'!D245)</f>
        <v>1.5</v>
      </c>
      <c r="E245" t="str">
        <f>IF('Raw Data'!E245="","",'Raw Data'!E245)</f>
        <v>-</v>
      </c>
      <c r="F245">
        <f>IF('Raw Data'!F245="","",'Raw Data'!F245)</f>
        <v>2</v>
      </c>
      <c r="G245" s="7" t="str">
        <f>IF('Raw Data'!G245="","",SUBSTITUTE('Raw Data'!G245," ",":",1))</f>
        <v>-</v>
      </c>
      <c r="H245" s="7" t="str">
        <f>IF('Raw Data'!H245="","",SUBSTITUTE('Raw Data'!H245," ",":",1))</f>
        <v>044:00</v>
      </c>
      <c r="I245" s="7" t="str">
        <f>IF('Raw Data'!I245="","",SUBSTITUTE('Raw Data'!I245," ",":",1))</f>
        <v/>
      </c>
      <c r="J245" s="12">
        <f>IF('Raw Data'!J245="","",IF(LEN(K245)&gt;6,SQRT('Raw Data'!J245^2+N245^2),'Raw Data'!J245))</f>
        <v>18.8</v>
      </c>
      <c r="K245" s="7" t="str">
        <f>IF('Raw Data'!K245="","",IF(LEN('Raw Data'!K245)&lt;7,SUBSTITUTE('Raw Data'!K245," ",":",1),'Raw Data'!K245))</f>
        <v>-5:30</v>
      </c>
      <c r="L245" t="str">
        <f>IF('Raw Data'!L245="","",'Raw Data'!L245)</f>
        <v/>
      </c>
      <c r="M245">
        <f>IF('Raw Data'!M245="","",'Raw Data'!M245)</f>
        <v>18.600000000000001</v>
      </c>
      <c r="N245">
        <f>IF('Raw Data'!N245="","",IF('Raw Data'!N245="-",0,'Raw Data'!N245))</f>
        <v>-1.8</v>
      </c>
      <c r="O245">
        <f>IF('Raw Data'!O245="","",'Raw Data'!O245)</f>
        <v>84</v>
      </c>
      <c r="P245" t="str">
        <f>IF('Raw Data'!P245="","",'Raw Data'!P245)</f>
        <v/>
      </c>
      <c r="R245" s="3" t="str">
        <f t="shared" si="94"/>
        <v>-</v>
      </c>
      <c r="S245" s="3">
        <f t="shared" si="95"/>
        <v>44</v>
      </c>
      <c r="T245" s="3" t="e">
        <f t="shared" si="96"/>
        <v>#VALUE!</v>
      </c>
      <c r="U245" s="3">
        <f t="shared" si="100"/>
        <v>-5.5</v>
      </c>
      <c r="W245" s="4">
        <f t="shared" si="97"/>
        <v>18.713448529302962</v>
      </c>
      <c r="X245" s="4">
        <f t="shared" si="98"/>
        <v>-1.801900147380211</v>
      </c>
      <c r="Y245" s="3">
        <f t="shared" si="99"/>
        <v>224</v>
      </c>
    </row>
    <row r="246" spans="1:25" x14ac:dyDescent="0.25">
      <c r="A246" t="str">
        <f>IF('Raw Data'!A246="","",'Raw Data'!A246)</f>
        <v>n</v>
      </c>
      <c r="B246" t="str">
        <f>IF('Raw Data'!B246="","",'Raw Data'!B246)</f>
        <v>o</v>
      </c>
      <c r="C246">
        <f>IF('Raw Data'!C246="","",'Raw Data'!C246)</f>
        <v>4</v>
      </c>
      <c r="D246">
        <f>IF('Raw Data'!D246="","",'Raw Data'!D246)</f>
        <v>6</v>
      </c>
      <c r="E246">
        <f>IF('Raw Data'!E246="","",'Raw Data'!E246)</f>
        <v>3</v>
      </c>
      <c r="F246">
        <f>IF('Raw Data'!F246="","",'Raw Data'!F246)</f>
        <v>3</v>
      </c>
      <c r="G246" s="7" t="str">
        <f>IF('Raw Data'!G246="","",SUBSTITUTE('Raw Data'!G246," ",":",1))</f>
        <v>251:00</v>
      </c>
      <c r="H246" s="7" t="str">
        <f>IF('Raw Data'!H246="","",SUBSTITUTE('Raw Data'!H246," ",":",1))</f>
        <v>-</v>
      </c>
      <c r="I246" s="7" t="str">
        <f>IF('Raw Data'!I246="","",SUBSTITUTE('Raw Data'!I246," ",":",1))</f>
        <v/>
      </c>
      <c r="J246" s="12">
        <f>IF('Raw Data'!J246="","",IF(LEN(K246)&gt;6,SQRT('Raw Data'!J246^2+N246^2),'Raw Data'!J246))</f>
        <v>47.1</v>
      </c>
      <c r="K246" s="7" t="str">
        <f>IF('Raw Data'!K246="","",IF(LEN('Raw Data'!K246)&lt;7,SUBSTITUTE('Raw Data'!K246," ",":",1),'Raw Data'!K246))</f>
        <v>-11:30</v>
      </c>
      <c r="L246" t="str">
        <f>IF('Raw Data'!L246="","",'Raw Data'!L246)</f>
        <v/>
      </c>
      <c r="M246">
        <f>IF('Raw Data'!M246="","",'Raw Data'!M246)</f>
        <v>46.2</v>
      </c>
      <c r="N246">
        <f>IF('Raw Data'!N246="","",IF('Raw Data'!N246="-",0,'Raw Data'!N246))</f>
        <v>-9.4</v>
      </c>
      <c r="O246">
        <f>IF('Raw Data'!O246="","",'Raw Data'!O246)</f>
        <v>82.2</v>
      </c>
      <c r="P246" t="str">
        <f>IF('Raw Data'!P246="","",'Raw Data'!P246)</f>
        <v>On Olivers boulder</v>
      </c>
      <c r="R246" s="3">
        <f t="shared" si="94"/>
        <v>251</v>
      </c>
      <c r="S246" s="3" t="str">
        <f t="shared" si="95"/>
        <v>-</v>
      </c>
      <c r="T246" s="3" t="e">
        <f t="shared" si="96"/>
        <v>#VALUE!</v>
      </c>
      <c r="U246" s="3">
        <f t="shared" si="100"/>
        <v>-11.5</v>
      </c>
      <c r="W246" s="4">
        <f t="shared" si="97"/>
        <v>46.154453587641072</v>
      </c>
      <c r="X246" s="4">
        <f t="shared" si="98"/>
        <v>-9.3902297110499866</v>
      </c>
      <c r="Y246" s="3">
        <f t="shared" si="99"/>
        <v>251</v>
      </c>
    </row>
    <row r="247" spans="1:25" x14ac:dyDescent="0.25">
      <c r="A247" t="str">
        <f>IF('Raw Data'!A247="","",'Raw Data'!A247)</f>
        <v>o</v>
      </c>
      <c r="B247" t="str">
        <f>IF('Raw Data'!B247="","",'Raw Data'!B247)</f>
        <v/>
      </c>
      <c r="C247" t="str">
        <f>IF('Raw Data'!C247="","",'Raw Data'!C247)</f>
        <v/>
      </c>
      <c r="D247" t="str">
        <f>IF('Raw Data'!D247="","",'Raw Data'!D247)</f>
        <v/>
      </c>
      <c r="E247" t="str">
        <f>IF('Raw Data'!E247="","",'Raw Data'!E247)</f>
        <v/>
      </c>
      <c r="F247" t="str">
        <f>IF('Raw Data'!F247="","",'Raw Data'!F247)</f>
        <v/>
      </c>
      <c r="G247" s="7" t="str">
        <f>IF('Raw Data'!G247="","",SUBSTITUTE('Raw Data'!G247," ",":",1))</f>
        <v/>
      </c>
      <c r="H247" s="7" t="str">
        <f>IF('Raw Data'!H247="","",SUBSTITUTE('Raw Data'!H247," ",":",1))</f>
        <v/>
      </c>
      <c r="I247" s="7" t="str">
        <f>IF('Raw Data'!I247="","",SUBSTITUTE('Raw Data'!I247," ",":",1))</f>
        <v/>
      </c>
      <c r="J247" s="12" t="str">
        <f>IF('Raw Data'!J247="","",IF(LEN(K247)&gt;6,SQRT('Raw Data'!J247^2+N247^2),'Raw Data'!J247))</f>
        <v/>
      </c>
      <c r="K247" s="7" t="str">
        <f>IF('Raw Data'!K247="","",IF(LEN('Raw Data'!K247)&lt;7,SUBSTITUTE('Raw Data'!K247," ",":",1),'Raw Data'!K247))</f>
        <v/>
      </c>
      <c r="L247" t="str">
        <f>IF('Raw Data'!L247="","",'Raw Data'!L247)</f>
        <v/>
      </c>
      <c r="M247" t="str">
        <f>IF('Raw Data'!M247="","",'Raw Data'!M247)</f>
        <v/>
      </c>
      <c r="N247" t="str">
        <f>IF('Raw Data'!N247="","",IF('Raw Data'!N247="-",0,'Raw Data'!N247))</f>
        <v/>
      </c>
      <c r="O247">
        <f>IF('Raw Data'!O247="","",'Raw Data'!O247)</f>
        <v>72.8</v>
      </c>
      <c r="P247" t="str">
        <f>IF('Raw Data'!P247="","",'Raw Data'!P247)</f>
        <v/>
      </c>
      <c r="R247" s="3" t="e">
        <f t="shared" si="94"/>
        <v>#VALUE!</v>
      </c>
      <c r="S247" s="3" t="e">
        <f t="shared" si="95"/>
        <v>#VALUE!</v>
      </c>
      <c r="T247" s="3" t="e">
        <f t="shared" si="96"/>
        <v>#VALUE!</v>
      </c>
      <c r="U247" s="3" t="str">
        <f t="shared" si="100"/>
        <v/>
      </c>
      <c r="W247" s="4" t="e">
        <f t="shared" si="97"/>
        <v>#VALUE!</v>
      </c>
      <c r="X247" s="4" t="e">
        <f t="shared" si="98"/>
        <v>#VALUE!</v>
      </c>
      <c r="Y247" s="3" t="e">
        <f t="shared" si="99"/>
        <v>#VALUE!</v>
      </c>
    </row>
    <row r="248" spans="1:25" x14ac:dyDescent="0.25">
      <c r="A248" t="str">
        <f>IF('Raw Data'!A248="","",'Raw Data'!A248)</f>
        <v>14th March 1953</v>
      </c>
      <c r="B248" t="str">
        <f>IF('Raw Data'!B248="","",'Raw Data'!B248)</f>
        <v>Howard</v>
      </c>
      <c r="C248" t="str">
        <f>IF('Raw Data'!C248="","",'Raw Data'!C248)</f>
        <v>Damascus</v>
      </c>
      <c r="D248" t="str">
        <f>IF('Raw Data'!D248="","",'Raw Data'!D248)</f>
        <v/>
      </c>
      <c r="E248" t="str">
        <f>IF('Raw Data'!E248="","",'Raw Data'!E248)</f>
        <v/>
      </c>
      <c r="F248" t="str">
        <f>IF('Raw Data'!F248="","",'Raw Data'!F248)</f>
        <v/>
      </c>
      <c r="G248" s="7" t="str">
        <f>IF('Raw Data'!G248="","",SUBSTITUTE('Raw Data'!G248," ",":",1))</f>
        <v/>
      </c>
      <c r="H248" s="7" t="str">
        <f>IF('Raw Data'!H248="","",SUBSTITUTE('Raw Data'!H248," ",":",1))</f>
        <v/>
      </c>
      <c r="I248" s="7" t="str">
        <f>IF('Raw Data'!I248="","",SUBSTITUTE('Raw Data'!I248," ",":",1))</f>
        <v/>
      </c>
      <c r="J248" s="12" t="str">
        <f>IF('Raw Data'!J248="","",IF(LEN(K248)&gt;6,SQRT('Raw Data'!J248^2+N248^2),'Raw Data'!J248))</f>
        <v/>
      </c>
      <c r="K248" s="7" t="str">
        <f>IF('Raw Data'!K248="","",IF(LEN('Raw Data'!K248)&lt;7,SUBSTITUTE('Raw Data'!K248," ",":",1),'Raw Data'!K248))</f>
        <v/>
      </c>
      <c r="L248" t="str">
        <f>IF('Raw Data'!L248="","",'Raw Data'!L248)</f>
        <v/>
      </c>
      <c r="M248" t="str">
        <f>IF('Raw Data'!M248="","",'Raw Data'!M248)</f>
        <v/>
      </c>
      <c r="N248" t="str">
        <f>IF('Raw Data'!N248="","",IF('Raw Data'!N248="-",0,'Raw Data'!N248))</f>
        <v/>
      </c>
      <c r="O248" t="str">
        <f>IF('Raw Data'!O248="","",'Raw Data'!O248)</f>
        <v/>
      </c>
      <c r="P248" t="str">
        <f>IF('Raw Data'!P248="","",'Raw Data'!P248)</f>
        <v/>
      </c>
      <c r="R248" s="3" t="e">
        <f t="shared" si="94"/>
        <v>#VALUE!</v>
      </c>
      <c r="S248" s="3" t="e">
        <f t="shared" si="95"/>
        <v>#VALUE!</v>
      </c>
      <c r="T248" s="3" t="e">
        <f t="shared" si="96"/>
        <v>#VALUE!</v>
      </c>
      <c r="U248" s="3" t="str">
        <f t="shared" si="100"/>
        <v/>
      </c>
      <c r="W248" s="4" t="e">
        <f t="shared" si="97"/>
        <v>#VALUE!</v>
      </c>
      <c r="X248" s="4" t="e">
        <f t="shared" si="98"/>
        <v>#VALUE!</v>
      </c>
      <c r="Y248" s="3" t="e">
        <f t="shared" si="99"/>
        <v>#VALUE!</v>
      </c>
    </row>
    <row r="249" spans="1:25" x14ac:dyDescent="0.25">
      <c r="A249" t="str">
        <f>IF('Raw Data'!A249="","",'Raw Data'!A249)</f>
        <v>o</v>
      </c>
      <c r="B249" t="str">
        <f>IF('Raw Data'!B249="","",'Raw Data'!B249)</f>
        <v>p</v>
      </c>
      <c r="C249">
        <f>IF('Raw Data'!C249="","",'Raw Data'!C249)</f>
        <v>3</v>
      </c>
      <c r="D249">
        <f>IF('Raw Data'!D249="","",'Raw Data'!D249)</f>
        <v>5</v>
      </c>
      <c r="E249">
        <f>IF('Raw Data'!E249="","",'Raw Data'!E249)</f>
        <v>4</v>
      </c>
      <c r="F249">
        <f>IF('Raw Data'!F249="","",'Raw Data'!F249)</f>
        <v>11</v>
      </c>
      <c r="G249" s="7" t="str">
        <f>IF('Raw Data'!G249="","",SUBSTITUTE('Raw Data'!G249," ",":",1))</f>
        <v>-</v>
      </c>
      <c r="H249" s="7" t="str">
        <f>IF('Raw Data'!H249="","",SUBSTITUTE('Raw Data'!H249," ",":",1))</f>
        <v>102:00</v>
      </c>
      <c r="I249" s="7" t="str">
        <f>IF('Raw Data'!I249="","",SUBSTITUTE('Raw Data'!I249," ",":",1))</f>
        <v/>
      </c>
      <c r="J249" s="12">
        <f>IF('Raw Data'!J249="","",IF(LEN(K249)&gt;6,SQRT('Raw Data'!J249^2+N249^2),'Raw Data'!J249))</f>
        <v>24</v>
      </c>
      <c r="K249" s="7" t="str">
        <f>IF('Raw Data'!K249="","",IF(LEN('Raw Data'!K249)&lt;7,SUBSTITUTE('Raw Data'!K249," ",":",1),'Raw Data'!K249))</f>
        <v>-9:15</v>
      </c>
      <c r="L249" t="str">
        <f>IF('Raw Data'!L249="","",'Raw Data'!L249)</f>
        <v/>
      </c>
      <c r="M249">
        <f>IF('Raw Data'!M249="","",'Raw Data'!M249)</f>
        <v>23.8</v>
      </c>
      <c r="N249">
        <f>IF('Raw Data'!N249="","",IF('Raw Data'!N249="-",0,'Raw Data'!N249))</f>
        <v>-3.9</v>
      </c>
      <c r="O249">
        <f>IF('Raw Data'!O249="","",'Raw Data'!O249)</f>
        <v>72.8</v>
      </c>
      <c r="P249" t="str">
        <f>IF('Raw Data'!P249="","",'Raw Data'!P249)</f>
        <v>(sketch o-t)</v>
      </c>
      <c r="R249" s="3" t="str">
        <f t="shared" si="94"/>
        <v>-</v>
      </c>
      <c r="S249" s="3">
        <f t="shared" si="95"/>
        <v>102</v>
      </c>
      <c r="T249" s="3" t="e">
        <f t="shared" si="96"/>
        <v>#VALUE!</v>
      </c>
      <c r="U249" s="3">
        <f t="shared" si="100"/>
        <v>-9.25</v>
      </c>
      <c r="W249" s="4">
        <f t="shared" si="97"/>
        <v>23.687912797445566</v>
      </c>
      <c r="X249" s="4">
        <f t="shared" si="98"/>
        <v>-3.8578215744918265</v>
      </c>
      <c r="Y249" s="3">
        <f t="shared" si="99"/>
        <v>282</v>
      </c>
    </row>
    <row r="250" spans="1:25" x14ac:dyDescent="0.25">
      <c r="A250" t="str">
        <f>IF('Raw Data'!A250="","",'Raw Data'!A250)</f>
        <v>p</v>
      </c>
      <c r="B250" t="str">
        <f>IF('Raw Data'!B250="","",'Raw Data'!B250)</f>
        <v>q</v>
      </c>
      <c r="C250">
        <f>IF('Raw Data'!C250="","",'Raw Data'!C250)</f>
        <v>15</v>
      </c>
      <c r="D250">
        <f>IF('Raw Data'!D250="","",'Raw Data'!D250)</f>
        <v>2</v>
      </c>
      <c r="E250" t="str">
        <f>IF('Raw Data'!E250="","",'Raw Data'!E250)</f>
        <v>15 (25 in passage)</v>
      </c>
      <c r="F250">
        <f>IF('Raw Data'!F250="","",'Raw Data'!F250)</f>
        <v>7</v>
      </c>
      <c r="G250" s="7" t="str">
        <f>IF('Raw Data'!G250="","",SUBSTITUTE('Raw Data'!G250," ",":",1))</f>
        <v>250:00</v>
      </c>
      <c r="H250" s="7" t="str">
        <f>IF('Raw Data'!H250="","",SUBSTITUTE('Raw Data'!H250," ",":",1))</f>
        <v>-</v>
      </c>
      <c r="I250" s="7" t="str">
        <f>IF('Raw Data'!I250="","",SUBSTITUTE('Raw Data'!I250," ",":",1))</f>
        <v/>
      </c>
      <c r="J250" s="12">
        <f>IF('Raw Data'!J250="","",IF(LEN(K250)&gt;6,SQRT('Raw Data'!J250^2+N250^2),'Raw Data'!J250))</f>
        <v>34.4</v>
      </c>
      <c r="K250" s="7" t="str">
        <f>IF('Raw Data'!K250="","",IF(LEN('Raw Data'!K250)&lt;7,SUBSTITUTE('Raw Data'!K250," ",":",1),'Raw Data'!K250))</f>
        <v>-14:30</v>
      </c>
      <c r="L250" t="str">
        <f>IF('Raw Data'!L250="","",'Raw Data'!L250)</f>
        <v/>
      </c>
      <c r="M250">
        <f>IF('Raw Data'!M250="","",'Raw Data'!M250)</f>
        <v>33.200000000000003</v>
      </c>
      <c r="N250">
        <f>IF('Raw Data'!N250="","",IF('Raw Data'!N250="-",0,'Raw Data'!N250))</f>
        <v>-8.6</v>
      </c>
      <c r="O250">
        <f>IF('Raw Data'!O250="","",'Raw Data'!O250)</f>
        <v>68.900000000000006</v>
      </c>
      <c r="P250" t="str">
        <f>IF('Raw Data'!P250="","",'Raw Data'!P250)</f>
        <v/>
      </c>
      <c r="R250" s="3">
        <f t="shared" si="94"/>
        <v>250</v>
      </c>
      <c r="S250" s="3" t="str">
        <f t="shared" si="95"/>
        <v>-</v>
      </c>
      <c r="T250" s="3" t="e">
        <f t="shared" si="96"/>
        <v>#VALUE!</v>
      </c>
      <c r="U250" s="3">
        <f t="shared" si="100"/>
        <v>-14.5</v>
      </c>
      <c r="W250" s="4">
        <f t="shared" si="97"/>
        <v>33.304278829006904</v>
      </c>
      <c r="X250" s="4">
        <f t="shared" si="98"/>
        <v>-8.613072139472786</v>
      </c>
      <c r="Y250" s="3">
        <f t="shared" si="99"/>
        <v>250</v>
      </c>
    </row>
    <row r="251" spans="1:25" x14ac:dyDescent="0.25">
      <c r="A251" t="str">
        <f>IF('Raw Data'!A251="","",'Raw Data'!A251)</f>
        <v>q</v>
      </c>
      <c r="B251" t="str">
        <f>IF('Raw Data'!B251="","",'Raw Data'!B251)</f>
        <v>r</v>
      </c>
      <c r="C251">
        <f>IF('Raw Data'!C251="","",'Raw Data'!C251)</f>
        <v>4</v>
      </c>
      <c r="D251">
        <f>IF('Raw Data'!D251="","",'Raw Data'!D251)</f>
        <v>1</v>
      </c>
      <c r="E251">
        <f>IF('Raw Data'!E251="","",'Raw Data'!E251)</f>
        <v>3</v>
      </c>
      <c r="F251" t="str">
        <f>IF('Raw Data'!F251="","",'Raw Data'!F251)</f>
        <v>/</v>
      </c>
      <c r="G251" s="7" t="str">
        <f>IF('Raw Data'!G251="","",SUBSTITUTE('Raw Data'!G251," ",":",1))</f>
        <v>320:00</v>
      </c>
      <c r="H251" s="7" t="str">
        <f>IF('Raw Data'!H251="","",SUBSTITUTE('Raw Data'!H251," ",":",1))</f>
        <v>-</v>
      </c>
      <c r="I251" s="7" t="str">
        <f>IF('Raw Data'!I251="","",SUBSTITUTE('Raw Data'!I251," ",":",1))</f>
        <v/>
      </c>
      <c r="J251" s="12">
        <f>IF('Raw Data'!J251="","",IF(LEN(K251)&gt;6,SQRT('Raw Data'!J251^2+N251^2),'Raw Data'!J251))</f>
        <v>23.36364697559009</v>
      </c>
      <c r="K251" s="7" t="str">
        <f>IF('Raw Data'!K251="","",IF(LEN('Raw Data'!K251)&lt;7,SUBSTITUTE('Raw Data'!K251," ",":",1),'Raw Data'!K251))</f>
        <v>-3.5 feet</v>
      </c>
      <c r="L251" t="str">
        <f>IF('Raw Data'!L251="","",'Raw Data'!L251)</f>
        <v/>
      </c>
      <c r="M251">
        <f>IF('Raw Data'!M251="","",'Raw Data'!M251)</f>
        <v>22.5</v>
      </c>
      <c r="N251">
        <f>IF('Raw Data'!N251="","",IF('Raw Data'!N251="-",0,'Raw Data'!N251))</f>
        <v>-3.5</v>
      </c>
      <c r="O251">
        <f>IF('Raw Data'!O251="","",'Raw Data'!O251)</f>
        <v>60.3</v>
      </c>
      <c r="P251" t="str">
        <f>IF('Raw Data'!P251="","",'Raw Data'!P251)</f>
        <v>Sump 15' on at 280deg true WL 5 WR 4</v>
      </c>
      <c r="R251" s="3">
        <f t="shared" si="94"/>
        <v>320</v>
      </c>
      <c r="S251" s="3" t="str">
        <f t="shared" si="95"/>
        <v>-</v>
      </c>
      <c r="T251" s="3" t="e">
        <f t="shared" si="96"/>
        <v>#VALUE!</v>
      </c>
      <c r="U251" s="9">
        <f>ASIN(N251/J251)*180/PI()</f>
        <v>-8.6156481841641135</v>
      </c>
      <c r="W251" s="4">
        <f t="shared" si="97"/>
        <v>23.099999999999998</v>
      </c>
      <c r="X251" s="4">
        <f t="shared" si="98"/>
        <v>-3.4999999999999996</v>
      </c>
      <c r="Y251" s="3">
        <f t="shared" si="99"/>
        <v>320</v>
      </c>
    </row>
    <row r="252" spans="1:25" x14ac:dyDescent="0.25">
      <c r="A252" t="str">
        <f>IF('Raw Data'!A252="","",'Raw Data'!A252)</f>
        <v>q</v>
      </c>
      <c r="B252" t="str">
        <f>IF('Raw Data'!B252="","",'Raw Data'!B252)</f>
        <v>s</v>
      </c>
      <c r="C252" t="str">
        <f>IF('Raw Data'!C252="","",'Raw Data'!C252)</f>
        <v>/</v>
      </c>
      <c r="D252" t="str">
        <f>IF('Raw Data'!D252="","",'Raw Data'!D252)</f>
        <v>/</v>
      </c>
      <c r="E252" t="str">
        <f>IF('Raw Data'!E252="","",'Raw Data'!E252)</f>
        <v>/</v>
      </c>
      <c r="F252" t="str">
        <f>IF('Raw Data'!F252="","",'Raw Data'!F252)</f>
        <v>/</v>
      </c>
      <c r="G252" s="7" t="str">
        <f>IF('Raw Data'!G252="","",SUBSTITUTE('Raw Data'!G252," ",":",1))</f>
        <v>-</v>
      </c>
      <c r="H252" s="7" t="str">
        <f>IF('Raw Data'!H252="","",SUBSTITUTE('Raw Data'!H252," ",":",1))</f>
        <v>330:00</v>
      </c>
      <c r="I252" s="7" t="str">
        <f>IF('Raw Data'!I252="","",SUBSTITUTE('Raw Data'!I252," ",":",1))</f>
        <v/>
      </c>
      <c r="J252" s="12">
        <f>IF('Raw Data'!J252="","",IF(LEN(K252)&gt;6,SQRT('Raw Data'!J252^2+N252^2),'Raw Data'!J252))</f>
        <v>21.6</v>
      </c>
      <c r="K252" s="7" t="str">
        <f>IF('Raw Data'!K252="","",IF(LEN('Raw Data'!K252)&lt;7,SUBSTITUTE('Raw Data'!K252," ",":",1),'Raw Data'!K252))</f>
        <v>20:30</v>
      </c>
      <c r="L252" t="str">
        <f>IF('Raw Data'!L252="","",'Raw Data'!L252)</f>
        <v/>
      </c>
      <c r="M252">
        <f>IF('Raw Data'!M252="","",'Raw Data'!M252)</f>
        <v>20.2</v>
      </c>
      <c r="N252">
        <f>IF('Raw Data'!N252="","",IF('Raw Data'!N252="-",0,'Raw Data'!N252))</f>
        <v>7.6</v>
      </c>
      <c r="O252" t="str">
        <f>IF('Raw Data'!O252="","",'Raw Data'!O252)</f>
        <v>(r=56.8)</v>
      </c>
      <c r="P252" t="str">
        <f>IF('Raw Data'!P252="","",'Raw Data'!P252)</f>
        <v/>
      </c>
      <c r="R252" s="3" t="str">
        <f t="shared" si="94"/>
        <v>-</v>
      </c>
      <c r="S252" s="3">
        <f t="shared" si="95"/>
        <v>330</v>
      </c>
      <c r="T252" s="3" t="e">
        <f t="shared" si="96"/>
        <v>#VALUE!</v>
      </c>
      <c r="U252" s="3">
        <f t="shared" si="100"/>
        <v>20.5</v>
      </c>
      <c r="W252" s="4">
        <f t="shared" si="97"/>
        <v>20.232119287765393</v>
      </c>
      <c r="X252" s="4">
        <f t="shared" si="98"/>
        <v>7.5644794352044959</v>
      </c>
      <c r="Y252" s="3">
        <f t="shared" si="99"/>
        <v>150</v>
      </c>
    </row>
    <row r="253" spans="1:25" x14ac:dyDescent="0.25">
      <c r="A253" t="str">
        <f>IF('Raw Data'!A253="","",'Raw Data'!A253)</f>
        <v>s</v>
      </c>
      <c r="B253" t="str">
        <f>IF('Raw Data'!B253="","",'Raw Data'!B253)</f>
        <v>t</v>
      </c>
      <c r="C253">
        <f>IF('Raw Data'!C253="","",'Raw Data'!C253)</f>
        <v>2</v>
      </c>
      <c r="D253">
        <f>IF('Raw Data'!D253="","",'Raw Data'!D253)</f>
        <v>3</v>
      </c>
      <c r="E253">
        <f>IF('Raw Data'!E253="","",'Raw Data'!E253)</f>
        <v>25</v>
      </c>
      <c r="F253">
        <f>IF('Raw Data'!F253="","",'Raw Data'!F253)</f>
        <v>5</v>
      </c>
      <c r="G253" s="7" t="str">
        <f>IF('Raw Data'!G253="","",SUBSTITUTE('Raw Data'!G253," ",":",1))</f>
        <v>246:00</v>
      </c>
      <c r="H253" s="7" t="str">
        <f>IF('Raw Data'!H253="","",SUBSTITUTE('Raw Data'!H253," ",":",1))</f>
        <v>-</v>
      </c>
      <c r="I253" s="7" t="str">
        <f>IF('Raw Data'!I253="","",SUBSTITUTE('Raw Data'!I253," ",":",1))</f>
        <v/>
      </c>
      <c r="J253" s="12">
        <f>IF('Raw Data'!J253="","",IF(LEN(K253)&gt;6,SQRT('Raw Data'!J253^2+N253^2),'Raw Data'!J253))</f>
        <v>17.399999999999999</v>
      </c>
      <c r="K253" s="7" t="str">
        <f>IF('Raw Data'!K253="","",IF(LEN('Raw Data'!K253)&lt;7,SUBSTITUTE('Raw Data'!K253," ",":",1),'Raw Data'!K253))</f>
        <v>-7:30</v>
      </c>
      <c r="L253" t="str">
        <f>IF('Raw Data'!L253="","",'Raw Data'!L253)</f>
        <v/>
      </c>
      <c r="M253">
        <f>IF('Raw Data'!M253="","",'Raw Data'!M253)</f>
        <v>17.2</v>
      </c>
      <c r="N253">
        <f>IF('Raw Data'!N253="","",IF('Raw Data'!N253="-",0,'Raw Data'!N253))</f>
        <v>-2.2999999999999998</v>
      </c>
      <c r="O253">
        <f>IF('Raw Data'!O253="","",'Raw Data'!O253)</f>
        <v>67.900000000000006</v>
      </c>
      <c r="P253" t="str">
        <f>IF('Raw Data'!P253="","",'Raw Data'!P253)</f>
        <v/>
      </c>
      <c r="R253" s="3">
        <f t="shared" si="94"/>
        <v>246</v>
      </c>
      <c r="S253" s="3" t="str">
        <f t="shared" si="95"/>
        <v>-</v>
      </c>
      <c r="T253" s="3" t="e">
        <f t="shared" si="96"/>
        <v>#VALUE!</v>
      </c>
      <c r="U253" s="3">
        <f t="shared" si="100"/>
        <v>-7.5</v>
      </c>
      <c r="W253" s="4">
        <f t="shared" si="97"/>
        <v>17.251140587904299</v>
      </c>
      <c r="X253" s="4">
        <f t="shared" si="98"/>
        <v>-2.271155744628897</v>
      </c>
      <c r="Y253" s="3">
        <f t="shared" si="99"/>
        <v>246</v>
      </c>
    </row>
    <row r="254" spans="1:25" x14ac:dyDescent="0.25">
      <c r="A254" t="str">
        <f>IF('Raw Data'!A254="","",'Raw Data'!A254)</f>
        <v>t</v>
      </c>
      <c r="B254" t="str">
        <f>IF('Raw Data'!B254="","",'Raw Data'!B254)</f>
        <v>u</v>
      </c>
      <c r="C254">
        <f>IF('Raw Data'!C254="","",'Raw Data'!C254)</f>
        <v>2</v>
      </c>
      <c r="D254">
        <f>IF('Raw Data'!D254="","",'Raw Data'!D254)</f>
        <v>1</v>
      </c>
      <c r="E254" t="str">
        <f>IF('Raw Data'!E254="","",'Raw Data'!E254)</f>
        <v>/</v>
      </c>
      <c r="F254">
        <f>IF('Raw Data'!F254="","",'Raw Data'!F254)</f>
        <v>10</v>
      </c>
      <c r="G254" s="7" t="str">
        <f>IF('Raw Data'!G254="","",SUBSTITUTE('Raw Data'!G254," ",":",1))</f>
        <v>255:00</v>
      </c>
      <c r="H254" s="7" t="str">
        <f>IF('Raw Data'!H254="","",SUBSTITUTE('Raw Data'!H254," ",":",1))</f>
        <v>-</v>
      </c>
      <c r="I254" s="7" t="str">
        <f>IF('Raw Data'!I254="","",SUBSTITUTE('Raw Data'!I254," ",":",1))</f>
        <v/>
      </c>
      <c r="J254" s="12">
        <f>IF('Raw Data'!J254="","",IF(LEN(K254)&gt;6,SQRT('Raw Data'!J254^2+N254^2),'Raw Data'!J254))</f>
        <v>18.634376834227645</v>
      </c>
      <c r="K254" s="7" t="str">
        <f>IF('Raw Data'!K254="","",IF(LEN('Raw Data'!K254)&lt;7,SUBSTITUTE('Raw Data'!K254," ",":",1),'Raw Data'!K254))</f>
        <v>-4 feet</v>
      </c>
      <c r="L254" t="str">
        <f>IF('Raw Data'!L254="","",'Raw Data'!L254)</f>
        <v/>
      </c>
      <c r="M254">
        <f>IF('Raw Data'!M254="","",'Raw Data'!M254)</f>
        <v>17.8</v>
      </c>
      <c r="N254">
        <f>IF('Raw Data'!N254="","",IF('Raw Data'!N254="-",0,'Raw Data'!N254))</f>
        <v>-4</v>
      </c>
      <c r="O254">
        <f>IF('Raw Data'!O254="","",'Raw Data'!O254)</f>
        <v>65.599999999999994</v>
      </c>
      <c r="P254" t="str">
        <f>IF('Raw Data'!P254="","",'Raw Data'!P254)</f>
        <v>(sketch t-u) u-&gt; Howards Loop</v>
      </c>
      <c r="R254" s="3">
        <f t="shared" si="94"/>
        <v>255</v>
      </c>
      <c r="S254" s="3" t="str">
        <f t="shared" si="95"/>
        <v>-</v>
      </c>
      <c r="T254" s="3" t="e">
        <f t="shared" si="96"/>
        <v>#VALUE!</v>
      </c>
      <c r="U254" s="9">
        <f>ASIN(N254/J254)*180/PI()</f>
        <v>-12.395406833758463</v>
      </c>
      <c r="W254" s="4">
        <f t="shared" si="97"/>
        <v>18.2</v>
      </c>
      <c r="X254" s="4">
        <f t="shared" si="98"/>
        <v>-3.9999999999999996</v>
      </c>
      <c r="Y254" s="3">
        <f t="shared" si="99"/>
        <v>255</v>
      </c>
    </row>
    <row r="255" spans="1:25" x14ac:dyDescent="0.25">
      <c r="A255" t="str">
        <f>IF('Raw Data'!A255="","",'Raw Data'!A255)</f>
        <v>t</v>
      </c>
      <c r="B255" t="str">
        <f>IF('Raw Data'!B255="","",'Raw Data'!B255)</f>
        <v>v</v>
      </c>
      <c r="C255" t="str">
        <f>IF('Raw Data'!C255="","",'Raw Data'!C255)</f>
        <v>/</v>
      </c>
      <c r="D255" t="str">
        <f>IF('Raw Data'!D255="","",'Raw Data'!D255)</f>
        <v>/</v>
      </c>
      <c r="E255" t="str">
        <f>IF('Raw Data'!E255="","",'Raw Data'!E255)</f>
        <v>/</v>
      </c>
      <c r="F255" t="str">
        <f>IF('Raw Data'!F255="","",'Raw Data'!F255)</f>
        <v>/</v>
      </c>
      <c r="G255" s="7" t="str">
        <f>IF('Raw Data'!G255="","",SUBSTITUTE('Raw Data'!G255," ",":",1))</f>
        <v>-</v>
      </c>
      <c r="H255" s="7" t="str">
        <f>IF('Raw Data'!H255="","",SUBSTITUTE('Raw Data'!H255," ",":",1))</f>
        <v>346:00</v>
      </c>
      <c r="I255" s="7" t="str">
        <f>IF('Raw Data'!I255="","",SUBSTITUTE('Raw Data'!I255," ",":",1))</f>
        <v/>
      </c>
      <c r="J255" s="12">
        <f>IF('Raw Data'!J255="","",IF(LEN(K255)&gt;6,SQRT('Raw Data'!J255^2+N255^2),'Raw Data'!J255))</f>
        <v>17.3</v>
      </c>
      <c r="K255" s="7" t="str">
        <f>IF('Raw Data'!K255="","",IF(LEN('Raw Data'!K255)&lt;7,SUBSTITUTE('Raw Data'!K255," ",":",1),'Raw Data'!K255))</f>
        <v>20:30</v>
      </c>
      <c r="L255" t="str">
        <f>IF('Raw Data'!L255="","",'Raw Data'!L255)</f>
        <v/>
      </c>
      <c r="M255">
        <f>IF('Raw Data'!M255="","",'Raw Data'!M255)</f>
        <v>16.2</v>
      </c>
      <c r="N255">
        <f>IF('Raw Data'!N255="","",IF('Raw Data'!N255="-",0,'Raw Data'!N255))</f>
        <v>6</v>
      </c>
      <c r="O255" t="str">
        <f>IF('Raw Data'!O255="","",'Raw Data'!O255)</f>
        <v>(u=61.6)</v>
      </c>
      <c r="P255" t="str">
        <f>IF('Raw Data'!P255="","",'Raw Data'!P255)</f>
        <v>v in a cross rift 4' from Pearly Gate</v>
      </c>
      <c r="R255" s="3" t="str">
        <f t="shared" si="94"/>
        <v>-</v>
      </c>
      <c r="S255" s="3">
        <f t="shared" si="95"/>
        <v>346</v>
      </c>
      <c r="T255" s="3" t="e">
        <f t="shared" si="96"/>
        <v>#VALUE!</v>
      </c>
      <c r="U255" s="3">
        <f t="shared" si="100"/>
        <v>20.5</v>
      </c>
      <c r="W255" s="4">
        <f t="shared" si="97"/>
        <v>16.20442887399728</v>
      </c>
      <c r="X255" s="4">
        <f t="shared" si="98"/>
        <v>6.0585876957887859</v>
      </c>
      <c r="Y255" s="3">
        <f t="shared" si="99"/>
        <v>166</v>
      </c>
    </row>
    <row r="256" spans="1:25" x14ac:dyDescent="0.25">
      <c r="A256" t="str">
        <f>IF('Raw Data'!A256="","",'Raw Data'!A256)</f>
        <v>v</v>
      </c>
      <c r="B256" t="str">
        <f>IF('Raw Data'!B256="","",'Raw Data'!B256)</f>
        <v>w</v>
      </c>
      <c r="C256">
        <f>IF('Raw Data'!C256="","",'Raw Data'!C256)</f>
        <v>1</v>
      </c>
      <c r="D256">
        <f>IF('Raw Data'!D256="","",'Raw Data'!D256)</f>
        <v>1.5</v>
      </c>
      <c r="E256">
        <f>IF('Raw Data'!E256="","",'Raw Data'!E256)</f>
        <v>3</v>
      </c>
      <c r="F256">
        <f>IF('Raw Data'!F256="","",'Raw Data'!F256)</f>
        <v>3</v>
      </c>
      <c r="G256" s="7" t="str">
        <f>IF('Raw Data'!G256="","",SUBSTITUTE('Raw Data'!G256," ",":",1))</f>
        <v>165:40</v>
      </c>
      <c r="H256" s="7" t="str">
        <f>IF('Raw Data'!H256="","",SUBSTITUTE('Raw Data'!H256," ",":",1))</f>
        <v>-</v>
      </c>
      <c r="I256" s="7" t="str">
        <f>IF('Raw Data'!I256="","",SUBSTITUTE('Raw Data'!I256," ",":",1))</f>
        <v/>
      </c>
      <c r="J256" s="12">
        <f>IF('Raw Data'!J256="","",IF(LEN(K256)&gt;6,SQRT('Raw Data'!J256^2+N256^2),'Raw Data'!J256))</f>
        <v>16.2</v>
      </c>
      <c r="K256" s="7" t="str">
        <f>IF('Raw Data'!K256="","",IF(LEN('Raw Data'!K256)&lt;7,SUBSTITUTE('Raw Data'!K256," ",":",1),'Raw Data'!K256))</f>
        <v>-2:45</v>
      </c>
      <c r="L256" t="str">
        <f>IF('Raw Data'!L256="","",'Raw Data'!L256)</f>
        <v/>
      </c>
      <c r="M256">
        <f>IF('Raw Data'!M256="","",'Raw Data'!M256)</f>
        <v>16.100000000000001</v>
      </c>
      <c r="N256">
        <f>IF('Raw Data'!N256="","",IF('Raw Data'!N256="-",0,'Raw Data'!N256))</f>
        <v>-0.8</v>
      </c>
      <c r="O256">
        <f>IF('Raw Data'!O256="","",'Raw Data'!O256)</f>
        <v>71.599999999999994</v>
      </c>
      <c r="P256" t="str">
        <f>IF('Raw Data'!P256="","",'Raw Data'!P256)</f>
        <v/>
      </c>
      <c r="R256" s="3">
        <f t="shared" si="94"/>
        <v>165.66666666666666</v>
      </c>
      <c r="S256" s="3" t="str">
        <f t="shared" si="95"/>
        <v>-</v>
      </c>
      <c r="T256" s="3" t="e">
        <f t="shared" si="96"/>
        <v>#VALUE!</v>
      </c>
      <c r="U256" s="3">
        <f t="shared" si="100"/>
        <v>-2.75</v>
      </c>
      <c r="W256" s="4">
        <f t="shared" si="97"/>
        <v>16.181343861056199</v>
      </c>
      <c r="X256" s="4">
        <f t="shared" si="98"/>
        <v>-0.77724568204577182</v>
      </c>
      <c r="Y256" s="3">
        <f t="shared" si="99"/>
        <v>165.66666666666666</v>
      </c>
    </row>
    <row r="257" spans="1:25" x14ac:dyDescent="0.25">
      <c r="A257" t="str">
        <f>IF('Raw Data'!A257="","",'Raw Data'!A257)</f>
        <v>w</v>
      </c>
      <c r="B257" t="str">
        <f>IF('Raw Data'!B257="","",'Raw Data'!B257)</f>
        <v>x</v>
      </c>
      <c r="C257">
        <f>IF('Raw Data'!C257="","",'Raw Data'!C257)</f>
        <v>3</v>
      </c>
      <c r="D257" t="str">
        <f>IF('Raw Data'!D257="","",'Raw Data'!D257)</f>
        <v>-</v>
      </c>
      <c r="E257">
        <f>IF('Raw Data'!E257="","",'Raw Data'!E257)</f>
        <v>4</v>
      </c>
      <c r="F257">
        <f>IF('Raw Data'!F257="","",'Raw Data'!F257)</f>
        <v>2</v>
      </c>
      <c r="G257" s="7" t="str">
        <f>IF('Raw Data'!G257="","",SUBSTITUTE('Raw Data'!G257," ",":",1))</f>
        <v>-</v>
      </c>
      <c r="H257" s="7" t="str">
        <f>IF('Raw Data'!H257="","",SUBSTITUTE('Raw Data'!H257," ",":",1))</f>
        <v>272:30</v>
      </c>
      <c r="I257" s="7" t="str">
        <f>IF('Raw Data'!I257="","",SUBSTITUTE('Raw Data'!I257," ",":",1))</f>
        <v/>
      </c>
      <c r="J257" s="12">
        <f>IF('Raw Data'!J257="","",IF(LEN(K257)&gt;6,SQRT('Raw Data'!J257^2+N257^2),'Raw Data'!J257))</f>
        <v>17.8</v>
      </c>
      <c r="K257" s="7" t="str">
        <f>IF('Raw Data'!K257="","",IF(LEN('Raw Data'!K257)&lt;7,SUBSTITUTE('Raw Data'!K257," ",":",1),'Raw Data'!K257))</f>
        <v>19:40</v>
      </c>
      <c r="L257" t="str">
        <f>IF('Raw Data'!L257="","",'Raw Data'!L257)</f>
        <v/>
      </c>
      <c r="M257">
        <f>IF('Raw Data'!M257="","",'Raw Data'!M257)</f>
        <v>16.8</v>
      </c>
      <c r="N257">
        <f>IF('Raw Data'!N257="","",IF('Raw Data'!N257="-",0,'Raw Data'!N257))</f>
        <v>6</v>
      </c>
      <c r="O257">
        <f>IF('Raw Data'!O257="","",'Raw Data'!O257)</f>
        <v>70.8</v>
      </c>
      <c r="P257" t="str">
        <f>IF('Raw Data'!P257="","",'Raw Data'!P257)</f>
        <v>(sketch w-x)</v>
      </c>
      <c r="R257" s="3" t="str">
        <f t="shared" si="94"/>
        <v>-</v>
      </c>
      <c r="S257" s="3">
        <f t="shared" si="95"/>
        <v>272.5</v>
      </c>
      <c r="T257" s="3" t="e">
        <f t="shared" si="96"/>
        <v>#VALUE!</v>
      </c>
      <c r="U257" s="3">
        <f t="shared" si="100"/>
        <v>19.666666660000001</v>
      </c>
      <c r="W257" s="4">
        <f t="shared" si="97"/>
        <v>16.761663692613613</v>
      </c>
      <c r="X257" s="4">
        <f t="shared" si="98"/>
        <v>5.9905450716707422</v>
      </c>
      <c r="Y257" s="3">
        <f t="shared" si="99"/>
        <v>92.5</v>
      </c>
    </row>
    <row r="258" spans="1:25" x14ac:dyDescent="0.25">
      <c r="A258" t="str">
        <f>IF('Raw Data'!A258="","",'Raw Data'!A258)</f>
        <v>x</v>
      </c>
      <c r="B258" t="str">
        <f>IF('Raw Data'!B258="","",'Raw Data'!B258)</f>
        <v>y</v>
      </c>
      <c r="C258">
        <f>IF('Raw Data'!C258="","",'Raw Data'!C258)</f>
        <v>1</v>
      </c>
      <c r="D258">
        <f>IF('Raw Data'!D258="","",'Raw Data'!D258)</f>
        <v>2</v>
      </c>
      <c r="E258">
        <f>IF('Raw Data'!E258="","",'Raw Data'!E258)</f>
        <v>2</v>
      </c>
      <c r="F258">
        <f>IF('Raw Data'!F258="","",'Raw Data'!F258)</f>
        <v>3</v>
      </c>
      <c r="G258" s="7" t="str">
        <f>IF('Raw Data'!G258="","",SUBSTITUTE('Raw Data'!G258," ",":",1))</f>
        <v>147:00</v>
      </c>
      <c r="H258" s="7" t="str">
        <f>IF('Raw Data'!H258="","",SUBSTITUTE('Raw Data'!H258," ",":",1))</f>
        <v>-</v>
      </c>
      <c r="I258" s="7" t="str">
        <f>IF('Raw Data'!I258="","",SUBSTITUTE('Raw Data'!I258," ",":",1))</f>
        <v/>
      </c>
      <c r="J258" s="12">
        <f>IF('Raw Data'!J258="","",IF(LEN(K258)&gt;6,SQRT('Raw Data'!J258^2+N258^2),'Raw Data'!J258))</f>
        <v>24.3</v>
      </c>
      <c r="K258" s="7" t="str">
        <f>IF('Raw Data'!K258="","",IF(LEN('Raw Data'!K258)&lt;7,SUBSTITUTE('Raw Data'!K258," ",":",1),'Raw Data'!K258))</f>
        <v>10:00</v>
      </c>
      <c r="L258" t="str">
        <f>IF('Raw Data'!L258="","",'Raw Data'!L258)</f>
        <v/>
      </c>
      <c r="M258">
        <f>IF('Raw Data'!M258="","",'Raw Data'!M258)</f>
        <v>23.8</v>
      </c>
      <c r="N258">
        <f>IF('Raw Data'!N258="","",IF('Raw Data'!N258="-",0,'Raw Data'!N258))</f>
        <v>4.2</v>
      </c>
      <c r="O258">
        <f>IF('Raw Data'!O258="","",'Raw Data'!O258)</f>
        <v>76.8</v>
      </c>
      <c r="P258" t="str">
        <f>IF('Raw Data'!P258="","",'Raw Data'!P258)</f>
        <v/>
      </c>
      <c r="R258" s="3">
        <f t="shared" si="94"/>
        <v>147</v>
      </c>
      <c r="S258" s="3" t="str">
        <f t="shared" si="95"/>
        <v>-</v>
      </c>
      <c r="T258" s="3" t="e">
        <f t="shared" si="96"/>
        <v>#VALUE!</v>
      </c>
      <c r="U258" s="3">
        <f t="shared" si="100"/>
        <v>10</v>
      </c>
      <c r="W258" s="4">
        <f t="shared" si="97"/>
        <v>23.930828398196656</v>
      </c>
      <c r="X258" s="4">
        <f t="shared" si="98"/>
        <v>4.2196507173064068</v>
      </c>
      <c r="Y258" s="3">
        <f t="shared" si="99"/>
        <v>147</v>
      </c>
    </row>
    <row r="259" spans="1:25" x14ac:dyDescent="0.25">
      <c r="A259" t="str">
        <f>IF('Raw Data'!A259="","",'Raw Data'!A259)</f>
        <v>y</v>
      </c>
      <c r="B259" t="str">
        <f>IF('Raw Data'!B259="","",'Raw Data'!B259)</f>
        <v>z</v>
      </c>
      <c r="C259">
        <f>IF('Raw Data'!C259="","",'Raw Data'!C259)</f>
        <v>1</v>
      </c>
      <c r="D259" t="str">
        <f>IF('Raw Data'!D259="","",'Raw Data'!D259)</f>
        <v>/</v>
      </c>
      <c r="E259">
        <f>IF('Raw Data'!E259="","",'Raw Data'!E259)</f>
        <v>4</v>
      </c>
      <c r="F259" t="str">
        <f>IF('Raw Data'!F259="","",'Raw Data'!F259)</f>
        <v>-</v>
      </c>
      <c r="G259" s="7" t="str">
        <f>IF('Raw Data'!G259="","",SUBSTITUTE('Raw Data'!G259," ",":",1))</f>
        <v>-</v>
      </c>
      <c r="H259" s="7" t="str">
        <f>IF('Raw Data'!H259="","",SUBSTITUTE('Raw Data'!H259," ",":",1))</f>
        <v>-</v>
      </c>
      <c r="I259" s="7" t="str">
        <f>IF('Raw Data'!I259="","",SUBSTITUTE('Raw Data'!I259," ",":",1))</f>
        <v/>
      </c>
      <c r="J259" s="12">
        <f>IF('Raw Data'!J259="","",IF(LEN(K259)&gt;6,SQRT('Raw Data'!J259^2+N259^2),'Raw Data'!J259))</f>
        <v>6</v>
      </c>
      <c r="K259" s="7" t="str">
        <f>IF('Raw Data'!K259="","",IF(LEN('Raw Data'!K259)&lt;7,SUBSTITUTE('Raw Data'!K259," ",":",1),'Raw Data'!K259))</f>
        <v>-90:00</v>
      </c>
      <c r="L259" t="str">
        <f>IF('Raw Data'!L259="","",'Raw Data'!L259)</f>
        <v/>
      </c>
      <c r="M259" t="str">
        <f>IF('Raw Data'!M259="","",'Raw Data'!M259)</f>
        <v>-</v>
      </c>
      <c r="N259">
        <f>IF('Raw Data'!N259="","",IF('Raw Data'!N259="-",0,'Raw Data'!N259))</f>
        <v>-6</v>
      </c>
      <c r="O259">
        <f>IF('Raw Data'!O259="","",'Raw Data'!O259)</f>
        <v>81</v>
      </c>
      <c r="P259" t="str">
        <f>IF('Raw Data'!P259="","",'Raw Data'!P259)</f>
        <v/>
      </c>
      <c r="R259" s="3" t="str">
        <f t="shared" si="94"/>
        <v>-</v>
      </c>
      <c r="S259" s="3" t="str">
        <f t="shared" si="95"/>
        <v>-</v>
      </c>
      <c r="T259" s="3" t="e">
        <f t="shared" si="96"/>
        <v>#VALUE!</v>
      </c>
      <c r="U259" s="3">
        <f t="shared" si="100"/>
        <v>-90</v>
      </c>
      <c r="W259" s="4">
        <f t="shared" si="97"/>
        <v>3.67544536472586E-16</v>
      </c>
      <c r="X259" s="4">
        <f t="shared" si="98"/>
        <v>-6</v>
      </c>
      <c r="Y259" s="3" t="e">
        <f t="shared" si="99"/>
        <v>#VALUE!</v>
      </c>
    </row>
    <row r="260" spans="1:25" x14ac:dyDescent="0.25">
      <c r="A260" t="str">
        <f>IF('Raw Data'!A260="","",'Raw Data'!A260)</f>
        <v>z</v>
      </c>
      <c r="B260" t="str">
        <f>IF('Raw Data'!B260="","",'Raw Data'!B260)</f>
        <v>aa</v>
      </c>
      <c r="C260" t="str">
        <f>IF('Raw Data'!C260="","",'Raw Data'!C260)</f>
        <v>/</v>
      </c>
      <c r="D260" t="str">
        <f>IF('Raw Data'!D260="","",'Raw Data'!D260)</f>
        <v>-</v>
      </c>
      <c r="E260">
        <f>IF('Raw Data'!E260="","",'Raw Data'!E260)</f>
        <v>1</v>
      </c>
      <c r="F260">
        <f>IF('Raw Data'!F260="","",'Raw Data'!F260)</f>
        <v>2</v>
      </c>
      <c r="G260" s="7" t="str">
        <f>IF('Raw Data'!G260="","",SUBSTITUTE('Raw Data'!G260," ",":",1))</f>
        <v>-</v>
      </c>
      <c r="H260" s="7" t="str">
        <f>IF('Raw Data'!H260="","",SUBSTITUTE('Raw Data'!H260," ",":",1))</f>
        <v>327:00</v>
      </c>
      <c r="I260" s="7" t="str">
        <f>IF('Raw Data'!I260="","",SUBSTITUTE('Raw Data'!I260," ",":",1))</f>
        <v/>
      </c>
      <c r="J260" s="12">
        <f>IF('Raw Data'!J260="","",IF(LEN(K260)&gt;6,SQRT('Raw Data'!J260^2+N260^2),'Raw Data'!J260))</f>
        <v>12.5</v>
      </c>
      <c r="K260" s="7" t="str">
        <f>IF('Raw Data'!K260="","",IF(LEN('Raw Data'!K260)&lt;7,SUBSTITUTE('Raw Data'!K260," ",":",1),'Raw Data'!K260))</f>
        <v>-2:40</v>
      </c>
      <c r="L260" t="str">
        <f>IF('Raw Data'!L260="","",'Raw Data'!L260)</f>
        <v/>
      </c>
      <c r="M260">
        <f>IF('Raw Data'!M260="","",'Raw Data'!M260)</f>
        <v>12.4</v>
      </c>
      <c r="N260">
        <f>IF('Raw Data'!N260="","",IF('Raw Data'!N260="-",0,'Raw Data'!N260))</f>
        <v>-0.6</v>
      </c>
      <c r="O260">
        <f>IF('Raw Data'!O260="","",'Raw Data'!O260)</f>
        <v>75</v>
      </c>
      <c r="P260" t="str">
        <f>IF('Raw Data'!P260="","",'Raw Data'!P260)</f>
        <v>Bottom of drop. View into Damascus</v>
      </c>
      <c r="R260" s="3" t="str">
        <f t="shared" si="94"/>
        <v>-</v>
      </c>
      <c r="S260" s="3">
        <f t="shared" si="95"/>
        <v>327</v>
      </c>
      <c r="T260" s="3" t="e">
        <f t="shared" si="96"/>
        <v>#VALUE!</v>
      </c>
      <c r="U260" s="3">
        <f t="shared" si="100"/>
        <v>-2.6666666600000002</v>
      </c>
      <c r="W260" s="4">
        <f t="shared" si="97"/>
        <v>12.486463891799225</v>
      </c>
      <c r="X260" s="4">
        <f t="shared" si="98"/>
        <v>-0.58156640101896706</v>
      </c>
      <c r="Y260" s="3">
        <f t="shared" si="99"/>
        <v>147</v>
      </c>
    </row>
    <row r="261" spans="1:25" x14ac:dyDescent="0.25">
      <c r="A261" t="str">
        <f>IF('Raw Data'!A261="","",'Raw Data'!A261)</f>
        <v>aa</v>
      </c>
      <c r="B261" t="str">
        <f>IF('Raw Data'!B261="","",'Raw Data'!B261)</f>
        <v>ab</v>
      </c>
      <c r="C261">
        <f>IF('Raw Data'!C261="","",'Raw Data'!C261)</f>
        <v>4</v>
      </c>
      <c r="D261">
        <f>IF('Raw Data'!D261="","",'Raw Data'!D261)</f>
        <v>4</v>
      </c>
      <c r="E261">
        <f>IF('Raw Data'!E261="","",'Raw Data'!E261)</f>
        <v>4</v>
      </c>
      <c r="F261">
        <f>IF('Raw Data'!F261="","",'Raw Data'!F261)</f>
        <v>2</v>
      </c>
      <c r="G261" s="7" t="str">
        <f>IF('Raw Data'!G261="","",SUBSTITUTE('Raw Data'!G261," ",":",1))</f>
        <v>212:30</v>
      </c>
      <c r="H261" s="7" t="str">
        <f>IF('Raw Data'!H261="","",SUBSTITUTE('Raw Data'!H261," ",":",1))</f>
        <v>-</v>
      </c>
      <c r="I261" s="7" t="str">
        <f>IF('Raw Data'!I261="","",SUBSTITUTE('Raw Data'!I261," ",":",1))</f>
        <v/>
      </c>
      <c r="J261" s="12">
        <f>IF('Raw Data'!J261="","",IF(LEN(K261)&gt;6,SQRT('Raw Data'!J261^2+N261^2),'Raw Data'!J261))</f>
        <v>11.2</v>
      </c>
      <c r="K261" s="7" t="str">
        <f>IF('Raw Data'!K261="","",IF(LEN('Raw Data'!K261)&lt;7,SUBSTITUTE('Raw Data'!K261," ",":",1),'Raw Data'!K261))</f>
        <v>-22:30</v>
      </c>
      <c r="L261" t="str">
        <f>IF('Raw Data'!L261="","",'Raw Data'!L261)</f>
        <v/>
      </c>
      <c r="M261">
        <f>IF('Raw Data'!M261="","",'Raw Data'!M261)</f>
        <v>10.3</v>
      </c>
      <c r="N261">
        <f>IF('Raw Data'!N261="","",IF('Raw Data'!N261="-",0,'Raw Data'!N261))</f>
        <v>-4.3</v>
      </c>
      <c r="O261">
        <f>IF('Raw Data'!O261="","",'Raw Data'!O261)</f>
        <v>74.400000000000006</v>
      </c>
      <c r="P261" t="str">
        <f>IF('Raw Data'!P261="","",'Raw Data'!P261)</f>
        <v>Above pool</v>
      </c>
      <c r="R261" s="3">
        <f t="shared" si="94"/>
        <v>212.5</v>
      </c>
      <c r="S261" s="3" t="str">
        <f t="shared" si="95"/>
        <v>-</v>
      </c>
      <c r="T261" s="3" t="e">
        <f t="shared" si="96"/>
        <v>#VALUE!</v>
      </c>
      <c r="U261" s="3">
        <f t="shared" si="100"/>
        <v>-22.5</v>
      </c>
      <c r="W261" s="4">
        <f t="shared" si="97"/>
        <v>10.34745076412641</v>
      </c>
      <c r="X261" s="4">
        <f t="shared" si="98"/>
        <v>-4.2860544424890055</v>
      </c>
      <c r="Y261" s="3">
        <f t="shared" si="99"/>
        <v>212.5</v>
      </c>
    </row>
    <row r="262" spans="1:25" x14ac:dyDescent="0.25">
      <c r="A262" t="str">
        <f>IF('Raw Data'!A262="","",'Raw Data'!A262)</f>
        <v>ab</v>
      </c>
      <c r="B262" t="str">
        <f>IF('Raw Data'!B262="","",'Raw Data'!B262)</f>
        <v>ac</v>
      </c>
      <c r="C262" t="str">
        <f>IF('Raw Data'!C262="","",'Raw Data'!C262)</f>
        <v>5 (10 in aven)</v>
      </c>
      <c r="D262" t="str">
        <f>IF('Raw Data'!D262="","",'Raw Data'!D262)</f>
        <v>-</v>
      </c>
      <c r="E262">
        <f>IF('Raw Data'!E262="","",'Raw Data'!E262)</f>
        <v>2.5</v>
      </c>
      <c r="F262">
        <f>IF('Raw Data'!F262="","",'Raw Data'!F262)</f>
        <v>2.5</v>
      </c>
      <c r="G262" s="7" t="str">
        <f>IF('Raw Data'!G262="","",SUBSTITUTE('Raw Data'!G262," ",":",1))</f>
        <v>-</v>
      </c>
      <c r="H262" s="7" t="str">
        <f>IF('Raw Data'!H262="","",SUBSTITUTE('Raw Data'!H262," ",":",1))</f>
        <v>353:00</v>
      </c>
      <c r="I262" s="7" t="str">
        <f>IF('Raw Data'!I262="","",SUBSTITUTE('Raw Data'!I262," ",":",1))</f>
        <v/>
      </c>
      <c r="J262" s="12">
        <f>IF('Raw Data'!J262="","",IF(LEN(K262)&gt;6,SQRT('Raw Data'!J262^2+N262^2),'Raw Data'!J262))</f>
        <v>8</v>
      </c>
      <c r="K262" s="7" t="str">
        <f>IF('Raw Data'!K262="","",IF(LEN('Raw Data'!K262)&lt;7,SUBSTITUTE('Raw Data'!K262," ",":",1),'Raw Data'!K262))</f>
        <v>11:30</v>
      </c>
      <c r="L262" t="str">
        <f>IF('Raw Data'!L262="","",'Raw Data'!L262)</f>
        <v/>
      </c>
      <c r="M262">
        <f>IF('Raw Data'!M262="","",'Raw Data'!M262)</f>
        <v>7.8</v>
      </c>
      <c r="N262">
        <f>IF('Raw Data'!N262="","",IF('Raw Data'!N262="-",0,'Raw Data'!N262))</f>
        <v>1.6</v>
      </c>
      <c r="O262">
        <f>IF('Raw Data'!O262="","",'Raw Data'!O262)</f>
        <v>70.099999999999994</v>
      </c>
      <c r="P262" t="str">
        <f>IF('Raw Data'!P262="","",'Raw Data'!P262)</f>
        <v>Bearing 238 true into Howards Loop</v>
      </c>
      <c r="R262" s="3" t="str">
        <f t="shared" si="94"/>
        <v>-</v>
      </c>
      <c r="S262" s="3">
        <f t="shared" si="95"/>
        <v>353</v>
      </c>
      <c r="T262" s="3" t="e">
        <f t="shared" si="96"/>
        <v>#VALUE!</v>
      </c>
      <c r="U262" s="3">
        <f t="shared" si="100"/>
        <v>11.5</v>
      </c>
      <c r="W262" s="4">
        <f t="shared" si="97"/>
        <v>7.8393976369666367</v>
      </c>
      <c r="X262" s="4">
        <f t="shared" si="98"/>
        <v>1.5949434753375773</v>
      </c>
      <c r="Y262" s="3">
        <f t="shared" si="99"/>
        <v>173</v>
      </c>
    </row>
    <row r="263" spans="1:25" x14ac:dyDescent="0.25">
      <c r="A263" t="str">
        <f>IF('Raw Data'!A263="","",'Raw Data'!A263)</f>
        <v>ac</v>
      </c>
      <c r="B263" t="str">
        <f>IF('Raw Data'!B263="","",'Raw Data'!B263)</f>
        <v>ad</v>
      </c>
      <c r="C263">
        <f>IF('Raw Data'!C263="","",'Raw Data'!C263)</f>
        <v>3</v>
      </c>
      <c r="D263">
        <f>IF('Raw Data'!D263="","",'Raw Data'!D263)</f>
        <v>3</v>
      </c>
      <c r="E263">
        <f>IF('Raw Data'!E263="","",'Raw Data'!E263)</f>
        <v>4</v>
      </c>
      <c r="F263">
        <f>IF('Raw Data'!F263="","",'Raw Data'!F263)</f>
        <v>2</v>
      </c>
      <c r="G263" s="7" t="str">
        <f>IF('Raw Data'!G263="","",SUBSTITUTE('Raw Data'!G263," ",":",1))</f>
        <v>202:00</v>
      </c>
      <c r="H263" s="7" t="str">
        <f>IF('Raw Data'!H263="","",SUBSTITUTE('Raw Data'!H263," ",":",1))</f>
        <v>-</v>
      </c>
      <c r="I263" s="7" t="str">
        <f>IF('Raw Data'!I263="","",SUBSTITUTE('Raw Data'!I263," ",":",1))</f>
        <v/>
      </c>
      <c r="J263" s="12">
        <f>IF('Raw Data'!J263="","",IF(LEN(K263)&gt;6,SQRT('Raw Data'!J263^2+N263^2),'Raw Data'!J263))</f>
        <v>14.3</v>
      </c>
      <c r="K263" s="7" t="str">
        <f>IF('Raw Data'!K263="","",IF(LEN('Raw Data'!K263)&lt;7,SUBSTITUTE('Raw Data'!K263," ",":",1),'Raw Data'!K263))</f>
        <v>-12:00</v>
      </c>
      <c r="L263" t="str">
        <f>IF('Raw Data'!L263="","",'Raw Data'!L263)</f>
        <v/>
      </c>
      <c r="M263">
        <f>IF('Raw Data'!M263="","",'Raw Data'!M263)</f>
        <v>14</v>
      </c>
      <c r="N263">
        <f>IF('Raw Data'!N263="","",IF('Raw Data'!N263="-",0,'Raw Data'!N263))</f>
        <v>-3</v>
      </c>
      <c r="O263">
        <f>IF('Raw Data'!O263="","",'Raw Data'!O263)</f>
        <v>71.7</v>
      </c>
      <c r="P263" t="str">
        <f>IF('Raw Data'!P263="","",'Raw Data'!P263)</f>
        <v>(sketch ab-ac)</v>
      </c>
      <c r="R263" s="3">
        <f t="shared" si="94"/>
        <v>202</v>
      </c>
      <c r="S263" s="3" t="str">
        <f t="shared" si="95"/>
        <v>-</v>
      </c>
      <c r="T263" s="3" t="e">
        <f t="shared" si="96"/>
        <v>#VALUE!</v>
      </c>
      <c r="U263" s="3">
        <f t="shared" si="100"/>
        <v>-12</v>
      </c>
      <c r="W263" s="4">
        <f t="shared" si="97"/>
        <v>13.987510690493423</v>
      </c>
      <c r="X263" s="4">
        <f t="shared" si="98"/>
        <v>-2.9731371786939582</v>
      </c>
      <c r="Y263" s="3">
        <f t="shared" si="99"/>
        <v>202</v>
      </c>
    </row>
    <row r="264" spans="1:25" x14ac:dyDescent="0.25">
      <c r="A264" t="str">
        <f>IF('Raw Data'!A264="","",'Raw Data'!A264)</f>
        <v>ad</v>
      </c>
      <c r="B264" t="str">
        <f>IF('Raw Data'!B264="","",'Raw Data'!B264)</f>
        <v>ae</v>
      </c>
      <c r="C264">
        <f>IF('Raw Data'!C264="","",'Raw Data'!C264)</f>
        <v>4</v>
      </c>
      <c r="D264" t="str">
        <f>IF('Raw Data'!D264="","",'Raw Data'!D264)</f>
        <v>-</v>
      </c>
      <c r="E264">
        <f>IF('Raw Data'!E264="","",'Raw Data'!E264)</f>
        <v>2</v>
      </c>
      <c r="F264">
        <f>IF('Raw Data'!F264="","",'Raw Data'!F264)</f>
        <v>3</v>
      </c>
      <c r="G264" s="7" t="str">
        <f>IF('Raw Data'!G264="","",SUBSTITUTE('Raw Data'!G264," ",":",1))</f>
        <v>-</v>
      </c>
      <c r="H264" s="7" t="str">
        <f>IF('Raw Data'!H264="","",SUBSTITUTE('Raw Data'!H264," ",":",1))</f>
        <v>026:00</v>
      </c>
      <c r="I264" s="7" t="str">
        <f>IF('Raw Data'!I264="","",SUBSTITUTE('Raw Data'!I264," ",":",1))</f>
        <v/>
      </c>
      <c r="J264" s="12">
        <f>IF('Raw Data'!J264="","",IF(LEN(K264)&gt;6,SQRT('Raw Data'!J264^2+N264^2),'Raw Data'!J264))</f>
        <v>12.7</v>
      </c>
      <c r="K264" s="7" t="str">
        <f>IF('Raw Data'!K264="","",IF(LEN('Raw Data'!K264)&lt;7,SUBSTITUTE('Raw Data'!K264," ",":",1),'Raw Data'!K264))</f>
        <v>6:00</v>
      </c>
      <c r="L264" t="str">
        <f>IF('Raw Data'!L264="","",'Raw Data'!L264)</f>
        <v/>
      </c>
      <c r="M264">
        <f>IF('Raw Data'!M264="","",'Raw Data'!M264)</f>
        <v>12.6</v>
      </c>
      <c r="N264">
        <f>IF('Raw Data'!N264="","",IF('Raw Data'!N264="-",0,'Raw Data'!N264))</f>
        <v>1.3</v>
      </c>
      <c r="O264">
        <f>IF('Raw Data'!O264="","",'Raw Data'!O264)</f>
        <v>68.7</v>
      </c>
      <c r="P264" t="str">
        <f>IF('Raw Data'!P264="","",'Raw Data'!P264)</f>
        <v/>
      </c>
      <c r="R264" s="3" t="str">
        <f t="shared" si="94"/>
        <v>-</v>
      </c>
      <c r="S264" s="3">
        <f t="shared" si="95"/>
        <v>26</v>
      </c>
      <c r="T264" s="3" t="e">
        <f t="shared" si="96"/>
        <v>#VALUE!</v>
      </c>
      <c r="U264" s="3">
        <f t="shared" si="100"/>
        <v>6</v>
      </c>
      <c r="W264" s="4">
        <f t="shared" si="97"/>
        <v>12.63042807117707</v>
      </c>
      <c r="X264" s="4">
        <f t="shared" si="98"/>
        <v>1.3275114834991988</v>
      </c>
      <c r="Y264" s="3">
        <f t="shared" si="99"/>
        <v>206</v>
      </c>
    </row>
    <row r="265" spans="1:25" x14ac:dyDescent="0.25">
      <c r="A265" t="str">
        <f>IF('Raw Data'!A265="","",'Raw Data'!A265)</f>
        <v>ae</v>
      </c>
      <c r="B265" t="str">
        <f>IF('Raw Data'!B265="","",'Raw Data'!B265)</f>
        <v>af</v>
      </c>
      <c r="C265">
        <f>IF('Raw Data'!C265="","",'Raw Data'!C265)</f>
        <v>7</v>
      </c>
      <c r="D265">
        <f>IF('Raw Data'!D265="","",'Raw Data'!D265)</f>
        <v>2</v>
      </c>
      <c r="E265">
        <f>IF('Raw Data'!E265="","",'Raw Data'!E265)</f>
        <v>5</v>
      </c>
      <c r="F265">
        <f>IF('Raw Data'!F265="","",'Raw Data'!F265)</f>
        <v>2</v>
      </c>
      <c r="G265" s="7" t="str">
        <f>IF('Raw Data'!G265="","",SUBSTITUTE('Raw Data'!G265," ",":",1))</f>
        <v>263:00</v>
      </c>
      <c r="H265" s="7" t="str">
        <f>IF('Raw Data'!H265="","",SUBSTITUTE('Raw Data'!H265," ",":",1))</f>
        <v>-</v>
      </c>
      <c r="I265" s="7" t="str">
        <f>IF('Raw Data'!I265="","",SUBSTITUTE('Raw Data'!I265," ",":",1))</f>
        <v/>
      </c>
      <c r="J265" s="12">
        <f>IF('Raw Data'!J265="","",IF(LEN(K265)&gt;6,SQRT('Raw Data'!J265^2+N265^2),'Raw Data'!J265))</f>
        <v>30.5</v>
      </c>
      <c r="K265" s="7" t="str">
        <f>IF('Raw Data'!K265="","",IF(LEN('Raw Data'!K265)&lt;7,SUBSTITUTE('Raw Data'!K265," ",":",1),'Raw Data'!K265))</f>
        <v>-8:40</v>
      </c>
      <c r="L265" t="str">
        <f>IF('Raw Data'!L265="","",'Raw Data'!L265)</f>
        <v/>
      </c>
      <c r="M265">
        <f>IF('Raw Data'!M265="","",'Raw Data'!M265)</f>
        <v>30.1</v>
      </c>
      <c r="N265">
        <f>IF('Raw Data'!N265="","",IF('Raw Data'!N265="-",0,'Raw Data'!N265))</f>
        <v>-4.5999999999999996</v>
      </c>
      <c r="O265">
        <f>IF('Raw Data'!O265="","",'Raw Data'!O265)</f>
        <v>70</v>
      </c>
      <c r="P265" t="str">
        <f>IF('Raw Data'!P265="","",'Raw Data'!P265)</f>
        <v>15' aven explored by Oliver just before station</v>
      </c>
      <c r="R265" s="3">
        <f t="shared" si="94"/>
        <v>263</v>
      </c>
      <c r="S265" s="3" t="str">
        <f t="shared" si="95"/>
        <v>-</v>
      </c>
      <c r="T265" s="3" t="e">
        <f t="shared" si="96"/>
        <v>#VALUE!</v>
      </c>
      <c r="U265" s="3">
        <f t="shared" si="100"/>
        <v>-8.6666666600000006</v>
      </c>
      <c r="W265" s="4">
        <f t="shared" si="97"/>
        <v>30.151742445196668</v>
      </c>
      <c r="X265" s="4">
        <f t="shared" si="98"/>
        <v>-4.5959142201009211</v>
      </c>
      <c r="Y265" s="3">
        <f t="shared" si="99"/>
        <v>263</v>
      </c>
    </row>
    <row r="266" spans="1:25" x14ac:dyDescent="0.25">
      <c r="A266" t="str">
        <f>IF('Raw Data'!A266="","",'Raw Data'!A266)</f>
        <v>af</v>
      </c>
      <c r="B266" t="str">
        <f>IF('Raw Data'!B266="","",'Raw Data'!B266)</f>
        <v>ag</v>
      </c>
      <c r="C266">
        <f>IF('Raw Data'!C266="","",'Raw Data'!C266)</f>
        <v>5</v>
      </c>
      <c r="D266">
        <f>IF('Raw Data'!D266="","",'Raw Data'!D266)</f>
        <v>1</v>
      </c>
      <c r="E266">
        <f>IF('Raw Data'!E266="","",'Raw Data'!E266)</f>
        <v>1.5</v>
      </c>
      <c r="F266">
        <f>IF('Raw Data'!F266="","",'Raw Data'!F266)</f>
        <v>4</v>
      </c>
      <c r="G266" s="7" t="str">
        <f>IF('Raw Data'!G266="","",SUBSTITUTE('Raw Data'!G266," ",":",1))</f>
        <v>-</v>
      </c>
      <c r="H266" s="7" t="str">
        <f>IF('Raw Data'!H266="","",SUBSTITUTE('Raw Data'!H266," ",":",1))</f>
        <v>112:15</v>
      </c>
      <c r="I266" s="7" t="str">
        <f>IF('Raw Data'!I266="","",SUBSTITUTE('Raw Data'!I266," ",":",1))</f>
        <v/>
      </c>
      <c r="J266" s="12">
        <f>IF('Raw Data'!J266="","",IF(LEN(K266)&gt;6,SQRT('Raw Data'!J266^2+N266^2),'Raw Data'!J266))</f>
        <v>27.4</v>
      </c>
      <c r="K266" s="7" t="str">
        <f>IF('Raw Data'!K266="","",IF(LEN('Raw Data'!K266)&lt;7,SUBSTITUTE('Raw Data'!K266," ",":",1),'Raw Data'!K266))</f>
        <v>0:15</v>
      </c>
      <c r="L266" t="str">
        <f>IF('Raw Data'!L266="","",'Raw Data'!L266)</f>
        <v/>
      </c>
      <c r="M266">
        <f>IF('Raw Data'!M266="","",'Raw Data'!M266)</f>
        <v>27.4</v>
      </c>
      <c r="N266">
        <f>IF('Raw Data'!N266="","",IF('Raw Data'!N266="-",0,'Raw Data'!N266))</f>
        <v>0</v>
      </c>
      <c r="O266">
        <f>IF('Raw Data'!O266="","",'Raw Data'!O266)</f>
        <v>65.400000000000006</v>
      </c>
      <c r="P266" t="str">
        <f>IF('Raw Data'!P266="","",'Raw Data'!P266)</f>
        <v/>
      </c>
      <c r="R266" s="3" t="str">
        <f t="shared" si="94"/>
        <v>-</v>
      </c>
      <c r="S266" s="3">
        <f t="shared" si="95"/>
        <v>112.25</v>
      </c>
      <c r="T266" s="3" t="e">
        <f t="shared" si="96"/>
        <v>#VALUE!</v>
      </c>
      <c r="U266" s="3">
        <f t="shared" si="100"/>
        <v>0.25</v>
      </c>
      <c r="W266" s="4">
        <f t="shared" si="97"/>
        <v>27.399739171748124</v>
      </c>
      <c r="X266" s="4">
        <f t="shared" si="98"/>
        <v>0.11955467440205604</v>
      </c>
      <c r="Y266" s="3">
        <f t="shared" si="99"/>
        <v>292.25</v>
      </c>
    </row>
    <row r="267" spans="1:25" x14ac:dyDescent="0.25">
      <c r="A267" t="str">
        <f>IF('Raw Data'!A267="","",'Raw Data'!A267)</f>
        <v>ag</v>
      </c>
      <c r="B267" t="str">
        <f>IF('Raw Data'!B267="","",'Raw Data'!B267)</f>
        <v>ah</v>
      </c>
      <c r="C267">
        <f>IF('Raw Data'!C267="","",'Raw Data'!C267)</f>
        <v>2</v>
      </c>
      <c r="D267">
        <f>IF('Raw Data'!D267="","",'Raw Data'!D267)</f>
        <v>1.5</v>
      </c>
      <c r="E267">
        <f>IF('Raw Data'!E267="","",'Raw Data'!E267)</f>
        <v>8</v>
      </c>
      <c r="F267">
        <f>IF('Raw Data'!F267="","",'Raw Data'!F267)</f>
        <v>2.5</v>
      </c>
      <c r="G267" s="7" t="str">
        <f>IF('Raw Data'!G267="","",SUBSTITUTE('Raw Data'!G267," ",":",1))</f>
        <v>253:30</v>
      </c>
      <c r="H267" s="7" t="str">
        <f>IF('Raw Data'!H267="","",SUBSTITUTE('Raw Data'!H267," ",":",1))</f>
        <v>-</v>
      </c>
      <c r="I267" s="7" t="str">
        <f>IF('Raw Data'!I267="","",SUBSTITUTE('Raw Data'!I267," ",":",1))</f>
        <v/>
      </c>
      <c r="J267" s="12">
        <f>IF('Raw Data'!J267="","",IF(LEN(K267)&gt;6,SQRT('Raw Data'!J267^2+N267^2),'Raw Data'!J267))</f>
        <v>13.7</v>
      </c>
      <c r="K267" s="7" t="str">
        <f>IF('Raw Data'!K267="","",IF(LEN('Raw Data'!K267)&lt;7,SUBSTITUTE('Raw Data'!K267," ",":",1),'Raw Data'!K267))</f>
        <v>-20:20</v>
      </c>
      <c r="L267" t="str">
        <f>IF('Raw Data'!L267="","",'Raw Data'!L267)</f>
        <v/>
      </c>
      <c r="M267">
        <f>IF('Raw Data'!M267="","",'Raw Data'!M267)</f>
        <v>12.8</v>
      </c>
      <c r="N267">
        <f>IF('Raw Data'!N267="","",IF('Raw Data'!N267="-",0,'Raw Data'!N267))</f>
        <v>-4.8</v>
      </c>
      <c r="O267">
        <f>IF('Raw Data'!O267="","",'Raw Data'!O267)</f>
        <v>65.400000000000006</v>
      </c>
      <c r="P267" t="str">
        <f>IF('Raw Data'!P267="","",'Raw Data'!P267)</f>
        <v>(sketch ag) 6" above water. Sump level 60.1</v>
      </c>
      <c r="R267" s="3">
        <f t="shared" si="94"/>
        <v>253.5</v>
      </c>
      <c r="S267" s="3" t="str">
        <f t="shared" si="95"/>
        <v>-</v>
      </c>
      <c r="T267" s="3" t="e">
        <f t="shared" si="96"/>
        <v>#VALUE!</v>
      </c>
      <c r="U267" s="3">
        <f t="shared" si="100"/>
        <v>-20.333333329999999</v>
      </c>
      <c r="W267" s="4">
        <f t="shared" si="97"/>
        <v>12.846311036110338</v>
      </c>
      <c r="X267" s="4">
        <f t="shared" si="98"/>
        <v>-4.7604929118222312</v>
      </c>
      <c r="Y267" s="3">
        <f t="shared" si="99"/>
        <v>253.5</v>
      </c>
    </row>
    <row r="268" spans="1:25" x14ac:dyDescent="0.25">
      <c r="A268" t="str">
        <f>IF('Raw Data'!A268="","",'Raw Data'!A268)</f>
        <v>z</v>
      </c>
      <c r="B268" t="str">
        <f>IF('Raw Data'!B268="","",'Raw Data'!B268)</f>
        <v>ai</v>
      </c>
      <c r="C268" t="str">
        <f>IF('Raw Data'!C268="","",'Raw Data'!C268)</f>
        <v>/</v>
      </c>
      <c r="D268" t="str">
        <f>IF('Raw Data'!D268="","",'Raw Data'!D268)</f>
        <v>/</v>
      </c>
      <c r="E268" t="str">
        <f>IF('Raw Data'!E268="","",'Raw Data'!E268)</f>
        <v>/</v>
      </c>
      <c r="F268" t="str">
        <f>IF('Raw Data'!F268="","",'Raw Data'!F268)</f>
        <v>/</v>
      </c>
      <c r="G268" s="7" t="str">
        <f>IF('Raw Data'!G268="","",SUBSTITUTE('Raw Data'!G268," ",":",1))</f>
        <v>-</v>
      </c>
      <c r="H268" s="7" t="str">
        <f>IF('Raw Data'!H268="","",SUBSTITUTE('Raw Data'!H268," ",":",1))</f>
        <v>322:00</v>
      </c>
      <c r="I268" s="7" t="str">
        <f>IF('Raw Data'!I268="","",SUBSTITUTE('Raw Data'!I268," ",":",1))</f>
        <v/>
      </c>
      <c r="J268" s="12">
        <f>IF('Raw Data'!J268="","",IF(LEN(K268)&gt;6,SQRT('Raw Data'!J268^2+N268^2),'Raw Data'!J268))</f>
        <v>19.2</v>
      </c>
      <c r="K268" s="7" t="str">
        <f>IF('Raw Data'!K268="","",IF(LEN('Raw Data'!K268)&lt;7,SUBSTITUTE('Raw Data'!K268," ",":",1),'Raw Data'!K268))</f>
        <v>22:00</v>
      </c>
      <c r="L268" t="str">
        <f>IF('Raw Data'!L268="","",'Raw Data'!L268)</f>
        <v/>
      </c>
      <c r="M268">
        <f>IF('Raw Data'!M268="","",'Raw Data'!M268)</f>
        <v>17.8</v>
      </c>
      <c r="N268">
        <f>IF('Raw Data'!N268="","",IF('Raw Data'!N268="-",0,'Raw Data'!N268))</f>
        <v>7.2</v>
      </c>
      <c r="O268" t="str">
        <f>IF('Raw Data'!O268="","",'Raw Data'!O268)</f>
        <v>(ah=60.6)</v>
      </c>
      <c r="P268" t="str">
        <f>IF('Raw Data'!P268="","",'Raw Data'!P268)</f>
        <v/>
      </c>
      <c r="R268" s="3" t="str">
        <f t="shared" si="94"/>
        <v>-</v>
      </c>
      <c r="S268" s="3">
        <f t="shared" si="95"/>
        <v>322</v>
      </c>
      <c r="T268" s="3" t="e">
        <f t="shared" si="96"/>
        <v>#VALUE!</v>
      </c>
      <c r="U268" s="3">
        <f t="shared" si="100"/>
        <v>22</v>
      </c>
      <c r="W268" s="4">
        <f t="shared" si="97"/>
        <v>17.801930007682319</v>
      </c>
      <c r="X268" s="4">
        <f t="shared" si="98"/>
        <v>7.1924465935855109</v>
      </c>
      <c r="Y268" s="3">
        <f t="shared" si="99"/>
        <v>142</v>
      </c>
    </row>
    <row r="269" spans="1:25" x14ac:dyDescent="0.25">
      <c r="A269" t="str">
        <f>IF('Raw Data'!A269="","",'Raw Data'!A269)</f>
        <v>ai</v>
      </c>
      <c r="B269" t="str">
        <f>IF('Raw Data'!B269="","",'Raw Data'!B269)</f>
        <v>aj</v>
      </c>
      <c r="C269" t="str">
        <f>IF('Raw Data'!C269="","",'Raw Data'!C269)</f>
        <v>/</v>
      </c>
      <c r="D269" t="str">
        <f>IF('Raw Data'!D269="","",'Raw Data'!D269)</f>
        <v>/</v>
      </c>
      <c r="E269" t="str">
        <f>IF('Raw Data'!E269="","",'Raw Data'!E269)</f>
        <v>/</v>
      </c>
      <c r="F269" t="str">
        <f>IF('Raw Data'!F269="","",'Raw Data'!F269)</f>
        <v>/</v>
      </c>
      <c r="G269" s="7" t="str">
        <f>IF('Raw Data'!G269="","",SUBSTITUTE('Raw Data'!G269," ",":",1))</f>
        <v>097:00</v>
      </c>
      <c r="H269" s="7" t="str">
        <f>IF('Raw Data'!H269="","",SUBSTITUTE('Raw Data'!H269," ",":",1))</f>
        <v>-</v>
      </c>
      <c r="I269" s="7" t="str">
        <f>IF('Raw Data'!I269="","",SUBSTITUTE('Raw Data'!I269," ",":",1))</f>
        <v/>
      </c>
      <c r="J269" s="12">
        <f>IF('Raw Data'!J269="","",IF(LEN(K269)&gt;6,SQRT('Raw Data'!J269^2+N269^2),'Raw Data'!J269))</f>
        <v>7.2</v>
      </c>
      <c r="K269" s="7" t="str">
        <f>IF('Raw Data'!K269="","",IF(LEN('Raw Data'!K269)&lt;7,SUBSTITUTE('Raw Data'!K269," ",":",1),'Raw Data'!K269))</f>
        <v>55:00</v>
      </c>
      <c r="L269" t="str">
        <f>IF('Raw Data'!L269="","",'Raw Data'!L269)</f>
        <v/>
      </c>
      <c r="M269">
        <f>IF('Raw Data'!M269="","",'Raw Data'!M269)</f>
        <v>4.0999999999999996</v>
      </c>
      <c r="N269">
        <f>IF('Raw Data'!N269="","",IF('Raw Data'!N269="-",0,'Raw Data'!N269))</f>
        <v>5.9</v>
      </c>
      <c r="O269">
        <f>IF('Raw Data'!O269="","",'Raw Data'!O269)</f>
        <v>82.2</v>
      </c>
      <c r="P269" t="str">
        <f>IF('Raw Data'!P269="","",'Raw Data'!P269)</f>
        <v/>
      </c>
      <c r="R269" s="3">
        <f t="shared" si="94"/>
        <v>97</v>
      </c>
      <c r="S269" s="3" t="str">
        <f t="shared" si="95"/>
        <v>-</v>
      </c>
      <c r="T269" s="3" t="e">
        <f t="shared" si="96"/>
        <v>#VALUE!</v>
      </c>
      <c r="U269" s="3">
        <f t="shared" si="100"/>
        <v>55</v>
      </c>
      <c r="W269" s="4">
        <f t="shared" si="97"/>
        <v>4.1297503417275321</v>
      </c>
      <c r="X269" s="4">
        <f t="shared" si="98"/>
        <v>5.8978947188807407</v>
      </c>
      <c r="Y269" s="3">
        <f t="shared" si="99"/>
        <v>97</v>
      </c>
    </row>
    <row r="270" spans="1:25" x14ac:dyDescent="0.25">
      <c r="A270" t="str">
        <f>IF('Raw Data'!A270="","",'Raw Data'!A270)</f>
        <v>aj</v>
      </c>
      <c r="B270" t="str">
        <f>IF('Raw Data'!B270="","",'Raw Data'!B270)</f>
        <v>ak</v>
      </c>
      <c r="C270" t="str">
        <f>IF('Raw Data'!C270="","",'Raw Data'!C270)</f>
        <v>/</v>
      </c>
      <c r="D270" t="str">
        <f>IF('Raw Data'!D270="","",'Raw Data'!D270)</f>
        <v>/</v>
      </c>
      <c r="E270" t="str">
        <f>IF('Raw Data'!E270="","",'Raw Data'!E270)</f>
        <v>/</v>
      </c>
      <c r="F270" t="str">
        <f>IF('Raw Data'!F270="","",'Raw Data'!F270)</f>
        <v>/</v>
      </c>
      <c r="G270" s="7" t="str">
        <f>IF('Raw Data'!G270="","",SUBSTITUTE('Raw Data'!G270," ",":",1))</f>
        <v>099:00</v>
      </c>
      <c r="H270" s="7" t="str">
        <f>IF('Raw Data'!H270="","",SUBSTITUTE('Raw Data'!H270," ",":",1))</f>
        <v>-</v>
      </c>
      <c r="I270" s="7" t="str">
        <f>IF('Raw Data'!I270="","",SUBSTITUTE('Raw Data'!I270," ",":",1))</f>
        <v/>
      </c>
      <c r="J270" s="12">
        <f>IF('Raw Data'!J270="","",IF(LEN(K270)&gt;6,SQRT('Raw Data'!J270^2+N270^2),'Raw Data'!J270))</f>
        <v>19.7</v>
      </c>
      <c r="K270" s="7" t="str">
        <f>IF('Raw Data'!K270="","",IF(LEN('Raw Data'!K270)&lt;7,SUBSTITUTE('Raw Data'!K270," ",":",1),'Raw Data'!K270))</f>
        <v>18:00</v>
      </c>
      <c r="L270" t="str">
        <f>IF('Raw Data'!L270="","",'Raw Data'!L270)</f>
        <v/>
      </c>
      <c r="M270">
        <f>IF('Raw Data'!M270="","",'Raw Data'!M270)</f>
        <v>18.8</v>
      </c>
      <c r="N270">
        <f>IF('Raw Data'!N270="","",IF('Raw Data'!N270="-",0,'Raw Data'!N270))</f>
        <v>6.1</v>
      </c>
      <c r="O270">
        <f>IF('Raw Data'!O270="","",'Raw Data'!O270)</f>
        <v>88.1</v>
      </c>
      <c r="P270" t="str">
        <f>IF('Raw Data'!P270="","",'Raw Data'!P270)</f>
        <v/>
      </c>
      <c r="R270" s="3">
        <f t="shared" si="94"/>
        <v>99</v>
      </c>
      <c r="S270" s="3" t="str">
        <f t="shared" si="95"/>
        <v>-</v>
      </c>
      <c r="T270" s="3" t="e">
        <f t="shared" si="96"/>
        <v>#VALUE!</v>
      </c>
      <c r="U270" s="3">
        <f t="shared" si="100"/>
        <v>18</v>
      </c>
      <c r="W270" s="4">
        <f t="shared" si="97"/>
        <v>18.735813371014522</v>
      </c>
      <c r="X270" s="4">
        <f t="shared" si="98"/>
        <v>6.0876347891864633</v>
      </c>
      <c r="Y270" s="3">
        <f t="shared" si="99"/>
        <v>99</v>
      </c>
    </row>
    <row r="271" spans="1:25" x14ac:dyDescent="0.25">
      <c r="A271" t="str">
        <f>IF('Raw Data'!A271="","",'Raw Data'!A271)</f>
        <v>ak</v>
      </c>
      <c r="B271" t="str">
        <f>IF('Raw Data'!B271="","",'Raw Data'!B271)</f>
        <v>al</v>
      </c>
      <c r="C271" t="str">
        <f>IF('Raw Data'!C271="","",'Raw Data'!C271)</f>
        <v>/</v>
      </c>
      <c r="D271" t="str">
        <f>IF('Raw Data'!D271="","",'Raw Data'!D271)</f>
        <v>/</v>
      </c>
      <c r="E271" t="str">
        <f>IF('Raw Data'!E271="","",'Raw Data'!E271)</f>
        <v>/</v>
      </c>
      <c r="F271" t="str">
        <f>IF('Raw Data'!F271="","",'Raw Data'!F271)</f>
        <v>/</v>
      </c>
      <c r="G271" s="7" t="str">
        <f>IF('Raw Data'!G271="","",SUBSTITUTE('Raw Data'!G271," ",":",1))</f>
        <v>106:00</v>
      </c>
      <c r="H271" s="7" t="str">
        <f>IF('Raw Data'!H271="","",SUBSTITUTE('Raw Data'!H271," ",":",1))</f>
        <v>-</v>
      </c>
      <c r="I271" s="7" t="str">
        <f>IF('Raw Data'!I271="","",SUBSTITUTE('Raw Data'!I271," ",":",1))</f>
        <v/>
      </c>
      <c r="J271" s="12">
        <f>IF('Raw Data'!J271="","",IF(LEN(K271)&gt;6,SQRT('Raw Data'!J271^2+N271^2),'Raw Data'!J271))</f>
        <v>9.1999999999999993</v>
      </c>
      <c r="K271" s="7" t="str">
        <f>IF('Raw Data'!K271="","",IF(LEN('Raw Data'!K271)&lt;7,SUBSTITUTE('Raw Data'!K271," ",":",1),'Raw Data'!K271))</f>
        <v>-22:00</v>
      </c>
      <c r="L271" t="str">
        <f>IF('Raw Data'!L271="","",'Raw Data'!L271)</f>
        <v/>
      </c>
      <c r="M271">
        <f>IF('Raw Data'!M271="","",'Raw Data'!M271)</f>
        <v>8.5</v>
      </c>
      <c r="N271">
        <f>IF('Raw Data'!N271="","",IF('Raw Data'!N271="-",0,'Raw Data'!N271))</f>
        <v>-3.4</v>
      </c>
      <c r="O271">
        <f>IF('Raw Data'!O271="","",'Raw Data'!O271)</f>
        <v>94.2</v>
      </c>
      <c r="P271" t="str">
        <f>IF('Raw Data'!P271="","",'Raw Data'!P271)</f>
        <v/>
      </c>
      <c r="R271" s="3">
        <f t="shared" si="94"/>
        <v>106</v>
      </c>
      <c r="S271" s="3" t="str">
        <f t="shared" si="95"/>
        <v>-</v>
      </c>
      <c r="T271" s="3" t="e">
        <f t="shared" si="96"/>
        <v>#VALUE!</v>
      </c>
      <c r="U271" s="3">
        <f t="shared" si="100"/>
        <v>-22</v>
      </c>
      <c r="W271" s="4">
        <f t="shared" si="97"/>
        <v>8.5300914620144432</v>
      </c>
      <c r="X271" s="4">
        <f t="shared" si="98"/>
        <v>-3.4463806594263904</v>
      </c>
      <c r="Y271" s="3">
        <f t="shared" si="99"/>
        <v>106</v>
      </c>
    </row>
    <row r="272" spans="1:25" x14ac:dyDescent="0.25">
      <c r="A272" t="str">
        <f>IF('Raw Data'!A272="","",'Raw Data'!A272)</f>
        <v>al</v>
      </c>
      <c r="B272" t="str">
        <f>IF('Raw Data'!B272="","",'Raw Data'!B272)</f>
        <v>am</v>
      </c>
      <c r="C272" t="str">
        <f>IF('Raw Data'!C272="","",'Raw Data'!C272)</f>
        <v>/</v>
      </c>
      <c r="D272" t="str">
        <f>IF('Raw Data'!D272="","",'Raw Data'!D272)</f>
        <v>/</v>
      </c>
      <c r="E272" t="str">
        <f>IF('Raw Data'!E272="","",'Raw Data'!E272)</f>
        <v>/</v>
      </c>
      <c r="F272" t="str">
        <f>IF('Raw Data'!F272="","",'Raw Data'!F272)</f>
        <v>/</v>
      </c>
      <c r="G272" s="7" t="str">
        <f>IF('Raw Data'!G272="","",SUBSTITUTE('Raw Data'!G272," ",":",1))</f>
        <v>101:00</v>
      </c>
      <c r="H272" s="7" t="str">
        <f>IF('Raw Data'!H272="","",SUBSTITUTE('Raw Data'!H272," ",":",1))</f>
        <v>-</v>
      </c>
      <c r="I272" s="7" t="str">
        <f>IF('Raw Data'!I272="","",SUBSTITUTE('Raw Data'!I272," ",":",1))</f>
        <v/>
      </c>
      <c r="J272" s="12">
        <f>IF('Raw Data'!J272="","",IF(LEN(K272)&gt;6,SQRT('Raw Data'!J272^2+N272^2),'Raw Data'!J272))</f>
        <v>15.926079241294765</v>
      </c>
      <c r="K272" s="7" t="str">
        <f>IF('Raw Data'!K272="","",IF(LEN('Raw Data'!K272)&lt;7,SUBSTITUTE('Raw Data'!K272," ",":",1),'Raw Data'!K272))</f>
        <v>+ 2 feet</v>
      </c>
      <c r="L272" t="str">
        <f>IF('Raw Data'!L272="","",'Raw Data'!L272)</f>
        <v/>
      </c>
      <c r="M272">
        <f>IF('Raw Data'!M272="","",'Raw Data'!M272)</f>
        <v>15.5</v>
      </c>
      <c r="N272">
        <f>IF('Raw Data'!N272="","",IF('Raw Data'!N272="-",0,'Raw Data'!N272))</f>
        <v>2</v>
      </c>
      <c r="O272">
        <f>IF('Raw Data'!O272="","",'Raw Data'!O272)</f>
        <v>90.8</v>
      </c>
      <c r="P272" t="str">
        <f>IF('Raw Data'!P272="","",'Raw Data'!P272)</f>
        <v>Near side of duck (in dry weather)</v>
      </c>
      <c r="R272" s="3">
        <f t="shared" si="94"/>
        <v>101</v>
      </c>
      <c r="S272" s="3" t="str">
        <f t="shared" si="95"/>
        <v>-</v>
      </c>
      <c r="T272" s="3" t="e">
        <f t="shared" si="96"/>
        <v>#VALUE!</v>
      </c>
      <c r="U272" s="9">
        <f>ASIN(N272/J272)*180/PI()</f>
        <v>7.2142620392067593</v>
      </c>
      <c r="W272" s="4">
        <f t="shared" si="97"/>
        <v>15.8</v>
      </c>
      <c r="X272" s="4">
        <f t="shared" si="98"/>
        <v>1.9999999999999998</v>
      </c>
      <c r="Y272" s="3">
        <f t="shared" si="99"/>
        <v>101</v>
      </c>
    </row>
    <row r="273" spans="1:25" x14ac:dyDescent="0.25">
      <c r="A273" t="str">
        <f>IF('Raw Data'!A273="","",'Raw Data'!A273)</f>
        <v>am</v>
      </c>
      <c r="B273" t="str">
        <f>IF('Raw Data'!B273="","",'Raw Data'!B273)</f>
        <v>an</v>
      </c>
      <c r="C273" t="str">
        <f>IF('Raw Data'!C273="","",'Raw Data'!C273)</f>
        <v>/</v>
      </c>
      <c r="D273" t="str">
        <f>IF('Raw Data'!D273="","",'Raw Data'!D273)</f>
        <v>/</v>
      </c>
      <c r="E273" t="str">
        <f>IF('Raw Data'!E273="","",'Raw Data'!E273)</f>
        <v>/</v>
      </c>
      <c r="F273" t="str">
        <f>IF('Raw Data'!F273="","",'Raw Data'!F273)</f>
        <v>/</v>
      </c>
      <c r="G273" s="7" t="str">
        <f>IF('Raw Data'!G273="","",SUBSTITUTE('Raw Data'!G273," ",":",1))</f>
        <v>080:00</v>
      </c>
      <c r="H273" s="7" t="str">
        <f>IF('Raw Data'!H273="","",SUBSTITUTE('Raw Data'!H273," ",":",1))</f>
        <v>-</v>
      </c>
      <c r="I273" s="7" t="str">
        <f>IF('Raw Data'!I273="","",SUBSTITUTE('Raw Data'!I273," ",":",1))</f>
        <v/>
      </c>
      <c r="J273" s="12">
        <f>IF('Raw Data'!J273="","",IF(LEN(K273)&gt;6,SQRT('Raw Data'!J273^2+N273^2),'Raw Data'!J273))</f>
        <v>12.3</v>
      </c>
      <c r="K273" s="7" t="str">
        <f>IF('Raw Data'!K273="","",IF(LEN('Raw Data'!K273)&lt;7,SUBSTITUTE('Raw Data'!K273," ",":",1),'Raw Data'!K273))</f>
        <v>22:00</v>
      </c>
      <c r="L273" t="str">
        <f>IF('Raw Data'!L273="","",'Raw Data'!L273)</f>
        <v/>
      </c>
      <c r="M273">
        <f>IF('Raw Data'!M273="","",'Raw Data'!M273)</f>
        <v>11.4</v>
      </c>
      <c r="N273">
        <f>IF('Raw Data'!N273="","",IF('Raw Data'!N273="-",0,'Raw Data'!N273))</f>
        <v>4.5999999999999996</v>
      </c>
      <c r="O273">
        <f>IF('Raw Data'!O273="","",'Raw Data'!O273)</f>
        <v>92.8</v>
      </c>
      <c r="P273" t="str">
        <f>IF('Raw Data'!P273="","",'Raw Data'!P273)</f>
        <v>Far side of duck (in dry weather)</v>
      </c>
      <c r="R273" s="3">
        <f t="shared" si="94"/>
        <v>80</v>
      </c>
      <c r="S273" s="3" t="str">
        <f t="shared" si="95"/>
        <v>-</v>
      </c>
      <c r="T273" s="3" t="e">
        <f t="shared" si="96"/>
        <v>#VALUE!</v>
      </c>
      <c r="U273" s="3">
        <f t="shared" si="100"/>
        <v>22</v>
      </c>
      <c r="W273" s="4">
        <f t="shared" si="97"/>
        <v>11.404361411171486</v>
      </c>
      <c r="X273" s="4">
        <f t="shared" si="98"/>
        <v>4.6076610990157176</v>
      </c>
      <c r="Y273" s="3">
        <f t="shared" si="99"/>
        <v>80</v>
      </c>
    </row>
    <row r="274" spans="1:25" x14ac:dyDescent="0.25">
      <c r="A274" t="str">
        <f>IF('Raw Data'!A274="","",'Raw Data'!A274)</f>
        <v>an</v>
      </c>
      <c r="B274" t="str">
        <f>IF('Raw Data'!B274="","",'Raw Data'!B274)</f>
        <v>ao</v>
      </c>
      <c r="C274" t="str">
        <f>IF('Raw Data'!C274="","",'Raw Data'!C274)</f>
        <v>/</v>
      </c>
      <c r="D274" t="str">
        <f>IF('Raw Data'!D274="","",'Raw Data'!D274)</f>
        <v>/</v>
      </c>
      <c r="E274" t="str">
        <f>IF('Raw Data'!E274="","",'Raw Data'!E274)</f>
        <v>/</v>
      </c>
      <c r="F274" t="str">
        <f>IF('Raw Data'!F274="","",'Raw Data'!F274)</f>
        <v>/</v>
      </c>
      <c r="G274" s="7" t="str">
        <f>IF('Raw Data'!G274="","",SUBSTITUTE('Raw Data'!G274," ",":",1))</f>
        <v>114:00</v>
      </c>
      <c r="H274" s="7" t="str">
        <f>IF('Raw Data'!H274="","",SUBSTITUTE('Raw Data'!H274," ",":",1))</f>
        <v>-</v>
      </c>
      <c r="I274" s="7" t="str">
        <f>IF('Raw Data'!I274="","",SUBSTITUTE('Raw Data'!I274," ",":",1))</f>
        <v/>
      </c>
      <c r="J274" s="12">
        <f>IF('Raw Data'!J274="","",IF(LEN(K274)&gt;6,SQRT('Raw Data'!J274^2+N274^2),'Raw Data'!J274))</f>
        <v>14.5</v>
      </c>
      <c r="K274" s="7" t="str">
        <f>IF('Raw Data'!K274="","",IF(LEN('Raw Data'!K274)&lt;7,SUBSTITUTE('Raw Data'!K274," ",":",1),'Raw Data'!K274))</f>
        <v>50:00</v>
      </c>
      <c r="L274" t="str">
        <f>IF('Raw Data'!L274="","",'Raw Data'!L274)</f>
        <v/>
      </c>
      <c r="M274">
        <f>IF('Raw Data'!M274="","",'Raw Data'!M274)</f>
        <v>9.3000000000000007</v>
      </c>
      <c r="N274">
        <f>IF('Raw Data'!N274="","",IF('Raw Data'!N274="-",0,'Raw Data'!N274))</f>
        <v>11.1</v>
      </c>
      <c r="O274">
        <f>IF('Raw Data'!O274="","",'Raw Data'!O274)</f>
        <v>97.4</v>
      </c>
      <c r="P274" t="str">
        <f>IF('Raw Data'!P274="","",'Raw Data'!P274)</f>
        <v/>
      </c>
      <c r="R274" s="3">
        <f t="shared" si="94"/>
        <v>114</v>
      </c>
      <c r="S274" s="3" t="str">
        <f t="shared" si="95"/>
        <v>-</v>
      </c>
      <c r="T274" s="3" t="e">
        <f t="shared" si="96"/>
        <v>#VALUE!</v>
      </c>
      <c r="U274" s="3">
        <f t="shared" si="100"/>
        <v>50</v>
      </c>
      <c r="W274" s="4">
        <f t="shared" si="97"/>
        <v>9.3204203404548203</v>
      </c>
      <c r="X274" s="4">
        <f t="shared" si="98"/>
        <v>11.107644425225182</v>
      </c>
      <c r="Y274" s="3">
        <f t="shared" si="99"/>
        <v>114</v>
      </c>
    </row>
    <row r="275" spans="1:25" x14ac:dyDescent="0.25">
      <c r="A275" t="str">
        <f>IF('Raw Data'!A275="","",'Raw Data'!A275)</f>
        <v>ao</v>
      </c>
      <c r="B275" t="str">
        <f>IF('Raw Data'!B275="","",'Raw Data'!B275)</f>
        <v>ap</v>
      </c>
      <c r="C275" t="str">
        <f>IF('Raw Data'!C275="","",'Raw Data'!C275)</f>
        <v>/</v>
      </c>
      <c r="D275" t="str">
        <f>IF('Raw Data'!D275="","",'Raw Data'!D275)</f>
        <v>/</v>
      </c>
      <c r="E275" t="str">
        <f>IF('Raw Data'!E275="","",'Raw Data'!E275)</f>
        <v>/</v>
      </c>
      <c r="F275" t="str">
        <f>IF('Raw Data'!F275="","",'Raw Data'!F275)</f>
        <v>/</v>
      </c>
      <c r="G275" s="7" t="str">
        <f>IF('Raw Data'!G275="","",SUBSTITUTE('Raw Data'!G275," ",":",1))</f>
        <v>103:00</v>
      </c>
      <c r="H275" s="7" t="str">
        <f>IF('Raw Data'!H275="","",SUBSTITUTE('Raw Data'!H275," ",":",1))</f>
        <v>-</v>
      </c>
      <c r="I275" s="7" t="str">
        <f>IF('Raw Data'!I275="","",SUBSTITUTE('Raw Data'!I275," ",":",1))</f>
        <v/>
      </c>
      <c r="J275" s="12">
        <f>IF('Raw Data'!J275="","",IF(LEN(K275)&gt;6,SQRT('Raw Data'!J275^2+N275^2),'Raw Data'!J275))</f>
        <v>17.8</v>
      </c>
      <c r="K275" s="7" t="str">
        <f>IF('Raw Data'!K275="","",IF(LEN('Raw Data'!K275)&lt;7,SUBSTITUTE('Raw Data'!K275," ",":",1),'Raw Data'!K275))</f>
        <v>-6:30</v>
      </c>
      <c r="L275" t="str">
        <f>IF('Raw Data'!L275="","",'Raw Data'!L275)</f>
        <v/>
      </c>
      <c r="M275">
        <f>IF('Raw Data'!M275="","",'Raw Data'!M275)</f>
        <v>17.600000000000001</v>
      </c>
      <c r="N275">
        <f>IF('Raw Data'!N275="","",IF('Raw Data'!N275="-",0,'Raw Data'!N275))</f>
        <v>-2</v>
      </c>
      <c r="O275">
        <f>IF('Raw Data'!O275="","",'Raw Data'!O275)</f>
        <v>108.5</v>
      </c>
      <c r="P275" t="str">
        <f>IF('Raw Data'!P275="","",'Raw Data'!P275)</f>
        <v/>
      </c>
      <c r="R275" s="3">
        <f t="shared" si="94"/>
        <v>103</v>
      </c>
      <c r="S275" s="3" t="str">
        <f t="shared" si="95"/>
        <v>-</v>
      </c>
      <c r="T275" s="3" t="e">
        <f t="shared" si="96"/>
        <v>#VALUE!</v>
      </c>
      <c r="U275" s="3">
        <f t="shared" si="100"/>
        <v>-6.5</v>
      </c>
      <c r="W275" s="4">
        <f t="shared" si="97"/>
        <v>17.685579031043257</v>
      </c>
      <c r="X275" s="4">
        <f t="shared" si="98"/>
        <v>-2.0150172050687396</v>
      </c>
      <c r="Y275" s="3">
        <f t="shared" si="99"/>
        <v>103</v>
      </c>
    </row>
    <row r="276" spans="1:25" x14ac:dyDescent="0.25">
      <c r="A276" t="str">
        <f>IF('Raw Data'!A276="","",'Raw Data'!A276)</f>
        <v>ap</v>
      </c>
      <c r="B276" t="str">
        <f>IF('Raw Data'!B276="","",'Raw Data'!B276)</f>
        <v>aq</v>
      </c>
      <c r="C276" t="str">
        <f>IF('Raw Data'!C276="","",'Raw Data'!C276)</f>
        <v>/</v>
      </c>
      <c r="D276" t="str">
        <f>IF('Raw Data'!D276="","",'Raw Data'!D276)</f>
        <v>/</v>
      </c>
      <c r="E276" t="str">
        <f>IF('Raw Data'!E276="","",'Raw Data'!E276)</f>
        <v>/</v>
      </c>
      <c r="F276" t="str">
        <f>IF('Raw Data'!F276="","",'Raw Data'!F276)</f>
        <v>/</v>
      </c>
      <c r="G276" s="7" t="str">
        <f>IF('Raw Data'!G276="","",SUBSTITUTE('Raw Data'!G276," ",":",1))</f>
        <v>026:00</v>
      </c>
      <c r="H276" s="7" t="str">
        <f>IF('Raw Data'!H276="","",SUBSTITUTE('Raw Data'!H276," ",":",1))</f>
        <v>-</v>
      </c>
      <c r="I276" s="7" t="str">
        <f>IF('Raw Data'!I276="","",SUBSTITUTE('Raw Data'!I276," ",":",1))</f>
        <v/>
      </c>
      <c r="J276" s="12">
        <f>IF('Raw Data'!J276="","",IF(LEN(K276)&gt;6,SQRT('Raw Data'!J276^2+N276^2),'Raw Data'!J276))</f>
        <v>7.7</v>
      </c>
      <c r="K276" s="7" t="str">
        <f>IF('Raw Data'!K276="","",IF(LEN('Raw Data'!K276)&lt;7,SUBSTITUTE('Raw Data'!K276," ",":",1),'Raw Data'!K276))</f>
        <v>-53:00</v>
      </c>
      <c r="L276" t="str">
        <f>IF('Raw Data'!L276="","",'Raw Data'!L276)</f>
        <v/>
      </c>
      <c r="M276">
        <f>IF('Raw Data'!M276="","",'Raw Data'!M276)</f>
        <v>4.5999999999999996</v>
      </c>
      <c r="N276">
        <f>IF('Raw Data'!N276="","",IF('Raw Data'!N276="-",0,'Raw Data'!N276))</f>
        <v>-6.1</v>
      </c>
      <c r="O276">
        <f>IF('Raw Data'!O276="","",'Raw Data'!O276)</f>
        <v>106.5</v>
      </c>
      <c r="P276" t="str">
        <f>IF('Raw Data'!P276="","",'Raw Data'!P276)</f>
        <v/>
      </c>
      <c r="R276" s="3">
        <f t="shared" si="94"/>
        <v>26</v>
      </c>
      <c r="S276" s="3" t="str">
        <f t="shared" si="95"/>
        <v>-</v>
      </c>
      <c r="T276" s="3" t="e">
        <f t="shared" si="96"/>
        <v>#VALUE!</v>
      </c>
      <c r="U276" s="3">
        <f t="shared" si="100"/>
        <v>-53</v>
      </c>
      <c r="W276" s="4">
        <f t="shared" si="97"/>
        <v>4.6339756782707724</v>
      </c>
      <c r="X276" s="4">
        <f t="shared" si="98"/>
        <v>-6.1494934273641553</v>
      </c>
      <c r="Y276" s="3">
        <f t="shared" si="99"/>
        <v>26</v>
      </c>
    </row>
    <row r="277" spans="1:25" x14ac:dyDescent="0.25">
      <c r="A277" t="str">
        <f>IF('Raw Data'!A277="","",'Raw Data'!A277)</f>
        <v>aq</v>
      </c>
      <c r="B277" t="str">
        <f>IF('Raw Data'!B277="","",'Raw Data'!B277)</f>
        <v>ar</v>
      </c>
      <c r="C277" t="str">
        <f>IF('Raw Data'!C277="","",'Raw Data'!C277)</f>
        <v>/</v>
      </c>
      <c r="D277" t="str">
        <f>IF('Raw Data'!D277="","",'Raw Data'!D277)</f>
        <v>/</v>
      </c>
      <c r="E277" t="str">
        <f>IF('Raw Data'!E277="","",'Raw Data'!E277)</f>
        <v>/</v>
      </c>
      <c r="F277" t="str">
        <f>IF('Raw Data'!F277="","",'Raw Data'!F277)</f>
        <v>/</v>
      </c>
      <c r="G277" s="7" t="str">
        <f>IF('Raw Data'!G277="","",SUBSTITUTE('Raw Data'!G277," ",":",1))</f>
        <v>003:00</v>
      </c>
      <c r="H277" s="7" t="str">
        <f>IF('Raw Data'!H277="","",SUBSTITUTE('Raw Data'!H277," ",":",1))</f>
        <v>-</v>
      </c>
      <c r="I277" s="7" t="str">
        <f>IF('Raw Data'!I277="","",SUBSTITUTE('Raw Data'!I277," ",":",1))</f>
        <v/>
      </c>
      <c r="J277" s="12">
        <f>IF('Raw Data'!J277="","",IF(LEN(K277)&gt;6,SQRT('Raw Data'!J277^2+N277^2),'Raw Data'!J277))</f>
        <v>8.5</v>
      </c>
      <c r="K277" s="7" t="str">
        <f>IF('Raw Data'!K277="","",IF(LEN('Raw Data'!K277)&lt;7,SUBSTITUTE('Raw Data'!K277," ",":",1),'Raw Data'!K277))</f>
        <v>level</v>
      </c>
      <c r="L277" t="str">
        <f>IF('Raw Data'!L277="","",'Raw Data'!L277)</f>
        <v/>
      </c>
      <c r="M277">
        <f>IF('Raw Data'!M277="","",'Raw Data'!M277)</f>
        <v>8.5</v>
      </c>
      <c r="N277">
        <f>IF('Raw Data'!N277="","",IF('Raw Data'!N277="-",0,'Raw Data'!N277))</f>
        <v>0</v>
      </c>
      <c r="O277">
        <f>IF('Raw Data'!O277="","",'Raw Data'!O277)</f>
        <v>100.4</v>
      </c>
      <c r="P277" t="str">
        <f>IF('Raw Data'!P277="","",'Raw Data'!P277)</f>
        <v/>
      </c>
      <c r="R277" s="3">
        <f t="shared" si="94"/>
        <v>3</v>
      </c>
      <c r="S277" s="3" t="str">
        <f t="shared" si="95"/>
        <v>-</v>
      </c>
      <c r="T277" s="3" t="e">
        <f t="shared" si="96"/>
        <v>#VALUE!</v>
      </c>
      <c r="U277" s="9">
        <f>ASIN(N277/J277)*180/PI()</f>
        <v>0</v>
      </c>
      <c r="W277" s="4">
        <f t="shared" si="97"/>
        <v>8.5</v>
      </c>
      <c r="X277" s="4">
        <f t="shared" si="98"/>
        <v>0</v>
      </c>
      <c r="Y277" s="3">
        <f t="shared" si="99"/>
        <v>3</v>
      </c>
    </row>
    <row r="278" spans="1:25" x14ac:dyDescent="0.25">
      <c r="A278" t="str">
        <f>IF('Raw Data'!A278="","",'Raw Data'!A278)</f>
        <v>ar</v>
      </c>
      <c r="B278" t="str">
        <f>IF('Raw Data'!B278="","",'Raw Data'!B278)</f>
        <v>as</v>
      </c>
      <c r="C278" t="str">
        <f>IF('Raw Data'!C278="","",'Raw Data'!C278)</f>
        <v>/</v>
      </c>
      <c r="D278" t="str">
        <f>IF('Raw Data'!D278="","",'Raw Data'!D278)</f>
        <v>/</v>
      </c>
      <c r="E278" t="str">
        <f>IF('Raw Data'!E278="","",'Raw Data'!E278)</f>
        <v>/</v>
      </c>
      <c r="F278" t="str">
        <f>IF('Raw Data'!F278="","",'Raw Data'!F278)</f>
        <v>/</v>
      </c>
      <c r="G278" s="7" t="str">
        <f>IF('Raw Data'!G278="","",SUBSTITUTE('Raw Data'!G278," ",":",1))</f>
        <v>022:00</v>
      </c>
      <c r="H278" s="7" t="str">
        <f>IF('Raw Data'!H278="","",SUBSTITUTE('Raw Data'!H278," ",":",1))</f>
        <v>-</v>
      </c>
      <c r="I278" s="7" t="str">
        <f>IF('Raw Data'!I278="","",SUBSTITUTE('Raw Data'!I278," ",":",1))</f>
        <v/>
      </c>
      <c r="J278" s="12">
        <f>IF('Raw Data'!J278="","",IF(LEN(K278)&gt;6,SQRT('Raw Data'!J278^2+N278^2),'Raw Data'!J278))</f>
        <v>10.8</v>
      </c>
      <c r="K278" s="7" t="str">
        <f>IF('Raw Data'!K278="","",IF(LEN('Raw Data'!K278)&lt;7,SUBSTITUTE('Raw Data'!K278," ",":",1),'Raw Data'!K278))</f>
        <v>level</v>
      </c>
      <c r="L278" t="str">
        <f>IF('Raw Data'!L278="","",'Raw Data'!L278)</f>
        <v/>
      </c>
      <c r="M278">
        <f>IF('Raw Data'!M278="","",'Raw Data'!M278)</f>
        <v>10.8</v>
      </c>
      <c r="N278">
        <f>IF('Raw Data'!N278="","",IF('Raw Data'!N278="-",0,'Raw Data'!N278))</f>
        <v>0</v>
      </c>
      <c r="O278">
        <f>IF('Raw Data'!O278="","",'Raw Data'!O278)</f>
        <v>100.4</v>
      </c>
      <c r="P278" t="str">
        <f>IF('Raw Data'!P278="","",'Raw Data'!P278)</f>
        <v>(sketch at-au) descends at 15 or 20 degrees. i.e. -9 feet vertical. Sump?</v>
      </c>
      <c r="R278" s="3">
        <f t="shared" si="94"/>
        <v>22</v>
      </c>
      <c r="S278" s="3" t="str">
        <f t="shared" si="95"/>
        <v>-</v>
      </c>
      <c r="T278" s="3" t="e">
        <f t="shared" si="96"/>
        <v>#VALUE!</v>
      </c>
      <c r="U278" s="9">
        <f>ASIN(N278/J278)*180/PI()</f>
        <v>0</v>
      </c>
      <c r="W278" s="4">
        <f t="shared" si="97"/>
        <v>10.8</v>
      </c>
      <c r="X278" s="4">
        <f t="shared" si="98"/>
        <v>0</v>
      </c>
      <c r="Y278" s="3">
        <f t="shared" si="99"/>
        <v>22</v>
      </c>
    </row>
    <row r="279" spans="1:25" x14ac:dyDescent="0.25">
      <c r="A279" t="str">
        <f>IF('Raw Data'!A279="","",'Raw Data'!A279)</f>
        <v>as</v>
      </c>
      <c r="B279" t="str">
        <f>IF('Raw Data'!B279="","",'Raw Data'!B279)</f>
        <v>at</v>
      </c>
      <c r="C279" t="str">
        <f>IF('Raw Data'!C279="","",'Raw Data'!C279)</f>
        <v>/</v>
      </c>
      <c r="D279" t="str">
        <f>IF('Raw Data'!D279="","",'Raw Data'!D279)</f>
        <v>/</v>
      </c>
      <c r="E279" t="str">
        <f>IF('Raw Data'!E279="","",'Raw Data'!E279)</f>
        <v>/</v>
      </c>
      <c r="F279" t="str">
        <f>IF('Raw Data'!F279="","",'Raw Data'!F279)</f>
        <v>/</v>
      </c>
      <c r="G279" s="7" t="str">
        <f>IF('Raw Data'!G279="","",SUBSTITUTE('Raw Data'!G279," ",":",1))</f>
        <v>003:00</v>
      </c>
      <c r="H279" s="7" t="str">
        <f>IF('Raw Data'!H279="","",SUBSTITUTE('Raw Data'!H279," ",":",1))</f>
        <v>-</v>
      </c>
      <c r="I279" s="7" t="str">
        <f>IF('Raw Data'!I279="","",SUBSTITUTE('Raw Data'!I279," ",":",1))</f>
        <v/>
      </c>
      <c r="J279" s="12">
        <f>IF('Raw Data'!J279="","",IF(LEN(K279)&gt;6,SQRT('Raw Data'!J279^2+N279^2),'Raw Data'!J279))</f>
        <v>18.56906028855526</v>
      </c>
      <c r="K279" s="7" t="str">
        <f>IF('Raw Data'!K279="","",IF(LEN('Raw Data'!K279)&lt;7,SUBSTITUTE('Raw Data'!K279," ",":",1),'Raw Data'!K279))</f>
        <v>-2.5 feet</v>
      </c>
      <c r="L279" t="str">
        <f>IF('Raw Data'!L279="","",'Raw Data'!L279)</f>
        <v/>
      </c>
      <c r="M279">
        <f>IF('Raw Data'!M279="","",'Raw Data'!M279)</f>
        <v>18.100000000000001</v>
      </c>
      <c r="N279">
        <f>IF('Raw Data'!N279="","",IF('Raw Data'!N279="-",0,'Raw Data'!N279))</f>
        <v>-2.5</v>
      </c>
      <c r="O279">
        <f>IF('Raw Data'!O279="","",'Raw Data'!O279)</f>
        <v>100.4</v>
      </c>
      <c r="P279" t="str">
        <f>IF('Raw Data'!P279="","",'Raw Data'!P279)</f>
        <v/>
      </c>
      <c r="R279" s="3">
        <f t="shared" si="94"/>
        <v>3</v>
      </c>
      <c r="S279" s="3" t="str">
        <f t="shared" si="95"/>
        <v>-</v>
      </c>
      <c r="T279" s="3" t="e">
        <f t="shared" si="96"/>
        <v>#VALUE!</v>
      </c>
      <c r="U279" s="9">
        <f>ASIN(N279/J279)*180/PI()</f>
        <v>-7.7373727732062862</v>
      </c>
      <c r="W279" s="4">
        <f t="shared" si="97"/>
        <v>18.399999999999999</v>
      </c>
      <c r="X279" s="4">
        <f t="shared" si="98"/>
        <v>-2.5</v>
      </c>
      <c r="Y279" s="3">
        <f t="shared" si="99"/>
        <v>3</v>
      </c>
    </row>
    <row r="280" spans="1:25" x14ac:dyDescent="0.25">
      <c r="A280" t="str">
        <f>IF('Raw Data'!A280="","",'Raw Data'!A280)</f>
        <v>at</v>
      </c>
      <c r="B280" t="str">
        <f>IF('Raw Data'!B280="","",'Raw Data'!B280)</f>
        <v>au</v>
      </c>
      <c r="C280" t="str">
        <f>IF('Raw Data'!C280="","",'Raw Data'!C280)</f>
        <v>/</v>
      </c>
      <c r="D280" t="str">
        <f>IF('Raw Data'!D280="","",'Raw Data'!D280)</f>
        <v>/</v>
      </c>
      <c r="E280" t="str">
        <f>IF('Raw Data'!E280="","",'Raw Data'!E280)</f>
        <v>/</v>
      </c>
      <c r="F280" t="str">
        <f>IF('Raw Data'!F280="","",'Raw Data'!F280)</f>
        <v>/</v>
      </c>
      <c r="G280" s="7" t="str">
        <f>IF('Raw Data'!G280="","",SUBSTITUTE('Raw Data'!G280," ",":",1))</f>
        <v>355:00</v>
      </c>
      <c r="H280" s="7" t="str">
        <f>IF('Raw Data'!H280="","",SUBSTITUTE('Raw Data'!H280," ",":",1))</f>
        <v>-</v>
      </c>
      <c r="I280" s="7" t="str">
        <f>IF('Raw Data'!I280="","",SUBSTITUTE('Raw Data'!I280," ",":",1))</f>
        <v/>
      </c>
      <c r="J280" s="12">
        <f>IF('Raw Data'!J280="","",IF(LEN(K280)&gt;6,SQRT('Raw Data'!J280^2+N280^2),'Raw Data'!J280))</f>
        <v>11</v>
      </c>
      <c r="K280" s="7" t="str">
        <f>IF('Raw Data'!K280="","",IF(LEN('Raw Data'!K280)&lt;7,SUBSTITUTE('Raw Data'!K280," ",":",1),'Raw Data'!K280))</f>
        <v>up &amp; down 2'</v>
      </c>
      <c r="L280" t="str">
        <f>IF('Raw Data'!L280="","",'Raw Data'!L280)</f>
        <v/>
      </c>
      <c r="M280">
        <f>IF('Raw Data'!M280="","",'Raw Data'!M280)</f>
        <v>10.6</v>
      </c>
      <c r="N280">
        <f>IF('Raw Data'!N280="","",IF('Raw Data'!N280="-",0,'Raw Data'!N280))</f>
        <v>0</v>
      </c>
      <c r="O280">
        <f>IF('Raw Data'!O280="","",'Raw Data'!O280)</f>
        <v>97.9</v>
      </c>
      <c r="P280" t="str">
        <f>IF('Raw Data'!P280="","",'Raw Data'!P280)</f>
        <v/>
      </c>
      <c r="R280" s="3">
        <f t="shared" si="94"/>
        <v>355</v>
      </c>
      <c r="S280" s="3" t="str">
        <f t="shared" si="95"/>
        <v>-</v>
      </c>
      <c r="T280" s="3" t="e">
        <f t="shared" si="96"/>
        <v>#VALUE!</v>
      </c>
      <c r="U280" s="9">
        <f>ASIN(N280/J280)*180/PI()</f>
        <v>0</v>
      </c>
      <c r="W280" s="4">
        <f t="shared" si="97"/>
        <v>11</v>
      </c>
      <c r="X280" s="4">
        <f t="shared" si="98"/>
        <v>0</v>
      </c>
      <c r="Y280" s="3">
        <f t="shared" si="99"/>
        <v>355</v>
      </c>
    </row>
    <row r="281" spans="1:25" x14ac:dyDescent="0.25">
      <c r="A281" t="str">
        <f>IF('Raw Data'!A281="","",'Raw Data'!A281)</f>
        <v/>
      </c>
      <c r="B281" t="str">
        <f>IF('Raw Data'!B281="","",'Raw Data'!B281)</f>
        <v/>
      </c>
      <c r="C281" t="str">
        <f>IF('Raw Data'!C281="","",'Raw Data'!C281)</f>
        <v/>
      </c>
      <c r="D281" t="str">
        <f>IF('Raw Data'!D281="","",'Raw Data'!D281)</f>
        <v/>
      </c>
      <c r="E281" t="str">
        <f>IF('Raw Data'!E281="","",'Raw Data'!E281)</f>
        <v/>
      </c>
      <c r="F281" t="str">
        <f>IF('Raw Data'!F281="","",'Raw Data'!F281)</f>
        <v/>
      </c>
      <c r="G281" s="7" t="str">
        <f>IF('Raw Data'!G281="","",SUBSTITUTE('Raw Data'!G281," ",":",1))</f>
        <v/>
      </c>
      <c r="H281" s="7" t="str">
        <f>IF('Raw Data'!H281="","",SUBSTITUTE('Raw Data'!H281," ",":",1))</f>
        <v/>
      </c>
      <c r="I281" s="7" t="str">
        <f>IF('Raw Data'!I281="","",SUBSTITUTE('Raw Data'!I281," ",":",1))</f>
        <v/>
      </c>
      <c r="J281" s="12" t="str">
        <f>IF('Raw Data'!J281="","",IF(LEN(K281)&gt;6,SQRT('Raw Data'!J281^2+N281^2),'Raw Data'!J281))</f>
        <v/>
      </c>
      <c r="K281" s="7" t="str">
        <f>IF('Raw Data'!K281="","",IF(LEN('Raw Data'!K281)&lt;7,SUBSTITUTE('Raw Data'!K281," ",":",1),'Raw Data'!K281))</f>
        <v/>
      </c>
      <c r="L281" t="str">
        <f>IF('Raw Data'!L281="","",'Raw Data'!L281)</f>
        <v/>
      </c>
      <c r="M281" t="str">
        <f>IF('Raw Data'!M281="","",'Raw Data'!M281)</f>
        <v/>
      </c>
      <c r="N281" t="str">
        <f>IF('Raw Data'!N281="","",IF('Raw Data'!N281="-",0,'Raw Data'!N281))</f>
        <v/>
      </c>
      <c r="O281">
        <f>IF('Raw Data'!O281="","",'Raw Data'!O281)</f>
        <v>97.9</v>
      </c>
      <c r="P281" t="str">
        <f>IF('Raw Data'!P281="","",'Raw Data'!P281)</f>
        <v/>
      </c>
      <c r="R281" s="3" t="e">
        <f t="shared" si="94"/>
        <v>#VALUE!</v>
      </c>
      <c r="S281" s="3" t="e">
        <f t="shared" si="95"/>
        <v>#VALUE!</v>
      </c>
      <c r="T281" s="3" t="e">
        <f t="shared" si="96"/>
        <v>#VALUE!</v>
      </c>
      <c r="U281" s="3" t="str">
        <f t="shared" si="100"/>
        <v/>
      </c>
      <c r="W281" s="4" t="e">
        <f t="shared" si="97"/>
        <v>#VALUE!</v>
      </c>
      <c r="X281" s="4" t="e">
        <f t="shared" si="98"/>
        <v>#VALUE!</v>
      </c>
      <c r="Y281" s="3" t="e">
        <f t="shared" si="99"/>
        <v>#VALUE!</v>
      </c>
    </row>
  </sheetData>
  <mergeCells count="1">
    <mergeCell ref="E3:F3"/>
  </mergeCells>
  <conditionalFormatting sqref="X5:X281">
    <cfRule type="expression" dxfId="2" priority="5">
      <formula>ABS(X5-N5)&gt;0.15</formula>
    </cfRule>
  </conditionalFormatting>
  <conditionalFormatting sqref="W5:W281">
    <cfRule type="expression" dxfId="1" priority="2">
      <formula>ABS(W5-M5)&gt;0.15</formula>
    </cfRule>
  </conditionalFormatting>
  <conditionalFormatting sqref="Y5:Y281">
    <cfRule type="expression" dxfId="0" priority="1">
      <formula>T5-Y5&gt;0.001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0"/>
  <sheetViews>
    <sheetView topLeftCell="A250" workbookViewId="0">
      <selection activeCell="D237" sqref="D237:D280"/>
    </sheetView>
  </sheetViews>
  <sheetFormatPr defaultRowHeight="15" x14ac:dyDescent="0.25"/>
  <sheetData>
    <row r="1" spans="1:5" x14ac:dyDescent="0.25">
      <c r="A1" t="s">
        <v>288</v>
      </c>
      <c r="B1">
        <v>3.28</v>
      </c>
    </row>
    <row r="3" spans="1:5" x14ac:dyDescent="0.25">
      <c r="C3" t="s">
        <v>256</v>
      </c>
      <c r="D3" s="14" t="s">
        <v>257</v>
      </c>
      <c r="E3" s="14"/>
    </row>
    <row r="4" spans="1:5" x14ac:dyDescent="0.25">
      <c r="A4" t="s">
        <v>57</v>
      </c>
      <c r="B4" t="s">
        <v>53</v>
      </c>
      <c r="C4" t="s">
        <v>54</v>
      </c>
      <c r="D4" t="s">
        <v>55</v>
      </c>
      <c r="E4" t="s">
        <v>56</v>
      </c>
    </row>
    <row r="5" spans="1:5" x14ac:dyDescent="0.25">
      <c r="A5" t="str">
        <f>'Interpreted Data'!A5</f>
        <v>A</v>
      </c>
      <c r="B5" t="str">
        <f>'Interpreted Data'!B5</f>
        <v>B</v>
      </c>
      <c r="C5" s="2">
        <f>'Interpreted Data'!J5/$B$1</f>
        <v>6.4024390243902447</v>
      </c>
      <c r="D5" s="10">
        <f>'Interpreted Data'!T5</f>
        <v>283</v>
      </c>
      <c r="E5" s="11">
        <f>'Interpreted Data'!U5</f>
        <v>8.5</v>
      </c>
    </row>
    <row r="6" spans="1:5" x14ac:dyDescent="0.25">
      <c r="A6" t="str">
        <f>'Interpreted Data'!A6</f>
        <v>B</v>
      </c>
      <c r="B6" t="str">
        <f>'Interpreted Data'!B6</f>
        <v>C</v>
      </c>
      <c r="C6" s="2">
        <f>'Interpreted Data'!J6/$B$1</f>
        <v>8.2317073170731714</v>
      </c>
      <c r="D6" s="10">
        <f>'Interpreted Data'!T6</f>
        <v>322.5</v>
      </c>
      <c r="E6" s="11">
        <f>'Interpreted Data'!U6</f>
        <v>-9.5</v>
      </c>
    </row>
    <row r="7" spans="1:5" x14ac:dyDescent="0.25">
      <c r="A7" t="str">
        <f>'Interpreted Data'!A7</f>
        <v>C</v>
      </c>
      <c r="B7" t="str">
        <f>'Interpreted Data'!B7</f>
        <v>D</v>
      </c>
      <c r="C7" s="2">
        <f>'Interpreted Data'!J7/$B$1</f>
        <v>11.289753939808246</v>
      </c>
      <c r="D7" s="10">
        <f>'Interpreted Data'!T7</f>
        <v>263</v>
      </c>
      <c r="E7" s="11">
        <f>'Interpreted Data'!U7</f>
        <v>2.3215305898327188</v>
      </c>
    </row>
    <row r="8" spans="1:5" x14ac:dyDescent="0.25">
      <c r="A8" t="str">
        <f>'Interpreted Data'!A8</f>
        <v>D</v>
      </c>
      <c r="B8" t="str">
        <f>'Interpreted Data'!B8</f>
        <v>E</v>
      </c>
      <c r="C8" s="2">
        <f>'Interpreted Data'!J8/$B$1</f>
        <v>4.9390243902439028</v>
      </c>
      <c r="D8" s="10">
        <f>'Interpreted Data'!T8</f>
        <v>192.5</v>
      </c>
      <c r="E8" s="11">
        <f>'Interpreted Data'!U8</f>
        <v>4.5</v>
      </c>
    </row>
    <row r="9" spans="1:5" x14ac:dyDescent="0.25">
      <c r="A9" t="str">
        <f>'Interpreted Data'!A9</f>
        <v>E</v>
      </c>
      <c r="B9" t="str">
        <f>'Interpreted Data'!B9</f>
        <v>F</v>
      </c>
      <c r="C9" s="2">
        <f>'Interpreted Data'!J9/$B$1</f>
        <v>14.329268292682928</v>
      </c>
      <c r="D9" s="10">
        <f>'Interpreted Data'!T9</f>
        <v>258</v>
      </c>
      <c r="E9" s="11">
        <f>'Interpreted Data'!U9</f>
        <v>-5.5</v>
      </c>
    </row>
    <row r="10" spans="1:5" x14ac:dyDescent="0.25">
      <c r="A10" t="str">
        <f>'Interpreted Data'!A10</f>
        <v>F</v>
      </c>
      <c r="B10" t="str">
        <f>'Interpreted Data'!B10</f>
        <v>G</v>
      </c>
      <c r="C10" s="2">
        <f>'Interpreted Data'!J10/$B$1</f>
        <v>14.653981730140559</v>
      </c>
      <c r="D10" s="10">
        <f>'Interpreted Data'!T10</f>
        <v>292</v>
      </c>
      <c r="E10" s="11">
        <f>'Interpreted Data'!U10</f>
        <v>-2.9814612199821924</v>
      </c>
    </row>
    <row r="11" spans="1:5" x14ac:dyDescent="0.25">
      <c r="A11" t="str">
        <f>'Interpreted Data'!A11</f>
        <v>G</v>
      </c>
      <c r="B11" t="str">
        <f>'Interpreted Data'!B11</f>
        <v>H</v>
      </c>
      <c r="C11" s="2">
        <f>'Interpreted Data'!J11/$B$1</f>
        <v>10.975609756097562</v>
      </c>
      <c r="D11" s="10">
        <f>'Interpreted Data'!T11</f>
        <v>339</v>
      </c>
      <c r="E11" s="11">
        <f>'Interpreted Data'!U11</f>
        <v>0</v>
      </c>
    </row>
    <row r="12" spans="1:5" x14ac:dyDescent="0.25">
      <c r="A12" t="str">
        <f>'Interpreted Data'!A12</f>
        <v>H</v>
      </c>
      <c r="B12" t="str">
        <f>'Interpreted Data'!B12</f>
        <v>I</v>
      </c>
      <c r="C12" s="2">
        <f>'Interpreted Data'!J12/$B$1</f>
        <v>9.4512195121951219</v>
      </c>
      <c r="D12" s="10">
        <f>'Interpreted Data'!T12</f>
        <v>247</v>
      </c>
      <c r="E12" s="11">
        <f>'Interpreted Data'!U12</f>
        <v>-2.5</v>
      </c>
    </row>
    <row r="13" spans="1:5" x14ac:dyDescent="0.25">
      <c r="A13" t="str">
        <f>'Interpreted Data'!A13</f>
        <v>I</v>
      </c>
      <c r="B13" t="str">
        <f>'Interpreted Data'!B13</f>
        <v>J</v>
      </c>
      <c r="C13" s="2">
        <f>'Interpreted Data'!J13/$B$1</f>
        <v>7.9268292682926838</v>
      </c>
      <c r="D13" s="10">
        <f>'Interpreted Data'!T13</f>
        <v>275</v>
      </c>
      <c r="E13" s="11" t="str">
        <f>'Interpreted Data'!U13</f>
        <v>2</v>
      </c>
    </row>
    <row r="14" spans="1:5" x14ac:dyDescent="0.25">
      <c r="A14" t="str">
        <f>'Interpreted Data'!A14</f>
        <v>J</v>
      </c>
      <c r="B14" t="str">
        <f>'Interpreted Data'!B14</f>
        <v>K</v>
      </c>
      <c r="C14" s="2">
        <f>'Interpreted Data'!J14/$B$1</f>
        <v>8.0792682926829276</v>
      </c>
      <c r="D14" s="10">
        <f>'Interpreted Data'!T14</f>
        <v>320</v>
      </c>
      <c r="E14" s="11" t="str">
        <f>'Interpreted Data'!U14</f>
        <v>1</v>
      </c>
    </row>
    <row r="15" spans="1:5" x14ac:dyDescent="0.25">
      <c r="A15" t="str">
        <f>'Interpreted Data'!A15</f>
        <v>K</v>
      </c>
      <c r="B15" t="str">
        <f>'Interpreted Data'!B15</f>
        <v>L</v>
      </c>
      <c r="C15" s="2">
        <f>'Interpreted Data'!J15/$B$1</f>
        <v>5.3353658536585371</v>
      </c>
      <c r="D15" s="10">
        <f>'Interpreted Data'!T15</f>
        <v>13</v>
      </c>
      <c r="E15" s="11" t="str">
        <f>'Interpreted Data'!U15</f>
        <v>-9</v>
      </c>
    </row>
    <row r="16" spans="1:5" x14ac:dyDescent="0.25">
      <c r="A16" t="str">
        <f>'Interpreted Data'!A16</f>
        <v>L</v>
      </c>
      <c r="B16" t="str">
        <f>'Interpreted Data'!B16</f>
        <v>M</v>
      </c>
      <c r="C16" s="2">
        <f>'Interpreted Data'!J16/$B$1</f>
        <v>10.060975609756099</v>
      </c>
      <c r="D16" s="10">
        <f>'Interpreted Data'!T16</f>
        <v>299</v>
      </c>
      <c r="E16" s="11" t="str">
        <f>'Interpreted Data'!U16</f>
        <v>-3</v>
      </c>
    </row>
    <row r="17" spans="1:5" x14ac:dyDescent="0.25">
      <c r="A17" t="str">
        <f>'Interpreted Data'!A17</f>
        <v>M</v>
      </c>
      <c r="B17" t="str">
        <f>'Interpreted Data'!B17</f>
        <v>N</v>
      </c>
      <c r="C17" s="2">
        <f>'Interpreted Data'!J17/$B$1</f>
        <v>13.109756097560977</v>
      </c>
      <c r="D17" s="10">
        <f>'Interpreted Data'!T17</f>
        <v>322</v>
      </c>
      <c r="E17" s="11" t="str">
        <f>'Interpreted Data'!U17</f>
        <v>-7.3</v>
      </c>
    </row>
    <row r="18" spans="1:5" x14ac:dyDescent="0.25">
      <c r="A18" t="str">
        <f>'Interpreted Data'!A18</f>
        <v>N</v>
      </c>
      <c r="B18" t="str">
        <f>'Interpreted Data'!B18</f>
        <v>O</v>
      </c>
      <c r="C18" s="2">
        <f>'Interpreted Data'!J18/$B$1</f>
        <v>4.725609756097561</v>
      </c>
      <c r="D18" s="10">
        <f>'Interpreted Data'!T18</f>
        <v>281</v>
      </c>
      <c r="E18" s="11" t="str">
        <f>'Interpreted Data'!U18</f>
        <v>-2</v>
      </c>
    </row>
    <row r="19" spans="1:5" x14ac:dyDescent="0.25">
      <c r="A19" t="str">
        <f>'Interpreted Data'!A19</f>
        <v>O</v>
      </c>
      <c r="B19" t="str">
        <f>'Interpreted Data'!B19</f>
        <v>P</v>
      </c>
      <c r="C19" s="2">
        <f>'Interpreted Data'!J19/$B$1</f>
        <v>17.073170731707318</v>
      </c>
      <c r="D19" s="10">
        <f>'Interpreted Data'!T19</f>
        <v>307</v>
      </c>
      <c r="E19" s="11" t="str">
        <f>'Interpreted Data'!U19</f>
        <v>-5</v>
      </c>
    </row>
    <row r="20" spans="1:5" x14ac:dyDescent="0.25">
      <c r="A20" t="str">
        <f>'Interpreted Data'!A20</f>
        <v>P</v>
      </c>
      <c r="B20" t="str">
        <f>'Interpreted Data'!B20</f>
        <v>Q</v>
      </c>
      <c r="C20" s="2">
        <f>'Interpreted Data'!J20/$B$1</f>
        <v>4.8170731707317076</v>
      </c>
      <c r="D20" s="10">
        <f>'Interpreted Data'!T20</f>
        <v>283</v>
      </c>
      <c r="E20" s="11">
        <f>'Interpreted Data'!U20</f>
        <v>-0.36263393697894891</v>
      </c>
    </row>
    <row r="21" spans="1:5" x14ac:dyDescent="0.25">
      <c r="A21" t="str">
        <f>'Interpreted Data'!A21</f>
        <v>Q</v>
      </c>
      <c r="B21" t="str">
        <f>'Interpreted Data'!B21</f>
        <v>R</v>
      </c>
      <c r="C21" s="2">
        <f>'Interpreted Data'!J21/$B$1</f>
        <v>4.8214128337309923</v>
      </c>
      <c r="D21" s="10">
        <f>'Interpreted Data'!T21</f>
        <v>217</v>
      </c>
      <c r="E21" s="11">
        <f>'Interpreted Data'!U21</f>
        <v>-14.65135857182217</v>
      </c>
    </row>
    <row r="22" spans="1:5" x14ac:dyDescent="0.25">
      <c r="A22" t="str">
        <f>'Interpreted Data'!A22</f>
        <v>R</v>
      </c>
      <c r="B22" t="str">
        <f>'Interpreted Data'!B22</f>
        <v>S</v>
      </c>
      <c r="C22" s="2">
        <f>'Interpreted Data'!J22/$B$1</f>
        <v>12.104272884820316</v>
      </c>
      <c r="D22" s="10">
        <f>'Interpreted Data'!T22</f>
        <v>310</v>
      </c>
      <c r="E22" s="11">
        <f>'Interpreted Data'!U22</f>
        <v>5.782392322364041</v>
      </c>
    </row>
    <row r="23" spans="1:5" x14ac:dyDescent="0.25">
      <c r="A23" t="str">
        <f>'Interpreted Data'!A23</f>
        <v>S</v>
      </c>
      <c r="B23" t="str">
        <f>'Interpreted Data'!B23</f>
        <v>T</v>
      </c>
      <c r="C23" s="2">
        <f>'Interpreted Data'!J23/$B$1</f>
        <v>12.073170731707318</v>
      </c>
      <c r="D23" s="10">
        <f>'Interpreted Data'!T23</f>
        <v>238</v>
      </c>
      <c r="E23" s="11">
        <f>'Interpreted Data'!U23</f>
        <v>-2.5</v>
      </c>
    </row>
    <row r="24" spans="1:5" x14ac:dyDescent="0.25">
      <c r="A24" t="str">
        <f>'Interpreted Data'!A24</f>
        <v>T</v>
      </c>
      <c r="B24" t="str">
        <f>'Interpreted Data'!B24</f>
        <v>U</v>
      </c>
      <c r="C24" s="2">
        <f>'Interpreted Data'!J24/$B$1</f>
        <v>14.948012477833892</v>
      </c>
      <c r="D24" s="10">
        <f>'Interpreted Data'!T24</f>
        <v>148</v>
      </c>
      <c r="E24" s="11">
        <f>'Interpreted Data'!U24</f>
        <v>-1.987015780474414</v>
      </c>
    </row>
    <row r="25" spans="1:5" x14ac:dyDescent="0.25">
      <c r="A25" t="str">
        <f>'Interpreted Data'!A25</f>
        <v>U</v>
      </c>
      <c r="B25" t="str">
        <f>'Interpreted Data'!B25</f>
        <v/>
      </c>
      <c r="C25" s="2"/>
      <c r="D25" s="10"/>
      <c r="E25" s="11"/>
    </row>
    <row r="26" spans="1:5" x14ac:dyDescent="0.25">
      <c r="A26" t="str">
        <f>'Interpreted Data'!A26</f>
        <v>A1</v>
      </c>
      <c r="B26" t="str">
        <f>'Interpreted Data'!B26</f>
        <v>B1</v>
      </c>
      <c r="C26" s="2">
        <f>'Interpreted Data'!J26/$B$1</f>
        <v>9.2682926829268286</v>
      </c>
      <c r="D26" s="10">
        <f>'Interpreted Data'!T26</f>
        <v>146</v>
      </c>
      <c r="E26" s="11">
        <f>'Interpreted Data'!U26</f>
        <v>0</v>
      </c>
    </row>
    <row r="27" spans="1:5" x14ac:dyDescent="0.25">
      <c r="A27" t="str">
        <f>'Interpreted Data'!A27</f>
        <v>B1</v>
      </c>
      <c r="B27" t="str">
        <f>'Interpreted Data'!B27</f>
        <v>C1</v>
      </c>
      <c r="C27" s="2">
        <f>'Interpreted Data'!J27/$B$1</f>
        <v>11.432926829268293</v>
      </c>
      <c r="D27" s="10">
        <f>'Interpreted Data'!T27</f>
        <v>248</v>
      </c>
      <c r="E27" s="11" t="str">
        <f>'Interpreted Data'!U27</f>
        <v>-6</v>
      </c>
    </row>
    <row r="28" spans="1:5" x14ac:dyDescent="0.25">
      <c r="A28" t="str">
        <f>'Interpreted Data'!A28</f>
        <v>p. 47-50</v>
      </c>
      <c r="B28" t="str">
        <f>'Interpreted Data'!B28</f>
        <v>(=PDF p.51-54)</v>
      </c>
      <c r="C28" s="2"/>
      <c r="D28" s="10"/>
      <c r="E28" s="11"/>
    </row>
    <row r="29" spans="1:5" x14ac:dyDescent="0.25">
      <c r="A29" t="str">
        <f>'Interpreted Data'!A29</f>
        <v>5th August 1951</v>
      </c>
      <c r="B29" t="str">
        <f>'Interpreted Data'!B29</f>
        <v>SWILDONS HOLE SURVEY</v>
      </c>
      <c r="C29" s="2"/>
      <c r="D29" s="10"/>
      <c r="E29" s="11"/>
    </row>
    <row r="30" spans="1:5" x14ac:dyDescent="0.25">
      <c r="A30" t="str">
        <f>'Interpreted Data'!A30</f>
        <v>C1</v>
      </c>
      <c r="B30" t="str">
        <f>'Interpreted Data'!B30</f>
        <v>D1</v>
      </c>
      <c r="C30" s="2">
        <f>'Interpreted Data'!J30/$B$1</f>
        <v>3.5975609756097566</v>
      </c>
      <c r="D30" s="10">
        <f>'Interpreted Data'!T30</f>
        <v>265</v>
      </c>
      <c r="E30" s="11" t="str">
        <f>'Interpreted Data'!U30</f>
        <v>-24</v>
      </c>
    </row>
    <row r="31" spans="1:5" x14ac:dyDescent="0.25">
      <c r="A31" t="str">
        <f>'Interpreted Data'!A31</f>
        <v>D1</v>
      </c>
      <c r="B31" t="str">
        <f>'Interpreted Data'!B31</f>
        <v>A</v>
      </c>
      <c r="C31" s="2">
        <f>'Interpreted Data'!J31/$B$1</f>
        <v>11.24140394705098</v>
      </c>
      <c r="D31" s="10">
        <f>'Interpreted Data'!T31</f>
        <v>251</v>
      </c>
      <c r="E31" s="11">
        <f>'Interpreted Data'!U31</f>
        <v>-3.576334374997352</v>
      </c>
    </row>
    <row r="32" spans="1:5" x14ac:dyDescent="0.25">
      <c r="A32" t="str">
        <f>'Interpreted Data'!A32</f>
        <v>U</v>
      </c>
      <c r="B32" t="str">
        <f>'Interpreted Data'!B32</f>
        <v>V</v>
      </c>
      <c r="C32" s="2">
        <f>'Interpreted Data'!J32/$B$1</f>
        <v>8.8414634146341466</v>
      </c>
      <c r="D32" s="10">
        <f>'Interpreted Data'!T32</f>
        <v>186.5</v>
      </c>
      <c r="E32" s="11">
        <f>'Interpreted Data'!U32</f>
        <v>0</v>
      </c>
    </row>
    <row r="33" spans="1:5" x14ac:dyDescent="0.25">
      <c r="A33" t="str">
        <f>'Interpreted Data'!A33</f>
        <v>V</v>
      </c>
      <c r="B33" t="str">
        <f>'Interpreted Data'!B33</f>
        <v>W</v>
      </c>
      <c r="C33" s="2">
        <f>'Interpreted Data'!J33/$B$1</f>
        <v>10.304878048780488</v>
      </c>
      <c r="D33" s="10">
        <f>'Interpreted Data'!T33</f>
        <v>141.5</v>
      </c>
      <c r="E33" s="11">
        <f>'Interpreted Data'!U33</f>
        <v>0</v>
      </c>
    </row>
    <row r="34" spans="1:5" x14ac:dyDescent="0.25">
      <c r="A34" t="str">
        <f>'Interpreted Data'!A34</f>
        <v>W</v>
      </c>
      <c r="B34" t="str">
        <f>'Interpreted Data'!B34</f>
        <v>X</v>
      </c>
      <c r="C34" s="2">
        <f>'Interpreted Data'!J34/$B$1</f>
        <v>14.329268292682928</v>
      </c>
      <c r="D34" s="10">
        <f>'Interpreted Data'!T34</f>
        <v>132.16666666666666</v>
      </c>
      <c r="E34" s="11">
        <f>'Interpreted Data'!U34</f>
        <v>0</v>
      </c>
    </row>
    <row r="35" spans="1:5" x14ac:dyDescent="0.25">
      <c r="A35" t="str">
        <f>'Interpreted Data'!A35</f>
        <v>X</v>
      </c>
      <c r="B35" t="str">
        <f>'Interpreted Data'!B35</f>
        <v>Y</v>
      </c>
      <c r="C35" s="2">
        <f>'Interpreted Data'!J35/$B$1</f>
        <v>25.458211609813009</v>
      </c>
      <c r="D35" s="10">
        <f>'Interpreted Data'!T35</f>
        <v>174</v>
      </c>
      <c r="E35" s="11">
        <f>'Interpreted Data'!U35</f>
        <v>-0.4803126484196561</v>
      </c>
    </row>
    <row r="36" spans="1:5" x14ac:dyDescent="0.25">
      <c r="A36" t="str">
        <f>'Interpreted Data'!A36</f>
        <v>Y</v>
      </c>
      <c r="B36" t="str">
        <f>'Interpreted Data'!B36</f>
        <v/>
      </c>
      <c r="C36" s="2"/>
      <c r="D36" s="10"/>
      <c r="E36" s="11"/>
    </row>
    <row r="37" spans="1:5" x14ac:dyDescent="0.25">
      <c r="A37" t="str">
        <f>'Interpreted Data'!A37</f>
        <v>T</v>
      </c>
      <c r="B37" t="str">
        <f>'Interpreted Data'!B37</f>
        <v>Ri</v>
      </c>
      <c r="C37" s="2">
        <f>'Interpreted Data'!J37/$B$1</f>
        <v>6.7378048780487809</v>
      </c>
      <c r="D37" s="10">
        <f>'Interpreted Data'!T37</f>
        <v>19</v>
      </c>
      <c r="E37" s="11" t="str">
        <f>'Interpreted Data'!U37</f>
        <v>20</v>
      </c>
    </row>
    <row r="38" spans="1:5" x14ac:dyDescent="0.25">
      <c r="A38" t="str">
        <f>'Interpreted Data'!A38</f>
        <v>Ri</v>
      </c>
      <c r="B38" t="str">
        <f>'Interpreted Data'!B38</f>
        <v>Rii</v>
      </c>
      <c r="C38" s="2">
        <f>'Interpreted Data'!J38/$B$1</f>
        <v>14.02439024390244</v>
      </c>
      <c r="D38" s="10">
        <f>'Interpreted Data'!T38</f>
        <v>315</v>
      </c>
      <c r="E38" s="11" t="str">
        <f>'Interpreted Data'!U38</f>
        <v>-3</v>
      </c>
    </row>
    <row r="39" spans="1:5" x14ac:dyDescent="0.25">
      <c r="A39" t="str">
        <f>'Interpreted Data'!A39</f>
        <v>Rii</v>
      </c>
      <c r="B39" t="str">
        <f>'Interpreted Data'!B39</f>
        <v>Riii</v>
      </c>
      <c r="C39" s="2">
        <f>'Interpreted Data'!J39/$B$1</f>
        <v>9.7560975609756095</v>
      </c>
      <c r="D39" s="10">
        <f>'Interpreted Data'!T39</f>
        <v>348</v>
      </c>
      <c r="E39" s="11" t="str">
        <f>'Interpreted Data'!U39</f>
        <v>2</v>
      </c>
    </row>
    <row r="40" spans="1:5" x14ac:dyDescent="0.25">
      <c r="A40" t="str">
        <f>'Interpreted Data'!A40</f>
        <v>Riii</v>
      </c>
      <c r="B40" t="str">
        <f>'Interpreted Data'!B40</f>
        <v>Riv</v>
      </c>
      <c r="C40" s="2">
        <f>'Interpreted Data'!J40/$B$1</f>
        <v>8.4120378638710669</v>
      </c>
      <c r="D40" s="10">
        <f>'Interpreted Data'!T40</f>
        <v>284</v>
      </c>
      <c r="E40" s="11">
        <f>'Interpreted Data'!U40</f>
        <v>-8.3356732078743381</v>
      </c>
    </row>
    <row r="41" spans="1:5" x14ac:dyDescent="0.25">
      <c r="A41" t="str">
        <f>CONCATENATE('Interpreted Data'!A41,"2")</f>
        <v>a2</v>
      </c>
      <c r="B41" t="str">
        <f>CONCATENATE('Interpreted Data'!B41,"2")</f>
        <v>b2</v>
      </c>
      <c r="C41" s="2">
        <f>'Interpreted Data'!J41/$B$1</f>
        <v>13.109756097560977</v>
      </c>
      <c r="D41" s="10">
        <f>'Interpreted Data'!T41</f>
        <v>83</v>
      </c>
      <c r="E41" s="11" t="str">
        <f>'Interpreted Data'!U41</f>
        <v>15</v>
      </c>
    </row>
    <row r="42" spans="1:5" x14ac:dyDescent="0.25">
      <c r="A42" t="str">
        <f>CONCATENATE('Interpreted Data'!A42,"2")</f>
        <v>b2</v>
      </c>
      <c r="B42" t="str">
        <f>CONCATENATE('Interpreted Data'!B42,"2")</f>
        <v>c2</v>
      </c>
      <c r="C42" s="2">
        <f>'Interpreted Data'!J42/$B$1</f>
        <v>6.3109756097560981</v>
      </c>
      <c r="D42" s="10">
        <f>'Interpreted Data'!T42</f>
        <v>6</v>
      </c>
      <c r="E42" s="11" t="str">
        <f>'Interpreted Data'!U42</f>
        <v>8</v>
      </c>
    </row>
    <row r="43" spans="1:5" x14ac:dyDescent="0.25">
      <c r="A43" t="str">
        <f>CONCATENATE('Interpreted Data'!A43,"2")</f>
        <v>c2</v>
      </c>
      <c r="B43" t="str">
        <f>CONCATENATE('Interpreted Data'!B43,"2")</f>
        <v>d2</v>
      </c>
      <c r="C43" s="2">
        <f>'Interpreted Data'!J43/$B$1</f>
        <v>3.4451219512195128</v>
      </c>
      <c r="D43" s="10">
        <f>'Interpreted Data'!T43</f>
        <v>42</v>
      </c>
      <c r="E43" s="11" t="str">
        <f>'Interpreted Data'!U43</f>
        <v>10</v>
      </c>
    </row>
    <row r="44" spans="1:5" x14ac:dyDescent="0.25">
      <c r="A44" t="str">
        <f>CONCATENATE('Interpreted Data'!A44,"2")</f>
        <v>d2</v>
      </c>
      <c r="B44" t="str">
        <f>CONCATENATE('Interpreted Data'!B44,"2")</f>
        <v>e2</v>
      </c>
      <c r="C44" s="2">
        <f>'Interpreted Data'!J44/$B$1</f>
        <v>5.7621951219512191</v>
      </c>
      <c r="D44" s="10">
        <f>'Interpreted Data'!T44</f>
        <v>139</v>
      </c>
      <c r="E44" s="11">
        <f>'Interpreted Data'!U44</f>
        <v>0</v>
      </c>
    </row>
    <row r="45" spans="1:5" x14ac:dyDescent="0.25">
      <c r="A45" t="str">
        <f>CONCATENATE('Interpreted Data'!A45,"2")</f>
        <v>d2</v>
      </c>
      <c r="B45" t="str">
        <f>CONCATENATE('Interpreted Data'!B45,"2")</f>
        <v>f2</v>
      </c>
      <c r="C45" s="2">
        <f>'Interpreted Data'!J45/$B$1</f>
        <v>3.1402439024390247</v>
      </c>
      <c r="D45" s="10">
        <f>'Interpreted Data'!T45</f>
        <v>245</v>
      </c>
      <c r="E45" s="11" t="str">
        <f>'Interpreted Data'!U45</f>
        <v>60</v>
      </c>
    </row>
    <row r="46" spans="1:5" x14ac:dyDescent="0.25">
      <c r="A46" t="str">
        <f>CONCATENATE('Interpreted Data'!A46,"2")</f>
        <v>f2</v>
      </c>
      <c r="B46" t="str">
        <f>CONCATENATE('Interpreted Data'!B46,"2")</f>
        <v>g2</v>
      </c>
      <c r="C46" s="2">
        <f>'Interpreted Data'!J46/$B$1</f>
        <v>1.8902439024390245</v>
      </c>
      <c r="D46" s="10">
        <f>'Interpreted Data'!T46</f>
        <v>319</v>
      </c>
      <c r="E46" s="11">
        <f>'Interpreted Data'!U46</f>
        <v>0</v>
      </c>
    </row>
    <row r="47" spans="1:5" x14ac:dyDescent="0.25">
      <c r="A47" t="str">
        <f>CONCATENATE('Interpreted Data'!A47,"2")</f>
        <v>g2</v>
      </c>
      <c r="B47" t="str">
        <f>CONCATENATE('Interpreted Data'!B47,"2")</f>
        <v>h2</v>
      </c>
      <c r="C47" s="2">
        <f>'Interpreted Data'!J47/$B$1</f>
        <v>4.8780487804878048</v>
      </c>
      <c r="D47" s="10">
        <f>'Interpreted Data'!T47</f>
        <v>237</v>
      </c>
      <c r="E47" s="11" t="str">
        <f>'Interpreted Data'!U47</f>
        <v>65</v>
      </c>
    </row>
    <row r="48" spans="1:5" x14ac:dyDescent="0.25">
      <c r="A48" t="str">
        <f>CONCATENATE('Interpreted Data'!A48,"2")</f>
        <v>h2</v>
      </c>
      <c r="B48" t="str">
        <f>CONCATENATE('Interpreted Data'!B48,"2")</f>
        <v>i2</v>
      </c>
      <c r="C48" s="2">
        <f>'Interpreted Data'!J48/$B$1</f>
        <v>14.02439024390244</v>
      </c>
      <c r="D48" s="10">
        <f>'Interpreted Data'!T48</f>
        <v>329</v>
      </c>
      <c r="E48" s="11">
        <f>'Interpreted Data'!U48</f>
        <v>0</v>
      </c>
    </row>
    <row r="49" spans="1:5" x14ac:dyDescent="0.25">
      <c r="A49" t="str">
        <f>'Interpreted Data'!A49</f>
        <v>M</v>
      </c>
      <c r="B49">
        <f>'Interpreted Data'!B49</f>
        <v>1</v>
      </c>
      <c r="C49" s="2">
        <f>'Interpreted Data'!J49/$B$1</f>
        <v>3.5670731707317072</v>
      </c>
      <c r="D49" s="10">
        <f>'Interpreted Data'!T49</f>
        <v>325</v>
      </c>
      <c r="E49" s="11" t="str">
        <f>'Interpreted Data'!U49</f>
        <v>-20</v>
      </c>
    </row>
    <row r="50" spans="1:5" x14ac:dyDescent="0.25">
      <c r="A50">
        <f>'Interpreted Data'!A50</f>
        <v>1</v>
      </c>
      <c r="B50">
        <f>'Interpreted Data'!B50</f>
        <v>2</v>
      </c>
      <c r="C50" s="2">
        <f>'Interpreted Data'!J50/$B$1</f>
        <v>8.6890243902439028</v>
      </c>
      <c r="D50" s="10">
        <f>'Interpreted Data'!T50</f>
        <v>35</v>
      </c>
      <c r="E50" s="11" t="str">
        <f>'Interpreted Data'!U50</f>
        <v>85</v>
      </c>
    </row>
    <row r="51" spans="1:5" x14ac:dyDescent="0.25">
      <c r="A51">
        <f>'Interpreted Data'!A51</f>
        <v>2</v>
      </c>
      <c r="B51">
        <f>'Interpreted Data'!B51</f>
        <v>3</v>
      </c>
      <c r="C51" s="2">
        <f>'Interpreted Data'!J51/$B$1</f>
        <v>6.0670731707317076</v>
      </c>
      <c r="D51" s="10">
        <f>'Interpreted Data'!T51</f>
        <v>50</v>
      </c>
      <c r="E51" s="11" t="str">
        <f>'Interpreted Data'!U51</f>
        <v>16</v>
      </c>
    </row>
    <row r="52" spans="1:5" x14ac:dyDescent="0.25">
      <c r="A52">
        <f>'Interpreted Data'!A52</f>
        <v>3</v>
      </c>
      <c r="B52">
        <f>'Interpreted Data'!B52</f>
        <v>4</v>
      </c>
      <c r="C52" s="2">
        <f>'Interpreted Data'!J52/$B$1</f>
        <v>4.8780487804878048</v>
      </c>
      <c r="D52" s="10">
        <f>'Interpreted Data'!T52</f>
        <v>122</v>
      </c>
      <c r="E52" s="11" t="str">
        <f>'Interpreted Data'!U52</f>
        <v>7</v>
      </c>
    </row>
    <row r="53" spans="1:5" x14ac:dyDescent="0.25">
      <c r="A53">
        <f>'Interpreted Data'!A53</f>
        <v>4</v>
      </c>
      <c r="B53">
        <f>'Interpreted Data'!B53</f>
        <v>5</v>
      </c>
      <c r="C53" s="2">
        <f>'Interpreted Data'!J53/$B$1</f>
        <v>5.4878048780487809</v>
      </c>
      <c r="D53" s="10">
        <f>'Interpreted Data'!T53</f>
        <v>59</v>
      </c>
      <c r="E53" s="11" t="str">
        <f>'Interpreted Data'!U53</f>
        <v>15</v>
      </c>
    </row>
    <row r="54" spans="1:5" x14ac:dyDescent="0.25">
      <c r="A54">
        <f>'Interpreted Data'!A54</f>
        <v>5</v>
      </c>
      <c r="B54">
        <f>'Interpreted Data'!B54</f>
        <v>6</v>
      </c>
      <c r="C54" s="2">
        <f>'Interpreted Data'!J54/$B$1</f>
        <v>2.8963414634146343</v>
      </c>
      <c r="D54" s="10">
        <f>'Interpreted Data'!T54</f>
        <v>17</v>
      </c>
      <c r="E54" s="11" t="str">
        <f>'Interpreted Data'!U54</f>
        <v>10</v>
      </c>
    </row>
    <row r="55" spans="1:5" x14ac:dyDescent="0.25">
      <c r="A55">
        <f>'Interpreted Data'!A55</f>
        <v>6</v>
      </c>
      <c r="B55">
        <f>'Interpreted Data'!B55</f>
        <v>7</v>
      </c>
      <c r="C55" s="2">
        <f>'Interpreted Data'!J55/$B$1</f>
        <v>4.1158536585365857</v>
      </c>
      <c r="D55" s="10">
        <f>'Interpreted Data'!T55</f>
        <v>46</v>
      </c>
      <c r="E55" s="11" t="str">
        <f>'Interpreted Data'!U55</f>
        <v>17</v>
      </c>
    </row>
    <row r="56" spans="1:5" x14ac:dyDescent="0.25">
      <c r="A56">
        <f>'Interpreted Data'!A56</f>
        <v>7</v>
      </c>
      <c r="B56">
        <f>'Interpreted Data'!B56</f>
        <v>8</v>
      </c>
      <c r="C56" s="2">
        <f>'Interpreted Data'!J56/$B$1</f>
        <v>7.3780487804878048</v>
      </c>
      <c r="D56" s="10">
        <f>'Interpreted Data'!T56</f>
        <v>74</v>
      </c>
      <c r="E56" s="11" t="str">
        <f>'Interpreted Data'!U56</f>
        <v>13</v>
      </c>
    </row>
    <row r="57" spans="1:5" x14ac:dyDescent="0.25">
      <c r="A57">
        <f>'Interpreted Data'!A57</f>
        <v>8</v>
      </c>
      <c r="B57">
        <f>'Interpreted Data'!B57</f>
        <v>9</v>
      </c>
      <c r="C57" s="2">
        <f>'Interpreted Data'!J57/$B$1</f>
        <v>2.6829268292682928</v>
      </c>
      <c r="D57" s="10">
        <f>'Interpreted Data'!T57</f>
        <v>137</v>
      </c>
      <c r="E57" s="11" t="str">
        <f>'Interpreted Data'!U57</f>
        <v>10</v>
      </c>
    </row>
    <row r="58" spans="1:5" x14ac:dyDescent="0.25">
      <c r="A58">
        <f>'Interpreted Data'!A58</f>
        <v>9</v>
      </c>
      <c r="B58">
        <f>'Interpreted Data'!B58</f>
        <v>10</v>
      </c>
      <c r="C58" s="2">
        <f>'Interpreted Data'!J58/$B$1</f>
        <v>6.036585365853659</v>
      </c>
      <c r="D58" s="10">
        <f>'Interpreted Data'!T58</f>
        <v>89</v>
      </c>
      <c r="E58" s="11" t="str">
        <f>'Interpreted Data'!U58</f>
        <v>15</v>
      </c>
    </row>
    <row r="59" spans="1:5" x14ac:dyDescent="0.25">
      <c r="A59">
        <f>'Interpreted Data'!A59</f>
        <v>10</v>
      </c>
      <c r="B59">
        <f>'Interpreted Data'!B59</f>
        <v>11</v>
      </c>
      <c r="C59" s="2">
        <f>'Interpreted Data'!J59/$B$1</f>
        <v>2.7439024390243905</v>
      </c>
      <c r="D59" s="10">
        <f>'Interpreted Data'!T59</f>
        <v>26</v>
      </c>
      <c r="E59" s="11" t="str">
        <f>'Interpreted Data'!U59</f>
        <v>12</v>
      </c>
    </row>
    <row r="60" spans="1:5" x14ac:dyDescent="0.25">
      <c r="A60">
        <f>'Interpreted Data'!A60</f>
        <v>11</v>
      </c>
      <c r="B60">
        <f>'Interpreted Data'!B60</f>
        <v>12</v>
      </c>
      <c r="C60" s="2">
        <f>'Interpreted Data'!J60/$B$1</f>
        <v>3.2621951219512195</v>
      </c>
      <c r="D60" s="10">
        <f>'Interpreted Data'!T60</f>
        <v>78</v>
      </c>
      <c r="E60" s="11" t="str">
        <f>'Interpreted Data'!U60</f>
        <v>10</v>
      </c>
    </row>
    <row r="61" spans="1:5" x14ac:dyDescent="0.25">
      <c r="A61">
        <f>'Interpreted Data'!A61</f>
        <v>12</v>
      </c>
      <c r="B61">
        <f>'Interpreted Data'!B61</f>
        <v>13</v>
      </c>
      <c r="C61" s="2">
        <f>'Interpreted Data'!J61/$B$1</f>
        <v>2.6622331092336862</v>
      </c>
      <c r="D61" s="10">
        <f>'Interpreted Data'!T61</f>
        <v>25</v>
      </c>
      <c r="E61" s="11">
        <f>'Interpreted Data'!U61</f>
        <v>-13.240519915187205</v>
      </c>
    </row>
    <row r="62" spans="1:5" x14ac:dyDescent="0.25">
      <c r="A62">
        <f>'Interpreted Data'!A62</f>
        <v>13</v>
      </c>
      <c r="B62">
        <f>'Interpreted Data'!B62</f>
        <v>14</v>
      </c>
      <c r="C62" s="2">
        <f>'Interpreted Data'!J62/$B$1</f>
        <v>3.7500000000000004</v>
      </c>
      <c r="D62" s="10">
        <f>'Interpreted Data'!T62</f>
        <v>85</v>
      </c>
      <c r="E62" s="11" t="str">
        <f>'Interpreted Data'!U62</f>
        <v>9</v>
      </c>
    </row>
    <row r="63" spans="1:5" x14ac:dyDescent="0.25">
      <c r="A63">
        <f>'Interpreted Data'!A63</f>
        <v>14</v>
      </c>
      <c r="B63">
        <f>'Interpreted Data'!B63</f>
        <v>15</v>
      </c>
      <c r="C63" s="2">
        <f>'Interpreted Data'!J63/$B$1</f>
        <v>3.5365853658536586</v>
      </c>
      <c r="D63" s="10">
        <f>'Interpreted Data'!T63</f>
        <v>63</v>
      </c>
      <c r="E63" s="11" t="str">
        <f>'Interpreted Data'!U63</f>
        <v>10</v>
      </c>
    </row>
    <row r="64" spans="1:5" x14ac:dyDescent="0.25">
      <c r="A64">
        <f>'Interpreted Data'!A64</f>
        <v>15</v>
      </c>
      <c r="B64">
        <f>'Interpreted Data'!B64</f>
        <v>16</v>
      </c>
      <c r="C64" s="2">
        <f>'Interpreted Data'!J64/$B$1</f>
        <v>3.8109756097560976</v>
      </c>
      <c r="D64" s="10">
        <f>'Interpreted Data'!T64</f>
        <v>125</v>
      </c>
      <c r="E64" s="11">
        <f>'Interpreted Data'!U64</f>
        <v>-16.26020470831196</v>
      </c>
    </row>
    <row r="65" spans="1:5" x14ac:dyDescent="0.25">
      <c r="A65">
        <f>'Interpreted Data'!A65</f>
        <v>16</v>
      </c>
      <c r="B65">
        <f>'Interpreted Data'!B65</f>
        <v>17</v>
      </c>
      <c r="C65" s="2">
        <f>'Interpreted Data'!J65/$B$1</f>
        <v>4.4207317073170733</v>
      </c>
      <c r="D65" s="10">
        <f>'Interpreted Data'!T65</f>
        <v>85</v>
      </c>
      <c r="E65" s="11" t="str">
        <f>'Interpreted Data'!U65</f>
        <v>6</v>
      </c>
    </row>
    <row r="66" spans="1:5" x14ac:dyDescent="0.25">
      <c r="A66">
        <f>'Interpreted Data'!A66</f>
        <v>17</v>
      </c>
      <c r="B66">
        <f>'Interpreted Data'!B66</f>
        <v>18</v>
      </c>
      <c r="C66" s="2">
        <f>'Interpreted Data'!J66/$B$1</f>
        <v>3.8414634146341466</v>
      </c>
      <c r="D66" s="10">
        <f>'Interpreted Data'!T66</f>
        <v>22</v>
      </c>
      <c r="E66" s="11" t="str">
        <f>'Interpreted Data'!U66</f>
        <v>6</v>
      </c>
    </row>
    <row r="67" spans="1:5" x14ac:dyDescent="0.25">
      <c r="A67">
        <f>'Interpreted Data'!A67</f>
        <v>18</v>
      </c>
      <c r="B67">
        <f>'Interpreted Data'!B67</f>
        <v>19</v>
      </c>
      <c r="C67" s="2">
        <f>'Interpreted Data'!J67/$B$1</f>
        <v>3.3536585365853662</v>
      </c>
      <c r="D67" s="10" t="str">
        <f>'Interpreted Data'!T67</f>
        <v>-</v>
      </c>
      <c r="E67" s="11" t="str">
        <f>'Interpreted Data'!U67</f>
        <v>-90</v>
      </c>
    </row>
    <row r="68" spans="1:5" x14ac:dyDescent="0.25">
      <c r="A68" t="str">
        <f>'Interpreted Data'!A68</f>
        <v/>
      </c>
      <c r="B68" t="str">
        <f>'Interpreted Data'!B68</f>
        <v/>
      </c>
      <c r="C68" s="2"/>
      <c r="D68" s="10"/>
      <c r="E68" s="11"/>
    </row>
    <row r="69" spans="1:5" x14ac:dyDescent="0.25">
      <c r="A69" t="str">
        <f>'Interpreted Data'!A69</f>
        <v>p. 51-52</v>
      </c>
      <c r="B69" t="str">
        <f>'Interpreted Data'!B69</f>
        <v>(=PDF p.55-56)</v>
      </c>
      <c r="C69" s="2"/>
      <c r="D69" s="10"/>
      <c r="E69" s="11"/>
    </row>
    <row r="70" spans="1:5" x14ac:dyDescent="0.25">
      <c r="A70" t="str">
        <f>'Interpreted Data'!A70</f>
        <v>30th March 1952</v>
      </c>
      <c r="B70" t="str">
        <f>'Interpreted Data'!B70</f>
        <v/>
      </c>
      <c r="C70" s="2"/>
      <c r="D70" s="10"/>
      <c r="E70" s="11"/>
    </row>
    <row r="71" spans="1:5" x14ac:dyDescent="0.25">
      <c r="A71" t="str">
        <f>'Interpreted Data'!A71</f>
        <v>B1</v>
      </c>
      <c r="B71" t="str">
        <f>'Interpreted Data'!B71</f>
        <v>AA</v>
      </c>
      <c r="C71" s="2">
        <f>'Interpreted Data'!J71/$B$1</f>
        <v>23.810975609756099</v>
      </c>
      <c r="D71" s="10">
        <f>'Interpreted Data'!T71</f>
        <v>113.66666666666667</v>
      </c>
      <c r="E71" s="11">
        <f>'Interpreted Data'!U71</f>
        <v>9.5</v>
      </c>
    </row>
    <row r="72" spans="1:5" x14ac:dyDescent="0.25">
      <c r="A72" t="str">
        <f>'Interpreted Data'!A72</f>
        <v>AA</v>
      </c>
      <c r="B72" t="str">
        <f>'Interpreted Data'!B72</f>
        <v>AB</v>
      </c>
      <c r="C72" s="2">
        <f>'Interpreted Data'!J72/$B$1</f>
        <v>7.3475609756097571</v>
      </c>
      <c r="D72" s="10">
        <f>'Interpreted Data'!T72</f>
        <v>115.5</v>
      </c>
      <c r="E72" s="11">
        <f>'Interpreted Data'!U72</f>
        <v>-5.5</v>
      </c>
    </row>
    <row r="73" spans="1:5" x14ac:dyDescent="0.25">
      <c r="A73" t="str">
        <f>'Interpreted Data'!A73</f>
        <v>AB</v>
      </c>
      <c r="B73" t="str">
        <f>'Interpreted Data'!B73</f>
        <v>AC</v>
      </c>
      <c r="C73" s="2">
        <f>'Interpreted Data'!J73/$B$1</f>
        <v>8.9024390243902438</v>
      </c>
      <c r="D73" s="10">
        <f>'Interpreted Data'!T73</f>
        <v>97.833333333333329</v>
      </c>
      <c r="E73" s="11">
        <f>'Interpreted Data'!U73</f>
        <v>0.5</v>
      </c>
    </row>
    <row r="74" spans="1:5" x14ac:dyDescent="0.25">
      <c r="A74" t="str">
        <f>'Interpreted Data'!A74</f>
        <v>AC</v>
      </c>
      <c r="B74" t="str">
        <f>'Interpreted Data'!B74</f>
        <v>AD</v>
      </c>
      <c r="C74" s="2">
        <f>'Interpreted Data'!J74/$B$1</f>
        <v>3.2317073170731709</v>
      </c>
      <c r="D74" s="10">
        <f>'Interpreted Data'!T74</f>
        <v>121</v>
      </c>
      <c r="E74" s="11">
        <f>'Interpreted Data'!U74</f>
        <v>22.5</v>
      </c>
    </row>
    <row r="75" spans="1:5" x14ac:dyDescent="0.25">
      <c r="A75" t="str">
        <f>'Interpreted Data'!A75</f>
        <v>AD</v>
      </c>
      <c r="B75" t="str">
        <f>'Interpreted Data'!B75</f>
        <v>AE</v>
      </c>
      <c r="C75" s="2">
        <f>'Interpreted Data'!J75/$B$1</f>
        <v>14.725609756097562</v>
      </c>
      <c r="D75" s="10">
        <f>'Interpreted Data'!T75</f>
        <v>110</v>
      </c>
      <c r="E75" s="11">
        <f>'Interpreted Data'!U75</f>
        <v>9.6666666600000006</v>
      </c>
    </row>
    <row r="76" spans="1:5" x14ac:dyDescent="0.25">
      <c r="A76" t="str">
        <f>'Interpreted Data'!A76</f>
        <v>AE</v>
      </c>
      <c r="B76" t="str">
        <f>'Interpreted Data'!B76</f>
        <v>AF</v>
      </c>
      <c r="C76" s="2">
        <f>'Interpreted Data'!J76/$B$1</f>
        <v>5.1829268292682933</v>
      </c>
      <c r="D76" s="10">
        <f>'Interpreted Data'!T76</f>
        <v>50.5</v>
      </c>
      <c r="E76" s="11">
        <f>'Interpreted Data'!U76</f>
        <v>10.33333333</v>
      </c>
    </row>
    <row r="77" spans="1:5" x14ac:dyDescent="0.25">
      <c r="A77" t="str">
        <f>'Interpreted Data'!A77</f>
        <v>AF</v>
      </c>
      <c r="B77" t="str">
        <f>'Interpreted Data'!B77</f>
        <v>AG</v>
      </c>
      <c r="C77" s="2">
        <f>'Interpreted Data'!J77/$B$1</f>
        <v>6.1585365853658542</v>
      </c>
      <c r="D77" s="10">
        <f>'Interpreted Data'!T77</f>
        <v>133</v>
      </c>
      <c r="E77" s="11">
        <f>'Interpreted Data'!U77</f>
        <v>3</v>
      </c>
    </row>
    <row r="78" spans="1:5" x14ac:dyDescent="0.25">
      <c r="A78" t="str">
        <f>'Interpreted Data'!A78</f>
        <v>AG</v>
      </c>
      <c r="B78" t="str">
        <f>'Interpreted Data'!B78</f>
        <v>AH</v>
      </c>
      <c r="C78" s="2">
        <f>'Interpreted Data'!J78/$B$1</f>
        <v>3.0792682926829271</v>
      </c>
      <c r="D78" s="10">
        <f>'Interpreted Data'!T78</f>
        <v>192.83333333333334</v>
      </c>
      <c r="E78" s="11">
        <f>'Interpreted Data'!U78</f>
        <v>11.33333333</v>
      </c>
    </row>
    <row r="79" spans="1:5" x14ac:dyDescent="0.25">
      <c r="A79" t="str">
        <f>'Interpreted Data'!A79</f>
        <v>AH</v>
      </c>
      <c r="B79" t="str">
        <f>'Interpreted Data'!B79</f>
        <v>AI</v>
      </c>
      <c r="C79" s="2">
        <f>'Interpreted Data'!J79/$B$1</f>
        <v>12.682926829268293</v>
      </c>
      <c r="D79" s="10">
        <f>'Interpreted Data'!T79</f>
        <v>112.16666666666667</v>
      </c>
      <c r="E79" s="11">
        <f>'Interpreted Data'!U79</f>
        <v>4.8333333300000003</v>
      </c>
    </row>
    <row r="80" spans="1:5" x14ac:dyDescent="0.25">
      <c r="A80" t="str">
        <f>'Interpreted Data'!A80</f>
        <v>AI</v>
      </c>
      <c r="B80" t="str">
        <f>'Interpreted Data'!B80</f>
        <v>AJ</v>
      </c>
      <c r="C80" s="2">
        <f>'Interpreted Data'!J80/$B$1</f>
        <v>10.426829268292684</v>
      </c>
      <c r="D80" s="10">
        <f>'Interpreted Data'!T80</f>
        <v>138.5</v>
      </c>
      <c r="E80" s="11">
        <f>'Interpreted Data'!U80</f>
        <v>6.5</v>
      </c>
    </row>
    <row r="81" spans="1:5" x14ac:dyDescent="0.25">
      <c r="A81" t="str">
        <f>'Interpreted Data'!A81</f>
        <v>AJ</v>
      </c>
      <c r="B81" t="str">
        <f>'Interpreted Data'!B81</f>
        <v>AK</v>
      </c>
      <c r="C81" s="2">
        <f>'Interpreted Data'!J81/$B$1</f>
        <v>9.6951219512195124</v>
      </c>
      <c r="D81" s="10">
        <f>'Interpreted Data'!T81</f>
        <v>106</v>
      </c>
      <c r="E81" s="11">
        <f>'Interpreted Data'!U81</f>
        <v>14.5</v>
      </c>
    </row>
    <row r="82" spans="1:5" x14ac:dyDescent="0.25">
      <c r="A82" t="str">
        <f>'Interpreted Data'!A82</f>
        <v>AK</v>
      </c>
      <c r="B82" t="str">
        <f>'Interpreted Data'!B82</f>
        <v>AL</v>
      </c>
      <c r="C82" s="2">
        <f>'Interpreted Data'!J82/$B$1</f>
        <v>3.4451219512195128</v>
      </c>
      <c r="D82" s="10">
        <f>'Interpreted Data'!T82</f>
        <v>44</v>
      </c>
      <c r="E82" s="11">
        <f>'Interpreted Data'!U82</f>
        <v>-0.5</v>
      </c>
    </row>
    <row r="83" spans="1:5" x14ac:dyDescent="0.25">
      <c r="A83" t="str">
        <f>'Interpreted Data'!A83</f>
        <v>AL</v>
      </c>
      <c r="B83" t="str">
        <f>'Interpreted Data'!B83</f>
        <v/>
      </c>
      <c r="C83" s="2"/>
      <c r="D83" s="10"/>
      <c r="E83" s="11"/>
    </row>
    <row r="84" spans="1:5" x14ac:dyDescent="0.25">
      <c r="A84" t="str">
        <f>'Interpreted Data'!A84</f>
        <v/>
      </c>
      <c r="B84" t="str">
        <f>'Interpreted Data'!B84</f>
        <v/>
      </c>
      <c r="C84" s="2"/>
      <c r="D84" s="10"/>
      <c r="E84" s="11"/>
    </row>
    <row r="85" spans="1:5" x14ac:dyDescent="0.25">
      <c r="A85" t="str">
        <f>'Interpreted Data'!A85</f>
        <v>2nd April 1952</v>
      </c>
      <c r="B85" t="str">
        <f>'Interpreted Data'!B85</f>
        <v>Cono &amp; Roy Blewett</v>
      </c>
      <c r="C85" s="2"/>
      <c r="D85" s="10"/>
      <c r="E85" s="11"/>
    </row>
    <row r="86" spans="1:5" x14ac:dyDescent="0.25">
      <c r="A86" t="str">
        <f>'Interpreted Data'!A86</f>
        <v>AL</v>
      </c>
      <c r="B86" t="str">
        <f>'Interpreted Data'!B86</f>
        <v>AN</v>
      </c>
      <c r="C86" s="2">
        <f>'Interpreted Data'!J86/$B$1</f>
        <v>3.9024390243902443</v>
      </c>
      <c r="D86" s="10">
        <f>'Interpreted Data'!T86</f>
        <v>306.66666666666669</v>
      </c>
      <c r="E86" s="11">
        <f>'Interpreted Data'!U86</f>
        <v>-4.5</v>
      </c>
    </row>
    <row r="87" spans="1:5" x14ac:dyDescent="0.25">
      <c r="A87" t="str">
        <f>'Interpreted Data'!A87</f>
        <v>AN</v>
      </c>
      <c r="B87" t="str">
        <f>'Interpreted Data'!B87</f>
        <v>AO</v>
      </c>
      <c r="C87" s="2">
        <f>'Interpreted Data'!J87/$B$1</f>
        <v>5.1219512195121952</v>
      </c>
      <c r="D87" s="10">
        <f>'Interpreted Data'!T87</f>
        <v>25.333333333333332</v>
      </c>
      <c r="E87" s="11">
        <f>'Interpreted Data'!U87</f>
        <v>26</v>
      </c>
    </row>
    <row r="88" spans="1:5" x14ac:dyDescent="0.25">
      <c r="A88" t="str">
        <f>'Interpreted Data'!A88</f>
        <v>AO</v>
      </c>
      <c r="B88" t="str">
        <f>'Interpreted Data'!B88</f>
        <v>AP</v>
      </c>
      <c r="C88" s="2">
        <f>'Interpreted Data'!J88/$B$1</f>
        <v>8.4451219512195124</v>
      </c>
      <c r="D88" s="10">
        <f>'Interpreted Data'!T88</f>
        <v>63.833333333333336</v>
      </c>
      <c r="E88" s="11">
        <f>'Interpreted Data'!U88</f>
        <v>12</v>
      </c>
    </row>
    <row r="89" spans="1:5" x14ac:dyDescent="0.25">
      <c r="A89" t="str">
        <f>'Interpreted Data'!A89</f>
        <v>AP</v>
      </c>
      <c r="B89" t="str">
        <f>'Interpreted Data'!B89</f>
        <v>AQ</v>
      </c>
      <c r="C89" s="2">
        <f>'Interpreted Data'!J89/$B$1</f>
        <v>7.0731707317073171</v>
      </c>
      <c r="D89" s="10">
        <f>'Interpreted Data'!T89</f>
        <v>94</v>
      </c>
      <c r="E89" s="11">
        <f>'Interpreted Data'!U89</f>
        <v>10.5</v>
      </c>
    </row>
    <row r="90" spans="1:5" x14ac:dyDescent="0.25">
      <c r="A90" t="str">
        <f>'Interpreted Data'!A90</f>
        <v>AQ</v>
      </c>
      <c r="B90" t="str">
        <f>'Interpreted Data'!B90</f>
        <v>AR</v>
      </c>
      <c r="C90" s="2">
        <f>'Interpreted Data'!J90/$B$1</f>
        <v>3.2621951219512195</v>
      </c>
      <c r="D90" s="10">
        <f>'Interpreted Data'!T90</f>
        <v>136</v>
      </c>
      <c r="E90" s="11">
        <f>'Interpreted Data'!U90</f>
        <v>-5.5</v>
      </c>
    </row>
    <row r="91" spans="1:5" x14ac:dyDescent="0.25">
      <c r="A91" t="str">
        <f>'Interpreted Data'!A91</f>
        <v>AR</v>
      </c>
      <c r="B91" t="str">
        <f>'Interpreted Data'!B91</f>
        <v>AS</v>
      </c>
      <c r="C91" s="2">
        <f>'Interpreted Data'!J91/$B$1</f>
        <v>8.0792682926829276</v>
      </c>
      <c r="D91" s="10">
        <f>'Interpreted Data'!T91</f>
        <v>12.333333333333334</v>
      </c>
      <c r="E91" s="11">
        <f>'Interpreted Data'!U91</f>
        <v>28.5</v>
      </c>
    </row>
    <row r="92" spans="1:5" x14ac:dyDescent="0.25">
      <c r="A92" t="str">
        <f>'Interpreted Data'!A92</f>
        <v>AS</v>
      </c>
      <c r="B92" t="str">
        <f>'Interpreted Data'!B92</f>
        <v>AT</v>
      </c>
      <c r="C92" s="2">
        <f>'Interpreted Data'!J92/$B$1</f>
        <v>11.76829268292683</v>
      </c>
      <c r="D92" s="10">
        <f>'Interpreted Data'!T92</f>
        <v>349.5</v>
      </c>
      <c r="E92" s="11">
        <f>'Interpreted Data'!U92</f>
        <v>10.5</v>
      </c>
    </row>
    <row r="93" spans="1:5" x14ac:dyDescent="0.25">
      <c r="A93" t="str">
        <f>'Interpreted Data'!A93</f>
        <v>AT</v>
      </c>
      <c r="B93" t="str">
        <f>'Interpreted Data'!B93</f>
        <v>AU</v>
      </c>
      <c r="C93" s="2">
        <f>'Interpreted Data'!J93/$B$1</f>
        <v>7.1036585365853666</v>
      </c>
      <c r="D93" s="10">
        <f>'Interpreted Data'!T93</f>
        <v>321.66666666666669</v>
      </c>
      <c r="E93" s="11">
        <f>'Interpreted Data'!U93</f>
        <v>-4</v>
      </c>
    </row>
    <row r="94" spans="1:5" x14ac:dyDescent="0.25">
      <c r="A94" t="str">
        <f>'Interpreted Data'!A94</f>
        <v>AU</v>
      </c>
      <c r="B94" t="str">
        <f>'Interpreted Data'!B94</f>
        <v>AV</v>
      </c>
      <c r="C94" s="2">
        <f>'Interpreted Data'!J94/$B$1</f>
        <v>7.1036585365853666</v>
      </c>
      <c r="D94" s="10">
        <f>'Interpreted Data'!T94</f>
        <v>65.5</v>
      </c>
      <c r="E94" s="11">
        <f>'Interpreted Data'!U94</f>
        <v>9</v>
      </c>
    </row>
    <row r="95" spans="1:5" x14ac:dyDescent="0.25">
      <c r="A95" t="str">
        <f>'Interpreted Data'!A95</f>
        <v>AV</v>
      </c>
      <c r="B95" t="str">
        <f>'Interpreted Data'!B95</f>
        <v>AW</v>
      </c>
      <c r="C95" s="2">
        <f>'Interpreted Data'!J95/$B$1</f>
        <v>7.3475609756097571</v>
      </c>
      <c r="D95" s="10">
        <f>'Interpreted Data'!T95</f>
        <v>108.5</v>
      </c>
      <c r="E95" s="11">
        <f>'Interpreted Data'!U95</f>
        <v>27.5</v>
      </c>
    </row>
    <row r="96" spans="1:5" x14ac:dyDescent="0.25">
      <c r="A96" t="str">
        <f>'Interpreted Data'!A96</f>
        <v>AW</v>
      </c>
      <c r="B96" t="str">
        <f>'Interpreted Data'!B96</f>
        <v>AX</v>
      </c>
      <c r="C96" s="2">
        <f>'Interpreted Data'!J96/$B$1</f>
        <v>4.4512195121951219</v>
      </c>
      <c r="D96" s="10">
        <f>'Interpreted Data'!T96</f>
        <v>79.666666666666671</v>
      </c>
      <c r="E96" s="11">
        <f>'Interpreted Data'!U96</f>
        <v>23.5</v>
      </c>
    </row>
    <row r="97" spans="1:5" x14ac:dyDescent="0.25">
      <c r="A97" t="str">
        <f>'Interpreted Data'!A97</f>
        <v>AX</v>
      </c>
      <c r="B97" t="str">
        <f>'Interpreted Data'!B97</f>
        <v>AY</v>
      </c>
      <c r="C97" s="2">
        <f>'Interpreted Data'!J97/$B$1</f>
        <v>4.5731707317073171</v>
      </c>
      <c r="D97" s="10">
        <f>'Interpreted Data'!T97</f>
        <v>128</v>
      </c>
      <c r="E97" s="11">
        <f>'Interpreted Data'!U97</f>
        <v>13.5</v>
      </c>
    </row>
    <row r="98" spans="1:5" x14ac:dyDescent="0.25">
      <c r="A98" t="str">
        <f>'Interpreted Data'!A98</f>
        <v>AY</v>
      </c>
      <c r="B98" t="str">
        <f>'Interpreted Data'!B98</f>
        <v/>
      </c>
      <c r="C98" s="2"/>
      <c r="D98" s="10"/>
      <c r="E98" s="11"/>
    </row>
    <row r="99" spans="1:5" x14ac:dyDescent="0.25">
      <c r="A99" t="str">
        <f>'Interpreted Data'!A99</f>
        <v/>
      </c>
      <c r="B99" t="str">
        <f>'Interpreted Data'!B99</f>
        <v/>
      </c>
      <c r="C99" s="2"/>
      <c r="D99" s="10"/>
      <c r="E99" s="11"/>
    </row>
    <row r="100" spans="1:5" x14ac:dyDescent="0.25">
      <c r="A100" t="str">
        <f>'Interpreted Data'!A100</f>
        <v>14th August '52</v>
      </c>
      <c r="B100" t="str">
        <f>'Interpreted Data'!B100</f>
        <v>Colin</v>
      </c>
      <c r="C100" s="2"/>
      <c r="D100" s="10"/>
      <c r="E100" s="11"/>
    </row>
    <row r="101" spans="1:5" x14ac:dyDescent="0.25">
      <c r="A101">
        <f>'Interpreted Data'!A101</f>
        <v>18</v>
      </c>
      <c r="B101">
        <f>'Interpreted Data'!B101</f>
        <v>19</v>
      </c>
      <c r="C101" s="2">
        <f>'Interpreted Data'!J101/$B$1</f>
        <v>3.0792682926829271</v>
      </c>
      <c r="D101" s="10" t="str">
        <f>'Interpreted Data'!T101</f>
        <v>-</v>
      </c>
      <c r="E101" s="11">
        <f>'Interpreted Data'!U101</f>
        <v>-90</v>
      </c>
    </row>
    <row r="102" spans="1:5" x14ac:dyDescent="0.25">
      <c r="A102">
        <f>'Interpreted Data'!A102</f>
        <v>19</v>
      </c>
      <c r="B102">
        <f>'Interpreted Data'!B102</f>
        <v>20</v>
      </c>
      <c r="C102" s="2">
        <f>'Interpreted Data'!J102/$B$1</f>
        <v>2.4390243902439024</v>
      </c>
      <c r="D102" s="10">
        <f>'Interpreted Data'!T102</f>
        <v>175</v>
      </c>
      <c r="E102" s="11">
        <f>'Interpreted Data'!U102</f>
        <v>1</v>
      </c>
    </row>
    <row r="103" spans="1:5" x14ac:dyDescent="0.25">
      <c r="A103">
        <f>'Interpreted Data'!A103</f>
        <v>20</v>
      </c>
      <c r="B103">
        <f>'Interpreted Data'!B103</f>
        <v>21</v>
      </c>
      <c r="C103" s="2">
        <f>'Interpreted Data'!J103/$B$1</f>
        <v>7.5609756097560981</v>
      </c>
      <c r="D103" s="10">
        <f>'Interpreted Data'!T103</f>
        <v>91</v>
      </c>
      <c r="E103" s="11">
        <f>'Interpreted Data'!U103</f>
        <v>23</v>
      </c>
    </row>
    <row r="104" spans="1:5" x14ac:dyDescent="0.25">
      <c r="A104">
        <f>'Interpreted Data'!A104</f>
        <v>21</v>
      </c>
      <c r="B104">
        <f>'Interpreted Data'!B104</f>
        <v>22</v>
      </c>
      <c r="C104" s="2">
        <f>'Interpreted Data'!J104/$B$1</f>
        <v>3.4146341463414633</v>
      </c>
      <c r="D104" s="10">
        <f>'Interpreted Data'!T104</f>
        <v>122</v>
      </c>
      <c r="E104" s="11">
        <f>'Interpreted Data'!U104</f>
        <v>10</v>
      </c>
    </row>
    <row r="105" spans="1:5" x14ac:dyDescent="0.25">
      <c r="A105">
        <f>'Interpreted Data'!A105</f>
        <v>22</v>
      </c>
      <c r="B105">
        <f>'Interpreted Data'!B105</f>
        <v>23</v>
      </c>
      <c r="C105" s="2">
        <f>'Interpreted Data'!J105/$B$1</f>
        <v>7.774390243902439</v>
      </c>
      <c r="D105" s="10">
        <f>'Interpreted Data'!T105</f>
        <v>172.66666666666666</v>
      </c>
      <c r="E105" s="11">
        <f>'Interpreted Data'!U105</f>
        <v>-9</v>
      </c>
    </row>
    <row r="106" spans="1:5" x14ac:dyDescent="0.25">
      <c r="A106">
        <f>'Interpreted Data'!A106</f>
        <v>23</v>
      </c>
      <c r="B106">
        <f>'Interpreted Data'!B106</f>
        <v>24</v>
      </c>
      <c r="C106" s="2">
        <f>'Interpreted Data'!J106/$B$1</f>
        <v>15.457317073170733</v>
      </c>
      <c r="D106" s="10">
        <f>'Interpreted Data'!T106</f>
        <v>68</v>
      </c>
      <c r="E106" s="11">
        <f>'Interpreted Data'!U106</f>
        <v>18</v>
      </c>
    </row>
    <row r="107" spans="1:5" x14ac:dyDescent="0.25">
      <c r="A107">
        <f>'Interpreted Data'!A107</f>
        <v>24</v>
      </c>
      <c r="B107">
        <f>'Interpreted Data'!B107</f>
        <v>25</v>
      </c>
      <c r="C107" s="2">
        <f>'Interpreted Data'!J107/$B$1</f>
        <v>4.2682926829268295</v>
      </c>
      <c r="D107" s="10">
        <f>'Interpreted Data'!T107</f>
        <v>46</v>
      </c>
      <c r="E107" s="11">
        <f>'Interpreted Data'!U107</f>
        <v>-46</v>
      </c>
    </row>
    <row r="108" spans="1:5" x14ac:dyDescent="0.25">
      <c r="A108">
        <f>'Interpreted Data'!A108</f>
        <v>25</v>
      </c>
      <c r="B108">
        <f>'Interpreted Data'!B108</f>
        <v>26</v>
      </c>
      <c r="C108" s="2">
        <f>'Interpreted Data'!J108/$B$1</f>
        <v>4.6646341463414638</v>
      </c>
      <c r="D108" s="10">
        <f>'Interpreted Data'!T108</f>
        <v>113</v>
      </c>
      <c r="E108" s="11">
        <f>'Interpreted Data'!U108</f>
        <v>-43</v>
      </c>
    </row>
    <row r="109" spans="1:5" x14ac:dyDescent="0.25">
      <c r="A109">
        <f>'Interpreted Data'!A109</f>
        <v>26</v>
      </c>
      <c r="B109">
        <f>'Interpreted Data'!B109</f>
        <v>27</v>
      </c>
      <c r="C109" s="2">
        <f>'Interpreted Data'!J109/$B$1</f>
        <v>7.0731707317073171</v>
      </c>
      <c r="D109" s="10">
        <f>'Interpreted Data'!T109</f>
        <v>61</v>
      </c>
      <c r="E109" s="11">
        <f>'Interpreted Data'!U109</f>
        <v>-55</v>
      </c>
    </row>
    <row r="110" spans="1:5" x14ac:dyDescent="0.25">
      <c r="A110">
        <f>'Interpreted Data'!A110</f>
        <v>27</v>
      </c>
      <c r="B110">
        <f>'Interpreted Data'!B110</f>
        <v>28</v>
      </c>
      <c r="C110" s="2">
        <f>'Interpreted Data'!J110/$B$1</f>
        <v>7.7134146341463419</v>
      </c>
      <c r="D110" s="10">
        <f>'Interpreted Data'!T110</f>
        <v>195.5</v>
      </c>
      <c r="E110" s="11">
        <f>'Interpreted Data'!U110</f>
        <v>-24.5</v>
      </c>
    </row>
    <row r="111" spans="1:5" x14ac:dyDescent="0.25">
      <c r="A111">
        <f>'Interpreted Data'!A111</f>
        <v>28</v>
      </c>
      <c r="B111">
        <f>'Interpreted Data'!B111</f>
        <v>29</v>
      </c>
      <c r="C111" s="2">
        <f>'Interpreted Data'!J111/$B$1</f>
        <v>15.548780487804878</v>
      </c>
      <c r="D111" s="10">
        <f>'Interpreted Data'!T111</f>
        <v>242</v>
      </c>
      <c r="E111" s="11">
        <f>'Interpreted Data'!U111</f>
        <v>-23.5</v>
      </c>
    </row>
    <row r="112" spans="1:5" x14ac:dyDescent="0.25">
      <c r="A112">
        <f>'Interpreted Data'!A112</f>
        <v>29</v>
      </c>
      <c r="B112">
        <f>'Interpreted Data'!B112</f>
        <v>30</v>
      </c>
      <c r="C112" s="2">
        <f>'Interpreted Data'!J112/$B$1</f>
        <v>4.1768292682926829</v>
      </c>
      <c r="D112" s="10">
        <f>'Interpreted Data'!T112</f>
        <v>160</v>
      </c>
      <c r="E112" s="11">
        <f>'Interpreted Data'!U112</f>
        <v>-3</v>
      </c>
    </row>
    <row r="113" spans="1:5" x14ac:dyDescent="0.25">
      <c r="A113">
        <f>'Interpreted Data'!A113</f>
        <v>30</v>
      </c>
      <c r="B113">
        <f>'Interpreted Data'!B113</f>
        <v>31</v>
      </c>
      <c r="C113" s="2">
        <f>'Interpreted Data'!J113/$B$1</f>
        <v>7.7439024390243905</v>
      </c>
      <c r="D113" s="10">
        <f>'Interpreted Data'!T113</f>
        <v>239</v>
      </c>
      <c r="E113" s="11">
        <f>'Interpreted Data'!U113</f>
        <v>-19</v>
      </c>
    </row>
    <row r="114" spans="1:5" x14ac:dyDescent="0.25">
      <c r="A114">
        <f>'Interpreted Data'!A114</f>
        <v>31</v>
      </c>
      <c r="B114">
        <f>'Interpreted Data'!B114</f>
        <v>32</v>
      </c>
      <c r="C114" s="2">
        <f>'Interpreted Data'!J114/$B$1</f>
        <v>3.4282177553342921</v>
      </c>
      <c r="D114" s="10">
        <f>'Interpreted Data'!T114</f>
        <v>286</v>
      </c>
      <c r="E114" s="11">
        <f>'Interpreted Data'!U114</f>
        <v>-5.1021652523581906</v>
      </c>
    </row>
    <row r="115" spans="1:5" x14ac:dyDescent="0.25">
      <c r="A115">
        <f>'Interpreted Data'!A115</f>
        <v>32</v>
      </c>
      <c r="B115">
        <f>'Interpreted Data'!B115</f>
        <v>33</v>
      </c>
      <c r="C115" s="2">
        <f>'Interpreted Data'!J115/$B$1</f>
        <v>4.2987804878048781</v>
      </c>
      <c r="D115" s="10">
        <f>'Interpreted Data'!T115</f>
        <v>182</v>
      </c>
      <c r="E115" s="11">
        <f>'Interpreted Data'!U115</f>
        <v>-9</v>
      </c>
    </row>
    <row r="116" spans="1:5" x14ac:dyDescent="0.25">
      <c r="A116">
        <f>'Interpreted Data'!A116</f>
        <v>33</v>
      </c>
      <c r="B116">
        <f>'Interpreted Data'!B116</f>
        <v>34</v>
      </c>
      <c r="C116" s="2">
        <f>'Interpreted Data'!J116/$B$1</f>
        <v>5.1918860871726844</v>
      </c>
      <c r="D116" s="10">
        <f>'Interpreted Data'!T116</f>
        <v>159</v>
      </c>
      <c r="E116" s="11">
        <f>'Interpreted Data'!U116</f>
        <v>3.3664606634298013</v>
      </c>
    </row>
    <row r="117" spans="1:5" x14ac:dyDescent="0.25">
      <c r="A117">
        <f>'Interpreted Data'!A117</f>
        <v>34</v>
      </c>
      <c r="B117">
        <f>'Interpreted Data'!B117</f>
        <v>35</v>
      </c>
      <c r="C117" s="2">
        <f>'Interpreted Data'!J117/$B$1</f>
        <v>4.2378048780487809</v>
      </c>
      <c r="D117" s="10">
        <f>'Interpreted Data'!T117</f>
        <v>161</v>
      </c>
      <c r="E117" s="11">
        <f>'Interpreted Data'!U117</f>
        <v>-12.5</v>
      </c>
    </row>
    <row r="118" spans="1:5" x14ac:dyDescent="0.25">
      <c r="A118">
        <f>'Interpreted Data'!A118</f>
        <v>35</v>
      </c>
      <c r="C118" s="2"/>
      <c r="D118" s="10"/>
      <c r="E118" s="11"/>
    </row>
    <row r="119" spans="1:5" x14ac:dyDescent="0.25">
      <c r="A119">
        <f>'Interpreted Data'!A119</f>
        <v>35</v>
      </c>
      <c r="B119" t="str">
        <f>CONCATENATE('Interpreted Data'!B119,"2")</f>
        <v>e2</v>
      </c>
      <c r="C119" s="2">
        <f>'Interpreted Data'!J119/$B$1</f>
        <v>5.4878048780487809</v>
      </c>
      <c r="D119" s="10">
        <f>'Interpreted Data'!T119</f>
        <v>234</v>
      </c>
      <c r="E119" s="11" t="str">
        <f>'Interpreted Data'!U119</f>
        <v>45</v>
      </c>
    </row>
    <row r="120" spans="1:5" x14ac:dyDescent="0.25">
      <c r="A120">
        <f>'Interpreted Data'!A120</f>
        <v>35</v>
      </c>
      <c r="B120" t="str">
        <f>CONCATENATE('Interpreted Data'!B120,"2")</f>
        <v>D2</v>
      </c>
      <c r="C120" s="2">
        <f>'Interpreted Data'!J120/$B$1</f>
        <v>3.0487804878048781</v>
      </c>
      <c r="D120" s="10">
        <f>'Interpreted Data'!T120</f>
        <v>350</v>
      </c>
      <c r="E120" s="11" t="str">
        <f>'Interpreted Data'!U120</f>
        <v>0</v>
      </c>
    </row>
    <row r="121" spans="1:5" x14ac:dyDescent="0.25">
      <c r="A121" t="str">
        <f>'Interpreted Data'!A121</f>
        <v/>
      </c>
      <c r="B121" t="str">
        <f>'Interpreted Data'!B121</f>
        <v/>
      </c>
      <c r="C121" s="2"/>
      <c r="D121" s="10"/>
      <c r="E121" s="11"/>
    </row>
    <row r="122" spans="1:5" x14ac:dyDescent="0.25">
      <c r="A122" t="str">
        <f>'Interpreted Data'!A122</f>
        <v>p. 53-56</v>
      </c>
      <c r="B122" t="str">
        <f>'Interpreted Data'!B122</f>
        <v>(=PDF p.57-60)</v>
      </c>
      <c r="C122" s="2"/>
      <c r="D122" s="10"/>
      <c r="E122" s="11"/>
    </row>
    <row r="123" spans="1:5" x14ac:dyDescent="0.25">
      <c r="A123">
        <f>'Interpreted Data'!A123</f>
        <v>27</v>
      </c>
      <c r="B123">
        <f>'Interpreted Data'!B123</f>
        <v>36</v>
      </c>
      <c r="C123" s="2">
        <f>'Interpreted Data'!J123/$B$1</f>
        <v>1.8292682926829269</v>
      </c>
      <c r="D123" s="10" t="str">
        <f>'Interpreted Data'!T123</f>
        <v>-</v>
      </c>
      <c r="E123" s="11">
        <f>'Interpreted Data'!U123</f>
        <v>90</v>
      </c>
    </row>
    <row r="124" spans="1:5" x14ac:dyDescent="0.25">
      <c r="A124">
        <f>'Interpreted Data'!A124</f>
        <v>36</v>
      </c>
      <c r="B124">
        <f>'Interpreted Data'!B124</f>
        <v>37</v>
      </c>
      <c r="C124" s="2">
        <f>'Interpreted Data'!J124/$B$1</f>
        <v>8.963414634146341</v>
      </c>
      <c r="D124" s="10">
        <f>'Interpreted Data'!T124</f>
        <v>338</v>
      </c>
      <c r="E124" s="11">
        <f>'Interpreted Data'!U124</f>
        <v>12.5</v>
      </c>
    </row>
    <row r="125" spans="1:5" x14ac:dyDescent="0.25">
      <c r="A125">
        <f>'Interpreted Data'!A125</f>
        <v>37</v>
      </c>
      <c r="B125">
        <f>'Interpreted Data'!B125</f>
        <v>38</v>
      </c>
      <c r="C125" s="2">
        <f>'Interpreted Data'!J125/$B$1</f>
        <v>3.6890243902439024</v>
      </c>
      <c r="D125" s="10">
        <f>'Interpreted Data'!T125</f>
        <v>11</v>
      </c>
      <c r="E125" s="11">
        <f>'Interpreted Data'!U125</f>
        <v>-38</v>
      </c>
    </row>
    <row r="126" spans="1:5" x14ac:dyDescent="0.25">
      <c r="A126">
        <f>'Interpreted Data'!A126</f>
        <v>38</v>
      </c>
      <c r="B126">
        <f>'Interpreted Data'!B126</f>
        <v>39</v>
      </c>
      <c r="C126" s="2">
        <f>'Interpreted Data'!J126/$B$1</f>
        <v>9.2073170731707314</v>
      </c>
      <c r="D126" s="10">
        <f>'Interpreted Data'!T126</f>
        <v>102</v>
      </c>
      <c r="E126" s="11">
        <f>'Interpreted Data'!U126</f>
        <v>16.5</v>
      </c>
    </row>
    <row r="127" spans="1:5" x14ac:dyDescent="0.25">
      <c r="A127">
        <f>'Interpreted Data'!A127</f>
        <v>39</v>
      </c>
      <c r="B127">
        <f>'Interpreted Data'!B127</f>
        <v>40</v>
      </c>
      <c r="C127" s="2">
        <f>'Interpreted Data'!J127/$B$1</f>
        <v>4.5731707317073171</v>
      </c>
      <c r="D127" s="10">
        <f>'Interpreted Data'!T127</f>
        <v>63.5</v>
      </c>
      <c r="E127" s="11">
        <f>'Interpreted Data'!U127</f>
        <v>27</v>
      </c>
    </row>
    <row r="128" spans="1:5" x14ac:dyDescent="0.25">
      <c r="A128">
        <f>'Interpreted Data'!A128</f>
        <v>40</v>
      </c>
      <c r="B128">
        <f>'Interpreted Data'!B128</f>
        <v>41</v>
      </c>
      <c r="C128" s="2">
        <f>'Interpreted Data'!J128/$B$1</f>
        <v>7.4390243902439028</v>
      </c>
      <c r="D128" s="10">
        <f>'Interpreted Data'!T128</f>
        <v>104</v>
      </c>
      <c r="E128" s="11">
        <f>'Interpreted Data'!U128</f>
        <v>13.5</v>
      </c>
    </row>
    <row r="129" spans="1:5" x14ac:dyDescent="0.25">
      <c r="A129">
        <f>'Interpreted Data'!A129</f>
        <v>41</v>
      </c>
      <c r="B129">
        <f>'Interpreted Data'!B129</f>
        <v>42</v>
      </c>
      <c r="C129" s="2">
        <f>'Interpreted Data'!J129/$B$1</f>
        <v>5.9451219512195124</v>
      </c>
      <c r="D129" s="10">
        <f>'Interpreted Data'!T129</f>
        <v>83</v>
      </c>
      <c r="E129" s="11">
        <f>'Interpreted Data'!U129</f>
        <v>10.5</v>
      </c>
    </row>
    <row r="130" spans="1:5" x14ac:dyDescent="0.25">
      <c r="A130">
        <f>'Interpreted Data'!A130</f>
        <v>42</v>
      </c>
      <c r="B130">
        <f>'Interpreted Data'!B130</f>
        <v>43</v>
      </c>
      <c r="C130" s="2">
        <f>'Interpreted Data'!J130/$B$1</f>
        <v>4.51219512195122</v>
      </c>
      <c r="D130" s="10">
        <f>'Interpreted Data'!T130</f>
        <v>116.5</v>
      </c>
      <c r="E130" s="11">
        <f>'Interpreted Data'!U130</f>
        <v>14.5</v>
      </c>
    </row>
    <row r="131" spans="1:5" x14ac:dyDescent="0.25">
      <c r="A131">
        <f>'Interpreted Data'!A131</f>
        <v>43</v>
      </c>
      <c r="B131">
        <f>'Interpreted Data'!B131</f>
        <v>44</v>
      </c>
      <c r="C131" s="2">
        <f>'Interpreted Data'!J131/$B$1</f>
        <v>15.030487804878049</v>
      </c>
      <c r="D131" s="10">
        <f>'Interpreted Data'!T131</f>
        <v>74.5</v>
      </c>
      <c r="E131" s="11">
        <f>'Interpreted Data'!U131</f>
        <v>23</v>
      </c>
    </row>
    <row r="132" spans="1:5" x14ac:dyDescent="0.25">
      <c r="A132">
        <f>'Interpreted Data'!A132</f>
        <v>44</v>
      </c>
      <c r="B132">
        <f>'Interpreted Data'!B132</f>
        <v>45</v>
      </c>
      <c r="C132" s="2">
        <f>'Interpreted Data'!J132/$B$1</f>
        <v>2.225609756097561</v>
      </c>
      <c r="D132" s="10">
        <f>'Interpreted Data'!T132</f>
        <v>157</v>
      </c>
      <c r="E132" s="11">
        <f>'Interpreted Data'!U132</f>
        <v>5</v>
      </c>
    </row>
    <row r="133" spans="1:5" x14ac:dyDescent="0.25">
      <c r="A133">
        <f>'Interpreted Data'!A133</f>
        <v>45</v>
      </c>
      <c r="B133">
        <f>'Interpreted Data'!B133</f>
        <v>46</v>
      </c>
      <c r="C133" s="2">
        <f>'Interpreted Data'!J133/$B$1</f>
        <v>4.9390243902439028</v>
      </c>
      <c r="D133" s="10">
        <f>'Interpreted Data'!T133</f>
        <v>117</v>
      </c>
      <c r="E133" s="11">
        <f>'Interpreted Data'!U133</f>
        <v>-31</v>
      </c>
    </row>
    <row r="134" spans="1:5" x14ac:dyDescent="0.25">
      <c r="A134">
        <f>'Interpreted Data'!A134</f>
        <v>46</v>
      </c>
      <c r="B134">
        <f>'Interpreted Data'!B134</f>
        <v>47</v>
      </c>
      <c r="C134" s="2">
        <f>'Interpreted Data'!J134/$B$1</f>
        <v>10.670731707317074</v>
      </c>
      <c r="D134" s="10" t="str">
        <f>'Interpreted Data'!T134</f>
        <v>-</v>
      </c>
      <c r="E134" s="11">
        <f>'Interpreted Data'!U134</f>
        <v>-90</v>
      </c>
    </row>
    <row r="135" spans="1:5" x14ac:dyDescent="0.25">
      <c r="A135">
        <f>'Interpreted Data'!A135</f>
        <v>47</v>
      </c>
      <c r="B135">
        <f>'Interpreted Data'!B135</f>
        <v>48</v>
      </c>
      <c r="C135" s="2">
        <f>'Interpreted Data'!J135/$B$1</f>
        <v>7.1951219512195133</v>
      </c>
      <c r="D135" s="10">
        <f>'Interpreted Data'!T135</f>
        <v>128</v>
      </c>
      <c r="E135" s="11">
        <f>'Interpreted Data'!U135</f>
        <v>8</v>
      </c>
    </row>
    <row r="136" spans="1:5" x14ac:dyDescent="0.25">
      <c r="A136">
        <f>'Interpreted Data'!A136</f>
        <v>48</v>
      </c>
      <c r="B136">
        <f>'Interpreted Data'!B136</f>
        <v>49</v>
      </c>
      <c r="C136" s="2">
        <f>'Interpreted Data'!J136/$B$1</f>
        <v>8.3841463414634152</v>
      </c>
      <c r="D136" s="10">
        <f>'Interpreted Data'!T136</f>
        <v>163.5</v>
      </c>
      <c r="E136" s="11">
        <f>'Interpreted Data'!U136</f>
        <v>-34.5</v>
      </c>
    </row>
    <row r="137" spans="1:5" x14ac:dyDescent="0.25">
      <c r="A137">
        <f>'Interpreted Data'!A137</f>
        <v>49</v>
      </c>
      <c r="B137">
        <f>'Interpreted Data'!B137</f>
        <v>50</v>
      </c>
      <c r="C137" s="2">
        <f>'Interpreted Data'!J137/$B$1</f>
        <v>7.1646341463414638</v>
      </c>
      <c r="D137" s="10">
        <f>'Interpreted Data'!T137</f>
        <v>200</v>
      </c>
      <c r="E137" s="11">
        <f>'Interpreted Data'!U137</f>
        <v>-5</v>
      </c>
    </row>
    <row r="138" spans="1:5" x14ac:dyDescent="0.25">
      <c r="A138">
        <f>'Interpreted Data'!A138</f>
        <v>50</v>
      </c>
      <c r="B138">
        <f>'Interpreted Data'!B138</f>
        <v>51</v>
      </c>
      <c r="C138" s="2">
        <f>'Interpreted Data'!J138/$B$1</f>
        <v>5.1524390243902438</v>
      </c>
      <c r="D138" s="10">
        <f>'Interpreted Data'!T138</f>
        <v>186</v>
      </c>
      <c r="E138" s="11">
        <f>'Interpreted Data'!U138</f>
        <v>-17.5</v>
      </c>
    </row>
    <row r="139" spans="1:5" x14ac:dyDescent="0.25">
      <c r="A139">
        <f>'Interpreted Data'!A139</f>
        <v>51</v>
      </c>
      <c r="B139">
        <f>'Interpreted Data'!B139</f>
        <v>52</v>
      </c>
      <c r="C139" s="2">
        <f>'Interpreted Data'!J139/$B$1</f>
        <v>15.091463414634147</v>
      </c>
      <c r="D139" s="10">
        <f>'Interpreted Data'!T139</f>
        <v>282.5</v>
      </c>
      <c r="E139" s="11">
        <f>'Interpreted Data'!U139</f>
        <v>-20.5</v>
      </c>
    </row>
    <row r="140" spans="1:5" x14ac:dyDescent="0.25">
      <c r="A140">
        <f>'Interpreted Data'!A140</f>
        <v>52</v>
      </c>
      <c r="B140">
        <f>'Interpreted Data'!B140</f>
        <v>53</v>
      </c>
      <c r="C140" s="2">
        <f>'Interpreted Data'!J140/$B$1</f>
        <v>15.609756097560977</v>
      </c>
      <c r="D140" s="10">
        <f>'Interpreted Data'!T140</f>
        <v>264</v>
      </c>
      <c r="E140" s="11">
        <f>'Interpreted Data'!U140</f>
        <v>-12.5</v>
      </c>
    </row>
    <row r="141" spans="1:5" x14ac:dyDescent="0.25">
      <c r="A141">
        <f>'Interpreted Data'!A141</f>
        <v>53</v>
      </c>
      <c r="B141">
        <f>'Interpreted Data'!B141</f>
        <v>54</v>
      </c>
      <c r="C141" s="2">
        <f>'Interpreted Data'!J141/$B$1</f>
        <v>4.4588349489216537</v>
      </c>
      <c r="D141" s="10">
        <f>'Interpreted Data'!T141</f>
        <v>175</v>
      </c>
      <c r="E141" s="11">
        <f>'Interpreted Data'!U141</f>
        <v>-13.846208411826533</v>
      </c>
    </row>
    <row r="142" spans="1:5" x14ac:dyDescent="0.25">
      <c r="A142">
        <f>'Interpreted Data'!A142</f>
        <v>54</v>
      </c>
      <c r="B142" t="str">
        <f>'Interpreted Data'!B142</f>
        <v/>
      </c>
      <c r="C142" s="2"/>
      <c r="D142" s="10"/>
      <c r="E142" s="11"/>
    </row>
    <row r="143" spans="1:5" x14ac:dyDescent="0.25">
      <c r="A143" t="str">
        <f>'Interpreted Data'!A143</f>
        <v/>
      </c>
      <c r="B143" t="str">
        <f>'Interpreted Data'!B143</f>
        <v/>
      </c>
      <c r="C143" s="2"/>
      <c r="D143" s="10"/>
      <c r="E143" s="11"/>
    </row>
    <row r="144" spans="1:5" x14ac:dyDescent="0.25">
      <c r="A144" t="str">
        <f>'Interpreted Data'!A144</f>
        <v>Nov. 23rd '52</v>
      </c>
      <c r="B144" t="str">
        <f>'Interpreted Data'!B144</f>
        <v>Jack Broadley</v>
      </c>
      <c r="C144" s="2"/>
      <c r="D144" s="10"/>
      <c r="E144" s="11"/>
    </row>
    <row r="145" spans="1:5" x14ac:dyDescent="0.25">
      <c r="A145" t="str">
        <f>'Interpreted Data'!A145</f>
        <v>EC</v>
      </c>
      <c r="B145" t="str">
        <f>'Interpreted Data'!B145</f>
        <v>EB</v>
      </c>
      <c r="C145" s="2">
        <f>'Interpreted Data'!J145/$B$1</f>
        <v>3.6585365853658538</v>
      </c>
      <c r="D145" s="10">
        <f>'Interpreted Data'!T145</f>
        <v>283</v>
      </c>
      <c r="E145" s="11">
        <f>'Interpreted Data'!U145</f>
        <v>-6</v>
      </c>
    </row>
    <row r="146" spans="1:5" x14ac:dyDescent="0.25">
      <c r="A146" t="str">
        <f>'Interpreted Data'!A146</f>
        <v>EB</v>
      </c>
      <c r="B146" t="str">
        <f>'Interpreted Data'!B146</f>
        <v>EA</v>
      </c>
      <c r="C146" s="2">
        <f>'Interpreted Data'!J146/$B$1</f>
        <v>0.91463414634146345</v>
      </c>
      <c r="D146" s="10">
        <f>'Interpreted Data'!T146</f>
        <v>11</v>
      </c>
      <c r="E146" s="11">
        <f>'Interpreted Data'!U146</f>
        <v>-6</v>
      </c>
    </row>
    <row r="147" spans="1:5" x14ac:dyDescent="0.25">
      <c r="A147" t="str">
        <f>'Interpreted Data'!A147</f>
        <v>EA</v>
      </c>
      <c r="B147" t="str">
        <f>'Interpreted Data'!B147</f>
        <v>DZ</v>
      </c>
      <c r="C147" s="2">
        <f>'Interpreted Data'!J147/$B$1</f>
        <v>1.8292682926829269</v>
      </c>
      <c r="D147" s="10" t="str">
        <f>'Interpreted Data'!T147</f>
        <v>-</v>
      </c>
      <c r="E147" s="11">
        <f>'Interpreted Data'!U147</f>
        <v>-90</v>
      </c>
    </row>
    <row r="148" spans="1:5" x14ac:dyDescent="0.25">
      <c r="A148" t="str">
        <f>'Interpreted Data'!A148</f>
        <v>DZ</v>
      </c>
      <c r="B148" t="str">
        <f>'Interpreted Data'!B148</f>
        <v>DY</v>
      </c>
      <c r="C148" s="2">
        <f>'Interpreted Data'!J148/$B$1</f>
        <v>5.3353658536585371</v>
      </c>
      <c r="D148" s="10">
        <f>'Interpreted Data'!T148</f>
        <v>36</v>
      </c>
      <c r="E148" s="11">
        <f>'Interpreted Data'!U148</f>
        <v>8</v>
      </c>
    </row>
    <row r="149" spans="1:5" x14ac:dyDescent="0.25">
      <c r="A149" t="str">
        <f>'Interpreted Data'!A149</f>
        <v>DY</v>
      </c>
      <c r="B149" t="str">
        <f>'Interpreted Data'!B149</f>
        <v>DX</v>
      </c>
      <c r="C149" s="2">
        <f>'Interpreted Data'!J149/$B$1</f>
        <v>1.4939024390243905</v>
      </c>
      <c r="D149" s="10">
        <f>'Interpreted Data'!T149</f>
        <v>344.5</v>
      </c>
      <c r="E149" s="11">
        <f>'Interpreted Data'!U149</f>
        <v>6</v>
      </c>
    </row>
    <row r="150" spans="1:5" x14ac:dyDescent="0.25">
      <c r="A150" t="str">
        <f>'Interpreted Data'!A150</f>
        <v>DX</v>
      </c>
      <c r="B150" t="str">
        <f>'Interpreted Data'!B150</f>
        <v>DW</v>
      </c>
      <c r="C150" s="2">
        <f>'Interpreted Data'!J150/$B$1</f>
        <v>7.1646341463414638</v>
      </c>
      <c r="D150" s="10">
        <f>'Interpreted Data'!T150</f>
        <v>342</v>
      </c>
      <c r="E150" s="11">
        <f>'Interpreted Data'!U150</f>
        <v>-12</v>
      </c>
    </row>
    <row r="151" spans="1:5" x14ac:dyDescent="0.25">
      <c r="A151" t="str">
        <f>'Interpreted Data'!A151</f>
        <v>DW</v>
      </c>
      <c r="B151" t="str">
        <f>'Interpreted Data'!B151</f>
        <v>DV</v>
      </c>
      <c r="C151" s="2">
        <f>'Interpreted Data'!J151/$B$1</f>
        <v>2.5</v>
      </c>
      <c r="D151" s="10">
        <f>'Interpreted Data'!T151</f>
        <v>259</v>
      </c>
      <c r="E151" s="11">
        <f>'Interpreted Data'!U151</f>
        <v>-21</v>
      </c>
    </row>
    <row r="152" spans="1:5" x14ac:dyDescent="0.25">
      <c r="A152" t="str">
        <f>'Interpreted Data'!A152</f>
        <v>DV</v>
      </c>
      <c r="B152" t="str">
        <f>'Interpreted Data'!B152</f>
        <v>DQ</v>
      </c>
      <c r="C152" s="2">
        <f>'Interpreted Data'!J152/$B$1</f>
        <v>2.7439024390243905</v>
      </c>
      <c r="D152" s="10">
        <f>'Interpreted Data'!T152</f>
        <v>299</v>
      </c>
      <c r="E152" s="11">
        <f>'Interpreted Data'!U152</f>
        <v>-17</v>
      </c>
    </row>
    <row r="153" spans="1:5" x14ac:dyDescent="0.25">
      <c r="A153" t="str">
        <f>'Interpreted Data'!A153</f>
        <v>DQ</v>
      </c>
      <c r="B153" t="str">
        <f>'Interpreted Data'!B153</f>
        <v>DP</v>
      </c>
      <c r="C153" s="2">
        <f>'Interpreted Data'!J153/$B$1</f>
        <v>0.1524390243902439</v>
      </c>
      <c r="D153" s="10" t="str">
        <f>'Interpreted Data'!T153</f>
        <v>-</v>
      </c>
      <c r="E153" s="11">
        <f>'Interpreted Data'!U153</f>
        <v>-90</v>
      </c>
    </row>
    <row r="154" spans="1:5" x14ac:dyDescent="0.25">
      <c r="A154" t="str">
        <f>'Interpreted Data'!A154</f>
        <v>DP</v>
      </c>
      <c r="B154" t="str">
        <f>'Interpreted Data'!B154</f>
        <v>DO</v>
      </c>
      <c r="C154" s="2">
        <f>'Interpreted Data'!J154/$B$1</f>
        <v>4.51219512195122</v>
      </c>
      <c r="D154" s="10">
        <f>'Interpreted Data'!T154</f>
        <v>227</v>
      </c>
      <c r="E154" s="11">
        <f>'Interpreted Data'!U154</f>
        <v>-53</v>
      </c>
    </row>
    <row r="155" spans="1:5" x14ac:dyDescent="0.25">
      <c r="A155" t="str">
        <f>'Interpreted Data'!A155</f>
        <v>DO</v>
      </c>
      <c r="B155" t="str">
        <f>'Interpreted Data'!B155</f>
        <v>DN</v>
      </c>
      <c r="C155" s="2">
        <f>'Interpreted Data'!J155/$B$1</f>
        <v>4.0548780487804885</v>
      </c>
      <c r="D155" s="10">
        <f>'Interpreted Data'!T155</f>
        <v>81</v>
      </c>
      <c r="E155" s="11">
        <f>'Interpreted Data'!U155</f>
        <v>-47</v>
      </c>
    </row>
    <row r="156" spans="1:5" x14ac:dyDescent="0.25">
      <c r="A156" t="str">
        <f>'Interpreted Data'!A156</f>
        <v>DN</v>
      </c>
      <c r="B156" t="str">
        <f>'Interpreted Data'!B156</f>
        <v>DM</v>
      </c>
      <c r="C156" s="2">
        <f>'Interpreted Data'!J156/$B$1</f>
        <v>0.1524390243902439</v>
      </c>
      <c r="D156" s="10" t="str">
        <f>'Interpreted Data'!T156</f>
        <v>-</v>
      </c>
      <c r="E156" s="11">
        <f>'Interpreted Data'!U156</f>
        <v>90</v>
      </c>
    </row>
    <row r="157" spans="1:5" x14ac:dyDescent="0.25">
      <c r="A157" t="str">
        <f>'Interpreted Data'!A157</f>
        <v>DM</v>
      </c>
      <c r="B157" t="str">
        <f>'Interpreted Data'!B157</f>
        <v>DL</v>
      </c>
      <c r="C157" s="2">
        <f>'Interpreted Data'!J157/$B$1</f>
        <v>4.4207317073170733</v>
      </c>
      <c r="D157" s="10">
        <f>'Interpreted Data'!T157</f>
        <v>348.5</v>
      </c>
      <c r="E157" s="11">
        <f>'Interpreted Data'!U157</f>
        <v>-6</v>
      </c>
    </row>
    <row r="158" spans="1:5" x14ac:dyDescent="0.25">
      <c r="A158" t="str">
        <f>'Interpreted Data'!A158</f>
        <v>DL</v>
      </c>
      <c r="B158" t="str">
        <f>'Interpreted Data'!B158</f>
        <v>DK</v>
      </c>
      <c r="C158" s="2">
        <f>'Interpreted Data'!J158/$B$1</f>
        <v>5.2743902439024399</v>
      </c>
      <c r="D158" s="10">
        <f>'Interpreted Data'!T158</f>
        <v>292</v>
      </c>
      <c r="E158" s="11">
        <f>'Interpreted Data'!U158</f>
        <v>-20</v>
      </c>
    </row>
    <row r="159" spans="1:5" x14ac:dyDescent="0.25">
      <c r="A159" t="str">
        <f>'Interpreted Data'!A159</f>
        <v>DK</v>
      </c>
      <c r="B159" t="str">
        <f>'Interpreted Data'!B159</f>
        <v>DJ</v>
      </c>
      <c r="C159" s="2">
        <f>'Interpreted Data'!J159/$B$1</f>
        <v>5.2439024390243905</v>
      </c>
      <c r="D159" s="10">
        <f>'Interpreted Data'!T159</f>
        <v>346</v>
      </c>
      <c r="E159" s="11">
        <f>'Interpreted Data'!U159</f>
        <v>-22</v>
      </c>
    </row>
    <row r="160" spans="1:5" x14ac:dyDescent="0.25">
      <c r="A160" t="str">
        <f>'Interpreted Data'!A160</f>
        <v>DJ</v>
      </c>
      <c r="B160" t="str">
        <f>'Interpreted Data'!B160</f>
        <v>DI</v>
      </c>
      <c r="C160" s="2">
        <f>'Interpreted Data'!J160/$B$1</f>
        <v>2.7134146341463419</v>
      </c>
      <c r="D160" s="10">
        <f>'Interpreted Data'!T160</f>
        <v>318</v>
      </c>
      <c r="E160" s="11">
        <f>'Interpreted Data'!U160</f>
        <v>-13.5</v>
      </c>
    </row>
    <row r="161" spans="1:5" x14ac:dyDescent="0.25">
      <c r="A161" t="str">
        <f>'Interpreted Data'!A161</f>
        <v>DI</v>
      </c>
      <c r="B161" t="str">
        <f>'Interpreted Data'!B161</f>
        <v>DH</v>
      </c>
      <c r="C161" s="2">
        <f>'Interpreted Data'!J161/$B$1</f>
        <v>9.7560975609756095</v>
      </c>
      <c r="D161" s="10">
        <f>'Interpreted Data'!T161</f>
        <v>304</v>
      </c>
      <c r="E161" s="11">
        <f>'Interpreted Data'!U161</f>
        <v>-17</v>
      </c>
    </row>
    <row r="162" spans="1:5" x14ac:dyDescent="0.25">
      <c r="A162" t="str">
        <f>'Interpreted Data'!A162</f>
        <v>DH</v>
      </c>
      <c r="B162" t="str">
        <f>'Interpreted Data'!B162</f>
        <v/>
      </c>
      <c r="C162" s="2"/>
      <c r="D162" s="10"/>
      <c r="E162" s="11"/>
    </row>
    <row r="163" spans="1:5" x14ac:dyDescent="0.25">
      <c r="A163" t="str">
        <f>'Interpreted Data'!A163</f>
        <v/>
      </c>
      <c r="B163" t="str">
        <f>'Interpreted Data'!B163</f>
        <v/>
      </c>
      <c r="C163" s="2"/>
      <c r="D163" s="10"/>
      <c r="E163" s="11"/>
    </row>
    <row r="164" spans="1:5" x14ac:dyDescent="0.25">
      <c r="A164" t="str">
        <f>'Interpreted Data'!A164</f>
        <v>21st Dec '52</v>
      </c>
      <c r="B164" t="str">
        <f>'Interpreted Data'!B164</f>
        <v>Howard &amp; Jock.</v>
      </c>
      <c r="C164" s="2"/>
      <c r="D164" s="10"/>
      <c r="E164" s="11"/>
    </row>
    <row r="165" spans="1:5" x14ac:dyDescent="0.25">
      <c r="A165" t="str">
        <f>'Interpreted Data'!A165</f>
        <v>DH</v>
      </c>
      <c r="B165" t="str">
        <f>'Interpreted Data'!B165</f>
        <v>DG</v>
      </c>
      <c r="C165" s="2">
        <f>'Interpreted Data'!J165/$B$1</f>
        <v>1.7073170731707317</v>
      </c>
      <c r="D165" s="10">
        <f>'Interpreted Data'!T165</f>
        <v>355</v>
      </c>
      <c r="E165" s="11">
        <f>'Interpreted Data'!U165</f>
        <v>30</v>
      </c>
    </row>
    <row r="166" spans="1:5" x14ac:dyDescent="0.25">
      <c r="A166" t="str">
        <f>'Interpreted Data'!A166</f>
        <v>DG</v>
      </c>
      <c r="B166" t="str">
        <f>'Interpreted Data'!B166</f>
        <v>DF</v>
      </c>
      <c r="C166" s="2">
        <f>'Interpreted Data'!J166/$B$1</f>
        <v>2.6524390243902438</v>
      </c>
      <c r="D166" s="10">
        <f>'Interpreted Data'!T166</f>
        <v>317</v>
      </c>
      <c r="E166" s="11">
        <f>'Interpreted Data'!U166</f>
        <v>2</v>
      </c>
    </row>
    <row r="167" spans="1:5" x14ac:dyDescent="0.25">
      <c r="A167" t="str">
        <f>'Interpreted Data'!A167</f>
        <v>DF</v>
      </c>
      <c r="B167" t="str">
        <f>'Interpreted Data'!B167</f>
        <v>DE</v>
      </c>
      <c r="C167" s="2">
        <f>'Interpreted Data'!J167/$B$1</f>
        <v>0.94512195121951226</v>
      </c>
      <c r="D167" s="10">
        <f>'Interpreted Data'!T167</f>
        <v>267</v>
      </c>
      <c r="E167" s="11">
        <f>'Interpreted Data'!U167</f>
        <v>21</v>
      </c>
    </row>
    <row r="168" spans="1:5" x14ac:dyDescent="0.25">
      <c r="A168" t="str">
        <f>'Interpreted Data'!A168</f>
        <v>DE</v>
      </c>
      <c r="B168" t="str">
        <f>'Interpreted Data'!B168</f>
        <v>DD</v>
      </c>
      <c r="C168" s="2">
        <f>'Interpreted Data'!J168/$B$1</f>
        <v>4.0853658536585371</v>
      </c>
      <c r="D168" s="10">
        <f>'Interpreted Data'!T168</f>
        <v>299</v>
      </c>
      <c r="E168" s="11">
        <f>'Interpreted Data'!U168</f>
        <v>-15</v>
      </c>
    </row>
    <row r="169" spans="1:5" x14ac:dyDescent="0.25">
      <c r="A169" t="str">
        <f>'Interpreted Data'!A169</f>
        <v>DD</v>
      </c>
      <c r="B169" t="str">
        <f>'Interpreted Data'!B169</f>
        <v>DC</v>
      </c>
      <c r="C169" s="2">
        <f>'Interpreted Data'!J169/$B$1</f>
        <v>5.8536585365853657</v>
      </c>
      <c r="D169" s="10">
        <f>'Interpreted Data'!T169</f>
        <v>325.5</v>
      </c>
      <c r="E169" s="11">
        <f>'Interpreted Data'!U169</f>
        <v>-2.5</v>
      </c>
    </row>
    <row r="170" spans="1:5" x14ac:dyDescent="0.25">
      <c r="A170" t="str">
        <f>'Interpreted Data'!A170</f>
        <v>DC</v>
      </c>
      <c r="B170" t="str">
        <f>'Interpreted Data'!B170</f>
        <v>DB</v>
      </c>
      <c r="C170" s="2">
        <f>'Interpreted Data'!J170/$B$1</f>
        <v>6.1280487804878057</v>
      </c>
      <c r="D170" s="10">
        <f>'Interpreted Data'!T170</f>
        <v>319.5</v>
      </c>
      <c r="E170" s="11">
        <f>'Interpreted Data'!U170</f>
        <v>-13</v>
      </c>
    </row>
    <row r="171" spans="1:5" x14ac:dyDescent="0.25">
      <c r="A171" t="str">
        <f>'Interpreted Data'!A171</f>
        <v>DB</v>
      </c>
      <c r="B171" t="str">
        <f>'Interpreted Data'!B171</f>
        <v>DA</v>
      </c>
      <c r="C171" s="2">
        <f>'Interpreted Data'!J171/$B$1</f>
        <v>7.0731707317073171</v>
      </c>
      <c r="D171" s="10">
        <f>'Interpreted Data'!T171</f>
        <v>269</v>
      </c>
      <c r="E171" s="11">
        <f>'Interpreted Data'!U171</f>
        <v>-15</v>
      </c>
    </row>
    <row r="172" spans="1:5" x14ac:dyDescent="0.25">
      <c r="A172" t="str">
        <f>'Interpreted Data'!A172</f>
        <v>DA</v>
      </c>
      <c r="B172" t="str">
        <f>'Interpreted Data'!B172</f>
        <v>CZ</v>
      </c>
      <c r="C172" s="2">
        <f>'Interpreted Data'!J172/$B$1</f>
        <v>8.5060975609756095</v>
      </c>
      <c r="D172" s="10">
        <f>'Interpreted Data'!T172</f>
        <v>202.33333333333334</v>
      </c>
      <c r="E172" s="11">
        <f>'Interpreted Data'!U172</f>
        <v>-41.5</v>
      </c>
    </row>
    <row r="173" spans="1:5" x14ac:dyDescent="0.25">
      <c r="A173" t="str">
        <f>'Interpreted Data'!A173</f>
        <v>CZ</v>
      </c>
      <c r="B173" t="str">
        <f>'Interpreted Data'!B173</f>
        <v>CY</v>
      </c>
      <c r="C173" s="2">
        <f>'Interpreted Data'!J173/$B$1</f>
        <v>6.8902439024390256</v>
      </c>
      <c r="D173" s="10">
        <f>'Interpreted Data'!T173</f>
        <v>249</v>
      </c>
      <c r="E173" s="11">
        <f>'Interpreted Data'!U173</f>
        <v>-17</v>
      </c>
    </row>
    <row r="174" spans="1:5" x14ac:dyDescent="0.25">
      <c r="A174" t="str">
        <f>'Interpreted Data'!A174</f>
        <v>CY</v>
      </c>
      <c r="B174" t="str">
        <f>'Interpreted Data'!B174</f>
        <v>CX</v>
      </c>
      <c r="C174" s="2">
        <f>'Interpreted Data'!J174/$B$1</f>
        <v>8.3536585365853657</v>
      </c>
      <c r="D174" s="10">
        <f>'Interpreted Data'!T174</f>
        <v>292</v>
      </c>
      <c r="E174" s="11">
        <f>'Interpreted Data'!U174</f>
        <v>-6.6666666599999997</v>
      </c>
    </row>
    <row r="175" spans="1:5" x14ac:dyDescent="0.25">
      <c r="A175" t="str">
        <f>'Interpreted Data'!A175</f>
        <v>CX</v>
      </c>
      <c r="B175" t="str">
        <f>'Interpreted Data'!B175</f>
        <v>CW</v>
      </c>
      <c r="C175" s="2">
        <f>'Interpreted Data'!J175/$B$1</f>
        <v>6.7682926829268295</v>
      </c>
      <c r="D175" s="10">
        <f>'Interpreted Data'!T175</f>
        <v>210</v>
      </c>
      <c r="E175" s="11">
        <f>'Interpreted Data'!U175</f>
        <v>-1.66666666</v>
      </c>
    </row>
    <row r="176" spans="1:5" x14ac:dyDescent="0.25">
      <c r="A176" t="str">
        <f>'Interpreted Data'!A176</f>
        <v>CW</v>
      </c>
      <c r="B176" t="str">
        <f>'Interpreted Data'!B176</f>
        <v>CV</v>
      </c>
      <c r="C176" s="2">
        <f>'Interpreted Data'!J176/$B$1</f>
        <v>4.9695121951219514</v>
      </c>
      <c r="D176" s="10">
        <f>'Interpreted Data'!T176</f>
        <v>192</v>
      </c>
      <c r="E176" s="11">
        <f>'Interpreted Data'!U176</f>
        <v>6.5</v>
      </c>
    </row>
    <row r="177" spans="1:5" x14ac:dyDescent="0.25">
      <c r="A177" t="str">
        <f>'Interpreted Data'!A177</f>
        <v>CV</v>
      </c>
      <c r="B177" t="str">
        <f>'Interpreted Data'!B177</f>
        <v>CU</v>
      </c>
      <c r="C177" s="2">
        <f>'Interpreted Data'!J177/$B$1</f>
        <v>4.1463414634146343</v>
      </c>
      <c r="D177" s="10">
        <f>'Interpreted Data'!T177</f>
        <v>253</v>
      </c>
      <c r="E177" s="11">
        <f>'Interpreted Data'!U177</f>
        <v>6</v>
      </c>
    </row>
    <row r="178" spans="1:5" x14ac:dyDescent="0.25">
      <c r="A178" t="str">
        <f>'Interpreted Data'!A178</f>
        <v>CU</v>
      </c>
      <c r="B178" t="str">
        <f>'Interpreted Data'!B178</f>
        <v>CT</v>
      </c>
      <c r="C178" s="2">
        <f>'Interpreted Data'!J178/$B$1</f>
        <v>6.1280487804878057</v>
      </c>
      <c r="D178" s="10">
        <f>'Interpreted Data'!T178</f>
        <v>259.5</v>
      </c>
      <c r="E178" s="11">
        <f>'Interpreted Data'!U178</f>
        <v>-28</v>
      </c>
    </row>
    <row r="179" spans="1:5" x14ac:dyDescent="0.25">
      <c r="A179" t="str">
        <f>'Interpreted Data'!A179</f>
        <v>CT</v>
      </c>
      <c r="B179" t="str">
        <f>'Interpreted Data'!B179</f>
        <v>CS</v>
      </c>
      <c r="C179" s="2">
        <f>'Interpreted Data'!J179/$B$1</f>
        <v>0.54878048780487809</v>
      </c>
      <c r="D179" s="10" t="str">
        <f>'Interpreted Data'!T179</f>
        <v>-</v>
      </c>
      <c r="E179" s="11">
        <f>'Interpreted Data'!U179</f>
        <v>90</v>
      </c>
    </row>
    <row r="180" spans="1:5" x14ac:dyDescent="0.25">
      <c r="A180" t="str">
        <f>'Interpreted Data'!A180</f>
        <v>CS</v>
      </c>
      <c r="B180" t="str">
        <f>'Interpreted Data'!B180</f>
        <v>CR</v>
      </c>
      <c r="C180" s="2">
        <f>'Interpreted Data'!J180/$B$1</f>
        <v>4.8170731707317076</v>
      </c>
      <c r="D180" s="10">
        <f>'Interpreted Data'!T180</f>
        <v>321</v>
      </c>
      <c r="E180" s="11">
        <f>'Interpreted Data'!U180</f>
        <v>-1</v>
      </c>
    </row>
    <row r="181" spans="1:5" x14ac:dyDescent="0.25">
      <c r="A181" t="str">
        <f>'Interpreted Data'!A181</f>
        <v>CR</v>
      </c>
      <c r="B181" t="str">
        <f>'Interpreted Data'!B181</f>
        <v>CQ</v>
      </c>
      <c r="C181" s="2">
        <f>'Interpreted Data'!J181/$B$1</f>
        <v>5.0914634146341466</v>
      </c>
      <c r="D181" s="10">
        <f>'Interpreted Data'!T181</f>
        <v>324</v>
      </c>
      <c r="E181" s="11">
        <f>'Interpreted Data'!U181</f>
        <v>-5</v>
      </c>
    </row>
    <row r="182" spans="1:5" x14ac:dyDescent="0.25">
      <c r="A182" t="str">
        <f>'Interpreted Data'!A182</f>
        <v>CQ</v>
      </c>
      <c r="B182" t="str">
        <f>'Interpreted Data'!B182</f>
        <v>CP</v>
      </c>
      <c r="C182" s="2">
        <f>'Interpreted Data'!J182/$B$1</f>
        <v>4.4207317073170733</v>
      </c>
      <c r="D182" s="10">
        <f>'Interpreted Data'!T182</f>
        <v>325.5</v>
      </c>
      <c r="E182" s="11">
        <f>'Interpreted Data'!U182</f>
        <v>3</v>
      </c>
    </row>
    <row r="183" spans="1:5" x14ac:dyDescent="0.25">
      <c r="A183" t="str">
        <f>'Interpreted Data'!A183</f>
        <v>CP</v>
      </c>
      <c r="B183" t="str">
        <f>'Interpreted Data'!B183</f>
        <v>CO</v>
      </c>
      <c r="C183" s="2">
        <f>'Interpreted Data'!J183/$B$1</f>
        <v>1.25</v>
      </c>
      <c r="D183" s="10">
        <f>'Interpreted Data'!T183</f>
        <v>351</v>
      </c>
      <c r="E183" s="11">
        <f>'Interpreted Data'!U183</f>
        <v>0</v>
      </c>
    </row>
    <row r="184" spans="1:5" x14ac:dyDescent="0.25">
      <c r="A184" t="str">
        <f>'Interpreted Data'!A184</f>
        <v>CO</v>
      </c>
      <c r="B184" t="str">
        <f>'Interpreted Data'!B184</f>
        <v>CN</v>
      </c>
      <c r="C184" s="2">
        <f>'Interpreted Data'!J184/$B$1</f>
        <v>2.8963414634146343</v>
      </c>
      <c r="D184" s="10">
        <f>'Interpreted Data'!T184</f>
        <v>348</v>
      </c>
      <c r="E184" s="11">
        <f>'Interpreted Data'!U184</f>
        <v>4.5</v>
      </c>
    </row>
    <row r="185" spans="1:5" x14ac:dyDescent="0.25">
      <c r="A185" t="str">
        <f>'Interpreted Data'!A185</f>
        <v>CN</v>
      </c>
      <c r="B185" t="str">
        <f>'Interpreted Data'!B185</f>
        <v>CM</v>
      </c>
      <c r="C185" s="2">
        <f>'Interpreted Data'!J185/$B$1</f>
        <v>7.774390243902439</v>
      </c>
      <c r="D185" s="10">
        <f>'Interpreted Data'!T185</f>
        <v>335</v>
      </c>
      <c r="E185" s="11">
        <f>'Interpreted Data'!U185</f>
        <v>-21.5</v>
      </c>
    </row>
    <row r="186" spans="1:5" x14ac:dyDescent="0.25">
      <c r="A186" t="str">
        <f>'Interpreted Data'!A186</f>
        <v>CM</v>
      </c>
      <c r="B186" t="str">
        <f>'Interpreted Data'!B186</f>
        <v/>
      </c>
      <c r="C186" s="2"/>
      <c r="D186" s="10"/>
      <c r="E186" s="11"/>
    </row>
    <row r="187" spans="1:5" x14ac:dyDescent="0.25">
      <c r="A187" t="str">
        <f>'Interpreted Data'!A187</f>
        <v/>
      </c>
      <c r="B187" t="str">
        <f>'Interpreted Data'!B187</f>
        <v/>
      </c>
      <c r="C187" s="2"/>
      <c r="D187" s="10"/>
      <c r="E187" s="11"/>
    </row>
    <row r="188" spans="1:5" x14ac:dyDescent="0.25">
      <c r="A188" t="str">
        <f>'Interpreted Data'!A188</f>
        <v>p. 61-64</v>
      </c>
      <c r="B188" t="str">
        <f>'Interpreted Data'!B188</f>
        <v>(=PDF p.65-68)</v>
      </c>
      <c r="C188" s="2"/>
      <c r="D188" s="10"/>
      <c r="E188" s="11"/>
    </row>
    <row r="189" spans="1:5" x14ac:dyDescent="0.25">
      <c r="A189" t="str">
        <f>'Interpreted Data'!A189</f>
        <v>8th Feb '53</v>
      </c>
      <c r="B189" t="str">
        <f>'Interpreted Data'!B189</f>
        <v/>
      </c>
      <c r="C189" s="2"/>
      <c r="D189" s="10"/>
      <c r="E189" s="11"/>
    </row>
    <row r="190" spans="1:5" x14ac:dyDescent="0.25">
      <c r="A190" t="str">
        <f>'Interpreted Data'!A190</f>
        <v>AY</v>
      </c>
      <c r="B190" t="str">
        <f>'Interpreted Data'!B190</f>
        <v>AZ</v>
      </c>
      <c r="C190" s="2">
        <f>'Interpreted Data'!J190/$B$1</f>
        <v>5.3658536585365857</v>
      </c>
      <c r="D190" s="10">
        <f>'Interpreted Data'!T190</f>
        <v>79.333333333333329</v>
      </c>
      <c r="E190" s="11">
        <f>'Interpreted Data'!U190</f>
        <v>30.5</v>
      </c>
    </row>
    <row r="191" spans="1:5" x14ac:dyDescent="0.25">
      <c r="A191" t="str">
        <f>'Interpreted Data'!A191</f>
        <v>AZ</v>
      </c>
      <c r="B191" t="str">
        <f>'Interpreted Data'!B191</f>
        <v>BA</v>
      </c>
      <c r="C191" s="2">
        <f>'Interpreted Data'!J191/$B$1</f>
        <v>11.158536585365855</v>
      </c>
      <c r="D191" s="10">
        <f>'Interpreted Data'!T191</f>
        <v>113.5</v>
      </c>
      <c r="E191" s="11">
        <f>'Interpreted Data'!U191</f>
        <v>21.333333329999999</v>
      </c>
    </row>
    <row r="192" spans="1:5" x14ac:dyDescent="0.25">
      <c r="A192" t="str">
        <f>'Interpreted Data'!A192</f>
        <v>BA</v>
      </c>
      <c r="B192" t="str">
        <f>'Interpreted Data'!B192</f>
        <v>BB</v>
      </c>
      <c r="C192" s="2">
        <f>'Interpreted Data'!J192/$B$1</f>
        <v>3.2926829268292686</v>
      </c>
      <c r="D192" s="10">
        <f>'Interpreted Data'!T192</f>
        <v>359.5</v>
      </c>
      <c r="E192" s="11">
        <f>'Interpreted Data'!U192</f>
        <v>-38.333333330000002</v>
      </c>
    </row>
    <row r="193" spans="1:5" x14ac:dyDescent="0.25">
      <c r="A193" t="str">
        <f>'Interpreted Data'!A193</f>
        <v>BB</v>
      </c>
      <c r="B193" t="str">
        <f>'Interpreted Data'!B193</f>
        <v>BC</v>
      </c>
      <c r="C193" s="2">
        <f>'Interpreted Data'!J193/$B$1</f>
        <v>6.2195121951219514</v>
      </c>
      <c r="D193" s="10">
        <f>'Interpreted Data'!T193</f>
        <v>11.833333333333334</v>
      </c>
      <c r="E193" s="11">
        <f>'Interpreted Data'!U193</f>
        <v>1</v>
      </c>
    </row>
    <row r="194" spans="1:5" x14ac:dyDescent="0.25">
      <c r="A194" t="str">
        <f>'Interpreted Data'!A194</f>
        <v>BC</v>
      </c>
      <c r="B194" t="str">
        <f>'Interpreted Data'!B194</f>
        <v>BD</v>
      </c>
      <c r="C194" s="2">
        <f>'Interpreted Data'!J194/$B$1</f>
        <v>15.121951219512196</v>
      </c>
      <c r="D194" s="10">
        <f>'Interpreted Data'!T194</f>
        <v>340</v>
      </c>
      <c r="E194" s="11">
        <f>'Interpreted Data'!U194</f>
        <v>17.666666660000001</v>
      </c>
    </row>
    <row r="195" spans="1:5" x14ac:dyDescent="0.25">
      <c r="A195" t="str">
        <f>'Interpreted Data'!A195</f>
        <v>BD</v>
      </c>
      <c r="B195" t="str">
        <f>'Interpreted Data'!B195</f>
        <v>BE</v>
      </c>
      <c r="C195" s="2">
        <f>'Interpreted Data'!J195/$B$1</f>
        <v>7.5304878048780486</v>
      </c>
      <c r="D195" s="10">
        <f>'Interpreted Data'!T195</f>
        <v>333</v>
      </c>
      <c r="E195" s="11">
        <f>'Interpreted Data'!U195</f>
        <v>-26</v>
      </c>
    </row>
    <row r="196" spans="1:5" x14ac:dyDescent="0.25">
      <c r="A196" t="str">
        <f>'Interpreted Data'!A196</f>
        <v>BE</v>
      </c>
      <c r="B196" t="str">
        <f>'Interpreted Data'!B196</f>
        <v>BF</v>
      </c>
      <c r="C196" s="2">
        <f>'Interpreted Data'!J196/$B$1</f>
        <v>4.0548780487804885</v>
      </c>
      <c r="D196" s="10">
        <f>'Interpreted Data'!T196</f>
        <v>23.5</v>
      </c>
      <c r="E196" s="11">
        <f>'Interpreted Data'!U196</f>
        <v>14</v>
      </c>
    </row>
    <row r="197" spans="1:5" x14ac:dyDescent="0.25">
      <c r="A197" t="str">
        <f>'Interpreted Data'!A197</f>
        <v>BF</v>
      </c>
      <c r="B197" t="str">
        <f>'Interpreted Data'!B197</f>
        <v>BG</v>
      </c>
      <c r="C197" s="2">
        <f>'Interpreted Data'!J197/$B$1</f>
        <v>4.786585365853659</v>
      </c>
      <c r="D197" s="10">
        <f>'Interpreted Data'!T197</f>
        <v>91.833333333333329</v>
      </c>
      <c r="E197" s="11">
        <f>'Interpreted Data'!U197</f>
        <v>15</v>
      </c>
    </row>
    <row r="198" spans="1:5" x14ac:dyDescent="0.25">
      <c r="A198" t="str">
        <f>'Interpreted Data'!A198</f>
        <v>BG</v>
      </c>
      <c r="B198" t="str">
        <f>'Interpreted Data'!B198</f>
        <v>BH</v>
      </c>
      <c r="C198" s="2">
        <f>'Interpreted Data'!J198/$B$1</f>
        <v>11.25</v>
      </c>
      <c r="D198" s="10">
        <f>'Interpreted Data'!T198</f>
        <v>144.33333333333334</v>
      </c>
      <c r="E198" s="11">
        <f>'Interpreted Data'!U198</f>
        <v>11.5</v>
      </c>
    </row>
    <row r="199" spans="1:5" x14ac:dyDescent="0.25">
      <c r="A199" t="str">
        <f>'Interpreted Data'!A199</f>
        <v>BH</v>
      </c>
      <c r="B199" t="str">
        <f>'Interpreted Data'!B199</f>
        <v>BI</v>
      </c>
      <c r="C199" s="2">
        <f>'Interpreted Data'!J199/$B$1</f>
        <v>7.3780487804878048</v>
      </c>
      <c r="D199" s="10">
        <f>'Interpreted Data'!T199</f>
        <v>104.16666666666667</v>
      </c>
      <c r="E199" s="11">
        <f>'Interpreted Data'!U199</f>
        <v>-0.5</v>
      </c>
    </row>
    <row r="200" spans="1:5" x14ac:dyDescent="0.25">
      <c r="A200" t="str">
        <f>'Interpreted Data'!A200</f>
        <v>BI</v>
      </c>
      <c r="B200" t="str">
        <f>'Interpreted Data'!B200</f>
        <v>BJ</v>
      </c>
      <c r="C200" s="2">
        <f>'Interpreted Data'!J200/$B$1</f>
        <v>5.3353658536585371</v>
      </c>
      <c r="D200" s="10">
        <f>'Interpreted Data'!T200</f>
        <v>32.333333333333336</v>
      </c>
      <c r="E200" s="11">
        <f>'Interpreted Data'!U200</f>
        <v>39</v>
      </c>
    </row>
    <row r="201" spans="1:5" x14ac:dyDescent="0.25">
      <c r="A201" t="str">
        <f>'Interpreted Data'!A201</f>
        <v>BJ</v>
      </c>
      <c r="B201" t="str">
        <f>'Interpreted Data'!B201</f>
        <v>BK</v>
      </c>
      <c r="C201" s="2">
        <f>'Interpreted Data'!J201/$B$1</f>
        <v>7.5609756097560981</v>
      </c>
      <c r="D201" s="10">
        <f>'Interpreted Data'!T201</f>
        <v>121</v>
      </c>
      <c r="E201" s="11">
        <f>'Interpreted Data'!U201</f>
        <v>9</v>
      </c>
    </row>
    <row r="202" spans="1:5" x14ac:dyDescent="0.25">
      <c r="A202" t="str">
        <f>'Interpreted Data'!A202</f>
        <v>BK</v>
      </c>
      <c r="B202" t="str">
        <f>'Interpreted Data'!B202</f>
        <v>BL</v>
      </c>
      <c r="C202" s="2">
        <f>'Interpreted Data'!J202/$B$1</f>
        <v>6.7378048780487809</v>
      </c>
      <c r="D202" s="10">
        <f>'Interpreted Data'!T202</f>
        <v>97.5</v>
      </c>
      <c r="E202" s="11">
        <f>'Interpreted Data'!U202</f>
        <v>-0.5</v>
      </c>
    </row>
    <row r="203" spans="1:5" x14ac:dyDescent="0.25">
      <c r="A203" t="str">
        <f>'Interpreted Data'!A203</f>
        <v>BL</v>
      </c>
      <c r="B203" t="str">
        <f>'Interpreted Data'!B203</f>
        <v>BM</v>
      </c>
      <c r="C203" s="2">
        <f>'Interpreted Data'!J203/$B$1</f>
        <v>10.884146341463417</v>
      </c>
      <c r="D203" s="10">
        <f>'Interpreted Data'!T203</f>
        <v>133</v>
      </c>
      <c r="E203" s="11">
        <f>'Interpreted Data'!U203</f>
        <v>7</v>
      </c>
    </row>
    <row r="204" spans="1:5" x14ac:dyDescent="0.25">
      <c r="A204" t="str">
        <f>'Interpreted Data'!A204</f>
        <v>BM</v>
      </c>
      <c r="B204" t="str">
        <f>'Interpreted Data'!B204</f>
        <v>BN</v>
      </c>
      <c r="C204" s="2">
        <f>'Interpreted Data'!J204/$B$1</f>
        <v>3.0182926829268295</v>
      </c>
      <c r="D204" s="10">
        <f>'Interpreted Data'!T204</f>
        <v>171.33333333333334</v>
      </c>
      <c r="E204" s="11">
        <f>'Interpreted Data'!U204</f>
        <v>-23.5</v>
      </c>
    </row>
    <row r="205" spans="1:5" x14ac:dyDescent="0.25">
      <c r="A205" t="str">
        <f>'Interpreted Data'!A205</f>
        <v>BN</v>
      </c>
      <c r="B205" t="str">
        <f>'Interpreted Data'!B205</f>
        <v>BO</v>
      </c>
      <c r="C205" s="2">
        <f>'Interpreted Data'!J205/$B$1</f>
        <v>2.3475609756097562</v>
      </c>
      <c r="D205" s="10">
        <f>'Interpreted Data'!T205</f>
        <v>102.33333333333333</v>
      </c>
      <c r="E205" s="11">
        <f>'Interpreted Data'!U205</f>
        <v>15</v>
      </c>
    </row>
    <row r="206" spans="1:5" x14ac:dyDescent="0.25">
      <c r="A206" t="str">
        <f>'Interpreted Data'!A206</f>
        <v>BO</v>
      </c>
      <c r="B206" t="str">
        <f>'Interpreted Data'!B206</f>
        <v>BP</v>
      </c>
      <c r="C206" s="2">
        <f>'Interpreted Data'!J206/$B$1</f>
        <v>6.4634146341463419</v>
      </c>
      <c r="D206" s="10">
        <f>'Interpreted Data'!T206</f>
        <v>137</v>
      </c>
      <c r="E206" s="11">
        <f>'Interpreted Data'!U206</f>
        <v>6.8333333300000003</v>
      </c>
    </row>
    <row r="207" spans="1:5" x14ac:dyDescent="0.25">
      <c r="A207" t="str">
        <f>'Interpreted Data'!A207</f>
        <v>BP</v>
      </c>
      <c r="B207" t="str">
        <f>'Interpreted Data'!B207</f>
        <v>BQ</v>
      </c>
      <c r="C207" s="2">
        <f>'Interpreted Data'!J207/$B$1</f>
        <v>8.6890243902439028</v>
      </c>
      <c r="D207" s="10">
        <f>'Interpreted Data'!T207</f>
        <v>152.5</v>
      </c>
      <c r="E207" s="11">
        <f>'Interpreted Data'!U207</f>
        <v>9.6666666600000006</v>
      </c>
    </row>
    <row r="208" spans="1:5" x14ac:dyDescent="0.25">
      <c r="A208" t="str">
        <f>'Interpreted Data'!A208</f>
        <v>BQ</v>
      </c>
      <c r="B208" t="str">
        <f>'Interpreted Data'!B208</f>
        <v>BR</v>
      </c>
      <c r="C208" s="2">
        <f>'Interpreted Data'!J208/$B$1</f>
        <v>9.0243902439024399</v>
      </c>
      <c r="D208" s="10">
        <f>'Interpreted Data'!T208</f>
        <v>133.16666666666666</v>
      </c>
      <c r="E208" s="11">
        <f>'Interpreted Data'!U208</f>
        <v>1.5</v>
      </c>
    </row>
    <row r="209" spans="1:5" x14ac:dyDescent="0.25">
      <c r="A209" t="str">
        <f>'Interpreted Data'!A209</f>
        <v>BR</v>
      </c>
      <c r="B209" t="str">
        <f>'Interpreted Data'!B209</f>
        <v>BS</v>
      </c>
      <c r="C209" s="2">
        <f>'Interpreted Data'!J209/$B$1</f>
        <v>6.2195121951219514</v>
      </c>
      <c r="D209" s="10">
        <f>'Interpreted Data'!T209</f>
        <v>137.5</v>
      </c>
      <c r="E209" s="11">
        <f>'Interpreted Data'!U209</f>
        <v>-4.5</v>
      </c>
    </row>
    <row r="210" spans="1:5" x14ac:dyDescent="0.25">
      <c r="A210" t="str">
        <f>'Interpreted Data'!A210</f>
        <v>BS</v>
      </c>
      <c r="B210" t="str">
        <f>'Interpreted Data'!B210</f>
        <v>BT</v>
      </c>
      <c r="C210" s="2">
        <f>'Interpreted Data'!J210/$B$1</f>
        <v>0.45833220665771057</v>
      </c>
      <c r="D210" s="10">
        <f>'Interpreted Data'!T210</f>
        <v>149</v>
      </c>
      <c r="E210" s="11">
        <f>'Interpreted Data'!U210</f>
        <v>-3.8140748342903552</v>
      </c>
    </row>
    <row r="211" spans="1:5" x14ac:dyDescent="0.25">
      <c r="A211" t="str">
        <f>'Interpreted Data'!A211</f>
        <v>BT</v>
      </c>
      <c r="B211" t="str">
        <f>'Interpreted Data'!B211</f>
        <v>BU</v>
      </c>
      <c r="C211" s="2">
        <f>'Interpreted Data'!J211/$B$1</f>
        <v>6.5853658536585371</v>
      </c>
      <c r="D211" s="10">
        <f>'Interpreted Data'!T211</f>
        <v>85.833333333333329</v>
      </c>
      <c r="E211" s="11">
        <f>'Interpreted Data'!U211</f>
        <v>14.33333333</v>
      </c>
    </row>
    <row r="212" spans="1:5" x14ac:dyDescent="0.25">
      <c r="A212" t="str">
        <f>'Interpreted Data'!A212</f>
        <v>BU</v>
      </c>
      <c r="B212" t="str">
        <f>'Interpreted Data'!B212</f>
        <v>BV</v>
      </c>
      <c r="C212" s="2">
        <f>'Interpreted Data'!J212/$B$1</f>
        <v>2.5914634146341466</v>
      </c>
      <c r="D212" s="10">
        <f>'Interpreted Data'!T212</f>
        <v>116</v>
      </c>
      <c r="E212" s="11">
        <f>'Interpreted Data'!U212</f>
        <v>-6.5</v>
      </c>
    </row>
    <row r="213" spans="1:5" x14ac:dyDescent="0.25">
      <c r="A213" t="str">
        <f>'Interpreted Data'!A213</f>
        <v>BV</v>
      </c>
      <c r="B213" t="str">
        <f>'Interpreted Data'!B213</f>
        <v>BW</v>
      </c>
      <c r="C213" s="2">
        <f>'Interpreted Data'!J213/$B$1</f>
        <v>4.786585365853659</v>
      </c>
      <c r="D213" s="10">
        <f>'Interpreted Data'!T213</f>
        <v>86.333333333333329</v>
      </c>
      <c r="E213" s="11">
        <f>'Interpreted Data'!U213</f>
        <v>11.5</v>
      </c>
    </row>
    <row r="214" spans="1:5" x14ac:dyDescent="0.25">
      <c r="A214" t="str">
        <f>'Interpreted Data'!A214</f>
        <v>BW</v>
      </c>
      <c r="B214" t="str">
        <f>'Interpreted Data'!B214</f>
        <v>BX</v>
      </c>
      <c r="C214" s="2">
        <f>'Interpreted Data'!J214/$B$1</f>
        <v>8.6890243902439028</v>
      </c>
      <c r="D214" s="10">
        <f>'Interpreted Data'!T214</f>
        <v>117</v>
      </c>
      <c r="E214" s="11">
        <f>'Interpreted Data'!U214</f>
        <v>32.5</v>
      </c>
    </row>
    <row r="215" spans="1:5" x14ac:dyDescent="0.25">
      <c r="A215" t="str">
        <f>'Interpreted Data'!A215</f>
        <v>BX</v>
      </c>
      <c r="B215" t="str">
        <f>'Interpreted Data'!B215</f>
        <v>BY</v>
      </c>
      <c r="C215" s="2">
        <f>'Interpreted Data'!J215/$B$1</f>
        <v>2.1036585365853662</v>
      </c>
      <c r="D215" s="10">
        <f>'Interpreted Data'!T215</f>
        <v>146</v>
      </c>
      <c r="E215" s="11">
        <f>'Interpreted Data'!U215</f>
        <v>24.5</v>
      </c>
    </row>
    <row r="216" spans="1:5" x14ac:dyDescent="0.25">
      <c r="A216" t="str">
        <f>'Interpreted Data'!A216</f>
        <v>BY</v>
      </c>
      <c r="B216" t="str">
        <f>'Interpreted Data'!B216</f>
        <v>BZ</v>
      </c>
      <c r="C216" s="2">
        <f>'Interpreted Data'!J216/$B$1</f>
        <v>4.2073170731707323</v>
      </c>
      <c r="D216" s="10">
        <f>'Interpreted Data'!T216</f>
        <v>125.33333333333333</v>
      </c>
      <c r="E216" s="11">
        <f>'Interpreted Data'!U216</f>
        <v>-4.5</v>
      </c>
    </row>
    <row r="217" spans="1:5" x14ac:dyDescent="0.25">
      <c r="A217" t="str">
        <f>'Interpreted Data'!A217</f>
        <v>BZ</v>
      </c>
      <c r="B217" t="str">
        <f>'Interpreted Data'!B217</f>
        <v>CA</v>
      </c>
      <c r="C217" s="2">
        <f>'Interpreted Data'!J217/$B$1</f>
        <v>5.6402439024390247</v>
      </c>
      <c r="D217" s="10">
        <f>'Interpreted Data'!T217</f>
        <v>172</v>
      </c>
      <c r="E217" s="11">
        <f>'Interpreted Data'!U217</f>
        <v>2.25</v>
      </c>
    </row>
    <row r="218" spans="1:5" x14ac:dyDescent="0.25">
      <c r="A218" t="str">
        <f>'Interpreted Data'!A218</f>
        <v>CA</v>
      </c>
      <c r="B218" t="str">
        <f>'Interpreted Data'!B218</f>
        <v>CB</v>
      </c>
      <c r="C218" s="2">
        <f>'Interpreted Data'!J218/$B$1</f>
        <v>2.4390243902439024</v>
      </c>
      <c r="D218" s="10">
        <f>'Interpreted Data'!T218</f>
        <v>125</v>
      </c>
      <c r="E218" s="11">
        <f>'Interpreted Data'!U218</f>
        <v>4</v>
      </c>
    </row>
    <row r="219" spans="1:5" x14ac:dyDescent="0.25">
      <c r="A219" t="str">
        <f>'Interpreted Data'!A219</f>
        <v>CB</v>
      </c>
      <c r="B219" t="str">
        <f>'Interpreted Data'!B219</f>
        <v>CC</v>
      </c>
      <c r="C219" s="2">
        <f>'Interpreted Data'!J219/$B$1</f>
        <v>5.3048780487804876</v>
      </c>
      <c r="D219" s="10">
        <f>'Interpreted Data'!T219</f>
        <v>104.16666666666667</v>
      </c>
      <c r="E219" s="11">
        <f>'Interpreted Data'!U219</f>
        <v>16</v>
      </c>
    </row>
    <row r="220" spans="1:5" x14ac:dyDescent="0.25">
      <c r="A220" t="str">
        <f>'Interpreted Data'!A220</f>
        <v>CC</v>
      </c>
      <c r="B220" t="str">
        <f>'Interpreted Data'!B220</f>
        <v>CD</v>
      </c>
      <c r="C220" s="2">
        <f>'Interpreted Data'!J220/$B$1</f>
        <v>22.743902439024389</v>
      </c>
      <c r="D220" s="10">
        <f>'Interpreted Data'!T220</f>
        <v>137.16666666666666</v>
      </c>
      <c r="E220" s="11">
        <f>'Interpreted Data'!U220</f>
        <v>7.1666666599999997</v>
      </c>
    </row>
    <row r="221" spans="1:5" x14ac:dyDescent="0.25">
      <c r="A221" t="str">
        <f>'Interpreted Data'!A221</f>
        <v>CD</v>
      </c>
      <c r="B221" t="str">
        <f>'Interpreted Data'!B221</f>
        <v>CE</v>
      </c>
      <c r="C221" s="2">
        <f>'Interpreted Data'!J221/$B$1</f>
        <v>10.670731707317074</v>
      </c>
      <c r="D221" s="10">
        <f>'Interpreted Data'!T221</f>
        <v>124</v>
      </c>
      <c r="E221" s="11">
        <f>'Interpreted Data'!U221</f>
        <v>19</v>
      </c>
    </row>
    <row r="222" spans="1:5" x14ac:dyDescent="0.25">
      <c r="A222" t="str">
        <f>'Interpreted Data'!A222</f>
        <v>CE</v>
      </c>
      <c r="B222" t="str">
        <f>'Interpreted Data'!B222</f>
        <v>CF</v>
      </c>
      <c r="C222" s="2">
        <f>'Interpreted Data'!J222/$B$1</f>
        <v>8.6280487804878057</v>
      </c>
      <c r="D222" s="10">
        <f>'Interpreted Data'!T222</f>
        <v>91.666666666666671</v>
      </c>
      <c r="E222" s="11">
        <f>'Interpreted Data'!U222</f>
        <v>-13.5</v>
      </c>
    </row>
    <row r="223" spans="1:5" x14ac:dyDescent="0.25">
      <c r="A223" t="str">
        <f>'Interpreted Data'!A223</f>
        <v>CF</v>
      </c>
      <c r="B223" t="str">
        <f>'Interpreted Data'!B223</f>
        <v>CG</v>
      </c>
      <c r="C223" s="2">
        <f>'Interpreted Data'!J223/$B$1</f>
        <v>3.2317073170731709</v>
      </c>
      <c r="D223" s="10">
        <f>'Interpreted Data'!T223</f>
        <v>114.5</v>
      </c>
      <c r="E223" s="11">
        <f>'Interpreted Data'!U223</f>
        <v>16.5</v>
      </c>
    </row>
    <row r="224" spans="1:5" x14ac:dyDescent="0.25">
      <c r="A224" t="str">
        <f>'Interpreted Data'!A224</f>
        <v>CG</v>
      </c>
      <c r="B224" t="str">
        <f>'Interpreted Data'!B224</f>
        <v>CH</v>
      </c>
      <c r="C224" s="2">
        <f>'Interpreted Data'!J224/$B$1</f>
        <v>9.573170731707318</v>
      </c>
      <c r="D224" s="10">
        <f>'Interpreted Data'!T224</f>
        <v>14.333333333333334</v>
      </c>
      <c r="E224" s="11">
        <f>'Interpreted Data'!U224</f>
        <v>-3.5</v>
      </c>
    </row>
    <row r="225" spans="1:5" x14ac:dyDescent="0.25">
      <c r="A225" t="str">
        <f>'Interpreted Data'!A225</f>
        <v>CH</v>
      </c>
      <c r="B225" t="str">
        <f>'Interpreted Data'!B225</f>
        <v>CI</v>
      </c>
      <c r="C225" s="2">
        <f>'Interpreted Data'!J225/$B$1</f>
        <v>4.8475609756097562</v>
      </c>
      <c r="D225" s="10">
        <f>'Interpreted Data'!T225</f>
        <v>349</v>
      </c>
      <c r="E225" s="11">
        <f>'Interpreted Data'!U225</f>
        <v>4.5</v>
      </c>
    </row>
    <row r="226" spans="1:5" x14ac:dyDescent="0.25">
      <c r="A226" t="str">
        <f>'Interpreted Data'!A226</f>
        <v>CI</v>
      </c>
      <c r="B226" t="str">
        <f>'Interpreted Data'!B226</f>
        <v>CJ</v>
      </c>
      <c r="C226" s="2">
        <f>'Interpreted Data'!J226/$B$1</f>
        <v>10.731707317073171</v>
      </c>
      <c r="D226" s="10">
        <f>'Interpreted Data'!T226</f>
        <v>23</v>
      </c>
      <c r="E226" s="11">
        <f>'Interpreted Data'!U226</f>
        <v>-3.8333333299999999</v>
      </c>
    </row>
    <row r="227" spans="1:5" x14ac:dyDescent="0.25">
      <c r="A227" t="str">
        <f>'Interpreted Data'!A227</f>
        <v>CJ</v>
      </c>
      <c r="B227" t="str">
        <f>'Interpreted Data'!B227</f>
        <v>CK</v>
      </c>
      <c r="C227" s="2">
        <f>'Interpreted Data'!J227/$B$1</f>
        <v>3.7623730044518715</v>
      </c>
      <c r="D227" s="10">
        <f>'Interpreted Data'!T227</f>
        <v>328</v>
      </c>
      <c r="E227" s="11">
        <f>'Interpreted Data'!U227</f>
        <v>-4.6479706913870329</v>
      </c>
    </row>
    <row r="228" spans="1:5" x14ac:dyDescent="0.25">
      <c r="A228" t="str">
        <f>'Interpreted Data'!A228</f>
        <v>CK</v>
      </c>
      <c r="B228" t="str">
        <f>'Interpreted Data'!B228</f>
        <v>CL</v>
      </c>
      <c r="C228" s="2">
        <f>'Interpreted Data'!J228/$B$1</f>
        <v>10.884146341463417</v>
      </c>
      <c r="D228" s="10">
        <f>'Interpreted Data'!T228</f>
        <v>92</v>
      </c>
      <c r="E228" s="11">
        <f>'Interpreted Data'!U228</f>
        <v>71</v>
      </c>
    </row>
    <row r="229" spans="1:5" x14ac:dyDescent="0.25">
      <c r="A229" t="str">
        <f>'Interpreted Data'!A229</f>
        <v>CL</v>
      </c>
      <c r="B229" t="str">
        <f>'Interpreted Data'!B229</f>
        <v>CN</v>
      </c>
      <c r="C229" s="2">
        <f>'Interpreted Data'!J229/$B$1</f>
        <v>1.0992534376414602</v>
      </c>
      <c r="D229" s="10">
        <f>'Interpreted Data'!T229</f>
        <v>100</v>
      </c>
      <c r="E229" s="11">
        <f>'Interpreted Data'!U229</f>
        <v>33.690067525979785</v>
      </c>
    </row>
    <row r="230" spans="1:5" x14ac:dyDescent="0.25">
      <c r="A230" t="str">
        <f>'Interpreted Data'!A230</f>
        <v>CN</v>
      </c>
      <c r="B230" t="str">
        <f>'Interpreted Data'!B230</f>
        <v/>
      </c>
      <c r="C230" s="2"/>
      <c r="D230" s="10"/>
      <c r="E230" s="11"/>
    </row>
    <row r="231" spans="1:5" x14ac:dyDescent="0.25">
      <c r="A231" t="str">
        <f>'Interpreted Data'!A231</f>
        <v>1st March 1953</v>
      </c>
      <c r="B231" t="str">
        <f>'Interpreted Data'!B231</f>
        <v>Phil, Don, Oliver, Colin</v>
      </c>
      <c r="C231" s="2"/>
      <c r="D231" s="10"/>
      <c r="E231" s="11"/>
    </row>
    <row r="232" spans="1:5" x14ac:dyDescent="0.25">
      <c r="A232" t="str">
        <f>'Interpreted Data'!A232</f>
        <v>AL(?)</v>
      </c>
      <c r="B232" t="str">
        <f>'Interpreted Data'!B232</f>
        <v>a</v>
      </c>
      <c r="C232" s="2">
        <f>'Interpreted Data'!J232/$B$1</f>
        <v>1.0804905577237409</v>
      </c>
      <c r="D232" s="10">
        <f>'Interpreted Data'!T232</f>
        <v>228</v>
      </c>
      <c r="E232" s="11">
        <f>'Interpreted Data'!U232</f>
        <v>-16.389540334034784</v>
      </c>
    </row>
    <row r="233" spans="1:5" x14ac:dyDescent="0.25">
      <c r="A233" t="str">
        <f>'Interpreted Data'!A233</f>
        <v>a</v>
      </c>
      <c r="B233" t="str">
        <f>'Interpreted Data'!B233</f>
        <v>b</v>
      </c>
      <c r="C233" s="2">
        <f>'Interpreted Data'!J233/$B$1</f>
        <v>5.9146341463414629</v>
      </c>
      <c r="D233" s="10">
        <f>'Interpreted Data'!T233</f>
        <v>184</v>
      </c>
      <c r="E233" s="11">
        <f>'Interpreted Data'!U233</f>
        <v>56.5</v>
      </c>
    </row>
    <row r="234" spans="1:5" x14ac:dyDescent="0.25">
      <c r="A234" t="str">
        <f>'Interpreted Data'!A234</f>
        <v>b</v>
      </c>
      <c r="B234" t="str">
        <f>'Interpreted Data'!B234</f>
        <v>c</v>
      </c>
      <c r="C234" s="2">
        <f>'Interpreted Data'!J234/$B$1</f>
        <v>3.2926829268292686</v>
      </c>
      <c r="D234" s="10">
        <f>'Interpreted Data'!T234</f>
        <v>49.666666666666664</v>
      </c>
      <c r="E234" s="11">
        <f>'Interpreted Data'!U234</f>
        <v>30.25</v>
      </c>
    </row>
    <row r="235" spans="1:5" x14ac:dyDescent="0.25">
      <c r="A235" t="str">
        <f>'Interpreted Data'!A235</f>
        <v>c</v>
      </c>
      <c r="B235" t="str">
        <f>'Interpreted Data'!B235</f>
        <v>d</v>
      </c>
      <c r="C235" s="2">
        <f>'Interpreted Data'!J235/$B$1</f>
        <v>7.2560975609756104</v>
      </c>
      <c r="D235" s="10">
        <f>'Interpreted Data'!T235</f>
        <v>203.66666666666666</v>
      </c>
      <c r="E235" s="11">
        <f>'Interpreted Data'!U235</f>
        <v>19.666666660000001</v>
      </c>
    </row>
    <row r="236" spans="1:5" x14ac:dyDescent="0.25">
      <c r="A236" t="str">
        <f>'Interpreted Data'!A236</f>
        <v>d</v>
      </c>
      <c r="B236" t="str">
        <f>'Interpreted Data'!B236</f>
        <v>e</v>
      </c>
      <c r="C236" s="2">
        <f>'Interpreted Data'!J236/$B$1</f>
        <v>15.853658536585368</v>
      </c>
      <c r="D236" s="10">
        <f>'Interpreted Data'!T236</f>
        <v>125.16666666666667</v>
      </c>
      <c r="E236" s="11">
        <f>'Interpreted Data'!U236</f>
        <v>2.5</v>
      </c>
    </row>
    <row r="237" spans="1:5" x14ac:dyDescent="0.25">
      <c r="A237" t="str">
        <f>'Interpreted Data'!A237</f>
        <v>e</v>
      </c>
      <c r="B237" t="str">
        <f>'Interpreted Data'!B237</f>
        <v>f</v>
      </c>
      <c r="C237" s="2">
        <f>'Interpreted Data'!J237/$B$1</f>
        <v>7.1646341463414638</v>
      </c>
      <c r="D237" s="10">
        <f>'Interpreted Data'!Y237</f>
        <v>125</v>
      </c>
      <c r="E237" s="11">
        <f>'Interpreted Data'!U237</f>
        <v>8.75</v>
      </c>
    </row>
    <row r="238" spans="1:5" x14ac:dyDescent="0.25">
      <c r="A238" t="str">
        <f>'Interpreted Data'!A238</f>
        <v>f</v>
      </c>
      <c r="B238" t="str">
        <f>'Interpreted Data'!B238</f>
        <v>g</v>
      </c>
      <c r="C238" s="2">
        <f>'Interpreted Data'!J238/$B$1</f>
        <v>5.1524390243902438</v>
      </c>
      <c r="D238" s="10">
        <f>'Interpreted Data'!Y238</f>
        <v>162</v>
      </c>
      <c r="E238" s="11">
        <f>'Interpreted Data'!U238</f>
        <v>-5</v>
      </c>
    </row>
    <row r="239" spans="1:5" x14ac:dyDescent="0.25">
      <c r="A239" t="str">
        <f>'Interpreted Data'!A239</f>
        <v>g</v>
      </c>
      <c r="B239" t="str">
        <f>'Interpreted Data'!B239</f>
        <v>h</v>
      </c>
      <c r="C239" s="2">
        <f>'Interpreted Data'!J239/$B$1</f>
        <v>2.3220821980889776</v>
      </c>
      <c r="D239" s="10">
        <f>'Interpreted Data'!Y239</f>
        <v>193</v>
      </c>
      <c r="E239" s="11">
        <f>'Interpreted Data'!U239</f>
        <v>3.7640348649057183</v>
      </c>
    </row>
    <row r="240" spans="1:5" x14ac:dyDescent="0.25">
      <c r="A240" t="str">
        <f>'Interpreted Data'!A240</f>
        <v>h</v>
      </c>
      <c r="B240" t="str">
        <f>'Interpreted Data'!B240</f>
        <v>i</v>
      </c>
      <c r="C240" s="2">
        <f>'Interpreted Data'!J240/$B$1</f>
        <v>5.5487804878048781</v>
      </c>
      <c r="D240" s="10">
        <f>'Interpreted Data'!Y240</f>
        <v>182</v>
      </c>
      <c r="E240" s="11">
        <f>'Interpreted Data'!U240</f>
        <v>5.5</v>
      </c>
    </row>
    <row r="241" spans="1:5" x14ac:dyDescent="0.25">
      <c r="A241" t="str">
        <f>'Interpreted Data'!A241</f>
        <v>i</v>
      </c>
      <c r="B241" t="str">
        <f>'Interpreted Data'!B241</f>
        <v>j</v>
      </c>
      <c r="C241" s="2">
        <f>'Interpreted Data'!J241/$B$1</f>
        <v>2.3780487804878048</v>
      </c>
      <c r="D241" s="10">
        <f>'Interpreted Data'!Y241</f>
        <v>187</v>
      </c>
      <c r="E241" s="11">
        <f>'Interpreted Data'!U241</f>
        <v>-7</v>
      </c>
    </row>
    <row r="242" spans="1:5" x14ac:dyDescent="0.25">
      <c r="A242" t="str">
        <f>'Interpreted Data'!A242</f>
        <v>j</v>
      </c>
      <c r="B242" t="str">
        <f>'Interpreted Data'!B242</f>
        <v>k</v>
      </c>
      <c r="C242" s="2">
        <f>'Interpreted Data'!J242/$B$1</f>
        <v>8.8109756097560972</v>
      </c>
      <c r="D242" s="10">
        <f>'Interpreted Data'!Y242</f>
        <v>194</v>
      </c>
      <c r="E242" s="11">
        <f>'Interpreted Data'!U242</f>
        <v>-17.5</v>
      </c>
    </row>
    <row r="243" spans="1:5" x14ac:dyDescent="0.25">
      <c r="A243" t="str">
        <f>'Interpreted Data'!A243</f>
        <v>k</v>
      </c>
      <c r="B243" t="str">
        <f>'Interpreted Data'!B243</f>
        <v>l</v>
      </c>
      <c r="C243" s="2">
        <f>'Interpreted Data'!J243/$B$1</f>
        <v>6.798780487804879</v>
      </c>
      <c r="D243" s="10">
        <f>'Interpreted Data'!Y243</f>
        <v>207.5</v>
      </c>
      <c r="E243" s="11">
        <f>'Interpreted Data'!U243</f>
        <v>4</v>
      </c>
    </row>
    <row r="244" spans="1:5" x14ac:dyDescent="0.25">
      <c r="A244" t="str">
        <f>'Interpreted Data'!A244</f>
        <v>l</v>
      </c>
      <c r="B244" t="str">
        <f>'Interpreted Data'!B244</f>
        <v>m</v>
      </c>
      <c r="C244" s="2">
        <f>'Interpreted Data'!J244/$B$1</f>
        <v>6.9817073170731705</v>
      </c>
      <c r="D244" s="10">
        <f>'Interpreted Data'!Y244</f>
        <v>187</v>
      </c>
      <c r="E244" s="11">
        <f>'Interpreted Data'!U244</f>
        <v>0.66666665999999997</v>
      </c>
    </row>
    <row r="245" spans="1:5" x14ac:dyDescent="0.25">
      <c r="A245" t="str">
        <f>'Interpreted Data'!A245</f>
        <v>m</v>
      </c>
      <c r="B245" t="str">
        <f>'Interpreted Data'!B245</f>
        <v>n</v>
      </c>
      <c r="C245" s="2">
        <f>'Interpreted Data'!J245/$B$1</f>
        <v>5.7317073170731714</v>
      </c>
      <c r="D245" s="10">
        <f>'Interpreted Data'!Y245</f>
        <v>224</v>
      </c>
      <c r="E245" s="11">
        <f>'Interpreted Data'!U245</f>
        <v>-5.5</v>
      </c>
    </row>
    <row r="246" spans="1:5" x14ac:dyDescent="0.25">
      <c r="A246" t="str">
        <f>'Interpreted Data'!A246</f>
        <v>n</v>
      </c>
      <c r="B246" t="str">
        <f>'Interpreted Data'!B246</f>
        <v>o</v>
      </c>
      <c r="C246" s="2">
        <f>'Interpreted Data'!J246/$B$1</f>
        <v>14.359756097560977</v>
      </c>
      <c r="D246" s="10">
        <f>'Interpreted Data'!Y246</f>
        <v>251</v>
      </c>
      <c r="E246" s="11">
        <f>'Interpreted Data'!U246</f>
        <v>-11.5</v>
      </c>
    </row>
    <row r="247" spans="1:5" x14ac:dyDescent="0.25">
      <c r="A247" t="str">
        <f>'Interpreted Data'!A247</f>
        <v>o</v>
      </c>
      <c r="B247" t="str">
        <f>'Interpreted Data'!B247</f>
        <v/>
      </c>
      <c r="C247" s="2" t="e">
        <f>'Interpreted Data'!J247/$B$1</f>
        <v>#VALUE!</v>
      </c>
      <c r="D247" s="10" t="e">
        <f>'Interpreted Data'!Y247</f>
        <v>#VALUE!</v>
      </c>
      <c r="E247" s="11" t="str">
        <f>'Interpreted Data'!U247</f>
        <v/>
      </c>
    </row>
    <row r="248" spans="1:5" x14ac:dyDescent="0.25">
      <c r="A248" t="str">
        <f>'Interpreted Data'!A248</f>
        <v>14th March 1953</v>
      </c>
      <c r="B248" t="str">
        <f>'Interpreted Data'!B248</f>
        <v>Howard</v>
      </c>
      <c r="C248" s="2" t="e">
        <f>'Interpreted Data'!J248/$B$1</f>
        <v>#VALUE!</v>
      </c>
      <c r="D248" s="10" t="e">
        <f>'Interpreted Data'!Y248</f>
        <v>#VALUE!</v>
      </c>
      <c r="E248" s="11" t="str">
        <f>'Interpreted Data'!U248</f>
        <v/>
      </c>
    </row>
    <row r="249" spans="1:5" x14ac:dyDescent="0.25">
      <c r="A249" t="str">
        <f>'Interpreted Data'!A249</f>
        <v>o</v>
      </c>
      <c r="B249" t="str">
        <f>'Interpreted Data'!B249</f>
        <v>p</v>
      </c>
      <c r="C249" s="2">
        <f>'Interpreted Data'!J249/$B$1</f>
        <v>7.3170731707317076</v>
      </c>
      <c r="D249" s="10">
        <f>'Interpreted Data'!Y249</f>
        <v>282</v>
      </c>
      <c r="E249" s="11">
        <f>'Interpreted Data'!U249</f>
        <v>-9.25</v>
      </c>
    </row>
    <row r="250" spans="1:5" x14ac:dyDescent="0.25">
      <c r="A250" t="str">
        <f>'Interpreted Data'!A250</f>
        <v>p</v>
      </c>
      <c r="B250" t="str">
        <f>'Interpreted Data'!B250</f>
        <v>q</v>
      </c>
      <c r="C250" s="2">
        <f>'Interpreted Data'!J250/$B$1</f>
        <v>10.487804878048781</v>
      </c>
      <c r="D250" s="10">
        <f>'Interpreted Data'!Y250</f>
        <v>250</v>
      </c>
      <c r="E250" s="11">
        <f>'Interpreted Data'!U250</f>
        <v>-14.5</v>
      </c>
    </row>
    <row r="251" spans="1:5" x14ac:dyDescent="0.25">
      <c r="A251" t="str">
        <f>'Interpreted Data'!A251</f>
        <v>q</v>
      </c>
      <c r="B251" t="str">
        <f>'Interpreted Data'!B251</f>
        <v>r</v>
      </c>
      <c r="C251" s="2">
        <f>'Interpreted Data'!J251/$B$1</f>
        <v>7.1230631023140525</v>
      </c>
      <c r="D251" s="10">
        <f>'Interpreted Data'!Y251</f>
        <v>320</v>
      </c>
      <c r="E251" s="11">
        <f>'Interpreted Data'!U251</f>
        <v>-8.6156481841641135</v>
      </c>
    </row>
    <row r="252" spans="1:5" x14ac:dyDescent="0.25">
      <c r="A252" t="str">
        <f>'Interpreted Data'!A252</f>
        <v>q</v>
      </c>
      <c r="B252" t="str">
        <f>'Interpreted Data'!B252</f>
        <v>s</v>
      </c>
      <c r="C252" s="2">
        <f>'Interpreted Data'!J252/$B$1</f>
        <v>6.5853658536585371</v>
      </c>
      <c r="D252" s="10">
        <f>'Interpreted Data'!Y252</f>
        <v>150</v>
      </c>
      <c r="E252" s="11">
        <f>'Interpreted Data'!U252</f>
        <v>20.5</v>
      </c>
    </row>
    <row r="253" spans="1:5" x14ac:dyDescent="0.25">
      <c r="A253" t="str">
        <f>'Interpreted Data'!A253</f>
        <v>s</v>
      </c>
      <c r="B253" t="str">
        <f>'Interpreted Data'!B253</f>
        <v>t</v>
      </c>
      <c r="C253" s="2">
        <f>'Interpreted Data'!J253/$B$1</f>
        <v>5.3048780487804876</v>
      </c>
      <c r="D253" s="10">
        <f>'Interpreted Data'!Y253</f>
        <v>246</v>
      </c>
      <c r="E253" s="11">
        <f>'Interpreted Data'!U253</f>
        <v>-7.5</v>
      </c>
    </row>
    <row r="254" spans="1:5" x14ac:dyDescent="0.25">
      <c r="A254" t="str">
        <f>'Interpreted Data'!A254</f>
        <v>t</v>
      </c>
      <c r="B254" t="str">
        <f>'Interpreted Data'!B254</f>
        <v>u</v>
      </c>
      <c r="C254" s="2">
        <f>'Interpreted Data'!J254/$B$1</f>
        <v>5.6812124494596485</v>
      </c>
      <c r="D254" s="10">
        <f>'Interpreted Data'!Y254</f>
        <v>255</v>
      </c>
      <c r="E254" s="11">
        <f>'Interpreted Data'!U254</f>
        <v>-12.395406833758463</v>
      </c>
    </row>
    <row r="255" spans="1:5" x14ac:dyDescent="0.25">
      <c r="A255" t="str">
        <f>'Interpreted Data'!A255</f>
        <v>t</v>
      </c>
      <c r="B255" t="str">
        <f>'Interpreted Data'!B255</f>
        <v>v</v>
      </c>
      <c r="C255" s="2">
        <f>'Interpreted Data'!J255/$B$1</f>
        <v>5.2743902439024399</v>
      </c>
      <c r="D255" s="10">
        <f>'Interpreted Data'!Y255</f>
        <v>166</v>
      </c>
      <c r="E255" s="11">
        <f>'Interpreted Data'!U255</f>
        <v>20.5</v>
      </c>
    </row>
    <row r="256" spans="1:5" x14ac:dyDescent="0.25">
      <c r="A256" t="str">
        <f>'Interpreted Data'!A256</f>
        <v>v</v>
      </c>
      <c r="B256" t="str">
        <f>'Interpreted Data'!B256</f>
        <v>w</v>
      </c>
      <c r="C256" s="2">
        <f>'Interpreted Data'!J256/$B$1</f>
        <v>4.9390243902439028</v>
      </c>
      <c r="D256" s="10">
        <f>'Interpreted Data'!Y256</f>
        <v>165.66666666666666</v>
      </c>
      <c r="E256" s="11">
        <f>'Interpreted Data'!U256</f>
        <v>-2.75</v>
      </c>
    </row>
    <row r="257" spans="1:5" x14ac:dyDescent="0.25">
      <c r="A257" t="str">
        <f>'Interpreted Data'!A257</f>
        <v>w</v>
      </c>
      <c r="B257" t="str">
        <f>'Interpreted Data'!B257</f>
        <v>x</v>
      </c>
      <c r="C257" s="2">
        <f>'Interpreted Data'!J257/$B$1</f>
        <v>5.4268292682926838</v>
      </c>
      <c r="D257" s="10">
        <f>'Interpreted Data'!Y257</f>
        <v>92.5</v>
      </c>
      <c r="E257" s="11">
        <f>'Interpreted Data'!U257</f>
        <v>19.666666660000001</v>
      </c>
    </row>
    <row r="258" spans="1:5" x14ac:dyDescent="0.25">
      <c r="A258" t="str">
        <f>'Interpreted Data'!A258</f>
        <v>x</v>
      </c>
      <c r="B258" t="str">
        <f>'Interpreted Data'!B258</f>
        <v>y</v>
      </c>
      <c r="C258" s="2">
        <f>'Interpreted Data'!J258/$B$1</f>
        <v>7.4085365853658542</v>
      </c>
      <c r="D258" s="10">
        <f>'Interpreted Data'!Y258</f>
        <v>147</v>
      </c>
      <c r="E258" s="11">
        <f>'Interpreted Data'!U258</f>
        <v>10</v>
      </c>
    </row>
    <row r="259" spans="1:5" x14ac:dyDescent="0.25">
      <c r="A259" t="str">
        <f>'Interpreted Data'!A259</f>
        <v>y</v>
      </c>
      <c r="B259" t="str">
        <f>'Interpreted Data'!B259</f>
        <v>z</v>
      </c>
      <c r="C259" s="2">
        <f>'Interpreted Data'!J259/$B$1</f>
        <v>1.8292682926829269</v>
      </c>
      <c r="D259" s="10" t="e">
        <f>'Interpreted Data'!Y259</f>
        <v>#VALUE!</v>
      </c>
      <c r="E259" s="11">
        <f>'Interpreted Data'!U259</f>
        <v>-90</v>
      </c>
    </row>
    <row r="260" spans="1:5" x14ac:dyDescent="0.25">
      <c r="A260" t="str">
        <f>'Interpreted Data'!A260</f>
        <v>z</v>
      </c>
      <c r="B260" t="str">
        <f>'Interpreted Data'!B260</f>
        <v>aa</v>
      </c>
      <c r="C260" s="2">
        <f>'Interpreted Data'!J260/$B$1</f>
        <v>3.8109756097560976</v>
      </c>
      <c r="D260" s="10">
        <f>'Interpreted Data'!Y260</f>
        <v>147</v>
      </c>
      <c r="E260" s="11">
        <f>'Interpreted Data'!U260</f>
        <v>-2.6666666600000002</v>
      </c>
    </row>
    <row r="261" spans="1:5" x14ac:dyDescent="0.25">
      <c r="A261" t="str">
        <f>'Interpreted Data'!A261</f>
        <v>aa</v>
      </c>
      <c r="B261" t="str">
        <f>'Interpreted Data'!B261</f>
        <v>ab</v>
      </c>
      <c r="C261" s="2">
        <f>'Interpreted Data'!J261/$B$1</f>
        <v>3.4146341463414633</v>
      </c>
      <c r="D261" s="10">
        <f>'Interpreted Data'!Y261</f>
        <v>212.5</v>
      </c>
      <c r="E261" s="11">
        <f>'Interpreted Data'!U261</f>
        <v>-22.5</v>
      </c>
    </row>
    <row r="262" spans="1:5" x14ac:dyDescent="0.25">
      <c r="A262" t="str">
        <f>'Interpreted Data'!A262</f>
        <v>ab</v>
      </c>
      <c r="B262" t="str">
        <f>'Interpreted Data'!B262</f>
        <v>ac</v>
      </c>
      <c r="C262" s="2">
        <f>'Interpreted Data'!J262/$B$1</f>
        <v>2.4390243902439024</v>
      </c>
      <c r="D262" s="10">
        <f>'Interpreted Data'!Y262</f>
        <v>173</v>
      </c>
      <c r="E262" s="11">
        <f>'Interpreted Data'!U262</f>
        <v>11.5</v>
      </c>
    </row>
    <row r="263" spans="1:5" x14ac:dyDescent="0.25">
      <c r="A263" t="str">
        <f>'Interpreted Data'!A263</f>
        <v>ac</v>
      </c>
      <c r="B263" t="str">
        <f>'Interpreted Data'!B263</f>
        <v>ad</v>
      </c>
      <c r="C263" s="2">
        <f>'Interpreted Data'!J263/$B$1</f>
        <v>4.3597560975609762</v>
      </c>
      <c r="D263" s="10">
        <f>'Interpreted Data'!Y263</f>
        <v>202</v>
      </c>
      <c r="E263" s="11">
        <f>'Interpreted Data'!U263</f>
        <v>-12</v>
      </c>
    </row>
    <row r="264" spans="1:5" x14ac:dyDescent="0.25">
      <c r="A264" t="str">
        <f>'Interpreted Data'!A264</f>
        <v>ad</v>
      </c>
      <c r="B264" t="str">
        <f>'Interpreted Data'!B264</f>
        <v>ae</v>
      </c>
      <c r="C264" s="2">
        <f>'Interpreted Data'!J264/$B$1</f>
        <v>3.8719512195121952</v>
      </c>
      <c r="D264" s="10">
        <f>'Interpreted Data'!Y264</f>
        <v>206</v>
      </c>
      <c r="E264" s="11">
        <f>'Interpreted Data'!U264</f>
        <v>6</v>
      </c>
    </row>
    <row r="265" spans="1:5" x14ac:dyDescent="0.25">
      <c r="A265" t="str">
        <f>'Interpreted Data'!A265</f>
        <v>ae</v>
      </c>
      <c r="B265" t="str">
        <f>'Interpreted Data'!B265</f>
        <v>af</v>
      </c>
      <c r="C265" s="2">
        <f>'Interpreted Data'!J265/$B$1</f>
        <v>9.2987804878048781</v>
      </c>
      <c r="D265" s="10">
        <f>'Interpreted Data'!Y265</f>
        <v>263</v>
      </c>
      <c r="E265" s="11">
        <f>'Interpreted Data'!U265</f>
        <v>-8.6666666600000006</v>
      </c>
    </row>
    <row r="266" spans="1:5" x14ac:dyDescent="0.25">
      <c r="A266" t="str">
        <f>'Interpreted Data'!A266</f>
        <v>af</v>
      </c>
      <c r="B266" t="str">
        <f>'Interpreted Data'!B266</f>
        <v>ag</v>
      </c>
      <c r="C266" s="2">
        <f>'Interpreted Data'!J266/$B$1</f>
        <v>8.3536585365853657</v>
      </c>
      <c r="D266" s="10">
        <f>'Interpreted Data'!Y266</f>
        <v>292.25</v>
      </c>
      <c r="E266" s="11">
        <f>'Interpreted Data'!U266</f>
        <v>0.25</v>
      </c>
    </row>
    <row r="267" spans="1:5" x14ac:dyDescent="0.25">
      <c r="A267" t="str">
        <f>'Interpreted Data'!A267</f>
        <v>ag</v>
      </c>
      <c r="B267" t="str">
        <f>'Interpreted Data'!B267</f>
        <v>ah</v>
      </c>
      <c r="C267" s="2">
        <f>'Interpreted Data'!J267/$B$1</f>
        <v>4.1768292682926829</v>
      </c>
      <c r="D267" s="10">
        <f>'Interpreted Data'!Y267</f>
        <v>253.5</v>
      </c>
      <c r="E267" s="11">
        <f>'Interpreted Data'!U267</f>
        <v>-20.333333329999999</v>
      </c>
    </row>
    <row r="268" spans="1:5" x14ac:dyDescent="0.25">
      <c r="A268" t="str">
        <f>'Interpreted Data'!A268</f>
        <v>z</v>
      </c>
      <c r="B268" t="str">
        <f>'Interpreted Data'!B268</f>
        <v>ai</v>
      </c>
      <c r="C268" s="2">
        <f>'Interpreted Data'!J268/$B$1</f>
        <v>5.8536585365853657</v>
      </c>
      <c r="D268" s="10">
        <f>'Interpreted Data'!Y268</f>
        <v>142</v>
      </c>
      <c r="E268" s="11">
        <f>'Interpreted Data'!U268</f>
        <v>22</v>
      </c>
    </row>
    <row r="269" spans="1:5" x14ac:dyDescent="0.25">
      <c r="A269" t="str">
        <f>'Interpreted Data'!A269</f>
        <v>ai</v>
      </c>
      <c r="B269" t="str">
        <f>'Interpreted Data'!B269</f>
        <v>aj</v>
      </c>
      <c r="C269" s="2">
        <f>'Interpreted Data'!J269/$B$1</f>
        <v>2.1951219512195124</v>
      </c>
      <c r="D269" s="10">
        <f>'Interpreted Data'!Y269</f>
        <v>97</v>
      </c>
      <c r="E269" s="11">
        <f>'Interpreted Data'!U269</f>
        <v>55</v>
      </c>
    </row>
    <row r="270" spans="1:5" x14ac:dyDescent="0.25">
      <c r="A270" t="str">
        <f>'Interpreted Data'!A270</f>
        <v>aj</v>
      </c>
      <c r="B270" t="str">
        <f>'Interpreted Data'!B270</f>
        <v>ak</v>
      </c>
      <c r="C270" s="2">
        <f>'Interpreted Data'!J270/$B$1</f>
        <v>6.0060975609756095</v>
      </c>
      <c r="D270" s="10">
        <f>'Interpreted Data'!Y270</f>
        <v>99</v>
      </c>
      <c r="E270" s="11">
        <f>'Interpreted Data'!U270</f>
        <v>18</v>
      </c>
    </row>
    <row r="271" spans="1:5" x14ac:dyDescent="0.25">
      <c r="A271" t="str">
        <f>'Interpreted Data'!A271</f>
        <v>ak</v>
      </c>
      <c r="B271" t="str">
        <f>'Interpreted Data'!B271</f>
        <v>al</v>
      </c>
      <c r="C271" s="2">
        <f>'Interpreted Data'!J271/$B$1</f>
        <v>2.8048780487804876</v>
      </c>
      <c r="D271" s="10">
        <f>'Interpreted Data'!Y271</f>
        <v>106</v>
      </c>
      <c r="E271" s="11">
        <f>'Interpreted Data'!U271</f>
        <v>-22</v>
      </c>
    </row>
    <row r="272" spans="1:5" x14ac:dyDescent="0.25">
      <c r="A272" t="str">
        <f>'Interpreted Data'!A272</f>
        <v>al</v>
      </c>
      <c r="B272" t="str">
        <f>'Interpreted Data'!B272</f>
        <v>am</v>
      </c>
      <c r="C272" s="2">
        <f>'Interpreted Data'!J272/$B$1</f>
        <v>4.8555119638093798</v>
      </c>
      <c r="D272" s="10">
        <f>'Interpreted Data'!Y272</f>
        <v>101</v>
      </c>
      <c r="E272" s="11">
        <f>'Interpreted Data'!U272</f>
        <v>7.2142620392067593</v>
      </c>
    </row>
    <row r="273" spans="1:5" x14ac:dyDescent="0.25">
      <c r="A273" t="str">
        <f>'Interpreted Data'!A273</f>
        <v>am</v>
      </c>
      <c r="B273" t="str">
        <f>'Interpreted Data'!B273</f>
        <v>an</v>
      </c>
      <c r="C273" s="2">
        <f>'Interpreted Data'!J273/$B$1</f>
        <v>3.7500000000000004</v>
      </c>
      <c r="D273" s="10">
        <f>'Interpreted Data'!Y273</f>
        <v>80</v>
      </c>
      <c r="E273" s="11">
        <f>'Interpreted Data'!U273</f>
        <v>22</v>
      </c>
    </row>
    <row r="274" spans="1:5" x14ac:dyDescent="0.25">
      <c r="A274" t="str">
        <f>'Interpreted Data'!A274</f>
        <v>an</v>
      </c>
      <c r="B274" t="str">
        <f>'Interpreted Data'!B274</f>
        <v>ao</v>
      </c>
      <c r="C274" s="2">
        <f>'Interpreted Data'!J274/$B$1</f>
        <v>4.4207317073170733</v>
      </c>
      <c r="D274" s="10">
        <f>'Interpreted Data'!Y274</f>
        <v>114</v>
      </c>
      <c r="E274" s="11">
        <f>'Interpreted Data'!U274</f>
        <v>50</v>
      </c>
    </row>
    <row r="275" spans="1:5" x14ac:dyDescent="0.25">
      <c r="A275" t="str">
        <f>'Interpreted Data'!A275</f>
        <v>ao</v>
      </c>
      <c r="B275" t="str">
        <f>'Interpreted Data'!B275</f>
        <v>ap</v>
      </c>
      <c r="C275" s="2">
        <f>'Interpreted Data'!J275/$B$1</f>
        <v>5.4268292682926838</v>
      </c>
      <c r="D275" s="10">
        <f>'Interpreted Data'!Y275</f>
        <v>103</v>
      </c>
      <c r="E275" s="11">
        <f>'Interpreted Data'!U275</f>
        <v>-6.5</v>
      </c>
    </row>
    <row r="276" spans="1:5" x14ac:dyDescent="0.25">
      <c r="A276" t="str">
        <f>'Interpreted Data'!A276</f>
        <v>ap</v>
      </c>
      <c r="B276" t="str">
        <f>'Interpreted Data'!B276</f>
        <v>aq</v>
      </c>
      <c r="C276" s="2">
        <f>'Interpreted Data'!J276/$B$1</f>
        <v>2.3475609756097562</v>
      </c>
      <c r="D276" s="10">
        <f>'Interpreted Data'!Y276</f>
        <v>26</v>
      </c>
      <c r="E276" s="11">
        <f>'Interpreted Data'!U276</f>
        <v>-53</v>
      </c>
    </row>
    <row r="277" spans="1:5" x14ac:dyDescent="0.25">
      <c r="A277" t="str">
        <f>'Interpreted Data'!A277</f>
        <v>aq</v>
      </c>
      <c r="B277" t="str">
        <f>'Interpreted Data'!B277</f>
        <v>ar</v>
      </c>
      <c r="C277" s="2">
        <f>'Interpreted Data'!J277/$B$1</f>
        <v>2.5914634146341466</v>
      </c>
      <c r="D277" s="10">
        <f>'Interpreted Data'!Y277</f>
        <v>3</v>
      </c>
      <c r="E277" s="11">
        <f>'Interpreted Data'!U277</f>
        <v>0</v>
      </c>
    </row>
    <row r="278" spans="1:5" x14ac:dyDescent="0.25">
      <c r="A278" t="str">
        <f>'Interpreted Data'!A278</f>
        <v>ar</v>
      </c>
      <c r="B278" t="str">
        <f>'Interpreted Data'!B278</f>
        <v>as</v>
      </c>
      <c r="C278" s="2">
        <f>'Interpreted Data'!J278/$B$1</f>
        <v>3.2926829268292686</v>
      </c>
      <c r="D278" s="10">
        <f>'Interpreted Data'!Y278</f>
        <v>22</v>
      </c>
      <c r="E278" s="11">
        <f>'Interpreted Data'!U278</f>
        <v>0</v>
      </c>
    </row>
    <row r="279" spans="1:5" x14ac:dyDescent="0.25">
      <c r="A279" t="str">
        <f>'Interpreted Data'!A279</f>
        <v>as</v>
      </c>
      <c r="B279" t="str">
        <f>'Interpreted Data'!B279</f>
        <v>at</v>
      </c>
      <c r="C279" s="2">
        <f>'Interpreted Data'!J279/$B$1</f>
        <v>5.6612988684619703</v>
      </c>
      <c r="D279" s="10">
        <f>'Interpreted Data'!Y279</f>
        <v>3</v>
      </c>
      <c r="E279" s="11">
        <f>'Interpreted Data'!U279</f>
        <v>-7.7373727732062862</v>
      </c>
    </row>
    <row r="280" spans="1:5" x14ac:dyDescent="0.25">
      <c r="A280" t="str">
        <f>'Interpreted Data'!A280</f>
        <v>at</v>
      </c>
      <c r="B280" t="str">
        <f>'Interpreted Data'!B280</f>
        <v>au</v>
      </c>
      <c r="C280" s="2">
        <f>'Interpreted Data'!J280/$B$1</f>
        <v>3.3536585365853662</v>
      </c>
      <c r="D280" s="10">
        <f>'Interpreted Data'!Y280</f>
        <v>355</v>
      </c>
      <c r="E280" s="11">
        <f>'Interpreted Data'!U280</f>
        <v>0</v>
      </c>
    </row>
  </sheetData>
  <mergeCells count="1">
    <mergeCell ref="D3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7"/>
  <sheetViews>
    <sheetView tabSelected="1" workbookViewId="0">
      <pane xSplit="2" ySplit="3" topLeftCell="C308" activePane="bottomRight" state="frozen"/>
      <selection pane="topRight" activeCell="C1" sqref="C1"/>
      <selection pane="bottomLeft" activeCell="A4" sqref="A4"/>
      <selection pane="bottomRight" activeCell="O328" sqref="O328"/>
    </sheetView>
  </sheetViews>
  <sheetFormatPr defaultRowHeight="15" x14ac:dyDescent="0.25"/>
  <cols>
    <col min="6" max="6" width="13.85546875" bestFit="1" customWidth="1"/>
    <col min="8" max="8" width="42.42578125" customWidth="1"/>
  </cols>
  <sheetData>
    <row r="1" spans="1:16" x14ac:dyDescent="0.25">
      <c r="A1" s="1" t="s">
        <v>58</v>
      </c>
      <c r="I1" t="str">
        <f>" "</f>
        <v xml:space="preserve"> </v>
      </c>
      <c r="J1" s="3" t="s">
        <v>78</v>
      </c>
    </row>
    <row r="2" spans="1:16" x14ac:dyDescent="0.25">
      <c r="A2" s="8" t="s">
        <v>64</v>
      </c>
      <c r="I2" t="str">
        <f t="shared" ref="I2:I66" si="0">" "</f>
        <v xml:space="preserve"> </v>
      </c>
      <c r="J2" s="3" t="s">
        <v>79</v>
      </c>
    </row>
    <row r="3" spans="1:16" x14ac:dyDescent="0.25">
      <c r="A3" t="s">
        <v>61</v>
      </c>
      <c r="B3" t="s">
        <v>53</v>
      </c>
      <c r="C3" t="s">
        <v>54</v>
      </c>
      <c r="D3" t="s">
        <v>59</v>
      </c>
      <c r="E3" t="s">
        <v>60</v>
      </c>
      <c r="F3" t="s">
        <v>56</v>
      </c>
      <c r="G3" t="s">
        <v>62</v>
      </c>
      <c r="H3" t="s">
        <v>51</v>
      </c>
      <c r="I3" t="str">
        <f t="shared" si="0"/>
        <v xml:space="preserve"> </v>
      </c>
    </row>
    <row r="4" spans="1:16" x14ac:dyDescent="0.25">
      <c r="A4" t="str">
        <f>'Raw Data'!A2</f>
        <v>21st July 1951</v>
      </c>
      <c r="I4" t="str">
        <f t="shared" si="0"/>
        <v xml:space="preserve"> </v>
      </c>
      <c r="J4" t="str">
        <f>A4</f>
        <v>21st July 1951</v>
      </c>
    </row>
    <row r="5" spans="1:16" x14ac:dyDescent="0.25">
      <c r="J5" t="str">
        <f>$J$1</f>
        <v>data normal from to tape compass backcompass clino ignoreall</v>
      </c>
    </row>
    <row r="6" spans="1:16" x14ac:dyDescent="0.25">
      <c r="A6" t="str">
        <f>'Raw Data'!A5</f>
        <v>A</v>
      </c>
      <c r="B6" t="str">
        <f>'Raw Data'!B5</f>
        <v>B</v>
      </c>
      <c r="C6">
        <f>'Raw Data'!J5</f>
        <v>21</v>
      </c>
      <c r="D6" t="str">
        <f>'Interpreted Data'!G5</f>
        <v>-</v>
      </c>
      <c r="E6" t="str">
        <f>'Interpreted Data'!H5</f>
        <v>103</v>
      </c>
      <c r="F6" t="str">
        <f>SUBSTITUTE('Raw Data'!K5," ",":",1)</f>
        <v>8:30</v>
      </c>
      <c r="G6">
        <f>'Interpreted Data'!N5</f>
        <v>3.1</v>
      </c>
      <c r="H6" t="str">
        <f>'Interpreted Data'!P5</f>
        <v>A is at the base of the cable spike on the downstream side of Sump I</v>
      </c>
      <c r="I6" t="str">
        <f t="shared" si="0"/>
        <v xml:space="preserve"> </v>
      </c>
      <c r="J6" t="str">
        <f t="shared" ref="J6:N7" si="1">A6</f>
        <v>A</v>
      </c>
      <c r="K6" t="str">
        <f t="shared" si="1"/>
        <v>B</v>
      </c>
      <c r="L6">
        <f t="shared" si="1"/>
        <v>21</v>
      </c>
      <c r="M6" t="str">
        <f t="shared" si="1"/>
        <v>-</v>
      </c>
      <c r="N6" t="str">
        <f t="shared" si="1"/>
        <v>103</v>
      </c>
      <c r="O6" t="str">
        <f t="shared" ref="O6:O7" si="2">IF(AND(D6="-",E6="-"),IF(1*F6=-90,"DOWN",IF(1*F6=90,"UP","no compass")),F6)</f>
        <v>8:30</v>
      </c>
      <c r="P6" t="str">
        <f>H6</f>
        <v>A is at the base of the cable spike on the downstream side of Sump I</v>
      </c>
    </row>
    <row r="7" spans="1:16" x14ac:dyDescent="0.25">
      <c r="A7" t="str">
        <f>'Raw Data'!A6</f>
        <v>B</v>
      </c>
      <c r="B7" t="str">
        <f>'Raw Data'!B6</f>
        <v>C</v>
      </c>
      <c r="C7">
        <f>'Raw Data'!J6</f>
        <v>27</v>
      </c>
      <c r="D7" t="str">
        <f>'Interpreted Data'!G6</f>
        <v>322:30</v>
      </c>
      <c r="E7" t="str">
        <f>'Interpreted Data'!H6</f>
        <v>-</v>
      </c>
      <c r="F7" t="str">
        <f>SUBSTITUTE('Raw Data'!K6," ",":",1)</f>
        <v>-9:30</v>
      </c>
      <c r="G7">
        <f>'Interpreted Data'!N6</f>
        <v>-4.5</v>
      </c>
      <c r="H7" t="str">
        <f>'Interpreted Data'!P6</f>
        <v>B is on a rock at upstream end of pool</v>
      </c>
      <c r="I7" t="str">
        <f t="shared" si="0"/>
        <v xml:space="preserve"> </v>
      </c>
      <c r="J7" t="str">
        <f t="shared" si="1"/>
        <v>B</v>
      </c>
      <c r="K7" t="str">
        <f t="shared" si="1"/>
        <v>C</v>
      </c>
      <c r="L7">
        <f t="shared" si="1"/>
        <v>27</v>
      </c>
      <c r="M7" t="str">
        <f t="shared" si="1"/>
        <v>322:30</v>
      </c>
      <c r="N7" t="str">
        <f t="shared" si="1"/>
        <v>-</v>
      </c>
      <c r="O7" t="str">
        <f t="shared" si="2"/>
        <v>-9:30</v>
      </c>
      <c r="P7" t="str">
        <f>H7</f>
        <v>B is on a rock at upstream end of pool</v>
      </c>
    </row>
    <row r="8" spans="1:16" x14ac:dyDescent="0.25">
      <c r="A8" t="str">
        <f>'Raw Data'!A7</f>
        <v>C</v>
      </c>
      <c r="B8" t="str">
        <f>'Raw Data'!B7</f>
        <v>D</v>
      </c>
      <c r="C8">
        <f>'Raw Data'!J7</f>
        <v>37</v>
      </c>
      <c r="D8" t="str">
        <f>'Interpreted Data'!G7</f>
        <v>-</v>
      </c>
      <c r="E8" t="str">
        <f>'Interpreted Data'!H7</f>
        <v>83</v>
      </c>
      <c r="F8" t="str">
        <f>SUBSTITUTE('Raw Data'!K7," ",":",1)</f>
        <v>rise:of 1.5 feet</v>
      </c>
      <c r="G8">
        <f>'Interpreted Data'!N7</f>
        <v>1.5</v>
      </c>
      <c r="H8" t="str">
        <f>'Interpreted Data'!P7</f>
        <v>C is on edge of pool 10' before Duck I</v>
      </c>
      <c r="I8" t="str">
        <f t="shared" si="0"/>
        <v xml:space="preserve"> </v>
      </c>
      <c r="J8" t="str">
        <f>$J$2</f>
        <v>data diving from to tape compass backcompass depthchange ignoreall</v>
      </c>
    </row>
    <row r="9" spans="1:16" x14ac:dyDescent="0.25">
      <c r="A9" t="str">
        <f>'Raw Data'!A8</f>
        <v>D</v>
      </c>
      <c r="B9" t="str">
        <f>'Raw Data'!B8</f>
        <v>E</v>
      </c>
      <c r="C9">
        <f>'Raw Data'!J8</f>
        <v>16.2</v>
      </c>
      <c r="D9" t="str">
        <f>'Interpreted Data'!G8</f>
        <v>192:30</v>
      </c>
      <c r="E9" t="str">
        <f>'Interpreted Data'!H8</f>
        <v>-</v>
      </c>
      <c r="F9" t="str">
        <f>SUBSTITUTE('Raw Data'!K8," ",":",1)</f>
        <v>4:30</v>
      </c>
      <c r="G9">
        <f>'Interpreted Data'!N8</f>
        <v>1.3</v>
      </c>
      <c r="H9" t="str">
        <f>'Interpreted Data'!P8</f>
        <v>D is in stream. Big rock (start of New Series survey) 10' away at 350 (deg). Big passage starts as continuation of Howards Dig.</v>
      </c>
      <c r="I9" t="str">
        <f t="shared" si="0"/>
        <v xml:space="preserve"> </v>
      </c>
      <c r="J9" t="str">
        <f>A8</f>
        <v>C</v>
      </c>
      <c r="K9" t="str">
        <f>B8</f>
        <v>D</v>
      </c>
      <c r="L9">
        <f>C8</f>
        <v>37</v>
      </c>
      <c r="M9" t="str">
        <f>D8</f>
        <v>-</v>
      </c>
      <c r="N9" t="str">
        <f>E8</f>
        <v>83</v>
      </c>
      <c r="O9">
        <f>G8</f>
        <v>1.5</v>
      </c>
      <c r="P9" t="str">
        <f>H8</f>
        <v>C is on edge of pool 10' before Duck I</v>
      </c>
    </row>
    <row r="10" spans="1:16" x14ac:dyDescent="0.25">
      <c r="A10" t="str">
        <f>'Raw Data'!A9</f>
        <v>E</v>
      </c>
      <c r="B10" t="str">
        <f>'Raw Data'!B9</f>
        <v>F</v>
      </c>
      <c r="C10">
        <f>'Raw Data'!J9</f>
        <v>47</v>
      </c>
      <c r="D10" t="str">
        <f>'Interpreted Data'!G9</f>
        <v>-</v>
      </c>
      <c r="E10" t="str">
        <f>'Interpreted Data'!H9</f>
        <v>78</v>
      </c>
      <c r="F10" t="str">
        <f>SUBSTITUTE('Raw Data'!K9," ",":",1)</f>
        <v>-5:30</v>
      </c>
      <c r="G10">
        <f>'Interpreted Data'!N9</f>
        <v>-4.5</v>
      </c>
      <c r="H10" t="str">
        <f>'Interpreted Data'!P9</f>
        <v/>
      </c>
      <c r="I10" t="str">
        <f t="shared" si="0"/>
        <v xml:space="preserve"> </v>
      </c>
      <c r="J10" t="str">
        <f>$J$1</f>
        <v>data normal from to tape compass backcompass clino ignoreall</v>
      </c>
    </row>
    <row r="11" spans="1:16" x14ac:dyDescent="0.25">
      <c r="A11" t="str">
        <f>'Raw Data'!A10</f>
        <v>F</v>
      </c>
      <c r="B11" t="str">
        <f>'Raw Data'!B10</f>
        <v>G</v>
      </c>
      <c r="C11">
        <f>'Raw Data'!J10</f>
        <v>48</v>
      </c>
      <c r="D11" t="str">
        <f>'Interpreted Data'!G10</f>
        <v>292</v>
      </c>
      <c r="E11" t="str">
        <f>'Interpreted Data'!H10</f>
        <v>-</v>
      </c>
      <c r="F11" t="str">
        <f>SUBSTITUTE('Raw Data'!K10," ",":",1)</f>
        <v>fall:of 2.5 feet</v>
      </c>
      <c r="G11">
        <f>'Interpreted Data'!N10</f>
        <v>-2.5</v>
      </c>
      <c r="H11" t="str">
        <f>'Interpreted Data'!P10</f>
        <v>At 40' the roof lowers suddenly to Creep I. The big Bedding Plane passage comes in on the right, from -5' to 40'</v>
      </c>
      <c r="I11" t="str">
        <f t="shared" si="0"/>
        <v xml:space="preserve"> </v>
      </c>
      <c r="J11" t="str">
        <f t="shared" ref="J11:N12" si="3">A9</f>
        <v>D</v>
      </c>
      <c r="K11" t="str">
        <f t="shared" si="3"/>
        <v>E</v>
      </c>
      <c r="L11">
        <f t="shared" si="3"/>
        <v>16.2</v>
      </c>
      <c r="M11" t="str">
        <f t="shared" si="3"/>
        <v>192:30</v>
      </c>
      <c r="N11" t="str">
        <f t="shared" si="3"/>
        <v>-</v>
      </c>
      <c r="O11" t="str">
        <f t="shared" ref="O11:O12" si="4">IF(AND(D9="-",E9="-"),IF(1*F9=-90,"DOWN",IF(1*F9=90,"UP","no compass")),F9)</f>
        <v>4:30</v>
      </c>
      <c r="P11" t="str">
        <f>H9</f>
        <v>D is in stream. Big rock (start of New Series survey) 10' away at 350 (deg). Big passage starts as continuation of Howards Dig.</v>
      </c>
    </row>
    <row r="12" spans="1:16" x14ac:dyDescent="0.25">
      <c r="A12" t="str">
        <f>'Raw Data'!A11</f>
        <v>G</v>
      </c>
      <c r="B12" t="str">
        <f>'Raw Data'!B11</f>
        <v>H</v>
      </c>
      <c r="C12">
        <f>'Raw Data'!J11</f>
        <v>36</v>
      </c>
      <c r="D12" t="str">
        <f>'Interpreted Data'!G11</f>
        <v>-</v>
      </c>
      <c r="E12" t="str">
        <f>'Interpreted Data'!H11</f>
        <v>159</v>
      </c>
      <c r="F12" t="str">
        <f>SUBSTITUTE('Raw Data'!K11," ",":",1)</f>
        <v>level</v>
      </c>
      <c r="G12">
        <f>'Interpreted Data'!N11</f>
        <v>0</v>
      </c>
      <c r="H12" t="str">
        <f>'Interpreted Data'!P11</f>
        <v/>
      </c>
      <c r="I12" t="str">
        <f t="shared" si="0"/>
        <v xml:space="preserve"> </v>
      </c>
      <c r="J12" t="str">
        <f t="shared" si="3"/>
        <v>E</v>
      </c>
      <c r="K12" t="str">
        <f t="shared" si="3"/>
        <v>F</v>
      </c>
      <c r="L12">
        <f t="shared" si="3"/>
        <v>47</v>
      </c>
      <c r="M12" t="str">
        <f t="shared" si="3"/>
        <v>-</v>
      </c>
      <c r="N12" t="str">
        <f t="shared" si="3"/>
        <v>78</v>
      </c>
      <c r="O12" t="str">
        <f t="shared" si="4"/>
        <v>-5:30</v>
      </c>
      <c r="P12" t="str">
        <f>H10</f>
        <v/>
      </c>
    </row>
    <row r="13" spans="1:16" x14ac:dyDescent="0.25">
      <c r="A13" t="str">
        <f>'Raw Data'!A12</f>
        <v>H</v>
      </c>
      <c r="B13" t="str">
        <f>'Raw Data'!B12</f>
        <v>I</v>
      </c>
      <c r="C13">
        <f>'Raw Data'!J12</f>
        <v>31</v>
      </c>
      <c r="D13" t="str">
        <f>'Interpreted Data'!G12</f>
        <v>247</v>
      </c>
      <c r="E13" t="str">
        <f>'Interpreted Data'!H12</f>
        <v>-</v>
      </c>
      <c r="F13" t="str">
        <f>SUBSTITUTE('Raw Data'!K12," ",":",1)</f>
        <v>-2:30</v>
      </c>
      <c r="G13">
        <f>'Interpreted Data'!N12</f>
        <v>-1.3</v>
      </c>
      <c r="H13" t="str">
        <f>'Interpreted Data'!P12</f>
        <v/>
      </c>
      <c r="I13" t="str">
        <f t="shared" si="0"/>
        <v xml:space="preserve"> </v>
      </c>
      <c r="J13" t="str">
        <f>$J$2</f>
        <v>data diving from to tape compass backcompass depthchange ignoreall</v>
      </c>
    </row>
    <row r="14" spans="1:16" x14ac:dyDescent="0.25">
      <c r="A14" t="str">
        <f>'Raw Data'!A13</f>
        <v>I</v>
      </c>
      <c r="B14" t="str">
        <f>'Raw Data'!B13</f>
        <v>J</v>
      </c>
      <c r="C14">
        <f>'Raw Data'!J13</f>
        <v>26</v>
      </c>
      <c r="D14" t="str">
        <f>'Interpreted Data'!G13</f>
        <v>-</v>
      </c>
      <c r="E14" t="str">
        <f>'Interpreted Data'!H13</f>
        <v>95</v>
      </c>
      <c r="F14" t="str">
        <f>SUBSTITUTE('Raw Data'!K13," ",":",1)</f>
        <v>2</v>
      </c>
      <c r="G14">
        <f>'Interpreted Data'!N13</f>
        <v>0.9</v>
      </c>
      <c r="H14" t="str">
        <f>'Interpreted Data'!P13</f>
        <v/>
      </c>
      <c r="I14" t="str">
        <f t="shared" si="0"/>
        <v xml:space="preserve"> </v>
      </c>
      <c r="J14" t="str">
        <f t="shared" ref="J14:N15" si="5">A11</f>
        <v>F</v>
      </c>
      <c r="K14" t="str">
        <f t="shared" si="5"/>
        <v>G</v>
      </c>
      <c r="L14">
        <f t="shared" si="5"/>
        <v>48</v>
      </c>
      <c r="M14" t="str">
        <f t="shared" si="5"/>
        <v>292</v>
      </c>
      <c r="N14" t="str">
        <f t="shared" si="5"/>
        <v>-</v>
      </c>
      <c r="O14">
        <f>G11</f>
        <v>-2.5</v>
      </c>
      <c r="P14" t="str">
        <f>H11</f>
        <v>At 40' the roof lowers suddenly to Creep I. The big Bedding Plane passage comes in on the right, from -5' to 40'</v>
      </c>
    </row>
    <row r="15" spans="1:16" x14ac:dyDescent="0.25">
      <c r="A15" t="str">
        <f>'Raw Data'!A14</f>
        <v>J</v>
      </c>
      <c r="B15" t="str">
        <f>'Raw Data'!B14</f>
        <v>K</v>
      </c>
      <c r="C15">
        <f>'Raw Data'!J14</f>
        <v>26.5</v>
      </c>
      <c r="D15" t="str">
        <f>'Interpreted Data'!G14</f>
        <v>320</v>
      </c>
      <c r="E15" t="str">
        <f>'Interpreted Data'!H14</f>
        <v>-</v>
      </c>
      <c r="F15" t="str">
        <f>SUBSTITUTE('Raw Data'!K14," ",":",1)</f>
        <v>1</v>
      </c>
      <c r="G15">
        <f>'Interpreted Data'!N14</f>
        <v>0.5</v>
      </c>
      <c r="H15" t="str">
        <f>'Interpreted Data'!P14</f>
        <v>Pots</v>
      </c>
      <c r="I15" t="str">
        <f t="shared" si="0"/>
        <v xml:space="preserve"> </v>
      </c>
      <c r="J15" t="str">
        <f t="shared" si="5"/>
        <v>G</v>
      </c>
      <c r="K15" t="str">
        <f t="shared" si="5"/>
        <v>H</v>
      </c>
      <c r="L15">
        <f t="shared" si="5"/>
        <v>36</v>
      </c>
      <c r="M15" t="str">
        <f t="shared" si="5"/>
        <v>-</v>
      </c>
      <c r="N15" t="str">
        <f t="shared" si="5"/>
        <v>159</v>
      </c>
      <c r="O15">
        <f>G12</f>
        <v>0</v>
      </c>
      <c r="P15" t="str">
        <f>H12</f>
        <v/>
      </c>
    </row>
    <row r="16" spans="1:16" x14ac:dyDescent="0.25">
      <c r="A16" t="str">
        <f>'Raw Data'!A15</f>
        <v>K</v>
      </c>
      <c r="B16" t="str">
        <f>'Raw Data'!B15</f>
        <v>L</v>
      </c>
      <c r="C16">
        <f>'Raw Data'!J15</f>
        <v>17.5</v>
      </c>
      <c r="D16" t="str">
        <f>'Interpreted Data'!G15</f>
        <v>-</v>
      </c>
      <c r="E16" t="str">
        <f>'Interpreted Data'!H15</f>
        <v>193</v>
      </c>
      <c r="F16" t="str">
        <f>SUBSTITUTE('Raw Data'!K15," ",":",1)</f>
        <v>-9</v>
      </c>
      <c r="G16">
        <f>'Interpreted Data'!N15</f>
        <v>-2.7</v>
      </c>
      <c r="H16" t="str">
        <f>'Interpreted Data'!P15</f>
        <v>Pots</v>
      </c>
      <c r="I16" t="str">
        <f t="shared" si="0"/>
        <v xml:space="preserve"> </v>
      </c>
      <c r="J16" t="str">
        <f>$J$1</f>
        <v>data normal from to tape compass backcompass clino ignoreall</v>
      </c>
    </row>
    <row r="17" spans="1:16" x14ac:dyDescent="0.25">
      <c r="A17" t="str">
        <f>'Raw Data'!A16</f>
        <v>L</v>
      </c>
      <c r="B17" t="str">
        <f>'Raw Data'!B16</f>
        <v>M</v>
      </c>
      <c r="C17">
        <f>'Raw Data'!J16</f>
        <v>33</v>
      </c>
      <c r="D17" t="str">
        <f>'Interpreted Data'!G16</f>
        <v>299</v>
      </c>
      <c r="E17" t="str">
        <f>'Interpreted Data'!H16</f>
        <v>-</v>
      </c>
      <c r="F17" t="str">
        <f>SUBSTITUTE('Raw Data'!K16," ",":",1)</f>
        <v>-3</v>
      </c>
      <c r="G17">
        <f>'Interpreted Data'!N16</f>
        <v>-1.7</v>
      </c>
      <c r="H17" t="str">
        <f>'Interpreted Data'!P16</f>
        <v>L is at foot of climb to Approach passage. Clay fill remains 6' up on left wall.</v>
      </c>
      <c r="I17" t="str">
        <f t="shared" si="0"/>
        <v xml:space="preserve"> </v>
      </c>
      <c r="J17" t="str">
        <f t="shared" ref="J17:J25" si="6">A13</f>
        <v>H</v>
      </c>
      <c r="K17" t="str">
        <f t="shared" ref="K17:K25" si="7">B13</f>
        <v>I</v>
      </c>
      <c r="L17">
        <f t="shared" ref="L17:L25" si="8">C13</f>
        <v>31</v>
      </c>
      <c r="M17" t="str">
        <f t="shared" ref="M17:M25" si="9">D13</f>
        <v>247</v>
      </c>
      <c r="N17" t="str">
        <f t="shared" ref="N17:N25" si="10">E13</f>
        <v>-</v>
      </c>
      <c r="O17" t="str">
        <f t="shared" ref="O17:O21" si="11">IF(AND(D13="-",E13="-"),IF(1*F13=-90,"DOWN",IF(1*F13=90,"UP","no compass")),F13)</f>
        <v>-2:30</v>
      </c>
      <c r="P17" t="str">
        <f t="shared" ref="P17:P25" si="12">H13</f>
        <v/>
      </c>
    </row>
    <row r="18" spans="1:16" x14ac:dyDescent="0.25">
      <c r="A18" t="str">
        <f>'Raw Data'!A17</f>
        <v>M</v>
      </c>
      <c r="B18" t="str">
        <f>'Raw Data'!B17</f>
        <v>N</v>
      </c>
      <c r="C18">
        <f>'Raw Data'!J17</f>
        <v>43</v>
      </c>
      <c r="D18" t="str">
        <f>'Interpreted Data'!G17</f>
        <v>-</v>
      </c>
      <c r="E18" t="str">
        <f>'Interpreted Data'!H17</f>
        <v>142</v>
      </c>
      <c r="F18" t="str">
        <f>SUBSTITUTE('Raw Data'!K17," ",":",1)</f>
        <v>-7.3</v>
      </c>
      <c r="G18">
        <f>'Interpreted Data'!N17</f>
        <v>-5.6</v>
      </c>
      <c r="H18" t="str">
        <f>'Interpreted Data'!P17</f>
        <v>Pots</v>
      </c>
      <c r="I18" t="str">
        <f t="shared" si="0"/>
        <v xml:space="preserve"> </v>
      </c>
      <c r="J18" t="str">
        <f t="shared" si="6"/>
        <v>I</v>
      </c>
      <c r="K18" t="str">
        <f t="shared" si="7"/>
        <v>J</v>
      </c>
      <c r="L18">
        <f t="shared" si="8"/>
        <v>26</v>
      </c>
      <c r="M18" t="str">
        <f t="shared" si="9"/>
        <v>-</v>
      </c>
      <c r="N18" t="str">
        <f t="shared" si="10"/>
        <v>95</v>
      </c>
      <c r="O18" t="str">
        <f t="shared" si="11"/>
        <v>2</v>
      </c>
      <c r="P18" t="str">
        <f t="shared" si="12"/>
        <v/>
      </c>
    </row>
    <row r="19" spans="1:16" x14ac:dyDescent="0.25">
      <c r="A19" t="str">
        <f>'Raw Data'!A18</f>
        <v>N</v>
      </c>
      <c r="B19" t="str">
        <f>'Raw Data'!B18</f>
        <v>O</v>
      </c>
      <c r="C19">
        <f>'Raw Data'!J18</f>
        <v>15.5</v>
      </c>
      <c r="D19" t="str">
        <f>'Interpreted Data'!G18</f>
        <v>281</v>
      </c>
      <c r="E19" t="str">
        <f>'Interpreted Data'!H18</f>
        <v>-</v>
      </c>
      <c r="F19" t="str">
        <f>SUBSTITUTE('Raw Data'!K18," ",":",1)</f>
        <v>-2</v>
      </c>
      <c r="G19">
        <f>'Interpreted Data'!N18</f>
        <v>-0.5</v>
      </c>
      <c r="H19" t="str">
        <f>'Interpreted Data'!P18</f>
        <v>Pots</v>
      </c>
      <c r="I19" t="str">
        <f t="shared" si="0"/>
        <v xml:space="preserve"> </v>
      </c>
      <c r="J19" t="str">
        <f t="shared" si="6"/>
        <v>J</v>
      </c>
      <c r="K19" t="str">
        <f t="shared" si="7"/>
        <v>K</v>
      </c>
      <c r="L19">
        <f t="shared" si="8"/>
        <v>26.5</v>
      </c>
      <c r="M19" t="str">
        <f t="shared" si="9"/>
        <v>320</v>
      </c>
      <c r="N19" t="str">
        <f t="shared" si="10"/>
        <v>-</v>
      </c>
      <c r="O19" t="str">
        <f t="shared" si="11"/>
        <v>1</v>
      </c>
      <c r="P19" t="str">
        <f t="shared" si="12"/>
        <v>Pots</v>
      </c>
    </row>
    <row r="20" spans="1:16" x14ac:dyDescent="0.25">
      <c r="A20" t="str">
        <f>'Raw Data'!A19</f>
        <v>O</v>
      </c>
      <c r="B20" t="str">
        <f>'Raw Data'!B19</f>
        <v>P</v>
      </c>
      <c r="C20">
        <f>'Raw Data'!J19</f>
        <v>56</v>
      </c>
      <c r="D20" t="str">
        <f>'Interpreted Data'!G19</f>
        <v>-</v>
      </c>
      <c r="E20" t="str">
        <f>'Interpreted Data'!H19</f>
        <v>127</v>
      </c>
      <c r="F20" t="str">
        <f>SUBSTITUTE('Raw Data'!K19," ",":",1)</f>
        <v>-5</v>
      </c>
      <c r="G20">
        <f>'Interpreted Data'!N19</f>
        <v>-4.9000000000000004</v>
      </c>
      <c r="H20" t="str">
        <f>'Interpreted Data'!P19</f>
        <v>Pots. Very pretty coral on left wall</v>
      </c>
      <c r="I20" t="str">
        <f t="shared" si="0"/>
        <v xml:space="preserve"> </v>
      </c>
      <c r="J20" t="str">
        <f t="shared" si="6"/>
        <v>K</v>
      </c>
      <c r="K20" t="str">
        <f t="shared" si="7"/>
        <v>L</v>
      </c>
      <c r="L20">
        <f t="shared" si="8"/>
        <v>17.5</v>
      </c>
      <c r="M20" t="str">
        <f t="shared" si="9"/>
        <v>-</v>
      </c>
      <c r="N20" t="str">
        <f t="shared" si="10"/>
        <v>193</v>
      </c>
      <c r="O20" t="str">
        <f t="shared" si="11"/>
        <v>-9</v>
      </c>
      <c r="P20" t="str">
        <f t="shared" si="12"/>
        <v>Pots</v>
      </c>
    </row>
    <row r="21" spans="1:16" x14ac:dyDescent="0.25">
      <c r="A21" t="str">
        <f>'Raw Data'!A20</f>
        <v>P</v>
      </c>
      <c r="B21" t="str">
        <f>'Raw Data'!B20</f>
        <v>Q</v>
      </c>
      <c r="C21">
        <f>'Raw Data'!J20</f>
        <v>15.8</v>
      </c>
      <c r="D21" t="str">
        <f>'Interpreted Data'!G20</f>
        <v>283</v>
      </c>
      <c r="E21" t="str">
        <f>'Interpreted Data'!H20</f>
        <v>-</v>
      </c>
      <c r="F21" t="str">
        <f>SUBSTITUTE('Raw Data'!K20," ",":",1)</f>
        <v>-0:15</v>
      </c>
      <c r="G21">
        <f>'Interpreted Data'!N20</f>
        <v>-0.1</v>
      </c>
      <c r="H21" t="str">
        <f>'Interpreted Data'!P20</f>
        <v/>
      </c>
      <c r="I21" t="str">
        <f t="shared" si="0"/>
        <v xml:space="preserve"> </v>
      </c>
      <c r="J21" t="str">
        <f t="shared" si="6"/>
        <v>L</v>
      </c>
      <c r="K21" t="str">
        <f t="shared" si="7"/>
        <v>M</v>
      </c>
      <c r="L21">
        <f t="shared" si="8"/>
        <v>33</v>
      </c>
      <c r="M21" t="str">
        <f t="shared" si="9"/>
        <v>299</v>
      </c>
      <c r="N21" t="str">
        <f t="shared" si="10"/>
        <v>-</v>
      </c>
      <c r="O21" t="str">
        <f t="shared" si="11"/>
        <v>-3</v>
      </c>
      <c r="P21" t="str">
        <f t="shared" si="12"/>
        <v>L is at foot of climb to Approach passage. Clay fill remains 6' up on left wall.</v>
      </c>
    </row>
    <row r="22" spans="1:16" x14ac:dyDescent="0.25">
      <c r="A22" t="str">
        <f>'Raw Data'!A21</f>
        <v>Q</v>
      </c>
      <c r="B22" t="str">
        <f>'Raw Data'!B21</f>
        <v>R</v>
      </c>
      <c r="C22">
        <f>'Raw Data'!J21</f>
        <v>15.3</v>
      </c>
      <c r="D22" t="str">
        <f>'Interpreted Data'!G21</f>
        <v>-</v>
      </c>
      <c r="E22" t="str">
        <f>'Interpreted Data'!H21</f>
        <v>37</v>
      </c>
      <c r="F22" t="str">
        <f>SUBSTITUTE('Raw Data'!K21," ",":",1)</f>
        <v>fall:of 4 feet</v>
      </c>
      <c r="G22">
        <f>'Interpreted Data'!N21</f>
        <v>-4</v>
      </c>
      <c r="H22" t="str">
        <f>'Interpreted Data'!P21</f>
        <v>1.5 foot deep pool starts at P.</v>
      </c>
      <c r="I22" t="str">
        <f t="shared" si="0"/>
        <v xml:space="preserve"> </v>
      </c>
      <c r="J22" t="str">
        <f t="shared" si="6"/>
        <v>M</v>
      </c>
      <c r="K22" t="str">
        <f t="shared" si="7"/>
        <v>N</v>
      </c>
      <c r="L22">
        <f t="shared" si="8"/>
        <v>43</v>
      </c>
      <c r="M22" t="str">
        <f t="shared" si="9"/>
        <v>-</v>
      </c>
      <c r="N22" t="str">
        <f t="shared" si="10"/>
        <v>142</v>
      </c>
      <c r="O22" t="str">
        <f>IF(AND(D18="-",E18="-"),IF(1*F18=-90,"DOWN",IF(1*F18=90,"UP","no compass")),F18)</f>
        <v>-7.3</v>
      </c>
      <c r="P22" t="str">
        <f t="shared" si="12"/>
        <v>Pots</v>
      </c>
    </row>
    <row r="23" spans="1:16" x14ac:dyDescent="0.25">
      <c r="A23" t="str">
        <f>'Raw Data'!A22</f>
        <v>R</v>
      </c>
      <c r="B23" t="str">
        <f>'Raw Data'!B22</f>
        <v>S</v>
      </c>
      <c r="C23">
        <f>'Raw Data'!J22</f>
        <v>39.5</v>
      </c>
      <c r="D23" t="str">
        <f>'Interpreted Data'!G22</f>
        <v>310</v>
      </c>
      <c r="E23" t="str">
        <f>'Interpreted Data'!H22</f>
        <v>-</v>
      </c>
      <c r="F23" t="str">
        <f>SUBSTITUTE('Raw Data'!K22," ",":",1)</f>
        <v>rise:of 4 feet</v>
      </c>
      <c r="G23">
        <f>'Interpreted Data'!N22</f>
        <v>4</v>
      </c>
      <c r="H23" t="str">
        <f>'Interpreted Data'!P22</f>
        <v>Pool 2.5' deep at R, ends 15' on. Scalloping as in Goughs 1st Sandy Chamber.</v>
      </c>
      <c r="I23" t="str">
        <f t="shared" si="0"/>
        <v xml:space="preserve"> </v>
      </c>
      <c r="J23" t="str">
        <f t="shared" si="6"/>
        <v>N</v>
      </c>
      <c r="K23" t="str">
        <f t="shared" si="7"/>
        <v>O</v>
      </c>
      <c r="L23">
        <f t="shared" si="8"/>
        <v>15.5</v>
      </c>
      <c r="M23" t="str">
        <f t="shared" si="9"/>
        <v>281</v>
      </c>
      <c r="N23" t="str">
        <f t="shared" si="10"/>
        <v>-</v>
      </c>
      <c r="O23" t="str">
        <f t="shared" ref="O23:O25" si="13">IF(AND(D19="-",E19="-"),IF(1*F19=-90,"DOWN",IF(1*F19=90,"UP","no compass")),F19)</f>
        <v>-2</v>
      </c>
      <c r="P23" t="str">
        <f t="shared" si="12"/>
        <v>Pots</v>
      </c>
    </row>
    <row r="24" spans="1:16" x14ac:dyDescent="0.25">
      <c r="A24" t="str">
        <f>'Raw Data'!A23</f>
        <v>S</v>
      </c>
      <c r="B24" t="str">
        <f>'Raw Data'!B23</f>
        <v>T</v>
      </c>
      <c r="C24">
        <f>'Raw Data'!J23</f>
        <v>39.6</v>
      </c>
      <c r="D24" t="str">
        <f>'Interpreted Data'!G23</f>
        <v>-</v>
      </c>
      <c r="E24" t="str">
        <f>'Interpreted Data'!H23</f>
        <v>58</v>
      </c>
      <c r="F24" t="str">
        <f>SUBSTITUTE('Raw Data'!K23," ",":",1)</f>
        <v>-2:30</v>
      </c>
      <c r="G24">
        <f>'Interpreted Data'!N23</f>
        <v>-1.9</v>
      </c>
      <c r="H24" t="str">
        <f>'Interpreted Data'!P23</f>
        <v>S is marked on wall. At 20' there is a muddy chamber overhead.</v>
      </c>
      <c r="I24" t="str">
        <f t="shared" si="0"/>
        <v xml:space="preserve"> </v>
      </c>
      <c r="J24" t="str">
        <f t="shared" si="6"/>
        <v>O</v>
      </c>
      <c r="K24" t="str">
        <f t="shared" si="7"/>
        <v>P</v>
      </c>
      <c r="L24">
        <f t="shared" si="8"/>
        <v>56</v>
      </c>
      <c r="M24" t="str">
        <f t="shared" si="9"/>
        <v>-</v>
      </c>
      <c r="N24" t="str">
        <f t="shared" si="10"/>
        <v>127</v>
      </c>
      <c r="O24" t="str">
        <f t="shared" si="13"/>
        <v>-5</v>
      </c>
      <c r="P24" t="str">
        <f t="shared" si="12"/>
        <v>Pots. Very pretty coral on left wall</v>
      </c>
    </row>
    <row r="25" spans="1:16" x14ac:dyDescent="0.25">
      <c r="A25" t="str">
        <f>'Raw Data'!A24</f>
        <v>T</v>
      </c>
      <c r="B25" t="str">
        <f>'Raw Data'!B24</f>
        <v>U</v>
      </c>
      <c r="C25">
        <f>'Raw Data'!J24</f>
        <v>49</v>
      </c>
      <c r="D25" t="str">
        <f>'Interpreted Data'!G24</f>
        <v>148</v>
      </c>
      <c r="E25" t="str">
        <f>'Interpreted Data'!H24</f>
        <v>-</v>
      </c>
      <c r="F25" t="str">
        <f>SUBSTITUTE('Raw Data'!K24," ",":",1)</f>
        <v>fall:of 1.7 feet</v>
      </c>
      <c r="G25">
        <f>'Interpreted Data'!N24</f>
        <v>-1.7</v>
      </c>
      <c r="H25" t="str">
        <f>'Interpreted Data'!P24</f>
        <v/>
      </c>
      <c r="I25" t="str">
        <f t="shared" si="0"/>
        <v xml:space="preserve"> </v>
      </c>
      <c r="J25" t="str">
        <f t="shared" si="6"/>
        <v>P</v>
      </c>
      <c r="K25" t="str">
        <f t="shared" si="7"/>
        <v>Q</v>
      </c>
      <c r="L25">
        <f t="shared" si="8"/>
        <v>15.8</v>
      </c>
      <c r="M25" t="str">
        <f t="shared" si="9"/>
        <v>283</v>
      </c>
      <c r="N25" t="str">
        <f t="shared" si="10"/>
        <v>-</v>
      </c>
      <c r="O25" t="str">
        <f t="shared" si="13"/>
        <v>-0:15</v>
      </c>
      <c r="P25" t="str">
        <f t="shared" si="12"/>
        <v/>
      </c>
    </row>
    <row r="26" spans="1:16" x14ac:dyDescent="0.25">
      <c r="A26" t="str">
        <f>'Raw Data'!A25</f>
        <v>U</v>
      </c>
      <c r="B26">
        <f>'Raw Data'!B25</f>
        <v>0</v>
      </c>
      <c r="C26">
        <f>'Raw Data'!J25</f>
        <v>0</v>
      </c>
      <c r="D26" t="str">
        <f>'Interpreted Data'!G25</f>
        <v/>
      </c>
      <c r="E26" t="str">
        <f>'Interpreted Data'!H25</f>
        <v/>
      </c>
      <c r="F26" t="str">
        <f>SUBSTITUTE('Raw Data'!K25," ",":",1)</f>
        <v/>
      </c>
      <c r="G26" t="str">
        <f>'Interpreted Data'!N25</f>
        <v/>
      </c>
      <c r="H26" t="str">
        <f>'Interpreted Data'!P25</f>
        <v>Bearls (sp.?) seen here.    Total = 650'</v>
      </c>
      <c r="I26" t="str">
        <f t="shared" si="0"/>
        <v xml:space="preserve"> </v>
      </c>
      <c r="J26" t="str">
        <f>$J$2</f>
        <v>data diving from to tape compass backcompass depthchange ignoreall</v>
      </c>
    </row>
    <row r="27" spans="1:16" x14ac:dyDescent="0.25">
      <c r="A27" t="str">
        <f>'Raw Data'!A26</f>
        <v>A1</v>
      </c>
      <c r="B27" t="str">
        <f>'Raw Data'!B26</f>
        <v>B1</v>
      </c>
      <c r="C27">
        <f>'Raw Data'!J26</f>
        <v>30.4</v>
      </c>
      <c r="D27" t="str">
        <f>'Interpreted Data'!G26</f>
        <v>-</v>
      </c>
      <c r="E27" t="str">
        <f>'Interpreted Data'!H26</f>
        <v>326</v>
      </c>
      <c r="F27" t="str">
        <f>SUBSTITUTE('Raw Data'!K26," ",":",1)</f>
        <v>level</v>
      </c>
      <c r="G27">
        <f>'Interpreted Data'!N26</f>
        <v>0</v>
      </c>
      <c r="H27" t="str">
        <f>'Interpreted Data'!P26</f>
        <v>A1 is far end of "Priddy Green" passage. At choke</v>
      </c>
      <c r="I27" t="str">
        <f t="shared" si="0"/>
        <v xml:space="preserve"> </v>
      </c>
      <c r="J27" t="str">
        <f t="shared" ref="J27:N28" si="14">A22</f>
        <v>Q</v>
      </c>
      <c r="K27" t="str">
        <f t="shared" si="14"/>
        <v>R</v>
      </c>
      <c r="L27">
        <f t="shared" si="14"/>
        <v>15.3</v>
      </c>
      <c r="M27" t="str">
        <f t="shared" si="14"/>
        <v>-</v>
      </c>
      <c r="N27" t="str">
        <f t="shared" si="14"/>
        <v>37</v>
      </c>
      <c r="O27">
        <f>G22</f>
        <v>-4</v>
      </c>
      <c r="P27" t="str">
        <f>H22</f>
        <v>1.5 foot deep pool starts at P.</v>
      </c>
    </row>
    <row r="28" spans="1:16" x14ac:dyDescent="0.25">
      <c r="A28" t="str">
        <f>'Raw Data'!A27</f>
        <v>B1</v>
      </c>
      <c r="B28" t="str">
        <f>'Raw Data'!B27</f>
        <v>C1</v>
      </c>
      <c r="C28">
        <f>'Raw Data'!J27</f>
        <v>37.5</v>
      </c>
      <c r="D28" t="str">
        <f>'Interpreted Data'!G27</f>
        <v>248</v>
      </c>
      <c r="E28" t="str">
        <f>'Interpreted Data'!H27</f>
        <v>-</v>
      </c>
      <c r="F28" t="str">
        <f>SUBSTITUTE('Raw Data'!K27," ",":",1)</f>
        <v>-6</v>
      </c>
      <c r="G28">
        <f>'Interpreted Data'!N27</f>
        <v>-3.9</v>
      </c>
      <c r="H28" t="str">
        <f>'Interpreted Data'!P27</f>
        <v>B1 is ent to P.G. pass, above stalagmite keloid (sp.?)</v>
      </c>
      <c r="I28" t="str">
        <f t="shared" si="0"/>
        <v xml:space="preserve"> </v>
      </c>
      <c r="J28" t="str">
        <f t="shared" si="14"/>
        <v>R</v>
      </c>
      <c r="K28" t="str">
        <f t="shared" si="14"/>
        <v>S</v>
      </c>
      <c r="L28">
        <f t="shared" si="14"/>
        <v>39.5</v>
      </c>
      <c r="M28" t="str">
        <f t="shared" si="14"/>
        <v>310</v>
      </c>
      <c r="N28" t="str">
        <f t="shared" si="14"/>
        <v>-</v>
      </c>
      <c r="O28">
        <f>G23</f>
        <v>4</v>
      </c>
      <c r="P28" t="str">
        <f>H23</f>
        <v>Pool 2.5' deep at R, ends 15' on. Scalloping as in Goughs 1st Sandy Chamber.</v>
      </c>
    </row>
    <row r="29" spans="1:16" x14ac:dyDescent="0.25">
      <c r="I29" t="str">
        <f t="shared" si="0"/>
        <v xml:space="preserve"> </v>
      </c>
      <c r="J29" t="str">
        <f>$J$1</f>
        <v>data normal from to tape compass backcompass clino ignoreall</v>
      </c>
    </row>
    <row r="30" spans="1:16" x14ac:dyDescent="0.25">
      <c r="I30" t="str">
        <f t="shared" si="0"/>
        <v xml:space="preserve"> </v>
      </c>
      <c r="J30" t="str">
        <f>A24</f>
        <v>S</v>
      </c>
      <c r="K30" t="str">
        <f>B24</f>
        <v>T</v>
      </c>
      <c r="L30">
        <f>C24</f>
        <v>39.6</v>
      </c>
      <c r="M30" t="str">
        <f>D24</f>
        <v>-</v>
      </c>
      <c r="N30" t="str">
        <f>E24</f>
        <v>58</v>
      </c>
      <c r="O30" t="str">
        <f>IF(AND(D24="-",E24="-"),IF(1*F24=-90,"DOWN",IF(1*F24=90,"UP","no compass")),F24)</f>
        <v>-2:30</v>
      </c>
      <c r="P30" t="str">
        <f>H24</f>
        <v>S is marked on wall. At 20' there is a muddy chamber overhead.</v>
      </c>
    </row>
    <row r="31" spans="1:16" x14ac:dyDescent="0.25">
      <c r="I31" t="str">
        <f t="shared" si="0"/>
        <v xml:space="preserve"> </v>
      </c>
      <c r="J31" t="str">
        <f>$J$2</f>
        <v>data diving from to tape compass backcompass depthchange ignoreall</v>
      </c>
    </row>
    <row r="32" spans="1:16" x14ac:dyDescent="0.25">
      <c r="I32" t="str">
        <f t="shared" si="0"/>
        <v xml:space="preserve"> </v>
      </c>
      <c r="J32" t="str">
        <f>A25</f>
        <v>T</v>
      </c>
      <c r="K32" t="str">
        <f>B25</f>
        <v>U</v>
      </c>
      <c r="L32">
        <f>C25</f>
        <v>49</v>
      </c>
      <c r="M32" t="str">
        <f>D25</f>
        <v>148</v>
      </c>
      <c r="N32" t="str">
        <f>E25</f>
        <v>-</v>
      </c>
      <c r="O32">
        <f>G25</f>
        <v>-1.7</v>
      </c>
      <c r="P32" t="str">
        <f>H25</f>
        <v/>
      </c>
    </row>
    <row r="33" spans="1:16" x14ac:dyDescent="0.25">
      <c r="I33" t="str">
        <f t="shared" si="0"/>
        <v xml:space="preserve"> </v>
      </c>
      <c r="J33" t="s">
        <v>77</v>
      </c>
      <c r="K33" t="s">
        <v>39</v>
      </c>
      <c r="P33" t="str">
        <f>H26</f>
        <v>Bearls (sp.?) seen here.    Total = 650'</v>
      </c>
    </row>
    <row r="34" spans="1:16" x14ac:dyDescent="0.25">
      <c r="I34" t="str">
        <f t="shared" si="0"/>
        <v xml:space="preserve"> </v>
      </c>
      <c r="J34" t="str">
        <f>A27</f>
        <v>A1</v>
      </c>
      <c r="K34" t="str">
        <f>B27</f>
        <v>B1</v>
      </c>
      <c r="L34">
        <f>C27</f>
        <v>30.4</v>
      </c>
      <c r="M34" t="str">
        <f>D27</f>
        <v>-</v>
      </c>
      <c r="N34" t="str">
        <f>E27</f>
        <v>326</v>
      </c>
      <c r="O34">
        <f>G27</f>
        <v>0</v>
      </c>
      <c r="P34" t="str">
        <f>H27</f>
        <v>A1 is far end of "Priddy Green" passage. At choke</v>
      </c>
    </row>
    <row r="35" spans="1:16" x14ac:dyDescent="0.25">
      <c r="I35" t="str">
        <f t="shared" si="0"/>
        <v xml:space="preserve"> </v>
      </c>
      <c r="J35" t="str">
        <f t="shared" ref="J35:N35" si="15">A28</f>
        <v>B1</v>
      </c>
      <c r="K35" t="str">
        <f t="shared" si="15"/>
        <v>C1</v>
      </c>
      <c r="L35">
        <f t="shared" si="15"/>
        <v>37.5</v>
      </c>
      <c r="M35" t="str">
        <f t="shared" si="15"/>
        <v>248</v>
      </c>
      <c r="N35" t="str">
        <f t="shared" si="15"/>
        <v>-</v>
      </c>
      <c r="O35">
        <f t="shared" ref="O35:P35" si="16">G28</f>
        <v>-3.9</v>
      </c>
      <c r="P35" t="str">
        <f t="shared" si="16"/>
        <v>B1 is ent to P.G. pass, above stalagmite keloid (sp.?)</v>
      </c>
    </row>
    <row r="36" spans="1:16" x14ac:dyDescent="0.25">
      <c r="I36" t="str">
        <f t="shared" si="0"/>
        <v xml:space="preserve"> </v>
      </c>
    </row>
    <row r="37" spans="1:16" x14ac:dyDescent="0.25">
      <c r="I37" t="str">
        <f t="shared" si="0"/>
        <v xml:space="preserve"> </v>
      </c>
      <c r="J37" t="str">
        <f>A39</f>
        <v>5th August 1951</v>
      </c>
    </row>
    <row r="38" spans="1:16" x14ac:dyDescent="0.25">
      <c r="I38" t="str">
        <f t="shared" si="0"/>
        <v xml:space="preserve"> </v>
      </c>
      <c r="J38" t="str">
        <f>$J$1</f>
        <v>data normal from to tape compass backcompass clino ignoreall</v>
      </c>
    </row>
    <row r="39" spans="1:16" x14ac:dyDescent="0.25">
      <c r="A39" t="str">
        <f>'Raw Data'!A29</f>
        <v>5th August 1951</v>
      </c>
      <c r="I39" t="str">
        <f t="shared" si="0"/>
        <v xml:space="preserve"> </v>
      </c>
      <c r="J39" t="str">
        <f t="shared" ref="J39:N43" si="17">A40</f>
        <v>C1</v>
      </c>
      <c r="K39" t="str">
        <f t="shared" si="17"/>
        <v>D1</v>
      </c>
      <c r="L39">
        <f t="shared" si="17"/>
        <v>11.8</v>
      </c>
      <c r="M39" t="str">
        <f t="shared" si="17"/>
        <v>-</v>
      </c>
      <c r="N39" t="str">
        <f t="shared" si="17"/>
        <v>85</v>
      </c>
      <c r="O39" t="str">
        <f>IF(AND(D40="-",E40="-"),IF(1*F40=-90,"DOWN",IF(1*F40=90,"UP","no compass")),F40)</f>
        <v>-24</v>
      </c>
      <c r="P39" t="str">
        <f>H40</f>
        <v>On rocky bank.</v>
      </c>
    </row>
    <row r="40" spans="1:16" x14ac:dyDescent="0.25">
      <c r="A40" t="str">
        <f>'Raw Data'!A30</f>
        <v>C1</v>
      </c>
      <c r="B40" t="str">
        <f>'Raw Data'!B30</f>
        <v>D1</v>
      </c>
      <c r="C40">
        <f>'Raw Data'!J30</f>
        <v>11.8</v>
      </c>
      <c r="D40" t="str">
        <f>'Interpreted Data'!G30</f>
        <v>-</v>
      </c>
      <c r="E40" t="str">
        <f>'Interpreted Data'!H30</f>
        <v>85</v>
      </c>
      <c r="F40" t="str">
        <f>SUBSTITUTE('Raw Data'!K30," ",":",1)</f>
        <v>-24</v>
      </c>
      <c r="G40">
        <f>'Interpreted Data'!N30</f>
        <v>-4.8</v>
      </c>
      <c r="H40" t="str">
        <f>'Interpreted Data'!P30</f>
        <v>On rocky bank.</v>
      </c>
      <c r="I40" t="str">
        <f t="shared" si="0"/>
        <v xml:space="preserve"> </v>
      </c>
      <c r="J40" t="str">
        <f t="shared" si="17"/>
        <v>D1</v>
      </c>
      <c r="K40" t="str">
        <f t="shared" si="17"/>
        <v>A</v>
      </c>
      <c r="L40">
        <f t="shared" si="17"/>
        <v>36.799999999999997</v>
      </c>
      <c r="M40" t="str">
        <f t="shared" si="17"/>
        <v>251</v>
      </c>
      <c r="N40" t="str">
        <f t="shared" si="17"/>
        <v>-</v>
      </c>
      <c r="O40">
        <v>0</v>
      </c>
      <c r="P40" t="str">
        <f>H41</f>
        <v>D1 to near side of Sump I 11.8'. D1 to far side of Sump I 18'. D1 is in pool at stake for cable.</v>
      </c>
    </row>
    <row r="41" spans="1:16" x14ac:dyDescent="0.25">
      <c r="A41" t="str">
        <f>'Raw Data'!A31</f>
        <v>D1</v>
      </c>
      <c r="B41" t="str">
        <f>'Raw Data'!B31</f>
        <v>A</v>
      </c>
      <c r="C41">
        <f>'Raw Data'!J31</f>
        <v>36.799999999999997</v>
      </c>
      <c r="D41" t="str">
        <f>'Interpreted Data'!G31</f>
        <v>251</v>
      </c>
      <c r="E41" t="str">
        <f>'Interpreted Data'!H31</f>
        <v>-</v>
      </c>
      <c r="F41" t="str">
        <f>SUBSTITUTE('Raw Data'!K31," ",":",1)</f>
        <v>water:level</v>
      </c>
      <c r="G41">
        <f>'Interpreted Data'!N31</f>
        <v>-2.2999999999999998</v>
      </c>
      <c r="H41" t="str">
        <f>'Interpreted Data'!P31</f>
        <v>D1 to near side of Sump I 11.8'. D1 to far side of Sump I 18'. D1 is in pool at stake for cable.</v>
      </c>
      <c r="I41" t="str">
        <f t="shared" si="0"/>
        <v xml:space="preserve"> </v>
      </c>
      <c r="J41" t="str">
        <f t="shared" si="17"/>
        <v>U</v>
      </c>
      <c r="K41" t="str">
        <f t="shared" si="17"/>
        <v>V</v>
      </c>
      <c r="L41">
        <f t="shared" si="17"/>
        <v>29</v>
      </c>
      <c r="M41" t="str">
        <f t="shared" si="17"/>
        <v>-</v>
      </c>
      <c r="N41" t="str">
        <f t="shared" si="17"/>
        <v>6:30</v>
      </c>
      <c r="O41">
        <f t="shared" ref="O41:O43" si="18">G42</f>
        <v>0</v>
      </c>
      <c r="P41" t="str">
        <f>H42</f>
        <v>Lake begins as 10'. (Little sketch)</v>
      </c>
    </row>
    <row r="42" spans="1:16" x14ac:dyDescent="0.25">
      <c r="A42" t="str">
        <f>'Raw Data'!A32</f>
        <v>U</v>
      </c>
      <c r="B42" t="str">
        <f>'Raw Data'!B32</f>
        <v>V</v>
      </c>
      <c r="C42">
        <f>'Raw Data'!J32</f>
        <v>29</v>
      </c>
      <c r="D42" t="str">
        <f>'Interpreted Data'!G32</f>
        <v>-</v>
      </c>
      <c r="E42" t="str">
        <f>'Interpreted Data'!H32</f>
        <v>6:30</v>
      </c>
      <c r="F42" t="str">
        <f>SUBSTITUTE('Raw Data'!K32," ",":",1)</f>
        <v>water:level</v>
      </c>
      <c r="G42">
        <f>'Interpreted Data'!N32</f>
        <v>0</v>
      </c>
      <c r="H42" t="str">
        <f>'Interpreted Data'!P32</f>
        <v>Lake begins as 10'. (Little sketch)</v>
      </c>
      <c r="I42" t="str">
        <f t="shared" si="0"/>
        <v xml:space="preserve"> </v>
      </c>
      <c r="J42" t="str">
        <f t="shared" si="17"/>
        <v>V</v>
      </c>
      <c r="K42" t="str">
        <f t="shared" si="17"/>
        <v>W</v>
      </c>
      <c r="L42">
        <f t="shared" si="17"/>
        <v>33.799999999999997</v>
      </c>
      <c r="M42" t="str">
        <f t="shared" si="17"/>
        <v>141:30</v>
      </c>
      <c r="N42" t="str">
        <f t="shared" si="17"/>
        <v>-</v>
      </c>
      <c r="O42">
        <f t="shared" si="18"/>
        <v>0</v>
      </c>
      <c r="P42" t="str">
        <f>H43</f>
        <v>Lake</v>
      </c>
    </row>
    <row r="43" spans="1:16" x14ac:dyDescent="0.25">
      <c r="A43" t="str">
        <f>'Raw Data'!A33</f>
        <v>V</v>
      </c>
      <c r="B43" t="str">
        <f>'Raw Data'!B33</f>
        <v>W</v>
      </c>
      <c r="C43">
        <f>'Raw Data'!J33</f>
        <v>33.799999999999997</v>
      </c>
      <c r="D43" t="str">
        <f>'Interpreted Data'!G33</f>
        <v>141:30</v>
      </c>
      <c r="E43" t="str">
        <f>'Interpreted Data'!H33</f>
        <v>-</v>
      </c>
      <c r="F43" t="str">
        <f>SUBSTITUTE('Raw Data'!K33," ",":",1)</f>
        <v>water:level</v>
      </c>
      <c r="G43">
        <f>'Interpreted Data'!N33</f>
        <v>0</v>
      </c>
      <c r="H43" t="str">
        <f>'Interpreted Data'!P33</f>
        <v>Lake</v>
      </c>
      <c r="I43" t="str">
        <f t="shared" si="0"/>
        <v xml:space="preserve"> </v>
      </c>
      <c r="J43" t="str">
        <f t="shared" si="17"/>
        <v>W</v>
      </c>
      <c r="K43" t="str">
        <f t="shared" si="17"/>
        <v>X</v>
      </c>
      <c r="L43">
        <f t="shared" si="17"/>
        <v>47</v>
      </c>
      <c r="M43" t="str">
        <f t="shared" si="17"/>
        <v>132:10</v>
      </c>
      <c r="N43" t="str">
        <f t="shared" si="17"/>
        <v>-</v>
      </c>
      <c r="O43">
        <f t="shared" si="18"/>
        <v>0</v>
      </c>
      <c r="P43" t="str">
        <f>H44</f>
        <v>Bearing from 2' to right. W to near side Duck II = 3.5. W to far side Duck II = 20.4</v>
      </c>
    </row>
    <row r="44" spans="1:16" x14ac:dyDescent="0.25">
      <c r="A44" t="str">
        <f>'Raw Data'!A34</f>
        <v>W</v>
      </c>
      <c r="B44" t="str">
        <f>'Raw Data'!B34</f>
        <v>X</v>
      </c>
      <c r="C44">
        <f>'Raw Data'!J34</f>
        <v>47</v>
      </c>
      <c r="D44" t="str">
        <f>'Interpreted Data'!G34</f>
        <v>132:10</v>
      </c>
      <c r="E44" t="str">
        <f>'Interpreted Data'!H34</f>
        <v>-</v>
      </c>
      <c r="F44" t="str">
        <f>SUBSTITUTE('Raw Data'!K34," ",":",1)</f>
        <v>water:level</v>
      </c>
      <c r="G44">
        <f>'Interpreted Data'!N34</f>
        <v>0</v>
      </c>
      <c r="H44" t="str">
        <f>'Interpreted Data'!P34</f>
        <v>Bearing from 2' to right. W to near side Duck II = 3.5. W to far side Duck II = 20.4</v>
      </c>
      <c r="I44" t="str">
        <f t="shared" si="0"/>
        <v xml:space="preserve"> </v>
      </c>
      <c r="J44" t="str">
        <f>$J$2</f>
        <v>data diving from to tape compass backcompass depthchange ignoreall</v>
      </c>
    </row>
    <row r="45" spans="1:16" x14ac:dyDescent="0.25">
      <c r="A45" t="str">
        <f>'Raw Data'!A35</f>
        <v>X</v>
      </c>
      <c r="B45" t="str">
        <f>'Raw Data'!B35</f>
        <v>Y</v>
      </c>
      <c r="C45">
        <f>'Raw Data'!J35</f>
        <v>83.5</v>
      </c>
      <c r="D45" t="str">
        <f>'Interpreted Data'!G35</f>
        <v>-</v>
      </c>
      <c r="E45" t="str">
        <f>'Interpreted Data'!H35</f>
        <v>354</v>
      </c>
      <c r="F45" t="str">
        <f>SUBSTITUTE('Raw Data'!K35," ",":",1)</f>
        <v>fall:0.7'</v>
      </c>
      <c r="G45">
        <f>'Interpreted Data'!N35</f>
        <v>-0.7</v>
      </c>
      <c r="H45" t="str">
        <f>'Interpreted Data'!P35</f>
        <v>Y at lip of Sump II, 3" air space goes on 10 more</v>
      </c>
      <c r="I45" t="str">
        <f t="shared" si="0"/>
        <v xml:space="preserve"> </v>
      </c>
      <c r="J45" t="str">
        <f>A45</f>
        <v>X</v>
      </c>
      <c r="K45" t="str">
        <f>B45</f>
        <v>Y</v>
      </c>
      <c r="L45">
        <f>C45</f>
        <v>83.5</v>
      </c>
      <c r="M45" t="str">
        <f>D45</f>
        <v>-</v>
      </c>
      <c r="N45" t="str">
        <f>E45</f>
        <v>354</v>
      </c>
      <c r="O45">
        <f>G45</f>
        <v>-0.7</v>
      </c>
      <c r="P45" t="str">
        <f>H45</f>
        <v>Y at lip of Sump II, 3" air space goes on 10 more</v>
      </c>
    </row>
    <row r="46" spans="1:16" x14ac:dyDescent="0.25">
      <c r="A46" t="str">
        <f>'Raw Data'!A36</f>
        <v>Y</v>
      </c>
      <c r="B46">
        <f>'Raw Data'!B36</f>
        <v>0</v>
      </c>
      <c r="C46">
        <f>'Raw Data'!J36</f>
        <v>0</v>
      </c>
      <c r="D46" t="str">
        <f>'Interpreted Data'!G36</f>
        <v/>
      </c>
      <c r="E46" t="str">
        <f>'Interpreted Data'!H36</f>
        <v/>
      </c>
      <c r="F46" t="str">
        <f>SUBSTITUTE('Raw Data'!K36," ",":",1)</f>
        <v/>
      </c>
      <c r="G46" t="str">
        <f>'Interpreted Data'!N36</f>
        <v/>
      </c>
      <c r="H46" t="str">
        <f>'Interpreted Data'!P36</f>
        <v>(Little sketch). Total 1010'</v>
      </c>
      <c r="I46" t="str">
        <f t="shared" si="0"/>
        <v xml:space="preserve"> </v>
      </c>
      <c r="J46" t="str">
        <f>$J$1</f>
        <v>data normal from to tape compass backcompass clino ignoreall</v>
      </c>
    </row>
    <row r="47" spans="1:16" x14ac:dyDescent="0.25">
      <c r="A47" t="str">
        <f>'Raw Data'!A37</f>
        <v>T</v>
      </c>
      <c r="B47" t="str">
        <f>'Raw Data'!B37</f>
        <v>Ri</v>
      </c>
      <c r="C47">
        <f>'Raw Data'!J37</f>
        <v>22.1</v>
      </c>
      <c r="D47" t="str">
        <f>'Interpreted Data'!G37</f>
        <v>19</v>
      </c>
      <c r="E47" t="str">
        <f>'Interpreted Data'!H37</f>
        <v>-</v>
      </c>
      <c r="F47" t="str">
        <f>SUBSTITUTE('Raw Data'!K37," ",":",1)</f>
        <v>20</v>
      </c>
      <c r="G47">
        <f>'Interpreted Data'!N37</f>
        <v>7.6</v>
      </c>
      <c r="H47" t="str">
        <f>'Interpreted Data'!P37</f>
        <v/>
      </c>
      <c r="I47" t="str">
        <f t="shared" si="0"/>
        <v xml:space="preserve"> </v>
      </c>
      <c r="J47" t="s">
        <v>77</v>
      </c>
      <c r="K47" t="str">
        <f>A46</f>
        <v>Y</v>
      </c>
      <c r="M47" t="str">
        <f>D46</f>
        <v/>
      </c>
      <c r="N47" t="str">
        <f>E46</f>
        <v/>
      </c>
      <c r="O47" t="str">
        <f>F46</f>
        <v/>
      </c>
      <c r="P47" t="str">
        <f>H46</f>
        <v>(Little sketch). Total 1010'</v>
      </c>
    </row>
    <row r="48" spans="1:16" x14ac:dyDescent="0.25">
      <c r="A48" t="str">
        <f>'Raw Data'!A38</f>
        <v>Ri</v>
      </c>
      <c r="B48" t="str">
        <f>'Raw Data'!B38</f>
        <v>Rii</v>
      </c>
      <c r="C48">
        <f>'Raw Data'!J38</f>
        <v>46</v>
      </c>
      <c r="D48" t="str">
        <f>'Interpreted Data'!G38</f>
        <v>315</v>
      </c>
      <c r="E48" t="str">
        <f>'Interpreted Data'!H38</f>
        <v>-</v>
      </c>
      <c r="F48" t="str">
        <f>SUBSTITUTE('Raw Data'!K38," ",":",1)</f>
        <v>-3</v>
      </c>
      <c r="G48">
        <f>'Interpreted Data'!N38</f>
        <v>-2.4</v>
      </c>
      <c r="H48" t="str">
        <f>'Interpreted Data'!P38</f>
        <v>Sump on left at 41' feet</v>
      </c>
      <c r="I48" t="str">
        <f t="shared" si="0"/>
        <v xml:space="preserve"> </v>
      </c>
      <c r="J48" t="str">
        <f t="shared" ref="J48:N50" si="19">A47</f>
        <v>T</v>
      </c>
      <c r="K48" t="str">
        <f t="shared" si="19"/>
        <v>Ri</v>
      </c>
      <c r="L48">
        <f t="shared" si="19"/>
        <v>22.1</v>
      </c>
      <c r="M48" t="str">
        <f t="shared" si="19"/>
        <v>19</v>
      </c>
      <c r="N48" t="str">
        <f t="shared" si="19"/>
        <v>-</v>
      </c>
      <c r="O48" t="str">
        <f>IF(AND(D47="-",E47="-"),IF(1*F47=-90,"DOWN",IF(1*F47=90,"UP","no compass")),F47)</f>
        <v>20</v>
      </c>
      <c r="P48" t="str">
        <f>H47</f>
        <v/>
      </c>
    </row>
    <row r="49" spans="1:16" x14ac:dyDescent="0.25">
      <c r="A49" t="str">
        <f>'Raw Data'!A39</f>
        <v>Rii</v>
      </c>
      <c r="B49" t="str">
        <f>'Raw Data'!B39</f>
        <v>Riii</v>
      </c>
      <c r="C49">
        <f>'Raw Data'!J39</f>
        <v>32</v>
      </c>
      <c r="D49" t="str">
        <f>'Interpreted Data'!G39</f>
        <v>348</v>
      </c>
      <c r="E49" t="str">
        <f>'Interpreted Data'!H39</f>
        <v>-</v>
      </c>
      <c r="F49" t="str">
        <f>SUBSTITUTE('Raw Data'!K39," ",":",1)</f>
        <v>2</v>
      </c>
      <c r="G49">
        <f>'Interpreted Data'!N39</f>
        <v>1.1000000000000001</v>
      </c>
      <c r="H49" t="str">
        <f>'Interpreted Data'!P39</f>
        <v>Bearing from 3 feet to left</v>
      </c>
      <c r="I49" t="str">
        <f t="shared" si="0"/>
        <v xml:space="preserve"> </v>
      </c>
      <c r="J49" t="str">
        <f t="shared" si="19"/>
        <v>Ri</v>
      </c>
      <c r="K49" t="str">
        <f t="shared" si="19"/>
        <v>Rii</v>
      </c>
      <c r="L49">
        <f t="shared" si="19"/>
        <v>46</v>
      </c>
      <c r="M49" t="str">
        <f t="shared" si="19"/>
        <v>315</v>
      </c>
      <c r="N49" t="str">
        <f t="shared" si="19"/>
        <v>-</v>
      </c>
      <c r="O49" t="str">
        <f t="shared" ref="O49:O50" si="20">IF(AND(D48="-",E48="-"),IF(1*F48=-90,"DOWN",IF(1*F48=90,"UP","no compass")),F48)</f>
        <v>-3</v>
      </c>
      <c r="P49" t="str">
        <f>H48</f>
        <v>Sump on left at 41' feet</v>
      </c>
    </row>
    <row r="50" spans="1:16" x14ac:dyDescent="0.25">
      <c r="A50" t="str">
        <f>'Raw Data'!A40</f>
        <v>Riii</v>
      </c>
      <c r="B50" t="str">
        <f>'Raw Data'!B40</f>
        <v>Riv</v>
      </c>
      <c r="C50">
        <f>'Raw Data'!J40</f>
        <v>27.3</v>
      </c>
      <c r="D50" t="str">
        <f>'Interpreted Data'!G40</f>
        <v>284</v>
      </c>
      <c r="E50" t="str">
        <f>'Interpreted Data'!H40</f>
        <v>-</v>
      </c>
      <c r="F50" t="str">
        <f>SUBSTITUTE('Raw Data'!K40," ",":",1)</f>
        <v>fall:4 feet</v>
      </c>
      <c r="G50">
        <f>'Interpreted Data'!N40</f>
        <v>-4</v>
      </c>
      <c r="H50" t="str">
        <f>'Interpreted Data'!P40</f>
        <v>Bearing from 2' to left. Iv is Muddy Sump. Dp below Sump I is 20.6 feet. Total 1127'</v>
      </c>
      <c r="I50" t="str">
        <f t="shared" si="0"/>
        <v xml:space="preserve"> </v>
      </c>
      <c r="J50" t="str">
        <f t="shared" si="19"/>
        <v>Rii</v>
      </c>
      <c r="K50" t="str">
        <f t="shared" si="19"/>
        <v>Riii</v>
      </c>
      <c r="L50">
        <f t="shared" si="19"/>
        <v>32</v>
      </c>
      <c r="M50" t="str">
        <f t="shared" si="19"/>
        <v>348</v>
      </c>
      <c r="N50" t="str">
        <f t="shared" si="19"/>
        <v>-</v>
      </c>
      <c r="O50" t="str">
        <f t="shared" si="20"/>
        <v>2</v>
      </c>
      <c r="P50" t="str">
        <f>H49</f>
        <v>Bearing from 3 feet to left</v>
      </c>
    </row>
    <row r="51" spans="1:16" x14ac:dyDescent="0.25">
      <c r="A51" t="str">
        <f>'Raw Data'!A41</f>
        <v>a</v>
      </c>
      <c r="B51" t="str">
        <f>'Raw Data'!B41</f>
        <v>b</v>
      </c>
      <c r="C51">
        <f>'Raw Data'!J41</f>
        <v>43</v>
      </c>
      <c r="D51" t="str">
        <f>'Interpreted Data'!G41</f>
        <v>83</v>
      </c>
      <c r="E51" t="str">
        <f>'Interpreted Data'!H41</f>
        <v>-</v>
      </c>
      <c r="F51" t="str">
        <f>SUBSTITUTE('Raw Data'!K41," ",":",1)</f>
        <v>15</v>
      </c>
      <c r="G51">
        <f>'Interpreted Data'!N41</f>
        <v>11.1</v>
      </c>
      <c r="H51" t="str">
        <f>'Interpreted Data'!P41</f>
        <v>a is on N.Side of passage just before Creep I -&gt; (sketch)</v>
      </c>
      <c r="I51" t="str">
        <f t="shared" si="0"/>
        <v xml:space="preserve"> </v>
      </c>
      <c r="J51" t="str">
        <f>$J$2</f>
        <v>data diving from to tape compass backcompass depthchange ignoreall</v>
      </c>
    </row>
    <row r="52" spans="1:16" x14ac:dyDescent="0.25">
      <c r="A52" t="str">
        <f>'Raw Data'!A42</f>
        <v>b</v>
      </c>
      <c r="B52" t="str">
        <f>'Raw Data'!B42</f>
        <v>c</v>
      </c>
      <c r="C52">
        <f>'Raw Data'!J42</f>
        <v>20.7</v>
      </c>
      <c r="D52" t="str">
        <f>'Interpreted Data'!G42</f>
        <v>6</v>
      </c>
      <c r="E52" t="str">
        <f>'Interpreted Data'!H42</f>
        <v>-</v>
      </c>
      <c r="F52" t="str">
        <f>SUBSTITUTE('Raw Data'!K42," ",":",1)</f>
        <v>8</v>
      </c>
      <c r="G52">
        <f>'Interpreted Data'!N42</f>
        <v>2.9</v>
      </c>
      <c r="H52" t="str">
        <f>'Interpreted Data'!P42</f>
        <v/>
      </c>
      <c r="I52" t="str">
        <f t="shared" si="0"/>
        <v xml:space="preserve"> </v>
      </c>
      <c r="J52" t="str">
        <f>A50</f>
        <v>Riii</v>
      </c>
      <c r="K52" t="str">
        <f>B50</f>
        <v>Riv</v>
      </c>
      <c r="L52">
        <f>C50</f>
        <v>27.3</v>
      </c>
      <c r="M52" t="str">
        <f>D50</f>
        <v>284</v>
      </c>
      <c r="N52" t="str">
        <f>E50</f>
        <v>-</v>
      </c>
      <c r="O52">
        <f>G50</f>
        <v>-4</v>
      </c>
      <c r="P52" t="str">
        <f>H50</f>
        <v>Bearing from 2' to left. Iv is Muddy Sump. Dp below Sump I is 20.6 feet. Total 1127'</v>
      </c>
    </row>
    <row r="53" spans="1:16" x14ac:dyDescent="0.25">
      <c r="A53" t="str">
        <f>'Raw Data'!A43</f>
        <v>c</v>
      </c>
      <c r="B53" t="str">
        <f>'Raw Data'!B43</f>
        <v>d</v>
      </c>
      <c r="C53">
        <f>'Raw Data'!J43</f>
        <v>11.3</v>
      </c>
      <c r="D53" t="str">
        <f>'Interpreted Data'!G43</f>
        <v>42</v>
      </c>
      <c r="E53" t="str">
        <f>'Interpreted Data'!H43</f>
        <v>-</v>
      </c>
      <c r="F53" t="str">
        <f>SUBSTITUTE('Raw Data'!K43," ",":",1)</f>
        <v>10</v>
      </c>
      <c r="G53">
        <f>'Interpreted Data'!N43</f>
        <v>2</v>
      </c>
      <c r="H53" t="str">
        <f>'Interpreted Data'!P43</f>
        <v/>
      </c>
      <c r="I53" t="str">
        <f t="shared" si="0"/>
        <v xml:space="preserve"> </v>
      </c>
      <c r="J53" t="str">
        <f>$J$1</f>
        <v>data normal from to tape compass backcompass clino ignoreall</v>
      </c>
    </row>
    <row r="54" spans="1:16" x14ac:dyDescent="0.25">
      <c r="A54" t="str">
        <f>'Raw Data'!A44</f>
        <v>d</v>
      </c>
      <c r="B54" t="str">
        <f>'Raw Data'!B44</f>
        <v>e</v>
      </c>
      <c r="C54">
        <f>'Raw Data'!J44</f>
        <v>18.899999999999999</v>
      </c>
      <c r="D54" t="str">
        <f>'Interpreted Data'!G44</f>
        <v>139</v>
      </c>
      <c r="E54" t="str">
        <f>'Interpreted Data'!H44</f>
        <v>-</v>
      </c>
      <c r="F54" t="str">
        <f>SUBSTITUTE('Raw Data'!K44," ",":",1)</f>
        <v>level</v>
      </c>
      <c r="G54">
        <f>'Interpreted Data'!N44</f>
        <v>0</v>
      </c>
      <c r="H54" t="str">
        <f>'Interpreted Data'!P44</f>
        <v>(e) is where passage rejoins streamway. Stn 35 (p.52)-(e) is F.S. 234 (TRUE), Dist 18', Clino +45 (deg), HD 12.7, VD +12.7</v>
      </c>
      <c r="I54" t="str">
        <f t="shared" si="0"/>
        <v xml:space="preserve"> </v>
      </c>
      <c r="J54" t="str">
        <f>CONCATENATE(A51,"2")</f>
        <v>a2</v>
      </c>
      <c r="K54" t="str">
        <f>CONCATENATE(B51,"2")</f>
        <v>b2</v>
      </c>
      <c r="L54">
        <f t="shared" ref="L54:L73" si="21">C51</f>
        <v>43</v>
      </c>
      <c r="M54" t="str">
        <f t="shared" ref="M54:M73" si="22">D51</f>
        <v>83</v>
      </c>
      <c r="N54" t="str">
        <f t="shared" ref="N54:N73" si="23">E51</f>
        <v>-</v>
      </c>
      <c r="O54" t="str">
        <f>IF(AND(D51="-",E51="-"),IF(1*F51=-90,"DOWN",IF(1*F51=90,"UP","no compass")),F51)</f>
        <v>15</v>
      </c>
      <c r="P54" t="str">
        <f t="shared" ref="P54:P73" si="24">H51</f>
        <v>a is on N.Side of passage just before Creep I -&gt; (sketch)</v>
      </c>
    </row>
    <row r="55" spans="1:16" x14ac:dyDescent="0.25">
      <c r="A55" t="str">
        <f>'Raw Data'!A45</f>
        <v>d</v>
      </c>
      <c r="B55" t="str">
        <f>'Raw Data'!B45</f>
        <v>f</v>
      </c>
      <c r="C55">
        <f>'Raw Data'!J45</f>
        <v>10.3</v>
      </c>
      <c r="D55" t="str">
        <f>'Interpreted Data'!G45</f>
        <v>245</v>
      </c>
      <c r="E55" t="str">
        <f>'Interpreted Data'!H45</f>
        <v>-</v>
      </c>
      <c r="F55" t="str">
        <f>SUBSTITUTE('Raw Data'!K45," ",":",1)</f>
        <v>60</v>
      </c>
      <c r="G55">
        <f>'Interpreted Data'!N45</f>
        <v>8.9</v>
      </c>
      <c r="H55" t="str">
        <f>'Interpreted Data'!P45</f>
        <v/>
      </c>
      <c r="I55" t="str">
        <f t="shared" si="0"/>
        <v xml:space="preserve"> </v>
      </c>
      <c r="J55" t="str">
        <f t="shared" ref="J55:K55" si="25">CONCATENATE(A52,"2")</f>
        <v>b2</v>
      </c>
      <c r="K55" t="str">
        <f t="shared" si="25"/>
        <v>c2</v>
      </c>
      <c r="L55">
        <f t="shared" si="21"/>
        <v>20.7</v>
      </c>
      <c r="M55" t="str">
        <f t="shared" si="22"/>
        <v>6</v>
      </c>
      <c r="N55" t="str">
        <f t="shared" si="23"/>
        <v>-</v>
      </c>
      <c r="O55" t="str">
        <f>IF(AND(D52="-",E52="-"),IF(1*F52=-90,"DOWN",IF(1*F52=90,"UP","no compass")),F52)</f>
        <v>8</v>
      </c>
      <c r="P55" t="str">
        <f t="shared" si="24"/>
        <v/>
      </c>
    </row>
    <row r="56" spans="1:16" x14ac:dyDescent="0.25">
      <c r="A56" t="str">
        <f>'Raw Data'!A46</f>
        <v>f</v>
      </c>
      <c r="B56" t="str">
        <f>'Raw Data'!B46</f>
        <v>g</v>
      </c>
      <c r="C56">
        <f>'Raw Data'!J46</f>
        <v>6.2</v>
      </c>
      <c r="D56" t="str">
        <f>'Interpreted Data'!G46</f>
        <v>319</v>
      </c>
      <c r="E56" t="str">
        <f>'Interpreted Data'!H46</f>
        <v>-</v>
      </c>
      <c r="F56" t="str">
        <f>SUBSTITUTE('Raw Data'!K46," ",":",1)</f>
        <v>level</v>
      </c>
      <c r="G56">
        <f>'Interpreted Data'!N46</f>
        <v>0</v>
      </c>
      <c r="H56" t="str">
        <f>'Interpreted Data'!P46</f>
        <v/>
      </c>
      <c r="I56" t="str">
        <f t="shared" si="0"/>
        <v xml:space="preserve"> </v>
      </c>
      <c r="J56" t="str">
        <f t="shared" ref="J56:K56" si="26">CONCATENATE(A53,"2")</f>
        <v>c2</v>
      </c>
      <c r="K56" t="str">
        <f t="shared" si="26"/>
        <v>d2</v>
      </c>
      <c r="L56">
        <f t="shared" si="21"/>
        <v>11.3</v>
      </c>
      <c r="M56" t="str">
        <f t="shared" si="22"/>
        <v>42</v>
      </c>
      <c r="N56" t="str">
        <f t="shared" si="23"/>
        <v>-</v>
      </c>
      <c r="O56" t="str">
        <f>IF(AND(D53="-",E53="-"),IF(1*F53=-90,"DOWN",IF(1*F53=90,"UP","no compass")),F53)</f>
        <v>10</v>
      </c>
      <c r="P56" t="str">
        <f t="shared" si="24"/>
        <v/>
      </c>
    </row>
    <row r="57" spans="1:16" x14ac:dyDescent="0.25">
      <c r="A57" t="str">
        <f>'Raw Data'!A47</f>
        <v>g</v>
      </c>
      <c r="B57" t="str">
        <f>'Raw Data'!B47</f>
        <v>h</v>
      </c>
      <c r="C57">
        <f>'Raw Data'!J47</f>
        <v>16</v>
      </c>
      <c r="D57" t="str">
        <f>'Interpreted Data'!G47</f>
        <v>237</v>
      </c>
      <c r="E57" t="str">
        <f>'Interpreted Data'!H47</f>
        <v>-</v>
      </c>
      <c r="F57" t="str">
        <f>SUBSTITUTE('Raw Data'!K47," ",":",1)</f>
        <v>65</v>
      </c>
      <c r="G57">
        <f>'Interpreted Data'!N47</f>
        <v>14.5</v>
      </c>
      <c r="H57" t="str">
        <f>'Interpreted Data'!P47</f>
        <v/>
      </c>
      <c r="I57" t="str">
        <f t="shared" si="0"/>
        <v xml:space="preserve"> </v>
      </c>
      <c r="J57" t="str">
        <f t="shared" ref="J57:K57" si="27">CONCATENATE(A54,"2")</f>
        <v>d2</v>
      </c>
      <c r="K57" t="str">
        <f t="shared" si="27"/>
        <v>e2</v>
      </c>
      <c r="L57">
        <f t="shared" si="21"/>
        <v>18.899999999999999</v>
      </c>
      <c r="M57" t="str">
        <f t="shared" si="22"/>
        <v>139</v>
      </c>
      <c r="N57" t="str">
        <f t="shared" si="23"/>
        <v>-</v>
      </c>
      <c r="O57">
        <f>G54</f>
        <v>0</v>
      </c>
      <c r="P57" t="str">
        <f t="shared" si="24"/>
        <v>(e) is where passage rejoins streamway. Stn 35 (p.52)-(e) is F.S. 234 (TRUE), Dist 18', Clino +45 (deg), HD 12.7, VD +12.7</v>
      </c>
    </row>
    <row r="58" spans="1:16" x14ac:dyDescent="0.25">
      <c r="A58" t="str">
        <f>'Raw Data'!A48</f>
        <v>h</v>
      </c>
      <c r="B58" t="str">
        <f>'Raw Data'!B48</f>
        <v>i</v>
      </c>
      <c r="C58">
        <f>'Raw Data'!J48</f>
        <v>46</v>
      </c>
      <c r="D58" t="str">
        <f>'Interpreted Data'!G48</f>
        <v>329</v>
      </c>
      <c r="E58" t="str">
        <f>'Interpreted Data'!H48</f>
        <v>-</v>
      </c>
      <c r="F58" t="str">
        <f>SUBSTITUTE('Raw Data'!K48," ",":",1)</f>
        <v>level</v>
      </c>
      <c r="G58">
        <f>'Interpreted Data'!N48</f>
        <v>0</v>
      </c>
      <c r="H58" t="str">
        <f>'Interpreted Data'!P48</f>
        <v>(i) is where passage gets too low. (some indistinct numbers follow. Too faint to read on logbook scan). Total 1207' (?)</v>
      </c>
      <c r="I58" t="str">
        <f t="shared" si="0"/>
        <v xml:space="preserve"> </v>
      </c>
      <c r="J58" t="str">
        <f t="shared" ref="J58:K58" si="28">CONCATENATE(A55,"2")</f>
        <v>d2</v>
      </c>
      <c r="K58" t="str">
        <f t="shared" si="28"/>
        <v>f2</v>
      </c>
      <c r="L58">
        <f t="shared" si="21"/>
        <v>10.3</v>
      </c>
      <c r="M58" t="str">
        <f t="shared" si="22"/>
        <v>245</v>
      </c>
      <c r="N58" t="str">
        <f t="shared" si="23"/>
        <v>-</v>
      </c>
      <c r="O58" t="str">
        <f>IF(AND(D55="-",E55="-"),IF(1*F55=-90,"DOWN",IF(1*F55=90,"UP","no compass")),F55)</f>
        <v>60</v>
      </c>
      <c r="P58" t="str">
        <f t="shared" si="24"/>
        <v/>
      </c>
    </row>
    <row r="59" spans="1:16" x14ac:dyDescent="0.25">
      <c r="A59" t="str">
        <f>'Raw Data'!A49</f>
        <v>M</v>
      </c>
      <c r="B59">
        <f>'Raw Data'!B49</f>
        <v>1</v>
      </c>
      <c r="C59">
        <f>'Raw Data'!J49</f>
        <v>11.7</v>
      </c>
      <c r="D59" t="str">
        <f>'Interpreted Data'!G49</f>
        <v>-</v>
      </c>
      <c r="E59" t="str">
        <f>'Interpreted Data'!H49</f>
        <v>145</v>
      </c>
      <c r="F59" t="str">
        <f>SUBSTITUTE('Raw Data'!K49," ",":",1)</f>
        <v>-20</v>
      </c>
      <c r="G59">
        <f>'Interpreted Data'!N49</f>
        <v>-4</v>
      </c>
      <c r="H59" t="str">
        <f>'Interpreted Data'!P49</f>
        <v/>
      </c>
      <c r="I59" t="str">
        <f t="shared" si="0"/>
        <v xml:space="preserve"> </v>
      </c>
      <c r="J59" t="str">
        <f t="shared" ref="J59:K59" si="29">CONCATENATE(A56,"2")</f>
        <v>f2</v>
      </c>
      <c r="K59" t="str">
        <f t="shared" si="29"/>
        <v>g2</v>
      </c>
      <c r="L59">
        <f t="shared" si="21"/>
        <v>6.2</v>
      </c>
      <c r="M59" t="str">
        <f t="shared" si="22"/>
        <v>319</v>
      </c>
      <c r="N59" t="str">
        <f t="shared" si="23"/>
        <v>-</v>
      </c>
      <c r="O59">
        <f>G56</f>
        <v>0</v>
      </c>
      <c r="P59" t="str">
        <f t="shared" si="24"/>
        <v/>
      </c>
    </row>
    <row r="60" spans="1:16" x14ac:dyDescent="0.25">
      <c r="A60">
        <f>'Raw Data'!A50</f>
        <v>1</v>
      </c>
      <c r="B60">
        <f>'Raw Data'!B50</f>
        <v>2</v>
      </c>
      <c r="C60">
        <f>'Raw Data'!J50</f>
        <v>28.5</v>
      </c>
      <c r="D60" t="str">
        <f>'Interpreted Data'!G50</f>
        <v>35</v>
      </c>
      <c r="E60" t="str">
        <f>'Interpreted Data'!H50</f>
        <v>-</v>
      </c>
      <c r="F60" t="str">
        <f>SUBSTITUTE('Raw Data'!K50," ",":",1)</f>
        <v>85</v>
      </c>
      <c r="G60">
        <f>'Interpreted Data'!N50</f>
        <v>28.4</v>
      </c>
      <c r="H60" t="str">
        <f>'Interpreted Data'!P50</f>
        <v/>
      </c>
      <c r="I60" t="str">
        <f t="shared" si="0"/>
        <v xml:space="preserve"> </v>
      </c>
      <c r="J60" t="str">
        <f t="shared" ref="J60:K60" si="30">CONCATENATE(A57,"2")</f>
        <v>g2</v>
      </c>
      <c r="K60" t="str">
        <f t="shared" si="30"/>
        <v>h2</v>
      </c>
      <c r="L60">
        <f t="shared" si="21"/>
        <v>16</v>
      </c>
      <c r="M60" t="str">
        <f t="shared" si="22"/>
        <v>237</v>
      </c>
      <c r="N60" t="str">
        <f t="shared" si="23"/>
        <v>-</v>
      </c>
      <c r="O60" t="str">
        <f>IF(AND(D57="-",E57="-"),IF(1*F57=-90,"DOWN",IF(1*F57=90,"UP","no compass")),F57)</f>
        <v>65</v>
      </c>
      <c r="P60" t="str">
        <f t="shared" si="24"/>
        <v/>
      </c>
    </row>
    <row r="61" spans="1:16" x14ac:dyDescent="0.25">
      <c r="A61">
        <f>'Raw Data'!A51</f>
        <v>2</v>
      </c>
      <c r="B61">
        <f>'Raw Data'!B51</f>
        <v>3</v>
      </c>
      <c r="C61">
        <f>'Raw Data'!J51</f>
        <v>19.899999999999999</v>
      </c>
      <c r="D61" t="str">
        <f>'Interpreted Data'!G51</f>
        <v>-</v>
      </c>
      <c r="E61" t="str">
        <f>'Interpreted Data'!H51</f>
        <v>230</v>
      </c>
      <c r="F61" t="str">
        <f>SUBSTITUTE('Raw Data'!K51," ",":",1)</f>
        <v>16</v>
      </c>
      <c r="G61">
        <f>'Interpreted Data'!N51</f>
        <v>5.5</v>
      </c>
      <c r="H61" t="str">
        <f>'Interpreted Data'!P51</f>
        <v>2 is on lip of Approach passage. Little passage starts 15 back.</v>
      </c>
      <c r="I61" t="str">
        <f t="shared" si="0"/>
        <v xml:space="preserve"> </v>
      </c>
      <c r="J61" t="str">
        <f t="shared" ref="J61:K61" si="31">CONCATENATE(A58,"2")</f>
        <v>h2</v>
      </c>
      <c r="K61" t="str">
        <f t="shared" si="31"/>
        <v>i2</v>
      </c>
      <c r="L61">
        <f t="shared" si="21"/>
        <v>46</v>
      </c>
      <c r="M61" t="str">
        <f t="shared" si="22"/>
        <v>329</v>
      </c>
      <c r="N61" t="str">
        <f t="shared" si="23"/>
        <v>-</v>
      </c>
      <c r="O61">
        <f>G58</f>
        <v>0</v>
      </c>
      <c r="P61" t="str">
        <f t="shared" si="24"/>
        <v>(i) is where passage gets too low. (some indistinct numbers follow. Too faint to read on logbook scan). Total 1207' (?)</v>
      </c>
    </row>
    <row r="62" spans="1:16" x14ac:dyDescent="0.25">
      <c r="A62">
        <f>'Raw Data'!A52</f>
        <v>3</v>
      </c>
      <c r="B62">
        <f>'Raw Data'!B52</f>
        <v>4</v>
      </c>
      <c r="C62">
        <f>'Raw Data'!J52</f>
        <v>16</v>
      </c>
      <c r="D62" t="str">
        <f>'Interpreted Data'!G52</f>
        <v>122</v>
      </c>
      <c r="E62" t="str">
        <f>'Interpreted Data'!H52</f>
        <v>-</v>
      </c>
      <c r="F62" t="str">
        <f>SUBSTITUTE('Raw Data'!K52," ",":",1)</f>
        <v>7</v>
      </c>
      <c r="G62">
        <f>'Interpreted Data'!N52</f>
        <v>1.9</v>
      </c>
      <c r="H62" t="str">
        <f>'Interpreted Data'!P52</f>
        <v>3 - 12 Trench up to 2 feet deep in floor of this passage</v>
      </c>
      <c r="I62" t="str">
        <f t="shared" si="0"/>
        <v xml:space="preserve"> </v>
      </c>
      <c r="J62" t="str">
        <f t="shared" ref="J62:J73" si="32">A59</f>
        <v>M</v>
      </c>
      <c r="K62">
        <f t="shared" ref="K62:K73" si="33">B59</f>
        <v>1</v>
      </c>
      <c r="L62">
        <f t="shared" si="21"/>
        <v>11.7</v>
      </c>
      <c r="M62" t="str">
        <f t="shared" si="22"/>
        <v>-</v>
      </c>
      <c r="N62" t="str">
        <f t="shared" si="23"/>
        <v>145</v>
      </c>
      <c r="O62" t="str">
        <f t="shared" ref="O62:O71" si="34">IF(AND(D59="-",E59="-"),IF(1*F59=-90,"DOWN",IF(1*F59=90,"UP","no compass")),F59)</f>
        <v>-20</v>
      </c>
      <c r="P62" t="str">
        <f t="shared" si="24"/>
        <v/>
      </c>
    </row>
    <row r="63" spans="1:16" x14ac:dyDescent="0.25">
      <c r="A63">
        <f>'Raw Data'!A53</f>
        <v>4</v>
      </c>
      <c r="B63">
        <f>'Raw Data'!B53</f>
        <v>5</v>
      </c>
      <c r="C63">
        <f>'Raw Data'!J53</f>
        <v>18</v>
      </c>
      <c r="D63" t="str">
        <f>'Interpreted Data'!G53</f>
        <v>59</v>
      </c>
      <c r="E63" t="str">
        <f>'Interpreted Data'!H53</f>
        <v>-</v>
      </c>
      <c r="F63" t="str">
        <f>SUBSTITUTE('Raw Data'!K53," ",":",1)</f>
        <v>15</v>
      </c>
      <c r="G63">
        <f>'Interpreted Data'!N53</f>
        <v>4.7</v>
      </c>
      <c r="H63" t="str">
        <f>'Interpreted Data'!P53</f>
        <v>Little passage off to South from 4</v>
      </c>
      <c r="I63" t="str">
        <f t="shared" si="0"/>
        <v xml:space="preserve"> </v>
      </c>
      <c r="J63">
        <f t="shared" si="32"/>
        <v>1</v>
      </c>
      <c r="K63">
        <f t="shared" si="33"/>
        <v>2</v>
      </c>
      <c r="L63">
        <f t="shared" si="21"/>
        <v>28.5</v>
      </c>
      <c r="M63" t="str">
        <f t="shared" si="22"/>
        <v>35</v>
      </c>
      <c r="N63" t="str">
        <f t="shared" si="23"/>
        <v>-</v>
      </c>
      <c r="O63" t="str">
        <f t="shared" si="34"/>
        <v>85</v>
      </c>
      <c r="P63" t="str">
        <f t="shared" si="24"/>
        <v/>
      </c>
    </row>
    <row r="64" spans="1:16" x14ac:dyDescent="0.25">
      <c r="A64">
        <f>'Raw Data'!A54</f>
        <v>5</v>
      </c>
      <c r="B64">
        <f>'Raw Data'!B54</f>
        <v>6</v>
      </c>
      <c r="C64">
        <f>'Raw Data'!J54</f>
        <v>9.5</v>
      </c>
      <c r="D64" t="str">
        <f>'Interpreted Data'!G54</f>
        <v>17</v>
      </c>
      <c r="E64" t="str">
        <f>'Interpreted Data'!H54</f>
        <v>-</v>
      </c>
      <c r="F64" t="str">
        <f>SUBSTITUTE('Raw Data'!K54," ",":",1)</f>
        <v>10</v>
      </c>
      <c r="G64">
        <f>'Interpreted Data'!N54</f>
        <v>1.6</v>
      </c>
      <c r="H64" t="str">
        <f>'Interpreted Data'!P54</f>
        <v/>
      </c>
      <c r="I64" t="str">
        <f t="shared" si="0"/>
        <v xml:space="preserve"> </v>
      </c>
      <c r="J64">
        <f t="shared" si="32"/>
        <v>2</v>
      </c>
      <c r="K64">
        <f t="shared" si="33"/>
        <v>3</v>
      </c>
      <c r="L64">
        <f t="shared" si="21"/>
        <v>19.899999999999999</v>
      </c>
      <c r="M64" t="str">
        <f t="shared" si="22"/>
        <v>-</v>
      </c>
      <c r="N64" t="str">
        <f t="shared" si="23"/>
        <v>230</v>
      </c>
      <c r="O64" t="str">
        <f t="shared" si="34"/>
        <v>16</v>
      </c>
      <c r="P64" t="str">
        <f t="shared" si="24"/>
        <v>2 is on lip of Approach passage. Little passage starts 15 back.</v>
      </c>
    </row>
    <row r="65" spans="1:16" x14ac:dyDescent="0.25">
      <c r="A65">
        <f>'Raw Data'!A55</f>
        <v>6</v>
      </c>
      <c r="B65">
        <f>'Raw Data'!B55</f>
        <v>7</v>
      </c>
      <c r="C65">
        <f>'Raw Data'!J55</f>
        <v>13.5</v>
      </c>
      <c r="D65" t="str">
        <f>'Interpreted Data'!G55</f>
        <v>46</v>
      </c>
      <c r="E65" t="str">
        <f>'Interpreted Data'!H55</f>
        <v>-</v>
      </c>
      <c r="F65" t="str">
        <f>SUBSTITUTE('Raw Data'!K55," ",":",1)</f>
        <v>17</v>
      </c>
      <c r="G65">
        <f>'Interpreted Data'!N55</f>
        <v>4</v>
      </c>
      <c r="H65" t="str">
        <f>'Interpreted Data'!P55</f>
        <v/>
      </c>
      <c r="I65" t="str">
        <f t="shared" si="0"/>
        <v xml:space="preserve"> </v>
      </c>
      <c r="J65">
        <f t="shared" si="32"/>
        <v>3</v>
      </c>
      <c r="K65">
        <f t="shared" si="33"/>
        <v>4</v>
      </c>
      <c r="L65">
        <f t="shared" si="21"/>
        <v>16</v>
      </c>
      <c r="M65" t="str">
        <f t="shared" si="22"/>
        <v>122</v>
      </c>
      <c r="N65" t="str">
        <f t="shared" si="23"/>
        <v>-</v>
      </c>
      <c r="O65" t="str">
        <f t="shared" si="34"/>
        <v>7</v>
      </c>
      <c r="P65" t="str">
        <f t="shared" si="24"/>
        <v>3 - 12 Trench up to 2 feet deep in floor of this passage</v>
      </c>
    </row>
    <row r="66" spans="1:16" x14ac:dyDescent="0.25">
      <c r="A66">
        <f>'Raw Data'!A56</f>
        <v>7</v>
      </c>
      <c r="B66">
        <f>'Raw Data'!B56</f>
        <v>8</v>
      </c>
      <c r="C66">
        <f>'Raw Data'!J56</f>
        <v>24.2</v>
      </c>
      <c r="D66" t="str">
        <f>'Interpreted Data'!G56</f>
        <v>74</v>
      </c>
      <c r="E66" t="str">
        <f>'Interpreted Data'!H56</f>
        <v>-</v>
      </c>
      <c r="F66" t="str">
        <f>SUBSTITUTE('Raw Data'!K56," ",":",1)</f>
        <v>13</v>
      </c>
      <c r="G66">
        <f>'Interpreted Data'!N56</f>
        <v>5.4</v>
      </c>
      <c r="H66" t="str">
        <f>'Interpreted Data'!P56</f>
        <v/>
      </c>
      <c r="I66" t="str">
        <f t="shared" si="0"/>
        <v xml:space="preserve"> </v>
      </c>
      <c r="J66">
        <f t="shared" si="32"/>
        <v>4</v>
      </c>
      <c r="K66">
        <f t="shared" si="33"/>
        <v>5</v>
      </c>
      <c r="L66">
        <f t="shared" si="21"/>
        <v>18</v>
      </c>
      <c r="M66" t="str">
        <f t="shared" si="22"/>
        <v>59</v>
      </c>
      <c r="N66" t="str">
        <f t="shared" si="23"/>
        <v>-</v>
      </c>
      <c r="O66" t="str">
        <f t="shared" si="34"/>
        <v>15</v>
      </c>
      <c r="P66" t="str">
        <f t="shared" si="24"/>
        <v>Little passage off to South from 4</v>
      </c>
    </row>
    <row r="67" spans="1:16" x14ac:dyDescent="0.25">
      <c r="A67">
        <f>'Raw Data'!A57</f>
        <v>8</v>
      </c>
      <c r="B67">
        <f>'Raw Data'!B57</f>
        <v>9</v>
      </c>
      <c r="C67">
        <f>'Raw Data'!J57</f>
        <v>8.8000000000000007</v>
      </c>
      <c r="D67" t="str">
        <f>'Interpreted Data'!G57</f>
        <v>137</v>
      </c>
      <c r="E67" t="str">
        <f>'Interpreted Data'!H57</f>
        <v>-</v>
      </c>
      <c r="F67" t="str">
        <f>SUBSTITUTE('Raw Data'!K57," ",":",1)</f>
        <v>10</v>
      </c>
      <c r="G67">
        <f>'Interpreted Data'!N57</f>
        <v>1.5</v>
      </c>
      <c r="H67" t="str">
        <f>'Interpreted Data'!P57</f>
        <v/>
      </c>
      <c r="I67" t="str">
        <f t="shared" ref="I67:I133" si="35">" "</f>
        <v xml:space="preserve"> </v>
      </c>
      <c r="J67">
        <f t="shared" si="32"/>
        <v>5</v>
      </c>
      <c r="K67">
        <f t="shared" si="33"/>
        <v>6</v>
      </c>
      <c r="L67">
        <f t="shared" si="21"/>
        <v>9.5</v>
      </c>
      <c r="M67" t="str">
        <f t="shared" si="22"/>
        <v>17</v>
      </c>
      <c r="N67" t="str">
        <f t="shared" si="23"/>
        <v>-</v>
      </c>
      <c r="O67" t="str">
        <f t="shared" si="34"/>
        <v>10</v>
      </c>
      <c r="P67" t="str">
        <f t="shared" si="24"/>
        <v/>
      </c>
    </row>
    <row r="68" spans="1:16" x14ac:dyDescent="0.25">
      <c r="A68">
        <f>'Raw Data'!A58</f>
        <v>9</v>
      </c>
      <c r="B68">
        <f>'Raw Data'!B58</f>
        <v>10</v>
      </c>
      <c r="C68">
        <f>'Raw Data'!J58</f>
        <v>19.8</v>
      </c>
      <c r="D68" t="str">
        <f>'Interpreted Data'!G58</f>
        <v>89</v>
      </c>
      <c r="E68" t="str">
        <f>'Interpreted Data'!H58</f>
        <v>-</v>
      </c>
      <c r="F68" t="str">
        <f>SUBSTITUTE('Raw Data'!K58," ",":",1)</f>
        <v>15</v>
      </c>
      <c r="G68">
        <f>'Interpreted Data'!N58</f>
        <v>5.0999999999999996</v>
      </c>
      <c r="H68" t="str">
        <f>'Interpreted Data'!P58</f>
        <v/>
      </c>
      <c r="I68" t="str">
        <f t="shared" si="35"/>
        <v xml:space="preserve"> </v>
      </c>
      <c r="J68">
        <f t="shared" si="32"/>
        <v>6</v>
      </c>
      <c r="K68">
        <f t="shared" si="33"/>
        <v>7</v>
      </c>
      <c r="L68">
        <f t="shared" si="21"/>
        <v>13.5</v>
      </c>
      <c r="M68" t="str">
        <f t="shared" si="22"/>
        <v>46</v>
      </c>
      <c r="N68" t="str">
        <f t="shared" si="23"/>
        <v>-</v>
      </c>
      <c r="O68" t="str">
        <f t="shared" si="34"/>
        <v>17</v>
      </c>
      <c r="P68" t="str">
        <f t="shared" si="24"/>
        <v/>
      </c>
    </row>
    <row r="69" spans="1:16" x14ac:dyDescent="0.25">
      <c r="A69">
        <f>'Raw Data'!A59</f>
        <v>10</v>
      </c>
      <c r="B69">
        <f>'Raw Data'!B59</f>
        <v>11</v>
      </c>
      <c r="C69">
        <f>'Raw Data'!J59</f>
        <v>9</v>
      </c>
      <c r="D69" t="str">
        <f>'Interpreted Data'!G59</f>
        <v>26</v>
      </c>
      <c r="E69" t="str">
        <f>'Interpreted Data'!H59</f>
        <v>-</v>
      </c>
      <c r="F69" t="str">
        <f>SUBSTITUTE('Raw Data'!K59," ",":",1)</f>
        <v>12</v>
      </c>
      <c r="G69">
        <f>'Interpreted Data'!N59</f>
        <v>1.9</v>
      </c>
      <c r="H69" t="str">
        <f>'Interpreted Data'!P59</f>
        <v/>
      </c>
      <c r="I69" t="str">
        <f t="shared" si="35"/>
        <v xml:space="preserve"> </v>
      </c>
      <c r="J69">
        <f t="shared" si="32"/>
        <v>7</v>
      </c>
      <c r="K69">
        <f t="shared" si="33"/>
        <v>8</v>
      </c>
      <c r="L69">
        <f t="shared" si="21"/>
        <v>24.2</v>
      </c>
      <c r="M69" t="str">
        <f t="shared" si="22"/>
        <v>74</v>
      </c>
      <c r="N69" t="str">
        <f t="shared" si="23"/>
        <v>-</v>
      </c>
      <c r="O69" t="str">
        <f t="shared" si="34"/>
        <v>13</v>
      </c>
      <c r="P69" t="str">
        <f t="shared" si="24"/>
        <v/>
      </c>
    </row>
    <row r="70" spans="1:16" x14ac:dyDescent="0.25">
      <c r="A70">
        <f>'Raw Data'!A60</f>
        <v>11</v>
      </c>
      <c r="B70">
        <f>'Raw Data'!B60</f>
        <v>12</v>
      </c>
      <c r="C70">
        <f>'Raw Data'!J60</f>
        <v>10.7</v>
      </c>
      <c r="D70" t="str">
        <f>'Interpreted Data'!G60</f>
        <v>78</v>
      </c>
      <c r="E70" t="str">
        <f>'Interpreted Data'!H60</f>
        <v>-</v>
      </c>
      <c r="F70" t="str">
        <f>SUBSTITUTE('Raw Data'!K60," ",":",1)</f>
        <v>10</v>
      </c>
      <c r="G70">
        <f>'Interpreted Data'!N60</f>
        <v>1.9</v>
      </c>
      <c r="H70" t="str">
        <f>'Interpreted Data'!P60</f>
        <v/>
      </c>
      <c r="I70" t="str">
        <f t="shared" si="35"/>
        <v xml:space="preserve"> </v>
      </c>
      <c r="J70">
        <f t="shared" si="32"/>
        <v>8</v>
      </c>
      <c r="K70">
        <f t="shared" si="33"/>
        <v>9</v>
      </c>
      <c r="L70">
        <f t="shared" si="21"/>
        <v>8.8000000000000007</v>
      </c>
      <c r="M70" t="str">
        <f t="shared" si="22"/>
        <v>137</v>
      </c>
      <c r="N70" t="str">
        <f t="shared" si="23"/>
        <v>-</v>
      </c>
      <c r="O70" t="str">
        <f t="shared" si="34"/>
        <v>10</v>
      </c>
      <c r="P70" t="str">
        <f t="shared" si="24"/>
        <v/>
      </c>
    </row>
    <row r="71" spans="1:16" x14ac:dyDescent="0.25">
      <c r="A71">
        <f>'Raw Data'!A61</f>
        <v>12</v>
      </c>
      <c r="B71">
        <f>'Raw Data'!B61</f>
        <v>13</v>
      </c>
      <c r="C71">
        <f>'Raw Data'!J61</f>
        <v>8.5</v>
      </c>
      <c r="D71" t="str">
        <f>'Interpreted Data'!G61</f>
        <v>25</v>
      </c>
      <c r="E71" t="str">
        <f>'Interpreted Data'!H61</f>
        <v>-</v>
      </c>
      <c r="F71" t="str">
        <f>SUBSTITUTE('Raw Data'!K61," ",":",1)</f>
        <v>fall:2 feet</v>
      </c>
      <c r="G71">
        <f>'Interpreted Data'!N61</f>
        <v>-2</v>
      </c>
      <c r="H71" t="str">
        <f>'Interpreted Data'!P61</f>
        <v>Little passage goes uphill straight on</v>
      </c>
      <c r="I71" t="str">
        <f t="shared" si="35"/>
        <v xml:space="preserve"> </v>
      </c>
      <c r="J71">
        <f t="shared" si="32"/>
        <v>9</v>
      </c>
      <c r="K71">
        <f t="shared" si="33"/>
        <v>10</v>
      </c>
      <c r="L71">
        <f t="shared" si="21"/>
        <v>19.8</v>
      </c>
      <c r="M71" t="str">
        <f t="shared" si="22"/>
        <v>89</v>
      </c>
      <c r="N71" t="str">
        <f t="shared" si="23"/>
        <v>-</v>
      </c>
      <c r="O71" t="str">
        <f t="shared" si="34"/>
        <v>15</v>
      </c>
      <c r="P71" t="str">
        <f t="shared" si="24"/>
        <v/>
      </c>
    </row>
    <row r="72" spans="1:16" x14ac:dyDescent="0.25">
      <c r="A72">
        <f>'Raw Data'!A62</f>
        <v>13</v>
      </c>
      <c r="B72">
        <f>'Raw Data'!B62</f>
        <v>14</v>
      </c>
      <c r="C72">
        <f>'Raw Data'!J62</f>
        <v>12.3</v>
      </c>
      <c r="D72" t="str">
        <f>'Interpreted Data'!G62</f>
        <v>85</v>
      </c>
      <c r="E72" t="str">
        <f>'Interpreted Data'!H62</f>
        <v>-</v>
      </c>
      <c r="F72" t="str">
        <f>SUBSTITUTE('Raw Data'!K62," ",":",1)</f>
        <v>9</v>
      </c>
      <c r="G72">
        <f>'Interpreted Data'!N62</f>
        <v>1.9</v>
      </c>
      <c r="H72" t="str">
        <f>'Interpreted Data'!P62</f>
        <v/>
      </c>
      <c r="I72" t="str">
        <f t="shared" si="35"/>
        <v xml:space="preserve"> </v>
      </c>
      <c r="J72">
        <f t="shared" si="32"/>
        <v>10</v>
      </c>
      <c r="K72">
        <f t="shared" si="33"/>
        <v>11</v>
      </c>
      <c r="L72">
        <f t="shared" si="21"/>
        <v>9</v>
      </c>
      <c r="M72" t="str">
        <f t="shared" si="22"/>
        <v>26</v>
      </c>
      <c r="N72" t="str">
        <f t="shared" si="23"/>
        <v>-</v>
      </c>
      <c r="O72" t="str">
        <f t="shared" ref="O72:O73" si="36">IF(AND(D69="-",E69="-"),IF(1*F69=-90,"DOWN",IF(1*F69=90,"UP","no compass")),F69)</f>
        <v>12</v>
      </c>
      <c r="P72" t="str">
        <f t="shared" si="24"/>
        <v/>
      </c>
    </row>
    <row r="73" spans="1:16" x14ac:dyDescent="0.25">
      <c r="A73">
        <f>'Raw Data'!A63</f>
        <v>14</v>
      </c>
      <c r="B73">
        <f>'Raw Data'!B63</f>
        <v>15</v>
      </c>
      <c r="C73">
        <f>'Raw Data'!J63</f>
        <v>11.6</v>
      </c>
      <c r="D73" t="str">
        <f>'Interpreted Data'!G63</f>
        <v>63</v>
      </c>
      <c r="E73" t="str">
        <f>'Interpreted Data'!H63</f>
        <v>-</v>
      </c>
      <c r="F73" t="str">
        <f>SUBSTITUTE('Raw Data'!K63," ",":",1)</f>
        <v>10</v>
      </c>
      <c r="G73">
        <f>'Interpreted Data'!N63</f>
        <v>2</v>
      </c>
      <c r="H73" t="str">
        <f>'Interpreted Data'!P63</f>
        <v/>
      </c>
      <c r="I73" t="str">
        <f t="shared" si="35"/>
        <v xml:space="preserve"> </v>
      </c>
      <c r="J73">
        <f t="shared" si="32"/>
        <v>11</v>
      </c>
      <c r="K73">
        <f t="shared" si="33"/>
        <v>12</v>
      </c>
      <c r="L73">
        <f t="shared" si="21"/>
        <v>10.7</v>
      </c>
      <c r="M73" t="str">
        <f t="shared" si="22"/>
        <v>78</v>
      </c>
      <c r="N73" t="str">
        <f t="shared" si="23"/>
        <v>-</v>
      </c>
      <c r="O73" t="str">
        <f t="shared" si="36"/>
        <v>10</v>
      </c>
      <c r="P73" t="str">
        <f t="shared" si="24"/>
        <v/>
      </c>
    </row>
    <row r="74" spans="1:16" x14ac:dyDescent="0.25">
      <c r="A74">
        <f>'Raw Data'!A64</f>
        <v>15</v>
      </c>
      <c r="B74">
        <f>'Raw Data'!B64</f>
        <v>16</v>
      </c>
      <c r="C74">
        <f>'Raw Data'!J64</f>
        <v>12</v>
      </c>
      <c r="D74" t="str">
        <f>'Interpreted Data'!G64</f>
        <v>125</v>
      </c>
      <c r="E74" t="str">
        <f>'Interpreted Data'!H64</f>
        <v>-</v>
      </c>
      <c r="F74" t="str">
        <f>SUBSTITUTE('Raw Data'!K64," ",":",1)</f>
        <v>fall:3.5 feet</v>
      </c>
      <c r="G74">
        <f>'Interpreted Data'!N64</f>
        <v>-3.5</v>
      </c>
      <c r="H74" t="str">
        <f>'Interpreted Data'!P64</f>
        <v>Low creep at 4-10 feet. Chamber goes 15' in same line</v>
      </c>
      <c r="I74" t="str">
        <f t="shared" si="35"/>
        <v xml:space="preserve"> </v>
      </c>
      <c r="J74" t="str">
        <f>$J$2</f>
        <v>data diving from to tape compass backcompass depthchange ignoreall</v>
      </c>
    </row>
    <row r="75" spans="1:16" x14ac:dyDescent="0.25">
      <c r="A75">
        <f>'Raw Data'!A65</f>
        <v>16</v>
      </c>
      <c r="B75">
        <f>'Raw Data'!B65</f>
        <v>17</v>
      </c>
      <c r="C75">
        <f>'Raw Data'!J65</f>
        <v>14.5</v>
      </c>
      <c r="D75" t="str">
        <f>'Interpreted Data'!G65</f>
        <v>-</v>
      </c>
      <c r="E75" t="str">
        <f>'Interpreted Data'!H65</f>
        <v>265</v>
      </c>
      <c r="F75" t="str">
        <f>SUBSTITUTE('Raw Data'!K65," ",":",1)</f>
        <v>6</v>
      </c>
      <c r="G75">
        <f>'Interpreted Data'!N65</f>
        <v>1.5</v>
      </c>
      <c r="H75" t="str">
        <f>'Interpreted Data'!P65</f>
        <v/>
      </c>
      <c r="I75" t="str">
        <f t="shared" si="35"/>
        <v xml:space="preserve"> </v>
      </c>
      <c r="J75">
        <f>A71</f>
        <v>12</v>
      </c>
      <c r="K75">
        <f>B71</f>
        <v>13</v>
      </c>
      <c r="L75">
        <f>C71</f>
        <v>8.5</v>
      </c>
      <c r="M75" t="str">
        <f>D71</f>
        <v>25</v>
      </c>
      <c r="N75" t="str">
        <f>E71</f>
        <v>-</v>
      </c>
      <c r="O75">
        <f>G71</f>
        <v>-2</v>
      </c>
      <c r="P75" t="str">
        <f>H71</f>
        <v>Little passage goes uphill straight on</v>
      </c>
    </row>
    <row r="76" spans="1:16" x14ac:dyDescent="0.25">
      <c r="A76">
        <f>'Raw Data'!A66</f>
        <v>17</v>
      </c>
      <c r="B76">
        <f>'Raw Data'!B66</f>
        <v>18</v>
      </c>
      <c r="C76">
        <f>'Raw Data'!J66</f>
        <v>12.6</v>
      </c>
      <c r="D76" t="str">
        <f>'Interpreted Data'!G66</f>
        <v>22</v>
      </c>
      <c r="E76" t="str">
        <f>'Interpreted Data'!H66</f>
        <v>-</v>
      </c>
      <c r="F76" t="str">
        <f>SUBSTITUTE('Raw Data'!K66," ",":",1)</f>
        <v>6</v>
      </c>
      <c r="G76">
        <f>'Interpreted Data'!N66</f>
        <v>1.3</v>
      </c>
      <c r="H76" t="str">
        <f>'Interpreted Data'!P66</f>
        <v/>
      </c>
      <c r="I76" t="str">
        <f t="shared" si="35"/>
        <v xml:space="preserve"> </v>
      </c>
      <c r="J76" t="str">
        <f>$J$1</f>
        <v>data normal from to tape compass backcompass clino ignoreall</v>
      </c>
    </row>
    <row r="77" spans="1:16" x14ac:dyDescent="0.25">
      <c r="A77">
        <f>'Raw Data'!A67</f>
        <v>18</v>
      </c>
      <c r="B77">
        <f>'Raw Data'!B67</f>
        <v>19</v>
      </c>
      <c r="C77">
        <f>'Raw Data'!J67</f>
        <v>11</v>
      </c>
      <c r="D77" t="str">
        <f>'Interpreted Data'!G67</f>
        <v>-</v>
      </c>
      <c r="E77" t="str">
        <f>'Interpreted Data'!H67</f>
        <v>-</v>
      </c>
      <c r="F77" t="str">
        <f>SUBSTITUTE('Raw Data'!K67," ",":",1)</f>
        <v>-90</v>
      </c>
      <c r="G77">
        <f>'Interpreted Data'!N67</f>
        <v>-11</v>
      </c>
      <c r="H77" t="str">
        <f>'Interpreted Data'!P67</f>
        <v>18 is in crack at top of "11 foot drop"</v>
      </c>
      <c r="I77" t="str">
        <f t="shared" si="35"/>
        <v xml:space="preserve"> </v>
      </c>
      <c r="J77">
        <f t="shared" ref="J77:N78" si="37">A72</f>
        <v>13</v>
      </c>
      <c r="K77">
        <f t="shared" si="37"/>
        <v>14</v>
      </c>
      <c r="L77">
        <f t="shared" si="37"/>
        <v>12.3</v>
      </c>
      <c r="M77" t="str">
        <f t="shared" si="37"/>
        <v>85</v>
      </c>
      <c r="N77" t="str">
        <f t="shared" si="37"/>
        <v>-</v>
      </c>
      <c r="O77" t="str">
        <f>IF(AND(D72="-",E72="-"),IF(1*SUBSTITUTE(F72,":",".")=-90,"DOWN",IF(1*SUBSTITUTE(F72,":",".")=90,"UP","no compass")),F72)</f>
        <v>9</v>
      </c>
      <c r="P77" t="str">
        <f>H72</f>
        <v/>
      </c>
    </row>
    <row r="78" spans="1:16" x14ac:dyDescent="0.25">
      <c r="I78" t="str">
        <f t="shared" si="35"/>
        <v xml:space="preserve"> </v>
      </c>
      <c r="J78">
        <f t="shared" si="37"/>
        <v>14</v>
      </c>
      <c r="K78">
        <f t="shared" si="37"/>
        <v>15</v>
      </c>
      <c r="L78">
        <f t="shared" si="37"/>
        <v>11.6</v>
      </c>
      <c r="M78" t="str">
        <f t="shared" si="37"/>
        <v>63</v>
      </c>
      <c r="N78" t="str">
        <f t="shared" si="37"/>
        <v>-</v>
      </c>
      <c r="O78" t="str">
        <f>IF(AND(D73="-",E73="-"),IF(1*SUBSTITUTE(F73,":",".")=-90,"DOWN",IF(1*SUBSTITUTE(F73,":",".")=90,"UP","no compass")),F73)</f>
        <v>10</v>
      </c>
      <c r="P78" t="str">
        <f>H73</f>
        <v/>
      </c>
    </row>
    <row r="79" spans="1:16" x14ac:dyDescent="0.25">
      <c r="I79" t="str">
        <f t="shared" si="35"/>
        <v xml:space="preserve"> </v>
      </c>
      <c r="J79" t="str">
        <f>$J$2</f>
        <v>data diving from to tape compass backcompass depthchange ignoreall</v>
      </c>
    </row>
    <row r="80" spans="1:16" x14ac:dyDescent="0.25">
      <c r="I80" t="str">
        <f t="shared" si="35"/>
        <v xml:space="preserve"> </v>
      </c>
      <c r="J80">
        <f>A74</f>
        <v>15</v>
      </c>
      <c r="K80">
        <f>B74</f>
        <v>16</v>
      </c>
      <c r="L80">
        <f>C74</f>
        <v>12</v>
      </c>
      <c r="M80" t="str">
        <f>D74</f>
        <v>125</v>
      </c>
      <c r="N80" t="str">
        <f>E74</f>
        <v>-</v>
      </c>
      <c r="O80">
        <f>G74</f>
        <v>-3.5</v>
      </c>
      <c r="P80" t="str">
        <f>H74</f>
        <v>Low creep at 4-10 feet. Chamber goes 15' in same line</v>
      </c>
    </row>
    <row r="81" spans="1:16" x14ac:dyDescent="0.25">
      <c r="I81" t="str">
        <f t="shared" si="35"/>
        <v xml:space="preserve"> </v>
      </c>
      <c r="J81" t="str">
        <f>$J$1</f>
        <v>data normal from to tape compass backcompass clino ignoreall</v>
      </c>
    </row>
    <row r="82" spans="1:16" x14ac:dyDescent="0.25">
      <c r="I82" t="str">
        <f t="shared" si="35"/>
        <v xml:space="preserve"> </v>
      </c>
      <c r="J82">
        <f t="shared" ref="J82:N83" si="38">A75</f>
        <v>16</v>
      </c>
      <c r="K82">
        <f t="shared" si="38"/>
        <v>17</v>
      </c>
      <c r="L82">
        <f t="shared" si="38"/>
        <v>14.5</v>
      </c>
      <c r="M82" t="str">
        <f t="shared" si="38"/>
        <v>-</v>
      </c>
      <c r="N82" t="str">
        <f t="shared" si="38"/>
        <v>265</v>
      </c>
      <c r="O82" t="str">
        <f t="shared" ref="O82:O83" si="39">IF(AND(D75="-",E75="-"),IF(1*SUBSTITUTE(F75,":",".")=-90,"DOWN",IF(1*SUBSTITUTE(F75,":",".")=90,"UP","no compass")),F75)</f>
        <v>6</v>
      </c>
      <c r="P82" t="str">
        <f>H75</f>
        <v/>
      </c>
    </row>
    <row r="83" spans="1:16" x14ac:dyDescent="0.25">
      <c r="I83" t="str">
        <f t="shared" si="35"/>
        <v xml:space="preserve"> </v>
      </c>
      <c r="J83">
        <f t="shared" si="38"/>
        <v>17</v>
      </c>
      <c r="K83">
        <f t="shared" si="38"/>
        <v>18</v>
      </c>
      <c r="L83">
        <f t="shared" si="38"/>
        <v>12.6</v>
      </c>
      <c r="M83" t="str">
        <f t="shared" si="38"/>
        <v>22</v>
      </c>
      <c r="N83" t="str">
        <f t="shared" si="38"/>
        <v>-</v>
      </c>
      <c r="O83" t="str">
        <f t="shared" si="39"/>
        <v>6</v>
      </c>
      <c r="P83" t="str">
        <f>H76</f>
        <v/>
      </c>
    </row>
    <row r="84" spans="1:16" x14ac:dyDescent="0.25">
      <c r="I84" t="str">
        <f t="shared" si="35"/>
        <v xml:space="preserve"> </v>
      </c>
      <c r="J84" t="s">
        <v>279</v>
      </c>
      <c r="K84">
        <f>B77</f>
        <v>19</v>
      </c>
      <c r="L84">
        <f>C77</f>
        <v>11</v>
      </c>
      <c r="M84" t="str">
        <f>D77</f>
        <v>-</v>
      </c>
      <c r="N84" t="str">
        <f>E77</f>
        <v>-</v>
      </c>
      <c r="O84" t="str">
        <f>IF(AND(D77="-",E77="-"),IF(1*SUBSTITUTE(F77,":",".")=-90,"DOWN",IF(1*SUBSTITUTE(F77,":",".")=90,"UP","no compass")),F77)</f>
        <v>DOWN</v>
      </c>
      <c r="P84" t="str">
        <f>H77</f>
        <v>18 is in crack at top of "11 foot drop"</v>
      </c>
    </row>
    <row r="85" spans="1:16" x14ac:dyDescent="0.25">
      <c r="I85" t="str">
        <f t="shared" si="35"/>
        <v xml:space="preserve"> </v>
      </c>
    </row>
    <row r="86" spans="1:16" x14ac:dyDescent="0.25">
      <c r="I86" t="str">
        <f t="shared" si="35"/>
        <v xml:space="preserve"> </v>
      </c>
    </row>
    <row r="87" spans="1:16" x14ac:dyDescent="0.25">
      <c r="A87" t="str">
        <f>'Raw Data'!A70</f>
        <v>30th March 1952</v>
      </c>
      <c r="I87" t="str">
        <f t="shared" si="35"/>
        <v xml:space="preserve"> </v>
      </c>
      <c r="J87" t="str">
        <f>A87</f>
        <v>30th March 1952</v>
      </c>
    </row>
    <row r="88" spans="1:16" x14ac:dyDescent="0.25">
      <c r="I88" t="str">
        <f t="shared" si="35"/>
        <v xml:space="preserve"> </v>
      </c>
      <c r="J88" t="str">
        <f>$J$1</f>
        <v>data normal from to tape compass backcompass clino ignoreall</v>
      </c>
    </row>
    <row r="89" spans="1:16" x14ac:dyDescent="0.25">
      <c r="A89" t="str">
        <f>'Raw Data'!A71</f>
        <v>B1</v>
      </c>
      <c r="B89" t="str">
        <f>'Raw Data'!B71</f>
        <v>AA</v>
      </c>
      <c r="C89">
        <f>'Raw Data'!J71</f>
        <v>78.099999999999994</v>
      </c>
      <c r="D89" t="str">
        <f>'Interpreted Data'!G71</f>
        <v>-</v>
      </c>
      <c r="E89" t="str">
        <f>'Interpreted Data'!H71</f>
        <v>293:40</v>
      </c>
      <c r="F89" t="str">
        <f>SUBSTITUTE('Raw Data'!K71," ",":",1)</f>
        <v>9:30</v>
      </c>
      <c r="G89">
        <f>'Interpreted Data'!N71</f>
        <v>12.9</v>
      </c>
      <c r="H89" t="str">
        <f>'Interpreted Data'!P71</f>
        <v>B1 is station B1 of page 45, at entrance to "P.G." passage</v>
      </c>
      <c r="J89" t="str">
        <f t="shared" ref="J89:J100" si="40">A89</f>
        <v>B1</v>
      </c>
      <c r="K89" t="str">
        <f t="shared" ref="K89:K100" si="41">B89</f>
        <v>AA</v>
      </c>
      <c r="L89">
        <f t="shared" ref="L89:L100" si="42">C89</f>
        <v>78.099999999999994</v>
      </c>
      <c r="M89" t="str">
        <f t="shared" ref="M89:M100" si="43">D89</f>
        <v>-</v>
      </c>
      <c r="N89" t="str">
        <f t="shared" ref="N89:N100" si="44">E89</f>
        <v>293:40</v>
      </c>
      <c r="O89" t="str">
        <f t="shared" ref="O89:O100" si="45">IF(AND(D89="-",E89="-"),IF(1*SUBSTITUTE(F89,":",".")=-90,"DOWN",IF(1*SUBSTITUTE(F89,":",".")=90,"UP","no compass")),F89)</f>
        <v>9:30</v>
      </c>
      <c r="P89" t="str">
        <f t="shared" ref="P89:P103" si="46">H89</f>
        <v>B1 is station B1 of page 45, at entrance to "P.G." passage</v>
      </c>
    </row>
    <row r="90" spans="1:16" x14ac:dyDescent="0.25">
      <c r="A90" t="str">
        <f>'Raw Data'!A72</f>
        <v>AA</v>
      </c>
      <c r="B90" t="str">
        <f>'Raw Data'!B72</f>
        <v>AB</v>
      </c>
      <c r="C90">
        <f>'Raw Data'!J72</f>
        <v>24.1</v>
      </c>
      <c r="D90" t="str">
        <f>'Interpreted Data'!G72</f>
        <v>115:30</v>
      </c>
      <c r="E90" t="str">
        <f>'Interpreted Data'!H72</f>
        <v>-</v>
      </c>
      <c r="F90" t="str">
        <f>SUBSTITUTE('Raw Data'!K72," ",":",1)</f>
        <v>-5:30</v>
      </c>
      <c r="G90">
        <f>'Interpreted Data'!N72</f>
        <v>-2.2999999999999998</v>
      </c>
      <c r="H90" t="str">
        <f>'Interpreted Data'!P72</f>
        <v>AA on a big high rock</v>
      </c>
      <c r="I90" t="str">
        <f t="shared" si="35"/>
        <v xml:space="preserve"> </v>
      </c>
      <c r="J90" t="str">
        <f t="shared" si="40"/>
        <v>AA</v>
      </c>
      <c r="K90" t="str">
        <f t="shared" si="41"/>
        <v>AB</v>
      </c>
      <c r="L90">
        <f t="shared" si="42"/>
        <v>24.1</v>
      </c>
      <c r="M90" t="str">
        <f t="shared" si="43"/>
        <v>115:30</v>
      </c>
      <c r="N90" t="str">
        <f t="shared" si="44"/>
        <v>-</v>
      </c>
      <c r="O90" t="str">
        <f t="shared" si="45"/>
        <v>-5:30</v>
      </c>
      <c r="P90" t="str">
        <f t="shared" si="46"/>
        <v>AA on a big high rock</v>
      </c>
    </row>
    <row r="91" spans="1:16" x14ac:dyDescent="0.25">
      <c r="A91" t="str">
        <f>'Raw Data'!A73</f>
        <v>AB</v>
      </c>
      <c r="B91" t="str">
        <f>'Raw Data'!B73</f>
        <v>AC</v>
      </c>
      <c r="C91">
        <f>'Raw Data'!J73</f>
        <v>29.2</v>
      </c>
      <c r="D91" t="str">
        <f>'Interpreted Data'!G73</f>
        <v>-</v>
      </c>
      <c r="E91" t="str">
        <f>'Interpreted Data'!H73</f>
        <v>277:50</v>
      </c>
      <c r="F91" t="str">
        <f>SUBSTITUTE('Raw Data'!K73," ",":",1)</f>
        <v>0:30</v>
      </c>
      <c r="G91">
        <f>'Interpreted Data'!N73</f>
        <v>0.3</v>
      </c>
      <c r="H91" t="str">
        <f>'Interpreted Data'!P73</f>
        <v>AB on big rock. Stream sinks below boulders.</v>
      </c>
      <c r="I91" t="str">
        <f t="shared" si="35"/>
        <v xml:space="preserve"> </v>
      </c>
      <c r="J91" t="str">
        <f t="shared" si="40"/>
        <v>AB</v>
      </c>
      <c r="K91" t="str">
        <f t="shared" si="41"/>
        <v>AC</v>
      </c>
      <c r="L91">
        <f t="shared" si="42"/>
        <v>29.2</v>
      </c>
      <c r="M91" t="str">
        <f t="shared" si="43"/>
        <v>-</v>
      </c>
      <c r="N91" t="str">
        <f t="shared" si="44"/>
        <v>277:50</v>
      </c>
      <c r="O91" t="str">
        <f t="shared" si="45"/>
        <v>0:30</v>
      </c>
      <c r="P91" t="str">
        <f t="shared" si="46"/>
        <v>AB on big rock. Stream sinks below boulders.</v>
      </c>
    </row>
    <row r="92" spans="1:16" x14ac:dyDescent="0.25">
      <c r="A92" t="str">
        <f>'Raw Data'!A74</f>
        <v>AC</v>
      </c>
      <c r="B92" t="str">
        <f>'Raw Data'!B74</f>
        <v>AD</v>
      </c>
      <c r="C92">
        <f>'Raw Data'!J74</f>
        <v>10.6</v>
      </c>
      <c r="D92" t="str">
        <f>'Interpreted Data'!G74</f>
        <v>121:00</v>
      </c>
      <c r="E92" t="str">
        <f>'Interpreted Data'!H74</f>
        <v>-</v>
      </c>
      <c r="F92" t="str">
        <f>SUBSTITUTE('Raw Data'!K74," ",":",1)</f>
        <v>22:30</v>
      </c>
      <c r="G92">
        <f>'Interpreted Data'!N74</f>
        <v>4.0999999999999996</v>
      </c>
      <c r="H92" t="str">
        <f>'Interpreted Data'!P74</f>
        <v>AC on dirty great big rock.</v>
      </c>
      <c r="I92" t="str">
        <f t="shared" si="35"/>
        <v xml:space="preserve"> </v>
      </c>
      <c r="J92" t="str">
        <f t="shared" si="40"/>
        <v>AC</v>
      </c>
      <c r="K92" t="str">
        <f t="shared" si="41"/>
        <v>AD</v>
      </c>
      <c r="L92">
        <f t="shared" si="42"/>
        <v>10.6</v>
      </c>
      <c r="M92" t="str">
        <f t="shared" si="43"/>
        <v>121:00</v>
      </c>
      <c r="N92" t="str">
        <f t="shared" si="44"/>
        <v>-</v>
      </c>
      <c r="O92" t="str">
        <f t="shared" si="45"/>
        <v>22:30</v>
      </c>
      <c r="P92" t="str">
        <f t="shared" si="46"/>
        <v>AC on dirty great big rock.</v>
      </c>
    </row>
    <row r="93" spans="1:16" x14ac:dyDescent="0.25">
      <c r="A93" t="str">
        <f>'Raw Data'!A75</f>
        <v>AD</v>
      </c>
      <c r="B93" t="str">
        <f>'Raw Data'!B75</f>
        <v>AE</v>
      </c>
      <c r="C93">
        <f>'Raw Data'!J75</f>
        <v>48.3</v>
      </c>
      <c r="D93" t="str">
        <f>'Interpreted Data'!G75</f>
        <v>-</v>
      </c>
      <c r="E93" t="str">
        <f>'Interpreted Data'!H75</f>
        <v>290:00</v>
      </c>
      <c r="F93" t="str">
        <f>SUBSTITUTE('Raw Data'!K75," ",":",1)</f>
        <v>9:40</v>
      </c>
      <c r="G93">
        <f>'Interpreted Data'!N75</f>
        <v>8.1</v>
      </c>
      <c r="H93" t="str">
        <f>'Interpreted Data'!P75</f>
        <v>Stream rises from boulders.</v>
      </c>
      <c r="I93" t="str">
        <f t="shared" si="35"/>
        <v xml:space="preserve"> </v>
      </c>
      <c r="J93" t="str">
        <f t="shared" si="40"/>
        <v>AD</v>
      </c>
      <c r="K93" t="str">
        <f t="shared" si="41"/>
        <v>AE</v>
      </c>
      <c r="L93">
        <f t="shared" si="42"/>
        <v>48.3</v>
      </c>
      <c r="M93" t="str">
        <f t="shared" si="43"/>
        <v>-</v>
      </c>
      <c r="N93" t="str">
        <f t="shared" si="44"/>
        <v>290:00</v>
      </c>
      <c r="O93" t="str">
        <f t="shared" si="45"/>
        <v>9:40</v>
      </c>
      <c r="P93" t="str">
        <f t="shared" si="46"/>
        <v>Stream rises from boulders.</v>
      </c>
    </row>
    <row r="94" spans="1:16" x14ac:dyDescent="0.25">
      <c r="A94" t="str">
        <f>'Raw Data'!A76</f>
        <v>AE</v>
      </c>
      <c r="B94" t="str">
        <f>'Raw Data'!B76</f>
        <v>AF</v>
      </c>
      <c r="C94">
        <f>'Raw Data'!J76</f>
        <v>17</v>
      </c>
      <c r="D94" t="str">
        <f>'Interpreted Data'!G76</f>
        <v>050:30</v>
      </c>
      <c r="E94" t="str">
        <f>'Interpreted Data'!H76</f>
        <v>-</v>
      </c>
      <c r="F94" t="str">
        <f>SUBSTITUTE('Raw Data'!K76," ",":",1)</f>
        <v>10:20</v>
      </c>
      <c r="G94">
        <f>'Interpreted Data'!N76</f>
        <v>3</v>
      </c>
      <c r="H94" t="str">
        <f>'Interpreted Data'!P76</f>
        <v>Stream sinks below boulders.</v>
      </c>
      <c r="I94" t="str">
        <f t="shared" si="35"/>
        <v xml:space="preserve"> </v>
      </c>
      <c r="J94" t="str">
        <f t="shared" si="40"/>
        <v>AE</v>
      </c>
      <c r="K94" t="str">
        <f t="shared" si="41"/>
        <v>AF</v>
      </c>
      <c r="L94">
        <f t="shared" si="42"/>
        <v>17</v>
      </c>
      <c r="M94" t="str">
        <f t="shared" si="43"/>
        <v>050:30</v>
      </c>
      <c r="N94" t="str">
        <f t="shared" si="44"/>
        <v>-</v>
      </c>
      <c r="O94" t="str">
        <f t="shared" si="45"/>
        <v>10:20</v>
      </c>
      <c r="P94" t="str">
        <f t="shared" si="46"/>
        <v>Stream sinks below boulders.</v>
      </c>
    </row>
    <row r="95" spans="1:16" x14ac:dyDescent="0.25">
      <c r="A95" t="str">
        <f>'Raw Data'!A77</f>
        <v>AF</v>
      </c>
      <c r="B95" t="str">
        <f>'Raw Data'!B77</f>
        <v>AG</v>
      </c>
      <c r="C95">
        <f>'Raw Data'!J77</f>
        <v>20.2</v>
      </c>
      <c r="D95" t="str">
        <f>'Interpreted Data'!G77</f>
        <v>-</v>
      </c>
      <c r="E95" t="str">
        <f>'Interpreted Data'!H77</f>
        <v>313:00</v>
      </c>
      <c r="F95" t="str">
        <f>SUBSTITUTE('Raw Data'!K77," ",":",1)</f>
        <v>3:00</v>
      </c>
      <c r="G95">
        <f>'Interpreted Data'!N77</f>
        <v>1.1000000000000001</v>
      </c>
      <c r="H95" t="str">
        <f>'Interpreted Data'!P77</f>
        <v>AF above waterfall.</v>
      </c>
      <c r="I95" t="str">
        <f t="shared" si="35"/>
        <v xml:space="preserve"> </v>
      </c>
      <c r="J95" t="str">
        <f t="shared" si="40"/>
        <v>AF</v>
      </c>
      <c r="K95" t="str">
        <f t="shared" si="41"/>
        <v>AG</v>
      </c>
      <c r="L95">
        <f t="shared" si="42"/>
        <v>20.2</v>
      </c>
      <c r="M95" t="str">
        <f t="shared" si="43"/>
        <v>-</v>
      </c>
      <c r="N95" t="str">
        <f t="shared" si="44"/>
        <v>313:00</v>
      </c>
      <c r="O95" t="str">
        <f t="shared" si="45"/>
        <v>3:00</v>
      </c>
      <c r="P95" t="str">
        <f t="shared" si="46"/>
        <v>AF above waterfall.</v>
      </c>
    </row>
    <row r="96" spans="1:16" x14ac:dyDescent="0.25">
      <c r="A96" t="str">
        <f>'Raw Data'!A78</f>
        <v>AG</v>
      </c>
      <c r="B96" t="str">
        <f>'Raw Data'!B78</f>
        <v>AH</v>
      </c>
      <c r="C96">
        <f>'Raw Data'!J78</f>
        <v>10.1</v>
      </c>
      <c r="D96" t="str">
        <f>'Interpreted Data'!G78</f>
        <v>195:50</v>
      </c>
      <c r="E96" t="str">
        <f>'Interpreted Data'!H78</f>
        <v>-</v>
      </c>
      <c r="F96" t="str">
        <f>SUBSTITUTE('Raw Data'!K78," ",":",1)</f>
        <v>11:20</v>
      </c>
      <c r="G96">
        <f>'Interpreted Data'!N78</f>
        <v>2</v>
      </c>
      <c r="H96" t="str">
        <f>'Interpreted Data'!P78</f>
        <v/>
      </c>
      <c r="I96" t="str">
        <f t="shared" si="35"/>
        <v xml:space="preserve"> </v>
      </c>
      <c r="J96" t="str">
        <f t="shared" si="40"/>
        <v>AG</v>
      </c>
      <c r="K96" t="str">
        <f t="shared" si="41"/>
        <v>AH</v>
      </c>
      <c r="L96">
        <f t="shared" si="42"/>
        <v>10.1</v>
      </c>
      <c r="M96" t="str">
        <f t="shared" si="43"/>
        <v>195:50</v>
      </c>
      <c r="N96" t="str">
        <f t="shared" si="44"/>
        <v>-</v>
      </c>
      <c r="O96" t="str">
        <f t="shared" si="45"/>
        <v>11:20</v>
      </c>
      <c r="P96" t="str">
        <f t="shared" si="46"/>
        <v/>
      </c>
    </row>
    <row r="97" spans="1:16" x14ac:dyDescent="0.25">
      <c r="A97" t="str">
        <f>'Raw Data'!A79</f>
        <v>AH</v>
      </c>
      <c r="B97" t="str">
        <f>'Raw Data'!B79</f>
        <v>AI</v>
      </c>
      <c r="C97">
        <f>'Raw Data'!J79</f>
        <v>41.6</v>
      </c>
      <c r="D97" t="str">
        <f>'Interpreted Data'!G79</f>
        <v>-</v>
      </c>
      <c r="E97" t="str">
        <f>'Interpreted Data'!H79</f>
        <v>292:10</v>
      </c>
      <c r="F97" t="str">
        <f>SUBSTITUTE('Raw Data'!K79," ",":",1)</f>
        <v>4:50</v>
      </c>
      <c r="G97">
        <f>'Interpreted Data'!N79</f>
        <v>3.5</v>
      </c>
      <c r="H97" t="str">
        <f>'Interpreted Data'!P79</f>
        <v/>
      </c>
      <c r="I97" t="str">
        <f t="shared" si="35"/>
        <v xml:space="preserve"> </v>
      </c>
      <c r="J97" t="str">
        <f t="shared" si="40"/>
        <v>AH</v>
      </c>
      <c r="K97" t="str">
        <f t="shared" si="41"/>
        <v>AI</v>
      </c>
      <c r="L97">
        <f t="shared" si="42"/>
        <v>41.6</v>
      </c>
      <c r="M97" t="str">
        <f t="shared" si="43"/>
        <v>-</v>
      </c>
      <c r="N97" t="str">
        <f t="shared" si="44"/>
        <v>292:10</v>
      </c>
      <c r="O97" t="str">
        <f t="shared" si="45"/>
        <v>4:50</v>
      </c>
      <c r="P97" t="str">
        <f t="shared" si="46"/>
        <v/>
      </c>
    </row>
    <row r="98" spans="1:16" x14ac:dyDescent="0.25">
      <c r="A98" t="str">
        <f>'Raw Data'!A80</f>
        <v>AI</v>
      </c>
      <c r="B98" t="str">
        <f>'Raw Data'!B80</f>
        <v>AJ</v>
      </c>
      <c r="C98">
        <f>'Raw Data'!J80</f>
        <v>34.200000000000003</v>
      </c>
      <c r="D98" t="str">
        <f>'Interpreted Data'!G80</f>
        <v>138:30</v>
      </c>
      <c r="E98" t="str">
        <f>'Interpreted Data'!H80</f>
        <v>-</v>
      </c>
      <c r="F98" t="str">
        <f>SUBSTITUTE('Raw Data'!K80," ",":",1)</f>
        <v>6:30</v>
      </c>
      <c r="G98">
        <f>'Interpreted Data'!N80</f>
        <v>3.9</v>
      </c>
      <c r="H98" t="str">
        <f>'Interpreted Data'!P80</f>
        <v/>
      </c>
      <c r="I98" t="str">
        <f t="shared" si="35"/>
        <v xml:space="preserve"> </v>
      </c>
      <c r="J98" t="str">
        <f t="shared" si="40"/>
        <v>AI</v>
      </c>
      <c r="K98" t="str">
        <f t="shared" si="41"/>
        <v>AJ</v>
      </c>
      <c r="L98">
        <f t="shared" si="42"/>
        <v>34.200000000000003</v>
      </c>
      <c r="M98" t="str">
        <f t="shared" si="43"/>
        <v>138:30</v>
      </c>
      <c r="N98" t="str">
        <f t="shared" si="44"/>
        <v>-</v>
      </c>
      <c r="O98" t="str">
        <f t="shared" si="45"/>
        <v>6:30</v>
      </c>
      <c r="P98" t="str">
        <f t="shared" si="46"/>
        <v/>
      </c>
    </row>
    <row r="99" spans="1:16" x14ac:dyDescent="0.25">
      <c r="A99" t="str">
        <f>'Raw Data'!A81</f>
        <v>AJ</v>
      </c>
      <c r="B99" t="str">
        <f>'Raw Data'!B81</f>
        <v>AK</v>
      </c>
      <c r="C99">
        <f>'Raw Data'!J81</f>
        <v>31.8</v>
      </c>
      <c r="D99" t="str">
        <f>'Interpreted Data'!G81</f>
        <v>-</v>
      </c>
      <c r="E99" t="str">
        <f>'Interpreted Data'!H81</f>
        <v>286:00</v>
      </c>
      <c r="F99" t="str">
        <f>SUBSTITUTE('Raw Data'!K81," ",":",1)</f>
        <v>14:30</v>
      </c>
      <c r="G99">
        <f>'Interpreted Data'!N81</f>
        <v>8</v>
      </c>
      <c r="H99" t="str">
        <f>'Interpreted Data'!P81</f>
        <v/>
      </c>
      <c r="I99" t="str">
        <f t="shared" si="35"/>
        <v xml:space="preserve"> </v>
      </c>
      <c r="J99" t="str">
        <f t="shared" si="40"/>
        <v>AJ</v>
      </c>
      <c r="K99" t="str">
        <f t="shared" si="41"/>
        <v>AK</v>
      </c>
      <c r="L99">
        <f t="shared" si="42"/>
        <v>31.8</v>
      </c>
      <c r="M99" t="str">
        <f t="shared" si="43"/>
        <v>-</v>
      </c>
      <c r="N99" t="str">
        <f t="shared" si="44"/>
        <v>286:00</v>
      </c>
      <c r="O99" t="str">
        <f t="shared" si="45"/>
        <v>14:30</v>
      </c>
      <c r="P99" t="str">
        <f t="shared" si="46"/>
        <v/>
      </c>
    </row>
    <row r="100" spans="1:16" x14ac:dyDescent="0.25">
      <c r="A100" t="str">
        <f>'Raw Data'!A82</f>
        <v>AK</v>
      </c>
      <c r="B100" t="str">
        <f>'Raw Data'!B82</f>
        <v>AL</v>
      </c>
      <c r="C100">
        <f>'Raw Data'!J82</f>
        <v>11.3</v>
      </c>
      <c r="D100" t="str">
        <f>'Interpreted Data'!G82</f>
        <v>044:00</v>
      </c>
      <c r="E100" t="str">
        <f>'Interpreted Data'!H82</f>
        <v>-</v>
      </c>
      <c r="F100" t="str">
        <f>SUBSTITUTE('Raw Data'!K82," ",":",1)</f>
        <v>-0:30</v>
      </c>
      <c r="G100">
        <f>'Interpreted Data'!N82</f>
        <v>-0.1</v>
      </c>
      <c r="H100" t="str">
        <f>'Interpreted Data'!P82</f>
        <v>AK is below hole into Upper Grottos. Asellus (sp?) present.</v>
      </c>
      <c r="I100" t="str">
        <f t="shared" si="35"/>
        <v xml:space="preserve"> </v>
      </c>
      <c r="J100" t="str">
        <f t="shared" si="40"/>
        <v>AK</v>
      </c>
      <c r="K100" t="str">
        <f t="shared" si="41"/>
        <v>AL</v>
      </c>
      <c r="L100">
        <f t="shared" si="42"/>
        <v>11.3</v>
      </c>
      <c r="M100" t="str">
        <f t="shared" si="43"/>
        <v>044:00</v>
      </c>
      <c r="N100" t="str">
        <f t="shared" si="44"/>
        <v>-</v>
      </c>
      <c r="O100" t="str">
        <f t="shared" si="45"/>
        <v>-0:30</v>
      </c>
      <c r="P100" t="str">
        <f t="shared" si="46"/>
        <v>AK is below hole into Upper Grottos. Asellus (sp?) present.</v>
      </c>
    </row>
    <row r="101" spans="1:16" x14ac:dyDescent="0.25">
      <c r="A101" t="str">
        <f>'Raw Data'!A83</f>
        <v>AL</v>
      </c>
      <c r="B101">
        <f>'Raw Data'!B83</f>
        <v>0</v>
      </c>
      <c r="C101">
        <f>'Raw Data'!J83</f>
        <v>0</v>
      </c>
      <c r="D101" t="str">
        <f>'Interpreted Data'!G83</f>
        <v/>
      </c>
      <c r="E101" t="str">
        <f>'Interpreted Data'!H83</f>
        <v/>
      </c>
      <c r="F101" t="str">
        <f>SUBSTITUTE('Raw Data'!K83," ",":",1)</f>
        <v/>
      </c>
      <c r="G101" t="str">
        <f>'Interpreted Data'!N83</f>
        <v/>
      </c>
      <c r="H101" t="str">
        <f>'Interpreted Data'!P83</f>
        <v>Total = 1,918'</v>
      </c>
      <c r="I101" t="str">
        <f t="shared" si="35"/>
        <v xml:space="preserve"> </v>
      </c>
      <c r="J101" t="s">
        <v>77</v>
      </c>
      <c r="K101" t="str">
        <f>A101</f>
        <v>AL</v>
      </c>
      <c r="M101" t="str">
        <f t="shared" ref="M101:O103" si="47">D101</f>
        <v/>
      </c>
      <c r="N101" t="str">
        <f t="shared" si="47"/>
        <v/>
      </c>
      <c r="O101" t="str">
        <f t="shared" si="47"/>
        <v/>
      </c>
      <c r="P101" t="str">
        <f t="shared" si="46"/>
        <v>Total = 1,918'</v>
      </c>
    </row>
    <row r="102" spans="1:16" x14ac:dyDescent="0.25">
      <c r="A102">
        <f>'Raw Data'!A84</f>
        <v>0</v>
      </c>
      <c r="B102">
        <f>'Raw Data'!B84</f>
        <v>0</v>
      </c>
      <c r="C102">
        <f>'Raw Data'!J84</f>
        <v>0</v>
      </c>
      <c r="D102" t="str">
        <f>'Interpreted Data'!G84</f>
        <v/>
      </c>
      <c r="E102" t="str">
        <f>'Interpreted Data'!H84</f>
        <v/>
      </c>
      <c r="F102" t="str">
        <f>SUBSTITUTE('Raw Data'!K84," ",":",1)</f>
        <v/>
      </c>
      <c r="G102" t="str">
        <f>'Interpreted Data'!N84</f>
        <v/>
      </c>
      <c r="H102" t="str">
        <f>'Interpreted Data'!P84</f>
        <v/>
      </c>
      <c r="I102" t="str">
        <f t="shared" si="35"/>
        <v xml:space="preserve"> </v>
      </c>
      <c r="M102" t="str">
        <f t="shared" si="47"/>
        <v/>
      </c>
      <c r="N102" t="str">
        <f t="shared" si="47"/>
        <v/>
      </c>
      <c r="O102" t="str">
        <f t="shared" si="47"/>
        <v/>
      </c>
      <c r="P102" t="str">
        <f t="shared" si="46"/>
        <v/>
      </c>
    </row>
    <row r="103" spans="1:16" x14ac:dyDescent="0.25">
      <c r="A103" t="str">
        <f>'Raw Data'!A85</f>
        <v>2nd April 1952</v>
      </c>
      <c r="B103" t="str">
        <f>'Raw Data'!B85</f>
        <v>Cono &amp; Roy Blewett</v>
      </c>
      <c r="C103">
        <f>'Raw Data'!J85</f>
        <v>0</v>
      </c>
      <c r="D103" t="str">
        <f>'Interpreted Data'!G85</f>
        <v/>
      </c>
      <c r="E103" t="str">
        <f>'Interpreted Data'!H85</f>
        <v/>
      </c>
      <c r="F103" t="str">
        <f>SUBSTITUTE('Raw Data'!K85," ",":",1)</f>
        <v/>
      </c>
      <c r="G103" t="str">
        <f>'Interpreted Data'!N85</f>
        <v/>
      </c>
      <c r="H103" t="str">
        <f>'Interpreted Data'!P85</f>
        <v/>
      </c>
      <c r="I103" t="str">
        <f t="shared" si="35"/>
        <v xml:space="preserve"> </v>
      </c>
      <c r="J103" t="str">
        <f>A103</f>
        <v>2nd April 1952</v>
      </c>
      <c r="K103" t="str">
        <f>B103</f>
        <v>Cono &amp; Roy Blewett</v>
      </c>
      <c r="M103" t="str">
        <f t="shared" si="47"/>
        <v/>
      </c>
      <c r="N103" t="str">
        <f t="shared" si="47"/>
        <v/>
      </c>
      <c r="O103" t="str">
        <f t="shared" si="47"/>
        <v/>
      </c>
      <c r="P103" t="str">
        <f t="shared" si="46"/>
        <v/>
      </c>
    </row>
    <row r="104" spans="1:16" x14ac:dyDescent="0.25">
      <c r="I104" t="str">
        <f t="shared" si="35"/>
        <v xml:space="preserve"> </v>
      </c>
      <c r="J104" t="str">
        <f>$J$1</f>
        <v>data normal from to tape compass backcompass clino ignoreall</v>
      </c>
    </row>
    <row r="105" spans="1:16" x14ac:dyDescent="0.25">
      <c r="A105" t="str">
        <f>'Raw Data'!A86</f>
        <v>AL</v>
      </c>
      <c r="B105" t="str">
        <f>'Raw Data'!B86</f>
        <v>AN</v>
      </c>
      <c r="C105">
        <f>'Raw Data'!J86</f>
        <v>12.8</v>
      </c>
      <c r="D105" t="str">
        <f>'Interpreted Data'!G86</f>
        <v>-</v>
      </c>
      <c r="E105" t="str">
        <f>'Interpreted Data'!H86</f>
        <v>126:40</v>
      </c>
      <c r="F105" t="str">
        <f>SUBSTITUTE('Raw Data'!K86," ",":",1)</f>
        <v>-4:30</v>
      </c>
      <c r="G105">
        <f>'Interpreted Data'!N86</f>
        <v>-1</v>
      </c>
      <c r="H105" t="str">
        <f>'Interpreted Data'!P86</f>
        <v>AL is start of St. Pauls survey</v>
      </c>
      <c r="J105" t="str">
        <f t="shared" ref="J105:J116" si="48">A105</f>
        <v>AL</v>
      </c>
      <c r="K105" t="str">
        <f t="shared" ref="K105:K116" si="49">B105</f>
        <v>AN</v>
      </c>
      <c r="L105">
        <f t="shared" ref="L105:L116" si="50">C105</f>
        <v>12.8</v>
      </c>
      <c r="M105" t="str">
        <f t="shared" ref="M105:M116" si="51">D105</f>
        <v>-</v>
      </c>
      <c r="N105" t="str">
        <f t="shared" ref="N105:N116" si="52">E105</f>
        <v>126:40</v>
      </c>
      <c r="O105" t="str">
        <f t="shared" ref="O105:O116" si="53">IF(AND(D105="-",E105="-"),IF(1*SUBSTITUTE(F105,":",".")=-90,"DOWN",IF(1*SUBSTITUTE(F105,":",".")=90,"UP","no compass")),F105)</f>
        <v>-4:30</v>
      </c>
      <c r="P105" t="str">
        <f t="shared" ref="P105:P119" si="54">H105</f>
        <v>AL is start of St. Pauls survey</v>
      </c>
    </row>
    <row r="106" spans="1:16" x14ac:dyDescent="0.25">
      <c r="A106" t="str">
        <f>'Raw Data'!A87</f>
        <v>AN</v>
      </c>
      <c r="B106" t="str">
        <f>'Raw Data'!B87</f>
        <v>AO</v>
      </c>
      <c r="C106">
        <f>'Raw Data'!J87</f>
        <v>16.8</v>
      </c>
      <c r="D106" t="str">
        <f>'Interpreted Data'!G87</f>
        <v>025:20</v>
      </c>
      <c r="E106" t="str">
        <f>'Interpreted Data'!H87</f>
        <v>-</v>
      </c>
      <c r="F106" t="str">
        <f>SUBSTITUTE('Raw Data'!K87," ",":",1)</f>
        <v>26:00</v>
      </c>
      <c r="G106">
        <f>'Interpreted Data'!N87</f>
        <v>7.4</v>
      </c>
      <c r="H106" t="str">
        <f>'Interpreted Data'!P87</f>
        <v>AN is at S. end of lower big pot.</v>
      </c>
      <c r="I106" t="str">
        <f t="shared" si="35"/>
        <v xml:space="preserve"> </v>
      </c>
      <c r="J106" t="str">
        <f t="shared" si="48"/>
        <v>AN</v>
      </c>
      <c r="K106" t="str">
        <f t="shared" si="49"/>
        <v>AO</v>
      </c>
      <c r="L106">
        <f t="shared" si="50"/>
        <v>16.8</v>
      </c>
      <c r="M106" t="str">
        <f t="shared" si="51"/>
        <v>025:20</v>
      </c>
      <c r="N106" t="str">
        <f t="shared" si="52"/>
        <v>-</v>
      </c>
      <c r="O106" t="str">
        <f t="shared" si="53"/>
        <v>26:00</v>
      </c>
      <c r="P106" t="str">
        <f t="shared" si="54"/>
        <v>AN is at S. end of lower big pot.</v>
      </c>
    </row>
    <row r="107" spans="1:16" x14ac:dyDescent="0.25">
      <c r="A107" t="str">
        <f>'Raw Data'!A88</f>
        <v>AO</v>
      </c>
      <c r="B107" t="str">
        <f>'Raw Data'!B88</f>
        <v>AP</v>
      </c>
      <c r="C107">
        <f>'Raw Data'!J88</f>
        <v>27.7</v>
      </c>
      <c r="D107" t="str">
        <f>'Interpreted Data'!G88</f>
        <v>-</v>
      </c>
      <c r="E107" t="str">
        <f>'Interpreted Data'!H88</f>
        <v>243:50</v>
      </c>
      <c r="F107" t="str">
        <f>SUBSTITUTE('Raw Data'!K88," ",":",1)</f>
        <v>12:00</v>
      </c>
      <c r="G107">
        <f>'Interpreted Data'!N88</f>
        <v>5.8</v>
      </c>
      <c r="H107" t="str">
        <f>'Interpreted Data'!P88</f>
        <v/>
      </c>
      <c r="I107" t="str">
        <f t="shared" si="35"/>
        <v xml:space="preserve"> </v>
      </c>
      <c r="J107" t="str">
        <f t="shared" si="48"/>
        <v>AO</v>
      </c>
      <c r="K107" t="str">
        <f t="shared" si="49"/>
        <v>AP</v>
      </c>
      <c r="L107">
        <f t="shared" si="50"/>
        <v>27.7</v>
      </c>
      <c r="M107" t="str">
        <f t="shared" si="51"/>
        <v>-</v>
      </c>
      <c r="N107" t="str">
        <f t="shared" si="52"/>
        <v>243:50</v>
      </c>
      <c r="O107" t="str">
        <f t="shared" si="53"/>
        <v>12:00</v>
      </c>
      <c r="P107" t="str">
        <f t="shared" si="54"/>
        <v/>
      </c>
    </row>
    <row r="108" spans="1:16" x14ac:dyDescent="0.25">
      <c r="A108" t="str">
        <f>'Raw Data'!A89</f>
        <v>AP</v>
      </c>
      <c r="B108" t="str">
        <f>'Raw Data'!B89</f>
        <v>AQ</v>
      </c>
      <c r="C108">
        <f>'Raw Data'!J89</f>
        <v>23.2</v>
      </c>
      <c r="D108" t="str">
        <f>'Interpreted Data'!G89</f>
        <v>094:00</v>
      </c>
      <c r="E108" t="str">
        <f>'Interpreted Data'!H89</f>
        <v>-</v>
      </c>
      <c r="F108" t="str">
        <f>SUBSTITUTE('Raw Data'!K89," ",":",1)</f>
        <v>10:30</v>
      </c>
      <c r="G108">
        <f>'Interpreted Data'!N89</f>
        <v>4.0999999999999996</v>
      </c>
      <c r="H108" t="str">
        <f>'Interpreted Data'!P89</f>
        <v/>
      </c>
      <c r="I108" t="str">
        <f t="shared" si="35"/>
        <v xml:space="preserve"> </v>
      </c>
      <c r="J108" t="str">
        <f t="shared" si="48"/>
        <v>AP</v>
      </c>
      <c r="K108" t="str">
        <f t="shared" si="49"/>
        <v>AQ</v>
      </c>
      <c r="L108">
        <f t="shared" si="50"/>
        <v>23.2</v>
      </c>
      <c r="M108" t="str">
        <f t="shared" si="51"/>
        <v>094:00</v>
      </c>
      <c r="N108" t="str">
        <f t="shared" si="52"/>
        <v>-</v>
      </c>
      <c r="O108" t="str">
        <f t="shared" si="53"/>
        <v>10:30</v>
      </c>
      <c r="P108" t="str">
        <f t="shared" si="54"/>
        <v/>
      </c>
    </row>
    <row r="109" spans="1:16" x14ac:dyDescent="0.25">
      <c r="A109" t="str">
        <f>'Raw Data'!A90</f>
        <v>AQ</v>
      </c>
      <c r="B109" t="str">
        <f>'Raw Data'!B90</f>
        <v>AR</v>
      </c>
      <c r="C109">
        <f>'Raw Data'!J90</f>
        <v>10.7</v>
      </c>
      <c r="D109" t="str">
        <f>'Interpreted Data'!G90</f>
        <v>-</v>
      </c>
      <c r="E109" t="str">
        <f>'Interpreted Data'!H90</f>
        <v>316:00</v>
      </c>
      <c r="F109" t="str">
        <f>SUBSTITUTE('Raw Data'!K90," ",":",1)</f>
        <v>-5:30</v>
      </c>
      <c r="G109">
        <f>'Interpreted Data'!N90</f>
        <v>-1</v>
      </c>
      <c r="H109" t="str">
        <f>'Interpreted Data'!P90</f>
        <v/>
      </c>
      <c r="I109" t="str">
        <f t="shared" si="35"/>
        <v xml:space="preserve"> </v>
      </c>
      <c r="J109" t="str">
        <f t="shared" si="48"/>
        <v>AQ</v>
      </c>
      <c r="K109" t="str">
        <f t="shared" si="49"/>
        <v>AR</v>
      </c>
      <c r="L109">
        <f t="shared" si="50"/>
        <v>10.7</v>
      </c>
      <c r="M109" t="str">
        <f t="shared" si="51"/>
        <v>-</v>
      </c>
      <c r="N109" t="str">
        <f t="shared" si="52"/>
        <v>316:00</v>
      </c>
      <c r="O109" t="str">
        <f t="shared" si="53"/>
        <v>-5:30</v>
      </c>
      <c r="P109" t="str">
        <f t="shared" si="54"/>
        <v/>
      </c>
    </row>
    <row r="110" spans="1:16" x14ac:dyDescent="0.25">
      <c r="A110" t="str">
        <f>'Raw Data'!A91</f>
        <v>AR</v>
      </c>
      <c r="B110" t="str">
        <f>'Raw Data'!B91</f>
        <v>AS</v>
      </c>
      <c r="C110">
        <f>'Raw Data'!J91</f>
        <v>26.5</v>
      </c>
      <c r="D110" t="str">
        <f>'Interpreted Data'!G91</f>
        <v>012:20</v>
      </c>
      <c r="E110" t="str">
        <f>'Interpreted Data'!H91</f>
        <v>-</v>
      </c>
      <c r="F110" t="str">
        <f>SUBSTITUTE('Raw Data'!K91," ",":",1)</f>
        <v>28:30</v>
      </c>
      <c r="G110">
        <f>'Interpreted Data'!N91</f>
        <v>12.6</v>
      </c>
      <c r="H110" t="str">
        <f>'Interpreted Data'!P91</f>
        <v/>
      </c>
      <c r="I110" t="str">
        <f t="shared" si="35"/>
        <v xml:space="preserve"> </v>
      </c>
      <c r="J110" t="str">
        <f t="shared" si="48"/>
        <v>AR</v>
      </c>
      <c r="K110" t="str">
        <f t="shared" si="49"/>
        <v>AS</v>
      </c>
      <c r="L110">
        <f t="shared" si="50"/>
        <v>26.5</v>
      </c>
      <c r="M110" t="str">
        <f t="shared" si="51"/>
        <v>012:20</v>
      </c>
      <c r="N110" t="str">
        <f t="shared" si="52"/>
        <v>-</v>
      </c>
      <c r="O110" t="str">
        <f t="shared" si="53"/>
        <v>28:30</v>
      </c>
      <c r="P110" t="str">
        <f t="shared" si="54"/>
        <v/>
      </c>
    </row>
    <row r="111" spans="1:16" x14ac:dyDescent="0.25">
      <c r="A111" t="str">
        <f>'Raw Data'!A92</f>
        <v>AS</v>
      </c>
      <c r="B111" t="str">
        <f>'Raw Data'!B92</f>
        <v>AT</v>
      </c>
      <c r="C111">
        <f>'Raw Data'!J92</f>
        <v>38.6</v>
      </c>
      <c r="D111" t="str">
        <f>'Interpreted Data'!G92</f>
        <v>-</v>
      </c>
      <c r="E111" t="str">
        <f>'Interpreted Data'!H92</f>
        <v>169:30</v>
      </c>
      <c r="F111" t="str">
        <f>SUBSTITUTE('Raw Data'!K92," ",":",1)</f>
        <v>10:30</v>
      </c>
      <c r="G111">
        <f>'Interpreted Data'!N92</f>
        <v>7</v>
      </c>
      <c r="H111" t="str">
        <f>'Interpreted Data'!P92</f>
        <v/>
      </c>
      <c r="I111" t="str">
        <f t="shared" si="35"/>
        <v xml:space="preserve"> </v>
      </c>
      <c r="J111" t="str">
        <f t="shared" si="48"/>
        <v>AS</v>
      </c>
      <c r="K111" t="str">
        <f t="shared" si="49"/>
        <v>AT</v>
      </c>
      <c r="L111">
        <f t="shared" si="50"/>
        <v>38.6</v>
      </c>
      <c r="M111" t="str">
        <f t="shared" si="51"/>
        <v>-</v>
      </c>
      <c r="N111" t="str">
        <f t="shared" si="52"/>
        <v>169:30</v>
      </c>
      <c r="O111" t="str">
        <f t="shared" si="53"/>
        <v>10:30</v>
      </c>
      <c r="P111" t="str">
        <f t="shared" si="54"/>
        <v/>
      </c>
    </row>
    <row r="112" spans="1:16" x14ac:dyDescent="0.25">
      <c r="A112" t="str">
        <f>'Raw Data'!A93</f>
        <v>AT</v>
      </c>
      <c r="B112" t="str">
        <f>'Raw Data'!B93</f>
        <v>AU</v>
      </c>
      <c r="C112">
        <f>'Raw Data'!J93</f>
        <v>23.3</v>
      </c>
      <c r="D112" t="str">
        <f>'Interpreted Data'!G93</f>
        <v>321:40</v>
      </c>
      <c r="E112" t="str">
        <f>'Interpreted Data'!H93</f>
        <v>-</v>
      </c>
      <c r="F112" t="str">
        <f>SUBSTITUTE('Raw Data'!K93," ",":",1)</f>
        <v>-4:00</v>
      </c>
      <c r="G112">
        <f>'Interpreted Data'!N93</f>
        <v>-1.6</v>
      </c>
      <c r="H112" t="str">
        <f>'Interpreted Data'!P93</f>
        <v/>
      </c>
      <c r="I112" t="str">
        <f t="shared" si="35"/>
        <v xml:space="preserve"> </v>
      </c>
      <c r="J112" t="str">
        <f t="shared" si="48"/>
        <v>AT</v>
      </c>
      <c r="K112" t="str">
        <f t="shared" si="49"/>
        <v>AU</v>
      </c>
      <c r="L112">
        <f t="shared" si="50"/>
        <v>23.3</v>
      </c>
      <c r="M112" t="str">
        <f t="shared" si="51"/>
        <v>321:40</v>
      </c>
      <c r="N112" t="str">
        <f t="shared" si="52"/>
        <v>-</v>
      </c>
      <c r="O112" t="str">
        <f t="shared" si="53"/>
        <v>-4:00</v>
      </c>
      <c r="P112" t="str">
        <f t="shared" si="54"/>
        <v/>
      </c>
    </row>
    <row r="113" spans="1:16" x14ac:dyDescent="0.25">
      <c r="A113" t="str">
        <f>'Raw Data'!A94</f>
        <v>AU</v>
      </c>
      <c r="B113" t="str">
        <f>'Raw Data'!B94</f>
        <v>AV</v>
      </c>
      <c r="C113">
        <f>'Raw Data'!J94</f>
        <v>23.3</v>
      </c>
      <c r="D113" t="str">
        <f>'Interpreted Data'!G94</f>
        <v>-</v>
      </c>
      <c r="E113" t="str">
        <f>'Interpreted Data'!H94</f>
        <v>245:30</v>
      </c>
      <c r="F113" t="str">
        <f>SUBSTITUTE('Raw Data'!K94," ",":",1)</f>
        <v>9:00</v>
      </c>
      <c r="G113">
        <f>'Interpreted Data'!N94</f>
        <v>3.6</v>
      </c>
      <c r="H113" t="str">
        <f>'Interpreted Data'!P94</f>
        <v/>
      </c>
      <c r="I113" t="str">
        <f t="shared" si="35"/>
        <v xml:space="preserve"> </v>
      </c>
      <c r="J113" t="str">
        <f t="shared" si="48"/>
        <v>AU</v>
      </c>
      <c r="K113" t="str">
        <f t="shared" si="49"/>
        <v>AV</v>
      </c>
      <c r="L113">
        <f t="shared" si="50"/>
        <v>23.3</v>
      </c>
      <c r="M113" t="str">
        <f t="shared" si="51"/>
        <v>-</v>
      </c>
      <c r="N113" t="str">
        <f t="shared" si="52"/>
        <v>245:30</v>
      </c>
      <c r="O113" t="str">
        <f t="shared" si="53"/>
        <v>9:00</v>
      </c>
      <c r="P113" t="str">
        <f t="shared" si="54"/>
        <v/>
      </c>
    </row>
    <row r="114" spans="1:16" x14ac:dyDescent="0.25">
      <c r="A114" t="str">
        <f>'Raw Data'!A95</f>
        <v>AV</v>
      </c>
      <c r="B114" t="str">
        <f>'Raw Data'!B95</f>
        <v>AW</v>
      </c>
      <c r="C114">
        <f>'Raw Data'!J95</f>
        <v>24.1</v>
      </c>
      <c r="D114" t="str">
        <f>'Interpreted Data'!G95</f>
        <v>108:30</v>
      </c>
      <c r="E114" t="str">
        <f>'Interpreted Data'!H95</f>
        <v>-</v>
      </c>
      <c r="F114" t="str">
        <f>SUBSTITUTE('Raw Data'!K95," ",":",1)</f>
        <v>27:30</v>
      </c>
      <c r="G114">
        <f>'Interpreted Data'!N95</f>
        <v>11.1</v>
      </c>
      <c r="H114" t="str">
        <f>'Interpreted Data'!P95</f>
        <v>AV is in middle of upper big pot.</v>
      </c>
      <c r="I114" t="str">
        <f t="shared" si="35"/>
        <v xml:space="preserve"> </v>
      </c>
      <c r="J114" t="str">
        <f t="shared" si="48"/>
        <v>AV</v>
      </c>
      <c r="K114" t="str">
        <f t="shared" si="49"/>
        <v>AW</v>
      </c>
      <c r="L114">
        <f t="shared" si="50"/>
        <v>24.1</v>
      </c>
      <c r="M114" t="str">
        <f t="shared" si="51"/>
        <v>108:30</v>
      </c>
      <c r="N114" t="str">
        <f t="shared" si="52"/>
        <v>-</v>
      </c>
      <c r="O114" t="str">
        <f t="shared" si="53"/>
        <v>27:30</v>
      </c>
      <c r="P114" t="str">
        <f t="shared" si="54"/>
        <v>AV is in middle of upper big pot.</v>
      </c>
    </row>
    <row r="115" spans="1:16" x14ac:dyDescent="0.25">
      <c r="A115" t="str">
        <f>'Raw Data'!A96</f>
        <v>AW</v>
      </c>
      <c r="B115" t="str">
        <f>'Raw Data'!B96</f>
        <v>AX</v>
      </c>
      <c r="C115">
        <f>'Raw Data'!J96</f>
        <v>14.6</v>
      </c>
      <c r="D115" t="str">
        <f>'Interpreted Data'!G96</f>
        <v>-</v>
      </c>
      <c r="E115" t="str">
        <f>'Interpreted Data'!H96</f>
        <v>259:40</v>
      </c>
      <c r="F115" t="str">
        <f>SUBSTITUTE('Raw Data'!K96," ",":",1)</f>
        <v>23:30</v>
      </c>
      <c r="G115">
        <f>'Interpreted Data'!N96</f>
        <v>5.8</v>
      </c>
      <c r="H115" t="str">
        <f>'Interpreted Data'!P96</f>
        <v/>
      </c>
      <c r="I115" t="str">
        <f t="shared" si="35"/>
        <v xml:space="preserve"> </v>
      </c>
      <c r="J115" t="str">
        <f t="shared" si="48"/>
        <v>AW</v>
      </c>
      <c r="K115" t="str">
        <f t="shared" si="49"/>
        <v>AX</v>
      </c>
      <c r="L115">
        <f t="shared" si="50"/>
        <v>14.6</v>
      </c>
      <c r="M115" t="str">
        <f t="shared" si="51"/>
        <v>-</v>
      </c>
      <c r="N115" t="str">
        <f t="shared" si="52"/>
        <v>259:40</v>
      </c>
      <c r="O115" t="str">
        <f t="shared" si="53"/>
        <v>23:30</v>
      </c>
      <c r="P115" t="str">
        <f t="shared" si="54"/>
        <v/>
      </c>
    </row>
    <row r="116" spans="1:16" x14ac:dyDescent="0.25">
      <c r="A116" t="str">
        <f>'Raw Data'!A97</f>
        <v>AX</v>
      </c>
      <c r="B116" t="str">
        <f>'Raw Data'!B97</f>
        <v>AY</v>
      </c>
      <c r="C116">
        <f>'Raw Data'!J97</f>
        <v>15</v>
      </c>
      <c r="D116" t="str">
        <f>'Interpreted Data'!G97</f>
        <v>128:00</v>
      </c>
      <c r="E116" t="str">
        <f>'Interpreted Data'!H97</f>
        <v>-</v>
      </c>
      <c r="F116" t="str">
        <f>SUBSTITUTE('Raw Data'!K97," ",":",1)</f>
        <v>13:30</v>
      </c>
      <c r="G116">
        <f>'Interpreted Data'!N97</f>
        <v>3.5</v>
      </c>
      <c r="H116" t="str">
        <f>'Interpreted Data'!P97</f>
        <v>AY is on stumpy stalagmite on cascade on E side of passage.</v>
      </c>
      <c r="I116" t="str">
        <f t="shared" si="35"/>
        <v xml:space="preserve"> </v>
      </c>
      <c r="J116" t="str">
        <f t="shared" si="48"/>
        <v>AX</v>
      </c>
      <c r="K116" t="str">
        <f t="shared" si="49"/>
        <v>AY</v>
      </c>
      <c r="L116">
        <f t="shared" si="50"/>
        <v>15</v>
      </c>
      <c r="M116" t="str">
        <f t="shared" si="51"/>
        <v>128:00</v>
      </c>
      <c r="N116" t="str">
        <f t="shared" si="52"/>
        <v>-</v>
      </c>
      <c r="O116" t="str">
        <f t="shared" si="53"/>
        <v>13:30</v>
      </c>
      <c r="P116" t="str">
        <f t="shared" si="54"/>
        <v>AY is on stumpy stalagmite on cascade on E side of passage.</v>
      </c>
    </row>
    <row r="117" spans="1:16" x14ac:dyDescent="0.25">
      <c r="A117" t="str">
        <f>'Raw Data'!A98</f>
        <v>AY</v>
      </c>
      <c r="B117">
        <f>'Raw Data'!B98</f>
        <v>0</v>
      </c>
      <c r="C117">
        <f>'Raw Data'!J98</f>
        <v>0</v>
      </c>
      <c r="D117" t="str">
        <f>'Interpreted Data'!G98</f>
        <v/>
      </c>
      <c r="E117" t="str">
        <f>'Interpreted Data'!H98</f>
        <v/>
      </c>
      <c r="F117" t="str">
        <f>SUBSTITUTE('Raw Data'!K98," ",":",1)</f>
        <v/>
      </c>
      <c r="G117" t="str">
        <f>'Interpreted Data'!N98</f>
        <v/>
      </c>
      <c r="H117" t="str">
        <f>'Interpreted Data'!P98</f>
        <v>Total = 2,188'</v>
      </c>
      <c r="I117" t="str">
        <f t="shared" si="35"/>
        <v xml:space="preserve"> </v>
      </c>
      <c r="J117" t="s">
        <v>77</v>
      </c>
      <c r="K117" t="str">
        <f>A117</f>
        <v>AY</v>
      </c>
      <c r="M117" t="str">
        <f t="shared" ref="M117:O119" si="55">D117</f>
        <v/>
      </c>
      <c r="N117" t="str">
        <f t="shared" si="55"/>
        <v/>
      </c>
      <c r="O117" t="str">
        <f t="shared" si="55"/>
        <v/>
      </c>
      <c r="P117" t="str">
        <f t="shared" si="54"/>
        <v>Total = 2,188'</v>
      </c>
    </row>
    <row r="118" spans="1:16" x14ac:dyDescent="0.25">
      <c r="A118">
        <f>'Raw Data'!A99</f>
        <v>0</v>
      </c>
      <c r="B118">
        <f>'Raw Data'!B99</f>
        <v>0</v>
      </c>
      <c r="C118">
        <f>'Raw Data'!J99</f>
        <v>0</v>
      </c>
      <c r="D118" t="str">
        <f>'Interpreted Data'!G99</f>
        <v/>
      </c>
      <c r="E118" t="str">
        <f>'Interpreted Data'!H99</f>
        <v/>
      </c>
      <c r="F118" t="str">
        <f>SUBSTITUTE('Raw Data'!K99," ",":",1)</f>
        <v/>
      </c>
      <c r="G118" t="str">
        <f>'Interpreted Data'!N99</f>
        <v/>
      </c>
      <c r="H118" t="str">
        <f>'Interpreted Data'!P99</f>
        <v/>
      </c>
      <c r="I118" t="str">
        <f t="shared" si="35"/>
        <v xml:space="preserve"> </v>
      </c>
      <c r="M118" t="str">
        <f t="shared" si="55"/>
        <v/>
      </c>
      <c r="N118" t="str">
        <f t="shared" si="55"/>
        <v/>
      </c>
      <c r="O118" t="str">
        <f t="shared" si="55"/>
        <v/>
      </c>
      <c r="P118" t="str">
        <f t="shared" si="54"/>
        <v/>
      </c>
    </row>
    <row r="119" spans="1:16" x14ac:dyDescent="0.25">
      <c r="A119" t="str">
        <f>'Raw Data'!A100</f>
        <v>14th August '52</v>
      </c>
      <c r="B119" t="str">
        <f>'Raw Data'!B100</f>
        <v>Colin</v>
      </c>
      <c r="C119">
        <f>'Raw Data'!J100</f>
        <v>0</v>
      </c>
      <c r="D119" t="str">
        <f>'Interpreted Data'!G100</f>
        <v/>
      </c>
      <c r="E119" t="str">
        <f>'Interpreted Data'!H100</f>
        <v/>
      </c>
      <c r="F119" t="str">
        <f>SUBSTITUTE('Raw Data'!K100," ",":",1)</f>
        <v/>
      </c>
      <c r="G119" t="str">
        <f>'Interpreted Data'!N100</f>
        <v/>
      </c>
      <c r="H119" t="str">
        <f>'Interpreted Data'!P100</f>
        <v/>
      </c>
      <c r="I119" t="str">
        <f t="shared" si="35"/>
        <v xml:space="preserve"> </v>
      </c>
      <c r="J119" t="str">
        <f>A119</f>
        <v>14th August '52</v>
      </c>
      <c r="K119" t="str">
        <f>B119</f>
        <v>Colin</v>
      </c>
      <c r="M119" t="str">
        <f t="shared" si="55"/>
        <v/>
      </c>
      <c r="N119" t="str">
        <f t="shared" si="55"/>
        <v/>
      </c>
      <c r="O119" t="str">
        <f t="shared" si="55"/>
        <v/>
      </c>
      <c r="P119" t="str">
        <f t="shared" si="54"/>
        <v/>
      </c>
    </row>
    <row r="120" spans="1:16" x14ac:dyDescent="0.25">
      <c r="I120" t="str">
        <f t="shared" si="35"/>
        <v xml:space="preserve"> </v>
      </c>
      <c r="J120" t="str">
        <f>$J$1</f>
        <v>data normal from to tape compass backcompass clino ignoreall</v>
      </c>
    </row>
    <row r="121" spans="1:16" x14ac:dyDescent="0.25">
      <c r="A121">
        <f>'Raw Data'!A101</f>
        <v>18</v>
      </c>
      <c r="B121">
        <f>'Raw Data'!B101</f>
        <v>19</v>
      </c>
      <c r="C121">
        <f>'Raw Data'!J101</f>
        <v>10.1</v>
      </c>
      <c r="D121" t="str">
        <f>'Interpreted Data'!G101</f>
        <v>-</v>
      </c>
      <c r="E121" t="str">
        <f>'Interpreted Data'!H101</f>
        <v>-</v>
      </c>
      <c r="F121" t="str">
        <f>SUBSTITUTE('Raw Data'!K101," ",":",1)</f>
        <v>-90:00</v>
      </c>
      <c r="G121">
        <f>'Interpreted Data'!N101</f>
        <v>-10.1</v>
      </c>
      <c r="H121" t="str">
        <f>'Interpreted Data'!P101</f>
        <v>18 is in crack at top of 11 Foot Drop.</v>
      </c>
      <c r="J121">
        <f t="shared" ref="J121:J133" si="56">A121</f>
        <v>18</v>
      </c>
      <c r="K121">
        <f t="shared" ref="K121:K133" si="57">B121</f>
        <v>19</v>
      </c>
      <c r="L121">
        <f t="shared" ref="L121:L133" si="58">C121</f>
        <v>10.1</v>
      </c>
      <c r="M121" t="str">
        <f t="shared" ref="M121:M133" si="59">D121</f>
        <v>-</v>
      </c>
      <c r="N121" t="str">
        <f t="shared" ref="N121:N133" si="60">E121</f>
        <v>-</v>
      </c>
      <c r="O121" t="str">
        <f>IF(AND(D121="-",E121="-"),IF(1*SUBSTITUTE(F121,":",".")=-90,"DOWN",IF(1*SUBSTITUTE(F121,":",".")=90,"UP","no compass")),F121)</f>
        <v>DOWN</v>
      </c>
      <c r="P121" t="str">
        <f t="shared" ref="P121:P133" si="61">H121</f>
        <v>18 is in crack at top of 11 Foot Drop.</v>
      </c>
    </row>
    <row r="122" spans="1:16" x14ac:dyDescent="0.25">
      <c r="A122">
        <f>'Raw Data'!A102</f>
        <v>19</v>
      </c>
      <c r="B122">
        <f>'Raw Data'!B102</f>
        <v>20</v>
      </c>
      <c r="C122">
        <f>'Raw Data'!J102</f>
        <v>8</v>
      </c>
      <c r="D122" t="str">
        <f>'Interpreted Data'!G102</f>
        <v>-</v>
      </c>
      <c r="E122" t="str">
        <f>'Interpreted Data'!H102</f>
        <v>355:00</v>
      </c>
      <c r="F122" t="str">
        <f>SUBSTITUTE('Raw Data'!K102," ",":",1)</f>
        <v>1:00</v>
      </c>
      <c r="G122">
        <f>'Interpreted Data'!N102</f>
        <v>0.1</v>
      </c>
      <c r="H122" t="str">
        <f>'Interpreted Data'!P102</f>
        <v>(sketch of 18 - 24)</v>
      </c>
      <c r="I122" t="str">
        <f t="shared" si="35"/>
        <v xml:space="preserve"> </v>
      </c>
      <c r="J122">
        <f t="shared" si="56"/>
        <v>19</v>
      </c>
      <c r="K122">
        <f t="shared" si="57"/>
        <v>20</v>
      </c>
      <c r="L122">
        <f t="shared" si="58"/>
        <v>8</v>
      </c>
      <c r="M122" t="str">
        <f t="shared" si="59"/>
        <v>-</v>
      </c>
      <c r="N122" t="str">
        <f t="shared" si="60"/>
        <v>355:00</v>
      </c>
      <c r="O122" t="str">
        <f t="shared" ref="O122:O143" si="62">IF(AND(D122="-",E122="-"),IF(1*SUBSTITUTE(F122,":",".")=-90,"DOWN",IF(1*SUBSTITUTE(F122,":",".")=90,"UP","no compass")),F122)</f>
        <v>1:00</v>
      </c>
      <c r="P122" t="str">
        <f t="shared" si="61"/>
        <v>(sketch of 18 - 24)</v>
      </c>
    </row>
    <row r="123" spans="1:16" x14ac:dyDescent="0.25">
      <c r="A123">
        <f>'Raw Data'!A103</f>
        <v>20</v>
      </c>
      <c r="B123">
        <f>'Raw Data'!B103</f>
        <v>21</v>
      </c>
      <c r="C123">
        <f>'Raw Data'!J103</f>
        <v>24.8</v>
      </c>
      <c r="D123" t="str">
        <f>'Interpreted Data'!G103</f>
        <v>091:00</v>
      </c>
      <c r="E123" t="str">
        <f>'Interpreted Data'!H103</f>
        <v>-</v>
      </c>
      <c r="F123" t="str">
        <f>SUBSTITUTE('Raw Data'!K103," ",":",1)</f>
        <v>23:00</v>
      </c>
      <c r="G123">
        <f>'Interpreted Data'!N103</f>
        <v>9.6999999999999993</v>
      </c>
      <c r="H123" t="str">
        <f>'Interpreted Data'!P103</f>
        <v/>
      </c>
      <c r="I123" t="str">
        <f t="shared" si="35"/>
        <v xml:space="preserve"> </v>
      </c>
      <c r="J123">
        <f t="shared" si="56"/>
        <v>20</v>
      </c>
      <c r="K123">
        <f t="shared" si="57"/>
        <v>21</v>
      </c>
      <c r="L123">
        <f t="shared" si="58"/>
        <v>24.8</v>
      </c>
      <c r="M123" t="str">
        <f t="shared" si="59"/>
        <v>091:00</v>
      </c>
      <c r="N123" t="str">
        <f t="shared" si="60"/>
        <v>-</v>
      </c>
      <c r="O123" t="str">
        <f t="shared" si="62"/>
        <v>23:00</v>
      </c>
      <c r="P123" t="str">
        <f t="shared" si="61"/>
        <v/>
      </c>
    </row>
    <row r="124" spans="1:16" x14ac:dyDescent="0.25">
      <c r="A124">
        <f>'Raw Data'!A104</f>
        <v>21</v>
      </c>
      <c r="B124">
        <f>'Raw Data'!B104</f>
        <v>22</v>
      </c>
      <c r="C124">
        <f>'Raw Data'!J104</f>
        <v>11.2</v>
      </c>
      <c r="D124" t="str">
        <f>'Interpreted Data'!G104</f>
        <v>-</v>
      </c>
      <c r="E124" t="str">
        <f>'Interpreted Data'!H104</f>
        <v>302:00</v>
      </c>
      <c r="F124" t="str">
        <f>SUBSTITUTE('Raw Data'!K104," ",":",1)</f>
        <v>10:00</v>
      </c>
      <c r="G124">
        <f>'Interpreted Data'!N104</f>
        <v>1.9</v>
      </c>
      <c r="H124" t="str">
        <f>'Interpreted Data'!P104</f>
        <v/>
      </c>
      <c r="I124" t="str">
        <f t="shared" si="35"/>
        <v xml:space="preserve"> </v>
      </c>
      <c r="J124">
        <f t="shared" si="56"/>
        <v>21</v>
      </c>
      <c r="K124">
        <f t="shared" si="57"/>
        <v>22</v>
      </c>
      <c r="L124">
        <f t="shared" si="58"/>
        <v>11.2</v>
      </c>
      <c r="M124" t="str">
        <f t="shared" si="59"/>
        <v>-</v>
      </c>
      <c r="N124" t="str">
        <f t="shared" si="60"/>
        <v>302:00</v>
      </c>
      <c r="O124" t="str">
        <f t="shared" si="62"/>
        <v>10:00</v>
      </c>
      <c r="P124" t="str">
        <f t="shared" si="61"/>
        <v/>
      </c>
    </row>
    <row r="125" spans="1:16" x14ac:dyDescent="0.25">
      <c r="A125">
        <f>'Raw Data'!A105</f>
        <v>22</v>
      </c>
      <c r="B125">
        <f>'Raw Data'!B105</f>
        <v>23</v>
      </c>
      <c r="C125">
        <f>'Raw Data'!J105</f>
        <v>25.5</v>
      </c>
      <c r="D125" t="str">
        <f>'Interpreted Data'!G105</f>
        <v>172:40</v>
      </c>
      <c r="E125" t="str">
        <f>'Interpreted Data'!H105</f>
        <v>-</v>
      </c>
      <c r="F125" t="str">
        <f>SUBSTITUTE('Raw Data'!K105," ",":",1)</f>
        <v>-9:00</v>
      </c>
      <c r="G125">
        <f>'Interpreted Data'!N105</f>
        <v>-4</v>
      </c>
      <c r="H125" t="str">
        <f>'Interpreted Data'!P105</f>
        <v/>
      </c>
      <c r="I125" t="str">
        <f t="shared" si="35"/>
        <v xml:space="preserve"> </v>
      </c>
      <c r="J125">
        <f t="shared" si="56"/>
        <v>22</v>
      </c>
      <c r="K125">
        <f t="shared" si="57"/>
        <v>23</v>
      </c>
      <c r="L125">
        <f t="shared" si="58"/>
        <v>25.5</v>
      </c>
      <c r="M125" t="str">
        <f t="shared" si="59"/>
        <v>172:40</v>
      </c>
      <c r="N125" t="str">
        <f t="shared" si="60"/>
        <v>-</v>
      </c>
      <c r="O125" t="str">
        <f t="shared" si="62"/>
        <v>-9:00</v>
      </c>
      <c r="P125" t="str">
        <f t="shared" si="61"/>
        <v/>
      </c>
    </row>
    <row r="126" spans="1:16" x14ac:dyDescent="0.25">
      <c r="A126">
        <f>'Raw Data'!A106</f>
        <v>23</v>
      </c>
      <c r="B126">
        <f>'Raw Data'!B106</f>
        <v>24</v>
      </c>
      <c r="C126">
        <f>'Raw Data'!J106</f>
        <v>50.7</v>
      </c>
      <c r="D126" t="str">
        <f>'Interpreted Data'!G106</f>
        <v>-</v>
      </c>
      <c r="E126" t="str">
        <f>'Interpreted Data'!H106</f>
        <v>248:00</v>
      </c>
      <c r="F126" t="str">
        <f>SUBSTITUTE('Raw Data'!K106," ",":",1)</f>
        <v>18:00</v>
      </c>
      <c r="G126">
        <f>'Interpreted Data'!N106</f>
        <v>15.6</v>
      </c>
      <c r="H126" t="str">
        <f>'Interpreted Data'!P106</f>
        <v/>
      </c>
      <c r="I126" t="str">
        <f t="shared" si="35"/>
        <v xml:space="preserve"> </v>
      </c>
      <c r="J126">
        <f t="shared" si="56"/>
        <v>23</v>
      </c>
      <c r="K126">
        <f t="shared" si="57"/>
        <v>24</v>
      </c>
      <c r="L126">
        <f t="shared" si="58"/>
        <v>50.7</v>
      </c>
      <c r="M126" t="str">
        <f t="shared" si="59"/>
        <v>-</v>
      </c>
      <c r="N126" t="str">
        <f t="shared" si="60"/>
        <v>248:00</v>
      </c>
      <c r="O126" t="str">
        <f t="shared" si="62"/>
        <v>18:00</v>
      </c>
      <c r="P126" t="str">
        <f t="shared" si="61"/>
        <v/>
      </c>
    </row>
    <row r="127" spans="1:16" x14ac:dyDescent="0.25">
      <c r="A127">
        <f>'Raw Data'!A107</f>
        <v>24</v>
      </c>
      <c r="B127">
        <f>'Raw Data'!B107</f>
        <v>25</v>
      </c>
      <c r="C127">
        <f>'Raw Data'!J107</f>
        <v>14</v>
      </c>
      <c r="D127" t="str">
        <f>'Interpreted Data'!G107</f>
        <v>046:00</v>
      </c>
      <c r="E127" t="str">
        <f>'Interpreted Data'!H107</f>
        <v>-</v>
      </c>
      <c r="F127" t="str">
        <f>SUBSTITUTE('Raw Data'!K107," ",":",1)</f>
        <v>-46:00</v>
      </c>
      <c r="G127">
        <f>'Interpreted Data'!N107</f>
        <v>-10.1</v>
      </c>
      <c r="H127" t="str">
        <f>'Interpreted Data'!P107</f>
        <v>(sketch of 24 - 35)</v>
      </c>
      <c r="I127" t="str">
        <f t="shared" si="35"/>
        <v xml:space="preserve"> </v>
      </c>
      <c r="J127">
        <f t="shared" si="56"/>
        <v>24</v>
      </c>
      <c r="K127">
        <f t="shared" si="57"/>
        <v>25</v>
      </c>
      <c r="L127">
        <f t="shared" si="58"/>
        <v>14</v>
      </c>
      <c r="M127" t="str">
        <f t="shared" si="59"/>
        <v>046:00</v>
      </c>
      <c r="N127" t="str">
        <f t="shared" si="60"/>
        <v>-</v>
      </c>
      <c r="O127" t="str">
        <f t="shared" si="62"/>
        <v>-46:00</v>
      </c>
      <c r="P127" t="str">
        <f t="shared" si="61"/>
        <v>(sketch of 24 - 35)</v>
      </c>
    </row>
    <row r="128" spans="1:16" x14ac:dyDescent="0.25">
      <c r="A128">
        <f>'Raw Data'!A108</f>
        <v>25</v>
      </c>
      <c r="B128">
        <f>'Raw Data'!B108</f>
        <v>26</v>
      </c>
      <c r="C128">
        <f>'Raw Data'!J108</f>
        <v>15.3</v>
      </c>
      <c r="D128" t="str">
        <f>'Interpreted Data'!G108</f>
        <v>-</v>
      </c>
      <c r="E128" t="str">
        <f>'Interpreted Data'!H108</f>
        <v>293:00</v>
      </c>
      <c r="F128" t="str">
        <f>SUBSTITUTE('Raw Data'!K108," ",":",1)</f>
        <v>-43:00</v>
      </c>
      <c r="G128">
        <f>'Interpreted Data'!N108</f>
        <v>-10.4</v>
      </c>
      <c r="H128" t="str">
        <f>'Interpreted Data'!P108</f>
        <v/>
      </c>
      <c r="I128" t="str">
        <f t="shared" si="35"/>
        <v xml:space="preserve"> </v>
      </c>
      <c r="J128">
        <f t="shared" si="56"/>
        <v>25</v>
      </c>
      <c r="K128">
        <f t="shared" si="57"/>
        <v>26</v>
      </c>
      <c r="L128">
        <f t="shared" si="58"/>
        <v>15.3</v>
      </c>
      <c r="M128" t="str">
        <f t="shared" si="59"/>
        <v>-</v>
      </c>
      <c r="N128" t="str">
        <f t="shared" si="60"/>
        <v>293:00</v>
      </c>
      <c r="O128" t="str">
        <f t="shared" si="62"/>
        <v>-43:00</v>
      </c>
      <c r="P128" t="str">
        <f t="shared" si="61"/>
        <v/>
      </c>
    </row>
    <row r="129" spans="1:16" x14ac:dyDescent="0.25">
      <c r="A129">
        <f>'Raw Data'!A109</f>
        <v>26</v>
      </c>
      <c r="B129">
        <f>'Raw Data'!B109</f>
        <v>27</v>
      </c>
      <c r="C129">
        <f>'Raw Data'!J109</f>
        <v>23.2</v>
      </c>
      <c r="D129" t="str">
        <f>'Interpreted Data'!G109</f>
        <v>061:00</v>
      </c>
      <c r="E129" t="str">
        <f>'Interpreted Data'!H109</f>
        <v>-</v>
      </c>
      <c r="F129" t="str">
        <f>SUBSTITUTE('Raw Data'!K109," ",":",1)</f>
        <v>-55:00</v>
      </c>
      <c r="G129">
        <f>'Interpreted Data'!N109</f>
        <v>-19</v>
      </c>
      <c r="H129" t="str">
        <f>'Interpreted Data'!P109</f>
        <v/>
      </c>
      <c r="I129" t="str">
        <f t="shared" si="35"/>
        <v xml:space="preserve"> </v>
      </c>
      <c r="J129">
        <f t="shared" si="56"/>
        <v>26</v>
      </c>
      <c r="K129">
        <f t="shared" si="57"/>
        <v>27</v>
      </c>
      <c r="L129">
        <f t="shared" si="58"/>
        <v>23.2</v>
      </c>
      <c r="M129" t="str">
        <f t="shared" si="59"/>
        <v>061:00</v>
      </c>
      <c r="N129" t="str">
        <f t="shared" si="60"/>
        <v>-</v>
      </c>
      <c r="O129" t="str">
        <f t="shared" si="62"/>
        <v>-55:00</v>
      </c>
      <c r="P129" t="str">
        <f t="shared" si="61"/>
        <v/>
      </c>
    </row>
    <row r="130" spans="1:16" x14ac:dyDescent="0.25">
      <c r="A130">
        <f>'Raw Data'!A110</f>
        <v>27</v>
      </c>
      <c r="B130">
        <f>'Raw Data'!B110</f>
        <v>28</v>
      </c>
      <c r="C130">
        <f>'Raw Data'!J110</f>
        <v>25.3</v>
      </c>
      <c r="D130" t="str">
        <f>'Interpreted Data'!G110</f>
        <v>-</v>
      </c>
      <c r="E130" t="str">
        <f>'Interpreted Data'!H110</f>
        <v>015:30</v>
      </c>
      <c r="F130" t="str">
        <f>SUBSTITUTE('Raw Data'!K110," ",":",1)</f>
        <v>-24:30</v>
      </c>
      <c r="G130">
        <f>'Interpreted Data'!N110</f>
        <v>-10.5</v>
      </c>
      <c r="H130" t="str">
        <f>'Interpreted Data'!P110</f>
        <v/>
      </c>
      <c r="I130" t="str">
        <f t="shared" si="35"/>
        <v xml:space="preserve"> </v>
      </c>
      <c r="J130">
        <f t="shared" si="56"/>
        <v>27</v>
      </c>
      <c r="K130">
        <f t="shared" si="57"/>
        <v>28</v>
      </c>
      <c r="L130">
        <f t="shared" si="58"/>
        <v>25.3</v>
      </c>
      <c r="M130" t="str">
        <f t="shared" si="59"/>
        <v>-</v>
      </c>
      <c r="N130" t="str">
        <f t="shared" si="60"/>
        <v>015:30</v>
      </c>
      <c r="O130" t="str">
        <f t="shared" si="62"/>
        <v>-24:30</v>
      </c>
      <c r="P130" t="str">
        <f t="shared" si="61"/>
        <v/>
      </c>
    </row>
    <row r="131" spans="1:16" x14ac:dyDescent="0.25">
      <c r="A131">
        <f>'Raw Data'!A111</f>
        <v>28</v>
      </c>
      <c r="B131">
        <f>'Raw Data'!B111</f>
        <v>29</v>
      </c>
      <c r="C131">
        <f>'Raw Data'!J111</f>
        <v>51</v>
      </c>
      <c r="D131" t="str">
        <f>'Interpreted Data'!G111</f>
        <v>242:00</v>
      </c>
      <c r="E131" t="str">
        <f>'Interpreted Data'!H111</f>
        <v>-</v>
      </c>
      <c r="F131" t="str">
        <f>SUBSTITUTE('Raw Data'!K111," ",":",1)</f>
        <v>-23:30</v>
      </c>
      <c r="G131">
        <f>'Interpreted Data'!N111</f>
        <v>-20.3</v>
      </c>
      <c r="H131" t="str">
        <f>'Interpreted Data'!P111</f>
        <v/>
      </c>
      <c r="I131" t="str">
        <f t="shared" si="35"/>
        <v xml:space="preserve"> </v>
      </c>
      <c r="J131">
        <f t="shared" si="56"/>
        <v>28</v>
      </c>
      <c r="K131">
        <f t="shared" si="57"/>
        <v>29</v>
      </c>
      <c r="L131">
        <f t="shared" si="58"/>
        <v>51</v>
      </c>
      <c r="M131" t="str">
        <f t="shared" si="59"/>
        <v>242:00</v>
      </c>
      <c r="N131" t="str">
        <f t="shared" si="60"/>
        <v>-</v>
      </c>
      <c r="O131" t="str">
        <f t="shared" si="62"/>
        <v>-23:30</v>
      </c>
      <c r="P131" t="str">
        <f t="shared" si="61"/>
        <v/>
      </c>
    </row>
    <row r="132" spans="1:16" x14ac:dyDescent="0.25">
      <c r="A132">
        <f>'Raw Data'!A112</f>
        <v>29</v>
      </c>
      <c r="B132">
        <f>'Raw Data'!B112</f>
        <v>30</v>
      </c>
      <c r="C132">
        <f>'Raw Data'!J112</f>
        <v>13.7</v>
      </c>
      <c r="D132" t="str">
        <f>'Interpreted Data'!G112</f>
        <v>-</v>
      </c>
      <c r="E132" t="str">
        <f>'Interpreted Data'!H112</f>
        <v>340:00</v>
      </c>
      <c r="F132" t="str">
        <f>SUBSTITUTE('Raw Data'!K112," ",":",1)</f>
        <v>-3:00</v>
      </c>
      <c r="G132">
        <f>'Interpreted Data'!N112</f>
        <v>-0.7</v>
      </c>
      <c r="H132" t="str">
        <f>'Interpreted Data'!P112</f>
        <v/>
      </c>
      <c r="I132" t="str">
        <f t="shared" si="35"/>
        <v xml:space="preserve"> </v>
      </c>
      <c r="J132">
        <f t="shared" si="56"/>
        <v>29</v>
      </c>
      <c r="K132">
        <f t="shared" si="57"/>
        <v>30</v>
      </c>
      <c r="L132">
        <f t="shared" si="58"/>
        <v>13.7</v>
      </c>
      <c r="M132" t="str">
        <f t="shared" si="59"/>
        <v>-</v>
      </c>
      <c r="N132" t="str">
        <f t="shared" si="60"/>
        <v>340:00</v>
      </c>
      <c r="O132" t="str">
        <f t="shared" si="62"/>
        <v>-3:00</v>
      </c>
      <c r="P132" t="str">
        <f t="shared" si="61"/>
        <v/>
      </c>
    </row>
    <row r="133" spans="1:16" x14ac:dyDescent="0.25">
      <c r="A133">
        <f>'Raw Data'!A113</f>
        <v>30</v>
      </c>
      <c r="B133">
        <f>'Raw Data'!B113</f>
        <v>31</v>
      </c>
      <c r="C133">
        <f>'Raw Data'!J113</f>
        <v>25.4</v>
      </c>
      <c r="D133" t="str">
        <f>'Interpreted Data'!G113</f>
        <v>239:00</v>
      </c>
      <c r="E133" t="str">
        <f>'Interpreted Data'!H113</f>
        <v>-</v>
      </c>
      <c r="F133" t="str">
        <f>SUBSTITUTE('Raw Data'!K113," ",":",1)</f>
        <v>-19:00</v>
      </c>
      <c r="G133">
        <f>'Interpreted Data'!N113</f>
        <v>-8.3000000000000007</v>
      </c>
      <c r="H133" t="str">
        <f>'Interpreted Data'!P113</f>
        <v/>
      </c>
      <c r="I133" t="str">
        <f t="shared" si="35"/>
        <v xml:space="preserve"> </v>
      </c>
      <c r="J133">
        <f t="shared" si="56"/>
        <v>30</v>
      </c>
      <c r="K133">
        <f t="shared" si="57"/>
        <v>31</v>
      </c>
      <c r="L133">
        <f t="shared" si="58"/>
        <v>25.4</v>
      </c>
      <c r="M133" t="str">
        <f t="shared" si="59"/>
        <v>239:00</v>
      </c>
      <c r="N133" t="str">
        <f t="shared" si="60"/>
        <v>-</v>
      </c>
      <c r="O133" t="str">
        <f t="shared" si="62"/>
        <v>-19:00</v>
      </c>
      <c r="P133" t="str">
        <f t="shared" si="61"/>
        <v/>
      </c>
    </row>
    <row r="134" spans="1:16" x14ac:dyDescent="0.25">
      <c r="J134" t="str">
        <f>$J$2</f>
        <v>data diving from to tape compass backcompass depthchange ignoreall</v>
      </c>
    </row>
    <row r="135" spans="1:16" x14ac:dyDescent="0.25">
      <c r="A135">
        <f>'Raw Data'!A114</f>
        <v>31</v>
      </c>
      <c r="B135">
        <f>'Raw Data'!B114</f>
        <v>32</v>
      </c>
      <c r="C135">
        <f>'Raw Data'!J114</f>
        <v>11.2</v>
      </c>
      <c r="D135" t="str">
        <f>'Interpreted Data'!G114</f>
        <v>-</v>
      </c>
      <c r="E135" t="str">
        <f>'Interpreted Data'!H114</f>
        <v>106:00</v>
      </c>
      <c r="F135" t="str">
        <f>SUBSTITUTE('Raw Data'!K114," ",":",1)</f>
        <v>fall:1 foot</v>
      </c>
      <c r="G135">
        <f>'Interpreted Data'!N114</f>
        <v>-1</v>
      </c>
      <c r="H135" t="str">
        <f>'Interpreted Data'!P114</f>
        <v/>
      </c>
      <c r="I135" t="str">
        <f t="shared" ref="I135:I201" si="63">" "</f>
        <v xml:space="preserve"> </v>
      </c>
      <c r="J135">
        <f>A135</f>
        <v>31</v>
      </c>
      <c r="K135">
        <f>B135</f>
        <v>32</v>
      </c>
      <c r="L135">
        <f>C135</f>
        <v>11.2</v>
      </c>
      <c r="M135" t="str">
        <f>D135</f>
        <v>-</v>
      </c>
      <c r="N135" t="str">
        <f>E135</f>
        <v>106:00</v>
      </c>
      <c r="O135">
        <f>G135</f>
        <v>-1</v>
      </c>
      <c r="P135" t="str">
        <f>H135</f>
        <v/>
      </c>
    </row>
    <row r="136" spans="1:16" x14ac:dyDescent="0.25">
      <c r="J136" t="str">
        <f>$J$1</f>
        <v>data normal from to tape compass backcompass clino ignoreall</v>
      </c>
    </row>
    <row r="137" spans="1:16" x14ac:dyDescent="0.25">
      <c r="A137">
        <f>'Raw Data'!A115</f>
        <v>32</v>
      </c>
      <c r="B137">
        <f>'Raw Data'!B115</f>
        <v>33</v>
      </c>
      <c r="C137">
        <f>'Raw Data'!J115</f>
        <v>14.1</v>
      </c>
      <c r="D137" t="str">
        <f>'Interpreted Data'!G115</f>
        <v>182:00</v>
      </c>
      <c r="E137" t="str">
        <f>'Interpreted Data'!H115</f>
        <v>-</v>
      </c>
      <c r="F137" t="str">
        <f>SUBSTITUTE('Raw Data'!K115," ",":",1)</f>
        <v>-9:00</v>
      </c>
      <c r="G137">
        <f>'Interpreted Data'!N115</f>
        <v>-2.2000000000000002</v>
      </c>
      <c r="H137" t="str">
        <f>'Interpreted Data'!P115</f>
        <v/>
      </c>
      <c r="I137" t="str">
        <f t="shared" si="63"/>
        <v xml:space="preserve"> </v>
      </c>
      <c r="J137">
        <f>A137</f>
        <v>32</v>
      </c>
      <c r="K137">
        <f>B137</f>
        <v>33</v>
      </c>
      <c r="L137">
        <f>C137</f>
        <v>14.1</v>
      </c>
      <c r="M137" t="str">
        <f>D137</f>
        <v>182:00</v>
      </c>
      <c r="N137" t="str">
        <f>E137</f>
        <v>-</v>
      </c>
      <c r="O137" t="str">
        <f t="shared" si="62"/>
        <v>-9:00</v>
      </c>
      <c r="P137" t="str">
        <f>H137</f>
        <v/>
      </c>
    </row>
    <row r="138" spans="1:16" x14ac:dyDescent="0.25">
      <c r="J138" t="str">
        <f>$J$2</f>
        <v>data diving from to tape compass backcompass depthchange ignoreall</v>
      </c>
    </row>
    <row r="139" spans="1:16" x14ac:dyDescent="0.25">
      <c r="A139">
        <f>'Raw Data'!A116</f>
        <v>33</v>
      </c>
      <c r="B139">
        <f>'Raw Data'!B116</f>
        <v>34</v>
      </c>
      <c r="C139">
        <f>'Raw Data'!J116</f>
        <v>17</v>
      </c>
      <c r="D139" t="str">
        <f>'Interpreted Data'!G116</f>
        <v>-</v>
      </c>
      <c r="E139" t="str">
        <f>'Interpreted Data'!H116</f>
        <v>339:00</v>
      </c>
      <c r="F139" t="str">
        <f>SUBSTITUTE('Raw Data'!K116," ",":",1)</f>
        <v>rise:1 foot</v>
      </c>
      <c r="G139">
        <f>'Interpreted Data'!N116</f>
        <v>1</v>
      </c>
      <c r="H139" t="str">
        <f>'Interpreted Data'!P116</f>
        <v/>
      </c>
      <c r="I139" t="str">
        <f t="shared" si="63"/>
        <v xml:space="preserve"> </v>
      </c>
      <c r="J139">
        <f>A139</f>
        <v>33</v>
      </c>
      <c r="K139">
        <f>B139</f>
        <v>34</v>
      </c>
      <c r="L139">
        <f>C139</f>
        <v>17</v>
      </c>
      <c r="M139" t="str">
        <f>D139</f>
        <v>-</v>
      </c>
      <c r="N139" t="str">
        <f>E139</f>
        <v>339:00</v>
      </c>
      <c r="O139">
        <f>G139</f>
        <v>1</v>
      </c>
      <c r="P139" t="str">
        <f>H139</f>
        <v/>
      </c>
    </row>
    <row r="140" spans="1:16" x14ac:dyDescent="0.25">
      <c r="J140" t="str">
        <f>$J$1</f>
        <v>data normal from to tape compass backcompass clino ignoreall</v>
      </c>
    </row>
    <row r="141" spans="1:16" x14ac:dyDescent="0.25">
      <c r="A141">
        <f>'Raw Data'!A117</f>
        <v>34</v>
      </c>
      <c r="B141">
        <f>'Raw Data'!B117</f>
        <v>35</v>
      </c>
      <c r="C141">
        <f>'Raw Data'!J117</f>
        <v>13.9</v>
      </c>
      <c r="D141" t="str">
        <f>'Interpreted Data'!G117</f>
        <v>-</v>
      </c>
      <c r="E141" t="str">
        <f>'Interpreted Data'!H117</f>
        <v>341:00</v>
      </c>
      <c r="F141" t="str">
        <f>SUBSTITUTE('Raw Data'!K117," ",":",1)</f>
        <v>-12:30</v>
      </c>
      <c r="G141">
        <f>'Interpreted Data'!N117</f>
        <v>-3</v>
      </c>
      <c r="H141" t="str">
        <f>'Interpreted Data'!P117</f>
        <v>35 = A on p.25 = Big rock by D on p.46 (Top of)</v>
      </c>
      <c r="I141" t="str">
        <f t="shared" si="63"/>
        <v xml:space="preserve"> </v>
      </c>
      <c r="J141">
        <f>A141</f>
        <v>34</v>
      </c>
      <c r="K141">
        <f>B141</f>
        <v>35</v>
      </c>
      <c r="L141">
        <f>C141</f>
        <v>13.9</v>
      </c>
      <c r="M141" t="str">
        <f>D141</f>
        <v>-</v>
      </c>
      <c r="N141" t="str">
        <f>E141</f>
        <v>341:00</v>
      </c>
      <c r="O141" t="str">
        <f t="shared" si="62"/>
        <v>-12:30</v>
      </c>
      <c r="P141" t="str">
        <f>H141</f>
        <v>35 = A on p.25 = Big rock by D on p.46 (Top of)</v>
      </c>
    </row>
    <row r="142" spans="1:16" x14ac:dyDescent="0.25">
      <c r="A142">
        <f>'Raw Data'!A118</f>
        <v>35</v>
      </c>
      <c r="B142">
        <f>'Raw Data'!B118</f>
        <v>0</v>
      </c>
      <c r="C142">
        <f>'Raw Data'!J118</f>
        <v>0</v>
      </c>
      <c r="D142" t="str">
        <f>'Interpreted Data'!G118</f>
        <v/>
      </c>
      <c r="E142" t="str">
        <f>'Interpreted Data'!H118</f>
        <v/>
      </c>
      <c r="F142" t="str">
        <f>SUBSTITUTE('Raw Data'!K118," ",":",1)</f>
        <v/>
      </c>
      <c r="G142" t="str">
        <f>'Interpreted Data'!N118</f>
        <v/>
      </c>
      <c r="H142" t="str">
        <f>'Interpreted Data'!P118</f>
        <v>Total = 2,642'</v>
      </c>
      <c r="I142" t="str">
        <f t="shared" si="63"/>
        <v xml:space="preserve"> </v>
      </c>
      <c r="J142" t="s">
        <v>77</v>
      </c>
      <c r="K142">
        <f>A142</f>
        <v>35</v>
      </c>
      <c r="M142" t="str">
        <f t="shared" ref="M142:N144" si="64">D142</f>
        <v/>
      </c>
      <c r="N142" t="str">
        <f t="shared" si="64"/>
        <v/>
      </c>
      <c r="O142" t="str">
        <f t="shared" si="62"/>
        <v/>
      </c>
      <c r="P142" t="str">
        <f>H142</f>
        <v>Total = 2,642'</v>
      </c>
    </row>
    <row r="143" spans="1:16" x14ac:dyDescent="0.25">
      <c r="A143">
        <f>'Raw Data'!A119</f>
        <v>35</v>
      </c>
      <c r="B143" t="str">
        <f>'Raw Data'!B119</f>
        <v>e</v>
      </c>
      <c r="C143">
        <f>'Raw Data'!J119</f>
        <v>18</v>
      </c>
      <c r="D143" t="str">
        <f>'Interpreted Data'!G119</f>
        <v>234</v>
      </c>
      <c r="E143" t="str">
        <f>'Interpreted Data'!H119</f>
        <v>-</v>
      </c>
      <c r="F143" t="str">
        <f>SUBSTITUTE('Raw Data'!K119," ",":",1)</f>
        <v>45</v>
      </c>
      <c r="G143">
        <f>'Interpreted Data'!N119</f>
        <v>12.7</v>
      </c>
      <c r="H143" t="str">
        <f>'Interpreted Data'!P119</f>
        <v>(e) is where passage rejoins streamway. Stn 35 (p.52)-(e) is F.S. 234 (TRUE), Dist 18', Clino +45 (deg), HD 12.7, VD +12.7</v>
      </c>
      <c r="I143" t="str">
        <f t="shared" si="63"/>
        <v xml:space="preserve"> </v>
      </c>
      <c r="J143">
        <f>A143</f>
        <v>35</v>
      </c>
      <c r="K143" t="str">
        <f>CONCATENATE(B143,"2")</f>
        <v>e2</v>
      </c>
      <c r="L143">
        <f>C143</f>
        <v>18</v>
      </c>
      <c r="M143" t="str">
        <f t="shared" si="64"/>
        <v>234</v>
      </c>
      <c r="N143" t="str">
        <f t="shared" si="64"/>
        <v>-</v>
      </c>
      <c r="O143" t="str">
        <f t="shared" si="62"/>
        <v>45</v>
      </c>
      <c r="P143" t="str">
        <f>H143</f>
        <v>(e) is where passage rejoins streamway. Stn 35 (p.52)-(e) is F.S. 234 (TRUE), Dist 18', Clino +45 (deg), HD 12.7, VD +12.7</v>
      </c>
    </row>
    <row r="144" spans="1:16" x14ac:dyDescent="0.25">
      <c r="A144">
        <f>'Raw Data'!A120</f>
        <v>35</v>
      </c>
      <c r="B144" t="str">
        <f>'Raw Data'!B120</f>
        <v>D</v>
      </c>
      <c r="C144">
        <f>'Raw Data'!J120</f>
        <v>10</v>
      </c>
      <c r="D144" t="str">
        <f>'Interpreted Data'!G120</f>
        <v>350</v>
      </c>
      <c r="E144" t="str">
        <f>'Interpreted Data'!H120</f>
        <v>-</v>
      </c>
      <c r="F144" t="str">
        <f>SUBSTITUTE('Raw Data'!K120," ",":",1)</f>
        <v>0</v>
      </c>
      <c r="G144">
        <f>'Interpreted Data'!N120</f>
        <v>0</v>
      </c>
      <c r="H144" t="str">
        <f>'Interpreted Data'!P120</f>
        <v>D is in stream. Big rock (start of New Series survey) 10' away at 350 (deg). Big passage starts as continuation of Howards Dig.</v>
      </c>
      <c r="I144" t="str">
        <f t="shared" si="63"/>
        <v xml:space="preserve"> </v>
      </c>
      <c r="J144">
        <f>A144</f>
        <v>35</v>
      </c>
      <c r="K144" t="str">
        <f>B144</f>
        <v>D</v>
      </c>
      <c r="L144">
        <f>C144</f>
        <v>10</v>
      </c>
      <c r="M144" t="str">
        <f t="shared" si="64"/>
        <v>350</v>
      </c>
      <c r="N144" t="str">
        <f t="shared" si="64"/>
        <v>-</v>
      </c>
      <c r="O144" t="str">
        <f t="shared" ref="O144" si="65">IF(AND(D144="-",E144="-"),IF(1*SUBSTITUTE(F144,":",".")=-90,"DOWN",IF(1*SUBSTITUTE(F144,":",".")=90,"UP","no compass")),F144)</f>
        <v>0</v>
      </c>
      <c r="P144" t="str">
        <f>H144</f>
        <v>D is in stream. Big rock (start of New Series survey) 10' away at 350 (deg). Big passage starts as continuation of Howards Dig.</v>
      </c>
    </row>
    <row r="145" spans="1:16" x14ac:dyDescent="0.25">
      <c r="A145">
        <f>'Raw Data'!A121</f>
        <v>0</v>
      </c>
      <c r="B145">
        <f>'Raw Data'!B121</f>
        <v>0</v>
      </c>
      <c r="C145">
        <f>'Raw Data'!J121</f>
        <v>0</v>
      </c>
      <c r="D145" t="str">
        <f>'Interpreted Data'!G121</f>
        <v/>
      </c>
      <c r="E145" t="str">
        <f>'Interpreted Data'!H121</f>
        <v/>
      </c>
      <c r="F145" t="str">
        <f>SUBSTITUTE('Raw Data'!K121," ",":",1)</f>
        <v/>
      </c>
      <c r="G145">
        <f>'Interpreted Data'!N121</f>
        <v>0</v>
      </c>
      <c r="H145">
        <f>'Interpreted Data'!P121</f>
        <v>0</v>
      </c>
      <c r="I145" t="str">
        <f t="shared" si="63"/>
        <v xml:space="preserve"> </v>
      </c>
      <c r="J145">
        <f t="shared" ref="J145:J147" si="66">A145</f>
        <v>0</v>
      </c>
      <c r="K145">
        <f t="shared" ref="K145:K147" si="67">B145</f>
        <v>0</v>
      </c>
      <c r="L145">
        <f t="shared" ref="L145:L147" si="68">C145</f>
        <v>0</v>
      </c>
      <c r="M145" t="str">
        <f t="shared" ref="M145:M147" si="69">D145</f>
        <v/>
      </c>
      <c r="N145" t="str">
        <f t="shared" ref="N145:N147" si="70">E145</f>
        <v/>
      </c>
      <c r="O145" t="str">
        <f t="shared" ref="O145:O147" si="71">IF(AND(D145="-",E145="-"),IF(1*SUBSTITUTE(F145,":",".")=-90,"DOWN",IF(1*SUBSTITUTE(F145,":",".")=90,"UP","no compass")),F145)</f>
        <v/>
      </c>
      <c r="P145">
        <f t="shared" ref="P145:P147" si="72">H145</f>
        <v>0</v>
      </c>
    </row>
    <row r="146" spans="1:16" x14ac:dyDescent="0.25">
      <c r="A146" t="str">
        <f>'Raw Data'!A122</f>
        <v>p. 53-56</v>
      </c>
      <c r="B146" t="str">
        <f>'Raw Data'!B122</f>
        <v>(=PDF p.57-60)</v>
      </c>
      <c r="C146">
        <f>'Raw Data'!J122</f>
        <v>0</v>
      </c>
      <c r="D146" t="str">
        <f>'Interpreted Data'!G122</f>
        <v/>
      </c>
      <c r="E146" t="str">
        <f>'Interpreted Data'!H122</f>
        <v/>
      </c>
      <c r="F146" t="str">
        <f>SUBSTITUTE('Raw Data'!K122," ",":",1)</f>
        <v/>
      </c>
      <c r="G146">
        <f>'Interpreted Data'!N122</f>
        <v>0</v>
      </c>
      <c r="H146">
        <f>'Interpreted Data'!P122</f>
        <v>0</v>
      </c>
      <c r="I146" t="str">
        <f t="shared" si="63"/>
        <v xml:space="preserve"> </v>
      </c>
      <c r="J146" t="str">
        <f t="shared" si="66"/>
        <v>p. 53-56</v>
      </c>
      <c r="K146" t="str">
        <f t="shared" si="67"/>
        <v>(=PDF p.57-60)</v>
      </c>
      <c r="L146">
        <f t="shared" si="68"/>
        <v>0</v>
      </c>
      <c r="M146" t="str">
        <f t="shared" si="69"/>
        <v/>
      </c>
      <c r="N146" t="str">
        <f t="shared" si="70"/>
        <v/>
      </c>
      <c r="O146" t="str">
        <f t="shared" si="71"/>
        <v/>
      </c>
      <c r="P146">
        <f t="shared" si="72"/>
        <v>0</v>
      </c>
    </row>
    <row r="147" spans="1:16" x14ac:dyDescent="0.25">
      <c r="A147">
        <f>'Raw Data'!A123</f>
        <v>27</v>
      </c>
      <c r="B147">
        <f>'Raw Data'!B123</f>
        <v>36</v>
      </c>
      <c r="C147">
        <f>'Raw Data'!J123</f>
        <v>6</v>
      </c>
      <c r="D147" t="str">
        <f>'Interpreted Data'!G123</f>
        <v>-</v>
      </c>
      <c r="E147" t="str">
        <f>'Interpreted Data'!H123</f>
        <v>-</v>
      </c>
      <c r="F147" t="str">
        <f>SUBSTITUTE('Raw Data'!K123," ",":",1)</f>
        <v>90:00</v>
      </c>
      <c r="G147">
        <f>'Interpreted Data'!N123</f>
        <v>6</v>
      </c>
      <c r="H147" t="str">
        <f>'Interpreted Data'!P123</f>
        <v>27 = 27 of p.52</v>
      </c>
      <c r="I147" t="str">
        <f t="shared" si="63"/>
        <v xml:space="preserve"> </v>
      </c>
      <c r="J147">
        <f t="shared" si="66"/>
        <v>27</v>
      </c>
      <c r="K147">
        <f t="shared" si="67"/>
        <v>36</v>
      </c>
      <c r="L147">
        <f t="shared" si="68"/>
        <v>6</v>
      </c>
      <c r="M147" t="str">
        <f t="shared" si="69"/>
        <v>-</v>
      </c>
      <c r="N147" t="str">
        <f t="shared" si="70"/>
        <v>-</v>
      </c>
      <c r="O147" t="str">
        <f t="shared" si="71"/>
        <v>UP</v>
      </c>
      <c r="P147" t="str">
        <f t="shared" si="72"/>
        <v>27 = 27 of p.52</v>
      </c>
    </row>
    <row r="148" spans="1:16" x14ac:dyDescent="0.25">
      <c r="A148">
        <f>'Raw Data'!A124</f>
        <v>36</v>
      </c>
      <c r="B148">
        <f>'Raw Data'!B124</f>
        <v>37</v>
      </c>
      <c r="C148">
        <f>'Raw Data'!J124</f>
        <v>29.4</v>
      </c>
      <c r="D148" t="str">
        <f>'Interpreted Data'!G124</f>
        <v>-</v>
      </c>
      <c r="E148" t="str">
        <f>'Interpreted Data'!H124</f>
        <v>158:00</v>
      </c>
      <c r="F148" t="str">
        <f>SUBSTITUTE('Raw Data'!K124," ",":",1)</f>
        <v>12:30</v>
      </c>
      <c r="G148">
        <f>'Interpreted Data'!N124</f>
        <v>6.4</v>
      </c>
      <c r="H148" t="str">
        <f>'Interpreted Data'!P124</f>
        <v/>
      </c>
      <c r="I148" t="str">
        <f t="shared" si="63"/>
        <v xml:space="preserve"> </v>
      </c>
      <c r="J148">
        <f t="shared" ref="J148:J154" si="73">A148</f>
        <v>36</v>
      </c>
      <c r="K148">
        <f t="shared" ref="K148:K154" si="74">B148</f>
        <v>37</v>
      </c>
      <c r="L148">
        <f t="shared" ref="L148:L154" si="75">C148</f>
        <v>29.4</v>
      </c>
      <c r="M148" t="str">
        <f t="shared" ref="M148:M154" si="76">D148</f>
        <v>-</v>
      </c>
      <c r="N148" t="str">
        <f t="shared" ref="N148:N154" si="77">E148</f>
        <v>158:00</v>
      </c>
      <c r="O148" t="str">
        <f t="shared" ref="O148:O154" si="78">IF(AND(D148="-",E148="-"),IF(1*SUBSTITUTE(F148,":",".")=-90,"DOWN",IF(1*SUBSTITUTE(F148,":",".")=90,"UP","no compass")),F148)</f>
        <v>12:30</v>
      </c>
      <c r="P148" t="str">
        <f t="shared" ref="P148:P154" si="79">H148</f>
        <v/>
      </c>
    </row>
    <row r="149" spans="1:16" x14ac:dyDescent="0.25">
      <c r="A149">
        <f>'Raw Data'!A125</f>
        <v>37</v>
      </c>
      <c r="B149">
        <f>'Raw Data'!B125</f>
        <v>38</v>
      </c>
      <c r="C149">
        <f>'Raw Data'!J125</f>
        <v>12.1</v>
      </c>
      <c r="D149" t="str">
        <f>'Interpreted Data'!G125</f>
        <v>011:00</v>
      </c>
      <c r="E149" t="str">
        <f>'Interpreted Data'!H125</f>
        <v>-</v>
      </c>
      <c r="F149" t="str">
        <f>SUBSTITUTE('Raw Data'!K125," ",":",1)</f>
        <v>-38:00</v>
      </c>
      <c r="G149">
        <f>'Interpreted Data'!N125</f>
        <v>-7.4</v>
      </c>
      <c r="H149" t="str">
        <f>'Interpreted Data'!P125</f>
        <v>(sketch of 36-54)</v>
      </c>
      <c r="I149" t="str">
        <f t="shared" si="63"/>
        <v xml:space="preserve"> </v>
      </c>
      <c r="J149">
        <f t="shared" si="73"/>
        <v>37</v>
      </c>
      <c r="K149">
        <f t="shared" si="74"/>
        <v>38</v>
      </c>
      <c r="L149">
        <f t="shared" si="75"/>
        <v>12.1</v>
      </c>
      <c r="M149" t="str">
        <f t="shared" si="76"/>
        <v>011:00</v>
      </c>
      <c r="N149" t="str">
        <f t="shared" si="77"/>
        <v>-</v>
      </c>
      <c r="O149" t="str">
        <f t="shared" si="78"/>
        <v>-38:00</v>
      </c>
      <c r="P149" t="str">
        <f t="shared" si="79"/>
        <v>(sketch of 36-54)</v>
      </c>
    </row>
    <row r="150" spans="1:16" x14ac:dyDescent="0.25">
      <c r="A150">
        <f>'Raw Data'!A126</f>
        <v>38</v>
      </c>
      <c r="B150">
        <f>'Raw Data'!B126</f>
        <v>39</v>
      </c>
      <c r="C150">
        <f>'Raw Data'!J126</f>
        <v>30.2</v>
      </c>
      <c r="D150" t="str">
        <f>'Interpreted Data'!G126</f>
        <v>-</v>
      </c>
      <c r="E150" t="str">
        <f>'Interpreted Data'!H126</f>
        <v>282:00</v>
      </c>
      <c r="F150" t="str">
        <f>SUBSTITUTE('Raw Data'!K126," ",":",1)</f>
        <v>16:30</v>
      </c>
      <c r="G150">
        <f>'Interpreted Data'!N126</f>
        <v>8.6</v>
      </c>
      <c r="H150" t="str">
        <f>'Interpreted Data'!P126</f>
        <v/>
      </c>
      <c r="I150" t="str">
        <f t="shared" si="63"/>
        <v xml:space="preserve"> </v>
      </c>
      <c r="J150">
        <f t="shared" si="73"/>
        <v>38</v>
      </c>
      <c r="K150">
        <f t="shared" si="74"/>
        <v>39</v>
      </c>
      <c r="L150">
        <f t="shared" si="75"/>
        <v>30.2</v>
      </c>
      <c r="M150" t="str">
        <f t="shared" si="76"/>
        <v>-</v>
      </c>
      <c r="N150" t="str">
        <f t="shared" si="77"/>
        <v>282:00</v>
      </c>
      <c r="O150" t="str">
        <f t="shared" si="78"/>
        <v>16:30</v>
      </c>
      <c r="P150" t="str">
        <f t="shared" si="79"/>
        <v/>
      </c>
    </row>
    <row r="151" spans="1:16" x14ac:dyDescent="0.25">
      <c r="A151">
        <f>'Raw Data'!A127</f>
        <v>39</v>
      </c>
      <c r="B151">
        <f>'Raw Data'!B127</f>
        <v>40</v>
      </c>
      <c r="C151">
        <f>'Raw Data'!J127</f>
        <v>15</v>
      </c>
      <c r="D151" t="str">
        <f>'Interpreted Data'!G127</f>
        <v>063:30</v>
      </c>
      <c r="E151" t="str">
        <f>'Interpreted Data'!H127</f>
        <v>-</v>
      </c>
      <c r="F151" t="str">
        <f>SUBSTITUTE('Raw Data'!K127," ",":",1)</f>
        <v>27:00</v>
      </c>
      <c r="G151">
        <f>'Interpreted Data'!N127</f>
        <v>6.8</v>
      </c>
      <c r="H151" t="str">
        <f>'Interpreted Data'!P127</f>
        <v/>
      </c>
      <c r="I151" t="str">
        <f t="shared" si="63"/>
        <v xml:space="preserve"> </v>
      </c>
      <c r="J151">
        <f t="shared" si="73"/>
        <v>39</v>
      </c>
      <c r="K151">
        <f t="shared" si="74"/>
        <v>40</v>
      </c>
      <c r="L151">
        <f t="shared" si="75"/>
        <v>15</v>
      </c>
      <c r="M151" t="str">
        <f t="shared" si="76"/>
        <v>063:30</v>
      </c>
      <c r="N151" t="str">
        <f t="shared" si="77"/>
        <v>-</v>
      </c>
      <c r="O151" t="str">
        <f t="shared" si="78"/>
        <v>27:00</v>
      </c>
      <c r="P151" t="str">
        <f t="shared" si="79"/>
        <v/>
      </c>
    </row>
    <row r="152" spans="1:16" x14ac:dyDescent="0.25">
      <c r="A152">
        <f>'Raw Data'!A128</f>
        <v>40</v>
      </c>
      <c r="B152">
        <f>'Raw Data'!B128</f>
        <v>41</v>
      </c>
      <c r="C152">
        <f>'Raw Data'!J128</f>
        <v>24.4</v>
      </c>
      <c r="D152" t="str">
        <f>'Interpreted Data'!G128</f>
        <v>-</v>
      </c>
      <c r="E152" t="str">
        <f>'Interpreted Data'!H128</f>
        <v>284:00</v>
      </c>
      <c r="F152" t="str">
        <f>SUBSTITUTE('Raw Data'!K128," ",":",1)</f>
        <v>13:30</v>
      </c>
      <c r="G152">
        <f>'Interpreted Data'!N128</f>
        <v>5.7</v>
      </c>
      <c r="H152" t="str">
        <f>'Interpreted Data'!P128</f>
        <v/>
      </c>
      <c r="I152" t="str">
        <f t="shared" si="63"/>
        <v xml:space="preserve"> </v>
      </c>
      <c r="J152">
        <f t="shared" si="73"/>
        <v>40</v>
      </c>
      <c r="K152">
        <f t="shared" si="74"/>
        <v>41</v>
      </c>
      <c r="L152">
        <f t="shared" si="75"/>
        <v>24.4</v>
      </c>
      <c r="M152" t="str">
        <f t="shared" si="76"/>
        <v>-</v>
      </c>
      <c r="N152" t="str">
        <f t="shared" si="77"/>
        <v>284:00</v>
      </c>
      <c r="O152" t="str">
        <f t="shared" si="78"/>
        <v>13:30</v>
      </c>
      <c r="P152" t="str">
        <f t="shared" si="79"/>
        <v/>
      </c>
    </row>
    <row r="153" spans="1:16" x14ac:dyDescent="0.25">
      <c r="A153">
        <f>'Raw Data'!A129</f>
        <v>41</v>
      </c>
      <c r="B153">
        <f>'Raw Data'!B129</f>
        <v>42</v>
      </c>
      <c r="C153">
        <f>'Raw Data'!J129</f>
        <v>19.5</v>
      </c>
      <c r="D153" t="str">
        <f>'Interpreted Data'!G129</f>
        <v>083:00</v>
      </c>
      <c r="E153" t="str">
        <f>'Interpreted Data'!H129</f>
        <v>-</v>
      </c>
      <c r="F153" t="str">
        <f>SUBSTITUTE('Raw Data'!K129," ",":",1)</f>
        <v>10:30</v>
      </c>
      <c r="G153">
        <f>'Interpreted Data'!N129</f>
        <v>3.5</v>
      </c>
      <c r="H153" t="str">
        <f>'Interpreted Data'!P129</f>
        <v/>
      </c>
      <c r="I153" t="str">
        <f t="shared" si="63"/>
        <v xml:space="preserve"> </v>
      </c>
      <c r="J153">
        <f t="shared" si="73"/>
        <v>41</v>
      </c>
      <c r="K153">
        <f t="shared" si="74"/>
        <v>42</v>
      </c>
      <c r="L153">
        <f t="shared" si="75"/>
        <v>19.5</v>
      </c>
      <c r="M153" t="str">
        <f t="shared" si="76"/>
        <v>083:00</v>
      </c>
      <c r="N153" t="str">
        <f t="shared" si="77"/>
        <v>-</v>
      </c>
      <c r="O153" t="str">
        <f t="shared" si="78"/>
        <v>10:30</v>
      </c>
      <c r="P153" t="str">
        <f t="shared" si="79"/>
        <v/>
      </c>
    </row>
    <row r="154" spans="1:16" x14ac:dyDescent="0.25">
      <c r="A154">
        <f>'Raw Data'!A130</f>
        <v>42</v>
      </c>
      <c r="B154">
        <f>'Raw Data'!B130</f>
        <v>43</v>
      </c>
      <c r="C154">
        <f>'Raw Data'!J130</f>
        <v>14.8</v>
      </c>
      <c r="D154" t="str">
        <f>'Interpreted Data'!G130</f>
        <v>-</v>
      </c>
      <c r="E154" t="str">
        <f>'Interpreted Data'!H130</f>
        <v>296:30</v>
      </c>
      <c r="F154" t="str">
        <f>SUBSTITUTE('Raw Data'!K130," ",":",1)</f>
        <v>14:30</v>
      </c>
      <c r="G154">
        <f>'Interpreted Data'!N130</f>
        <v>3.7</v>
      </c>
      <c r="H154" t="str">
        <f>'Interpreted Data'!P130</f>
        <v/>
      </c>
      <c r="I154" t="str">
        <f t="shared" si="63"/>
        <v xml:space="preserve"> </v>
      </c>
      <c r="J154">
        <f t="shared" si="73"/>
        <v>42</v>
      </c>
      <c r="K154">
        <f t="shared" si="74"/>
        <v>43</v>
      </c>
      <c r="L154">
        <f t="shared" si="75"/>
        <v>14.8</v>
      </c>
      <c r="M154" t="str">
        <f t="shared" si="76"/>
        <v>-</v>
      </c>
      <c r="N154" t="str">
        <f t="shared" si="77"/>
        <v>296:30</v>
      </c>
      <c r="O154" t="str">
        <f t="shared" si="78"/>
        <v>14:30</v>
      </c>
      <c r="P154" t="str">
        <f t="shared" si="79"/>
        <v/>
      </c>
    </row>
    <row r="155" spans="1:16" x14ac:dyDescent="0.25">
      <c r="A155">
        <f>'Raw Data'!A131</f>
        <v>43</v>
      </c>
      <c r="B155">
        <f>'Raw Data'!B131</f>
        <v>44</v>
      </c>
      <c r="C155">
        <f>'Raw Data'!J131</f>
        <v>49.3</v>
      </c>
      <c r="D155" t="str">
        <f>'Interpreted Data'!G131</f>
        <v>074:30</v>
      </c>
      <c r="E155" t="str">
        <f>'Interpreted Data'!H131</f>
        <v>-</v>
      </c>
      <c r="F155" t="str">
        <f>SUBSTITUTE('Raw Data'!K131," ",":",1)</f>
        <v>23:00</v>
      </c>
      <c r="G155">
        <f>'Interpreted Data'!N131</f>
        <v>19.2</v>
      </c>
      <c r="H155" t="str">
        <f>'Interpreted Data'!P131</f>
        <v/>
      </c>
      <c r="I155" t="str">
        <f t="shared" si="63"/>
        <v xml:space="preserve"> </v>
      </c>
      <c r="J155">
        <f t="shared" ref="J155:J190" si="80">A155</f>
        <v>43</v>
      </c>
      <c r="K155">
        <f t="shared" ref="K155:K190" si="81">B155</f>
        <v>44</v>
      </c>
      <c r="L155">
        <f t="shared" ref="L155:L190" si="82">C155</f>
        <v>49.3</v>
      </c>
      <c r="M155" t="str">
        <f t="shared" ref="M155:M190" si="83">D155</f>
        <v>074:30</v>
      </c>
      <c r="N155" t="str">
        <f t="shared" ref="N155:N190" si="84">E155</f>
        <v>-</v>
      </c>
      <c r="O155" t="str">
        <f t="shared" ref="O155:O190" si="85">IF(AND(D155="-",E155="-"),IF(1*SUBSTITUTE(F155,":",".")=-90,"DOWN",IF(1*SUBSTITUTE(F155,":",".")=90,"UP","no compass")),F155)</f>
        <v>23:00</v>
      </c>
      <c r="P155" t="str">
        <f t="shared" ref="P155:P190" si="86">H155</f>
        <v/>
      </c>
    </row>
    <row r="156" spans="1:16" x14ac:dyDescent="0.25">
      <c r="A156">
        <f>'Raw Data'!A132</f>
        <v>44</v>
      </c>
      <c r="B156">
        <f>'Raw Data'!B132</f>
        <v>45</v>
      </c>
      <c r="C156">
        <f>'Raw Data'!J132</f>
        <v>7.3</v>
      </c>
      <c r="D156" t="str">
        <f>'Interpreted Data'!G132</f>
        <v>-</v>
      </c>
      <c r="E156" t="str">
        <f>'Interpreted Data'!H132</f>
        <v>337:00</v>
      </c>
      <c r="F156" t="str">
        <f>SUBSTITUTE('Raw Data'!K132," ",":",1)</f>
        <v>5:00</v>
      </c>
      <c r="G156">
        <f>'Interpreted Data'!N132</f>
        <v>0.8</v>
      </c>
      <c r="H156" t="str">
        <f>'Interpreted Data'!P132</f>
        <v/>
      </c>
      <c r="I156" t="str">
        <f t="shared" si="63"/>
        <v xml:space="preserve"> </v>
      </c>
      <c r="J156">
        <f t="shared" si="80"/>
        <v>44</v>
      </c>
      <c r="K156">
        <f t="shared" si="81"/>
        <v>45</v>
      </c>
      <c r="L156">
        <f t="shared" si="82"/>
        <v>7.3</v>
      </c>
      <c r="M156" t="str">
        <f t="shared" si="83"/>
        <v>-</v>
      </c>
      <c r="N156" t="str">
        <f t="shared" si="84"/>
        <v>337:00</v>
      </c>
      <c r="O156" t="str">
        <f t="shared" si="85"/>
        <v>5:00</v>
      </c>
      <c r="P156" t="str">
        <f t="shared" si="86"/>
        <v/>
      </c>
    </row>
    <row r="157" spans="1:16" x14ac:dyDescent="0.25">
      <c r="A157">
        <f>'Raw Data'!A133</f>
        <v>45</v>
      </c>
      <c r="B157">
        <f>'Raw Data'!B133</f>
        <v>46</v>
      </c>
      <c r="C157">
        <f>'Raw Data'!J133</f>
        <v>16.2</v>
      </c>
      <c r="D157" t="str">
        <f>'Interpreted Data'!G133</f>
        <v>117:00</v>
      </c>
      <c r="E157" t="str">
        <f>'Interpreted Data'!H133</f>
        <v>-</v>
      </c>
      <c r="F157" t="str">
        <f>SUBSTITUTE('Raw Data'!K133," ",":",1)</f>
        <v>-31:00</v>
      </c>
      <c r="G157">
        <f>'Interpreted Data'!N133</f>
        <v>-8.3000000000000007</v>
      </c>
      <c r="H157" t="str">
        <f>'Interpreted Data'!P133</f>
        <v/>
      </c>
      <c r="I157" t="str">
        <f t="shared" si="63"/>
        <v xml:space="preserve"> </v>
      </c>
      <c r="J157">
        <f t="shared" si="80"/>
        <v>45</v>
      </c>
      <c r="K157">
        <f t="shared" si="81"/>
        <v>46</v>
      </c>
      <c r="L157">
        <f t="shared" si="82"/>
        <v>16.2</v>
      </c>
      <c r="M157" t="str">
        <f t="shared" si="83"/>
        <v>117:00</v>
      </c>
      <c r="N157" t="str">
        <f t="shared" si="84"/>
        <v>-</v>
      </c>
      <c r="O157" t="str">
        <f t="shared" si="85"/>
        <v>-31:00</v>
      </c>
      <c r="P157" t="str">
        <f t="shared" si="86"/>
        <v/>
      </c>
    </row>
    <row r="158" spans="1:16" x14ac:dyDescent="0.25">
      <c r="A158">
        <f>'Raw Data'!A134</f>
        <v>46</v>
      </c>
      <c r="B158">
        <f>'Raw Data'!B134</f>
        <v>47</v>
      </c>
      <c r="C158">
        <f>'Raw Data'!J134</f>
        <v>35</v>
      </c>
      <c r="D158" t="str">
        <f>'Interpreted Data'!G134</f>
        <v>-</v>
      </c>
      <c r="E158" t="str">
        <f>'Interpreted Data'!H134</f>
        <v>-</v>
      </c>
      <c r="F158" t="str">
        <f>SUBSTITUTE('Raw Data'!K134," ",":",1)</f>
        <v>-90:00</v>
      </c>
      <c r="G158">
        <f>'Interpreted Data'!N134</f>
        <v>-35</v>
      </c>
      <c r="H158" t="str">
        <f>'Interpreted Data'!P134</f>
        <v>46 marked by candle 4' beyond lip of Black Hole</v>
      </c>
      <c r="I158" t="str">
        <f t="shared" si="63"/>
        <v xml:space="preserve"> </v>
      </c>
      <c r="J158">
        <f t="shared" si="80"/>
        <v>46</v>
      </c>
      <c r="K158">
        <f t="shared" si="81"/>
        <v>47</v>
      </c>
      <c r="L158">
        <f t="shared" si="82"/>
        <v>35</v>
      </c>
      <c r="M158" t="str">
        <f t="shared" si="83"/>
        <v>-</v>
      </c>
      <c r="N158" t="str">
        <f t="shared" si="84"/>
        <v>-</v>
      </c>
      <c r="O158" t="str">
        <f t="shared" si="85"/>
        <v>DOWN</v>
      </c>
      <c r="P158" t="str">
        <f t="shared" si="86"/>
        <v>46 marked by candle 4' beyond lip of Black Hole</v>
      </c>
    </row>
    <row r="159" spans="1:16" x14ac:dyDescent="0.25">
      <c r="A159">
        <f>'Raw Data'!A135</f>
        <v>47</v>
      </c>
      <c r="B159">
        <f>'Raw Data'!B135</f>
        <v>48</v>
      </c>
      <c r="C159">
        <f>'Raw Data'!J135</f>
        <v>23.6</v>
      </c>
      <c r="D159" t="str">
        <f>'Interpreted Data'!G135</f>
        <v>-</v>
      </c>
      <c r="E159" t="str">
        <f>'Interpreted Data'!H135</f>
        <v>308:00</v>
      </c>
      <c r="F159" t="str">
        <f>SUBSTITUTE('Raw Data'!K135," ",":",1)</f>
        <v>8:00</v>
      </c>
      <c r="G159">
        <f>'Interpreted Data'!N135</f>
        <v>3.3</v>
      </c>
      <c r="H159" t="str">
        <f>'Interpreted Data'!P135</f>
        <v/>
      </c>
      <c r="I159" t="str">
        <f t="shared" si="63"/>
        <v xml:space="preserve"> </v>
      </c>
      <c r="J159">
        <f t="shared" si="80"/>
        <v>47</v>
      </c>
      <c r="K159">
        <f t="shared" si="81"/>
        <v>48</v>
      </c>
      <c r="L159">
        <f t="shared" si="82"/>
        <v>23.6</v>
      </c>
      <c r="M159" t="str">
        <f t="shared" si="83"/>
        <v>-</v>
      </c>
      <c r="N159" t="str">
        <f t="shared" si="84"/>
        <v>308:00</v>
      </c>
      <c r="O159" t="str">
        <f t="shared" si="85"/>
        <v>8:00</v>
      </c>
      <c r="P159" t="str">
        <f t="shared" si="86"/>
        <v/>
      </c>
    </row>
    <row r="160" spans="1:16" x14ac:dyDescent="0.25">
      <c r="A160">
        <f>'Raw Data'!A136</f>
        <v>48</v>
      </c>
      <c r="B160">
        <f>'Raw Data'!B136</f>
        <v>49</v>
      </c>
      <c r="C160">
        <f>'Raw Data'!J136</f>
        <v>27.5</v>
      </c>
      <c r="D160" t="str">
        <f>'Interpreted Data'!G136</f>
        <v>163:30</v>
      </c>
      <c r="E160" t="str">
        <f>'Interpreted Data'!H136</f>
        <v>-</v>
      </c>
      <c r="F160" t="str">
        <f>SUBSTITUTE('Raw Data'!K136," ",":",1)</f>
        <v>-34:30</v>
      </c>
      <c r="G160">
        <f>'Interpreted Data'!N136</f>
        <v>-15.6</v>
      </c>
      <c r="H160" t="str">
        <f>'Interpreted Data'!P136</f>
        <v/>
      </c>
      <c r="I160" t="str">
        <f t="shared" si="63"/>
        <v xml:space="preserve"> </v>
      </c>
      <c r="J160">
        <f t="shared" si="80"/>
        <v>48</v>
      </c>
      <c r="K160">
        <f t="shared" si="81"/>
        <v>49</v>
      </c>
      <c r="L160">
        <f t="shared" si="82"/>
        <v>27.5</v>
      </c>
      <c r="M160" t="str">
        <f t="shared" si="83"/>
        <v>163:30</v>
      </c>
      <c r="N160" t="str">
        <f t="shared" si="84"/>
        <v>-</v>
      </c>
      <c r="O160" t="str">
        <f t="shared" si="85"/>
        <v>-34:30</v>
      </c>
      <c r="P160" t="str">
        <f t="shared" si="86"/>
        <v/>
      </c>
    </row>
    <row r="161" spans="1:16" x14ac:dyDescent="0.25">
      <c r="A161">
        <f>'Raw Data'!A137</f>
        <v>49</v>
      </c>
      <c r="B161">
        <f>'Raw Data'!B137</f>
        <v>50</v>
      </c>
      <c r="C161">
        <f>'Raw Data'!J137</f>
        <v>23.5</v>
      </c>
      <c r="D161" t="str">
        <f>'Interpreted Data'!G137</f>
        <v>-</v>
      </c>
      <c r="E161" t="str">
        <f>'Interpreted Data'!H137</f>
        <v>020:00</v>
      </c>
      <c r="F161" t="str">
        <f>SUBSTITUTE('Raw Data'!K137," ",":",1)</f>
        <v>-5:00</v>
      </c>
      <c r="G161">
        <f>'Interpreted Data'!N137</f>
        <v>-2.7</v>
      </c>
      <c r="H161" t="str">
        <f>'Interpreted Data'!P137</f>
        <v/>
      </c>
      <c r="I161" t="str">
        <f t="shared" si="63"/>
        <v xml:space="preserve"> </v>
      </c>
      <c r="J161">
        <f t="shared" si="80"/>
        <v>49</v>
      </c>
      <c r="K161">
        <f t="shared" si="81"/>
        <v>50</v>
      </c>
      <c r="L161">
        <f t="shared" si="82"/>
        <v>23.5</v>
      </c>
      <c r="M161" t="str">
        <f t="shared" si="83"/>
        <v>-</v>
      </c>
      <c r="N161" t="str">
        <f t="shared" si="84"/>
        <v>020:00</v>
      </c>
      <c r="O161" t="str">
        <f t="shared" si="85"/>
        <v>-5:00</v>
      </c>
      <c r="P161" t="str">
        <f t="shared" si="86"/>
        <v/>
      </c>
    </row>
    <row r="162" spans="1:16" x14ac:dyDescent="0.25">
      <c r="A162">
        <f>'Raw Data'!A138</f>
        <v>50</v>
      </c>
      <c r="B162">
        <f>'Raw Data'!B138</f>
        <v>51</v>
      </c>
      <c r="C162">
        <f>'Raw Data'!J138</f>
        <v>16.899999999999999</v>
      </c>
      <c r="D162" t="str">
        <f>'Interpreted Data'!G138</f>
        <v>186:00</v>
      </c>
      <c r="E162" t="str">
        <f>'Interpreted Data'!H138</f>
        <v>-</v>
      </c>
      <c r="F162" t="str">
        <f>SUBSTITUTE('Raw Data'!K138," ",":",1)</f>
        <v>-17:30</v>
      </c>
      <c r="G162">
        <f>'Interpreted Data'!N138</f>
        <v>-5.0999999999999996</v>
      </c>
      <c r="H162" t="str">
        <f>'Interpreted Data'!P138</f>
        <v>"Dry" passage starts 3' back.</v>
      </c>
      <c r="I162" t="str">
        <f t="shared" si="63"/>
        <v xml:space="preserve"> </v>
      </c>
      <c r="J162">
        <f t="shared" si="80"/>
        <v>50</v>
      </c>
      <c r="K162">
        <f t="shared" si="81"/>
        <v>51</v>
      </c>
      <c r="L162">
        <f t="shared" si="82"/>
        <v>16.899999999999999</v>
      </c>
      <c r="M162" t="str">
        <f t="shared" si="83"/>
        <v>186:00</v>
      </c>
      <c r="N162" t="str">
        <f t="shared" si="84"/>
        <v>-</v>
      </c>
      <c r="O162" t="str">
        <f t="shared" si="85"/>
        <v>-17:30</v>
      </c>
      <c r="P162" t="str">
        <f t="shared" si="86"/>
        <v>"Dry" passage starts 3' back.</v>
      </c>
    </row>
    <row r="163" spans="1:16" x14ac:dyDescent="0.25">
      <c r="A163">
        <f>'Raw Data'!A139</f>
        <v>51</v>
      </c>
      <c r="B163">
        <f>'Raw Data'!B139</f>
        <v>52</v>
      </c>
      <c r="C163">
        <f>'Raw Data'!J139</f>
        <v>49.5</v>
      </c>
      <c r="D163" t="str">
        <f>'Interpreted Data'!G139</f>
        <v>-</v>
      </c>
      <c r="E163" t="str">
        <f>'Interpreted Data'!H139</f>
        <v>102:30</v>
      </c>
      <c r="F163" t="str">
        <f>SUBSTITUTE('Raw Data'!K139," ",":",1)</f>
        <v>-20:30</v>
      </c>
      <c r="G163">
        <f>'Interpreted Data'!N139</f>
        <v>-17.3</v>
      </c>
      <c r="H163" t="str">
        <f>'Interpreted Data'!P139</f>
        <v/>
      </c>
      <c r="I163" t="str">
        <f t="shared" si="63"/>
        <v xml:space="preserve"> </v>
      </c>
      <c r="J163">
        <f t="shared" si="80"/>
        <v>51</v>
      </c>
      <c r="K163">
        <f t="shared" si="81"/>
        <v>52</v>
      </c>
      <c r="L163">
        <f t="shared" si="82"/>
        <v>49.5</v>
      </c>
      <c r="M163" t="str">
        <f t="shared" si="83"/>
        <v>-</v>
      </c>
      <c r="N163" t="str">
        <f t="shared" si="84"/>
        <v>102:30</v>
      </c>
      <c r="O163" t="str">
        <f t="shared" si="85"/>
        <v>-20:30</v>
      </c>
      <c r="P163" t="str">
        <f t="shared" si="86"/>
        <v/>
      </c>
    </row>
    <row r="164" spans="1:16" x14ac:dyDescent="0.25">
      <c r="A164">
        <f>'Raw Data'!A140</f>
        <v>52</v>
      </c>
      <c r="B164">
        <f>'Raw Data'!B140</f>
        <v>53</v>
      </c>
      <c r="C164">
        <f>'Raw Data'!J140</f>
        <v>51.2</v>
      </c>
      <c r="D164" t="str">
        <f>'Interpreted Data'!G140</f>
        <v>264:00</v>
      </c>
      <c r="E164" t="str">
        <f>'Interpreted Data'!H140</f>
        <v>-</v>
      </c>
      <c r="F164" t="str">
        <f>SUBSTITUTE('Raw Data'!K140," ",":",1)</f>
        <v>-12:30</v>
      </c>
      <c r="G164">
        <f>'Interpreted Data'!N140</f>
        <v>-11.1</v>
      </c>
      <c r="H164" t="str">
        <f>'Interpreted Data'!P140</f>
        <v/>
      </c>
      <c r="I164" t="str">
        <f t="shared" si="63"/>
        <v xml:space="preserve"> </v>
      </c>
      <c r="J164">
        <f t="shared" si="80"/>
        <v>52</v>
      </c>
      <c r="K164">
        <f t="shared" si="81"/>
        <v>53</v>
      </c>
      <c r="L164">
        <f t="shared" si="82"/>
        <v>51.2</v>
      </c>
      <c r="M164" t="str">
        <f t="shared" si="83"/>
        <v>264:00</v>
      </c>
      <c r="N164" t="str">
        <f t="shared" si="84"/>
        <v>-</v>
      </c>
      <c r="O164" t="str">
        <f t="shared" si="85"/>
        <v>-12:30</v>
      </c>
      <c r="P164" t="str">
        <f t="shared" si="86"/>
        <v/>
      </c>
    </row>
    <row r="165" spans="1:16" x14ac:dyDescent="0.25">
      <c r="J165" t="str">
        <f>$J$2</f>
        <v>data diving from to tape compass backcompass depthchange ignoreall</v>
      </c>
    </row>
    <row r="166" spans="1:16" x14ac:dyDescent="0.25">
      <c r="A166">
        <f>'Raw Data'!A141</f>
        <v>53</v>
      </c>
      <c r="B166">
        <f>'Raw Data'!B141</f>
        <v>54</v>
      </c>
      <c r="C166">
        <f>'Raw Data'!J141</f>
        <v>14.2</v>
      </c>
      <c r="D166" t="str">
        <f>'Interpreted Data'!G141</f>
        <v>175:00</v>
      </c>
      <c r="E166" t="str">
        <f>'Interpreted Data'!H141</f>
        <v>-</v>
      </c>
      <c r="F166" t="str">
        <f>SUBSTITUTE('Raw Data'!K141," ",":",1)</f>
        <v>fall:3.5 feet</v>
      </c>
      <c r="G166">
        <f>'Interpreted Data'!N141</f>
        <v>-3.5</v>
      </c>
      <c r="H166" t="str">
        <f>'Interpreted Data'!P141</f>
        <v>Dry passage enters 2' on North. 53 is marked by a candle 1' below (.) on roof. 54 is H2O level in sump.</v>
      </c>
      <c r="I166" t="str">
        <f t="shared" si="63"/>
        <v xml:space="preserve"> </v>
      </c>
      <c r="J166">
        <f t="shared" si="80"/>
        <v>53</v>
      </c>
      <c r="K166">
        <f t="shared" si="81"/>
        <v>54</v>
      </c>
      <c r="L166">
        <f t="shared" si="82"/>
        <v>14.2</v>
      </c>
      <c r="M166" t="str">
        <f t="shared" si="83"/>
        <v>175:00</v>
      </c>
      <c r="N166" t="str">
        <f t="shared" si="84"/>
        <v>-</v>
      </c>
      <c r="O166">
        <f>G166</f>
        <v>-3.5</v>
      </c>
      <c r="P166" t="str">
        <f t="shared" si="86"/>
        <v>Dry passage enters 2' on North. 53 is marked by a candle 1' below (.) on roof. 54 is H2O level in sump.</v>
      </c>
    </row>
    <row r="167" spans="1:16" x14ac:dyDescent="0.25">
      <c r="A167">
        <f>'Raw Data'!A142</f>
        <v>54</v>
      </c>
      <c r="B167">
        <f>'Raw Data'!B142</f>
        <v>0</v>
      </c>
      <c r="C167">
        <f>'Raw Data'!J142</f>
        <v>0</v>
      </c>
      <c r="D167" t="str">
        <f>'Interpreted Data'!G142</f>
        <v/>
      </c>
      <c r="E167" t="str">
        <f>'Interpreted Data'!H142</f>
        <v/>
      </c>
      <c r="F167" t="str">
        <f>SUBSTITUTE('Raw Data'!K142," ",":",1)</f>
        <v/>
      </c>
      <c r="G167" t="str">
        <f>'Interpreted Data'!N142</f>
        <v/>
      </c>
      <c r="H167" t="str">
        <f>'Interpreted Data'!P142</f>
        <v>Closed on levels to 1.9 feet.  Not bad! Total 2,208 (? faint)</v>
      </c>
      <c r="I167" t="str">
        <f t="shared" si="63"/>
        <v xml:space="preserve"> </v>
      </c>
      <c r="J167" t="s">
        <v>77</v>
      </c>
      <c r="K167">
        <f>A167</f>
        <v>54</v>
      </c>
      <c r="L167">
        <f t="shared" si="82"/>
        <v>0</v>
      </c>
      <c r="M167" t="str">
        <f t="shared" si="83"/>
        <v/>
      </c>
      <c r="N167" t="str">
        <f t="shared" si="84"/>
        <v/>
      </c>
      <c r="O167" t="str">
        <f t="shared" si="85"/>
        <v/>
      </c>
      <c r="P167" t="str">
        <f t="shared" si="86"/>
        <v>Closed on levels to 1.9 feet.  Not bad! Total 2,208 (? faint)</v>
      </c>
    </row>
    <row r="169" spans="1:16" x14ac:dyDescent="0.25">
      <c r="A169" t="str">
        <f>'Raw Data'!A144</f>
        <v>Nov. 23rd '52</v>
      </c>
      <c r="B169" t="str">
        <f>'Raw Data'!B144</f>
        <v>Jack Broadley</v>
      </c>
      <c r="C169">
        <f>'Raw Data'!J144</f>
        <v>0</v>
      </c>
      <c r="D169" t="str">
        <f>'Interpreted Data'!G144</f>
        <v/>
      </c>
      <c r="E169" t="str">
        <f>'Interpreted Data'!H144</f>
        <v/>
      </c>
      <c r="F169" t="str">
        <f>SUBSTITUTE('Raw Data'!K144," ",":",1)</f>
        <v/>
      </c>
      <c r="G169" t="str">
        <f>'Interpreted Data'!N144</f>
        <v/>
      </c>
      <c r="H169" t="str">
        <f>'Interpreted Data'!P144</f>
        <v/>
      </c>
      <c r="I169" t="str">
        <f t="shared" si="63"/>
        <v xml:space="preserve"> </v>
      </c>
      <c r="J169" t="str">
        <f t="shared" si="80"/>
        <v>Nov. 23rd '52</v>
      </c>
      <c r="K169" t="str">
        <f t="shared" si="81"/>
        <v>Jack Broadley</v>
      </c>
      <c r="L169">
        <f t="shared" si="82"/>
        <v>0</v>
      </c>
      <c r="M169" t="str">
        <f t="shared" si="83"/>
        <v/>
      </c>
      <c r="N169" t="str">
        <f t="shared" si="84"/>
        <v/>
      </c>
      <c r="O169" t="str">
        <f t="shared" si="85"/>
        <v/>
      </c>
      <c r="P169" t="str">
        <f t="shared" si="86"/>
        <v/>
      </c>
    </row>
    <row r="170" spans="1:16" x14ac:dyDescent="0.25">
      <c r="J170" t="str">
        <f>$J$1</f>
        <v>data normal from to tape compass backcompass clino ignoreall</v>
      </c>
    </row>
    <row r="171" spans="1:16" x14ac:dyDescent="0.25">
      <c r="A171" t="str">
        <f>'Raw Data'!A145</f>
        <v>EC</v>
      </c>
      <c r="B171" t="str">
        <f>'Raw Data'!B145</f>
        <v>EB</v>
      </c>
      <c r="C171">
        <f>'Raw Data'!J145</f>
        <v>12</v>
      </c>
      <c r="D171" t="str">
        <f>'Interpreted Data'!G145</f>
        <v>-</v>
      </c>
      <c r="E171" t="str">
        <f>'Interpreted Data'!H145</f>
        <v>103:00</v>
      </c>
      <c r="F171" t="str">
        <f>SUBSTITUTE('Raw Data'!K145," ",":",1)</f>
        <v>-6:00</v>
      </c>
      <c r="G171">
        <f>'Interpreted Data'!N145</f>
        <v>-1.3</v>
      </c>
      <c r="H171" t="str">
        <f>'Interpreted Data'!P145</f>
        <v>EC is on dimple in projecting rock 10' below entrance on E.</v>
      </c>
      <c r="I171" t="str">
        <f t="shared" si="63"/>
        <v xml:space="preserve"> </v>
      </c>
      <c r="J171" t="str">
        <f t="shared" si="80"/>
        <v>EC</v>
      </c>
      <c r="K171" t="str">
        <f t="shared" si="81"/>
        <v>EB</v>
      </c>
      <c r="L171">
        <f t="shared" si="82"/>
        <v>12</v>
      </c>
      <c r="M171" t="str">
        <f t="shared" si="83"/>
        <v>-</v>
      </c>
      <c r="N171" t="str">
        <f t="shared" si="84"/>
        <v>103:00</v>
      </c>
      <c r="O171" t="str">
        <f t="shared" si="85"/>
        <v>-6:00</v>
      </c>
      <c r="P171" t="str">
        <f t="shared" si="86"/>
        <v>EC is on dimple in projecting rock 10' below entrance on E.</v>
      </c>
    </row>
    <row r="172" spans="1:16" x14ac:dyDescent="0.25">
      <c r="A172" t="str">
        <f>'Raw Data'!A146</f>
        <v>EB</v>
      </c>
      <c r="B172" t="str">
        <f>'Raw Data'!B146</f>
        <v>EA</v>
      </c>
      <c r="C172">
        <f>'Raw Data'!J146</f>
        <v>3</v>
      </c>
      <c r="D172" t="str">
        <f>'Interpreted Data'!G146</f>
        <v>011:00</v>
      </c>
      <c r="E172" t="str">
        <f>'Interpreted Data'!H146</f>
        <v>-</v>
      </c>
      <c r="F172" t="str">
        <f>SUBSTITUTE('Raw Data'!K146," ",":",1)</f>
        <v>-6:00</v>
      </c>
      <c r="G172">
        <f>'Interpreted Data'!N146</f>
        <v>-0.3</v>
      </c>
      <c r="H172" t="str">
        <f>'Interpreted Data'!P146</f>
        <v/>
      </c>
      <c r="I172" t="str">
        <f t="shared" si="63"/>
        <v xml:space="preserve"> </v>
      </c>
      <c r="J172" t="str">
        <f t="shared" si="80"/>
        <v>EB</v>
      </c>
      <c r="K172" t="str">
        <f t="shared" si="81"/>
        <v>EA</v>
      </c>
      <c r="L172">
        <f t="shared" si="82"/>
        <v>3</v>
      </c>
      <c r="M172" t="str">
        <f t="shared" si="83"/>
        <v>011:00</v>
      </c>
      <c r="N172" t="str">
        <f t="shared" si="84"/>
        <v>-</v>
      </c>
      <c r="O172" t="str">
        <f t="shared" si="85"/>
        <v>-6:00</v>
      </c>
      <c r="P172" t="str">
        <f t="shared" si="86"/>
        <v/>
      </c>
    </row>
    <row r="173" spans="1:16" x14ac:dyDescent="0.25">
      <c r="A173" t="str">
        <f>'Raw Data'!A147</f>
        <v>EA</v>
      </c>
      <c r="B173" t="str">
        <f>'Raw Data'!B147</f>
        <v>DZ</v>
      </c>
      <c r="C173">
        <f>'Raw Data'!J147</f>
        <v>6</v>
      </c>
      <c r="D173" t="str">
        <f>'Interpreted Data'!G147</f>
        <v>-</v>
      </c>
      <c r="E173" t="str">
        <f>'Interpreted Data'!H147</f>
        <v>-</v>
      </c>
      <c r="F173" t="str">
        <f>SUBSTITUTE('Raw Data'!K147," ",":",1)</f>
        <v>-90:00</v>
      </c>
      <c r="G173">
        <f>'Interpreted Data'!N147</f>
        <v>-6</v>
      </c>
      <c r="H173" t="str">
        <f>'Interpreted Data'!P147</f>
        <v>(sketch from Ent. EC-DO)</v>
      </c>
      <c r="I173" t="str">
        <f t="shared" si="63"/>
        <v xml:space="preserve"> </v>
      </c>
      <c r="J173" t="str">
        <f t="shared" si="80"/>
        <v>EA</v>
      </c>
      <c r="K173" t="str">
        <f t="shared" si="81"/>
        <v>DZ</v>
      </c>
      <c r="L173">
        <f t="shared" si="82"/>
        <v>6</v>
      </c>
      <c r="M173" t="str">
        <f t="shared" si="83"/>
        <v>-</v>
      </c>
      <c r="N173" t="str">
        <f t="shared" si="84"/>
        <v>-</v>
      </c>
      <c r="O173" t="str">
        <f t="shared" si="85"/>
        <v>DOWN</v>
      </c>
      <c r="P173" t="str">
        <f t="shared" si="86"/>
        <v>(sketch from Ent. EC-DO)</v>
      </c>
    </row>
    <row r="174" spans="1:16" x14ac:dyDescent="0.25">
      <c r="A174" t="str">
        <f>'Raw Data'!A148</f>
        <v>DZ</v>
      </c>
      <c r="B174" t="str">
        <f>'Raw Data'!B148</f>
        <v>DY</v>
      </c>
      <c r="C174">
        <f>'Raw Data'!J148</f>
        <v>17.5</v>
      </c>
      <c r="D174" t="str">
        <f>'Interpreted Data'!G148</f>
        <v>-</v>
      </c>
      <c r="E174" t="str">
        <f>'Interpreted Data'!H148</f>
        <v>216:00</v>
      </c>
      <c r="F174" t="str">
        <f>SUBSTITUTE('Raw Data'!K148," ",":",1)</f>
        <v>8:00</v>
      </c>
      <c r="G174">
        <f>'Interpreted Data'!N148</f>
        <v>2.4</v>
      </c>
      <c r="H174" t="str">
        <f>'Interpreted Data'!P148</f>
        <v/>
      </c>
      <c r="I174" t="str">
        <f t="shared" si="63"/>
        <v xml:space="preserve"> </v>
      </c>
      <c r="J174" t="str">
        <f t="shared" si="80"/>
        <v>DZ</v>
      </c>
      <c r="K174" t="str">
        <f t="shared" si="81"/>
        <v>DY</v>
      </c>
      <c r="L174">
        <f t="shared" si="82"/>
        <v>17.5</v>
      </c>
      <c r="M174" t="str">
        <f t="shared" si="83"/>
        <v>-</v>
      </c>
      <c r="N174" t="str">
        <f t="shared" si="84"/>
        <v>216:00</v>
      </c>
      <c r="O174" t="str">
        <f t="shared" si="85"/>
        <v>8:00</v>
      </c>
      <c r="P174" t="str">
        <f t="shared" si="86"/>
        <v/>
      </c>
    </row>
    <row r="175" spans="1:16" x14ac:dyDescent="0.25">
      <c r="A175" t="str">
        <f>'Raw Data'!A149</f>
        <v>DY</v>
      </c>
      <c r="B175" t="str">
        <f>'Raw Data'!B149</f>
        <v>DX</v>
      </c>
      <c r="C175">
        <f>'Raw Data'!J149</f>
        <v>4.9000000000000004</v>
      </c>
      <c r="D175" t="str">
        <f>'Interpreted Data'!G149</f>
        <v>344:30</v>
      </c>
      <c r="E175" t="str">
        <f>'Interpreted Data'!H149</f>
        <v>-</v>
      </c>
      <c r="F175" t="str">
        <f>SUBSTITUTE('Raw Data'!K149," ",":",1)</f>
        <v>6:00</v>
      </c>
      <c r="G175">
        <f>'Interpreted Data'!N149</f>
        <v>0.5</v>
      </c>
      <c r="H175" t="str">
        <f>'Interpreted Data'!P149</f>
        <v/>
      </c>
      <c r="I175" t="str">
        <f t="shared" si="63"/>
        <v xml:space="preserve"> </v>
      </c>
      <c r="J175" t="str">
        <f t="shared" si="80"/>
        <v>DY</v>
      </c>
      <c r="K175" t="str">
        <f t="shared" si="81"/>
        <v>DX</v>
      </c>
      <c r="L175">
        <f t="shared" si="82"/>
        <v>4.9000000000000004</v>
      </c>
      <c r="M175" t="str">
        <f t="shared" si="83"/>
        <v>344:30</v>
      </c>
      <c r="N175" t="str">
        <f t="shared" si="84"/>
        <v>-</v>
      </c>
      <c r="O175" t="str">
        <f t="shared" si="85"/>
        <v>6:00</v>
      </c>
      <c r="P175" t="str">
        <f t="shared" si="86"/>
        <v/>
      </c>
    </row>
    <row r="176" spans="1:16" x14ac:dyDescent="0.25">
      <c r="A176" t="str">
        <f>'Raw Data'!A150</f>
        <v>DX</v>
      </c>
      <c r="B176" t="str">
        <f>'Raw Data'!B150</f>
        <v>DW</v>
      </c>
      <c r="C176">
        <f>'Raw Data'!J150</f>
        <v>23.5</v>
      </c>
      <c r="D176" t="str">
        <f>'Interpreted Data'!G150</f>
        <v>-</v>
      </c>
      <c r="E176" t="str">
        <f>'Interpreted Data'!H150</f>
        <v>162:00</v>
      </c>
      <c r="F176" t="str">
        <f>SUBSTITUTE('Raw Data'!K150," ",":",1)</f>
        <v>-12:00</v>
      </c>
      <c r="G176">
        <f>'Interpreted Data'!N150</f>
        <v>-4.9000000000000004</v>
      </c>
      <c r="H176" t="str">
        <f>'Interpreted Data'!P150</f>
        <v/>
      </c>
      <c r="I176" t="str">
        <f t="shared" si="63"/>
        <v xml:space="preserve"> </v>
      </c>
      <c r="J176" t="str">
        <f t="shared" si="80"/>
        <v>DX</v>
      </c>
      <c r="K176" t="str">
        <f t="shared" si="81"/>
        <v>DW</v>
      </c>
      <c r="L176">
        <f t="shared" si="82"/>
        <v>23.5</v>
      </c>
      <c r="M176" t="str">
        <f t="shared" si="83"/>
        <v>-</v>
      </c>
      <c r="N176" t="str">
        <f t="shared" si="84"/>
        <v>162:00</v>
      </c>
      <c r="O176" t="str">
        <f t="shared" si="85"/>
        <v>-12:00</v>
      </c>
      <c r="P176" t="str">
        <f t="shared" si="86"/>
        <v/>
      </c>
    </row>
    <row r="177" spans="1:16" x14ac:dyDescent="0.25">
      <c r="A177" t="str">
        <f>'Raw Data'!A151</f>
        <v>DW</v>
      </c>
      <c r="B177" t="str">
        <f>'Raw Data'!B151</f>
        <v>DV</v>
      </c>
      <c r="C177">
        <f>'Raw Data'!J151</f>
        <v>8.1999999999999993</v>
      </c>
      <c r="D177" t="str">
        <f>'Interpreted Data'!G151</f>
        <v>259:00</v>
      </c>
      <c r="E177" t="str">
        <f>'Interpreted Data'!H151</f>
        <v>-</v>
      </c>
      <c r="F177" t="str">
        <f>SUBSTITUTE('Raw Data'!K151," ",":",1)</f>
        <v>-21:00</v>
      </c>
      <c r="G177">
        <f>'Interpreted Data'!N151</f>
        <v>-3</v>
      </c>
      <c r="H177" t="str">
        <f>'Interpreted Data'!P151</f>
        <v/>
      </c>
      <c r="I177" t="str">
        <f t="shared" si="63"/>
        <v xml:space="preserve"> </v>
      </c>
      <c r="J177" t="str">
        <f t="shared" si="80"/>
        <v>DW</v>
      </c>
      <c r="K177" t="str">
        <f t="shared" si="81"/>
        <v>DV</v>
      </c>
      <c r="L177">
        <f t="shared" si="82"/>
        <v>8.1999999999999993</v>
      </c>
      <c r="M177" t="str">
        <f t="shared" si="83"/>
        <v>259:00</v>
      </c>
      <c r="N177" t="str">
        <f t="shared" si="84"/>
        <v>-</v>
      </c>
      <c r="O177" t="str">
        <f t="shared" si="85"/>
        <v>-21:00</v>
      </c>
      <c r="P177" t="str">
        <f t="shared" si="86"/>
        <v/>
      </c>
    </row>
    <row r="178" spans="1:16" x14ac:dyDescent="0.25">
      <c r="A178" t="str">
        <f>'Raw Data'!A152</f>
        <v>DV</v>
      </c>
      <c r="B178" t="str">
        <f>'Raw Data'!B152</f>
        <v>DQ</v>
      </c>
      <c r="C178">
        <f>'Raw Data'!J152</f>
        <v>9</v>
      </c>
      <c r="D178" t="str">
        <f>'Interpreted Data'!G152</f>
        <v>-</v>
      </c>
      <c r="E178" t="str">
        <f>'Interpreted Data'!H152</f>
        <v>119:00</v>
      </c>
      <c r="F178" t="str">
        <f>SUBSTITUTE('Raw Data'!K152," ",":",1)</f>
        <v>-17:00</v>
      </c>
      <c r="G178">
        <f>'Interpreted Data'!N152</f>
        <v>-2.6</v>
      </c>
      <c r="H178" t="str">
        <f>'Interpreted Data'!P152</f>
        <v>(sketch of Short Dry Way DN-DH)</v>
      </c>
      <c r="I178" t="str">
        <f t="shared" si="63"/>
        <v xml:space="preserve"> </v>
      </c>
      <c r="J178" t="str">
        <f t="shared" si="80"/>
        <v>DV</v>
      </c>
      <c r="K178" t="str">
        <f t="shared" si="81"/>
        <v>DQ</v>
      </c>
      <c r="L178">
        <f t="shared" si="82"/>
        <v>9</v>
      </c>
      <c r="M178" t="str">
        <f t="shared" si="83"/>
        <v>-</v>
      </c>
      <c r="N178" t="str">
        <f t="shared" si="84"/>
        <v>119:00</v>
      </c>
      <c r="O178" t="str">
        <f t="shared" si="85"/>
        <v>-17:00</v>
      </c>
      <c r="P178" t="str">
        <f t="shared" si="86"/>
        <v>(sketch of Short Dry Way DN-DH)</v>
      </c>
    </row>
    <row r="179" spans="1:16" x14ac:dyDescent="0.25">
      <c r="A179" t="str">
        <f>'Raw Data'!A153</f>
        <v>DQ</v>
      </c>
      <c r="B179" t="str">
        <f>'Raw Data'!B153</f>
        <v>DP</v>
      </c>
      <c r="C179">
        <f>'Raw Data'!J153</f>
        <v>0.5</v>
      </c>
      <c r="D179" t="str">
        <f>'Interpreted Data'!G153</f>
        <v>-</v>
      </c>
      <c r="E179" t="str">
        <f>'Interpreted Data'!H153</f>
        <v>-</v>
      </c>
      <c r="F179" t="str">
        <f>SUBSTITUTE('Raw Data'!K153," ",":",1)</f>
        <v>-90:00</v>
      </c>
      <c r="G179">
        <f>'Interpreted Data'!N153</f>
        <v>-0.5</v>
      </c>
      <c r="H179" t="str">
        <f>'Interpreted Data'!P153</f>
        <v/>
      </c>
      <c r="I179" t="str">
        <f t="shared" si="63"/>
        <v xml:space="preserve"> </v>
      </c>
      <c r="J179" t="str">
        <f t="shared" si="80"/>
        <v>DQ</v>
      </c>
      <c r="K179" t="str">
        <f t="shared" si="81"/>
        <v>DP</v>
      </c>
      <c r="L179">
        <f t="shared" si="82"/>
        <v>0.5</v>
      </c>
      <c r="M179" t="str">
        <f t="shared" si="83"/>
        <v>-</v>
      </c>
      <c r="N179" t="str">
        <f t="shared" si="84"/>
        <v>-</v>
      </c>
      <c r="O179" t="str">
        <f t="shared" si="85"/>
        <v>DOWN</v>
      </c>
      <c r="P179" t="str">
        <f t="shared" si="86"/>
        <v/>
      </c>
    </row>
    <row r="180" spans="1:16" x14ac:dyDescent="0.25">
      <c r="A180" t="str">
        <f>'Raw Data'!A154</f>
        <v>DP</v>
      </c>
      <c r="B180" t="str">
        <f>'Raw Data'!B154</f>
        <v>DO</v>
      </c>
      <c r="C180">
        <f>'Raw Data'!J154</f>
        <v>14.8</v>
      </c>
      <c r="D180" t="str">
        <f>'Interpreted Data'!G154</f>
        <v>277:00</v>
      </c>
      <c r="E180" t="str">
        <f>'Interpreted Data'!H154</f>
        <v>-</v>
      </c>
      <c r="F180" t="str">
        <f>SUBSTITUTE('Raw Data'!K154," ",":",1)</f>
        <v>-53:00</v>
      </c>
      <c r="G180">
        <f>'Interpreted Data'!N154</f>
        <v>-11.8</v>
      </c>
      <c r="H180" t="str">
        <f>'Interpreted Data'!P154</f>
        <v/>
      </c>
      <c r="I180" t="str">
        <f t="shared" si="63"/>
        <v xml:space="preserve"> </v>
      </c>
      <c r="J180" t="str">
        <f t="shared" si="80"/>
        <v>DP</v>
      </c>
      <c r="K180" t="str">
        <f t="shared" si="81"/>
        <v>DO</v>
      </c>
      <c r="L180">
        <f t="shared" si="82"/>
        <v>14.8</v>
      </c>
      <c r="M180" t="str">
        <f t="shared" si="83"/>
        <v>277:00</v>
      </c>
      <c r="N180" t="str">
        <f t="shared" si="84"/>
        <v>-</v>
      </c>
      <c r="O180" t="str">
        <f t="shared" si="85"/>
        <v>-53:00</v>
      </c>
      <c r="P180" t="str">
        <f t="shared" si="86"/>
        <v/>
      </c>
    </row>
    <row r="181" spans="1:16" x14ac:dyDescent="0.25">
      <c r="A181" t="str">
        <f>'Raw Data'!A155</f>
        <v>DO</v>
      </c>
      <c r="B181" t="str">
        <f>'Raw Data'!B155</f>
        <v>DN</v>
      </c>
      <c r="C181">
        <f>'Raw Data'!J155</f>
        <v>13.3</v>
      </c>
      <c r="D181" t="str">
        <f>'Interpreted Data'!G155</f>
        <v>-</v>
      </c>
      <c r="E181" t="str">
        <f>'Interpreted Data'!H155</f>
        <v>261:00</v>
      </c>
      <c r="F181" t="str">
        <f>SUBSTITUTE('Raw Data'!K155," ",":",1)</f>
        <v>-47:00</v>
      </c>
      <c r="G181">
        <f>'Interpreted Data'!N155</f>
        <v>-9.6999999999999993</v>
      </c>
      <c r="H181" t="str">
        <f>'Interpreted Data'!P155</f>
        <v/>
      </c>
      <c r="I181" t="str">
        <f t="shared" si="63"/>
        <v xml:space="preserve"> </v>
      </c>
      <c r="J181" t="str">
        <f t="shared" si="80"/>
        <v>DO</v>
      </c>
      <c r="K181" t="str">
        <f t="shared" si="81"/>
        <v>DN</v>
      </c>
      <c r="L181">
        <f t="shared" si="82"/>
        <v>13.3</v>
      </c>
      <c r="M181" t="str">
        <f t="shared" si="83"/>
        <v>-</v>
      </c>
      <c r="N181" t="str">
        <f t="shared" si="84"/>
        <v>261:00</v>
      </c>
      <c r="O181" t="str">
        <f t="shared" si="85"/>
        <v>-47:00</v>
      </c>
      <c r="P181" t="str">
        <f t="shared" si="86"/>
        <v/>
      </c>
    </row>
    <row r="182" spans="1:16" x14ac:dyDescent="0.25">
      <c r="A182" t="str">
        <f>'Raw Data'!A156</f>
        <v>DN</v>
      </c>
      <c r="B182" t="str">
        <f>'Raw Data'!B156</f>
        <v>DM</v>
      </c>
      <c r="C182">
        <f>'Raw Data'!J156</f>
        <v>0.5</v>
      </c>
      <c r="D182" t="str">
        <f>'Interpreted Data'!G156</f>
        <v>-</v>
      </c>
      <c r="E182" t="str">
        <f>'Interpreted Data'!H156</f>
        <v>-</v>
      </c>
      <c r="F182" t="str">
        <f>SUBSTITUTE('Raw Data'!K156," ",":",1)</f>
        <v>90:00</v>
      </c>
      <c r="G182">
        <f>'Interpreted Data'!N156</f>
        <v>0.5</v>
      </c>
      <c r="H182" t="str">
        <f>'Interpreted Data'!P156</f>
        <v/>
      </c>
      <c r="I182" t="str">
        <f t="shared" si="63"/>
        <v xml:space="preserve"> </v>
      </c>
      <c r="J182" t="str">
        <f t="shared" si="80"/>
        <v>DN</v>
      </c>
      <c r="K182" t="str">
        <f t="shared" si="81"/>
        <v>DM</v>
      </c>
      <c r="L182">
        <f t="shared" si="82"/>
        <v>0.5</v>
      </c>
      <c r="M182" t="str">
        <f t="shared" si="83"/>
        <v>-</v>
      </c>
      <c r="N182" t="str">
        <f t="shared" si="84"/>
        <v>-</v>
      </c>
      <c r="O182" t="str">
        <f t="shared" si="85"/>
        <v>UP</v>
      </c>
      <c r="P182" t="str">
        <f t="shared" si="86"/>
        <v/>
      </c>
    </row>
    <row r="183" spans="1:16" x14ac:dyDescent="0.25">
      <c r="A183" t="str">
        <f>'Raw Data'!A157</f>
        <v>DM</v>
      </c>
      <c r="B183" t="str">
        <f>'Raw Data'!B157</f>
        <v>DL</v>
      </c>
      <c r="C183">
        <f>'Raw Data'!J157</f>
        <v>14.5</v>
      </c>
      <c r="D183" t="str">
        <f>'Interpreted Data'!G157</f>
        <v>348:30</v>
      </c>
      <c r="E183" t="str">
        <f>'Interpreted Data'!H157</f>
        <v>-</v>
      </c>
      <c r="F183" t="str">
        <f>SUBSTITUTE('Raw Data'!K157," ",":",1)</f>
        <v>-6:00</v>
      </c>
      <c r="G183">
        <f>'Interpreted Data'!N157</f>
        <v>-1.5</v>
      </c>
      <c r="H183" t="str">
        <f>'Interpreted Data'!P157</f>
        <v/>
      </c>
      <c r="I183" t="str">
        <f t="shared" si="63"/>
        <v xml:space="preserve"> </v>
      </c>
      <c r="J183" t="str">
        <f t="shared" si="80"/>
        <v>DM</v>
      </c>
      <c r="K183" t="str">
        <f t="shared" si="81"/>
        <v>DL</v>
      </c>
      <c r="L183">
        <f t="shared" si="82"/>
        <v>14.5</v>
      </c>
      <c r="M183" t="str">
        <f t="shared" si="83"/>
        <v>348:30</v>
      </c>
      <c r="N183" t="str">
        <f t="shared" si="84"/>
        <v>-</v>
      </c>
      <c r="O183" t="str">
        <f t="shared" si="85"/>
        <v>-6:00</v>
      </c>
      <c r="P183" t="str">
        <f t="shared" si="86"/>
        <v/>
      </c>
    </row>
    <row r="184" spans="1:16" x14ac:dyDescent="0.25">
      <c r="A184" t="str">
        <f>'Raw Data'!A158</f>
        <v>DL</v>
      </c>
      <c r="B184" t="str">
        <f>'Raw Data'!B158</f>
        <v>DK</v>
      </c>
      <c r="C184">
        <f>'Raw Data'!J158</f>
        <v>17.3</v>
      </c>
      <c r="D184" t="str">
        <f>'Interpreted Data'!G158</f>
        <v>-</v>
      </c>
      <c r="E184" t="str">
        <f>'Interpreted Data'!H158</f>
        <v>112:00</v>
      </c>
      <c r="F184" t="str">
        <f>SUBSTITUTE('Raw Data'!K158," ",":",1)</f>
        <v>-20:00</v>
      </c>
      <c r="G184">
        <f>'Interpreted Data'!N158</f>
        <v>-5.9</v>
      </c>
      <c r="H184" t="str">
        <f>'Interpreted Data'!P158</f>
        <v/>
      </c>
      <c r="I184" t="str">
        <f t="shared" si="63"/>
        <v xml:space="preserve"> </v>
      </c>
      <c r="J184" t="str">
        <f t="shared" si="80"/>
        <v>DL</v>
      </c>
      <c r="K184" t="str">
        <f t="shared" si="81"/>
        <v>DK</v>
      </c>
      <c r="L184">
        <f t="shared" si="82"/>
        <v>17.3</v>
      </c>
      <c r="M184" t="str">
        <f t="shared" si="83"/>
        <v>-</v>
      </c>
      <c r="N184" t="str">
        <f t="shared" si="84"/>
        <v>112:00</v>
      </c>
      <c r="O184" t="str">
        <f t="shared" si="85"/>
        <v>-20:00</v>
      </c>
      <c r="P184" t="str">
        <f t="shared" si="86"/>
        <v/>
      </c>
    </row>
    <row r="185" spans="1:16" x14ac:dyDescent="0.25">
      <c r="A185" t="str">
        <f>'Raw Data'!A159</f>
        <v>DK</v>
      </c>
      <c r="B185" t="str">
        <f>'Raw Data'!B159</f>
        <v>DJ</v>
      </c>
      <c r="C185">
        <f>'Raw Data'!J159</f>
        <v>17.2</v>
      </c>
      <c r="D185" t="str">
        <f>'Interpreted Data'!G159</f>
        <v>346:00</v>
      </c>
      <c r="E185" t="str">
        <f>'Interpreted Data'!H159</f>
        <v>-</v>
      </c>
      <c r="F185" t="str">
        <f>SUBSTITUTE('Raw Data'!K159," ",":",1)</f>
        <v>-22:00</v>
      </c>
      <c r="G185">
        <f>'Interpreted Data'!N159</f>
        <v>-6.4</v>
      </c>
      <c r="H185" t="str">
        <f>'Interpreted Data'!P159</f>
        <v/>
      </c>
      <c r="I185" t="str">
        <f t="shared" si="63"/>
        <v xml:space="preserve"> </v>
      </c>
      <c r="J185" t="str">
        <f t="shared" si="80"/>
        <v>DK</v>
      </c>
      <c r="K185" t="str">
        <f t="shared" si="81"/>
        <v>DJ</v>
      </c>
      <c r="L185">
        <f t="shared" si="82"/>
        <v>17.2</v>
      </c>
      <c r="M185" t="str">
        <f t="shared" si="83"/>
        <v>346:00</v>
      </c>
      <c r="N185" t="str">
        <f t="shared" si="84"/>
        <v>-</v>
      </c>
      <c r="O185" t="str">
        <f t="shared" si="85"/>
        <v>-22:00</v>
      </c>
      <c r="P185" t="str">
        <f t="shared" si="86"/>
        <v/>
      </c>
    </row>
    <row r="186" spans="1:16" x14ac:dyDescent="0.25">
      <c r="A186" t="str">
        <f>'Raw Data'!A160</f>
        <v>DJ</v>
      </c>
      <c r="B186" t="str">
        <f>'Raw Data'!B160</f>
        <v>DI</v>
      </c>
      <c r="C186">
        <f>'Raw Data'!J160</f>
        <v>8.9</v>
      </c>
      <c r="D186" t="str">
        <f>'Interpreted Data'!G160</f>
        <v>-</v>
      </c>
      <c r="E186" t="str">
        <f>'Interpreted Data'!H160</f>
        <v>138:00</v>
      </c>
      <c r="F186" t="str">
        <f>SUBSTITUTE('Raw Data'!K160," ",":",1)</f>
        <v>-13:30</v>
      </c>
      <c r="G186">
        <f>'Interpreted Data'!N160</f>
        <v>-2.1</v>
      </c>
      <c r="H186" t="str">
        <f>'Interpreted Data'!P160</f>
        <v/>
      </c>
      <c r="I186" t="str">
        <f t="shared" si="63"/>
        <v xml:space="preserve"> </v>
      </c>
      <c r="J186" t="str">
        <f t="shared" si="80"/>
        <v>DJ</v>
      </c>
      <c r="K186" t="str">
        <f t="shared" si="81"/>
        <v>DI</v>
      </c>
      <c r="L186">
        <f t="shared" si="82"/>
        <v>8.9</v>
      </c>
      <c r="M186" t="str">
        <f t="shared" si="83"/>
        <v>-</v>
      </c>
      <c r="N186" t="str">
        <f t="shared" si="84"/>
        <v>138:00</v>
      </c>
      <c r="O186" t="str">
        <f t="shared" si="85"/>
        <v>-13:30</v>
      </c>
      <c r="P186" t="str">
        <f t="shared" si="86"/>
        <v/>
      </c>
    </row>
    <row r="187" spans="1:16" x14ac:dyDescent="0.25">
      <c r="A187" t="str">
        <f>'Raw Data'!A161</f>
        <v>DI</v>
      </c>
      <c r="B187" t="str">
        <f>'Raw Data'!B161</f>
        <v>DH</v>
      </c>
      <c r="C187">
        <f>'Raw Data'!J161</f>
        <v>32</v>
      </c>
      <c r="D187" t="str">
        <f>'Interpreted Data'!G161</f>
        <v>304:00</v>
      </c>
      <c r="E187" t="str">
        <f>'Interpreted Data'!H161</f>
        <v>-</v>
      </c>
      <c r="F187" t="str">
        <f>SUBSTITUTE('Raw Data'!K161," ",":",1)</f>
        <v>-17:00</v>
      </c>
      <c r="G187">
        <f>'Interpreted Data'!N161</f>
        <v>-9.4</v>
      </c>
      <c r="H187" t="str">
        <f>'Interpreted Data'!P161</f>
        <v/>
      </c>
      <c r="I187" t="str">
        <f t="shared" si="63"/>
        <v xml:space="preserve"> </v>
      </c>
      <c r="J187" t="str">
        <f t="shared" si="80"/>
        <v>DI</v>
      </c>
      <c r="K187" t="str">
        <f t="shared" si="81"/>
        <v>DH</v>
      </c>
      <c r="L187">
        <f t="shared" si="82"/>
        <v>32</v>
      </c>
      <c r="M187" t="str">
        <f t="shared" si="83"/>
        <v>304:00</v>
      </c>
      <c r="N187" t="str">
        <f t="shared" si="84"/>
        <v>-</v>
      </c>
      <c r="O187" t="str">
        <f t="shared" si="85"/>
        <v>-17:00</v>
      </c>
      <c r="P187" t="str">
        <f t="shared" si="86"/>
        <v/>
      </c>
    </row>
    <row r="188" spans="1:16" x14ac:dyDescent="0.25">
      <c r="A188" t="str">
        <f>'Raw Data'!A162</f>
        <v>DH</v>
      </c>
      <c r="B188">
        <f>'Raw Data'!B162</f>
        <v>0</v>
      </c>
      <c r="C188">
        <f>'Raw Data'!J162</f>
        <v>0</v>
      </c>
      <c r="D188" t="str">
        <f>'Interpreted Data'!G162</f>
        <v/>
      </c>
      <c r="E188" t="str">
        <f>'Interpreted Data'!H162</f>
        <v/>
      </c>
      <c r="F188" t="str">
        <f>SUBSTITUTE('Raw Data'!K162," ",":",1)</f>
        <v/>
      </c>
      <c r="G188" t="str">
        <f>'Interpreted Data'!N162</f>
        <v/>
      </c>
      <c r="H188" t="str">
        <f>'Interpreted Data'!P162</f>
        <v>is 2" candle on smoke BM below smoke (.)</v>
      </c>
      <c r="I188" t="str">
        <f t="shared" si="63"/>
        <v xml:space="preserve"> </v>
      </c>
      <c r="J188" t="s">
        <v>77</v>
      </c>
      <c r="K188" t="str">
        <f>A188</f>
        <v>DH</v>
      </c>
      <c r="L188">
        <f t="shared" si="82"/>
        <v>0</v>
      </c>
      <c r="M188" t="str">
        <f t="shared" si="83"/>
        <v/>
      </c>
      <c r="N188" t="str">
        <f t="shared" si="84"/>
        <v/>
      </c>
      <c r="O188" t="str">
        <f t="shared" si="85"/>
        <v/>
      </c>
      <c r="P188" t="str">
        <f t="shared" si="86"/>
        <v>is 2" candle on smoke BM below smoke (.)</v>
      </c>
    </row>
    <row r="190" spans="1:16" x14ac:dyDescent="0.25">
      <c r="A190" t="str">
        <f>'Raw Data'!A164</f>
        <v>21st Dec '52</v>
      </c>
      <c r="B190" t="str">
        <f>'Raw Data'!B164</f>
        <v>Howard &amp; Jock.</v>
      </c>
      <c r="C190">
        <f>'Raw Data'!J164</f>
        <v>0</v>
      </c>
      <c r="D190" t="str">
        <f>'Interpreted Data'!G164</f>
        <v/>
      </c>
      <c r="E190" t="str">
        <f>'Interpreted Data'!H164</f>
        <v/>
      </c>
      <c r="F190" t="str">
        <f>SUBSTITUTE('Raw Data'!K164," ",":",1)</f>
        <v/>
      </c>
      <c r="G190" t="str">
        <f>'Interpreted Data'!N164</f>
        <v/>
      </c>
      <c r="H190" t="str">
        <f>'Interpreted Data'!P164</f>
        <v/>
      </c>
      <c r="I190" t="str">
        <f t="shared" si="63"/>
        <v xml:space="preserve"> </v>
      </c>
      <c r="J190" t="str">
        <f t="shared" si="80"/>
        <v>21st Dec '52</v>
      </c>
      <c r="K190" t="str">
        <f t="shared" si="81"/>
        <v>Howard &amp; Jock.</v>
      </c>
      <c r="L190">
        <f t="shared" si="82"/>
        <v>0</v>
      </c>
      <c r="M190" t="str">
        <f t="shared" si="83"/>
        <v/>
      </c>
      <c r="N190" t="str">
        <f t="shared" si="84"/>
        <v/>
      </c>
      <c r="O190" t="str">
        <f t="shared" si="85"/>
        <v/>
      </c>
      <c r="P190" t="str">
        <f t="shared" si="86"/>
        <v/>
      </c>
    </row>
    <row r="191" spans="1:16" x14ac:dyDescent="0.25">
      <c r="J191" t="str">
        <f>$J$1</f>
        <v>data normal from to tape compass backcompass clino ignoreall</v>
      </c>
    </row>
    <row r="192" spans="1:16" x14ac:dyDescent="0.25">
      <c r="A192" t="str">
        <f>'Raw Data'!A165</f>
        <v>DH</v>
      </c>
      <c r="B192" t="str">
        <f>'Raw Data'!B165</f>
        <v>DG</v>
      </c>
      <c r="C192">
        <f>'Raw Data'!J165</f>
        <v>5.6</v>
      </c>
      <c r="D192" t="str">
        <f>'Interpreted Data'!G165</f>
        <v>-</v>
      </c>
      <c r="E192" t="str">
        <f>'Interpreted Data'!H165</f>
        <v>175:00</v>
      </c>
      <c r="F192" t="str">
        <f>SUBSTITUTE('Raw Data'!K165," ",":",1)</f>
        <v>30:00</v>
      </c>
      <c r="G192">
        <f>'Interpreted Data'!N165</f>
        <v>2.8</v>
      </c>
      <c r="H192" t="str">
        <f>'Interpreted Data'!P165</f>
        <v/>
      </c>
      <c r="I192" t="str">
        <f t="shared" si="63"/>
        <v xml:space="preserve"> </v>
      </c>
      <c r="J192" t="str">
        <f t="shared" ref="J192:J212" si="87">A192</f>
        <v>DH</v>
      </c>
      <c r="K192" t="str">
        <f t="shared" ref="K192:K212" si="88">B192</f>
        <v>DG</v>
      </c>
      <c r="L192">
        <f t="shared" ref="L192:L212" si="89">C192</f>
        <v>5.6</v>
      </c>
      <c r="M192" t="str">
        <f t="shared" ref="M192:M212" si="90">D192</f>
        <v>-</v>
      </c>
      <c r="N192" t="str">
        <f t="shared" ref="N192:N212" si="91">E192</f>
        <v>175:00</v>
      </c>
      <c r="O192" t="str">
        <f t="shared" ref="O192:O212" si="92">IF(AND(D192="-",E192="-"),IF(1*SUBSTITUTE(F192,":",".")=-90,"DOWN",IF(1*SUBSTITUTE(F192,":",".")=90,"UP","no compass")),F192)</f>
        <v>30:00</v>
      </c>
      <c r="P192" t="str">
        <f t="shared" ref="P192:P212" si="93">H192</f>
        <v/>
      </c>
    </row>
    <row r="193" spans="1:16" x14ac:dyDescent="0.25">
      <c r="A193" t="str">
        <f>'Raw Data'!A166</f>
        <v>DG</v>
      </c>
      <c r="B193" t="str">
        <f>'Raw Data'!B166</f>
        <v>DF</v>
      </c>
      <c r="C193">
        <f>'Raw Data'!J166</f>
        <v>8.6999999999999993</v>
      </c>
      <c r="D193" t="str">
        <f>'Interpreted Data'!G166</f>
        <v>317:00</v>
      </c>
      <c r="E193" t="str">
        <f>'Interpreted Data'!H166</f>
        <v>-</v>
      </c>
      <c r="F193" t="str">
        <f>SUBSTITUTE('Raw Data'!K166," ",":",1)</f>
        <v>2:00</v>
      </c>
      <c r="G193">
        <f>'Interpreted Data'!N166</f>
        <v>0.3</v>
      </c>
      <c r="H193" t="str">
        <f>'Interpreted Data'!P166</f>
        <v/>
      </c>
      <c r="I193" t="str">
        <f t="shared" si="63"/>
        <v xml:space="preserve"> </v>
      </c>
      <c r="J193" t="str">
        <f t="shared" si="87"/>
        <v>DG</v>
      </c>
      <c r="K193" t="str">
        <f t="shared" si="88"/>
        <v>DF</v>
      </c>
      <c r="L193">
        <f t="shared" si="89"/>
        <v>8.6999999999999993</v>
      </c>
      <c r="M193" t="str">
        <f t="shared" si="90"/>
        <v>317:00</v>
      </c>
      <c r="N193" t="str">
        <f t="shared" si="91"/>
        <v>-</v>
      </c>
      <c r="O193" t="str">
        <f t="shared" si="92"/>
        <v>2:00</v>
      </c>
      <c r="P193" t="str">
        <f t="shared" si="93"/>
        <v/>
      </c>
    </row>
    <row r="194" spans="1:16" x14ac:dyDescent="0.25">
      <c r="A194" t="str">
        <f>'Raw Data'!A167</f>
        <v>DF</v>
      </c>
      <c r="B194" t="str">
        <f>'Raw Data'!B167</f>
        <v>DE</v>
      </c>
      <c r="C194">
        <f>'Raw Data'!J167</f>
        <v>3.1</v>
      </c>
      <c r="D194" t="str">
        <f>'Interpreted Data'!G167</f>
        <v>-</v>
      </c>
      <c r="E194" t="str">
        <f>'Interpreted Data'!H167</f>
        <v>087:00</v>
      </c>
      <c r="F194" t="str">
        <f>SUBSTITUTE('Raw Data'!K167," ",":",1)</f>
        <v>21:00</v>
      </c>
      <c r="G194">
        <f>'Interpreted Data'!N167</f>
        <v>0.7</v>
      </c>
      <c r="H194" t="str">
        <f>'Interpreted Data'!P167</f>
        <v/>
      </c>
      <c r="I194" t="str">
        <f t="shared" si="63"/>
        <v xml:space="preserve"> </v>
      </c>
      <c r="J194" t="str">
        <f t="shared" si="87"/>
        <v>DF</v>
      </c>
      <c r="K194" t="str">
        <f t="shared" si="88"/>
        <v>DE</v>
      </c>
      <c r="L194">
        <f t="shared" si="89"/>
        <v>3.1</v>
      </c>
      <c r="M194" t="str">
        <f t="shared" si="90"/>
        <v>-</v>
      </c>
      <c r="N194" t="str">
        <f t="shared" si="91"/>
        <v>087:00</v>
      </c>
      <c r="O194" t="str">
        <f t="shared" si="92"/>
        <v>21:00</v>
      </c>
      <c r="P194" t="str">
        <f t="shared" si="93"/>
        <v/>
      </c>
    </row>
    <row r="195" spans="1:16" x14ac:dyDescent="0.25">
      <c r="A195" t="str">
        <f>'Raw Data'!A168</f>
        <v>DE</v>
      </c>
      <c r="B195" t="str">
        <f>'Raw Data'!B168</f>
        <v>DD</v>
      </c>
      <c r="C195">
        <f>'Raw Data'!J168</f>
        <v>13.4</v>
      </c>
      <c r="D195" t="str">
        <f>'Interpreted Data'!G168</f>
        <v>299:00</v>
      </c>
      <c r="E195" t="str">
        <f>'Interpreted Data'!H168</f>
        <v>-</v>
      </c>
      <c r="F195" t="str">
        <f>SUBSTITUTE('Raw Data'!K168," ",":",1)</f>
        <v>-15:00</v>
      </c>
      <c r="G195">
        <f>'Interpreted Data'!N168</f>
        <v>-3.5</v>
      </c>
      <c r="H195" t="str">
        <f>'Interpreted Data'!P168</f>
        <v/>
      </c>
      <c r="I195" t="str">
        <f t="shared" si="63"/>
        <v xml:space="preserve"> </v>
      </c>
      <c r="J195" t="str">
        <f t="shared" si="87"/>
        <v>DE</v>
      </c>
      <c r="K195" t="str">
        <f t="shared" si="88"/>
        <v>DD</v>
      </c>
      <c r="L195">
        <f t="shared" si="89"/>
        <v>13.4</v>
      </c>
      <c r="M195" t="str">
        <f t="shared" si="90"/>
        <v>299:00</v>
      </c>
      <c r="N195" t="str">
        <f t="shared" si="91"/>
        <v>-</v>
      </c>
      <c r="O195" t="str">
        <f t="shared" si="92"/>
        <v>-15:00</v>
      </c>
      <c r="P195" t="str">
        <f t="shared" si="93"/>
        <v/>
      </c>
    </row>
    <row r="196" spans="1:16" x14ac:dyDescent="0.25">
      <c r="A196" t="str">
        <f>'Raw Data'!A169</f>
        <v>DD</v>
      </c>
      <c r="B196" t="str">
        <f>'Raw Data'!B169</f>
        <v>DC</v>
      </c>
      <c r="C196">
        <f>'Raw Data'!J169</f>
        <v>19.2</v>
      </c>
      <c r="D196" t="str">
        <f>'Interpreted Data'!G169</f>
        <v>-</v>
      </c>
      <c r="E196" t="str">
        <f>'Interpreted Data'!H169</f>
        <v>145:30</v>
      </c>
      <c r="F196" t="str">
        <f>SUBSTITUTE('Raw Data'!K169," ",":",1)</f>
        <v>-2:30</v>
      </c>
      <c r="G196">
        <f>'Interpreted Data'!N169</f>
        <v>-0.8</v>
      </c>
      <c r="H196" t="str">
        <f>'Interpreted Data'!P169</f>
        <v/>
      </c>
      <c r="I196" t="str">
        <f t="shared" si="63"/>
        <v xml:space="preserve"> </v>
      </c>
      <c r="J196" t="str">
        <f t="shared" si="87"/>
        <v>DD</v>
      </c>
      <c r="K196" t="str">
        <f t="shared" si="88"/>
        <v>DC</v>
      </c>
      <c r="L196">
        <f t="shared" si="89"/>
        <v>19.2</v>
      </c>
      <c r="M196" t="str">
        <f t="shared" si="90"/>
        <v>-</v>
      </c>
      <c r="N196" t="str">
        <f t="shared" si="91"/>
        <v>145:30</v>
      </c>
      <c r="O196" t="str">
        <f t="shared" si="92"/>
        <v>-2:30</v>
      </c>
      <c r="P196" t="str">
        <f t="shared" si="93"/>
        <v/>
      </c>
    </row>
    <row r="197" spans="1:16" x14ac:dyDescent="0.25">
      <c r="A197" t="str">
        <f>'Raw Data'!A170</f>
        <v>DC</v>
      </c>
      <c r="B197" t="str">
        <f>'Raw Data'!B170</f>
        <v>DB</v>
      </c>
      <c r="C197">
        <f>'Raw Data'!J170</f>
        <v>20.100000000000001</v>
      </c>
      <c r="D197" t="str">
        <f>'Interpreted Data'!G170</f>
        <v>319:30</v>
      </c>
      <c r="E197" t="str">
        <f>'Interpreted Data'!H170</f>
        <v>-</v>
      </c>
      <c r="F197" t="str">
        <f>SUBSTITUTE('Raw Data'!K170," ",":",1)</f>
        <v>-13:00</v>
      </c>
      <c r="G197">
        <f>'Interpreted Data'!N170</f>
        <v>-4.5</v>
      </c>
      <c r="H197" t="str">
        <f>'Interpreted Data'!P170</f>
        <v/>
      </c>
      <c r="I197" t="str">
        <f t="shared" si="63"/>
        <v xml:space="preserve"> </v>
      </c>
      <c r="J197" t="str">
        <f t="shared" si="87"/>
        <v>DC</v>
      </c>
      <c r="K197" t="str">
        <f t="shared" si="88"/>
        <v>DB</v>
      </c>
      <c r="L197">
        <f t="shared" si="89"/>
        <v>20.100000000000001</v>
      </c>
      <c r="M197" t="str">
        <f t="shared" si="90"/>
        <v>319:30</v>
      </c>
      <c r="N197" t="str">
        <f t="shared" si="91"/>
        <v>-</v>
      </c>
      <c r="O197" t="str">
        <f t="shared" si="92"/>
        <v>-13:00</v>
      </c>
      <c r="P197" t="str">
        <f t="shared" si="93"/>
        <v/>
      </c>
    </row>
    <row r="198" spans="1:16" x14ac:dyDescent="0.25">
      <c r="A198" t="str">
        <f>'Raw Data'!A171</f>
        <v>DB</v>
      </c>
      <c r="B198" t="str">
        <f>'Raw Data'!B171</f>
        <v>DA</v>
      </c>
      <c r="C198">
        <f>'Raw Data'!J171</f>
        <v>23.2</v>
      </c>
      <c r="D198" t="str">
        <f>'Interpreted Data'!G171</f>
        <v>-</v>
      </c>
      <c r="E198" t="str">
        <f>'Interpreted Data'!H171</f>
        <v>089:00</v>
      </c>
      <c r="F198" t="str">
        <f>SUBSTITUTE('Raw Data'!K171," ",":",1)</f>
        <v>-15:00</v>
      </c>
      <c r="G198">
        <f>'Interpreted Data'!N171</f>
        <v>-6</v>
      </c>
      <c r="H198" t="str">
        <f>'Interpreted Data'!P171</f>
        <v>Entrance to Old Grotto.</v>
      </c>
      <c r="I198" t="str">
        <f t="shared" si="63"/>
        <v xml:space="preserve"> </v>
      </c>
      <c r="J198" t="str">
        <f t="shared" si="87"/>
        <v>DB</v>
      </c>
      <c r="K198" t="str">
        <f t="shared" si="88"/>
        <v>DA</v>
      </c>
      <c r="L198">
        <f t="shared" si="89"/>
        <v>23.2</v>
      </c>
      <c r="M198" t="str">
        <f t="shared" si="90"/>
        <v>-</v>
      </c>
      <c r="N198" t="str">
        <f t="shared" si="91"/>
        <v>089:00</v>
      </c>
      <c r="O198" t="str">
        <f t="shared" si="92"/>
        <v>-15:00</v>
      </c>
      <c r="P198" t="str">
        <f t="shared" si="93"/>
        <v>Entrance to Old Grotto.</v>
      </c>
    </row>
    <row r="199" spans="1:16" x14ac:dyDescent="0.25">
      <c r="A199" t="str">
        <f>'Raw Data'!A172</f>
        <v>DA</v>
      </c>
      <c r="B199" t="str">
        <f>'Raw Data'!B172</f>
        <v>CZ</v>
      </c>
      <c r="C199">
        <f>'Raw Data'!J172</f>
        <v>27.9</v>
      </c>
      <c r="D199" t="str">
        <f>'Interpreted Data'!G172</f>
        <v>202:20</v>
      </c>
      <c r="E199" t="str">
        <f>'Interpreted Data'!H172</f>
        <v>-</v>
      </c>
      <c r="F199" t="str">
        <f>SUBSTITUTE('Raw Data'!K172," ",":",1)</f>
        <v>-41:30</v>
      </c>
      <c r="G199">
        <f>'Interpreted Data'!N172</f>
        <v>-18.5</v>
      </c>
      <c r="H199" t="str">
        <f>'Interpreted Data'!P172</f>
        <v/>
      </c>
      <c r="I199" t="str">
        <f t="shared" si="63"/>
        <v xml:space="preserve"> </v>
      </c>
      <c r="J199" t="str">
        <f t="shared" si="87"/>
        <v>DA</v>
      </c>
      <c r="K199" t="str">
        <f t="shared" si="88"/>
        <v>CZ</v>
      </c>
      <c r="L199">
        <f t="shared" si="89"/>
        <v>27.9</v>
      </c>
      <c r="M199" t="str">
        <f t="shared" si="90"/>
        <v>202:20</v>
      </c>
      <c r="N199" t="str">
        <f t="shared" si="91"/>
        <v>-</v>
      </c>
      <c r="O199" t="str">
        <f t="shared" si="92"/>
        <v>-41:30</v>
      </c>
      <c r="P199" t="str">
        <f t="shared" si="93"/>
        <v/>
      </c>
    </row>
    <row r="200" spans="1:16" x14ac:dyDescent="0.25">
      <c r="A200" t="str">
        <f>'Raw Data'!A173</f>
        <v>CZ</v>
      </c>
      <c r="B200" t="str">
        <f>'Raw Data'!B173</f>
        <v>CY</v>
      </c>
      <c r="C200">
        <f>'Raw Data'!J173</f>
        <v>22.6</v>
      </c>
      <c r="D200" t="str">
        <f>'Interpreted Data'!G173</f>
        <v>-</v>
      </c>
      <c r="E200" t="str">
        <f>'Interpreted Data'!H173</f>
        <v>069:00</v>
      </c>
      <c r="F200" t="str">
        <f>SUBSTITUTE('Raw Data'!K173," ",":",1)</f>
        <v>-17:00</v>
      </c>
      <c r="G200">
        <f>'Interpreted Data'!N173</f>
        <v>-6.6</v>
      </c>
      <c r="H200" t="str">
        <f>'Interpreted Data'!P173</f>
        <v/>
      </c>
      <c r="I200" t="str">
        <f t="shared" si="63"/>
        <v xml:space="preserve"> </v>
      </c>
      <c r="J200" t="str">
        <f t="shared" si="87"/>
        <v>CZ</v>
      </c>
      <c r="K200" t="str">
        <f t="shared" si="88"/>
        <v>CY</v>
      </c>
      <c r="L200">
        <f t="shared" si="89"/>
        <v>22.6</v>
      </c>
      <c r="M200" t="str">
        <f t="shared" si="90"/>
        <v>-</v>
      </c>
      <c r="N200" t="str">
        <f t="shared" si="91"/>
        <v>069:00</v>
      </c>
      <c r="O200" t="str">
        <f t="shared" si="92"/>
        <v>-17:00</v>
      </c>
      <c r="P200" t="str">
        <f t="shared" si="93"/>
        <v/>
      </c>
    </row>
    <row r="201" spans="1:16" x14ac:dyDescent="0.25">
      <c r="A201" t="str">
        <f>'Raw Data'!A174</f>
        <v>CY</v>
      </c>
      <c r="B201" t="str">
        <f>'Raw Data'!B174</f>
        <v>CX</v>
      </c>
      <c r="C201">
        <f>'Raw Data'!J174</f>
        <v>27.4</v>
      </c>
      <c r="D201" t="str">
        <f>'Interpreted Data'!G174</f>
        <v>292:00</v>
      </c>
      <c r="E201" t="str">
        <f>'Interpreted Data'!H174</f>
        <v>-</v>
      </c>
      <c r="F201" t="str">
        <f>SUBSTITUTE('Raw Data'!K174," ",":",1)</f>
        <v>-6:40</v>
      </c>
      <c r="G201">
        <f>'Interpreted Data'!N174</f>
        <v>-3.2</v>
      </c>
      <c r="H201" t="str">
        <f>'Interpreted Data'!P174</f>
        <v/>
      </c>
      <c r="I201" t="str">
        <f t="shared" si="63"/>
        <v xml:space="preserve"> </v>
      </c>
      <c r="J201" t="str">
        <f t="shared" si="87"/>
        <v>CY</v>
      </c>
      <c r="K201" t="str">
        <f t="shared" si="88"/>
        <v>CX</v>
      </c>
      <c r="L201">
        <f t="shared" si="89"/>
        <v>27.4</v>
      </c>
      <c r="M201" t="str">
        <f t="shared" si="90"/>
        <v>292:00</v>
      </c>
      <c r="N201" t="str">
        <f t="shared" si="91"/>
        <v>-</v>
      </c>
      <c r="O201" t="str">
        <f t="shared" si="92"/>
        <v>-6:40</v>
      </c>
      <c r="P201" t="str">
        <f t="shared" si="93"/>
        <v/>
      </c>
    </row>
    <row r="202" spans="1:16" x14ac:dyDescent="0.25">
      <c r="A202" t="str">
        <f>'Raw Data'!A175</f>
        <v>CX</v>
      </c>
      <c r="B202" t="str">
        <f>'Raw Data'!B175</f>
        <v>CW</v>
      </c>
      <c r="C202">
        <f>'Raw Data'!J175</f>
        <v>22.2</v>
      </c>
      <c r="D202" t="str">
        <f>'Interpreted Data'!G175</f>
        <v>-</v>
      </c>
      <c r="E202" t="str">
        <f>'Interpreted Data'!H175</f>
        <v>030:00</v>
      </c>
      <c r="F202" t="str">
        <f>SUBSTITUTE('Raw Data'!K175," ",":",1)</f>
        <v>-1:40</v>
      </c>
      <c r="G202">
        <f>'Interpreted Data'!N175</f>
        <v>-0.6</v>
      </c>
      <c r="H202" t="str">
        <f>'Interpreted Data'!P175</f>
        <v/>
      </c>
      <c r="I202" t="str">
        <f t="shared" ref="I202:I274" si="94">" "</f>
        <v xml:space="preserve"> </v>
      </c>
      <c r="J202" t="str">
        <f t="shared" si="87"/>
        <v>CX</v>
      </c>
      <c r="K202" t="str">
        <f t="shared" si="88"/>
        <v>CW</v>
      </c>
      <c r="L202">
        <f t="shared" si="89"/>
        <v>22.2</v>
      </c>
      <c r="M202" t="str">
        <f t="shared" si="90"/>
        <v>-</v>
      </c>
      <c r="N202" t="str">
        <f t="shared" si="91"/>
        <v>030:00</v>
      </c>
      <c r="O202" t="str">
        <f t="shared" si="92"/>
        <v>-1:40</v>
      </c>
      <c r="P202" t="str">
        <f t="shared" si="93"/>
        <v/>
      </c>
    </row>
    <row r="203" spans="1:16" x14ac:dyDescent="0.25">
      <c r="A203" t="str">
        <f>'Raw Data'!A176</f>
        <v>CW</v>
      </c>
      <c r="B203" t="str">
        <f>'Raw Data'!B176</f>
        <v>CV</v>
      </c>
      <c r="C203">
        <f>'Raw Data'!J176</f>
        <v>16.3</v>
      </c>
      <c r="D203" t="str">
        <f>'Interpreted Data'!G176</f>
        <v>192:00</v>
      </c>
      <c r="E203" t="str">
        <f>'Interpreted Data'!H176</f>
        <v>-</v>
      </c>
      <c r="F203" t="str">
        <f>SUBSTITUTE('Raw Data'!K176," ",":",1)</f>
        <v>6:30</v>
      </c>
      <c r="G203">
        <f>'Interpreted Data'!N176</f>
        <v>1.8</v>
      </c>
      <c r="H203" t="str">
        <f>'Interpreted Data'!P176</f>
        <v/>
      </c>
      <c r="I203" t="str">
        <f t="shared" si="94"/>
        <v xml:space="preserve"> </v>
      </c>
      <c r="J203" t="str">
        <f t="shared" si="87"/>
        <v>CW</v>
      </c>
      <c r="K203" t="str">
        <f t="shared" si="88"/>
        <v>CV</v>
      </c>
      <c r="L203">
        <f t="shared" si="89"/>
        <v>16.3</v>
      </c>
      <c r="M203" t="str">
        <f t="shared" si="90"/>
        <v>192:00</v>
      </c>
      <c r="N203" t="str">
        <f t="shared" si="91"/>
        <v>-</v>
      </c>
      <c r="O203" t="str">
        <f t="shared" si="92"/>
        <v>6:30</v>
      </c>
      <c r="P203" t="str">
        <f t="shared" si="93"/>
        <v/>
      </c>
    </row>
    <row r="204" spans="1:16" x14ac:dyDescent="0.25">
      <c r="A204" t="str">
        <f>'Raw Data'!A177</f>
        <v>CV</v>
      </c>
      <c r="B204" t="str">
        <f>'Raw Data'!B177</f>
        <v>CU</v>
      </c>
      <c r="C204">
        <f>'Raw Data'!J177</f>
        <v>13.6</v>
      </c>
      <c r="D204" t="str">
        <f>'Interpreted Data'!G177</f>
        <v>-</v>
      </c>
      <c r="E204" t="str">
        <f>'Interpreted Data'!H177</f>
        <v>073:00</v>
      </c>
      <c r="F204" t="str">
        <f>SUBSTITUTE('Raw Data'!K177," ",":",1)</f>
        <v>6:00</v>
      </c>
      <c r="G204">
        <f>'Interpreted Data'!N177</f>
        <v>1.4</v>
      </c>
      <c r="H204" t="str">
        <f>'Interpreted Data'!P177</f>
        <v/>
      </c>
      <c r="I204" t="str">
        <f t="shared" si="94"/>
        <v xml:space="preserve"> </v>
      </c>
      <c r="J204" t="str">
        <f t="shared" si="87"/>
        <v>CV</v>
      </c>
      <c r="K204" t="str">
        <f t="shared" si="88"/>
        <v>CU</v>
      </c>
      <c r="L204">
        <f t="shared" si="89"/>
        <v>13.6</v>
      </c>
      <c r="M204" t="str">
        <f t="shared" si="90"/>
        <v>-</v>
      </c>
      <c r="N204" t="str">
        <f t="shared" si="91"/>
        <v>073:00</v>
      </c>
      <c r="O204" t="str">
        <f t="shared" si="92"/>
        <v>6:00</v>
      </c>
      <c r="P204" t="str">
        <f t="shared" si="93"/>
        <v/>
      </c>
    </row>
    <row r="205" spans="1:16" x14ac:dyDescent="0.25">
      <c r="A205" t="str">
        <f>'Raw Data'!A178</f>
        <v>CU</v>
      </c>
      <c r="B205" t="str">
        <f>'Raw Data'!B178</f>
        <v>CT</v>
      </c>
      <c r="C205">
        <f>'Raw Data'!J178</f>
        <v>20.100000000000001</v>
      </c>
      <c r="D205" t="str">
        <f>'Interpreted Data'!G178</f>
        <v>259:30</v>
      </c>
      <c r="E205" t="str">
        <f>'Interpreted Data'!H178</f>
        <v>-</v>
      </c>
      <c r="F205" t="str">
        <f>SUBSTITUTE('Raw Data'!K178," ",":",1)</f>
        <v>-28:00</v>
      </c>
      <c r="G205">
        <f>'Interpreted Data'!N178</f>
        <v>-9.4</v>
      </c>
      <c r="H205" t="str">
        <f>'Interpreted Data'!P178</f>
        <v/>
      </c>
      <c r="I205" t="str">
        <f t="shared" si="94"/>
        <v xml:space="preserve"> </v>
      </c>
      <c r="J205" t="str">
        <f t="shared" si="87"/>
        <v>CU</v>
      </c>
      <c r="K205" t="str">
        <f t="shared" si="88"/>
        <v>CT</v>
      </c>
      <c r="L205">
        <f t="shared" si="89"/>
        <v>20.100000000000001</v>
      </c>
      <c r="M205" t="str">
        <f t="shared" si="90"/>
        <v>259:30</v>
      </c>
      <c r="N205" t="str">
        <f t="shared" si="91"/>
        <v>-</v>
      </c>
      <c r="O205" t="str">
        <f t="shared" si="92"/>
        <v>-28:00</v>
      </c>
      <c r="P205" t="str">
        <f t="shared" si="93"/>
        <v/>
      </c>
    </row>
    <row r="206" spans="1:16" x14ac:dyDescent="0.25">
      <c r="A206" t="str">
        <f>'Raw Data'!A179</f>
        <v>CT</v>
      </c>
      <c r="B206" t="str">
        <f>'Raw Data'!B179</f>
        <v>CS</v>
      </c>
      <c r="C206">
        <f>'Raw Data'!J179</f>
        <v>1.8</v>
      </c>
      <c r="D206" t="str">
        <f>'Interpreted Data'!G179</f>
        <v>-</v>
      </c>
      <c r="E206" t="str">
        <f>'Interpreted Data'!H179</f>
        <v>-</v>
      </c>
      <c r="F206" t="str">
        <f>SUBSTITUTE('Raw Data'!K179," ",":",1)</f>
        <v>90:00</v>
      </c>
      <c r="G206">
        <f>'Interpreted Data'!N179</f>
        <v>1.8</v>
      </c>
      <c r="H206" t="str">
        <f>'Interpreted Data'!P179</f>
        <v>(sketch of CR-CZ-DA-DH)</v>
      </c>
      <c r="I206" t="str">
        <f t="shared" si="94"/>
        <v xml:space="preserve"> </v>
      </c>
      <c r="J206" t="str">
        <f t="shared" si="87"/>
        <v>CT</v>
      </c>
      <c r="K206" t="str">
        <f t="shared" si="88"/>
        <v>CS</v>
      </c>
      <c r="L206">
        <f t="shared" si="89"/>
        <v>1.8</v>
      </c>
      <c r="M206" t="str">
        <f t="shared" si="90"/>
        <v>-</v>
      </c>
      <c r="N206" t="str">
        <f t="shared" si="91"/>
        <v>-</v>
      </c>
      <c r="O206" t="str">
        <f t="shared" si="92"/>
        <v>UP</v>
      </c>
      <c r="P206" t="str">
        <f t="shared" si="93"/>
        <v>(sketch of CR-CZ-DA-DH)</v>
      </c>
    </row>
    <row r="207" spans="1:16" x14ac:dyDescent="0.25">
      <c r="A207" t="str">
        <f>'Raw Data'!A180</f>
        <v>CS</v>
      </c>
      <c r="B207" t="str">
        <f>'Raw Data'!B180</f>
        <v>CR</v>
      </c>
      <c r="C207">
        <f>'Raw Data'!J180</f>
        <v>15.8</v>
      </c>
      <c r="D207" t="str">
        <f>'Interpreted Data'!G180</f>
        <v>321:00</v>
      </c>
      <c r="E207" t="str">
        <f>'Interpreted Data'!H180</f>
        <v>-</v>
      </c>
      <c r="F207" t="str">
        <f>SUBSTITUTE('Raw Data'!K180," ",":",1)</f>
        <v>-1:00</v>
      </c>
      <c r="G207">
        <f>'Interpreted Data'!N180</f>
        <v>-0.3</v>
      </c>
      <c r="H207" t="str">
        <f>'Interpreted Data'!P180</f>
        <v/>
      </c>
      <c r="I207" t="str">
        <f t="shared" si="94"/>
        <v xml:space="preserve"> </v>
      </c>
      <c r="J207" t="str">
        <f t="shared" si="87"/>
        <v>CS</v>
      </c>
      <c r="K207" t="str">
        <f t="shared" si="88"/>
        <v>CR</v>
      </c>
      <c r="L207">
        <f t="shared" si="89"/>
        <v>15.8</v>
      </c>
      <c r="M207" t="str">
        <f t="shared" si="90"/>
        <v>321:00</v>
      </c>
      <c r="N207" t="str">
        <f t="shared" si="91"/>
        <v>-</v>
      </c>
      <c r="O207" t="str">
        <f t="shared" si="92"/>
        <v>-1:00</v>
      </c>
      <c r="P207" t="str">
        <f t="shared" si="93"/>
        <v/>
      </c>
    </row>
    <row r="208" spans="1:16" x14ac:dyDescent="0.25">
      <c r="A208" t="str">
        <f>'Raw Data'!A181</f>
        <v>CR</v>
      </c>
      <c r="B208" t="str">
        <f>'Raw Data'!B181</f>
        <v>CQ</v>
      </c>
      <c r="C208">
        <f>'Raw Data'!J181</f>
        <v>16.7</v>
      </c>
      <c r="D208" t="str">
        <f>'Interpreted Data'!G181</f>
        <v>-</v>
      </c>
      <c r="E208" t="str">
        <f>'Interpreted Data'!H181</f>
        <v>144:00</v>
      </c>
      <c r="F208" t="str">
        <f>SUBSTITUTE('Raw Data'!K181," ",":",1)</f>
        <v>-5:00</v>
      </c>
      <c r="G208">
        <f>'Interpreted Data'!N181</f>
        <v>-1.5</v>
      </c>
      <c r="H208" t="str">
        <f>'Interpreted Data'!P181</f>
        <v/>
      </c>
      <c r="I208" t="str">
        <f t="shared" si="94"/>
        <v xml:space="preserve"> </v>
      </c>
      <c r="J208" t="str">
        <f t="shared" si="87"/>
        <v>CR</v>
      </c>
      <c r="K208" t="str">
        <f t="shared" si="88"/>
        <v>CQ</v>
      </c>
      <c r="L208">
        <f t="shared" si="89"/>
        <v>16.7</v>
      </c>
      <c r="M208" t="str">
        <f t="shared" si="90"/>
        <v>-</v>
      </c>
      <c r="N208" t="str">
        <f t="shared" si="91"/>
        <v>144:00</v>
      </c>
      <c r="O208" t="str">
        <f t="shared" si="92"/>
        <v>-5:00</v>
      </c>
      <c r="P208" t="str">
        <f t="shared" si="93"/>
        <v/>
      </c>
    </row>
    <row r="209" spans="1:16" x14ac:dyDescent="0.25">
      <c r="A209" t="str">
        <f>'Raw Data'!A182</f>
        <v>CQ</v>
      </c>
      <c r="B209" t="str">
        <f>'Raw Data'!B182</f>
        <v>CP</v>
      </c>
      <c r="C209">
        <f>'Raw Data'!J182</f>
        <v>14.5</v>
      </c>
      <c r="D209" t="str">
        <f>'Interpreted Data'!G182</f>
        <v>325:30</v>
      </c>
      <c r="E209" t="str">
        <f>'Interpreted Data'!H182</f>
        <v>-</v>
      </c>
      <c r="F209" t="str">
        <f>SUBSTITUTE('Raw Data'!K182," ",":",1)</f>
        <v>3:00</v>
      </c>
      <c r="G209">
        <f>'Interpreted Data'!N182</f>
        <v>0.8</v>
      </c>
      <c r="H209" t="str">
        <f>'Interpreted Data'!P182</f>
        <v/>
      </c>
      <c r="I209" t="str">
        <f t="shared" si="94"/>
        <v xml:space="preserve"> </v>
      </c>
      <c r="J209" t="str">
        <f t="shared" si="87"/>
        <v>CQ</v>
      </c>
      <c r="K209" t="str">
        <f t="shared" si="88"/>
        <v>CP</v>
      </c>
      <c r="L209">
        <f t="shared" si="89"/>
        <v>14.5</v>
      </c>
      <c r="M209" t="str">
        <f t="shared" si="90"/>
        <v>325:30</v>
      </c>
      <c r="N209" t="str">
        <f t="shared" si="91"/>
        <v>-</v>
      </c>
      <c r="O209" t="str">
        <f t="shared" si="92"/>
        <v>3:00</v>
      </c>
      <c r="P209" t="str">
        <f t="shared" si="93"/>
        <v/>
      </c>
    </row>
    <row r="210" spans="1:16" x14ac:dyDescent="0.25">
      <c r="A210" t="str">
        <f>'Raw Data'!A183</f>
        <v>CP</v>
      </c>
      <c r="B210" t="str">
        <f>'Raw Data'!B183</f>
        <v>CO</v>
      </c>
      <c r="C210">
        <f>'Raw Data'!J183</f>
        <v>4.0999999999999996</v>
      </c>
      <c r="D210" t="str">
        <f>'Interpreted Data'!G183</f>
        <v>-</v>
      </c>
      <c r="E210" t="str">
        <f>'Interpreted Data'!H183</f>
        <v>171:00</v>
      </c>
      <c r="F210" t="str">
        <f>SUBSTITUTE('Raw Data'!K183," ",":",1)</f>
        <v>level</v>
      </c>
      <c r="G210">
        <f>'Interpreted Data'!N183</f>
        <v>0</v>
      </c>
      <c r="H210" t="str">
        <f>'Interpreted Data'!P183</f>
        <v/>
      </c>
      <c r="I210" t="str">
        <f t="shared" si="94"/>
        <v xml:space="preserve"> </v>
      </c>
      <c r="J210" t="str">
        <f t="shared" si="87"/>
        <v>CP</v>
      </c>
      <c r="K210" t="str">
        <f t="shared" si="88"/>
        <v>CO</v>
      </c>
      <c r="L210">
        <f t="shared" si="89"/>
        <v>4.0999999999999996</v>
      </c>
      <c r="M210" t="str">
        <f t="shared" si="90"/>
        <v>-</v>
      </c>
      <c r="N210" t="str">
        <f t="shared" si="91"/>
        <v>171:00</v>
      </c>
      <c r="O210">
        <f>G210</f>
        <v>0</v>
      </c>
      <c r="P210" t="str">
        <f t="shared" si="93"/>
        <v/>
      </c>
    </row>
    <row r="211" spans="1:16" x14ac:dyDescent="0.25">
      <c r="A211" t="str">
        <f>'Raw Data'!A184</f>
        <v>CO</v>
      </c>
      <c r="B211" t="str">
        <f>'Raw Data'!B184</f>
        <v>CN</v>
      </c>
      <c r="C211">
        <f>'Raw Data'!J184</f>
        <v>9.5</v>
      </c>
      <c r="D211" t="str">
        <f>'Interpreted Data'!G184</f>
        <v>-</v>
      </c>
      <c r="E211" t="str">
        <f>'Interpreted Data'!H184</f>
        <v>168:00</v>
      </c>
      <c r="F211" t="str">
        <f>SUBSTITUTE('Raw Data'!K184," ",":",1)</f>
        <v>4:30</v>
      </c>
      <c r="G211">
        <f>'Interpreted Data'!N184</f>
        <v>0.7</v>
      </c>
      <c r="H211" t="str">
        <f>'Interpreted Data'!P184</f>
        <v/>
      </c>
      <c r="I211" t="str">
        <f t="shared" si="94"/>
        <v xml:space="preserve"> </v>
      </c>
      <c r="J211" t="str">
        <f t="shared" si="87"/>
        <v>CO</v>
      </c>
      <c r="K211" t="str">
        <f t="shared" si="88"/>
        <v>CN</v>
      </c>
      <c r="L211">
        <f t="shared" si="89"/>
        <v>9.5</v>
      </c>
      <c r="M211" t="str">
        <f t="shared" si="90"/>
        <v>-</v>
      </c>
      <c r="N211" t="str">
        <f t="shared" si="91"/>
        <v>168:00</v>
      </c>
      <c r="O211" t="str">
        <f t="shared" si="92"/>
        <v>4:30</v>
      </c>
      <c r="P211" t="str">
        <f t="shared" si="93"/>
        <v/>
      </c>
    </row>
    <row r="212" spans="1:16" x14ac:dyDescent="0.25">
      <c r="A212" t="str">
        <f>'Raw Data'!A185</f>
        <v>CN</v>
      </c>
      <c r="B212" t="str">
        <f>'Raw Data'!B185</f>
        <v>CM</v>
      </c>
      <c r="C212">
        <f>'Raw Data'!J185</f>
        <v>25.5</v>
      </c>
      <c r="D212" t="str">
        <f>'Interpreted Data'!G185</f>
        <v>335:00</v>
      </c>
      <c r="E212" t="str">
        <f>'Interpreted Data'!H185</f>
        <v>-</v>
      </c>
      <c r="F212" t="str">
        <f>SUBSTITUTE('Raw Data'!K185," ",":",1)</f>
        <v>-21:30</v>
      </c>
      <c r="G212">
        <f>'Interpreted Data'!N185</f>
        <v>-9.3000000000000007</v>
      </c>
      <c r="H212" t="str">
        <f>'Interpreted Data'!P185</f>
        <v>CM = On stalagmite projection over 40 ft pt.</v>
      </c>
      <c r="I212" t="str">
        <f t="shared" si="94"/>
        <v xml:space="preserve"> </v>
      </c>
      <c r="J212" t="str">
        <f t="shared" si="87"/>
        <v>CN</v>
      </c>
      <c r="K212" t="str">
        <f t="shared" si="88"/>
        <v>CM</v>
      </c>
      <c r="L212">
        <f t="shared" si="89"/>
        <v>25.5</v>
      </c>
      <c r="M212" t="str">
        <f t="shared" si="90"/>
        <v>335:00</v>
      </c>
      <c r="N212" t="str">
        <f t="shared" si="91"/>
        <v>-</v>
      </c>
      <c r="O212" t="str">
        <f t="shared" si="92"/>
        <v>-21:30</v>
      </c>
      <c r="P212" t="str">
        <f t="shared" si="93"/>
        <v>CM = On stalagmite projection over 40 ft pt.</v>
      </c>
    </row>
    <row r="213" spans="1:16" x14ac:dyDescent="0.25">
      <c r="A213" t="str">
        <f>'Raw Data'!A186</f>
        <v>CM</v>
      </c>
      <c r="B213">
        <f>'Raw Data'!B186</f>
        <v>0</v>
      </c>
      <c r="C213">
        <f>'Raw Data'!J186</f>
        <v>0</v>
      </c>
      <c r="D213" t="str">
        <f>'Interpreted Data'!G186</f>
        <v/>
      </c>
      <c r="E213" t="str">
        <f>'Interpreted Data'!H186</f>
        <v/>
      </c>
      <c r="F213" t="str">
        <f>SUBSTITUTE('Raw Data'!K186," ",":",1)</f>
        <v>-</v>
      </c>
      <c r="G213" t="str">
        <f>'Interpreted Data'!N186</f>
        <v/>
      </c>
      <c r="H213" t="str">
        <f>'Interpreted Data'!P186</f>
        <v/>
      </c>
      <c r="I213" t="str">
        <f t="shared" si="94"/>
        <v xml:space="preserve"> </v>
      </c>
      <c r="J213" t="s">
        <v>77</v>
      </c>
      <c r="K213" t="str">
        <f>A213</f>
        <v>CM</v>
      </c>
      <c r="L213">
        <f t="shared" ref="L213:L289" si="95">C213</f>
        <v>0</v>
      </c>
      <c r="M213" t="str">
        <f t="shared" ref="M213:M289" si="96">D213</f>
        <v/>
      </c>
      <c r="N213" t="str">
        <f t="shared" ref="N213:N289" si="97">E213</f>
        <v/>
      </c>
      <c r="O213" t="str">
        <f t="shared" ref="O213:O289" si="98">IF(AND(D213="-",E213="-"),IF(1*SUBSTITUTE(F213,":",".")=-90,"DOWN",IF(1*SUBSTITUTE(F213,":",".")=90,"UP","no compass")),F213)</f>
        <v>-</v>
      </c>
      <c r="P213" t="str">
        <f t="shared" ref="P213:P289" si="99">H213</f>
        <v/>
      </c>
    </row>
    <row r="215" spans="1:16" x14ac:dyDescent="0.25">
      <c r="A215" t="str">
        <f>'Raw Data'!A188</f>
        <v>p. 61-64</v>
      </c>
      <c r="B215" t="str">
        <f>'Raw Data'!B188</f>
        <v>(=PDF p.65-68)</v>
      </c>
      <c r="C215">
        <f>'Raw Data'!J188</f>
        <v>0</v>
      </c>
      <c r="D215" t="str">
        <f>'Interpreted Data'!G188</f>
        <v/>
      </c>
      <c r="E215" t="str">
        <f>'Interpreted Data'!H188</f>
        <v/>
      </c>
      <c r="F215" t="str">
        <f>SUBSTITUTE('Raw Data'!K188," ",":",1)</f>
        <v/>
      </c>
      <c r="G215" t="str">
        <f>'Interpreted Data'!N188</f>
        <v/>
      </c>
      <c r="H215" t="str">
        <f>'Interpreted Data'!P188</f>
        <v/>
      </c>
      <c r="I215" t="str">
        <f t="shared" si="94"/>
        <v xml:space="preserve"> </v>
      </c>
      <c r="J215" t="str">
        <f t="shared" ref="J215:J289" si="100">A215</f>
        <v>p. 61-64</v>
      </c>
      <c r="K215" t="str">
        <f t="shared" ref="K215:K289" si="101">B215</f>
        <v>(=PDF p.65-68)</v>
      </c>
      <c r="L215">
        <f t="shared" si="95"/>
        <v>0</v>
      </c>
      <c r="M215" t="str">
        <f t="shared" si="96"/>
        <v/>
      </c>
      <c r="N215" t="str">
        <f t="shared" si="97"/>
        <v/>
      </c>
      <c r="O215" t="str">
        <f t="shared" si="98"/>
        <v/>
      </c>
      <c r="P215" t="str">
        <f t="shared" si="99"/>
        <v/>
      </c>
    </row>
    <row r="216" spans="1:16" x14ac:dyDescent="0.25">
      <c r="A216" t="str">
        <f>'Raw Data'!A189</f>
        <v>8th Feb '53</v>
      </c>
      <c r="B216">
        <f>'Raw Data'!B189</f>
        <v>0</v>
      </c>
      <c r="C216">
        <f>'Raw Data'!J189</f>
        <v>0</v>
      </c>
      <c r="D216" t="str">
        <f>'Interpreted Data'!G189</f>
        <v/>
      </c>
      <c r="E216" t="str">
        <f>'Interpreted Data'!H189</f>
        <v/>
      </c>
      <c r="F216" t="str">
        <f>SUBSTITUTE('Raw Data'!K189," ",":",1)</f>
        <v/>
      </c>
      <c r="G216" t="str">
        <f>'Interpreted Data'!N189</f>
        <v/>
      </c>
      <c r="H216" t="str">
        <f>'Interpreted Data'!P189</f>
        <v/>
      </c>
      <c r="I216" t="str">
        <f t="shared" si="94"/>
        <v xml:space="preserve"> </v>
      </c>
      <c r="J216" t="str">
        <f t="shared" si="100"/>
        <v>8th Feb '53</v>
      </c>
      <c r="K216">
        <f t="shared" si="101"/>
        <v>0</v>
      </c>
      <c r="L216">
        <f t="shared" si="95"/>
        <v>0</v>
      </c>
      <c r="M216" t="str">
        <f t="shared" si="96"/>
        <v/>
      </c>
      <c r="N216" t="str">
        <f t="shared" si="97"/>
        <v/>
      </c>
      <c r="O216" t="str">
        <f t="shared" si="98"/>
        <v/>
      </c>
      <c r="P216" t="str">
        <f t="shared" si="99"/>
        <v/>
      </c>
    </row>
    <row r="217" spans="1:16" x14ac:dyDescent="0.25">
      <c r="J217" t="str">
        <f>$J$1</f>
        <v>data normal from to tape compass backcompass clino ignoreall</v>
      </c>
    </row>
    <row r="218" spans="1:16" x14ac:dyDescent="0.25">
      <c r="A218" t="str">
        <f>'Raw Data'!A190</f>
        <v>AY</v>
      </c>
      <c r="B218" t="str">
        <f>'Raw Data'!B190</f>
        <v>AZ</v>
      </c>
      <c r="C218">
        <f>'Raw Data'!J190</f>
        <v>17.600000000000001</v>
      </c>
      <c r="D218" t="str">
        <f>'Interpreted Data'!G190</f>
        <v>-</v>
      </c>
      <c r="E218" t="str">
        <f>'Interpreted Data'!H190</f>
        <v>259:20</v>
      </c>
      <c r="F218" t="str">
        <f>SUBSTITUTE('Raw Data'!K190," ",":",1)</f>
        <v>30:30</v>
      </c>
      <c r="G218">
        <f>'Interpreted Data'!N190</f>
        <v>8.9</v>
      </c>
      <c r="H218" t="str">
        <f>'Interpreted Data'!P190</f>
        <v/>
      </c>
      <c r="I218" t="str">
        <f t="shared" si="94"/>
        <v xml:space="preserve"> </v>
      </c>
      <c r="J218" t="str">
        <f t="shared" si="100"/>
        <v>AY</v>
      </c>
      <c r="K218" t="str">
        <f t="shared" si="101"/>
        <v>AZ</v>
      </c>
      <c r="L218">
        <f t="shared" si="95"/>
        <v>17.600000000000001</v>
      </c>
      <c r="M218" t="str">
        <f t="shared" si="96"/>
        <v>-</v>
      </c>
      <c r="N218" t="str">
        <f t="shared" si="97"/>
        <v>259:20</v>
      </c>
      <c r="O218" t="str">
        <f t="shared" si="98"/>
        <v>30:30</v>
      </c>
      <c r="P218" t="str">
        <f t="shared" si="99"/>
        <v/>
      </c>
    </row>
    <row r="219" spans="1:16" x14ac:dyDescent="0.25">
      <c r="A219" t="str">
        <f>'Raw Data'!A191</f>
        <v>AZ</v>
      </c>
      <c r="B219" t="str">
        <f>'Raw Data'!B191</f>
        <v>BA</v>
      </c>
      <c r="C219">
        <f>'Raw Data'!J191</f>
        <v>36.6</v>
      </c>
      <c r="D219" t="str">
        <f>'Interpreted Data'!G191</f>
        <v>113:30</v>
      </c>
      <c r="E219" t="str">
        <f>'Interpreted Data'!H191</f>
        <v>-</v>
      </c>
      <c r="F219" t="str">
        <f>SUBSTITUTE('Raw Data'!K191," ",":",1)</f>
        <v>21:20</v>
      </c>
      <c r="G219">
        <f>'Interpreted Data'!N191</f>
        <v>13.3</v>
      </c>
      <c r="H219" t="str">
        <f>'Interpreted Data'!P191</f>
        <v/>
      </c>
      <c r="I219" t="str">
        <f t="shared" si="94"/>
        <v xml:space="preserve"> </v>
      </c>
      <c r="J219" t="str">
        <f t="shared" si="100"/>
        <v>AZ</v>
      </c>
      <c r="K219" t="str">
        <f t="shared" si="101"/>
        <v>BA</v>
      </c>
      <c r="L219">
        <f t="shared" si="95"/>
        <v>36.6</v>
      </c>
      <c r="M219" t="str">
        <f t="shared" si="96"/>
        <v>113:30</v>
      </c>
      <c r="N219" t="str">
        <f t="shared" si="97"/>
        <v>-</v>
      </c>
      <c r="O219" t="str">
        <f t="shared" si="98"/>
        <v>21:20</v>
      </c>
      <c r="P219" t="str">
        <f t="shared" si="99"/>
        <v/>
      </c>
    </row>
    <row r="220" spans="1:16" x14ac:dyDescent="0.25">
      <c r="A220" t="str">
        <f>'Raw Data'!A192</f>
        <v>BA</v>
      </c>
      <c r="B220" t="str">
        <f>'Raw Data'!B192</f>
        <v>BB</v>
      </c>
      <c r="C220">
        <f>'Raw Data'!J192</f>
        <v>10.8</v>
      </c>
      <c r="D220" t="str">
        <f>'Interpreted Data'!G192</f>
        <v>-</v>
      </c>
      <c r="E220" t="str">
        <f>'Interpreted Data'!H192</f>
        <v>179:30</v>
      </c>
      <c r="F220" t="str">
        <f>SUBSTITUTE('Raw Data'!K192," ",":",1)</f>
        <v>-38:20</v>
      </c>
      <c r="G220">
        <f>'Interpreted Data'!N192</f>
        <v>-6.7</v>
      </c>
      <c r="H220" t="str">
        <f>'Interpreted Data'!P192</f>
        <v/>
      </c>
      <c r="I220" t="str">
        <f t="shared" si="94"/>
        <v xml:space="preserve"> </v>
      </c>
      <c r="J220" t="str">
        <f t="shared" si="100"/>
        <v>BA</v>
      </c>
      <c r="K220" t="str">
        <f t="shared" si="101"/>
        <v>BB</v>
      </c>
      <c r="L220">
        <f t="shared" si="95"/>
        <v>10.8</v>
      </c>
      <c r="M220" t="str">
        <f t="shared" si="96"/>
        <v>-</v>
      </c>
      <c r="N220" t="str">
        <f t="shared" si="97"/>
        <v>179:30</v>
      </c>
      <c r="O220" t="str">
        <f t="shared" si="98"/>
        <v>-38:20</v>
      </c>
      <c r="P220" t="str">
        <f t="shared" si="99"/>
        <v/>
      </c>
    </row>
    <row r="221" spans="1:16" x14ac:dyDescent="0.25">
      <c r="A221" t="str">
        <f>'Raw Data'!A193</f>
        <v>BB</v>
      </c>
      <c r="B221" t="str">
        <f>'Raw Data'!B193</f>
        <v>BC</v>
      </c>
      <c r="C221">
        <f>'Raw Data'!J193</f>
        <v>20.399999999999999</v>
      </c>
      <c r="D221" t="str">
        <f>'Interpreted Data'!G193</f>
        <v>011:50</v>
      </c>
      <c r="E221" t="str">
        <f>'Interpreted Data'!H193</f>
        <v>-</v>
      </c>
      <c r="F221" t="str">
        <f>SUBSTITUTE('Raw Data'!K193," ",":",1)</f>
        <v>1:00</v>
      </c>
      <c r="G221">
        <f>'Interpreted Data'!N193</f>
        <v>0.35</v>
      </c>
      <c r="H221" t="str">
        <f>'Interpreted Data'!P193</f>
        <v>3' before little portal</v>
      </c>
      <c r="I221" t="str">
        <f t="shared" si="94"/>
        <v xml:space="preserve"> </v>
      </c>
      <c r="J221" t="str">
        <f t="shared" si="100"/>
        <v>BB</v>
      </c>
      <c r="K221" t="str">
        <f t="shared" si="101"/>
        <v>BC</v>
      </c>
      <c r="L221">
        <f t="shared" si="95"/>
        <v>20.399999999999999</v>
      </c>
      <c r="M221" t="str">
        <f t="shared" si="96"/>
        <v>011:50</v>
      </c>
      <c r="N221" t="str">
        <f t="shared" si="97"/>
        <v>-</v>
      </c>
      <c r="O221" t="str">
        <f t="shared" si="98"/>
        <v>1:00</v>
      </c>
      <c r="P221" t="str">
        <f t="shared" si="99"/>
        <v>3' before little portal</v>
      </c>
    </row>
    <row r="222" spans="1:16" x14ac:dyDescent="0.25">
      <c r="A222" t="str">
        <f>'Raw Data'!A194</f>
        <v>BC</v>
      </c>
      <c r="B222" t="str">
        <f>'Raw Data'!B194</f>
        <v>BD</v>
      </c>
      <c r="C222">
        <f>'Raw Data'!J194</f>
        <v>49.6</v>
      </c>
      <c r="D222" t="str">
        <f>'Interpreted Data'!G194</f>
        <v>-</v>
      </c>
      <c r="E222" t="str">
        <f>'Interpreted Data'!H194</f>
        <v>160:00</v>
      </c>
      <c r="F222" t="str">
        <f>SUBSTITUTE('Raw Data'!K194," ",":",1)</f>
        <v>17:40</v>
      </c>
      <c r="G222">
        <f>'Interpreted Data'!N194</f>
        <v>15</v>
      </c>
      <c r="H222" t="str">
        <f>'Interpreted Data'!P194</f>
        <v/>
      </c>
      <c r="I222" t="str">
        <f t="shared" si="94"/>
        <v xml:space="preserve"> </v>
      </c>
      <c r="J222" t="str">
        <f t="shared" si="100"/>
        <v>BC</v>
      </c>
      <c r="K222" t="str">
        <f t="shared" si="101"/>
        <v>BD</v>
      </c>
      <c r="L222">
        <f t="shared" si="95"/>
        <v>49.6</v>
      </c>
      <c r="M222" t="str">
        <f t="shared" si="96"/>
        <v>-</v>
      </c>
      <c r="N222" t="str">
        <f t="shared" si="97"/>
        <v>160:00</v>
      </c>
      <c r="O222" t="str">
        <f t="shared" si="98"/>
        <v>17:40</v>
      </c>
      <c r="P222" t="str">
        <f t="shared" si="99"/>
        <v/>
      </c>
    </row>
    <row r="223" spans="1:16" x14ac:dyDescent="0.25">
      <c r="A223" t="str">
        <f>'Raw Data'!A195</f>
        <v>BD</v>
      </c>
      <c r="B223" t="str">
        <f>'Raw Data'!B195</f>
        <v>BE</v>
      </c>
      <c r="C223">
        <f>'Raw Data'!J195</f>
        <v>24.7</v>
      </c>
      <c r="D223" t="str">
        <f>'Interpreted Data'!G195</f>
        <v>333:00</v>
      </c>
      <c r="E223" t="str">
        <f>'Interpreted Data'!H195</f>
        <v>-</v>
      </c>
      <c r="F223" t="str">
        <f>SUBSTITUTE('Raw Data'!K195," ",":",1)</f>
        <v>-26:00</v>
      </c>
      <c r="G223">
        <f>'Interpreted Data'!N195</f>
        <v>-10.8</v>
      </c>
      <c r="H223" t="str">
        <f>'Interpreted Data'!P195</f>
        <v>6' before junction with rift</v>
      </c>
      <c r="I223" t="str">
        <f t="shared" si="94"/>
        <v xml:space="preserve"> </v>
      </c>
      <c r="J223" t="str">
        <f t="shared" si="100"/>
        <v>BD</v>
      </c>
      <c r="K223" t="str">
        <f t="shared" si="101"/>
        <v>BE</v>
      </c>
      <c r="L223">
        <f t="shared" si="95"/>
        <v>24.7</v>
      </c>
      <c r="M223" t="str">
        <f t="shared" si="96"/>
        <v>333:00</v>
      </c>
      <c r="N223" t="str">
        <f t="shared" si="97"/>
        <v>-</v>
      </c>
      <c r="O223" t="str">
        <f t="shared" si="98"/>
        <v>-26:00</v>
      </c>
      <c r="P223" t="str">
        <f t="shared" si="99"/>
        <v>6' before junction with rift</v>
      </c>
    </row>
    <row r="224" spans="1:16" x14ac:dyDescent="0.25">
      <c r="A224" t="str">
        <f>'Raw Data'!A196</f>
        <v>BE</v>
      </c>
      <c r="B224" t="str">
        <f>'Raw Data'!B196</f>
        <v>BF</v>
      </c>
      <c r="C224">
        <f>'Raw Data'!J196</f>
        <v>13.3</v>
      </c>
      <c r="D224" t="str">
        <f>'Interpreted Data'!G196</f>
        <v>-</v>
      </c>
      <c r="E224" t="str">
        <f>'Interpreted Data'!H196</f>
        <v>203:30</v>
      </c>
      <c r="F224" t="str">
        <f>SUBSTITUTE('Raw Data'!K196," ",":",1)</f>
        <v>14:00</v>
      </c>
      <c r="G224">
        <f>'Interpreted Data'!N196</f>
        <v>3.2</v>
      </c>
      <c r="H224" t="str">
        <f>'Interpreted Data'!P196</f>
        <v>over dark rift</v>
      </c>
      <c r="I224" t="str">
        <f t="shared" si="94"/>
        <v xml:space="preserve"> </v>
      </c>
      <c r="J224" t="str">
        <f t="shared" si="100"/>
        <v>BE</v>
      </c>
      <c r="K224" t="str">
        <f t="shared" si="101"/>
        <v>BF</v>
      </c>
      <c r="L224">
        <f t="shared" si="95"/>
        <v>13.3</v>
      </c>
      <c r="M224" t="str">
        <f t="shared" si="96"/>
        <v>-</v>
      </c>
      <c r="N224" t="str">
        <f t="shared" si="97"/>
        <v>203:30</v>
      </c>
      <c r="O224" t="str">
        <f t="shared" si="98"/>
        <v>14:00</v>
      </c>
      <c r="P224" t="str">
        <f t="shared" si="99"/>
        <v>over dark rift</v>
      </c>
    </row>
    <row r="225" spans="1:16" x14ac:dyDescent="0.25">
      <c r="A225" t="str">
        <f>'Raw Data'!A197</f>
        <v>BF</v>
      </c>
      <c r="B225" t="str">
        <f>'Raw Data'!B197</f>
        <v>BG</v>
      </c>
      <c r="C225">
        <f>'Raw Data'!J197</f>
        <v>15.7</v>
      </c>
      <c r="D225" t="str">
        <f>'Interpreted Data'!G197</f>
        <v>091:50</v>
      </c>
      <c r="E225" t="str">
        <f>'Interpreted Data'!H197</f>
        <v>-</v>
      </c>
      <c r="F225" t="str">
        <f>SUBSTITUTE('Raw Data'!K197," ",":",1)</f>
        <v>15:00</v>
      </c>
      <c r="G225">
        <f>'Interpreted Data'!N197</f>
        <v>4.0999999999999996</v>
      </c>
      <c r="H225" t="str">
        <f>'Interpreted Data'!P197</f>
        <v>corner</v>
      </c>
      <c r="I225" t="str">
        <f t="shared" si="94"/>
        <v xml:space="preserve"> </v>
      </c>
      <c r="J225" t="str">
        <f t="shared" si="100"/>
        <v>BF</v>
      </c>
      <c r="K225" t="str">
        <f t="shared" si="101"/>
        <v>BG</v>
      </c>
      <c r="L225">
        <f t="shared" si="95"/>
        <v>15.7</v>
      </c>
      <c r="M225" t="str">
        <f t="shared" si="96"/>
        <v>091:50</v>
      </c>
      <c r="N225" t="str">
        <f t="shared" si="97"/>
        <v>-</v>
      </c>
      <c r="O225" t="str">
        <f t="shared" si="98"/>
        <v>15:00</v>
      </c>
      <c r="P225" t="str">
        <f t="shared" si="99"/>
        <v>corner</v>
      </c>
    </row>
    <row r="226" spans="1:16" x14ac:dyDescent="0.25">
      <c r="A226" t="str">
        <f>'Raw Data'!A198</f>
        <v>BG</v>
      </c>
      <c r="B226" t="str">
        <f>'Raw Data'!B198</f>
        <v>BH</v>
      </c>
      <c r="C226">
        <f>'Raw Data'!J198</f>
        <v>36.9</v>
      </c>
      <c r="D226" t="str">
        <f>'Interpreted Data'!G198</f>
        <v>-</v>
      </c>
      <c r="E226" t="str">
        <f>'Interpreted Data'!H198</f>
        <v>324:20</v>
      </c>
      <c r="F226" t="str">
        <f>SUBSTITUTE('Raw Data'!K198," ",":",1)</f>
        <v>11:30</v>
      </c>
      <c r="G226">
        <f>'Interpreted Data'!N198</f>
        <v>7.3</v>
      </c>
      <c r="H226" t="str">
        <f>'Interpreted Data'!P198</f>
        <v/>
      </c>
      <c r="I226" t="str">
        <f t="shared" si="94"/>
        <v xml:space="preserve"> </v>
      </c>
      <c r="J226" t="str">
        <f t="shared" si="100"/>
        <v>BG</v>
      </c>
      <c r="K226" t="str">
        <f t="shared" si="101"/>
        <v>BH</v>
      </c>
      <c r="L226">
        <f t="shared" si="95"/>
        <v>36.9</v>
      </c>
      <c r="M226" t="str">
        <f t="shared" si="96"/>
        <v>-</v>
      </c>
      <c r="N226" t="str">
        <f t="shared" si="97"/>
        <v>324:20</v>
      </c>
      <c r="O226" t="str">
        <f t="shared" si="98"/>
        <v>11:30</v>
      </c>
      <c r="P226" t="str">
        <f t="shared" si="99"/>
        <v/>
      </c>
    </row>
    <row r="227" spans="1:16" x14ac:dyDescent="0.25">
      <c r="A227" t="str">
        <f>'Raw Data'!A199</f>
        <v>BH</v>
      </c>
      <c r="B227" t="str">
        <f>'Raw Data'!B199</f>
        <v>BI</v>
      </c>
      <c r="C227">
        <f>'Raw Data'!J199</f>
        <v>24.2</v>
      </c>
      <c r="D227" t="str">
        <f>'Interpreted Data'!G199</f>
        <v>104:10</v>
      </c>
      <c r="E227" t="str">
        <f>'Interpreted Data'!H199</f>
        <v>-</v>
      </c>
      <c r="F227" t="str">
        <f>SUBSTITUTE('Raw Data'!K199," ",":",1)</f>
        <v>-0:30</v>
      </c>
      <c r="G227">
        <f>'Interpreted Data'!N199</f>
        <v>-0.2</v>
      </c>
      <c r="H227" t="str">
        <f>'Interpreted Data'!P199</f>
        <v/>
      </c>
      <c r="I227" t="str">
        <f t="shared" si="94"/>
        <v xml:space="preserve"> </v>
      </c>
      <c r="J227" t="str">
        <f t="shared" si="100"/>
        <v>BH</v>
      </c>
      <c r="K227" t="str">
        <f t="shared" si="101"/>
        <v>BI</v>
      </c>
      <c r="L227">
        <f t="shared" si="95"/>
        <v>24.2</v>
      </c>
      <c r="M227" t="str">
        <f t="shared" si="96"/>
        <v>104:10</v>
      </c>
      <c r="N227" t="str">
        <f t="shared" si="97"/>
        <v>-</v>
      </c>
      <c r="O227" t="str">
        <f t="shared" si="98"/>
        <v>-0:30</v>
      </c>
      <c r="P227" t="str">
        <f t="shared" si="99"/>
        <v/>
      </c>
    </row>
    <row r="228" spans="1:16" x14ac:dyDescent="0.25">
      <c r="A228" t="str">
        <f>'Raw Data'!A200</f>
        <v>BI</v>
      </c>
      <c r="B228" t="str">
        <f>'Raw Data'!B200</f>
        <v>BJ</v>
      </c>
      <c r="C228">
        <f>'Raw Data'!J200</f>
        <v>17.5</v>
      </c>
      <c r="D228" t="str">
        <f>'Interpreted Data'!G200</f>
        <v>-</v>
      </c>
      <c r="E228" t="str">
        <f>'Interpreted Data'!H200</f>
        <v>212:20</v>
      </c>
      <c r="F228" t="str">
        <f>SUBSTITUTE('Raw Data'!K200," ",":",1)</f>
        <v>39:00</v>
      </c>
      <c r="G228">
        <f>'Interpreted Data'!N200</f>
        <v>11</v>
      </c>
      <c r="H228" t="str">
        <f>'Interpreted Data'!P200</f>
        <v>W.R. At stream level nil(?)</v>
      </c>
      <c r="I228" t="str">
        <f t="shared" si="94"/>
        <v xml:space="preserve"> </v>
      </c>
      <c r="J228" t="str">
        <f t="shared" si="100"/>
        <v>BI</v>
      </c>
      <c r="K228" t="str">
        <f t="shared" si="101"/>
        <v>BJ</v>
      </c>
      <c r="L228">
        <f t="shared" si="95"/>
        <v>17.5</v>
      </c>
      <c r="M228" t="str">
        <f t="shared" si="96"/>
        <v>-</v>
      </c>
      <c r="N228" t="str">
        <f t="shared" si="97"/>
        <v>212:20</v>
      </c>
      <c r="O228" t="str">
        <f t="shared" si="98"/>
        <v>39:00</v>
      </c>
      <c r="P228" t="str">
        <f t="shared" si="99"/>
        <v>W.R. At stream level nil(?)</v>
      </c>
    </row>
    <row r="229" spans="1:16" x14ac:dyDescent="0.25">
      <c r="A229" t="str">
        <f>'Raw Data'!A201</f>
        <v>BJ</v>
      </c>
      <c r="B229" t="str">
        <f>'Raw Data'!B201</f>
        <v>BK</v>
      </c>
      <c r="C229">
        <f>'Raw Data'!J201</f>
        <v>24.8</v>
      </c>
      <c r="D229" t="str">
        <f>'Interpreted Data'!G201</f>
        <v>121:00</v>
      </c>
      <c r="E229" t="str">
        <f>'Interpreted Data'!H201</f>
        <v>-</v>
      </c>
      <c r="F229" t="str">
        <f>SUBSTITUTE('Raw Data'!K201," ",":",1)</f>
        <v>9:00</v>
      </c>
      <c r="G229">
        <f>'Interpreted Data'!N201</f>
        <v>3.9</v>
      </c>
      <c r="H229" t="str">
        <f>'Interpreted Data'!P201</f>
        <v>above lower double pot</v>
      </c>
      <c r="I229" t="str">
        <f t="shared" si="94"/>
        <v xml:space="preserve"> </v>
      </c>
      <c r="J229" t="str">
        <f t="shared" si="100"/>
        <v>BJ</v>
      </c>
      <c r="K229" t="str">
        <f t="shared" si="101"/>
        <v>BK</v>
      </c>
      <c r="L229">
        <f t="shared" si="95"/>
        <v>24.8</v>
      </c>
      <c r="M229" t="str">
        <f t="shared" si="96"/>
        <v>121:00</v>
      </c>
      <c r="N229" t="str">
        <f t="shared" si="97"/>
        <v>-</v>
      </c>
      <c r="O229" t="str">
        <f t="shared" si="98"/>
        <v>9:00</v>
      </c>
      <c r="P229" t="str">
        <f t="shared" si="99"/>
        <v>above lower double pot</v>
      </c>
    </row>
    <row r="230" spans="1:16" x14ac:dyDescent="0.25">
      <c r="A230" t="str">
        <f>'Raw Data'!A202</f>
        <v>BK</v>
      </c>
      <c r="B230" t="str">
        <f>'Raw Data'!B202</f>
        <v>BL</v>
      </c>
      <c r="C230">
        <f>'Raw Data'!J202</f>
        <v>22.1</v>
      </c>
      <c r="D230" t="str">
        <f>'Interpreted Data'!G202</f>
        <v>-</v>
      </c>
      <c r="E230" t="str">
        <f>'Interpreted Data'!H202</f>
        <v>277:30</v>
      </c>
      <c r="F230" t="str">
        <f>SUBSTITUTE('Raw Data'!K202," ",":",1)</f>
        <v>-0:30</v>
      </c>
      <c r="G230">
        <f>'Interpreted Data'!N202</f>
        <v>-0.2</v>
      </c>
      <c r="H230" t="str">
        <f>'Interpreted Data'!P202</f>
        <v>low height due to stalagmite choke in high aven</v>
      </c>
      <c r="I230" t="str">
        <f t="shared" si="94"/>
        <v xml:space="preserve"> </v>
      </c>
      <c r="J230" t="str">
        <f t="shared" si="100"/>
        <v>BK</v>
      </c>
      <c r="K230" t="str">
        <f t="shared" si="101"/>
        <v>BL</v>
      </c>
      <c r="L230">
        <f t="shared" si="95"/>
        <v>22.1</v>
      </c>
      <c r="M230" t="str">
        <f t="shared" si="96"/>
        <v>-</v>
      </c>
      <c r="N230" t="str">
        <f t="shared" si="97"/>
        <v>277:30</v>
      </c>
      <c r="O230" t="str">
        <f t="shared" si="98"/>
        <v>-0:30</v>
      </c>
      <c r="P230" t="str">
        <f t="shared" si="99"/>
        <v>low height due to stalagmite choke in high aven</v>
      </c>
    </row>
    <row r="231" spans="1:16" x14ac:dyDescent="0.25">
      <c r="A231" t="str">
        <f>'Raw Data'!A203</f>
        <v>BL</v>
      </c>
      <c r="B231" t="str">
        <f>'Raw Data'!B203</f>
        <v>BM</v>
      </c>
      <c r="C231">
        <f>'Raw Data'!J203</f>
        <v>35.700000000000003</v>
      </c>
      <c r="D231" t="str">
        <f>'Interpreted Data'!G203</f>
        <v>133:00</v>
      </c>
      <c r="E231" t="str">
        <f>'Interpreted Data'!H203</f>
        <v>-</v>
      </c>
      <c r="F231" t="str">
        <f>SUBSTITUTE('Raw Data'!K203," ",":",1)</f>
        <v>7:00</v>
      </c>
      <c r="G231">
        <f>'Interpreted Data'!N203</f>
        <v>4.3</v>
      </c>
      <c r="H231" t="str">
        <f>'Interpreted Data'!P203</f>
        <v/>
      </c>
      <c r="I231" t="str">
        <f t="shared" si="94"/>
        <v xml:space="preserve"> </v>
      </c>
      <c r="J231" t="str">
        <f t="shared" si="100"/>
        <v>BL</v>
      </c>
      <c r="K231" t="str">
        <f t="shared" si="101"/>
        <v>BM</v>
      </c>
      <c r="L231">
        <f t="shared" si="95"/>
        <v>35.700000000000003</v>
      </c>
      <c r="M231" t="str">
        <f t="shared" si="96"/>
        <v>133:00</v>
      </c>
      <c r="N231" t="str">
        <f t="shared" si="97"/>
        <v>-</v>
      </c>
      <c r="O231" t="str">
        <f t="shared" si="98"/>
        <v>7:00</v>
      </c>
      <c r="P231" t="str">
        <f t="shared" si="99"/>
        <v/>
      </c>
    </row>
    <row r="232" spans="1:16" x14ac:dyDescent="0.25">
      <c r="A232" t="str">
        <f>'Raw Data'!A204</f>
        <v>BM</v>
      </c>
      <c r="B232" t="str">
        <f>'Raw Data'!B204</f>
        <v>BN</v>
      </c>
      <c r="C232">
        <f>'Raw Data'!J204</f>
        <v>9.9</v>
      </c>
      <c r="D232" t="str">
        <f>'Interpreted Data'!G204</f>
        <v>-</v>
      </c>
      <c r="E232" t="str">
        <f>'Interpreted Data'!H204</f>
        <v>351:20</v>
      </c>
      <c r="F232" t="str">
        <f>SUBSTITUTE('Raw Data'!K204," ",":",1)</f>
        <v>-23:30</v>
      </c>
      <c r="G232">
        <f>'Interpreted Data'!N204</f>
        <v>-4</v>
      </c>
      <c r="H232" t="str">
        <f>'Interpreted Data'!P204</f>
        <v/>
      </c>
      <c r="I232" t="str">
        <f t="shared" si="94"/>
        <v xml:space="preserve"> </v>
      </c>
      <c r="J232" t="str">
        <f t="shared" si="100"/>
        <v>BM</v>
      </c>
      <c r="K232" t="str">
        <f t="shared" si="101"/>
        <v>BN</v>
      </c>
      <c r="L232">
        <f t="shared" si="95"/>
        <v>9.9</v>
      </c>
      <c r="M232" t="str">
        <f t="shared" si="96"/>
        <v>-</v>
      </c>
      <c r="N232" t="str">
        <f t="shared" si="97"/>
        <v>351:20</v>
      </c>
      <c r="O232" t="str">
        <f t="shared" si="98"/>
        <v>-23:30</v>
      </c>
      <c r="P232" t="str">
        <f t="shared" si="99"/>
        <v/>
      </c>
    </row>
    <row r="233" spans="1:16" x14ac:dyDescent="0.25">
      <c r="A233" t="str">
        <f>'Raw Data'!A205</f>
        <v>BN</v>
      </c>
      <c r="B233" t="str">
        <f>'Raw Data'!B205</f>
        <v>BO</v>
      </c>
      <c r="C233">
        <f>'Raw Data'!J205</f>
        <v>7.7</v>
      </c>
      <c r="D233" t="str">
        <f>'Interpreted Data'!G205</f>
        <v>102:20</v>
      </c>
      <c r="E233" t="str">
        <f>'Interpreted Data'!H205</f>
        <v>-</v>
      </c>
      <c r="F233" t="str">
        <f>SUBSTITUTE('Raw Data'!K205," ",":",1)</f>
        <v>15:00</v>
      </c>
      <c r="G233">
        <f>'Interpreted Data'!N205</f>
        <v>2</v>
      </c>
      <c r="H233" t="str">
        <f>'Interpreted Data'!P205</f>
        <v/>
      </c>
      <c r="I233" t="str">
        <f t="shared" si="94"/>
        <v xml:space="preserve"> </v>
      </c>
      <c r="J233" t="str">
        <f t="shared" si="100"/>
        <v>BN</v>
      </c>
      <c r="K233" t="str">
        <f t="shared" si="101"/>
        <v>BO</v>
      </c>
      <c r="L233">
        <f t="shared" si="95"/>
        <v>7.7</v>
      </c>
      <c r="M233" t="str">
        <f t="shared" si="96"/>
        <v>102:20</v>
      </c>
      <c r="N233" t="str">
        <f t="shared" si="97"/>
        <v>-</v>
      </c>
      <c r="O233" t="str">
        <f t="shared" si="98"/>
        <v>15:00</v>
      </c>
      <c r="P233" t="str">
        <f t="shared" si="99"/>
        <v/>
      </c>
    </row>
    <row r="234" spans="1:16" x14ac:dyDescent="0.25">
      <c r="A234" t="str">
        <f>'Raw Data'!A206</f>
        <v>BO</v>
      </c>
      <c r="B234" t="str">
        <f>'Raw Data'!B206</f>
        <v>BP</v>
      </c>
      <c r="C234">
        <f>'Raw Data'!J206</f>
        <v>21.2</v>
      </c>
      <c r="D234" t="str">
        <f>'Interpreted Data'!G206</f>
        <v>-</v>
      </c>
      <c r="E234" t="str">
        <f>'Interpreted Data'!H206</f>
        <v>317:00</v>
      </c>
      <c r="F234" t="str">
        <f>SUBSTITUTE('Raw Data'!K206," ",":",1)</f>
        <v>6:50</v>
      </c>
      <c r="G234">
        <f>'Interpreted Data'!N206</f>
        <v>2.5</v>
      </c>
      <c r="H234" t="str">
        <f>'Interpreted Data'!P206</f>
        <v/>
      </c>
      <c r="I234" t="str">
        <f t="shared" si="94"/>
        <v xml:space="preserve"> </v>
      </c>
      <c r="J234" t="str">
        <f t="shared" si="100"/>
        <v>BO</v>
      </c>
      <c r="K234" t="str">
        <f t="shared" si="101"/>
        <v>BP</v>
      </c>
      <c r="L234">
        <f t="shared" si="95"/>
        <v>21.2</v>
      </c>
      <c r="M234" t="str">
        <f t="shared" si="96"/>
        <v>-</v>
      </c>
      <c r="N234" t="str">
        <f t="shared" si="97"/>
        <v>317:00</v>
      </c>
      <c r="O234" t="str">
        <f t="shared" si="98"/>
        <v>6:50</v>
      </c>
      <c r="P234" t="str">
        <f t="shared" si="99"/>
        <v/>
      </c>
    </row>
    <row r="235" spans="1:16" x14ac:dyDescent="0.25">
      <c r="A235" t="str">
        <f>'Raw Data'!A207</f>
        <v>BP</v>
      </c>
      <c r="B235" t="str">
        <f>'Raw Data'!B207</f>
        <v>BQ</v>
      </c>
      <c r="C235">
        <f>'Raw Data'!J207</f>
        <v>28.5</v>
      </c>
      <c r="D235" t="str">
        <f>'Interpreted Data'!G207</f>
        <v>152:30</v>
      </c>
      <c r="E235" t="str">
        <f>'Interpreted Data'!H207</f>
        <v>-</v>
      </c>
      <c r="F235" t="str">
        <f>SUBSTITUTE('Raw Data'!K207," ",":",1)</f>
        <v>9:40</v>
      </c>
      <c r="G235">
        <f>'Interpreted Data'!N207</f>
        <v>4.8</v>
      </c>
      <c r="H235" t="str">
        <f>'Interpreted Data'!P207</f>
        <v/>
      </c>
      <c r="I235" t="str">
        <f t="shared" si="94"/>
        <v xml:space="preserve"> </v>
      </c>
      <c r="J235" t="str">
        <f t="shared" si="100"/>
        <v>BP</v>
      </c>
      <c r="K235" t="str">
        <f t="shared" si="101"/>
        <v>BQ</v>
      </c>
      <c r="L235">
        <f t="shared" si="95"/>
        <v>28.5</v>
      </c>
      <c r="M235" t="str">
        <f t="shared" si="96"/>
        <v>152:30</v>
      </c>
      <c r="N235" t="str">
        <f t="shared" si="97"/>
        <v>-</v>
      </c>
      <c r="O235" t="str">
        <f t="shared" si="98"/>
        <v>9:40</v>
      </c>
      <c r="P235" t="str">
        <f t="shared" si="99"/>
        <v/>
      </c>
    </row>
    <row r="236" spans="1:16" x14ac:dyDescent="0.25">
      <c r="A236" t="str">
        <f>'Raw Data'!A208</f>
        <v>BQ</v>
      </c>
      <c r="B236" t="str">
        <f>'Raw Data'!B208</f>
        <v>BR</v>
      </c>
      <c r="C236">
        <f>'Raw Data'!J208</f>
        <v>29.6</v>
      </c>
      <c r="D236" t="str">
        <f>'Interpreted Data'!G208</f>
        <v>-</v>
      </c>
      <c r="E236" t="str">
        <f>'Interpreted Data'!H208</f>
        <v>313:10</v>
      </c>
      <c r="F236" t="str">
        <f>SUBSTITUTE('Raw Data'!K208," ",":",1)</f>
        <v>1:30</v>
      </c>
      <c r="G236">
        <f>'Interpreted Data'!N208</f>
        <v>0.8</v>
      </c>
      <c r="H236" t="str">
        <f>'Interpreted Data'!P208</f>
        <v/>
      </c>
      <c r="I236" t="str">
        <f t="shared" si="94"/>
        <v xml:space="preserve"> </v>
      </c>
      <c r="J236" t="str">
        <f t="shared" si="100"/>
        <v>BQ</v>
      </c>
      <c r="K236" t="str">
        <f t="shared" si="101"/>
        <v>BR</v>
      </c>
      <c r="L236">
        <f t="shared" si="95"/>
        <v>29.6</v>
      </c>
      <c r="M236" t="str">
        <f t="shared" si="96"/>
        <v>-</v>
      </c>
      <c r="N236" t="str">
        <f t="shared" si="97"/>
        <v>313:10</v>
      </c>
      <c r="O236" t="str">
        <f t="shared" si="98"/>
        <v>1:30</v>
      </c>
      <c r="P236" t="str">
        <f t="shared" si="99"/>
        <v/>
      </c>
    </row>
    <row r="237" spans="1:16" x14ac:dyDescent="0.25">
      <c r="A237" t="str">
        <f>'Raw Data'!A209</f>
        <v>BR</v>
      </c>
      <c r="B237" t="str">
        <f>'Raw Data'!B209</f>
        <v>BS</v>
      </c>
      <c r="C237">
        <f>'Raw Data'!J209</f>
        <v>20.399999999999999</v>
      </c>
      <c r="D237" t="str">
        <f>'Interpreted Data'!G209</f>
        <v>137:30</v>
      </c>
      <c r="E237" t="str">
        <f>'Interpreted Data'!H209</f>
        <v>-</v>
      </c>
      <c r="F237" t="str">
        <f>SUBSTITUTE('Raw Data'!K209," ",":",1)</f>
        <v>-4:30</v>
      </c>
      <c r="G237">
        <f>'Interpreted Data'!N209</f>
        <v>-1.6</v>
      </c>
      <c r="H237" t="str">
        <f>'Interpreted Data'!P209</f>
        <v>below boss in Shrine</v>
      </c>
      <c r="I237" t="str">
        <f t="shared" si="94"/>
        <v xml:space="preserve"> </v>
      </c>
      <c r="J237" t="str">
        <f t="shared" si="100"/>
        <v>BR</v>
      </c>
      <c r="K237" t="str">
        <f t="shared" si="101"/>
        <v>BS</v>
      </c>
      <c r="L237">
        <f t="shared" si="95"/>
        <v>20.399999999999999</v>
      </c>
      <c r="M237" t="str">
        <f t="shared" si="96"/>
        <v>137:30</v>
      </c>
      <c r="N237" t="str">
        <f t="shared" si="97"/>
        <v>-</v>
      </c>
      <c r="O237" t="str">
        <f t="shared" si="98"/>
        <v>-4:30</v>
      </c>
      <c r="P237" t="str">
        <f t="shared" si="99"/>
        <v>below boss in Shrine</v>
      </c>
    </row>
    <row r="238" spans="1:16" x14ac:dyDescent="0.25">
      <c r="J238" t="str">
        <f>$J$2</f>
        <v>data diving from to tape compass backcompass depthchange ignoreall</v>
      </c>
    </row>
    <row r="239" spans="1:16" x14ac:dyDescent="0.25">
      <c r="A239" t="str">
        <f>'Raw Data'!A210</f>
        <v>BS</v>
      </c>
      <c r="B239" t="str">
        <f>'Raw Data'!B210</f>
        <v>BT</v>
      </c>
      <c r="C239">
        <f>'Raw Data'!J210</f>
        <v>1.5</v>
      </c>
      <c r="D239" t="str">
        <f>'Interpreted Data'!G210</f>
        <v>149:00</v>
      </c>
      <c r="E239" t="str">
        <f>'Interpreted Data'!H210</f>
        <v>-</v>
      </c>
      <c r="F239" t="str">
        <f>SUBSTITUTE('Raw Data'!K210," ",":",1)</f>
        <v>-one:inch</v>
      </c>
      <c r="G239">
        <f>'Interpreted Data'!N210</f>
        <v>-0.1</v>
      </c>
      <c r="H239" t="str">
        <f>'Interpreted Data'!P210</f>
        <v>bloody horrible</v>
      </c>
      <c r="I239" t="str">
        <f t="shared" si="94"/>
        <v xml:space="preserve"> </v>
      </c>
      <c r="J239" t="str">
        <f t="shared" si="100"/>
        <v>BS</v>
      </c>
      <c r="K239" t="str">
        <f t="shared" si="101"/>
        <v>BT</v>
      </c>
      <c r="L239">
        <f t="shared" si="95"/>
        <v>1.5</v>
      </c>
      <c r="M239" t="str">
        <f t="shared" si="96"/>
        <v>149:00</v>
      </c>
      <c r="N239" t="str">
        <f t="shared" si="97"/>
        <v>-</v>
      </c>
      <c r="O239">
        <f>G239</f>
        <v>-0.1</v>
      </c>
      <c r="P239" t="str">
        <f t="shared" si="99"/>
        <v>bloody horrible</v>
      </c>
    </row>
    <row r="240" spans="1:16" x14ac:dyDescent="0.25">
      <c r="J240" t="str">
        <f>$J$1</f>
        <v>data normal from to tape compass backcompass clino ignoreall</v>
      </c>
    </row>
    <row r="241" spans="1:16" x14ac:dyDescent="0.25">
      <c r="A241" t="str">
        <f>'Raw Data'!A211</f>
        <v>BT</v>
      </c>
      <c r="B241" t="str">
        <f>'Raw Data'!B211</f>
        <v>BU</v>
      </c>
      <c r="C241">
        <f>'Raw Data'!J211</f>
        <v>21.6</v>
      </c>
      <c r="D241" t="str">
        <f>'Interpreted Data'!G211</f>
        <v>-</v>
      </c>
      <c r="E241" t="str">
        <f>'Interpreted Data'!H211</f>
        <v>265:50</v>
      </c>
      <c r="F241" t="str">
        <f>SUBSTITUTE('Raw Data'!K211," ",":",1)</f>
        <v>14:20</v>
      </c>
      <c r="G241">
        <f>'Interpreted Data'!N211</f>
        <v>5.4</v>
      </c>
      <c r="H241" t="str">
        <f>'Interpreted Data'!P211</f>
        <v/>
      </c>
      <c r="I241" t="str">
        <f t="shared" si="94"/>
        <v xml:space="preserve"> </v>
      </c>
      <c r="J241" t="str">
        <f t="shared" si="100"/>
        <v>BT</v>
      </c>
      <c r="K241" t="str">
        <f t="shared" si="101"/>
        <v>BU</v>
      </c>
      <c r="L241">
        <f t="shared" si="95"/>
        <v>21.6</v>
      </c>
      <c r="M241" t="str">
        <f t="shared" si="96"/>
        <v>-</v>
      </c>
      <c r="N241" t="str">
        <f t="shared" si="97"/>
        <v>265:50</v>
      </c>
      <c r="O241" t="str">
        <f t="shared" si="98"/>
        <v>14:20</v>
      </c>
      <c r="P241" t="str">
        <f t="shared" si="99"/>
        <v/>
      </c>
    </row>
    <row r="242" spans="1:16" x14ac:dyDescent="0.25">
      <c r="A242" t="str">
        <f>'Raw Data'!A212</f>
        <v>BU</v>
      </c>
      <c r="B242" t="str">
        <f>'Raw Data'!B212</f>
        <v>BV</v>
      </c>
      <c r="C242">
        <f>'Raw Data'!J212</f>
        <v>8.5</v>
      </c>
      <c r="D242" t="str">
        <f>'Interpreted Data'!G212</f>
        <v>116:00</v>
      </c>
      <c r="E242" t="str">
        <f>'Interpreted Data'!H212</f>
        <v>-</v>
      </c>
      <c r="F242" t="str">
        <f>SUBSTITUTE('Raw Data'!K212," ",":",1)</f>
        <v>-6:30</v>
      </c>
      <c r="G242">
        <f>'Interpreted Data'!N212</f>
        <v>-1</v>
      </c>
      <c r="H242" t="str">
        <f>'Interpreted Data'!P212</f>
        <v/>
      </c>
      <c r="I242" t="str">
        <f t="shared" si="94"/>
        <v xml:space="preserve"> </v>
      </c>
      <c r="J242" t="str">
        <f t="shared" si="100"/>
        <v>BU</v>
      </c>
      <c r="K242" t="str">
        <f t="shared" si="101"/>
        <v>BV</v>
      </c>
      <c r="L242">
        <f t="shared" si="95"/>
        <v>8.5</v>
      </c>
      <c r="M242" t="str">
        <f t="shared" si="96"/>
        <v>116:00</v>
      </c>
      <c r="N242" t="str">
        <f t="shared" si="97"/>
        <v>-</v>
      </c>
      <c r="O242" t="str">
        <f t="shared" si="98"/>
        <v>-6:30</v>
      </c>
      <c r="P242" t="str">
        <f t="shared" si="99"/>
        <v/>
      </c>
    </row>
    <row r="243" spans="1:16" x14ac:dyDescent="0.25">
      <c r="A243" t="str">
        <f>'Raw Data'!A213</f>
        <v>BV</v>
      </c>
      <c r="B243" t="str">
        <f>'Raw Data'!B213</f>
        <v>BW</v>
      </c>
      <c r="C243">
        <f>'Raw Data'!J213</f>
        <v>15.7</v>
      </c>
      <c r="D243" t="str">
        <f>'Interpreted Data'!G213</f>
        <v>-</v>
      </c>
      <c r="E243" t="str">
        <f>'Interpreted Data'!H213</f>
        <v>266:20</v>
      </c>
      <c r="F243" t="str">
        <f>SUBSTITUTE('Raw Data'!K213," ",":",1)</f>
        <v>11:30</v>
      </c>
      <c r="G243">
        <f>'Interpreted Data'!N213</f>
        <v>3.1</v>
      </c>
      <c r="H243" t="str">
        <f>'Interpreted Data'!P213</f>
        <v/>
      </c>
      <c r="I243" t="str">
        <f t="shared" si="94"/>
        <v xml:space="preserve"> </v>
      </c>
      <c r="J243" t="str">
        <f t="shared" si="100"/>
        <v>BV</v>
      </c>
      <c r="K243" t="str">
        <f t="shared" si="101"/>
        <v>BW</v>
      </c>
      <c r="L243">
        <f t="shared" si="95"/>
        <v>15.7</v>
      </c>
      <c r="M243" t="str">
        <f t="shared" si="96"/>
        <v>-</v>
      </c>
      <c r="N243" t="str">
        <f t="shared" si="97"/>
        <v>266:20</v>
      </c>
      <c r="O243" t="str">
        <f t="shared" si="98"/>
        <v>11:30</v>
      </c>
      <c r="P243" t="str">
        <f t="shared" si="99"/>
        <v/>
      </c>
    </row>
    <row r="244" spans="1:16" x14ac:dyDescent="0.25">
      <c r="A244" t="str">
        <f>'Raw Data'!A214</f>
        <v>BW</v>
      </c>
      <c r="B244" t="str">
        <f>'Raw Data'!B214</f>
        <v>BX</v>
      </c>
      <c r="C244">
        <f>'Raw Data'!J214</f>
        <v>28.5</v>
      </c>
      <c r="D244" t="str">
        <f>'Interpreted Data'!G214</f>
        <v>117:00</v>
      </c>
      <c r="E244" t="str">
        <f>'Interpreted Data'!H214</f>
        <v>-</v>
      </c>
      <c r="F244" t="str">
        <f>SUBSTITUTE('Raw Data'!K214," ",":",1)</f>
        <v>32:30</v>
      </c>
      <c r="G244">
        <f>'Interpreted Data'!N214</f>
        <v>15.3</v>
      </c>
      <c r="H244" t="str">
        <f>'Interpreted Data'!P214</f>
        <v/>
      </c>
      <c r="I244" t="str">
        <f t="shared" si="94"/>
        <v xml:space="preserve"> </v>
      </c>
      <c r="J244" t="str">
        <f t="shared" si="100"/>
        <v>BW</v>
      </c>
      <c r="K244" t="str">
        <f t="shared" si="101"/>
        <v>BX</v>
      </c>
      <c r="L244">
        <f t="shared" si="95"/>
        <v>28.5</v>
      </c>
      <c r="M244" t="str">
        <f t="shared" si="96"/>
        <v>117:00</v>
      </c>
      <c r="N244" t="str">
        <f t="shared" si="97"/>
        <v>-</v>
      </c>
      <c r="O244" t="str">
        <f t="shared" si="98"/>
        <v>32:30</v>
      </c>
      <c r="P244" t="str">
        <f t="shared" si="99"/>
        <v/>
      </c>
    </row>
    <row r="245" spans="1:16" x14ac:dyDescent="0.25">
      <c r="A245" t="str">
        <f>'Raw Data'!A215</f>
        <v>BX</v>
      </c>
      <c r="B245" t="str">
        <f>'Raw Data'!B215</f>
        <v>BY</v>
      </c>
      <c r="C245">
        <f>'Raw Data'!J215</f>
        <v>6.9</v>
      </c>
      <c r="D245" t="str">
        <f>'Interpreted Data'!G215</f>
        <v>-</v>
      </c>
      <c r="E245" t="str">
        <f>'Interpreted Data'!H215</f>
        <v>326:00</v>
      </c>
      <c r="F245" t="str">
        <f>SUBSTITUTE('Raw Data'!K215," ",":",1)</f>
        <v>24:30</v>
      </c>
      <c r="G245">
        <f>'Interpreted Data'!N215</f>
        <v>2.9</v>
      </c>
      <c r="H245" t="str">
        <f>'Interpreted Data'!P215</f>
        <v>beside hook at top of 20' Drop. W.L. as sta 1'</v>
      </c>
      <c r="I245" t="str">
        <f t="shared" si="94"/>
        <v xml:space="preserve"> </v>
      </c>
      <c r="J245" t="str">
        <f t="shared" si="100"/>
        <v>BX</v>
      </c>
      <c r="K245" t="str">
        <f t="shared" si="101"/>
        <v>BY</v>
      </c>
      <c r="L245">
        <f t="shared" si="95"/>
        <v>6.9</v>
      </c>
      <c r="M245" t="str">
        <f t="shared" si="96"/>
        <v>-</v>
      </c>
      <c r="N245" t="str">
        <f t="shared" si="97"/>
        <v>326:00</v>
      </c>
      <c r="O245" t="str">
        <f t="shared" si="98"/>
        <v>24:30</v>
      </c>
      <c r="P245" t="str">
        <f t="shared" si="99"/>
        <v>beside hook at top of 20' Drop. W.L. as sta 1'</v>
      </c>
    </row>
    <row r="246" spans="1:16" x14ac:dyDescent="0.25">
      <c r="A246" t="str">
        <f>'Raw Data'!A216</f>
        <v>BY</v>
      </c>
      <c r="B246" t="str">
        <f>'Raw Data'!B216</f>
        <v>BZ</v>
      </c>
      <c r="C246">
        <f>'Raw Data'!J216</f>
        <v>13.8</v>
      </c>
      <c r="D246" t="str">
        <f>'Interpreted Data'!G216</f>
        <v>125:20</v>
      </c>
      <c r="E246" t="str">
        <f>'Interpreted Data'!H216</f>
        <v>-</v>
      </c>
      <c r="F246" t="str">
        <f>SUBSTITUTE('Raw Data'!K216," ",":",1)</f>
        <v>-4:30</v>
      </c>
      <c r="G246">
        <f>'Interpreted Data'!N216</f>
        <v>-1.1000000000000001</v>
      </c>
      <c r="H246" t="str">
        <f>'Interpreted Data'!P216</f>
        <v/>
      </c>
      <c r="I246" t="str">
        <f t="shared" si="94"/>
        <v xml:space="preserve"> </v>
      </c>
      <c r="J246" t="str">
        <f t="shared" si="100"/>
        <v>BY</v>
      </c>
      <c r="K246" t="str">
        <f t="shared" si="101"/>
        <v>BZ</v>
      </c>
      <c r="L246">
        <f t="shared" si="95"/>
        <v>13.8</v>
      </c>
      <c r="M246" t="str">
        <f t="shared" si="96"/>
        <v>125:20</v>
      </c>
      <c r="N246" t="str">
        <f t="shared" si="97"/>
        <v>-</v>
      </c>
      <c r="O246" t="str">
        <f t="shared" si="98"/>
        <v>-4:30</v>
      </c>
      <c r="P246" t="str">
        <f t="shared" si="99"/>
        <v/>
      </c>
    </row>
    <row r="247" spans="1:16" x14ac:dyDescent="0.25">
      <c r="A247" t="str">
        <f>'Raw Data'!A217</f>
        <v>BZ</v>
      </c>
      <c r="B247" t="str">
        <f>'Raw Data'!B217</f>
        <v>CA</v>
      </c>
      <c r="C247">
        <f>'Raw Data'!J217</f>
        <v>18.5</v>
      </c>
      <c r="D247" t="str">
        <f>'Interpreted Data'!G217</f>
        <v>-</v>
      </c>
      <c r="E247" t="str">
        <f>'Interpreted Data'!H217</f>
        <v>352:00</v>
      </c>
      <c r="F247" t="str">
        <f>SUBSTITUTE('Raw Data'!K217," ",":",1)</f>
        <v>2:15</v>
      </c>
      <c r="G247">
        <f>'Interpreted Data'!N217</f>
        <v>0.7</v>
      </c>
      <c r="H247" t="str">
        <f>'Interpreted Data'!P217</f>
        <v/>
      </c>
      <c r="I247" t="str">
        <f t="shared" si="94"/>
        <v xml:space="preserve"> </v>
      </c>
      <c r="J247" t="str">
        <f t="shared" si="100"/>
        <v>BZ</v>
      </c>
      <c r="K247" t="str">
        <f t="shared" si="101"/>
        <v>CA</v>
      </c>
      <c r="L247">
        <f t="shared" si="95"/>
        <v>18.5</v>
      </c>
      <c r="M247" t="str">
        <f t="shared" si="96"/>
        <v>-</v>
      </c>
      <c r="N247" t="str">
        <f t="shared" si="97"/>
        <v>352:00</v>
      </c>
      <c r="O247" t="str">
        <f t="shared" si="98"/>
        <v>2:15</v>
      </c>
      <c r="P247" t="str">
        <f t="shared" si="99"/>
        <v/>
      </c>
    </row>
    <row r="248" spans="1:16" x14ac:dyDescent="0.25">
      <c r="A248" t="str">
        <f>'Raw Data'!A218</f>
        <v>CA</v>
      </c>
      <c r="B248" t="str">
        <f>'Raw Data'!B218</f>
        <v>CB</v>
      </c>
      <c r="C248">
        <f>'Raw Data'!J218</f>
        <v>8</v>
      </c>
      <c r="D248" t="str">
        <f>'Interpreted Data'!G218</f>
        <v>125:00</v>
      </c>
      <c r="E248" t="str">
        <f>'Interpreted Data'!H218</f>
        <v>-</v>
      </c>
      <c r="F248" t="str">
        <f>SUBSTITUTE('Raw Data'!K218," ",":",1)</f>
        <v>4:00</v>
      </c>
      <c r="G248">
        <f>'Interpreted Data'!N218</f>
        <v>0.6</v>
      </c>
      <c r="H248" t="str">
        <f>'Interpreted Data'!P218</f>
        <v>W.L. at sta 1'</v>
      </c>
      <c r="I248" t="str">
        <f t="shared" si="94"/>
        <v xml:space="preserve"> </v>
      </c>
      <c r="J248" t="str">
        <f t="shared" si="100"/>
        <v>CA</v>
      </c>
      <c r="K248" t="str">
        <f t="shared" si="101"/>
        <v>CB</v>
      </c>
      <c r="L248">
        <f t="shared" si="95"/>
        <v>8</v>
      </c>
      <c r="M248" t="str">
        <f t="shared" si="96"/>
        <v>125:00</v>
      </c>
      <c r="N248" t="str">
        <f t="shared" si="97"/>
        <v>-</v>
      </c>
      <c r="O248" t="str">
        <f t="shared" si="98"/>
        <v>4:00</v>
      </c>
      <c r="P248" t="str">
        <f t="shared" si="99"/>
        <v>W.L. at sta 1'</v>
      </c>
    </row>
    <row r="249" spans="1:16" x14ac:dyDescent="0.25">
      <c r="A249" t="str">
        <f>'Raw Data'!A219</f>
        <v>CB</v>
      </c>
      <c r="B249" t="str">
        <f>'Raw Data'!B219</f>
        <v>CC</v>
      </c>
      <c r="C249">
        <f>'Raw Data'!J219</f>
        <v>17.399999999999999</v>
      </c>
      <c r="D249" t="str">
        <f>'Interpreted Data'!G219</f>
        <v>-</v>
      </c>
      <c r="E249" t="str">
        <f>'Interpreted Data'!H219</f>
        <v>284:10</v>
      </c>
      <c r="F249" t="str">
        <f>SUBSTITUTE('Raw Data'!K219," ",":",1)</f>
        <v>16:00</v>
      </c>
      <c r="G249">
        <f>'Interpreted Data'!N219</f>
        <v>4.8</v>
      </c>
      <c r="H249" t="str">
        <f>'Interpreted Data'!P219</f>
        <v/>
      </c>
      <c r="I249" t="str">
        <f t="shared" si="94"/>
        <v xml:space="preserve"> </v>
      </c>
      <c r="J249" t="str">
        <f t="shared" si="100"/>
        <v>CB</v>
      </c>
      <c r="K249" t="str">
        <f t="shared" si="101"/>
        <v>CC</v>
      </c>
      <c r="L249">
        <f t="shared" si="95"/>
        <v>17.399999999999999</v>
      </c>
      <c r="M249" t="str">
        <f t="shared" si="96"/>
        <v>-</v>
      </c>
      <c r="N249" t="str">
        <f t="shared" si="97"/>
        <v>284:10</v>
      </c>
      <c r="O249" t="str">
        <f t="shared" si="98"/>
        <v>16:00</v>
      </c>
      <c r="P249" t="str">
        <f t="shared" si="99"/>
        <v/>
      </c>
    </row>
    <row r="250" spans="1:16" x14ac:dyDescent="0.25">
      <c r="A250" t="str">
        <f>'Raw Data'!A220</f>
        <v>CC</v>
      </c>
      <c r="B250" t="str">
        <f>'Raw Data'!B220</f>
        <v>CD</v>
      </c>
      <c r="C250">
        <f>'Raw Data'!J220</f>
        <v>74.599999999999994</v>
      </c>
      <c r="D250" t="str">
        <f>'Interpreted Data'!G220</f>
        <v>137:10</v>
      </c>
      <c r="E250" t="str">
        <f>'Interpreted Data'!H220</f>
        <v>-</v>
      </c>
      <c r="F250" t="str">
        <f>SUBSTITUTE('Raw Data'!K220," ",":",1)</f>
        <v>7:10</v>
      </c>
      <c r="G250">
        <f>'Interpreted Data'!N220</f>
        <v>9.3000000000000007</v>
      </c>
      <c r="H250" t="str">
        <f>'Interpreted Data'!P220</f>
        <v/>
      </c>
      <c r="I250" t="str">
        <f t="shared" si="94"/>
        <v xml:space="preserve"> </v>
      </c>
      <c r="J250" t="str">
        <f t="shared" si="100"/>
        <v>CC</v>
      </c>
      <c r="K250" t="str">
        <f t="shared" si="101"/>
        <v>CD</v>
      </c>
      <c r="L250">
        <f t="shared" si="95"/>
        <v>74.599999999999994</v>
      </c>
      <c r="M250" t="str">
        <f t="shared" si="96"/>
        <v>137:10</v>
      </c>
      <c r="N250" t="str">
        <f t="shared" si="97"/>
        <v>-</v>
      </c>
      <c r="O250" t="str">
        <f t="shared" si="98"/>
        <v>7:10</v>
      </c>
      <c r="P250" t="str">
        <f t="shared" si="99"/>
        <v/>
      </c>
    </row>
    <row r="251" spans="1:16" x14ac:dyDescent="0.25">
      <c r="A251" t="str">
        <f>'Raw Data'!A221</f>
        <v>CD</v>
      </c>
      <c r="B251" t="str">
        <f>'Raw Data'!B221</f>
        <v>CE</v>
      </c>
      <c r="C251">
        <f>'Raw Data'!J221</f>
        <v>35</v>
      </c>
      <c r="D251" t="str">
        <f>'Interpreted Data'!G221</f>
        <v>-</v>
      </c>
      <c r="E251" t="str">
        <f>'Interpreted Data'!H221</f>
        <v>304:00</v>
      </c>
      <c r="F251" t="str">
        <f>SUBSTITUTE('Raw Data'!K221," ",":",1)</f>
        <v>19:00</v>
      </c>
      <c r="G251">
        <f>'Interpreted Data'!N221</f>
        <v>11.4</v>
      </c>
      <c r="H251" t="str">
        <f>'Interpreted Data'!P221</f>
        <v/>
      </c>
      <c r="I251" t="str">
        <f t="shared" si="94"/>
        <v xml:space="preserve"> </v>
      </c>
      <c r="J251" t="str">
        <f t="shared" si="100"/>
        <v>CD</v>
      </c>
      <c r="K251" t="str">
        <f t="shared" si="101"/>
        <v>CE</v>
      </c>
      <c r="L251">
        <f t="shared" si="95"/>
        <v>35</v>
      </c>
      <c r="M251" t="str">
        <f t="shared" si="96"/>
        <v>-</v>
      </c>
      <c r="N251" t="str">
        <f t="shared" si="97"/>
        <v>304:00</v>
      </c>
      <c r="O251" t="str">
        <f t="shared" si="98"/>
        <v>19:00</v>
      </c>
      <c r="P251" t="str">
        <f t="shared" si="99"/>
        <v/>
      </c>
    </row>
    <row r="252" spans="1:16" x14ac:dyDescent="0.25">
      <c r="A252" t="str">
        <f>'Raw Data'!A222</f>
        <v>CE</v>
      </c>
      <c r="B252" t="str">
        <f>'Raw Data'!B222</f>
        <v>CF</v>
      </c>
      <c r="C252">
        <f>'Raw Data'!J222</f>
        <v>28.3</v>
      </c>
      <c r="D252" t="str">
        <f>'Interpreted Data'!G222</f>
        <v>091:40</v>
      </c>
      <c r="E252" t="str">
        <f>'Interpreted Data'!H222</f>
        <v>-</v>
      </c>
      <c r="F252" t="str">
        <f>SUBSTITUTE('Raw Data'!K222," ",":",1)</f>
        <v>-13:30</v>
      </c>
      <c r="G252">
        <f>'Interpreted Data'!N222</f>
        <v>-6.6</v>
      </c>
      <c r="H252" t="str">
        <f>'Interpreted Data'!P222</f>
        <v/>
      </c>
      <c r="I252" t="str">
        <f t="shared" si="94"/>
        <v xml:space="preserve"> </v>
      </c>
      <c r="J252" t="str">
        <f t="shared" si="100"/>
        <v>CE</v>
      </c>
      <c r="K252" t="str">
        <f t="shared" si="101"/>
        <v>CF</v>
      </c>
      <c r="L252">
        <f t="shared" si="95"/>
        <v>28.3</v>
      </c>
      <c r="M252" t="str">
        <f t="shared" si="96"/>
        <v>091:40</v>
      </c>
      <c r="N252" t="str">
        <f t="shared" si="97"/>
        <v>-</v>
      </c>
      <c r="O252" t="str">
        <f t="shared" si="98"/>
        <v>-13:30</v>
      </c>
      <c r="P252" t="str">
        <f t="shared" si="99"/>
        <v/>
      </c>
    </row>
    <row r="253" spans="1:16" x14ac:dyDescent="0.25">
      <c r="A253" t="str">
        <f>'Raw Data'!A223</f>
        <v>CF</v>
      </c>
      <c r="B253" t="str">
        <f>'Raw Data'!B223</f>
        <v>CG</v>
      </c>
      <c r="C253">
        <f>'Raw Data'!J223</f>
        <v>10.6</v>
      </c>
      <c r="D253" t="str">
        <f>'Interpreted Data'!G223</f>
        <v>-</v>
      </c>
      <c r="E253" t="str">
        <f>'Interpreted Data'!H223</f>
        <v>294:30</v>
      </c>
      <c r="F253" t="str">
        <f>SUBSTITUTE('Raw Data'!K223," ",":",1)</f>
        <v>16:30</v>
      </c>
      <c r="G253">
        <f>'Interpreted Data'!N223</f>
        <v>3</v>
      </c>
      <c r="H253" t="str">
        <f>'Interpreted Data'!P223</f>
        <v/>
      </c>
      <c r="I253" t="str">
        <f t="shared" si="94"/>
        <v xml:space="preserve"> </v>
      </c>
      <c r="J253" t="str">
        <f t="shared" si="100"/>
        <v>CF</v>
      </c>
      <c r="K253" t="str">
        <f t="shared" si="101"/>
        <v>CG</v>
      </c>
      <c r="L253">
        <f t="shared" si="95"/>
        <v>10.6</v>
      </c>
      <c r="M253" t="str">
        <f t="shared" si="96"/>
        <v>-</v>
      </c>
      <c r="N253" t="str">
        <f t="shared" si="97"/>
        <v>294:30</v>
      </c>
      <c r="O253" t="str">
        <f t="shared" si="98"/>
        <v>16:30</v>
      </c>
      <c r="P253" t="str">
        <f t="shared" si="99"/>
        <v/>
      </c>
    </row>
    <row r="254" spans="1:16" x14ac:dyDescent="0.25">
      <c r="A254" t="str">
        <f>'Raw Data'!A224</f>
        <v>CG</v>
      </c>
      <c r="B254" t="str">
        <f>'Raw Data'!B224</f>
        <v>CH</v>
      </c>
      <c r="C254">
        <f>'Raw Data'!J224</f>
        <v>31.4</v>
      </c>
      <c r="D254" t="str">
        <f>'Interpreted Data'!G224</f>
        <v>014:20</v>
      </c>
      <c r="E254" t="str">
        <f>'Interpreted Data'!H224</f>
        <v>-</v>
      </c>
      <c r="F254" t="str">
        <f>SUBSTITUTE('Raw Data'!K224," ",":",1)</f>
        <v>-3:30</v>
      </c>
      <c r="G254">
        <f>'Interpreted Data'!N224</f>
        <v>-1.9</v>
      </c>
      <c r="H254" t="str">
        <f>'Interpreted Data'!P224</f>
        <v/>
      </c>
      <c r="I254" t="str">
        <f t="shared" si="94"/>
        <v xml:space="preserve"> </v>
      </c>
      <c r="J254" t="str">
        <f t="shared" si="100"/>
        <v>CG</v>
      </c>
      <c r="K254" t="str">
        <f t="shared" si="101"/>
        <v>CH</v>
      </c>
      <c r="L254">
        <f t="shared" si="95"/>
        <v>31.4</v>
      </c>
      <c r="M254" t="str">
        <f t="shared" si="96"/>
        <v>014:20</v>
      </c>
      <c r="N254" t="str">
        <f t="shared" si="97"/>
        <v>-</v>
      </c>
      <c r="O254" t="str">
        <f t="shared" si="98"/>
        <v>-3:30</v>
      </c>
      <c r="P254" t="str">
        <f t="shared" si="99"/>
        <v/>
      </c>
    </row>
    <row r="255" spans="1:16" x14ac:dyDescent="0.25">
      <c r="A255" t="str">
        <f>'Raw Data'!A225</f>
        <v>CH</v>
      </c>
      <c r="B255" t="str">
        <f>'Raw Data'!B225</f>
        <v>CI</v>
      </c>
      <c r="C255">
        <f>'Raw Data'!J225</f>
        <v>15.9</v>
      </c>
      <c r="D255" t="str">
        <f>'Interpreted Data'!G225</f>
        <v>-</v>
      </c>
      <c r="E255" t="str">
        <f>'Interpreted Data'!H225</f>
        <v>169:00</v>
      </c>
      <c r="F255" t="str">
        <f>SUBSTITUTE('Raw Data'!K225," ",":",1)</f>
        <v>4:30</v>
      </c>
      <c r="G255">
        <f>'Interpreted Data'!N225</f>
        <v>1.2</v>
      </c>
      <c r="H255" t="str">
        <f>'Interpreted Data'!P225</f>
        <v/>
      </c>
      <c r="I255" t="str">
        <f t="shared" si="94"/>
        <v xml:space="preserve"> </v>
      </c>
      <c r="J255" t="str">
        <f t="shared" si="100"/>
        <v>CH</v>
      </c>
      <c r="K255" t="str">
        <f t="shared" si="101"/>
        <v>CI</v>
      </c>
      <c r="L255">
        <f t="shared" si="95"/>
        <v>15.9</v>
      </c>
      <c r="M255" t="str">
        <f t="shared" si="96"/>
        <v>-</v>
      </c>
      <c r="N255" t="str">
        <f t="shared" si="97"/>
        <v>169:00</v>
      </c>
      <c r="O255" t="str">
        <f t="shared" si="98"/>
        <v>4:30</v>
      </c>
      <c r="P255" t="str">
        <f t="shared" si="99"/>
        <v/>
      </c>
    </row>
    <row r="256" spans="1:16" x14ac:dyDescent="0.25">
      <c r="A256" t="str">
        <f>'Raw Data'!A226</f>
        <v>CI</v>
      </c>
      <c r="B256" t="str">
        <f>'Raw Data'!B226</f>
        <v>CJ</v>
      </c>
      <c r="C256">
        <f>'Raw Data'!J226</f>
        <v>35.200000000000003</v>
      </c>
      <c r="D256" t="str">
        <f>'Interpreted Data'!G226</f>
        <v>023:00</v>
      </c>
      <c r="E256" t="str">
        <f>'Interpreted Data'!H226</f>
        <v>-</v>
      </c>
      <c r="F256" t="str">
        <f>SUBSTITUTE('Raw Data'!K226," ",":",1)</f>
        <v>-3:50</v>
      </c>
      <c r="G256">
        <f>'Interpreted Data'!N226</f>
        <v>-2.4</v>
      </c>
      <c r="H256" t="str">
        <f>'Interpreted Data'!P226</f>
        <v/>
      </c>
      <c r="I256" t="str">
        <f t="shared" si="94"/>
        <v xml:space="preserve"> </v>
      </c>
      <c r="J256" t="str">
        <f t="shared" si="100"/>
        <v>CI</v>
      </c>
      <c r="K256" t="str">
        <f t="shared" si="101"/>
        <v>CJ</v>
      </c>
      <c r="L256">
        <f t="shared" si="95"/>
        <v>35.200000000000003</v>
      </c>
      <c r="M256" t="str">
        <f t="shared" si="96"/>
        <v>023:00</v>
      </c>
      <c r="N256" t="str">
        <f t="shared" si="97"/>
        <v>-</v>
      </c>
      <c r="O256" t="str">
        <f t="shared" si="98"/>
        <v>-3:50</v>
      </c>
      <c r="P256" t="str">
        <f t="shared" si="99"/>
        <v/>
      </c>
    </row>
    <row r="257" spans="1:16" x14ac:dyDescent="0.25">
      <c r="J257" t="str">
        <f>$J$2</f>
        <v>data diving from to tape compass backcompass depthchange ignoreall</v>
      </c>
    </row>
    <row r="258" spans="1:16" x14ac:dyDescent="0.25">
      <c r="A258" t="str">
        <f>'Raw Data'!A227</f>
        <v>CJ</v>
      </c>
      <c r="B258" t="str">
        <f>'Raw Data'!B227</f>
        <v>CK</v>
      </c>
      <c r="C258">
        <f>'Raw Data'!J227</f>
        <v>12.3</v>
      </c>
      <c r="D258" t="str">
        <f>'Interpreted Data'!G227</f>
        <v>328:00</v>
      </c>
      <c r="E258" t="str">
        <f>'Interpreted Data'!H227</f>
        <v>-</v>
      </c>
      <c r="F258" t="str">
        <f>SUBSTITUTE('Raw Data'!K227," ",":",1)</f>
        <v>-one:foot</v>
      </c>
      <c r="G258">
        <f>'Interpreted Data'!N227</f>
        <v>-1</v>
      </c>
      <c r="H258" t="str">
        <f>'Interpreted Data'!P227</f>
        <v>side of pot at entrance of passage</v>
      </c>
      <c r="I258" t="str">
        <f t="shared" si="94"/>
        <v xml:space="preserve"> </v>
      </c>
      <c r="J258" t="str">
        <f t="shared" si="100"/>
        <v>CJ</v>
      </c>
      <c r="K258" t="str">
        <f t="shared" si="101"/>
        <v>CK</v>
      </c>
      <c r="L258">
        <f t="shared" si="95"/>
        <v>12.3</v>
      </c>
      <c r="M258" t="str">
        <f t="shared" si="96"/>
        <v>328:00</v>
      </c>
      <c r="N258" t="str">
        <f t="shared" si="97"/>
        <v>-</v>
      </c>
      <c r="O258">
        <f>G258</f>
        <v>-1</v>
      </c>
      <c r="P258" t="str">
        <f t="shared" si="99"/>
        <v>side of pot at entrance of passage</v>
      </c>
    </row>
    <row r="259" spans="1:16" x14ac:dyDescent="0.25">
      <c r="J259" t="str">
        <f>$J$1</f>
        <v>data normal from to tape compass backcompass clino ignoreall</v>
      </c>
    </row>
    <row r="260" spans="1:16" x14ac:dyDescent="0.25">
      <c r="A260" t="str">
        <f>'Raw Data'!A228</f>
        <v>CK</v>
      </c>
      <c r="B260" t="str">
        <f>'Raw Data'!B228</f>
        <v>CL</v>
      </c>
      <c r="C260">
        <f>'Raw Data'!J228</f>
        <v>35.700000000000003</v>
      </c>
      <c r="D260" t="str">
        <f>'Interpreted Data'!G228</f>
        <v>-</v>
      </c>
      <c r="E260" t="str">
        <f>'Interpreted Data'!H228</f>
        <v>272:00</v>
      </c>
      <c r="F260" t="str">
        <f>SUBSTITUTE('Raw Data'!K228," ",":",1)</f>
        <v>71:00</v>
      </c>
      <c r="G260">
        <f>'Interpreted Data'!N228</f>
        <v>33.799999999999997</v>
      </c>
      <c r="H260" t="str">
        <f>'Interpreted Data'!P228</f>
        <v>side of pot</v>
      </c>
      <c r="I260" t="str">
        <f t="shared" si="94"/>
        <v xml:space="preserve"> </v>
      </c>
      <c r="J260" t="str">
        <f t="shared" si="100"/>
        <v>CK</v>
      </c>
      <c r="K260" t="str">
        <f t="shared" si="101"/>
        <v>CL</v>
      </c>
      <c r="L260">
        <f t="shared" si="95"/>
        <v>35.700000000000003</v>
      </c>
      <c r="M260" t="str">
        <f t="shared" si="96"/>
        <v>-</v>
      </c>
      <c r="N260" t="str">
        <f t="shared" si="97"/>
        <v>272:00</v>
      </c>
      <c r="O260" t="str">
        <f t="shared" si="98"/>
        <v>71:00</v>
      </c>
      <c r="P260" t="str">
        <f t="shared" si="99"/>
        <v>side of pot</v>
      </c>
    </row>
    <row r="261" spans="1:16" x14ac:dyDescent="0.25">
      <c r="J261" t="str">
        <f>$J$2</f>
        <v>data diving from to tape compass backcompass depthchange ignoreall</v>
      </c>
    </row>
    <row r="262" spans="1:16" x14ac:dyDescent="0.25">
      <c r="A262" t="str">
        <f>'Raw Data'!A229</f>
        <v>CL</v>
      </c>
      <c r="B262" t="str">
        <f>'Raw Data'!B229</f>
        <v>CN</v>
      </c>
      <c r="C262">
        <f>'Raw Data'!J229</f>
        <v>3</v>
      </c>
      <c r="D262" t="str">
        <f>'Interpreted Data'!G229</f>
        <v>100:00</v>
      </c>
      <c r="E262" t="str">
        <f>'Interpreted Data'!H229</f>
        <v>-</v>
      </c>
      <c r="F262" t="str">
        <f>SUBSTITUTE('Raw Data'!K229," ",":",1)</f>
        <v>+two:feet</v>
      </c>
      <c r="G262">
        <f>'Interpreted Data'!N229</f>
        <v>2</v>
      </c>
      <c r="H262" t="str">
        <f>'Interpreted Data'!P229</f>
        <v>lip of pot</v>
      </c>
      <c r="I262" t="str">
        <f t="shared" si="94"/>
        <v xml:space="preserve"> </v>
      </c>
      <c r="J262" t="str">
        <f t="shared" si="100"/>
        <v>CL</v>
      </c>
      <c r="K262" t="str">
        <f t="shared" si="101"/>
        <v>CN</v>
      </c>
      <c r="L262">
        <f t="shared" si="95"/>
        <v>3</v>
      </c>
      <c r="M262" t="str">
        <f t="shared" si="96"/>
        <v>100:00</v>
      </c>
      <c r="N262" t="str">
        <f t="shared" si="97"/>
        <v>-</v>
      </c>
      <c r="O262">
        <f>G262</f>
        <v>2</v>
      </c>
      <c r="P262" t="str">
        <f t="shared" si="99"/>
        <v>lip of pot</v>
      </c>
    </row>
    <row r="263" spans="1:16" x14ac:dyDescent="0.25">
      <c r="A263" t="str">
        <f>'Raw Data'!A230</f>
        <v>CN</v>
      </c>
      <c r="B263">
        <f>'Raw Data'!B230</f>
        <v>0</v>
      </c>
      <c r="C263">
        <f>'Raw Data'!J230</f>
        <v>0</v>
      </c>
      <c r="D263" t="str">
        <f>'Interpreted Data'!G230</f>
        <v/>
      </c>
      <c r="E263" t="str">
        <f>'Interpreted Data'!H230</f>
        <v/>
      </c>
      <c r="F263" t="str">
        <f>SUBSTITUTE('Raw Data'!K230," ",":",1)</f>
        <v/>
      </c>
      <c r="G263" t="str">
        <f>'Interpreted Data'!N230</f>
        <v/>
      </c>
      <c r="H263" t="str">
        <f>'Interpreted Data'!P230</f>
        <v>see p.55</v>
      </c>
      <c r="I263" t="str">
        <f t="shared" si="94"/>
        <v xml:space="preserve"> </v>
      </c>
      <c r="J263" t="s">
        <v>77</v>
      </c>
      <c r="K263" t="str">
        <f>A263</f>
        <v>CN</v>
      </c>
      <c r="L263">
        <f t="shared" si="95"/>
        <v>0</v>
      </c>
      <c r="M263" t="str">
        <f t="shared" si="96"/>
        <v/>
      </c>
      <c r="N263" t="str">
        <f t="shared" si="97"/>
        <v/>
      </c>
      <c r="O263" t="str">
        <f t="shared" si="98"/>
        <v/>
      </c>
      <c r="P263" t="str">
        <f t="shared" si="99"/>
        <v>see p.55</v>
      </c>
    </row>
    <row r="265" spans="1:16" x14ac:dyDescent="0.25">
      <c r="A265" t="str">
        <f>'Raw Data'!A231</f>
        <v>1st March 1953</v>
      </c>
      <c r="B265" t="str">
        <f>'Raw Data'!B231</f>
        <v>Phil, Don, Oliver, Colin</v>
      </c>
      <c r="C265">
        <f>'Raw Data'!J231</f>
        <v>0</v>
      </c>
      <c r="D265" t="str">
        <f>'Interpreted Data'!G231</f>
        <v/>
      </c>
      <c r="E265" t="str">
        <f>'Interpreted Data'!H231</f>
        <v/>
      </c>
      <c r="F265" t="str">
        <f>SUBSTITUTE('Raw Data'!K231," ",":",1)</f>
        <v/>
      </c>
      <c r="G265" t="str">
        <f>'Interpreted Data'!N231</f>
        <v/>
      </c>
      <c r="H265" t="str">
        <f>'Interpreted Data'!P231</f>
        <v/>
      </c>
      <c r="I265" t="str">
        <f t="shared" si="94"/>
        <v xml:space="preserve"> </v>
      </c>
      <c r="J265" t="str">
        <f t="shared" si="100"/>
        <v>1st March 1953</v>
      </c>
      <c r="K265" t="str">
        <f t="shared" si="101"/>
        <v>Phil, Don, Oliver, Colin</v>
      </c>
      <c r="L265">
        <f t="shared" si="95"/>
        <v>0</v>
      </c>
      <c r="M265" t="str">
        <f t="shared" si="96"/>
        <v/>
      </c>
      <c r="N265" t="str">
        <f t="shared" si="97"/>
        <v/>
      </c>
      <c r="O265" t="str">
        <f t="shared" si="98"/>
        <v/>
      </c>
      <c r="P265" t="str">
        <f t="shared" si="99"/>
        <v/>
      </c>
    </row>
    <row r="266" spans="1:16" x14ac:dyDescent="0.25">
      <c r="J266" t="str">
        <f>$J$2</f>
        <v>data diving from to tape compass backcompass depthchange ignoreall</v>
      </c>
    </row>
    <row r="267" spans="1:16" x14ac:dyDescent="0.25">
      <c r="A267" t="str">
        <f>'Raw Data'!A232</f>
        <v>AL(?)</v>
      </c>
      <c r="B267" t="str">
        <f>'Raw Data'!B232</f>
        <v>a</v>
      </c>
      <c r="C267">
        <f>'Raw Data'!J232</f>
        <v>3.4</v>
      </c>
      <c r="D267" t="str">
        <f>'Interpreted Data'!G232</f>
        <v>-</v>
      </c>
      <c r="E267" t="str">
        <f>'Interpreted Data'!H232</f>
        <v>048:00</v>
      </c>
      <c r="F267" t="str">
        <f>SUBSTITUTE('Raw Data'!K232," ",":",1)</f>
        <v>-one:foot</v>
      </c>
      <c r="G267">
        <f>'Interpreted Data'!N232</f>
        <v>-1</v>
      </c>
      <c r="H267" t="str">
        <f>'Interpreted Data'!P232</f>
        <v>See p.51 Below Trats Grotto</v>
      </c>
      <c r="I267" t="str">
        <f t="shared" si="94"/>
        <v xml:space="preserve"> </v>
      </c>
      <c r="J267" t="str">
        <f t="shared" si="100"/>
        <v>AL(?)</v>
      </c>
      <c r="K267" t="str">
        <f t="shared" si="101"/>
        <v>a</v>
      </c>
      <c r="L267">
        <f t="shared" si="95"/>
        <v>3.4</v>
      </c>
      <c r="M267" t="str">
        <f t="shared" si="96"/>
        <v>-</v>
      </c>
      <c r="N267" t="str">
        <f t="shared" si="97"/>
        <v>048:00</v>
      </c>
      <c r="O267">
        <f>G267</f>
        <v>-1</v>
      </c>
      <c r="P267" t="str">
        <f t="shared" si="99"/>
        <v>See p.51 Below Trats Grotto</v>
      </c>
    </row>
    <row r="268" spans="1:16" x14ac:dyDescent="0.25">
      <c r="J268" t="str">
        <f>$J$1</f>
        <v>data normal from to tape compass backcompass clino ignoreall</v>
      </c>
    </row>
    <row r="269" spans="1:16" x14ac:dyDescent="0.25">
      <c r="A269" t="str">
        <f>'Raw Data'!A233</f>
        <v>a</v>
      </c>
      <c r="B269" t="str">
        <f>'Raw Data'!B233</f>
        <v>b</v>
      </c>
      <c r="C269">
        <f>'Raw Data'!J233</f>
        <v>19.399999999999999</v>
      </c>
      <c r="D269" t="str">
        <f>'Interpreted Data'!G233</f>
        <v>184:00</v>
      </c>
      <c r="E269" t="str">
        <f>'Interpreted Data'!H233</f>
        <v>-</v>
      </c>
      <c r="F269" t="str">
        <f>SUBSTITUTE('Raw Data'!K233," ",":",1)</f>
        <v>56:30</v>
      </c>
      <c r="G269">
        <f>'Interpreted Data'!N233</f>
        <v>16.2</v>
      </c>
      <c r="H269" t="str">
        <f>'Interpreted Data'!P233</f>
        <v/>
      </c>
      <c r="I269" t="str">
        <f t="shared" si="94"/>
        <v xml:space="preserve"> </v>
      </c>
      <c r="J269" t="str">
        <f t="shared" si="100"/>
        <v>a</v>
      </c>
      <c r="K269" t="str">
        <f t="shared" si="101"/>
        <v>b</v>
      </c>
      <c r="L269">
        <f t="shared" si="95"/>
        <v>19.399999999999999</v>
      </c>
      <c r="M269" t="str">
        <f t="shared" si="96"/>
        <v>184:00</v>
      </c>
      <c r="N269" t="str">
        <f t="shared" si="97"/>
        <v>-</v>
      </c>
      <c r="O269" t="str">
        <f t="shared" si="98"/>
        <v>56:30</v>
      </c>
      <c r="P269" t="str">
        <f t="shared" si="99"/>
        <v/>
      </c>
    </row>
    <row r="270" spans="1:16" x14ac:dyDescent="0.25">
      <c r="A270" t="str">
        <f>'Raw Data'!A234</f>
        <v>b</v>
      </c>
      <c r="B270" t="str">
        <f>'Raw Data'!B234</f>
        <v>c</v>
      </c>
      <c r="C270">
        <f>'Raw Data'!J234</f>
        <v>10.8</v>
      </c>
      <c r="D270" t="str">
        <f>'Interpreted Data'!G234</f>
        <v>-</v>
      </c>
      <c r="E270" t="str">
        <f>'Interpreted Data'!H234</f>
        <v>229:40</v>
      </c>
      <c r="F270" t="str">
        <f>SUBSTITUTE('Raw Data'!K234," ",":",1)</f>
        <v>30:15</v>
      </c>
      <c r="G270">
        <f>'Interpreted Data'!N234</f>
        <v>5.4</v>
      </c>
      <c r="H270" t="str">
        <f>'Interpreted Data'!P234</f>
        <v>Top of pit</v>
      </c>
      <c r="I270" t="str">
        <f t="shared" si="94"/>
        <v xml:space="preserve"> </v>
      </c>
      <c r="J270" t="str">
        <f t="shared" si="100"/>
        <v>b</v>
      </c>
      <c r="K270" t="str">
        <f t="shared" si="101"/>
        <v>c</v>
      </c>
      <c r="L270">
        <f t="shared" si="95"/>
        <v>10.8</v>
      </c>
      <c r="M270" t="str">
        <f t="shared" si="96"/>
        <v>-</v>
      </c>
      <c r="N270" t="str">
        <f t="shared" si="97"/>
        <v>229:40</v>
      </c>
      <c r="O270" t="str">
        <f t="shared" si="98"/>
        <v>30:15</v>
      </c>
      <c r="P270" t="str">
        <f t="shared" si="99"/>
        <v>Top of pit</v>
      </c>
    </row>
    <row r="271" spans="1:16" x14ac:dyDescent="0.25">
      <c r="A271" t="str">
        <f>'Raw Data'!A235</f>
        <v>c</v>
      </c>
      <c r="B271" t="str">
        <f>'Raw Data'!B235</f>
        <v>d</v>
      </c>
      <c r="C271">
        <f>'Raw Data'!J235</f>
        <v>23.8</v>
      </c>
      <c r="D271" t="str">
        <f>'Interpreted Data'!G235</f>
        <v>203:40</v>
      </c>
      <c r="E271" t="str">
        <f>'Interpreted Data'!H235</f>
        <v>-</v>
      </c>
      <c r="F271" t="str">
        <f>SUBSTITUTE('Raw Data'!K235," ",":",1)</f>
        <v>19:40</v>
      </c>
      <c r="G271">
        <f>'Interpreted Data'!N235</f>
        <v>8</v>
      </c>
      <c r="H271" t="str">
        <f>'Interpreted Data'!P235</f>
        <v>Foot of cascade</v>
      </c>
      <c r="I271" t="str">
        <f t="shared" si="94"/>
        <v xml:space="preserve"> </v>
      </c>
      <c r="J271" t="str">
        <f t="shared" si="100"/>
        <v>c</v>
      </c>
      <c r="K271" t="str">
        <f t="shared" si="101"/>
        <v>d</v>
      </c>
      <c r="L271">
        <f t="shared" si="95"/>
        <v>23.8</v>
      </c>
      <c r="M271" t="str">
        <f t="shared" si="96"/>
        <v>203:40</v>
      </c>
      <c r="N271" t="str">
        <f t="shared" si="97"/>
        <v>-</v>
      </c>
      <c r="O271" t="str">
        <f t="shared" si="98"/>
        <v>19:40</v>
      </c>
      <c r="P271" t="str">
        <f t="shared" si="99"/>
        <v>Foot of cascade</v>
      </c>
    </row>
    <row r="272" spans="1:16" x14ac:dyDescent="0.25">
      <c r="A272" t="str">
        <f>'Raw Data'!A236</f>
        <v>d</v>
      </c>
      <c r="B272" t="str">
        <f>'Raw Data'!B236</f>
        <v>e</v>
      </c>
      <c r="C272">
        <f>'Raw Data'!J236</f>
        <v>52</v>
      </c>
      <c r="D272" t="str">
        <f>'Interpreted Data'!G236</f>
        <v>-</v>
      </c>
      <c r="E272" t="str">
        <f>'Interpreted Data'!H236</f>
        <v>305:10</v>
      </c>
      <c r="F272" t="str">
        <f>SUBSTITUTE('Raw Data'!K236," ",":",1)</f>
        <v>2:30</v>
      </c>
      <c r="G272">
        <f>'Interpreted Data'!N236</f>
        <v>2.2999999999999998</v>
      </c>
      <c r="H272" t="str">
        <f>'Interpreted Data'!P236</f>
        <v>(small sketch a-e)</v>
      </c>
      <c r="I272" t="str">
        <f t="shared" si="94"/>
        <v xml:space="preserve"> </v>
      </c>
      <c r="J272" t="str">
        <f t="shared" si="100"/>
        <v>d</v>
      </c>
      <c r="K272" t="str">
        <f t="shared" si="101"/>
        <v>e</v>
      </c>
      <c r="L272">
        <f t="shared" si="95"/>
        <v>52</v>
      </c>
      <c r="M272" t="str">
        <f t="shared" si="96"/>
        <v>-</v>
      </c>
      <c r="N272" t="str">
        <f t="shared" si="97"/>
        <v>305:10</v>
      </c>
      <c r="O272" t="str">
        <f t="shared" si="98"/>
        <v>2:30</v>
      </c>
      <c r="P272" t="str">
        <f t="shared" si="99"/>
        <v>(small sketch a-e)</v>
      </c>
    </row>
    <row r="273" spans="1:16" x14ac:dyDescent="0.25">
      <c r="A273" t="str">
        <f>'Raw Data'!A237</f>
        <v>e</v>
      </c>
      <c r="B273" t="str">
        <f>'Raw Data'!B237</f>
        <v>f</v>
      </c>
      <c r="C273">
        <f>'Raw Data'!J237</f>
        <v>23.5</v>
      </c>
      <c r="D273" t="str">
        <f>'Interpreted Data'!G237</f>
        <v>125:00</v>
      </c>
      <c r="E273" t="str">
        <f>'Interpreted Data'!H237</f>
        <v>-</v>
      </c>
      <c r="F273" t="str">
        <f>SUBSTITUTE('Raw Data'!K237," ",":",1)</f>
        <v>8:45</v>
      </c>
      <c r="G273">
        <f>'Interpreted Data'!N237</f>
        <v>3.6</v>
      </c>
      <c r="H273" t="str">
        <f>'Interpreted Data'!P237</f>
        <v>(sketch e-i)</v>
      </c>
      <c r="I273" t="str">
        <f t="shared" si="94"/>
        <v xml:space="preserve"> </v>
      </c>
      <c r="J273" t="str">
        <f t="shared" si="100"/>
        <v>e</v>
      </c>
      <c r="K273" t="str">
        <f t="shared" si="101"/>
        <v>f</v>
      </c>
      <c r="L273">
        <f t="shared" si="95"/>
        <v>23.5</v>
      </c>
      <c r="M273" t="str">
        <f t="shared" si="96"/>
        <v>125:00</v>
      </c>
      <c r="N273" t="str">
        <f t="shared" si="97"/>
        <v>-</v>
      </c>
      <c r="O273" t="str">
        <f t="shared" si="98"/>
        <v>8:45</v>
      </c>
      <c r="P273" t="str">
        <f t="shared" si="99"/>
        <v>(sketch e-i)</v>
      </c>
    </row>
    <row r="274" spans="1:16" x14ac:dyDescent="0.25">
      <c r="A274" t="str">
        <f>'Raw Data'!A238</f>
        <v>f</v>
      </c>
      <c r="B274" t="str">
        <f>'Raw Data'!B238</f>
        <v>g</v>
      </c>
      <c r="C274">
        <f>'Raw Data'!J238</f>
        <v>16.899999999999999</v>
      </c>
      <c r="D274" t="str">
        <f>'Interpreted Data'!G238</f>
        <v>-</v>
      </c>
      <c r="E274" t="str">
        <f>'Interpreted Data'!H238</f>
        <v>342:00</v>
      </c>
      <c r="F274" t="str">
        <f>SUBSTITUTE('Raw Data'!K238," ",":",1)</f>
        <v>-5:00</v>
      </c>
      <c r="G274">
        <f>'Interpreted Data'!N238</f>
        <v>-1.5</v>
      </c>
      <c r="H274" t="str">
        <f>'Interpreted Data'!P238</f>
        <v/>
      </c>
      <c r="I274" t="str">
        <f t="shared" si="94"/>
        <v xml:space="preserve"> </v>
      </c>
      <c r="J274" t="str">
        <f t="shared" si="100"/>
        <v>f</v>
      </c>
      <c r="K274" t="str">
        <f t="shared" si="101"/>
        <v>g</v>
      </c>
      <c r="L274">
        <f t="shared" si="95"/>
        <v>16.899999999999999</v>
      </c>
      <c r="M274" t="str">
        <f t="shared" si="96"/>
        <v>-</v>
      </c>
      <c r="N274" t="str">
        <f t="shared" si="97"/>
        <v>342:00</v>
      </c>
      <c r="O274" t="str">
        <f t="shared" si="98"/>
        <v>-5:00</v>
      </c>
      <c r="P274" t="str">
        <f t="shared" si="99"/>
        <v/>
      </c>
    </row>
    <row r="275" spans="1:16" x14ac:dyDescent="0.25">
      <c r="J275" t="str">
        <f>$J$2</f>
        <v>data diving from to tape compass backcompass depthchange ignoreall</v>
      </c>
    </row>
    <row r="276" spans="1:16" x14ac:dyDescent="0.25">
      <c r="A276" t="str">
        <f>'Raw Data'!A239</f>
        <v>g</v>
      </c>
      <c r="B276" t="str">
        <f>'Raw Data'!B239</f>
        <v>h</v>
      </c>
      <c r="C276">
        <f>'Raw Data'!J239</f>
        <v>7.6</v>
      </c>
      <c r="D276" t="str">
        <f>'Interpreted Data'!G239</f>
        <v>-</v>
      </c>
      <c r="E276" t="str">
        <f>'Interpreted Data'!H239</f>
        <v>013:00</v>
      </c>
      <c r="F276" t="str">
        <f>SUBSTITUTE('Raw Data'!K239," ",":",1)</f>
        <v>+0.5:feet</v>
      </c>
      <c r="G276">
        <f>'Interpreted Data'!N239</f>
        <v>0.5</v>
      </c>
      <c r="H276" t="str">
        <f>'Interpreted Data'!P239</f>
        <v/>
      </c>
      <c r="I276" t="str">
        <f t="shared" ref="I276:I327" si="102">" "</f>
        <v xml:space="preserve"> </v>
      </c>
      <c r="J276" t="str">
        <f t="shared" si="100"/>
        <v>g</v>
      </c>
      <c r="K276" t="str">
        <f t="shared" si="101"/>
        <v>h</v>
      </c>
      <c r="L276">
        <f t="shared" si="95"/>
        <v>7.6</v>
      </c>
      <c r="M276" t="str">
        <f t="shared" si="96"/>
        <v>-</v>
      </c>
      <c r="N276" t="str">
        <f t="shared" si="97"/>
        <v>013:00</v>
      </c>
      <c r="O276">
        <f>G276</f>
        <v>0.5</v>
      </c>
      <c r="P276" t="str">
        <f t="shared" si="99"/>
        <v/>
      </c>
    </row>
    <row r="277" spans="1:16" x14ac:dyDescent="0.25">
      <c r="J277" t="str">
        <f>$J$1</f>
        <v>data normal from to tape compass backcompass clino ignoreall</v>
      </c>
    </row>
    <row r="278" spans="1:16" x14ac:dyDescent="0.25">
      <c r="A278" t="str">
        <f>'Raw Data'!A240</f>
        <v>h</v>
      </c>
      <c r="B278" t="str">
        <f>'Raw Data'!B240</f>
        <v>i</v>
      </c>
      <c r="C278">
        <f>'Raw Data'!J240</f>
        <v>18.2</v>
      </c>
      <c r="D278" t="str">
        <f>'Interpreted Data'!G240</f>
        <v>-</v>
      </c>
      <c r="E278" t="str">
        <f>'Interpreted Data'!H240</f>
        <v>002:00</v>
      </c>
      <c r="F278" t="str">
        <f>SUBSTITUTE('Raw Data'!K240," ",":",1)</f>
        <v>5:30</v>
      </c>
      <c r="G278">
        <f>'Interpreted Data'!N240</f>
        <v>1.7</v>
      </c>
      <c r="H278" t="str">
        <f>'Interpreted Data'!P240</f>
        <v/>
      </c>
      <c r="I278" t="str">
        <f t="shared" si="102"/>
        <v xml:space="preserve"> </v>
      </c>
      <c r="J278" t="str">
        <f t="shared" si="100"/>
        <v>h</v>
      </c>
      <c r="K278" t="str">
        <f t="shared" si="101"/>
        <v>i</v>
      </c>
      <c r="L278">
        <f t="shared" si="95"/>
        <v>18.2</v>
      </c>
      <c r="M278" t="str">
        <f t="shared" si="96"/>
        <v>-</v>
      </c>
      <c r="N278" t="str">
        <f t="shared" si="97"/>
        <v>002:00</v>
      </c>
      <c r="O278" t="str">
        <f t="shared" si="98"/>
        <v>5:30</v>
      </c>
      <c r="P278" t="str">
        <f t="shared" si="99"/>
        <v/>
      </c>
    </row>
    <row r="279" spans="1:16" x14ac:dyDescent="0.25">
      <c r="A279" t="str">
        <f>'Raw Data'!A241</f>
        <v>i</v>
      </c>
      <c r="B279" t="str">
        <f>'Raw Data'!B241</f>
        <v>j</v>
      </c>
      <c r="C279">
        <f>'Raw Data'!J241</f>
        <v>7.8</v>
      </c>
      <c r="D279" t="str">
        <f>'Interpreted Data'!G241</f>
        <v>-</v>
      </c>
      <c r="E279" t="str">
        <f>'Interpreted Data'!H241</f>
        <v>007:00</v>
      </c>
      <c r="F279" t="str">
        <f>SUBSTITUTE('Raw Data'!K241," ",":",1)</f>
        <v>-7:00</v>
      </c>
      <c r="G279">
        <f>'Interpreted Data'!N241</f>
        <v>-0.9</v>
      </c>
      <c r="H279" t="str">
        <f>'Interpreted Data'!P241</f>
        <v>(sketch j-o)</v>
      </c>
      <c r="I279" t="str">
        <f t="shared" si="102"/>
        <v xml:space="preserve"> </v>
      </c>
      <c r="J279" t="str">
        <f t="shared" si="100"/>
        <v>i</v>
      </c>
      <c r="K279" t="str">
        <f t="shared" si="101"/>
        <v>j</v>
      </c>
      <c r="L279">
        <f t="shared" si="95"/>
        <v>7.8</v>
      </c>
      <c r="M279" t="str">
        <f t="shared" si="96"/>
        <v>-</v>
      </c>
      <c r="N279" t="str">
        <f t="shared" si="97"/>
        <v>007:00</v>
      </c>
      <c r="O279" t="str">
        <f t="shared" si="98"/>
        <v>-7:00</v>
      </c>
      <c r="P279" t="str">
        <f t="shared" si="99"/>
        <v>(sketch j-o)</v>
      </c>
    </row>
    <row r="280" spans="1:16" x14ac:dyDescent="0.25">
      <c r="A280" t="str">
        <f>'Raw Data'!A242</f>
        <v>j</v>
      </c>
      <c r="B280" t="str">
        <f>'Raw Data'!B242</f>
        <v>k</v>
      </c>
      <c r="C280">
        <f>'Raw Data'!J242</f>
        <v>28.9</v>
      </c>
      <c r="D280" t="str">
        <f>'Interpreted Data'!G242</f>
        <v>194:00</v>
      </c>
      <c r="E280" t="str">
        <f>'Interpreted Data'!H242</f>
        <v>-</v>
      </c>
      <c r="F280" t="str">
        <f>SUBSTITUTE('Raw Data'!K242," ",":",1)</f>
        <v>-17:30</v>
      </c>
      <c r="G280">
        <f>'Interpreted Data'!N242</f>
        <v>-8.6999999999999993</v>
      </c>
      <c r="H280" t="str">
        <f>'Interpreted Data'!P242</f>
        <v/>
      </c>
      <c r="I280" t="str">
        <f t="shared" si="102"/>
        <v xml:space="preserve"> </v>
      </c>
      <c r="J280" t="str">
        <f t="shared" si="100"/>
        <v>j</v>
      </c>
      <c r="K280" t="str">
        <f t="shared" si="101"/>
        <v>k</v>
      </c>
      <c r="L280">
        <f t="shared" si="95"/>
        <v>28.9</v>
      </c>
      <c r="M280" t="str">
        <f t="shared" si="96"/>
        <v>194:00</v>
      </c>
      <c r="N280" t="str">
        <f t="shared" si="97"/>
        <v>-</v>
      </c>
      <c r="O280" t="str">
        <f t="shared" si="98"/>
        <v>-17:30</v>
      </c>
      <c r="P280" t="str">
        <f t="shared" si="99"/>
        <v/>
      </c>
    </row>
    <row r="281" spans="1:16" x14ac:dyDescent="0.25">
      <c r="A281" t="str">
        <f>'Raw Data'!A243</f>
        <v>k</v>
      </c>
      <c r="B281" t="str">
        <f>'Raw Data'!B243</f>
        <v>l</v>
      </c>
      <c r="C281">
        <f>'Raw Data'!J243</f>
        <v>22.3</v>
      </c>
      <c r="D281" t="str">
        <f>'Interpreted Data'!G243</f>
        <v>-</v>
      </c>
      <c r="E281" t="str">
        <f>'Interpreted Data'!H243</f>
        <v>027:30</v>
      </c>
      <c r="F281" t="str">
        <f>SUBSTITUTE('Raw Data'!K243," ",":",1)</f>
        <v>4:00</v>
      </c>
      <c r="G281">
        <f>'Interpreted Data'!N243</f>
        <v>1.6</v>
      </c>
      <c r="H281" t="str">
        <f>'Interpreted Data'!P243</f>
        <v/>
      </c>
      <c r="I281" t="str">
        <f t="shared" si="102"/>
        <v xml:space="preserve"> </v>
      </c>
      <c r="J281" t="str">
        <f t="shared" si="100"/>
        <v>k</v>
      </c>
      <c r="K281" t="str">
        <f t="shared" si="101"/>
        <v>l</v>
      </c>
      <c r="L281">
        <f t="shared" si="95"/>
        <v>22.3</v>
      </c>
      <c r="M281" t="str">
        <f t="shared" si="96"/>
        <v>-</v>
      </c>
      <c r="N281" t="str">
        <f t="shared" si="97"/>
        <v>027:30</v>
      </c>
      <c r="O281" t="str">
        <f t="shared" si="98"/>
        <v>4:00</v>
      </c>
      <c r="P281" t="str">
        <f t="shared" si="99"/>
        <v/>
      </c>
    </row>
    <row r="282" spans="1:16" x14ac:dyDescent="0.25">
      <c r="A282" t="str">
        <f>'Raw Data'!A244</f>
        <v>l</v>
      </c>
      <c r="B282" t="str">
        <f>'Raw Data'!B244</f>
        <v>m</v>
      </c>
      <c r="C282">
        <f>'Raw Data'!J244</f>
        <v>22.9</v>
      </c>
      <c r="D282" t="str">
        <f>'Interpreted Data'!G244</f>
        <v>187:00</v>
      </c>
      <c r="E282" t="str">
        <f>'Interpreted Data'!H244</f>
        <v>-</v>
      </c>
      <c r="F282" t="str">
        <f>SUBSTITUTE('Raw Data'!K244," ",":",1)</f>
        <v>0:40</v>
      </c>
      <c r="G282">
        <f>'Interpreted Data'!N244</f>
        <v>0.3</v>
      </c>
      <c r="H282" t="str">
        <f>'Interpreted Data'!P244</f>
        <v/>
      </c>
      <c r="I282" t="str">
        <f t="shared" si="102"/>
        <v xml:space="preserve"> </v>
      </c>
      <c r="J282" t="str">
        <f t="shared" si="100"/>
        <v>l</v>
      </c>
      <c r="K282" t="str">
        <f t="shared" si="101"/>
        <v>m</v>
      </c>
      <c r="L282">
        <f t="shared" si="95"/>
        <v>22.9</v>
      </c>
      <c r="M282" t="str">
        <f t="shared" si="96"/>
        <v>187:00</v>
      </c>
      <c r="N282" t="str">
        <f t="shared" si="97"/>
        <v>-</v>
      </c>
      <c r="O282" t="str">
        <f t="shared" si="98"/>
        <v>0:40</v>
      </c>
      <c r="P282" t="str">
        <f t="shared" si="99"/>
        <v/>
      </c>
    </row>
    <row r="283" spans="1:16" x14ac:dyDescent="0.25">
      <c r="A283" t="str">
        <f>'Raw Data'!A245</f>
        <v>m</v>
      </c>
      <c r="B283" t="str">
        <f>'Raw Data'!B245</f>
        <v>n</v>
      </c>
      <c r="C283">
        <f>'Raw Data'!J245</f>
        <v>18.8</v>
      </c>
      <c r="D283" t="str">
        <f>'Interpreted Data'!G245</f>
        <v>-</v>
      </c>
      <c r="E283" t="str">
        <f>'Interpreted Data'!H245</f>
        <v>044:00</v>
      </c>
      <c r="F283" t="str">
        <f>SUBSTITUTE('Raw Data'!K245," ",":",1)</f>
        <v>-5:30</v>
      </c>
      <c r="G283">
        <f>'Interpreted Data'!N245</f>
        <v>-1.8</v>
      </c>
      <c r="H283" t="str">
        <f>'Interpreted Data'!P245</f>
        <v/>
      </c>
      <c r="I283" t="str">
        <f t="shared" si="102"/>
        <v xml:space="preserve"> </v>
      </c>
      <c r="J283" t="str">
        <f t="shared" si="100"/>
        <v>m</v>
      </c>
      <c r="K283" t="str">
        <f t="shared" si="101"/>
        <v>n</v>
      </c>
      <c r="L283">
        <f t="shared" si="95"/>
        <v>18.8</v>
      </c>
      <c r="M283" t="str">
        <f t="shared" si="96"/>
        <v>-</v>
      </c>
      <c r="N283" t="str">
        <f t="shared" si="97"/>
        <v>044:00</v>
      </c>
      <c r="O283" t="str">
        <f t="shared" si="98"/>
        <v>-5:30</v>
      </c>
      <c r="P283" t="str">
        <f t="shared" si="99"/>
        <v/>
      </c>
    </row>
    <row r="284" spans="1:16" x14ac:dyDescent="0.25">
      <c r="A284" t="str">
        <f>'Raw Data'!A246</f>
        <v>n</v>
      </c>
      <c r="B284" t="str">
        <f>'Raw Data'!B246</f>
        <v>o</v>
      </c>
      <c r="C284">
        <f>'Raw Data'!J246</f>
        <v>47.1</v>
      </c>
      <c r="D284" t="str">
        <f>'Interpreted Data'!G246</f>
        <v>251:00</v>
      </c>
      <c r="E284" t="str">
        <f>'Interpreted Data'!H246</f>
        <v>-</v>
      </c>
      <c r="F284" t="str">
        <f>SUBSTITUTE('Raw Data'!K246," ",":",1)</f>
        <v>-11:30</v>
      </c>
      <c r="G284">
        <f>'Interpreted Data'!N246</f>
        <v>-9.4</v>
      </c>
      <c r="H284" t="str">
        <f>'Interpreted Data'!P246</f>
        <v>On Olivers boulder</v>
      </c>
      <c r="I284" t="str">
        <f t="shared" si="102"/>
        <v xml:space="preserve"> </v>
      </c>
      <c r="J284" t="str">
        <f t="shared" si="100"/>
        <v>n</v>
      </c>
      <c r="K284" t="str">
        <f t="shared" si="101"/>
        <v>o</v>
      </c>
      <c r="L284">
        <f t="shared" si="95"/>
        <v>47.1</v>
      </c>
      <c r="M284" t="str">
        <f t="shared" si="96"/>
        <v>251:00</v>
      </c>
      <c r="N284" t="str">
        <f t="shared" si="97"/>
        <v>-</v>
      </c>
      <c r="O284" t="str">
        <f t="shared" si="98"/>
        <v>-11:30</v>
      </c>
      <c r="P284" t="str">
        <f t="shared" si="99"/>
        <v>On Olivers boulder</v>
      </c>
    </row>
    <row r="285" spans="1:16" x14ac:dyDescent="0.25">
      <c r="A285" t="str">
        <f>'Raw Data'!A247</f>
        <v>o</v>
      </c>
      <c r="B285">
        <f>'Raw Data'!B247</f>
        <v>0</v>
      </c>
      <c r="C285">
        <f>'Raw Data'!J247</f>
        <v>0</v>
      </c>
      <c r="D285" t="str">
        <f>'Interpreted Data'!G247</f>
        <v/>
      </c>
      <c r="E285" t="str">
        <f>'Interpreted Data'!H247</f>
        <v/>
      </c>
      <c r="F285" t="str">
        <f>SUBSTITUTE('Raw Data'!K247," ",":",1)</f>
        <v/>
      </c>
      <c r="G285" t="str">
        <f>'Interpreted Data'!N247</f>
        <v/>
      </c>
      <c r="H285" t="str">
        <f>'Interpreted Data'!P247</f>
        <v/>
      </c>
      <c r="I285" t="str">
        <f t="shared" si="102"/>
        <v xml:space="preserve"> </v>
      </c>
      <c r="J285" t="s">
        <v>77</v>
      </c>
      <c r="K285" t="str">
        <f>A285</f>
        <v>o</v>
      </c>
      <c r="L285">
        <f t="shared" si="95"/>
        <v>0</v>
      </c>
      <c r="M285" t="str">
        <f t="shared" si="96"/>
        <v/>
      </c>
      <c r="N285" t="str">
        <f t="shared" si="97"/>
        <v/>
      </c>
      <c r="O285" t="str">
        <f t="shared" si="98"/>
        <v/>
      </c>
      <c r="P285" t="str">
        <f t="shared" si="99"/>
        <v/>
      </c>
    </row>
    <row r="287" spans="1:16" x14ac:dyDescent="0.25">
      <c r="A287" t="str">
        <f>'Raw Data'!A248</f>
        <v>14th March 1953</v>
      </c>
      <c r="B287" t="str">
        <f>'Raw Data'!B248</f>
        <v>Howard</v>
      </c>
      <c r="C287">
        <f>'Raw Data'!J248</f>
        <v>0</v>
      </c>
      <c r="D287" t="str">
        <f>'Interpreted Data'!G248</f>
        <v/>
      </c>
      <c r="E287" t="str">
        <f>'Interpreted Data'!H248</f>
        <v/>
      </c>
      <c r="F287" t="str">
        <f>SUBSTITUTE('Raw Data'!K248," ",":",1)</f>
        <v/>
      </c>
      <c r="G287" t="str">
        <f>'Interpreted Data'!N248</f>
        <v/>
      </c>
      <c r="H287" t="str">
        <f>'Interpreted Data'!P248</f>
        <v/>
      </c>
      <c r="I287" t="str">
        <f t="shared" si="102"/>
        <v xml:space="preserve"> </v>
      </c>
      <c r="J287" t="str">
        <f t="shared" si="100"/>
        <v>14th March 1953</v>
      </c>
      <c r="K287" t="str">
        <f t="shared" si="101"/>
        <v>Howard</v>
      </c>
      <c r="L287">
        <f t="shared" si="95"/>
        <v>0</v>
      </c>
      <c r="M287" t="str">
        <f t="shared" si="96"/>
        <v/>
      </c>
      <c r="N287" t="str">
        <f t="shared" si="97"/>
        <v/>
      </c>
      <c r="O287" t="str">
        <f t="shared" si="98"/>
        <v/>
      </c>
      <c r="P287" t="str">
        <f t="shared" si="99"/>
        <v/>
      </c>
    </row>
    <row r="288" spans="1:16" x14ac:dyDescent="0.25">
      <c r="J288" t="str">
        <f>$J$1</f>
        <v>data normal from to tape compass backcompass clino ignoreall</v>
      </c>
    </row>
    <row r="289" spans="1:16" x14ac:dyDescent="0.25">
      <c r="A289" t="str">
        <f>'Raw Data'!A249</f>
        <v>o</v>
      </c>
      <c r="B289" t="str">
        <f>'Raw Data'!B249</f>
        <v>p</v>
      </c>
      <c r="C289">
        <f>'Raw Data'!J249</f>
        <v>24</v>
      </c>
      <c r="D289" t="str">
        <f>'Interpreted Data'!G249</f>
        <v>-</v>
      </c>
      <c r="E289" t="str">
        <f>'Interpreted Data'!H249</f>
        <v>102:00</v>
      </c>
      <c r="F289" t="str">
        <f>SUBSTITUTE('Raw Data'!K249," ",":",1)</f>
        <v>-9:15</v>
      </c>
      <c r="G289">
        <f>'Interpreted Data'!N249</f>
        <v>-3.9</v>
      </c>
      <c r="H289" t="str">
        <f>'Interpreted Data'!P249</f>
        <v>(sketch o-t)</v>
      </c>
      <c r="I289" t="str">
        <f t="shared" si="102"/>
        <v xml:space="preserve"> </v>
      </c>
      <c r="J289" t="str">
        <f t="shared" si="100"/>
        <v>o</v>
      </c>
      <c r="K289" t="str">
        <f t="shared" si="101"/>
        <v>p</v>
      </c>
      <c r="L289">
        <f t="shared" si="95"/>
        <v>24</v>
      </c>
      <c r="M289" t="str">
        <f t="shared" si="96"/>
        <v>-</v>
      </c>
      <c r="N289" t="str">
        <f t="shared" si="97"/>
        <v>102:00</v>
      </c>
      <c r="O289" t="str">
        <f t="shared" si="98"/>
        <v>-9:15</v>
      </c>
      <c r="P289" t="str">
        <f t="shared" si="99"/>
        <v>(sketch o-t)</v>
      </c>
    </row>
    <row r="290" spans="1:16" x14ac:dyDescent="0.25">
      <c r="A290" t="str">
        <f>'Raw Data'!A250</f>
        <v>p</v>
      </c>
      <c r="B290" t="str">
        <f>'Raw Data'!B250</f>
        <v>q</v>
      </c>
      <c r="C290">
        <f>'Raw Data'!J250</f>
        <v>34.4</v>
      </c>
      <c r="D290" t="str">
        <f>'Interpreted Data'!G250</f>
        <v>250:00</v>
      </c>
      <c r="E290" t="str">
        <f>'Interpreted Data'!H250</f>
        <v>-</v>
      </c>
      <c r="F290" t="str">
        <f>SUBSTITUTE('Raw Data'!K250," ",":",1)</f>
        <v>-14:30</v>
      </c>
      <c r="G290">
        <f>'Interpreted Data'!N250</f>
        <v>-8.6</v>
      </c>
      <c r="H290" t="str">
        <f>'Interpreted Data'!P250</f>
        <v/>
      </c>
      <c r="I290" t="str">
        <f t="shared" si="102"/>
        <v xml:space="preserve"> </v>
      </c>
      <c r="J290" t="str">
        <f t="shared" ref="J290:J327" si="103">A290</f>
        <v>p</v>
      </c>
      <c r="K290" t="str">
        <f t="shared" ref="K290:K327" si="104">B290</f>
        <v>q</v>
      </c>
      <c r="L290">
        <f t="shared" ref="L290:L327" si="105">C290</f>
        <v>34.4</v>
      </c>
      <c r="M290" t="str">
        <f t="shared" ref="M290:M327" si="106">D290</f>
        <v>250:00</v>
      </c>
      <c r="N290" t="str">
        <f t="shared" ref="N290:N327" si="107">E290</f>
        <v>-</v>
      </c>
      <c r="O290" t="str">
        <f t="shared" ref="O290:O327" si="108">IF(AND(D290="-",E290="-"),IF(1*SUBSTITUTE(F290,":",".")=-90,"DOWN",IF(1*SUBSTITUTE(F290,":",".")=90,"UP","no compass")),F290)</f>
        <v>-14:30</v>
      </c>
      <c r="P290" t="str">
        <f t="shared" ref="P290:P327" si="109">H290</f>
        <v/>
      </c>
    </row>
    <row r="291" spans="1:16" x14ac:dyDescent="0.25">
      <c r="J291" t="str">
        <f>$J$2</f>
        <v>data diving from to tape compass backcompass depthchange ignoreall</v>
      </c>
    </row>
    <row r="292" spans="1:16" x14ac:dyDescent="0.25">
      <c r="A292" t="str">
        <f>'Raw Data'!A251</f>
        <v>q</v>
      </c>
      <c r="B292" t="str">
        <f>'Raw Data'!B251</f>
        <v>r</v>
      </c>
      <c r="C292">
        <f>'Raw Data'!J251</f>
        <v>23.1</v>
      </c>
      <c r="D292" t="str">
        <f>'Interpreted Data'!G251</f>
        <v>320:00</v>
      </c>
      <c r="E292" t="str">
        <f>'Interpreted Data'!H251</f>
        <v>-</v>
      </c>
      <c r="F292" t="str">
        <f>SUBSTITUTE('Raw Data'!K251," ",":",1)</f>
        <v>-3.5:feet</v>
      </c>
      <c r="G292">
        <f>'Interpreted Data'!N251</f>
        <v>-3.5</v>
      </c>
      <c r="H292" t="str">
        <f>'Interpreted Data'!P251</f>
        <v>Sump 15' on at 280deg true WL 5 WR 4</v>
      </c>
      <c r="I292" t="str">
        <f t="shared" si="102"/>
        <v xml:space="preserve"> </v>
      </c>
      <c r="J292" t="str">
        <f t="shared" si="103"/>
        <v>q</v>
      </c>
      <c r="K292" t="str">
        <f t="shared" si="104"/>
        <v>r</v>
      </c>
      <c r="L292">
        <f t="shared" si="105"/>
        <v>23.1</v>
      </c>
      <c r="M292" t="str">
        <f t="shared" si="106"/>
        <v>320:00</v>
      </c>
      <c r="N292" t="str">
        <f t="shared" si="107"/>
        <v>-</v>
      </c>
      <c r="O292">
        <f>G292</f>
        <v>-3.5</v>
      </c>
      <c r="P292" t="str">
        <f t="shared" si="109"/>
        <v>Sump 15' on at 280deg true WL 5 WR 4</v>
      </c>
    </row>
    <row r="293" spans="1:16" x14ac:dyDescent="0.25">
      <c r="J293" t="str">
        <f>$J$1</f>
        <v>data normal from to tape compass backcompass clino ignoreall</v>
      </c>
    </row>
    <row r="294" spans="1:16" x14ac:dyDescent="0.25">
      <c r="A294" t="str">
        <f>'Raw Data'!A252</f>
        <v>q</v>
      </c>
      <c r="B294" t="str">
        <f>'Raw Data'!B252</f>
        <v>s</v>
      </c>
      <c r="C294">
        <f>'Raw Data'!J252</f>
        <v>21.6</v>
      </c>
      <c r="D294" t="str">
        <f>'Interpreted Data'!G252</f>
        <v>-</v>
      </c>
      <c r="E294" t="str">
        <f>'Interpreted Data'!H252</f>
        <v>330:00</v>
      </c>
      <c r="F294" t="str">
        <f>SUBSTITUTE('Raw Data'!K252," ",":",1)</f>
        <v>20:30</v>
      </c>
      <c r="G294">
        <f>'Interpreted Data'!N252</f>
        <v>7.6</v>
      </c>
      <c r="H294" t="str">
        <f>'Interpreted Data'!P252</f>
        <v/>
      </c>
      <c r="I294" t="str">
        <f t="shared" si="102"/>
        <v xml:space="preserve"> </v>
      </c>
      <c r="J294" t="str">
        <f t="shared" si="103"/>
        <v>q</v>
      </c>
      <c r="K294" t="str">
        <f t="shared" si="104"/>
        <v>s</v>
      </c>
      <c r="L294">
        <f t="shared" si="105"/>
        <v>21.6</v>
      </c>
      <c r="M294" t="str">
        <f t="shared" si="106"/>
        <v>-</v>
      </c>
      <c r="N294" t="str">
        <f t="shared" si="107"/>
        <v>330:00</v>
      </c>
      <c r="O294" t="str">
        <f t="shared" si="108"/>
        <v>20:30</v>
      </c>
      <c r="P294" t="str">
        <f t="shared" si="109"/>
        <v/>
      </c>
    </row>
    <row r="295" spans="1:16" x14ac:dyDescent="0.25">
      <c r="A295" t="str">
        <f>'Raw Data'!A253</f>
        <v>s</v>
      </c>
      <c r="B295" t="str">
        <f>'Raw Data'!B253</f>
        <v>t</v>
      </c>
      <c r="C295">
        <f>'Raw Data'!J253</f>
        <v>17.399999999999999</v>
      </c>
      <c r="D295" t="str">
        <f>'Interpreted Data'!G253</f>
        <v>246:00</v>
      </c>
      <c r="E295" t="str">
        <f>'Interpreted Data'!H253</f>
        <v>-</v>
      </c>
      <c r="F295" t="str">
        <f>SUBSTITUTE('Raw Data'!K253," ",":",1)</f>
        <v>-7:30</v>
      </c>
      <c r="G295">
        <f>'Interpreted Data'!N253</f>
        <v>-2.2999999999999998</v>
      </c>
      <c r="H295" t="str">
        <f>'Interpreted Data'!P253</f>
        <v/>
      </c>
      <c r="I295" t="str">
        <f t="shared" si="102"/>
        <v xml:space="preserve"> </v>
      </c>
      <c r="J295" t="str">
        <f t="shared" si="103"/>
        <v>s</v>
      </c>
      <c r="K295" t="str">
        <f t="shared" si="104"/>
        <v>t</v>
      </c>
      <c r="L295">
        <f t="shared" si="105"/>
        <v>17.399999999999999</v>
      </c>
      <c r="M295" t="str">
        <f t="shared" si="106"/>
        <v>246:00</v>
      </c>
      <c r="N295" t="str">
        <f t="shared" si="107"/>
        <v>-</v>
      </c>
      <c r="O295" t="str">
        <f t="shared" si="108"/>
        <v>-7:30</v>
      </c>
      <c r="P295" t="str">
        <f t="shared" si="109"/>
        <v/>
      </c>
    </row>
    <row r="296" spans="1:16" x14ac:dyDescent="0.25">
      <c r="J296" t="str">
        <f>$J$2</f>
        <v>data diving from to tape compass backcompass depthchange ignoreall</v>
      </c>
    </row>
    <row r="297" spans="1:16" x14ac:dyDescent="0.25">
      <c r="A297" t="str">
        <f>'Raw Data'!A254</f>
        <v>t</v>
      </c>
      <c r="B297" t="str">
        <f>'Raw Data'!B254</f>
        <v>u</v>
      </c>
      <c r="C297">
        <f>'Raw Data'!J254</f>
        <v>18.2</v>
      </c>
      <c r="D297" t="str">
        <f>'Interpreted Data'!G254</f>
        <v>255:00</v>
      </c>
      <c r="E297" t="str">
        <f>'Interpreted Data'!H254</f>
        <v>-</v>
      </c>
      <c r="F297" t="str">
        <f>SUBSTITUTE('Raw Data'!K254," ",":",1)</f>
        <v>-4:feet</v>
      </c>
      <c r="G297">
        <f>'Interpreted Data'!N254</f>
        <v>-4</v>
      </c>
      <c r="H297" t="str">
        <f>'Interpreted Data'!P254</f>
        <v>(sketch t-u) u-&gt; Howards Loop</v>
      </c>
      <c r="I297" t="str">
        <f t="shared" si="102"/>
        <v xml:space="preserve"> </v>
      </c>
      <c r="J297" t="str">
        <f t="shared" si="103"/>
        <v>t</v>
      </c>
      <c r="K297" t="str">
        <f t="shared" si="104"/>
        <v>u</v>
      </c>
      <c r="L297">
        <f t="shared" si="105"/>
        <v>18.2</v>
      </c>
      <c r="M297" t="str">
        <f t="shared" si="106"/>
        <v>255:00</v>
      </c>
      <c r="N297" t="str">
        <f t="shared" si="107"/>
        <v>-</v>
      </c>
      <c r="O297">
        <f>G297</f>
        <v>-4</v>
      </c>
      <c r="P297" t="str">
        <f t="shared" si="109"/>
        <v>(sketch t-u) u-&gt; Howards Loop</v>
      </c>
    </row>
    <row r="298" spans="1:16" x14ac:dyDescent="0.25">
      <c r="J298" t="str">
        <f>$J$1</f>
        <v>data normal from to tape compass backcompass clino ignoreall</v>
      </c>
    </row>
    <row r="299" spans="1:16" x14ac:dyDescent="0.25">
      <c r="A299" t="str">
        <f>'Raw Data'!A255</f>
        <v>t</v>
      </c>
      <c r="B299" t="str">
        <f>'Raw Data'!B255</f>
        <v>v</v>
      </c>
      <c r="C299">
        <f>'Raw Data'!J255</f>
        <v>17.3</v>
      </c>
      <c r="D299" t="str">
        <f>'Interpreted Data'!G255</f>
        <v>-</v>
      </c>
      <c r="E299" t="str">
        <f>'Interpreted Data'!H255</f>
        <v>346:00</v>
      </c>
      <c r="F299" t="str">
        <f>SUBSTITUTE('Raw Data'!K255," ",":",1)</f>
        <v>20:30</v>
      </c>
      <c r="G299">
        <f>'Interpreted Data'!N255</f>
        <v>6</v>
      </c>
      <c r="H299" t="str">
        <f>'Interpreted Data'!P255</f>
        <v>v in a cross rift 4' from Pearly Gate</v>
      </c>
      <c r="I299" t="str">
        <f t="shared" si="102"/>
        <v xml:space="preserve"> </v>
      </c>
      <c r="J299" t="str">
        <f t="shared" si="103"/>
        <v>t</v>
      </c>
      <c r="K299" t="str">
        <f t="shared" si="104"/>
        <v>v</v>
      </c>
      <c r="L299">
        <f t="shared" si="105"/>
        <v>17.3</v>
      </c>
      <c r="M299" t="str">
        <f t="shared" si="106"/>
        <v>-</v>
      </c>
      <c r="N299" t="str">
        <f t="shared" si="107"/>
        <v>346:00</v>
      </c>
      <c r="O299" t="str">
        <f t="shared" si="108"/>
        <v>20:30</v>
      </c>
      <c r="P299" t="str">
        <f t="shared" si="109"/>
        <v>v in a cross rift 4' from Pearly Gate</v>
      </c>
    </row>
    <row r="300" spans="1:16" x14ac:dyDescent="0.25">
      <c r="A300" t="str">
        <f>'Raw Data'!A256</f>
        <v>v</v>
      </c>
      <c r="B300" t="str">
        <f>'Raw Data'!B256</f>
        <v>w</v>
      </c>
      <c r="C300">
        <f>'Raw Data'!J256</f>
        <v>16.2</v>
      </c>
      <c r="D300" t="str">
        <f>'Interpreted Data'!G256</f>
        <v>165:40</v>
      </c>
      <c r="E300" t="str">
        <f>'Interpreted Data'!H256</f>
        <v>-</v>
      </c>
      <c r="F300" t="str">
        <f>SUBSTITUTE('Raw Data'!K256," ",":",1)</f>
        <v>-2:45</v>
      </c>
      <c r="G300">
        <f>'Interpreted Data'!N256</f>
        <v>-0.8</v>
      </c>
      <c r="H300" t="str">
        <f>'Interpreted Data'!P256</f>
        <v/>
      </c>
      <c r="I300" t="str">
        <f t="shared" si="102"/>
        <v xml:space="preserve"> </v>
      </c>
      <c r="J300" t="str">
        <f t="shared" si="103"/>
        <v>v</v>
      </c>
      <c r="K300" t="str">
        <f t="shared" si="104"/>
        <v>w</v>
      </c>
      <c r="L300">
        <f t="shared" si="105"/>
        <v>16.2</v>
      </c>
      <c r="M300" t="str">
        <f t="shared" si="106"/>
        <v>165:40</v>
      </c>
      <c r="N300" t="str">
        <f t="shared" si="107"/>
        <v>-</v>
      </c>
      <c r="O300" t="str">
        <f t="shared" si="108"/>
        <v>-2:45</v>
      </c>
      <c r="P300" t="str">
        <f t="shared" si="109"/>
        <v/>
      </c>
    </row>
    <row r="301" spans="1:16" x14ac:dyDescent="0.25">
      <c r="A301" t="str">
        <f>'Raw Data'!A257</f>
        <v>w</v>
      </c>
      <c r="B301" t="str">
        <f>'Raw Data'!B257</f>
        <v>x</v>
      </c>
      <c r="C301">
        <f>'Raw Data'!J257</f>
        <v>17.8</v>
      </c>
      <c r="D301" t="str">
        <f>'Interpreted Data'!G257</f>
        <v>-</v>
      </c>
      <c r="E301" t="str">
        <f>'Interpreted Data'!H257</f>
        <v>272:30</v>
      </c>
      <c r="F301" t="str">
        <f>SUBSTITUTE('Raw Data'!K257," ",":",1)</f>
        <v>19:40</v>
      </c>
      <c r="G301">
        <f>'Interpreted Data'!N257</f>
        <v>6</v>
      </c>
      <c r="H301" t="str">
        <f>'Interpreted Data'!P257</f>
        <v>(sketch w-x)</v>
      </c>
      <c r="I301" t="str">
        <f t="shared" si="102"/>
        <v xml:space="preserve"> </v>
      </c>
      <c r="J301" t="str">
        <f t="shared" si="103"/>
        <v>w</v>
      </c>
      <c r="K301" t="str">
        <f t="shared" si="104"/>
        <v>x</v>
      </c>
      <c r="L301">
        <f t="shared" si="105"/>
        <v>17.8</v>
      </c>
      <c r="M301" t="str">
        <f t="shared" si="106"/>
        <v>-</v>
      </c>
      <c r="N301" t="str">
        <f t="shared" si="107"/>
        <v>272:30</v>
      </c>
      <c r="O301" t="str">
        <f t="shared" si="108"/>
        <v>19:40</v>
      </c>
      <c r="P301" t="str">
        <f t="shared" si="109"/>
        <v>(sketch w-x)</v>
      </c>
    </row>
    <row r="302" spans="1:16" x14ac:dyDescent="0.25">
      <c r="A302" t="str">
        <f>'Raw Data'!A258</f>
        <v>x</v>
      </c>
      <c r="B302" t="str">
        <f>'Raw Data'!B258</f>
        <v>y</v>
      </c>
      <c r="C302">
        <f>'Raw Data'!J258</f>
        <v>24.3</v>
      </c>
      <c r="D302" t="str">
        <f>'Interpreted Data'!G258</f>
        <v>147:00</v>
      </c>
      <c r="E302" t="str">
        <f>'Interpreted Data'!H258</f>
        <v>-</v>
      </c>
      <c r="F302" t="str">
        <f>SUBSTITUTE('Raw Data'!K258," ",":",1)</f>
        <v>10:00</v>
      </c>
      <c r="G302">
        <f>'Interpreted Data'!N258</f>
        <v>4.2</v>
      </c>
      <c r="H302" t="str">
        <f>'Interpreted Data'!P258</f>
        <v/>
      </c>
      <c r="I302" t="str">
        <f t="shared" si="102"/>
        <v xml:space="preserve"> </v>
      </c>
      <c r="J302" t="str">
        <f t="shared" si="103"/>
        <v>x</v>
      </c>
      <c r="K302" t="str">
        <f t="shared" si="104"/>
        <v>y</v>
      </c>
      <c r="L302">
        <f t="shared" si="105"/>
        <v>24.3</v>
      </c>
      <c r="M302" t="str">
        <f t="shared" si="106"/>
        <v>147:00</v>
      </c>
      <c r="N302" t="str">
        <f t="shared" si="107"/>
        <v>-</v>
      </c>
      <c r="O302" t="str">
        <f t="shared" si="108"/>
        <v>10:00</v>
      </c>
      <c r="P302" t="str">
        <f t="shared" si="109"/>
        <v/>
      </c>
    </row>
    <row r="303" spans="1:16" x14ac:dyDescent="0.25">
      <c r="A303" t="str">
        <f>'Raw Data'!A259</f>
        <v>y</v>
      </c>
      <c r="B303" t="str">
        <f>'Raw Data'!B259</f>
        <v>z</v>
      </c>
      <c r="C303">
        <f>'Raw Data'!J259</f>
        <v>6</v>
      </c>
      <c r="D303" t="str">
        <f>'Interpreted Data'!G259</f>
        <v>-</v>
      </c>
      <c r="E303" t="str">
        <f>'Interpreted Data'!H259</f>
        <v>-</v>
      </c>
      <c r="F303" t="str">
        <f>SUBSTITUTE('Raw Data'!K259," ",":",1)</f>
        <v>-90:00</v>
      </c>
      <c r="G303">
        <f>'Interpreted Data'!N259</f>
        <v>-6</v>
      </c>
      <c r="H303" t="str">
        <f>'Interpreted Data'!P259</f>
        <v/>
      </c>
      <c r="I303" t="str">
        <f t="shared" si="102"/>
        <v xml:space="preserve"> </v>
      </c>
      <c r="J303" t="str">
        <f t="shared" si="103"/>
        <v>y</v>
      </c>
      <c r="K303" t="str">
        <f t="shared" si="104"/>
        <v>z</v>
      </c>
      <c r="L303">
        <f t="shared" si="105"/>
        <v>6</v>
      </c>
      <c r="M303" t="str">
        <f t="shared" si="106"/>
        <v>-</v>
      </c>
      <c r="N303" t="str">
        <f t="shared" si="107"/>
        <v>-</v>
      </c>
      <c r="O303" t="str">
        <f t="shared" si="108"/>
        <v>DOWN</v>
      </c>
      <c r="P303" t="str">
        <f t="shared" si="109"/>
        <v/>
      </c>
    </row>
    <row r="304" spans="1:16" x14ac:dyDescent="0.25">
      <c r="A304" t="str">
        <f>'Raw Data'!A260</f>
        <v>z</v>
      </c>
      <c r="B304" t="str">
        <f>'Raw Data'!B260</f>
        <v>aa</v>
      </c>
      <c r="C304">
        <f>'Raw Data'!J260</f>
        <v>12.5</v>
      </c>
      <c r="D304" t="str">
        <f>'Interpreted Data'!G260</f>
        <v>-</v>
      </c>
      <c r="E304" t="str">
        <f>'Interpreted Data'!H260</f>
        <v>327:00</v>
      </c>
      <c r="F304" t="str">
        <f>SUBSTITUTE('Raw Data'!K260," ",":",1)</f>
        <v>-2:40</v>
      </c>
      <c r="G304">
        <f>'Interpreted Data'!N260</f>
        <v>-0.6</v>
      </c>
      <c r="H304" t="str">
        <f>'Interpreted Data'!P260</f>
        <v>Bottom of drop. View into Damascus</v>
      </c>
      <c r="I304" t="str">
        <f t="shared" si="102"/>
        <v xml:space="preserve"> </v>
      </c>
      <c r="J304" t="str">
        <f t="shared" si="103"/>
        <v>z</v>
      </c>
      <c r="K304" t="str">
        <f t="shared" si="104"/>
        <v>aa</v>
      </c>
      <c r="L304">
        <f t="shared" si="105"/>
        <v>12.5</v>
      </c>
      <c r="M304" t="str">
        <f t="shared" si="106"/>
        <v>-</v>
      </c>
      <c r="N304" t="str">
        <f t="shared" si="107"/>
        <v>327:00</v>
      </c>
      <c r="O304" t="str">
        <f t="shared" si="108"/>
        <v>-2:40</v>
      </c>
      <c r="P304" t="str">
        <f t="shared" si="109"/>
        <v>Bottom of drop. View into Damascus</v>
      </c>
    </row>
    <row r="305" spans="1:16" x14ac:dyDescent="0.25">
      <c r="A305" t="str">
        <f>'Raw Data'!A261</f>
        <v>aa</v>
      </c>
      <c r="B305" t="str">
        <f>'Raw Data'!B261</f>
        <v>ab</v>
      </c>
      <c r="C305">
        <f>'Raw Data'!J261</f>
        <v>11.2</v>
      </c>
      <c r="D305" t="str">
        <f>'Interpreted Data'!G261</f>
        <v>212:30</v>
      </c>
      <c r="E305" t="str">
        <f>'Interpreted Data'!H261</f>
        <v>-</v>
      </c>
      <c r="F305" t="str">
        <f>SUBSTITUTE('Raw Data'!K261," ",":",1)</f>
        <v>-22:30</v>
      </c>
      <c r="G305">
        <f>'Interpreted Data'!N261</f>
        <v>-4.3</v>
      </c>
      <c r="H305" t="str">
        <f>'Interpreted Data'!P261</f>
        <v>Above pool</v>
      </c>
      <c r="I305" t="str">
        <f t="shared" si="102"/>
        <v xml:space="preserve"> </v>
      </c>
      <c r="J305" t="str">
        <f t="shared" si="103"/>
        <v>aa</v>
      </c>
      <c r="K305" t="str">
        <f t="shared" si="104"/>
        <v>ab</v>
      </c>
      <c r="L305">
        <f t="shared" si="105"/>
        <v>11.2</v>
      </c>
      <c r="M305" t="str">
        <f t="shared" si="106"/>
        <v>212:30</v>
      </c>
      <c r="N305" t="str">
        <f t="shared" si="107"/>
        <v>-</v>
      </c>
      <c r="O305" t="str">
        <f t="shared" si="108"/>
        <v>-22:30</v>
      </c>
      <c r="P305" t="str">
        <f t="shared" si="109"/>
        <v>Above pool</v>
      </c>
    </row>
    <row r="306" spans="1:16" x14ac:dyDescent="0.25">
      <c r="A306" t="str">
        <f>'Raw Data'!A262</f>
        <v>ab</v>
      </c>
      <c r="B306" t="str">
        <f>'Raw Data'!B262</f>
        <v>ac</v>
      </c>
      <c r="C306">
        <f>'Raw Data'!J262</f>
        <v>8</v>
      </c>
      <c r="D306" t="str">
        <f>'Interpreted Data'!G262</f>
        <v>-</v>
      </c>
      <c r="E306" t="str">
        <f>'Interpreted Data'!H262</f>
        <v>353:00</v>
      </c>
      <c r="F306" t="str">
        <f>SUBSTITUTE('Raw Data'!K262," ",":",1)</f>
        <v>11:30</v>
      </c>
      <c r="G306">
        <f>'Interpreted Data'!N262</f>
        <v>1.6</v>
      </c>
      <c r="H306" t="str">
        <f>'Interpreted Data'!P262</f>
        <v>Bearing 238 true into Howards Loop</v>
      </c>
      <c r="I306" t="str">
        <f t="shared" si="102"/>
        <v xml:space="preserve"> </v>
      </c>
      <c r="J306" t="str">
        <f t="shared" si="103"/>
        <v>ab</v>
      </c>
      <c r="K306" t="str">
        <f t="shared" si="104"/>
        <v>ac</v>
      </c>
      <c r="L306">
        <f t="shared" si="105"/>
        <v>8</v>
      </c>
      <c r="M306" t="str">
        <f t="shared" si="106"/>
        <v>-</v>
      </c>
      <c r="N306" t="str">
        <f t="shared" si="107"/>
        <v>353:00</v>
      </c>
      <c r="O306" t="str">
        <f t="shared" si="108"/>
        <v>11:30</v>
      </c>
      <c r="P306" t="str">
        <f t="shared" si="109"/>
        <v>Bearing 238 true into Howards Loop</v>
      </c>
    </row>
    <row r="307" spans="1:16" x14ac:dyDescent="0.25">
      <c r="A307" t="str">
        <f>'Raw Data'!A263</f>
        <v>ac</v>
      </c>
      <c r="B307" t="str">
        <f>'Raw Data'!B263</f>
        <v>ad</v>
      </c>
      <c r="C307">
        <f>'Raw Data'!J263</f>
        <v>14.3</v>
      </c>
      <c r="D307" t="str">
        <f>'Interpreted Data'!G263</f>
        <v>202:00</v>
      </c>
      <c r="E307" t="str">
        <f>'Interpreted Data'!H263</f>
        <v>-</v>
      </c>
      <c r="F307" t="str">
        <f>SUBSTITUTE('Raw Data'!K263," ",":",1)</f>
        <v>-12:00</v>
      </c>
      <c r="G307">
        <f>'Interpreted Data'!N263</f>
        <v>-3</v>
      </c>
      <c r="H307" t="str">
        <f>'Interpreted Data'!P263</f>
        <v>(sketch ab-ac)</v>
      </c>
      <c r="I307" t="str">
        <f t="shared" si="102"/>
        <v xml:space="preserve"> </v>
      </c>
      <c r="J307" t="str">
        <f t="shared" si="103"/>
        <v>ac</v>
      </c>
      <c r="K307" t="str">
        <f t="shared" si="104"/>
        <v>ad</v>
      </c>
      <c r="L307">
        <f t="shared" si="105"/>
        <v>14.3</v>
      </c>
      <c r="M307" t="str">
        <f t="shared" si="106"/>
        <v>202:00</v>
      </c>
      <c r="N307" t="str">
        <f t="shared" si="107"/>
        <v>-</v>
      </c>
      <c r="O307" t="str">
        <f t="shared" si="108"/>
        <v>-12:00</v>
      </c>
      <c r="P307" t="str">
        <f t="shared" si="109"/>
        <v>(sketch ab-ac)</v>
      </c>
    </row>
    <row r="308" spans="1:16" x14ac:dyDescent="0.25">
      <c r="A308" t="str">
        <f>'Raw Data'!A264</f>
        <v>ad</v>
      </c>
      <c r="B308" t="str">
        <f>'Raw Data'!B264</f>
        <v>ae</v>
      </c>
      <c r="C308">
        <f>'Raw Data'!J264</f>
        <v>12.7</v>
      </c>
      <c r="D308" t="str">
        <f>'Interpreted Data'!G264</f>
        <v>-</v>
      </c>
      <c r="E308" t="str">
        <f>'Interpreted Data'!H264</f>
        <v>026:00</v>
      </c>
      <c r="F308" t="str">
        <f>SUBSTITUTE('Raw Data'!K264," ",":",1)</f>
        <v>6:00</v>
      </c>
      <c r="G308">
        <f>'Interpreted Data'!N264</f>
        <v>1.3</v>
      </c>
      <c r="H308" t="str">
        <f>'Interpreted Data'!P264</f>
        <v/>
      </c>
      <c r="I308" t="str">
        <f t="shared" si="102"/>
        <v xml:space="preserve"> </v>
      </c>
      <c r="J308" t="str">
        <f t="shared" si="103"/>
        <v>ad</v>
      </c>
      <c r="K308" t="str">
        <f t="shared" si="104"/>
        <v>ae</v>
      </c>
      <c r="L308">
        <f t="shared" si="105"/>
        <v>12.7</v>
      </c>
      <c r="M308" t="str">
        <f t="shared" si="106"/>
        <v>-</v>
      </c>
      <c r="N308" t="str">
        <f t="shared" si="107"/>
        <v>026:00</v>
      </c>
      <c r="O308" t="str">
        <f t="shared" si="108"/>
        <v>6:00</v>
      </c>
      <c r="P308" t="str">
        <f t="shared" si="109"/>
        <v/>
      </c>
    </row>
    <row r="309" spans="1:16" x14ac:dyDescent="0.25">
      <c r="A309" t="str">
        <f>'Raw Data'!A265</f>
        <v>ae</v>
      </c>
      <c r="B309" t="str">
        <f>'Raw Data'!B265</f>
        <v>af</v>
      </c>
      <c r="C309">
        <f>'Raw Data'!J265</f>
        <v>30.5</v>
      </c>
      <c r="D309" t="str">
        <f>'Interpreted Data'!G265</f>
        <v>263:00</v>
      </c>
      <c r="E309" t="str">
        <f>'Interpreted Data'!H265</f>
        <v>-</v>
      </c>
      <c r="F309" t="str">
        <f>SUBSTITUTE('Raw Data'!K265," ",":",1)</f>
        <v>-8:40</v>
      </c>
      <c r="G309">
        <f>'Interpreted Data'!N265</f>
        <v>-4.5999999999999996</v>
      </c>
      <c r="H309" t="str">
        <f>'Interpreted Data'!P265</f>
        <v>15' aven explored by Oliver just before station</v>
      </c>
      <c r="I309" t="str">
        <f t="shared" si="102"/>
        <v xml:space="preserve"> </v>
      </c>
      <c r="J309" t="str">
        <f t="shared" si="103"/>
        <v>ae</v>
      </c>
      <c r="K309" t="str">
        <f t="shared" si="104"/>
        <v>af</v>
      </c>
      <c r="L309">
        <f t="shared" si="105"/>
        <v>30.5</v>
      </c>
      <c r="M309" t="str">
        <f t="shared" si="106"/>
        <v>263:00</v>
      </c>
      <c r="N309" t="str">
        <f t="shared" si="107"/>
        <v>-</v>
      </c>
      <c r="O309" t="str">
        <f t="shared" si="108"/>
        <v>-8:40</v>
      </c>
      <c r="P309" t="str">
        <f t="shared" si="109"/>
        <v>15' aven explored by Oliver just before station</v>
      </c>
    </row>
    <row r="310" spans="1:16" x14ac:dyDescent="0.25">
      <c r="A310" t="str">
        <f>'Raw Data'!A266</f>
        <v>af</v>
      </c>
      <c r="B310" t="str">
        <f>'Raw Data'!B266</f>
        <v>ag</v>
      </c>
      <c r="C310">
        <f>'Raw Data'!J266</f>
        <v>27.4</v>
      </c>
      <c r="D310" t="str">
        <f>'Interpreted Data'!G266</f>
        <v>-</v>
      </c>
      <c r="E310" t="str">
        <f>'Interpreted Data'!H266</f>
        <v>112:15</v>
      </c>
      <c r="F310" t="str">
        <f>SUBSTITUTE('Raw Data'!K266," ",":",1)</f>
        <v>0:15</v>
      </c>
      <c r="G310">
        <f>'Interpreted Data'!N266</f>
        <v>0</v>
      </c>
      <c r="H310" t="str">
        <f>'Interpreted Data'!P266</f>
        <v/>
      </c>
      <c r="I310" t="str">
        <f t="shared" si="102"/>
        <v xml:space="preserve"> </v>
      </c>
      <c r="J310" t="str">
        <f t="shared" si="103"/>
        <v>af</v>
      </c>
      <c r="K310" t="str">
        <f t="shared" si="104"/>
        <v>ag</v>
      </c>
      <c r="L310">
        <f t="shared" si="105"/>
        <v>27.4</v>
      </c>
      <c r="M310" t="str">
        <f t="shared" si="106"/>
        <v>-</v>
      </c>
      <c r="N310" t="str">
        <f t="shared" si="107"/>
        <v>112:15</v>
      </c>
      <c r="O310" t="str">
        <f t="shared" si="108"/>
        <v>0:15</v>
      </c>
      <c r="P310" t="str">
        <f t="shared" si="109"/>
        <v/>
      </c>
    </row>
    <row r="311" spans="1:16" x14ac:dyDescent="0.25">
      <c r="A311" t="str">
        <f>'Raw Data'!A267</f>
        <v>ag</v>
      </c>
      <c r="B311" t="str">
        <f>'Raw Data'!B267</f>
        <v>ah</v>
      </c>
      <c r="C311">
        <f>'Raw Data'!J267</f>
        <v>13.7</v>
      </c>
      <c r="D311" t="str">
        <f>'Interpreted Data'!G267</f>
        <v>253:30</v>
      </c>
      <c r="E311" t="str">
        <f>'Interpreted Data'!H267</f>
        <v>-</v>
      </c>
      <c r="F311" t="str">
        <f>SUBSTITUTE('Raw Data'!K267," ",":",1)</f>
        <v>-20:20</v>
      </c>
      <c r="G311">
        <f>'Interpreted Data'!N267</f>
        <v>-4.8</v>
      </c>
      <c r="H311" t="str">
        <f>'Interpreted Data'!P267</f>
        <v>(sketch ag) 6" above water. Sump level 60.1</v>
      </c>
      <c r="I311" t="str">
        <f t="shared" si="102"/>
        <v xml:space="preserve"> </v>
      </c>
      <c r="J311" t="str">
        <f t="shared" si="103"/>
        <v>ag</v>
      </c>
      <c r="K311" t="str">
        <f t="shared" si="104"/>
        <v>ah</v>
      </c>
      <c r="L311">
        <f t="shared" si="105"/>
        <v>13.7</v>
      </c>
      <c r="M311" t="str">
        <f t="shared" si="106"/>
        <v>253:30</v>
      </c>
      <c r="N311" t="str">
        <f t="shared" si="107"/>
        <v>-</v>
      </c>
      <c r="O311" t="str">
        <f t="shared" si="108"/>
        <v>-20:20</v>
      </c>
      <c r="P311" t="str">
        <f t="shared" si="109"/>
        <v>(sketch ag) 6" above water. Sump level 60.1</v>
      </c>
    </row>
    <row r="312" spans="1:16" x14ac:dyDescent="0.25">
      <c r="A312" t="str">
        <f>'Raw Data'!A268</f>
        <v>z</v>
      </c>
      <c r="B312" t="str">
        <f>'Raw Data'!B268</f>
        <v>ai</v>
      </c>
      <c r="C312">
        <f>'Raw Data'!J268</f>
        <v>19.2</v>
      </c>
      <c r="D312" t="str">
        <f>'Interpreted Data'!G268</f>
        <v>-</v>
      </c>
      <c r="E312" t="str">
        <f>'Interpreted Data'!H268</f>
        <v>322:00</v>
      </c>
      <c r="F312" t="str">
        <f>SUBSTITUTE('Raw Data'!K268," ",":",1)</f>
        <v>22:00</v>
      </c>
      <c r="G312">
        <f>'Interpreted Data'!N268</f>
        <v>7.2</v>
      </c>
      <c r="H312" t="str">
        <f>'Interpreted Data'!P268</f>
        <v/>
      </c>
      <c r="I312" t="str">
        <f t="shared" si="102"/>
        <v xml:space="preserve"> </v>
      </c>
      <c r="J312" t="str">
        <f t="shared" si="103"/>
        <v>z</v>
      </c>
      <c r="K312" t="str">
        <f t="shared" si="104"/>
        <v>ai</v>
      </c>
      <c r="L312">
        <f t="shared" si="105"/>
        <v>19.2</v>
      </c>
      <c r="M312" t="str">
        <f t="shared" si="106"/>
        <v>-</v>
      </c>
      <c r="N312" t="str">
        <f t="shared" si="107"/>
        <v>322:00</v>
      </c>
      <c r="O312" t="str">
        <f t="shared" si="108"/>
        <v>22:00</v>
      </c>
      <c r="P312" t="str">
        <f t="shared" si="109"/>
        <v/>
      </c>
    </row>
    <row r="313" spans="1:16" x14ac:dyDescent="0.25">
      <c r="A313" t="str">
        <f>'Raw Data'!A269</f>
        <v>ai</v>
      </c>
      <c r="B313" t="str">
        <f>'Raw Data'!B269</f>
        <v>aj</v>
      </c>
      <c r="C313">
        <f>'Raw Data'!J269</f>
        <v>7.2</v>
      </c>
      <c r="D313" t="str">
        <f>'Interpreted Data'!G269</f>
        <v>097:00</v>
      </c>
      <c r="E313" t="str">
        <f>'Interpreted Data'!H269</f>
        <v>-</v>
      </c>
      <c r="F313" t="str">
        <f>SUBSTITUTE('Raw Data'!K269," ",":",1)</f>
        <v>55:00</v>
      </c>
      <c r="G313">
        <f>'Interpreted Data'!N269</f>
        <v>5.9</v>
      </c>
      <c r="H313" t="str">
        <f>'Interpreted Data'!P269</f>
        <v/>
      </c>
      <c r="I313" t="str">
        <f t="shared" si="102"/>
        <v xml:space="preserve"> </v>
      </c>
      <c r="J313" t="str">
        <f t="shared" si="103"/>
        <v>ai</v>
      </c>
      <c r="K313" t="str">
        <f t="shared" si="104"/>
        <v>aj</v>
      </c>
      <c r="L313">
        <f t="shared" si="105"/>
        <v>7.2</v>
      </c>
      <c r="M313" t="str">
        <f t="shared" si="106"/>
        <v>097:00</v>
      </c>
      <c r="N313" t="str">
        <f t="shared" si="107"/>
        <v>-</v>
      </c>
      <c r="O313" t="str">
        <f t="shared" si="108"/>
        <v>55:00</v>
      </c>
      <c r="P313" t="str">
        <f t="shared" si="109"/>
        <v/>
      </c>
    </row>
    <row r="314" spans="1:16" x14ac:dyDescent="0.25">
      <c r="A314" t="str">
        <f>'Raw Data'!A270</f>
        <v>aj</v>
      </c>
      <c r="B314" t="str">
        <f>'Raw Data'!B270</f>
        <v>ak</v>
      </c>
      <c r="C314">
        <f>'Raw Data'!J270</f>
        <v>19.7</v>
      </c>
      <c r="D314" t="str">
        <f>'Interpreted Data'!G270</f>
        <v>099:00</v>
      </c>
      <c r="E314" t="str">
        <f>'Interpreted Data'!H270</f>
        <v>-</v>
      </c>
      <c r="F314" t="str">
        <f>SUBSTITUTE('Raw Data'!K270," ",":",1)</f>
        <v>18:00</v>
      </c>
      <c r="G314">
        <f>'Interpreted Data'!N270</f>
        <v>6.1</v>
      </c>
      <c r="H314" t="str">
        <f>'Interpreted Data'!P270</f>
        <v/>
      </c>
      <c r="I314" t="str">
        <f t="shared" si="102"/>
        <v xml:space="preserve"> </v>
      </c>
      <c r="J314" t="str">
        <f t="shared" si="103"/>
        <v>aj</v>
      </c>
      <c r="K314" t="str">
        <f t="shared" si="104"/>
        <v>ak</v>
      </c>
      <c r="L314">
        <f t="shared" si="105"/>
        <v>19.7</v>
      </c>
      <c r="M314" t="str">
        <f t="shared" si="106"/>
        <v>099:00</v>
      </c>
      <c r="N314" t="str">
        <f t="shared" si="107"/>
        <v>-</v>
      </c>
      <c r="O314" t="str">
        <f t="shared" si="108"/>
        <v>18:00</v>
      </c>
      <c r="P314" t="str">
        <f t="shared" si="109"/>
        <v/>
      </c>
    </row>
    <row r="315" spans="1:16" x14ac:dyDescent="0.25">
      <c r="A315" t="str">
        <f>'Raw Data'!A271</f>
        <v>ak</v>
      </c>
      <c r="B315" t="str">
        <f>'Raw Data'!B271</f>
        <v>al</v>
      </c>
      <c r="C315">
        <f>'Raw Data'!J271</f>
        <v>9.1999999999999993</v>
      </c>
      <c r="D315" t="str">
        <f>'Interpreted Data'!G271</f>
        <v>106:00</v>
      </c>
      <c r="E315" t="str">
        <f>'Interpreted Data'!H271</f>
        <v>-</v>
      </c>
      <c r="F315" t="str">
        <f>SUBSTITUTE('Raw Data'!K271," ",":",1)</f>
        <v>-22:00</v>
      </c>
      <c r="G315">
        <f>'Interpreted Data'!N271</f>
        <v>-3.4</v>
      </c>
      <c r="H315" t="str">
        <f>'Interpreted Data'!P271</f>
        <v/>
      </c>
      <c r="I315" t="str">
        <f t="shared" si="102"/>
        <v xml:space="preserve"> </v>
      </c>
      <c r="J315" t="str">
        <f t="shared" si="103"/>
        <v>ak</v>
      </c>
      <c r="K315" t="str">
        <f t="shared" si="104"/>
        <v>al</v>
      </c>
      <c r="L315">
        <f t="shared" si="105"/>
        <v>9.1999999999999993</v>
      </c>
      <c r="M315" t="str">
        <f t="shared" si="106"/>
        <v>106:00</v>
      </c>
      <c r="N315" t="str">
        <f t="shared" si="107"/>
        <v>-</v>
      </c>
      <c r="O315" t="str">
        <f t="shared" si="108"/>
        <v>-22:00</v>
      </c>
      <c r="P315" t="str">
        <f t="shared" si="109"/>
        <v/>
      </c>
    </row>
    <row r="316" spans="1:16" x14ac:dyDescent="0.25">
      <c r="J316" t="str">
        <f>$J$2</f>
        <v>data diving from to tape compass backcompass depthchange ignoreall</v>
      </c>
    </row>
    <row r="317" spans="1:16" x14ac:dyDescent="0.25">
      <c r="A317" t="str">
        <f>'Raw Data'!A272</f>
        <v>al</v>
      </c>
      <c r="B317" t="str">
        <f>'Raw Data'!B272</f>
        <v>am</v>
      </c>
      <c r="C317">
        <f>'Raw Data'!J272</f>
        <v>15.8</v>
      </c>
      <c r="D317" t="str">
        <f>'Interpreted Data'!G272</f>
        <v>101:00</v>
      </c>
      <c r="E317" t="str">
        <f>'Interpreted Data'!H272</f>
        <v>-</v>
      </c>
      <c r="F317" t="str">
        <f>SUBSTITUTE('Raw Data'!K272," ",":",1)</f>
        <v>+:2 feet</v>
      </c>
      <c r="G317">
        <f>'Interpreted Data'!N272</f>
        <v>2</v>
      </c>
      <c r="H317" t="str">
        <f>'Interpreted Data'!P272</f>
        <v>Near side of duck (in dry weather)</v>
      </c>
      <c r="I317" t="str">
        <f t="shared" si="102"/>
        <v xml:space="preserve"> </v>
      </c>
      <c r="J317" t="str">
        <f t="shared" si="103"/>
        <v>al</v>
      </c>
      <c r="K317" t="str">
        <f t="shared" si="104"/>
        <v>am</v>
      </c>
      <c r="L317">
        <f t="shared" si="105"/>
        <v>15.8</v>
      </c>
      <c r="M317" t="str">
        <f t="shared" si="106"/>
        <v>101:00</v>
      </c>
      <c r="N317" t="str">
        <f t="shared" si="107"/>
        <v>-</v>
      </c>
      <c r="O317">
        <f>G317</f>
        <v>2</v>
      </c>
      <c r="P317" t="str">
        <f t="shared" si="109"/>
        <v>Near side of duck (in dry weather)</v>
      </c>
    </row>
    <row r="318" spans="1:16" x14ac:dyDescent="0.25">
      <c r="J318" t="str">
        <f>$J$1</f>
        <v>data normal from to tape compass backcompass clino ignoreall</v>
      </c>
    </row>
    <row r="319" spans="1:16" x14ac:dyDescent="0.25">
      <c r="A319" t="str">
        <f>'Raw Data'!A273</f>
        <v>am</v>
      </c>
      <c r="B319" t="str">
        <f>'Raw Data'!B273</f>
        <v>an</v>
      </c>
      <c r="C319">
        <f>'Raw Data'!J273</f>
        <v>12.3</v>
      </c>
      <c r="D319" t="str">
        <f>'Interpreted Data'!G273</f>
        <v>080:00</v>
      </c>
      <c r="E319" t="str">
        <f>'Interpreted Data'!H273</f>
        <v>-</v>
      </c>
      <c r="F319" t="str">
        <f>SUBSTITUTE('Raw Data'!K273," ",":",1)</f>
        <v>22:00</v>
      </c>
      <c r="G319">
        <f>'Interpreted Data'!N273</f>
        <v>4.5999999999999996</v>
      </c>
      <c r="H319" t="str">
        <f>'Interpreted Data'!P273</f>
        <v>Far side of duck (in dry weather)</v>
      </c>
      <c r="I319" t="str">
        <f t="shared" si="102"/>
        <v xml:space="preserve"> </v>
      </c>
      <c r="J319" t="str">
        <f t="shared" si="103"/>
        <v>am</v>
      </c>
      <c r="K319" t="str">
        <f t="shared" si="104"/>
        <v>an</v>
      </c>
      <c r="L319">
        <f t="shared" si="105"/>
        <v>12.3</v>
      </c>
      <c r="M319" t="str">
        <f t="shared" si="106"/>
        <v>080:00</v>
      </c>
      <c r="N319" t="str">
        <f t="shared" si="107"/>
        <v>-</v>
      </c>
      <c r="O319" t="str">
        <f t="shared" si="108"/>
        <v>22:00</v>
      </c>
      <c r="P319" t="str">
        <f t="shared" si="109"/>
        <v>Far side of duck (in dry weather)</v>
      </c>
    </row>
    <row r="320" spans="1:16" x14ac:dyDescent="0.25">
      <c r="A320" t="str">
        <f>'Raw Data'!A274</f>
        <v>an</v>
      </c>
      <c r="B320" t="str">
        <f>'Raw Data'!B274</f>
        <v>ao</v>
      </c>
      <c r="C320">
        <f>'Raw Data'!J274</f>
        <v>14.5</v>
      </c>
      <c r="D320" t="str">
        <f>'Interpreted Data'!G274</f>
        <v>114:00</v>
      </c>
      <c r="E320" t="str">
        <f>'Interpreted Data'!H274</f>
        <v>-</v>
      </c>
      <c r="F320" t="str">
        <f>SUBSTITUTE('Raw Data'!K274," ",":",1)</f>
        <v>50:00</v>
      </c>
      <c r="G320">
        <f>'Interpreted Data'!N274</f>
        <v>11.1</v>
      </c>
      <c r="H320" t="str">
        <f>'Interpreted Data'!P274</f>
        <v/>
      </c>
      <c r="I320" t="str">
        <f t="shared" si="102"/>
        <v xml:space="preserve"> </v>
      </c>
      <c r="J320" t="str">
        <f t="shared" si="103"/>
        <v>an</v>
      </c>
      <c r="K320" t="str">
        <f t="shared" si="104"/>
        <v>ao</v>
      </c>
      <c r="L320">
        <f t="shared" si="105"/>
        <v>14.5</v>
      </c>
      <c r="M320" t="str">
        <f t="shared" si="106"/>
        <v>114:00</v>
      </c>
      <c r="N320" t="str">
        <f t="shared" si="107"/>
        <v>-</v>
      </c>
      <c r="O320" t="str">
        <f t="shared" si="108"/>
        <v>50:00</v>
      </c>
      <c r="P320" t="str">
        <f t="shared" si="109"/>
        <v/>
      </c>
    </row>
    <row r="321" spans="1:16" x14ac:dyDescent="0.25">
      <c r="A321" t="str">
        <f>'Raw Data'!A275</f>
        <v>ao</v>
      </c>
      <c r="B321" t="str">
        <f>'Raw Data'!B275</f>
        <v>ap</v>
      </c>
      <c r="C321">
        <f>'Raw Data'!J275</f>
        <v>17.8</v>
      </c>
      <c r="D321" t="str">
        <f>'Interpreted Data'!G275</f>
        <v>103:00</v>
      </c>
      <c r="E321" t="str">
        <f>'Interpreted Data'!H275</f>
        <v>-</v>
      </c>
      <c r="F321" t="str">
        <f>SUBSTITUTE('Raw Data'!K275," ",":",1)</f>
        <v>-6:30</v>
      </c>
      <c r="G321">
        <f>'Interpreted Data'!N275</f>
        <v>-2</v>
      </c>
      <c r="H321" t="str">
        <f>'Interpreted Data'!P275</f>
        <v/>
      </c>
      <c r="I321" t="str">
        <f t="shared" si="102"/>
        <v xml:space="preserve"> </v>
      </c>
      <c r="J321" t="str">
        <f t="shared" si="103"/>
        <v>ao</v>
      </c>
      <c r="K321" t="str">
        <f t="shared" si="104"/>
        <v>ap</v>
      </c>
      <c r="L321">
        <f t="shared" si="105"/>
        <v>17.8</v>
      </c>
      <c r="M321" t="str">
        <f t="shared" si="106"/>
        <v>103:00</v>
      </c>
      <c r="N321" t="str">
        <f t="shared" si="107"/>
        <v>-</v>
      </c>
      <c r="O321" t="str">
        <f t="shared" si="108"/>
        <v>-6:30</v>
      </c>
      <c r="P321" t="str">
        <f t="shared" si="109"/>
        <v/>
      </c>
    </row>
    <row r="322" spans="1:16" x14ac:dyDescent="0.25">
      <c r="A322" t="str">
        <f>'Raw Data'!A276</f>
        <v>ap</v>
      </c>
      <c r="B322" t="str">
        <f>'Raw Data'!B276</f>
        <v>aq</v>
      </c>
      <c r="C322">
        <f>'Raw Data'!J276</f>
        <v>7.7</v>
      </c>
      <c r="D322" t="str">
        <f>'Interpreted Data'!G276</f>
        <v>026:00</v>
      </c>
      <c r="E322" t="str">
        <f>'Interpreted Data'!H276</f>
        <v>-</v>
      </c>
      <c r="F322" t="str">
        <f>SUBSTITUTE('Raw Data'!K276," ",":",1)</f>
        <v>-53:00</v>
      </c>
      <c r="G322">
        <f>'Interpreted Data'!N276</f>
        <v>-6.1</v>
      </c>
      <c r="H322" t="str">
        <f>'Interpreted Data'!P276</f>
        <v/>
      </c>
      <c r="I322" t="str">
        <f t="shared" si="102"/>
        <v xml:space="preserve"> </v>
      </c>
      <c r="J322" t="str">
        <f t="shared" si="103"/>
        <v>ap</v>
      </c>
      <c r="K322" t="str">
        <f t="shared" si="104"/>
        <v>aq</v>
      </c>
      <c r="L322">
        <f t="shared" si="105"/>
        <v>7.7</v>
      </c>
      <c r="M322" t="str">
        <f t="shared" si="106"/>
        <v>026:00</v>
      </c>
      <c r="N322" t="str">
        <f t="shared" si="107"/>
        <v>-</v>
      </c>
      <c r="O322" t="str">
        <f t="shared" si="108"/>
        <v>-53:00</v>
      </c>
      <c r="P322" t="str">
        <f t="shared" si="109"/>
        <v/>
      </c>
    </row>
    <row r="323" spans="1:16" x14ac:dyDescent="0.25">
      <c r="A323" t="str">
        <f>'Raw Data'!A277</f>
        <v>aq</v>
      </c>
      <c r="B323" t="str">
        <f>'Raw Data'!B277</f>
        <v>ar</v>
      </c>
      <c r="C323">
        <f>'Raw Data'!J277</f>
        <v>8.5</v>
      </c>
      <c r="D323" t="str">
        <f>'Interpreted Data'!G277</f>
        <v>003:00</v>
      </c>
      <c r="E323" t="str">
        <f>'Interpreted Data'!H277</f>
        <v>-</v>
      </c>
      <c r="F323" t="str">
        <f>SUBSTITUTE('Raw Data'!K277," ",":",1)</f>
        <v>level</v>
      </c>
      <c r="G323">
        <f>'Interpreted Data'!N277</f>
        <v>0</v>
      </c>
      <c r="H323" t="str">
        <f>'Interpreted Data'!P277</f>
        <v/>
      </c>
      <c r="I323" t="str">
        <f t="shared" si="102"/>
        <v xml:space="preserve"> </v>
      </c>
      <c r="J323" t="str">
        <f t="shared" si="103"/>
        <v>aq</v>
      </c>
      <c r="K323" t="str">
        <f t="shared" si="104"/>
        <v>ar</v>
      </c>
      <c r="L323">
        <f t="shared" si="105"/>
        <v>8.5</v>
      </c>
      <c r="M323" t="str">
        <f t="shared" si="106"/>
        <v>003:00</v>
      </c>
      <c r="N323" t="str">
        <f t="shared" si="107"/>
        <v>-</v>
      </c>
      <c r="O323">
        <f>G323</f>
        <v>0</v>
      </c>
      <c r="P323" t="str">
        <f t="shared" si="109"/>
        <v/>
      </c>
    </row>
    <row r="324" spans="1:16" x14ac:dyDescent="0.25">
      <c r="A324" t="str">
        <f>'Raw Data'!A278</f>
        <v>ar</v>
      </c>
      <c r="B324" t="str">
        <f>'Raw Data'!B278</f>
        <v>as</v>
      </c>
      <c r="C324">
        <f>'Raw Data'!J278</f>
        <v>10.8</v>
      </c>
      <c r="D324" t="str">
        <f>'Interpreted Data'!G278</f>
        <v>022:00</v>
      </c>
      <c r="E324" t="str">
        <f>'Interpreted Data'!H278</f>
        <v>-</v>
      </c>
      <c r="F324" t="str">
        <f>SUBSTITUTE('Raw Data'!K278," ",":",1)</f>
        <v>level</v>
      </c>
      <c r="G324">
        <f>'Interpreted Data'!N278</f>
        <v>0</v>
      </c>
      <c r="H324" t="str">
        <f>'Interpreted Data'!P278</f>
        <v>(sketch at-au) descends at 15 or 20 degrees. i.e. -9 feet vertical. Sump?</v>
      </c>
      <c r="I324" t="str">
        <f t="shared" si="102"/>
        <v xml:space="preserve"> </v>
      </c>
      <c r="J324" t="str">
        <f t="shared" si="103"/>
        <v>ar</v>
      </c>
      <c r="K324" t="str">
        <f t="shared" si="104"/>
        <v>as</v>
      </c>
      <c r="L324">
        <f t="shared" si="105"/>
        <v>10.8</v>
      </c>
      <c r="M324" t="str">
        <f t="shared" si="106"/>
        <v>022:00</v>
      </c>
      <c r="N324" t="str">
        <f t="shared" si="107"/>
        <v>-</v>
      </c>
      <c r="O324">
        <f>G324</f>
        <v>0</v>
      </c>
      <c r="P324" t="str">
        <f t="shared" si="109"/>
        <v>(sketch at-au) descends at 15 or 20 degrees. i.e. -9 feet vertical. Sump?</v>
      </c>
    </row>
    <row r="325" spans="1:16" x14ac:dyDescent="0.25">
      <c r="J325" t="str">
        <f>$J$2</f>
        <v>data diving from to tape compass backcompass depthchange ignoreall</v>
      </c>
    </row>
    <row r="326" spans="1:16" x14ac:dyDescent="0.25">
      <c r="A326" t="str">
        <f>'Raw Data'!A279</f>
        <v>as</v>
      </c>
      <c r="B326" t="str">
        <f>'Raw Data'!B279</f>
        <v>at</v>
      </c>
      <c r="C326">
        <f>'Raw Data'!J279</f>
        <v>18.399999999999999</v>
      </c>
      <c r="D326" t="str">
        <f>'Interpreted Data'!G279</f>
        <v>003:00</v>
      </c>
      <c r="E326" t="str">
        <f>'Interpreted Data'!H279</f>
        <v>-</v>
      </c>
      <c r="F326" t="str">
        <f>SUBSTITUTE('Raw Data'!K279," ",":",1)</f>
        <v>-2.5:feet</v>
      </c>
      <c r="G326">
        <f>'Interpreted Data'!N279</f>
        <v>-2.5</v>
      </c>
      <c r="H326" t="str">
        <f>'Interpreted Data'!P279</f>
        <v/>
      </c>
      <c r="I326" t="str">
        <f t="shared" si="102"/>
        <v xml:space="preserve"> </v>
      </c>
      <c r="J326" t="str">
        <f t="shared" si="103"/>
        <v>as</v>
      </c>
      <c r="K326" t="str">
        <f t="shared" si="104"/>
        <v>at</v>
      </c>
      <c r="L326">
        <f t="shared" si="105"/>
        <v>18.399999999999999</v>
      </c>
      <c r="M326" t="str">
        <f t="shared" si="106"/>
        <v>003:00</v>
      </c>
      <c r="N326" t="str">
        <f t="shared" si="107"/>
        <v>-</v>
      </c>
      <c r="O326">
        <f>G326</f>
        <v>-2.5</v>
      </c>
      <c r="P326" t="str">
        <f t="shared" si="109"/>
        <v/>
      </c>
    </row>
    <row r="327" spans="1:16" x14ac:dyDescent="0.25">
      <c r="A327" t="str">
        <f>'Raw Data'!A280</f>
        <v>at</v>
      </c>
      <c r="B327" t="str">
        <f>'Raw Data'!B280</f>
        <v>au</v>
      </c>
      <c r="C327">
        <f>'Raw Data'!J280</f>
        <v>11</v>
      </c>
      <c r="D327" t="str">
        <f>'Interpreted Data'!G280</f>
        <v>355:00</v>
      </c>
      <c r="E327" t="str">
        <f>'Interpreted Data'!H280</f>
        <v>-</v>
      </c>
      <c r="F327" t="str">
        <f>SUBSTITUTE('Raw Data'!K280," ",":",1)</f>
        <v>up:&amp; down 2'</v>
      </c>
      <c r="G327">
        <f>'Interpreted Data'!N280</f>
        <v>0</v>
      </c>
      <c r="H327" t="str">
        <f>'Interpreted Data'!P280</f>
        <v/>
      </c>
      <c r="I327" t="str">
        <f t="shared" si="102"/>
        <v xml:space="preserve"> </v>
      </c>
      <c r="J327" t="str">
        <f t="shared" si="103"/>
        <v>at</v>
      </c>
      <c r="K327" t="str">
        <f t="shared" si="104"/>
        <v>au</v>
      </c>
      <c r="L327">
        <f t="shared" si="105"/>
        <v>11</v>
      </c>
      <c r="M327" t="str">
        <f t="shared" si="106"/>
        <v>355:00</v>
      </c>
      <c r="N327" t="str">
        <f t="shared" si="107"/>
        <v>-</v>
      </c>
      <c r="O327">
        <f>G327</f>
        <v>0</v>
      </c>
      <c r="P327" t="str">
        <f t="shared" si="109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Interpreted Data</vt:lpstr>
      <vt:lpstr>Survex Formatted</vt:lpstr>
      <vt:lpstr>Therion Formatted</vt:lpstr>
    </vt:vector>
  </TitlesOfParts>
  <Company>Accelrys Software, Inc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Fretwell</dc:creator>
  <cp:lastModifiedBy>Paul Fretwell</cp:lastModifiedBy>
  <dcterms:created xsi:type="dcterms:W3CDTF">2012-06-12T12:05:34Z</dcterms:created>
  <dcterms:modified xsi:type="dcterms:W3CDTF">2012-07-13T21:15:56Z</dcterms:modified>
</cp:coreProperties>
</file>