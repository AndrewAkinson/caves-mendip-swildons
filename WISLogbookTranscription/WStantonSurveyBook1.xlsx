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525" windowWidth="19440" windowHeight="9090" activeTab="1"/>
  </bookViews>
  <sheets>
    <sheet name="Overview" sheetId="5" r:id="rId1"/>
    <sheet name="Raw Data" sheetId="1" r:id="rId2"/>
    <sheet name="Interpreted Data" sheetId="2" r:id="rId3"/>
    <sheet name="Survex Formatted" sheetId="3" r:id="rId4"/>
    <sheet name="Therion Formatted" sheetId="4" r:id="rId5"/>
    <sheet name="Mag to Grid Conversion" sheetId="6" r:id="rId6"/>
  </sheets>
  <calcPr calcId="145621"/>
</workbook>
</file>

<file path=xl/calcChain.xml><?xml version="1.0" encoding="utf-8"?>
<calcChain xmlns="http://schemas.openxmlformats.org/spreadsheetml/2006/main">
  <c r="A500" i="3" l="1"/>
  <c r="A488" i="3"/>
  <c r="A483" i="3"/>
  <c r="A478" i="3"/>
  <c r="A449" i="3"/>
  <c r="D446" i="3"/>
  <c r="D447" i="3"/>
  <c r="D448" i="3"/>
  <c r="D450" i="3"/>
  <c r="D451" i="3"/>
  <c r="D452" i="3"/>
  <c r="D453" i="3"/>
  <c r="D454" i="3"/>
  <c r="D455" i="3"/>
  <c r="D456" i="3"/>
  <c r="D457" i="3"/>
  <c r="D458" i="3"/>
  <c r="D459" i="3"/>
  <c r="D445" i="3"/>
  <c r="C480" i="3"/>
  <c r="C461" i="3"/>
  <c r="C444" i="3"/>
  <c r="A480" i="3"/>
  <c r="A461" i="3"/>
  <c r="A497" i="3"/>
  <c r="B497" i="3"/>
  <c r="C497" i="3"/>
  <c r="D497" i="3"/>
  <c r="E497" i="3"/>
  <c r="F497" i="3"/>
  <c r="A498" i="3"/>
  <c r="B498" i="3"/>
  <c r="C498" i="3"/>
  <c r="D498" i="3"/>
  <c r="E498" i="3"/>
  <c r="F498" i="3"/>
  <c r="A499" i="3"/>
  <c r="B499" i="3"/>
  <c r="C499" i="3"/>
  <c r="D499" i="3"/>
  <c r="E499" i="3"/>
  <c r="F499" i="3"/>
  <c r="B500" i="3"/>
  <c r="F500" i="3"/>
  <c r="A501" i="3"/>
  <c r="B501" i="3"/>
  <c r="C501" i="3"/>
  <c r="D501" i="3"/>
  <c r="E501" i="3"/>
  <c r="F501" i="3"/>
  <c r="A466" i="3"/>
  <c r="B466" i="3"/>
  <c r="C466" i="3"/>
  <c r="D466" i="3"/>
  <c r="E466" i="3"/>
  <c r="F466" i="3"/>
  <c r="A467" i="3"/>
  <c r="B467" i="3"/>
  <c r="C467" i="3"/>
  <c r="D467" i="3"/>
  <c r="E467" i="3" s="1"/>
  <c r="F467" i="3"/>
  <c r="A468" i="3"/>
  <c r="B468" i="3"/>
  <c r="C468" i="3"/>
  <c r="D468" i="3"/>
  <c r="E468" i="3" s="1"/>
  <c r="F468" i="3"/>
  <c r="A469" i="3"/>
  <c r="B469" i="3"/>
  <c r="C469" i="3"/>
  <c r="D469" i="3"/>
  <c r="E469" i="3" s="1"/>
  <c r="F469" i="3"/>
  <c r="A470" i="3"/>
  <c r="B470" i="3"/>
  <c r="C470" i="3"/>
  <c r="D470" i="3"/>
  <c r="E470" i="3" s="1"/>
  <c r="F470" i="3"/>
  <c r="A471" i="3"/>
  <c r="B471" i="3"/>
  <c r="C471" i="3"/>
  <c r="D471" i="3"/>
  <c r="E471" i="3" s="1"/>
  <c r="F471" i="3"/>
  <c r="A472" i="3"/>
  <c r="B472" i="3"/>
  <c r="C472" i="3"/>
  <c r="D472" i="3"/>
  <c r="E472" i="3" s="1"/>
  <c r="F472" i="3"/>
  <c r="A473" i="3"/>
  <c r="B473" i="3"/>
  <c r="C473" i="3"/>
  <c r="D473" i="3"/>
  <c r="E473" i="3" s="1"/>
  <c r="F473" i="3"/>
  <c r="A475" i="3"/>
  <c r="B475" i="3"/>
  <c r="C475" i="3"/>
  <c r="D475" i="3"/>
  <c r="E475" i="3"/>
  <c r="F475" i="3"/>
  <c r="A476" i="3"/>
  <c r="B476" i="3"/>
  <c r="C476" i="3"/>
  <c r="D476" i="3"/>
  <c r="E476" i="3" s="1"/>
  <c r="F476" i="3"/>
  <c r="A477" i="3"/>
  <c r="B477" i="3"/>
  <c r="C477" i="3"/>
  <c r="D477" i="3"/>
  <c r="E477" i="3" s="1"/>
  <c r="F477" i="3"/>
  <c r="B478" i="3"/>
  <c r="F478" i="3"/>
  <c r="A479" i="3"/>
  <c r="B479" i="3"/>
  <c r="F479" i="3"/>
  <c r="B480" i="3"/>
  <c r="F480" i="3"/>
  <c r="A481" i="3"/>
  <c r="B481" i="3"/>
  <c r="C481" i="3"/>
  <c r="D481" i="3"/>
  <c r="E481" i="3" s="1"/>
  <c r="F481" i="3"/>
  <c r="A482" i="3"/>
  <c r="B482" i="3"/>
  <c r="C482" i="3"/>
  <c r="D482" i="3"/>
  <c r="E482" i="3" s="1"/>
  <c r="F482" i="3"/>
  <c r="B483" i="3"/>
  <c r="F483" i="3"/>
  <c r="A484" i="3"/>
  <c r="B484" i="3"/>
  <c r="C484" i="3"/>
  <c r="D484" i="3"/>
  <c r="E484" i="3" s="1"/>
  <c r="F484" i="3"/>
  <c r="A485" i="3"/>
  <c r="B485" i="3"/>
  <c r="C485" i="3"/>
  <c r="D485" i="3"/>
  <c r="E485" i="3" s="1"/>
  <c r="F485" i="3"/>
  <c r="A486" i="3"/>
  <c r="B486" i="3"/>
  <c r="C486" i="3"/>
  <c r="D486" i="3"/>
  <c r="E486" i="3" s="1"/>
  <c r="F486" i="3"/>
  <c r="A487" i="3"/>
  <c r="B487" i="3"/>
  <c r="C487" i="3"/>
  <c r="D487" i="3"/>
  <c r="E487" i="3" s="1"/>
  <c r="F487" i="3"/>
  <c r="B488" i="3"/>
  <c r="F488" i="3"/>
  <c r="A489" i="3"/>
  <c r="B489" i="3"/>
  <c r="C489" i="3"/>
  <c r="D489" i="3"/>
  <c r="E489" i="3" s="1"/>
  <c r="F489" i="3"/>
  <c r="A490" i="3"/>
  <c r="B490" i="3"/>
  <c r="C490" i="3"/>
  <c r="D490" i="3"/>
  <c r="E490" i="3" s="1"/>
  <c r="F490" i="3"/>
  <c r="A491" i="3"/>
  <c r="B491" i="3"/>
  <c r="C491" i="3"/>
  <c r="D491" i="3"/>
  <c r="E491" i="3" s="1"/>
  <c r="F491" i="3"/>
  <c r="A492" i="3"/>
  <c r="B492" i="3"/>
  <c r="C492" i="3"/>
  <c r="D492" i="3"/>
  <c r="E492" i="3" s="1"/>
  <c r="F492" i="3"/>
  <c r="A493" i="3"/>
  <c r="B493" i="3"/>
  <c r="C493" i="3"/>
  <c r="D493" i="3"/>
  <c r="E493" i="3" s="1"/>
  <c r="F493" i="3"/>
  <c r="A494" i="3"/>
  <c r="B494" i="3"/>
  <c r="C494" i="3"/>
  <c r="D494" i="3"/>
  <c r="E494" i="3" s="1"/>
  <c r="F494" i="3"/>
  <c r="A495" i="3"/>
  <c r="B495" i="3"/>
  <c r="C495" i="3"/>
  <c r="D495" i="3"/>
  <c r="E495" i="3" s="1"/>
  <c r="F495" i="3"/>
  <c r="A496" i="3"/>
  <c r="B496" i="3"/>
  <c r="C496" i="3"/>
  <c r="D496" i="3"/>
  <c r="E496" i="3" s="1"/>
  <c r="F496" i="3"/>
  <c r="B461" i="3"/>
  <c r="A462" i="3"/>
  <c r="B462" i="3"/>
  <c r="C462" i="3"/>
  <c r="D462" i="3"/>
  <c r="E462" i="3"/>
  <c r="F462" i="3"/>
  <c r="A463" i="3"/>
  <c r="B463" i="3"/>
  <c r="C463" i="3"/>
  <c r="D463" i="3"/>
  <c r="E463" i="3"/>
  <c r="F463" i="3"/>
  <c r="A464" i="3"/>
  <c r="B464" i="3"/>
  <c r="C464" i="3"/>
  <c r="D464" i="3"/>
  <c r="E464" i="3"/>
  <c r="F464" i="3"/>
  <c r="A465" i="3"/>
  <c r="B465" i="3"/>
  <c r="C465" i="3"/>
  <c r="D465" i="3"/>
  <c r="E465" i="3"/>
  <c r="F465" i="3"/>
  <c r="Z495" i="2"/>
  <c r="U491" i="2"/>
  <c r="Z489" i="2"/>
  <c r="Z484" i="2"/>
  <c r="Z481" i="2"/>
  <c r="A501" i="2"/>
  <c r="B501" i="2"/>
  <c r="C501" i="2"/>
  <c r="D501" i="2"/>
  <c r="E501" i="2"/>
  <c r="F501" i="2"/>
  <c r="G501" i="2"/>
  <c r="H501" i="2"/>
  <c r="I501" i="2"/>
  <c r="K501" i="2"/>
  <c r="J501" i="2" s="1"/>
  <c r="L501" i="2"/>
  <c r="M501" i="2"/>
  <c r="N501" i="2"/>
  <c r="O501" i="2"/>
  <c r="P501" i="2"/>
  <c r="R501" i="2"/>
  <c r="S501" i="2"/>
  <c r="T501" i="2"/>
  <c r="U501" i="2"/>
  <c r="Y501" i="2"/>
  <c r="Z501" i="2"/>
  <c r="A500" i="2"/>
  <c r="B500" i="2"/>
  <c r="C500" i="2"/>
  <c r="D500" i="2"/>
  <c r="E500" i="2"/>
  <c r="F500" i="2"/>
  <c r="G500" i="2"/>
  <c r="H500" i="2"/>
  <c r="I500" i="2"/>
  <c r="K500" i="2"/>
  <c r="J500" i="2" s="1"/>
  <c r="L500" i="2"/>
  <c r="M500" i="2"/>
  <c r="N500" i="2"/>
  <c r="O500" i="2"/>
  <c r="P500" i="2"/>
  <c r="Z500" i="2"/>
  <c r="A497" i="2"/>
  <c r="B497" i="2"/>
  <c r="C497" i="2"/>
  <c r="D497" i="2"/>
  <c r="E497" i="2"/>
  <c r="F497" i="2"/>
  <c r="G497" i="2"/>
  <c r="H497" i="2"/>
  <c r="I497" i="2"/>
  <c r="J497" i="2"/>
  <c r="W497" i="2" s="1"/>
  <c r="K497" i="2"/>
  <c r="L497" i="2"/>
  <c r="M497" i="2"/>
  <c r="N497" i="2"/>
  <c r="O497" i="2"/>
  <c r="P497" i="2"/>
  <c r="R497" i="2"/>
  <c r="S497" i="2"/>
  <c r="T497" i="2"/>
  <c r="U497" i="2"/>
  <c r="X497" i="2"/>
  <c r="Y497" i="2"/>
  <c r="Z497" i="2"/>
  <c r="A498" i="2"/>
  <c r="B498" i="2"/>
  <c r="C498" i="2"/>
  <c r="D498" i="2"/>
  <c r="E498" i="2"/>
  <c r="F498" i="2"/>
  <c r="G498" i="2"/>
  <c r="H498" i="2"/>
  <c r="I498" i="2"/>
  <c r="J498" i="2"/>
  <c r="W498" i="2" s="1"/>
  <c r="K498" i="2"/>
  <c r="L498" i="2"/>
  <c r="M498" i="2"/>
  <c r="N498" i="2"/>
  <c r="O498" i="2"/>
  <c r="P498" i="2"/>
  <c r="R498" i="2"/>
  <c r="S498" i="2"/>
  <c r="T498" i="2"/>
  <c r="U498" i="2"/>
  <c r="X498" i="2"/>
  <c r="Y498" i="2"/>
  <c r="Z498" i="2"/>
  <c r="A499" i="2"/>
  <c r="B499" i="2"/>
  <c r="C499" i="2"/>
  <c r="D499" i="2"/>
  <c r="E499" i="2"/>
  <c r="F499" i="2"/>
  <c r="G499" i="2"/>
  <c r="H499" i="2"/>
  <c r="I499" i="2"/>
  <c r="J499" i="2"/>
  <c r="W499" i="2" s="1"/>
  <c r="K499" i="2"/>
  <c r="L499" i="2"/>
  <c r="M499" i="2"/>
  <c r="N499" i="2"/>
  <c r="O499" i="2"/>
  <c r="P499" i="2"/>
  <c r="R499" i="2"/>
  <c r="S499" i="2"/>
  <c r="T499" i="2"/>
  <c r="U499" i="2"/>
  <c r="X499" i="2" s="1"/>
  <c r="Y499" i="2"/>
  <c r="Z499" i="2"/>
  <c r="A480" i="2"/>
  <c r="B480" i="2"/>
  <c r="C480" i="2"/>
  <c r="D480" i="2"/>
  <c r="E480" i="2"/>
  <c r="F480" i="2"/>
  <c r="G480" i="2"/>
  <c r="H480" i="2"/>
  <c r="I480" i="2"/>
  <c r="K480" i="2"/>
  <c r="J480" i="2" s="1"/>
  <c r="L480" i="2"/>
  <c r="M480" i="2"/>
  <c r="N480" i="2"/>
  <c r="O480" i="2"/>
  <c r="P480" i="2"/>
  <c r="A481" i="2"/>
  <c r="B481" i="2"/>
  <c r="C481" i="2"/>
  <c r="D481" i="2"/>
  <c r="E481" i="2"/>
  <c r="F481" i="2"/>
  <c r="G481" i="2"/>
  <c r="H481" i="2"/>
  <c r="I481" i="2"/>
  <c r="J481" i="2"/>
  <c r="K481" i="2"/>
  <c r="L481" i="2"/>
  <c r="M481" i="2"/>
  <c r="N481" i="2"/>
  <c r="O481" i="2"/>
  <c r="P481" i="2"/>
  <c r="R481" i="2"/>
  <c r="S481" i="2"/>
  <c r="T481" i="2"/>
  <c r="U481" i="2"/>
  <c r="W481" i="2" s="1"/>
  <c r="X481" i="2"/>
  <c r="Y481" i="2"/>
  <c r="A482" i="2"/>
  <c r="B482" i="2"/>
  <c r="C482" i="2"/>
  <c r="D482" i="2"/>
  <c r="E482" i="2"/>
  <c r="F482" i="2"/>
  <c r="G482" i="2"/>
  <c r="H482" i="2"/>
  <c r="I482" i="2"/>
  <c r="J482" i="2"/>
  <c r="K482" i="2"/>
  <c r="L482" i="2"/>
  <c r="M482" i="2"/>
  <c r="N482" i="2"/>
  <c r="O482" i="2"/>
  <c r="P482" i="2"/>
  <c r="R482" i="2"/>
  <c r="S482" i="2"/>
  <c r="T482" i="2"/>
  <c r="U482" i="2"/>
  <c r="W482" i="2"/>
  <c r="X482" i="2"/>
  <c r="Y482" i="2"/>
  <c r="Z482" i="2"/>
  <c r="A483" i="2"/>
  <c r="B483" i="2"/>
  <c r="C483" i="2"/>
  <c r="D483" i="2"/>
  <c r="E483" i="2"/>
  <c r="F483" i="2"/>
  <c r="G483" i="2"/>
  <c r="H483" i="2"/>
  <c r="I483" i="2"/>
  <c r="K483" i="2"/>
  <c r="J483" i="2" s="1"/>
  <c r="L483" i="2"/>
  <c r="M483" i="2"/>
  <c r="N483" i="2"/>
  <c r="O483" i="2"/>
  <c r="P483" i="2"/>
  <c r="A484" i="2"/>
  <c r="B484" i="2"/>
  <c r="C484" i="2"/>
  <c r="D484" i="2"/>
  <c r="E484" i="2"/>
  <c r="F484" i="2"/>
  <c r="G484" i="2"/>
  <c r="H484" i="2"/>
  <c r="I484" i="2"/>
  <c r="J484" i="2"/>
  <c r="K484" i="2"/>
  <c r="U484" i="2" s="1"/>
  <c r="L484" i="2"/>
  <c r="M484" i="2"/>
  <c r="N484" i="2"/>
  <c r="O484" i="2"/>
  <c r="Z485" i="2" s="1"/>
  <c r="P484" i="2"/>
  <c r="R484" i="2"/>
  <c r="S484" i="2"/>
  <c r="T484" i="2"/>
  <c r="Y484" i="2"/>
  <c r="A485" i="2"/>
  <c r="B485" i="2"/>
  <c r="C485" i="2"/>
  <c r="D485" i="2"/>
  <c r="E485" i="2"/>
  <c r="F485" i="2"/>
  <c r="G485" i="2"/>
  <c r="H485" i="2"/>
  <c r="I485" i="2"/>
  <c r="J485" i="2"/>
  <c r="K485" i="2"/>
  <c r="U485" i="2" s="1"/>
  <c r="L485" i="2"/>
  <c r="M485" i="2"/>
  <c r="N485" i="2"/>
  <c r="O485" i="2"/>
  <c r="Z486" i="2" s="1"/>
  <c r="P485" i="2"/>
  <c r="R485" i="2"/>
  <c r="S485" i="2"/>
  <c r="T485" i="2"/>
  <c r="Y485" i="2"/>
  <c r="A486" i="2"/>
  <c r="B486" i="2"/>
  <c r="C486" i="2"/>
  <c r="D486" i="2"/>
  <c r="E486" i="2"/>
  <c r="F486" i="2"/>
  <c r="G486" i="2"/>
  <c r="H486" i="2"/>
  <c r="I486" i="2"/>
  <c r="J486" i="2"/>
  <c r="K486" i="2"/>
  <c r="U486" i="2" s="1"/>
  <c r="L486" i="2"/>
  <c r="M486" i="2"/>
  <c r="N486" i="2"/>
  <c r="O486" i="2"/>
  <c r="Z487" i="2" s="1"/>
  <c r="P486" i="2"/>
  <c r="R486" i="2"/>
  <c r="S486" i="2"/>
  <c r="T486" i="2"/>
  <c r="Y486" i="2"/>
  <c r="A487" i="2"/>
  <c r="B487" i="2"/>
  <c r="C487" i="2"/>
  <c r="D487" i="2"/>
  <c r="E487" i="2"/>
  <c r="F487" i="2"/>
  <c r="G487" i="2"/>
  <c r="H487" i="2"/>
  <c r="I487" i="2"/>
  <c r="J487" i="2"/>
  <c r="K487" i="2"/>
  <c r="U487" i="2" s="1"/>
  <c r="L487" i="2"/>
  <c r="M487" i="2"/>
  <c r="N487" i="2"/>
  <c r="O487" i="2"/>
  <c r="Z488" i="2" s="1"/>
  <c r="P487" i="2"/>
  <c r="R487" i="2"/>
  <c r="S487" i="2"/>
  <c r="T487" i="2"/>
  <c r="Y487" i="2"/>
  <c r="A488" i="2"/>
  <c r="B488" i="2"/>
  <c r="C488" i="2"/>
  <c r="D488" i="2"/>
  <c r="E488" i="2"/>
  <c r="F488" i="2"/>
  <c r="G488" i="2"/>
  <c r="H488" i="2"/>
  <c r="I488" i="2"/>
  <c r="K488" i="2"/>
  <c r="J488" i="2" s="1"/>
  <c r="L488" i="2"/>
  <c r="M488" i="2"/>
  <c r="N488" i="2"/>
  <c r="O488" i="2"/>
  <c r="P488" i="2"/>
  <c r="A489" i="2"/>
  <c r="B489" i="2"/>
  <c r="C489" i="2"/>
  <c r="D489" i="2"/>
  <c r="E489" i="2"/>
  <c r="F489" i="2"/>
  <c r="G489" i="2"/>
  <c r="H489" i="2"/>
  <c r="I489" i="2"/>
  <c r="J489" i="2"/>
  <c r="K489" i="2"/>
  <c r="U489" i="2" s="1"/>
  <c r="L489" i="2"/>
  <c r="M489" i="2"/>
  <c r="N489" i="2"/>
  <c r="O489" i="2"/>
  <c r="Z490" i="2" s="1"/>
  <c r="P489" i="2"/>
  <c r="R489" i="2"/>
  <c r="S489" i="2"/>
  <c r="T489" i="2"/>
  <c r="Y489" i="2"/>
  <c r="A490" i="2"/>
  <c r="B490" i="2"/>
  <c r="C490" i="2"/>
  <c r="D490" i="2"/>
  <c r="E490" i="2"/>
  <c r="F490" i="2"/>
  <c r="G490" i="2"/>
  <c r="H490" i="2"/>
  <c r="I490" i="2"/>
  <c r="J490" i="2"/>
  <c r="K490" i="2"/>
  <c r="U490" i="2" s="1"/>
  <c r="L490" i="2"/>
  <c r="M490" i="2"/>
  <c r="N490" i="2"/>
  <c r="O490" i="2"/>
  <c r="Z491" i="2" s="1"/>
  <c r="P490" i="2"/>
  <c r="R490" i="2"/>
  <c r="S490" i="2"/>
  <c r="T490" i="2"/>
  <c r="Y490" i="2"/>
  <c r="A491" i="2"/>
  <c r="B491" i="2"/>
  <c r="C491" i="2"/>
  <c r="D491" i="2"/>
  <c r="E491" i="2"/>
  <c r="F491" i="2"/>
  <c r="G491" i="2"/>
  <c r="H491" i="2"/>
  <c r="I491" i="2"/>
  <c r="T491" i="2" s="1"/>
  <c r="J491" i="2"/>
  <c r="K491" i="2"/>
  <c r="L491" i="2"/>
  <c r="M491" i="2"/>
  <c r="N491" i="2"/>
  <c r="O491" i="2"/>
  <c r="Z492" i="2" s="1"/>
  <c r="P491" i="2"/>
  <c r="R491" i="2"/>
  <c r="S491" i="2"/>
  <c r="Y491" i="2"/>
  <c r="A492" i="2"/>
  <c r="B492" i="2"/>
  <c r="C492" i="2"/>
  <c r="D492" i="2"/>
  <c r="E492" i="2"/>
  <c r="F492" i="2"/>
  <c r="G492" i="2"/>
  <c r="H492" i="2"/>
  <c r="I492" i="2"/>
  <c r="J492" i="2"/>
  <c r="K492" i="2"/>
  <c r="U492" i="2" s="1"/>
  <c r="L492" i="2"/>
  <c r="M492" i="2"/>
  <c r="N492" i="2"/>
  <c r="O492" i="2"/>
  <c r="Z493" i="2" s="1"/>
  <c r="P492" i="2"/>
  <c r="R492" i="2"/>
  <c r="S492" i="2"/>
  <c r="T492" i="2"/>
  <c r="Y492" i="2"/>
  <c r="A493" i="2"/>
  <c r="B493" i="2"/>
  <c r="C493" i="2"/>
  <c r="D493" i="2"/>
  <c r="E493" i="2"/>
  <c r="F493" i="2"/>
  <c r="G493" i="2"/>
  <c r="H493" i="2"/>
  <c r="I493" i="2"/>
  <c r="J493" i="2"/>
  <c r="K493" i="2"/>
  <c r="U493" i="2" s="1"/>
  <c r="L493" i="2"/>
  <c r="M493" i="2"/>
  <c r="N493" i="2"/>
  <c r="O493" i="2"/>
  <c r="Z494" i="2" s="1"/>
  <c r="P493" i="2"/>
  <c r="R493" i="2"/>
  <c r="S493" i="2"/>
  <c r="T493" i="2"/>
  <c r="Y493" i="2"/>
  <c r="A494" i="2"/>
  <c r="B494" i="2"/>
  <c r="C494" i="2"/>
  <c r="D494" i="2"/>
  <c r="E494" i="2"/>
  <c r="F494" i="2"/>
  <c r="G494" i="2"/>
  <c r="H494" i="2"/>
  <c r="I494" i="2"/>
  <c r="J494" i="2"/>
  <c r="K494" i="2"/>
  <c r="U494" i="2" s="1"/>
  <c r="L494" i="2"/>
  <c r="M494" i="2"/>
  <c r="N494" i="2"/>
  <c r="O494" i="2"/>
  <c r="P494" i="2"/>
  <c r="R494" i="2"/>
  <c r="Y494" i="2" s="1"/>
  <c r="S494" i="2"/>
  <c r="T494" i="2"/>
  <c r="A495" i="2"/>
  <c r="B495" i="2"/>
  <c r="C495" i="2"/>
  <c r="D495" i="2"/>
  <c r="E495" i="2"/>
  <c r="F495" i="2"/>
  <c r="G495" i="2"/>
  <c r="H495" i="2"/>
  <c r="I495" i="2"/>
  <c r="J495" i="2"/>
  <c r="K495" i="2"/>
  <c r="U495" i="2" s="1"/>
  <c r="L495" i="2"/>
  <c r="M495" i="2"/>
  <c r="N495" i="2"/>
  <c r="O495" i="2"/>
  <c r="Z496" i="2" s="1"/>
  <c r="P495" i="2"/>
  <c r="R495" i="2"/>
  <c r="S495" i="2"/>
  <c r="T495" i="2"/>
  <c r="Y495" i="2"/>
  <c r="A496" i="2"/>
  <c r="B496" i="2"/>
  <c r="C496" i="2"/>
  <c r="D496" i="2"/>
  <c r="E496" i="2"/>
  <c r="F496" i="2"/>
  <c r="G496" i="2"/>
  <c r="H496" i="2"/>
  <c r="I496" i="2"/>
  <c r="J496" i="2"/>
  <c r="K496" i="2"/>
  <c r="U496" i="2" s="1"/>
  <c r="L496" i="2"/>
  <c r="M496" i="2"/>
  <c r="N496" i="2"/>
  <c r="O496" i="2"/>
  <c r="P496" i="2"/>
  <c r="R496" i="2"/>
  <c r="S496" i="2"/>
  <c r="T496" i="2"/>
  <c r="Y496" i="2"/>
  <c r="K497" i="1"/>
  <c r="K496" i="1"/>
  <c r="H499" i="1"/>
  <c r="H498" i="1"/>
  <c r="H497" i="1"/>
  <c r="G496" i="1"/>
  <c r="H495" i="1"/>
  <c r="F497" i="1"/>
  <c r="E494" i="1"/>
  <c r="F493" i="1"/>
  <c r="H494" i="1"/>
  <c r="H493" i="1"/>
  <c r="H492" i="1"/>
  <c r="H491" i="1"/>
  <c r="K487" i="1"/>
  <c r="K482" i="1"/>
  <c r="K481" i="1"/>
  <c r="H485" i="1"/>
  <c r="G484" i="1"/>
  <c r="F486" i="1"/>
  <c r="D486" i="1"/>
  <c r="D489" i="1"/>
  <c r="C489" i="1"/>
  <c r="G489" i="1"/>
  <c r="H487" i="1"/>
  <c r="G486" i="1"/>
  <c r="H482" i="1"/>
  <c r="G481" i="1"/>
  <c r="F481" i="1"/>
  <c r="E481" i="1"/>
  <c r="Z475" i="2"/>
  <c r="A475" i="2"/>
  <c r="B475" i="2"/>
  <c r="C475" i="2"/>
  <c r="D475" i="2"/>
  <c r="E475" i="2"/>
  <c r="F475" i="2"/>
  <c r="G475" i="2"/>
  <c r="H475" i="2"/>
  <c r="I475" i="2"/>
  <c r="J475" i="2"/>
  <c r="K475" i="2"/>
  <c r="U475" i="2" s="1"/>
  <c r="L475" i="2"/>
  <c r="M475" i="2"/>
  <c r="N475" i="2"/>
  <c r="O475" i="2"/>
  <c r="P475" i="2"/>
  <c r="R475" i="2"/>
  <c r="S475" i="2"/>
  <c r="T475" i="2"/>
  <c r="Y475" i="2"/>
  <c r="A476" i="2"/>
  <c r="B476" i="2"/>
  <c r="C476" i="2"/>
  <c r="D476" i="2"/>
  <c r="E476" i="2"/>
  <c r="F476" i="2"/>
  <c r="G476" i="2"/>
  <c r="H476" i="2"/>
  <c r="I476" i="2"/>
  <c r="J476" i="2"/>
  <c r="K476" i="2"/>
  <c r="U476" i="2" s="1"/>
  <c r="L476" i="2"/>
  <c r="M476" i="2"/>
  <c r="N476" i="2"/>
  <c r="O476" i="2"/>
  <c r="Z477" i="2" s="1"/>
  <c r="P476" i="2"/>
  <c r="R476" i="2"/>
  <c r="S476" i="2"/>
  <c r="T476" i="2"/>
  <c r="Y476" i="2"/>
  <c r="Z476" i="2"/>
  <c r="A477" i="2"/>
  <c r="B477" i="2"/>
  <c r="C477" i="2"/>
  <c r="D477" i="2"/>
  <c r="E477" i="2"/>
  <c r="F477" i="2"/>
  <c r="G477" i="2"/>
  <c r="H477" i="2"/>
  <c r="I477" i="2"/>
  <c r="J477" i="2"/>
  <c r="K477" i="2"/>
  <c r="U477" i="2" s="1"/>
  <c r="L477" i="2"/>
  <c r="M477" i="2"/>
  <c r="N477" i="2"/>
  <c r="O477" i="2"/>
  <c r="Z478" i="2" s="1"/>
  <c r="P477" i="2"/>
  <c r="R477" i="2"/>
  <c r="S477" i="2"/>
  <c r="T477" i="2"/>
  <c r="Y477" i="2"/>
  <c r="A478" i="2"/>
  <c r="B478" i="2"/>
  <c r="C478" i="2"/>
  <c r="D478" i="2"/>
  <c r="E478" i="2"/>
  <c r="F478" i="2"/>
  <c r="G478" i="2"/>
  <c r="H478" i="2"/>
  <c r="I478" i="2"/>
  <c r="K478" i="2"/>
  <c r="J478" i="2" s="1"/>
  <c r="L478" i="2"/>
  <c r="M478" i="2"/>
  <c r="N478" i="2"/>
  <c r="O478" i="2"/>
  <c r="P478" i="2"/>
  <c r="A479" i="2"/>
  <c r="B479" i="2"/>
  <c r="C479" i="2"/>
  <c r="D479" i="2"/>
  <c r="E479" i="2"/>
  <c r="F479" i="2"/>
  <c r="G479" i="2"/>
  <c r="H479" i="2"/>
  <c r="I479" i="2"/>
  <c r="K479" i="2"/>
  <c r="J479" i="2" s="1"/>
  <c r="L479" i="2"/>
  <c r="M479" i="2"/>
  <c r="N479" i="2"/>
  <c r="O479" i="2"/>
  <c r="P479" i="2"/>
  <c r="H477" i="1"/>
  <c r="G476" i="1"/>
  <c r="H475" i="1"/>
  <c r="Z462" i="2"/>
  <c r="A465" i="2"/>
  <c r="B465" i="2"/>
  <c r="C465" i="2"/>
  <c r="D465" i="2"/>
  <c r="E465" i="2"/>
  <c r="F465" i="2"/>
  <c r="G465" i="2"/>
  <c r="H465" i="2"/>
  <c r="I465" i="2"/>
  <c r="J465" i="2"/>
  <c r="K465" i="2"/>
  <c r="U465" i="2" s="1"/>
  <c r="L465" i="2"/>
  <c r="M465" i="2"/>
  <c r="N465" i="2"/>
  <c r="O465" i="2"/>
  <c r="P465" i="2"/>
  <c r="R465" i="2"/>
  <c r="S465" i="2"/>
  <c r="T465" i="2"/>
  <c r="Y465" i="2"/>
  <c r="Z465" i="2"/>
  <c r="A466" i="2"/>
  <c r="B466" i="2"/>
  <c r="C466" i="2"/>
  <c r="D466" i="2"/>
  <c r="E466" i="2"/>
  <c r="F466" i="2"/>
  <c r="G466" i="2"/>
  <c r="H466" i="2"/>
  <c r="I466" i="2"/>
  <c r="J466" i="2"/>
  <c r="K466" i="2"/>
  <c r="U466" i="2" s="1"/>
  <c r="L466" i="2"/>
  <c r="M466" i="2"/>
  <c r="N466" i="2"/>
  <c r="O466" i="2"/>
  <c r="Z467" i="2" s="1"/>
  <c r="P466" i="2"/>
  <c r="R466" i="2"/>
  <c r="S466" i="2"/>
  <c r="T466" i="2"/>
  <c r="Y466" i="2"/>
  <c r="Z466" i="2"/>
  <c r="A467" i="2"/>
  <c r="B467" i="2"/>
  <c r="C467" i="2"/>
  <c r="D467" i="2"/>
  <c r="E467" i="2"/>
  <c r="F467" i="2"/>
  <c r="G467" i="2"/>
  <c r="H467" i="2"/>
  <c r="I467" i="2"/>
  <c r="J467" i="2"/>
  <c r="K467" i="2"/>
  <c r="U467" i="2" s="1"/>
  <c r="L467" i="2"/>
  <c r="M467" i="2"/>
  <c r="N467" i="2"/>
  <c r="O467" i="2"/>
  <c r="Z468" i="2" s="1"/>
  <c r="P467" i="2"/>
  <c r="R467" i="2"/>
  <c r="S467" i="2"/>
  <c r="T467" i="2"/>
  <c r="Y467" i="2"/>
  <c r="A468" i="2"/>
  <c r="B468" i="2"/>
  <c r="C468" i="2"/>
  <c r="D468" i="2"/>
  <c r="E468" i="2"/>
  <c r="F468" i="2"/>
  <c r="G468" i="2"/>
  <c r="H468" i="2"/>
  <c r="I468" i="2"/>
  <c r="J468" i="2"/>
  <c r="K468" i="2"/>
  <c r="U468" i="2" s="1"/>
  <c r="L468" i="2"/>
  <c r="M468" i="2"/>
  <c r="N468" i="2"/>
  <c r="O468" i="2"/>
  <c r="Z469" i="2" s="1"/>
  <c r="P468" i="2"/>
  <c r="R468" i="2"/>
  <c r="S468" i="2"/>
  <c r="T468" i="2"/>
  <c r="Y468" i="2"/>
  <c r="A469" i="2"/>
  <c r="B469" i="2"/>
  <c r="C469" i="2"/>
  <c r="D469" i="2"/>
  <c r="E469" i="2"/>
  <c r="F469" i="2"/>
  <c r="G469" i="2"/>
  <c r="H469" i="2"/>
  <c r="I469" i="2"/>
  <c r="J469" i="2"/>
  <c r="K469" i="2"/>
  <c r="U469" i="2" s="1"/>
  <c r="L469" i="2"/>
  <c r="M469" i="2"/>
  <c r="N469" i="2"/>
  <c r="O469" i="2"/>
  <c r="Z470" i="2" s="1"/>
  <c r="P469" i="2"/>
  <c r="R469" i="2"/>
  <c r="S469" i="2"/>
  <c r="T469" i="2"/>
  <c r="Y469" i="2"/>
  <c r="A470" i="2"/>
  <c r="B470" i="2"/>
  <c r="C470" i="2"/>
  <c r="D470" i="2"/>
  <c r="E470" i="2"/>
  <c r="F470" i="2"/>
  <c r="G470" i="2"/>
  <c r="H470" i="2"/>
  <c r="I470" i="2"/>
  <c r="J470" i="2"/>
  <c r="K470" i="2"/>
  <c r="U470" i="2" s="1"/>
  <c r="L470" i="2"/>
  <c r="M470" i="2"/>
  <c r="N470" i="2"/>
  <c r="O470" i="2"/>
  <c r="Z471" i="2" s="1"/>
  <c r="P470" i="2"/>
  <c r="R470" i="2"/>
  <c r="S470" i="2"/>
  <c r="T470" i="2"/>
  <c r="Y470" i="2"/>
  <c r="A471" i="2"/>
  <c r="B471" i="2"/>
  <c r="C471" i="2"/>
  <c r="D471" i="2"/>
  <c r="E471" i="2"/>
  <c r="F471" i="2"/>
  <c r="G471" i="2"/>
  <c r="H471" i="2"/>
  <c r="I471" i="2"/>
  <c r="J471" i="2"/>
  <c r="K471" i="2"/>
  <c r="U471" i="2" s="1"/>
  <c r="L471" i="2"/>
  <c r="M471" i="2"/>
  <c r="N471" i="2"/>
  <c r="O471" i="2"/>
  <c r="Z472" i="2" s="1"/>
  <c r="P471" i="2"/>
  <c r="R471" i="2"/>
  <c r="S471" i="2"/>
  <c r="T471" i="2"/>
  <c r="Y471" i="2"/>
  <c r="A472" i="2"/>
  <c r="B472" i="2"/>
  <c r="C472" i="2"/>
  <c r="D472" i="2"/>
  <c r="E472" i="2"/>
  <c r="F472" i="2"/>
  <c r="G472" i="2"/>
  <c r="H472" i="2"/>
  <c r="I472" i="2"/>
  <c r="J472" i="2"/>
  <c r="K472" i="2"/>
  <c r="U472" i="2" s="1"/>
  <c r="L472" i="2"/>
  <c r="M472" i="2"/>
  <c r="N472" i="2"/>
  <c r="O472" i="2"/>
  <c r="Z473" i="2" s="1"/>
  <c r="P472" i="2"/>
  <c r="R472" i="2"/>
  <c r="S472" i="2"/>
  <c r="T472" i="2"/>
  <c r="Y472" i="2"/>
  <c r="A473" i="2"/>
  <c r="B473" i="2"/>
  <c r="C473" i="2"/>
  <c r="D473" i="2"/>
  <c r="E473" i="2"/>
  <c r="F473" i="2"/>
  <c r="G473" i="2"/>
  <c r="H473" i="2"/>
  <c r="I473" i="2"/>
  <c r="J473" i="2"/>
  <c r="K473" i="2"/>
  <c r="L473" i="2"/>
  <c r="M473" i="2"/>
  <c r="N473" i="2"/>
  <c r="O473" i="2"/>
  <c r="P473" i="2"/>
  <c r="R473" i="2"/>
  <c r="S473" i="2"/>
  <c r="T473" i="2"/>
  <c r="Y473" i="2"/>
  <c r="A474" i="2"/>
  <c r="B474" i="2"/>
  <c r="C474" i="2"/>
  <c r="D474" i="2"/>
  <c r="E474" i="2"/>
  <c r="F474" i="2"/>
  <c r="G474" i="2"/>
  <c r="H474" i="2"/>
  <c r="I474" i="2"/>
  <c r="K474" i="2"/>
  <c r="J474" i="2" s="1"/>
  <c r="L474" i="2"/>
  <c r="M474" i="2"/>
  <c r="N474" i="2"/>
  <c r="O474" i="2"/>
  <c r="P474" i="2"/>
  <c r="Z451" i="2"/>
  <c r="Z450" i="2"/>
  <c r="W450" i="2"/>
  <c r="X450" i="2"/>
  <c r="W451" i="2"/>
  <c r="X451" i="2"/>
  <c r="Y451" i="2"/>
  <c r="U450" i="2"/>
  <c r="T450" i="2"/>
  <c r="S450" i="2"/>
  <c r="R450" i="2"/>
  <c r="K450" i="2"/>
  <c r="F459" i="3"/>
  <c r="C459" i="3"/>
  <c r="A458" i="3"/>
  <c r="B458" i="3"/>
  <c r="C458" i="3"/>
  <c r="E458" i="3"/>
  <c r="F458" i="3"/>
  <c r="A459" i="3"/>
  <c r="B459" i="3" s="1"/>
  <c r="E459" i="3"/>
  <c r="A450" i="3"/>
  <c r="B450" i="3"/>
  <c r="C450" i="3"/>
  <c r="F450" i="3"/>
  <c r="A451" i="3"/>
  <c r="B451" i="3"/>
  <c r="C451" i="3"/>
  <c r="E451" i="3"/>
  <c r="F451" i="3"/>
  <c r="A452" i="3"/>
  <c r="B452" i="3"/>
  <c r="C452" i="3"/>
  <c r="E452" i="3"/>
  <c r="F452" i="3"/>
  <c r="A453" i="3"/>
  <c r="B453" i="3"/>
  <c r="C453" i="3"/>
  <c r="E453" i="3"/>
  <c r="F453" i="3"/>
  <c r="A454" i="3"/>
  <c r="B454" i="3"/>
  <c r="C454" i="3"/>
  <c r="E454" i="3"/>
  <c r="F454" i="3"/>
  <c r="A455" i="3"/>
  <c r="B455" i="3"/>
  <c r="C455" i="3"/>
  <c r="E455" i="3"/>
  <c r="F455" i="3"/>
  <c r="A456" i="3"/>
  <c r="B456" i="3"/>
  <c r="C456" i="3"/>
  <c r="E456" i="3"/>
  <c r="F456" i="3"/>
  <c r="A457" i="3"/>
  <c r="B457" i="3"/>
  <c r="C457" i="3"/>
  <c r="E457" i="3"/>
  <c r="F457" i="3"/>
  <c r="A441" i="3"/>
  <c r="A444" i="3"/>
  <c r="B444" i="3"/>
  <c r="F444" i="3"/>
  <c r="A445" i="3"/>
  <c r="B445" i="3"/>
  <c r="C445" i="3"/>
  <c r="E445" i="3"/>
  <c r="F445" i="3"/>
  <c r="A446" i="3"/>
  <c r="B446" i="3"/>
  <c r="C446" i="3"/>
  <c r="E446" i="3"/>
  <c r="F446" i="3"/>
  <c r="A447" i="3"/>
  <c r="B447" i="3"/>
  <c r="C447" i="3"/>
  <c r="E447" i="3"/>
  <c r="F447" i="3"/>
  <c r="A448" i="3"/>
  <c r="B448" i="3"/>
  <c r="C448" i="3"/>
  <c r="E448" i="3"/>
  <c r="F448" i="3"/>
  <c r="B449" i="3"/>
  <c r="F449" i="3"/>
  <c r="F441" i="3"/>
  <c r="F442" i="3"/>
  <c r="A462" i="2"/>
  <c r="B462" i="2"/>
  <c r="C462" i="2"/>
  <c r="D462" i="2"/>
  <c r="E462" i="2"/>
  <c r="F462" i="2"/>
  <c r="G462" i="2"/>
  <c r="H462" i="2"/>
  <c r="I462" i="2"/>
  <c r="J462" i="2"/>
  <c r="K462" i="2"/>
  <c r="L462" i="2"/>
  <c r="M462" i="2"/>
  <c r="N462" i="2"/>
  <c r="O462" i="2"/>
  <c r="P462" i="2"/>
  <c r="R462" i="2"/>
  <c r="S462" i="2"/>
  <c r="T462" i="2"/>
  <c r="U462" i="2"/>
  <c r="W462" i="2" s="1"/>
  <c r="X462" i="2"/>
  <c r="Y462" i="2"/>
  <c r="A463" i="2"/>
  <c r="B463" i="2"/>
  <c r="C463" i="2"/>
  <c r="D463" i="2"/>
  <c r="E463" i="2"/>
  <c r="F463" i="2"/>
  <c r="G463" i="2"/>
  <c r="H463" i="2"/>
  <c r="I463" i="2"/>
  <c r="J463" i="2"/>
  <c r="K463" i="2"/>
  <c r="U463" i="2" s="1"/>
  <c r="L463" i="2"/>
  <c r="M463" i="2"/>
  <c r="N463" i="2"/>
  <c r="O463" i="2"/>
  <c r="Z464" i="2" s="1"/>
  <c r="P463" i="2"/>
  <c r="R463" i="2"/>
  <c r="S463" i="2"/>
  <c r="T463" i="2"/>
  <c r="Y463" i="2"/>
  <c r="Z463" i="2"/>
  <c r="A464" i="2"/>
  <c r="B464" i="2"/>
  <c r="C464" i="2"/>
  <c r="D464" i="2"/>
  <c r="E464" i="2"/>
  <c r="F464" i="2"/>
  <c r="G464" i="2"/>
  <c r="H464" i="2"/>
  <c r="I464" i="2"/>
  <c r="J464" i="2"/>
  <c r="K464" i="2"/>
  <c r="U464" i="2" s="1"/>
  <c r="L464" i="2"/>
  <c r="M464" i="2"/>
  <c r="N464" i="2"/>
  <c r="O464" i="2"/>
  <c r="P464" i="2"/>
  <c r="R464" i="2"/>
  <c r="S464" i="2"/>
  <c r="T464" i="2"/>
  <c r="Y464" i="2"/>
  <c r="Z454" i="2"/>
  <c r="A451" i="2"/>
  <c r="B450" i="2"/>
  <c r="A450" i="2"/>
  <c r="L453" i="2"/>
  <c r="A447" i="2"/>
  <c r="B447" i="2"/>
  <c r="C447" i="2"/>
  <c r="D447" i="2"/>
  <c r="E447" i="2"/>
  <c r="F447" i="2"/>
  <c r="G447" i="2"/>
  <c r="H447" i="2"/>
  <c r="I447" i="2"/>
  <c r="J447" i="2"/>
  <c r="K447" i="2"/>
  <c r="L447" i="2"/>
  <c r="M447" i="2"/>
  <c r="N447" i="2"/>
  <c r="O447" i="2"/>
  <c r="P447" i="2"/>
  <c r="R447" i="2"/>
  <c r="S447" i="2"/>
  <c r="Y447" i="2" s="1"/>
  <c r="T447" i="2"/>
  <c r="U447" i="2"/>
  <c r="W447" i="2" s="1"/>
  <c r="X447" i="2"/>
  <c r="Z447" i="2"/>
  <c r="A448" i="2"/>
  <c r="B448" i="2"/>
  <c r="C448" i="2"/>
  <c r="D448" i="2"/>
  <c r="E448" i="2"/>
  <c r="F448" i="2"/>
  <c r="G448" i="2"/>
  <c r="H448" i="2"/>
  <c r="I448" i="2"/>
  <c r="J448" i="2"/>
  <c r="K448" i="2"/>
  <c r="L448" i="2"/>
  <c r="M448" i="2"/>
  <c r="N448" i="2"/>
  <c r="O448" i="2"/>
  <c r="P448" i="2"/>
  <c r="R448" i="2"/>
  <c r="S448" i="2"/>
  <c r="T448" i="2"/>
  <c r="U448" i="2"/>
  <c r="W448" i="2" s="1"/>
  <c r="X448" i="2"/>
  <c r="Y448" i="2"/>
  <c r="Z448" i="2"/>
  <c r="A449" i="2"/>
  <c r="B449" i="2"/>
  <c r="C449" i="2"/>
  <c r="D449" i="2"/>
  <c r="E449" i="2"/>
  <c r="F449" i="2"/>
  <c r="G449" i="2"/>
  <c r="H449" i="2"/>
  <c r="I449" i="2"/>
  <c r="J449" i="2"/>
  <c r="K449" i="2"/>
  <c r="L449" i="2"/>
  <c r="M449" i="2"/>
  <c r="N449" i="2"/>
  <c r="O449" i="2"/>
  <c r="P449" i="2"/>
  <c r="Z449" i="2"/>
  <c r="C450" i="2"/>
  <c r="D450" i="2"/>
  <c r="E450" i="2"/>
  <c r="F450" i="2"/>
  <c r="G450" i="2"/>
  <c r="H450" i="2"/>
  <c r="I450" i="2"/>
  <c r="L450" i="2"/>
  <c r="M450" i="2"/>
  <c r="N450" i="2"/>
  <c r="O450" i="2"/>
  <c r="P450" i="2"/>
  <c r="B451" i="2"/>
  <c r="C451" i="2"/>
  <c r="D451" i="2"/>
  <c r="E451" i="2"/>
  <c r="F451" i="2"/>
  <c r="G451" i="2"/>
  <c r="H451" i="2"/>
  <c r="I451" i="2"/>
  <c r="J451" i="2"/>
  <c r="K451" i="2"/>
  <c r="L451" i="2"/>
  <c r="M451" i="2"/>
  <c r="N451" i="2"/>
  <c r="O451" i="2"/>
  <c r="P451" i="2"/>
  <c r="R451" i="2"/>
  <c r="S451" i="2"/>
  <c r="T451" i="2"/>
  <c r="U451" i="2"/>
  <c r="A452" i="2"/>
  <c r="B452" i="2"/>
  <c r="C452" i="2"/>
  <c r="D452" i="2"/>
  <c r="E452" i="2"/>
  <c r="F452" i="2"/>
  <c r="G452" i="2"/>
  <c r="H452" i="2"/>
  <c r="I452" i="2"/>
  <c r="J452" i="2"/>
  <c r="W452" i="2" s="1"/>
  <c r="K452" i="2"/>
  <c r="L452" i="2"/>
  <c r="M452" i="2"/>
  <c r="N452" i="2"/>
  <c r="O452" i="2"/>
  <c r="P452" i="2"/>
  <c r="R452" i="2"/>
  <c r="S452" i="2"/>
  <c r="T452" i="2"/>
  <c r="U452" i="2"/>
  <c r="X452" i="2"/>
  <c r="Y452" i="2"/>
  <c r="Z452" i="2"/>
  <c r="A453" i="2"/>
  <c r="B453" i="2"/>
  <c r="C453" i="2"/>
  <c r="D453" i="2"/>
  <c r="E453" i="2"/>
  <c r="F453" i="2"/>
  <c r="G453" i="2"/>
  <c r="H453" i="2"/>
  <c r="I453" i="2"/>
  <c r="J453" i="2"/>
  <c r="X453" i="2" s="1"/>
  <c r="M453" i="2"/>
  <c r="N453" i="2"/>
  <c r="O453" i="2"/>
  <c r="P453" i="2"/>
  <c r="R453" i="2"/>
  <c r="S453" i="2"/>
  <c r="Y453" i="2" s="1"/>
  <c r="T453" i="2"/>
  <c r="U453" i="2"/>
  <c r="Z453" i="2"/>
  <c r="A454" i="2"/>
  <c r="B454" i="2"/>
  <c r="C454" i="2"/>
  <c r="D454" i="2"/>
  <c r="E454" i="2"/>
  <c r="F454" i="2"/>
  <c r="G454" i="2"/>
  <c r="H454" i="2"/>
  <c r="I454" i="2"/>
  <c r="J454" i="2"/>
  <c r="W454" i="2" s="1"/>
  <c r="K454" i="2"/>
  <c r="L454" i="2"/>
  <c r="M454" i="2"/>
  <c r="N454" i="2"/>
  <c r="O454" i="2"/>
  <c r="P454" i="2"/>
  <c r="R454" i="2"/>
  <c r="S454" i="2"/>
  <c r="T454" i="2"/>
  <c r="U454" i="2"/>
  <c r="X454" i="2"/>
  <c r="Y454" i="2"/>
  <c r="A455" i="2"/>
  <c r="B455" i="2"/>
  <c r="C455" i="2"/>
  <c r="D455" i="2"/>
  <c r="E455" i="2"/>
  <c r="F455" i="2"/>
  <c r="G455" i="2"/>
  <c r="H455" i="2"/>
  <c r="I455" i="2"/>
  <c r="J455" i="2"/>
  <c r="W455" i="2" s="1"/>
  <c r="K455" i="2"/>
  <c r="L455" i="2"/>
  <c r="M455" i="2"/>
  <c r="N455" i="2"/>
  <c r="O455" i="2"/>
  <c r="P455" i="2"/>
  <c r="R455" i="2"/>
  <c r="S455" i="2"/>
  <c r="Y455" i="2" s="1"/>
  <c r="T455" i="2"/>
  <c r="U455" i="2"/>
  <c r="X455" i="2"/>
  <c r="Z455" i="2"/>
  <c r="A456" i="2"/>
  <c r="B456" i="2"/>
  <c r="C456" i="2"/>
  <c r="D456" i="2"/>
  <c r="E456" i="2"/>
  <c r="F456" i="2"/>
  <c r="G456" i="2"/>
  <c r="H456" i="2"/>
  <c r="I456" i="2"/>
  <c r="J456" i="2"/>
  <c r="W456" i="2" s="1"/>
  <c r="K456" i="2"/>
  <c r="L456" i="2"/>
  <c r="M456" i="2"/>
  <c r="N456" i="2"/>
  <c r="O456" i="2"/>
  <c r="P456" i="2"/>
  <c r="R456" i="2"/>
  <c r="S456" i="2"/>
  <c r="T456" i="2"/>
  <c r="U456" i="2"/>
  <c r="X456" i="2"/>
  <c r="Z456" i="2"/>
  <c r="A457" i="2"/>
  <c r="B457" i="2"/>
  <c r="C457" i="2"/>
  <c r="D457" i="2"/>
  <c r="E457" i="2"/>
  <c r="F457" i="2"/>
  <c r="G457" i="2"/>
  <c r="H457" i="2"/>
  <c r="I457" i="2"/>
  <c r="J457" i="2"/>
  <c r="W457" i="2" s="1"/>
  <c r="K457" i="2"/>
  <c r="L457" i="2"/>
  <c r="M457" i="2"/>
  <c r="N457" i="2"/>
  <c r="O457" i="2"/>
  <c r="P457" i="2"/>
  <c r="R457" i="2"/>
  <c r="S457" i="2"/>
  <c r="Y457" i="2" s="1"/>
  <c r="T457" i="2"/>
  <c r="U457" i="2"/>
  <c r="X457" i="2"/>
  <c r="Z457" i="2"/>
  <c r="A458" i="2"/>
  <c r="B458" i="2"/>
  <c r="C458" i="2"/>
  <c r="D458" i="2"/>
  <c r="E458" i="2"/>
  <c r="F458" i="2"/>
  <c r="G458" i="2"/>
  <c r="H458" i="2"/>
  <c r="I458" i="2"/>
  <c r="J458" i="2"/>
  <c r="W458" i="2" s="1"/>
  <c r="K458" i="2"/>
  <c r="L458" i="2"/>
  <c r="M458" i="2"/>
  <c r="N458" i="2"/>
  <c r="O458" i="2"/>
  <c r="P458" i="2"/>
  <c r="R458" i="2"/>
  <c r="S458" i="2"/>
  <c r="T458" i="2"/>
  <c r="U458" i="2"/>
  <c r="X458" i="2" s="1"/>
  <c r="Y458" i="2"/>
  <c r="Z458" i="2"/>
  <c r="A459" i="2"/>
  <c r="B459" i="2"/>
  <c r="C459" i="2"/>
  <c r="D459" i="2"/>
  <c r="E459" i="2"/>
  <c r="F459" i="2"/>
  <c r="G459" i="2"/>
  <c r="H459" i="2"/>
  <c r="I459" i="2"/>
  <c r="J459" i="2"/>
  <c r="K459" i="2"/>
  <c r="L459" i="2"/>
  <c r="M459" i="2"/>
  <c r="N459" i="2"/>
  <c r="O459" i="2"/>
  <c r="P459" i="2"/>
  <c r="R459" i="2"/>
  <c r="S459" i="2"/>
  <c r="T459" i="2"/>
  <c r="U459" i="2"/>
  <c r="Y459" i="2"/>
  <c r="Z459" i="2"/>
  <c r="A461" i="2"/>
  <c r="B461" i="2"/>
  <c r="C461" i="2"/>
  <c r="D461" i="2"/>
  <c r="E461" i="2"/>
  <c r="F461" i="2"/>
  <c r="G461" i="2"/>
  <c r="H461" i="2"/>
  <c r="I461" i="2"/>
  <c r="J461" i="2"/>
  <c r="K461" i="2"/>
  <c r="L461" i="2"/>
  <c r="M461" i="2"/>
  <c r="Z445" i="2"/>
  <c r="W446" i="2"/>
  <c r="X446" i="2"/>
  <c r="Y446" i="2"/>
  <c r="Z446" i="2"/>
  <c r="Y445" i="2"/>
  <c r="X445" i="2"/>
  <c r="W445" i="2"/>
  <c r="A442" i="2"/>
  <c r="B442" i="2"/>
  <c r="C442" i="2"/>
  <c r="D442" i="2"/>
  <c r="E442" i="2"/>
  <c r="F442" i="2"/>
  <c r="G442" i="2"/>
  <c r="H442" i="2"/>
  <c r="I442" i="2"/>
  <c r="K442" i="2"/>
  <c r="J442" i="2" s="1"/>
  <c r="L442" i="2"/>
  <c r="M442" i="2"/>
  <c r="N442" i="2"/>
  <c r="O442" i="2"/>
  <c r="P442" i="2"/>
  <c r="A443" i="2"/>
  <c r="A443" i="3" s="1"/>
  <c r="B443" i="2"/>
  <c r="B443" i="3" s="1"/>
  <c r="C443" i="2"/>
  <c r="D443" i="2"/>
  <c r="E443" i="2"/>
  <c r="F443" i="2"/>
  <c r="G443" i="2"/>
  <c r="H443" i="2"/>
  <c r="I443" i="2"/>
  <c r="K443" i="2"/>
  <c r="J443" i="2" s="1"/>
  <c r="L443" i="2"/>
  <c r="M443" i="2"/>
  <c r="N443" i="2"/>
  <c r="O443" i="2"/>
  <c r="P443" i="2"/>
  <c r="A444" i="2"/>
  <c r="B444" i="2"/>
  <c r="C444" i="2"/>
  <c r="D444" i="2"/>
  <c r="E444" i="2"/>
  <c r="F444" i="2"/>
  <c r="G444" i="2"/>
  <c r="H444" i="2"/>
  <c r="I444" i="2"/>
  <c r="J444" i="2"/>
  <c r="K444" i="2"/>
  <c r="L444" i="2"/>
  <c r="M444" i="2"/>
  <c r="N444" i="2"/>
  <c r="O444" i="2"/>
  <c r="P444" i="2"/>
  <c r="A445" i="2"/>
  <c r="B445" i="2"/>
  <c r="C445" i="2"/>
  <c r="D445" i="2"/>
  <c r="E445" i="2"/>
  <c r="F445" i="2"/>
  <c r="G445" i="2"/>
  <c r="H445" i="2"/>
  <c r="I445" i="2"/>
  <c r="J445" i="2"/>
  <c r="K445" i="2"/>
  <c r="L445" i="2"/>
  <c r="M445" i="2"/>
  <c r="N445" i="2"/>
  <c r="O445" i="2"/>
  <c r="P445" i="2"/>
  <c r="R445" i="2"/>
  <c r="S445" i="2"/>
  <c r="T445" i="2"/>
  <c r="U445" i="2"/>
  <c r="A446" i="2"/>
  <c r="B446" i="2"/>
  <c r="C446" i="2"/>
  <c r="D446" i="2"/>
  <c r="E446" i="2"/>
  <c r="F446" i="2"/>
  <c r="G446" i="2"/>
  <c r="H446" i="2"/>
  <c r="I446" i="2"/>
  <c r="J446" i="2"/>
  <c r="K446" i="2"/>
  <c r="U446" i="2" s="1"/>
  <c r="L446" i="2"/>
  <c r="M446" i="2"/>
  <c r="N446" i="2"/>
  <c r="O446" i="2"/>
  <c r="P446" i="2"/>
  <c r="R446" i="2"/>
  <c r="S446" i="2"/>
  <c r="T446" i="2"/>
  <c r="W501" i="2" l="1"/>
  <c r="X501" i="2"/>
  <c r="W491" i="2"/>
  <c r="X491" i="2"/>
  <c r="W490" i="2"/>
  <c r="X490" i="2"/>
  <c r="W489" i="2"/>
  <c r="X489" i="2"/>
  <c r="X496" i="2"/>
  <c r="W496" i="2"/>
  <c r="X495" i="2"/>
  <c r="W495" i="2"/>
  <c r="X494" i="2"/>
  <c r="W494" i="2"/>
  <c r="W493" i="2"/>
  <c r="X493" i="2"/>
  <c r="W492" i="2"/>
  <c r="X492" i="2"/>
  <c r="W487" i="2"/>
  <c r="X487" i="2"/>
  <c r="W486" i="2"/>
  <c r="X486" i="2"/>
  <c r="W485" i="2"/>
  <c r="X485" i="2"/>
  <c r="W484" i="2"/>
  <c r="X484" i="2"/>
  <c r="W476" i="2"/>
  <c r="X476" i="2"/>
  <c r="W477" i="2"/>
  <c r="X477" i="2"/>
  <c r="W475" i="2"/>
  <c r="X475" i="2"/>
  <c r="X471" i="2"/>
  <c r="W471" i="2"/>
  <c r="W466" i="2"/>
  <c r="X466" i="2"/>
  <c r="W473" i="2"/>
  <c r="X473" i="2"/>
  <c r="X472" i="2"/>
  <c r="W472" i="2"/>
  <c r="W470" i="2"/>
  <c r="X470" i="2"/>
  <c r="W469" i="2"/>
  <c r="X469" i="2"/>
  <c r="W468" i="2"/>
  <c r="X468" i="2"/>
  <c r="W467" i="2"/>
  <c r="X467" i="2"/>
  <c r="W465" i="2"/>
  <c r="X465" i="2"/>
  <c r="E450" i="3"/>
  <c r="W463" i="2"/>
  <c r="X463" i="2"/>
  <c r="X464" i="2"/>
  <c r="W464" i="2"/>
  <c r="W453" i="2"/>
  <c r="K469" i="1"/>
  <c r="K464" i="1"/>
  <c r="H473" i="1"/>
  <c r="H471" i="1"/>
  <c r="H469" i="1"/>
  <c r="H467" i="1"/>
  <c r="H465" i="1"/>
  <c r="H463" i="1"/>
  <c r="G472" i="1"/>
  <c r="G470" i="1"/>
  <c r="G468" i="1"/>
  <c r="G466" i="1"/>
  <c r="G464" i="1"/>
  <c r="G462" i="1"/>
  <c r="E471" i="1"/>
  <c r="E470" i="1"/>
  <c r="K455" i="1"/>
  <c r="K454" i="1"/>
  <c r="K451" i="1"/>
  <c r="H459" i="1"/>
  <c r="H458" i="1"/>
  <c r="G457" i="1"/>
  <c r="H456" i="1"/>
  <c r="G456" i="1"/>
  <c r="G455" i="1"/>
  <c r="H454" i="1"/>
  <c r="G453" i="1"/>
  <c r="H452" i="1"/>
  <c r="G451" i="1"/>
  <c r="F459" i="1"/>
  <c r="E459" i="1"/>
  <c r="K448" i="1"/>
  <c r="K447" i="1"/>
  <c r="H448" i="1"/>
  <c r="G447" i="1"/>
  <c r="H446" i="1"/>
  <c r="G445" i="1"/>
  <c r="F446" i="1"/>
  <c r="E448" i="1"/>
  <c r="C40" i="6" l="1"/>
  <c r="C21" i="6"/>
  <c r="C20" i="6"/>
  <c r="C19" i="6"/>
  <c r="C18" i="6"/>
  <c r="C17" i="6"/>
  <c r="C16" i="6"/>
  <c r="C15" i="6"/>
  <c r="C14" i="6"/>
  <c r="C13" i="6"/>
  <c r="F472" i="4"/>
  <c r="L450" i="4"/>
  <c r="K450" i="4"/>
  <c r="J450" i="4"/>
  <c r="J451" i="4"/>
  <c r="J449" i="4"/>
  <c r="J446" i="4" l="1"/>
  <c r="C445" i="4"/>
  <c r="L445" i="4" s="1"/>
  <c r="K490" i="4"/>
  <c r="J501" i="4"/>
  <c r="K501" i="4"/>
  <c r="L501" i="4"/>
  <c r="M501" i="4"/>
  <c r="N501" i="4"/>
  <c r="O501" i="4"/>
  <c r="P501" i="4"/>
  <c r="J502" i="4"/>
  <c r="K502" i="4"/>
  <c r="L502" i="4"/>
  <c r="M502" i="4"/>
  <c r="N502" i="4"/>
  <c r="O502" i="4"/>
  <c r="P502" i="4"/>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6" i="3"/>
  <c r="F7" i="3"/>
  <c r="F8" i="3"/>
  <c r="F9" i="3"/>
  <c r="F10" i="3"/>
  <c r="F11" i="3"/>
  <c r="F12" i="3"/>
  <c r="F13" i="3"/>
  <c r="F5" i="3"/>
  <c r="A391" i="3"/>
  <c r="A439" i="3"/>
  <c r="A430" i="3"/>
  <c r="Z431" i="2"/>
  <c r="Z415" i="2"/>
  <c r="U438" i="2"/>
  <c r="U437" i="2"/>
  <c r="U436" i="2"/>
  <c r="U435" i="2"/>
  <c r="U434" i="2"/>
  <c r="U433" i="2"/>
  <c r="U432" i="2"/>
  <c r="U431" i="2"/>
  <c r="U428" i="2"/>
  <c r="U427" i="2"/>
  <c r="U426" i="2"/>
  <c r="U425" i="2"/>
  <c r="U424" i="2"/>
  <c r="U423" i="2"/>
  <c r="U422" i="2"/>
  <c r="U421" i="2"/>
  <c r="U420" i="2"/>
  <c r="U419" i="2"/>
  <c r="U418" i="2"/>
  <c r="U417" i="2"/>
  <c r="U416" i="2"/>
  <c r="U415" i="2"/>
  <c r="U6" i="2"/>
  <c r="U5" i="2"/>
  <c r="U9" i="2"/>
  <c r="U8" i="2"/>
  <c r="U19" i="2"/>
  <c r="U18" i="2"/>
  <c r="U17" i="2"/>
  <c r="U16" i="2"/>
  <c r="U15" i="2"/>
  <c r="U14" i="2"/>
  <c r="U13" i="2"/>
  <c r="U12" i="2"/>
  <c r="U23" i="2"/>
  <c r="U27" i="2"/>
  <c r="U30" i="2"/>
  <c r="U39" i="2"/>
  <c r="U38" i="2"/>
  <c r="U37" i="2"/>
  <c r="U43" i="2"/>
  <c r="U42" i="2"/>
  <c r="U41" i="2"/>
  <c r="U45" i="2"/>
  <c r="U47" i="2"/>
  <c r="U60" i="2"/>
  <c r="U59" i="2"/>
  <c r="U58" i="2"/>
  <c r="U57" i="2"/>
  <c r="U56" i="2"/>
  <c r="U55" i="2"/>
  <c r="U54" i="2"/>
  <c r="U53" i="2"/>
  <c r="U52" i="2"/>
  <c r="U51" i="2"/>
  <c r="U50" i="2"/>
  <c r="U49" i="2"/>
  <c r="U63" i="2"/>
  <c r="U62" i="2"/>
  <c r="U67" i="2"/>
  <c r="U66" i="2"/>
  <c r="U65" i="2"/>
  <c r="U82" i="2"/>
  <c r="U81" i="2"/>
  <c r="U80" i="2"/>
  <c r="U79" i="2"/>
  <c r="U78" i="2"/>
  <c r="U77" i="2"/>
  <c r="U76" i="2"/>
  <c r="U75" i="2"/>
  <c r="U74" i="2"/>
  <c r="U73" i="2"/>
  <c r="U72" i="2"/>
  <c r="U71" i="2"/>
  <c r="U97" i="2"/>
  <c r="U96" i="2"/>
  <c r="U95" i="2"/>
  <c r="U94" i="2"/>
  <c r="U93" i="2"/>
  <c r="U92" i="2"/>
  <c r="U91" i="2"/>
  <c r="U90" i="2"/>
  <c r="U89" i="2"/>
  <c r="U88" i="2"/>
  <c r="U87" i="2"/>
  <c r="U86" i="2"/>
  <c r="U113" i="2"/>
  <c r="U112" i="2"/>
  <c r="U111" i="2"/>
  <c r="U110" i="2"/>
  <c r="U109" i="2"/>
  <c r="U108" i="2"/>
  <c r="U107" i="2"/>
  <c r="U106" i="2"/>
  <c r="U105" i="2"/>
  <c r="U104" i="2"/>
  <c r="U103" i="2"/>
  <c r="U102" i="2"/>
  <c r="U101" i="2"/>
  <c r="U115" i="2"/>
  <c r="U117" i="2"/>
  <c r="U120" i="2"/>
  <c r="U119" i="2"/>
  <c r="U140" i="2"/>
  <c r="U139" i="2"/>
  <c r="U138" i="2"/>
  <c r="U137" i="2"/>
  <c r="U136" i="2"/>
  <c r="U135" i="2"/>
  <c r="U134" i="2"/>
  <c r="U133" i="2"/>
  <c r="U132" i="2"/>
  <c r="U131" i="2"/>
  <c r="U130" i="2"/>
  <c r="U129" i="2"/>
  <c r="U128" i="2"/>
  <c r="U127" i="2"/>
  <c r="U126" i="2"/>
  <c r="U125" i="2"/>
  <c r="U124" i="2"/>
  <c r="U123" i="2"/>
  <c r="U161" i="2"/>
  <c r="U160" i="2"/>
  <c r="U159" i="2"/>
  <c r="U158" i="2"/>
  <c r="U157" i="2"/>
  <c r="U156" i="2"/>
  <c r="U155" i="2"/>
  <c r="U154" i="2"/>
  <c r="U153" i="2"/>
  <c r="U152" i="2"/>
  <c r="U151" i="2"/>
  <c r="U150" i="2"/>
  <c r="U149" i="2"/>
  <c r="U148" i="2"/>
  <c r="U147" i="2"/>
  <c r="U146" i="2"/>
  <c r="U145" i="2"/>
  <c r="U182" i="2"/>
  <c r="U181" i="2"/>
  <c r="U180" i="2"/>
  <c r="U179" i="2"/>
  <c r="U178" i="2"/>
  <c r="U177" i="2"/>
  <c r="U176" i="2"/>
  <c r="U175" i="2"/>
  <c r="U174" i="2"/>
  <c r="U173" i="2"/>
  <c r="U172" i="2"/>
  <c r="U171" i="2"/>
  <c r="U170" i="2"/>
  <c r="U169" i="2"/>
  <c r="U168" i="2"/>
  <c r="U167" i="2"/>
  <c r="U166" i="2"/>
  <c r="U165" i="2"/>
  <c r="U185" i="2"/>
  <c r="U184" i="2"/>
  <c r="U209" i="2"/>
  <c r="U208" i="2"/>
  <c r="U207" i="2"/>
  <c r="U206" i="2"/>
  <c r="U205" i="2"/>
  <c r="U204" i="2"/>
  <c r="U203" i="2"/>
  <c r="U202" i="2"/>
  <c r="U201" i="2"/>
  <c r="U200" i="2"/>
  <c r="U199" i="2"/>
  <c r="U198" i="2"/>
  <c r="U197" i="2"/>
  <c r="U196" i="2"/>
  <c r="U195" i="2"/>
  <c r="U194" i="2"/>
  <c r="U193" i="2"/>
  <c r="U192" i="2"/>
  <c r="U191" i="2"/>
  <c r="U190" i="2"/>
  <c r="U226" i="2"/>
  <c r="U225" i="2"/>
  <c r="U224" i="2"/>
  <c r="U223" i="2"/>
  <c r="U222" i="2"/>
  <c r="U221" i="2"/>
  <c r="U220" i="2"/>
  <c r="U219" i="2"/>
  <c r="U218" i="2"/>
  <c r="U217" i="2"/>
  <c r="U216" i="2"/>
  <c r="U215" i="2"/>
  <c r="U214" i="2"/>
  <c r="U213" i="2"/>
  <c r="U212" i="2"/>
  <c r="U211" i="2"/>
  <c r="U228" i="2"/>
  <c r="U238" i="2"/>
  <c r="U237" i="2"/>
  <c r="U236" i="2"/>
  <c r="U235" i="2"/>
  <c r="U234" i="2"/>
  <c r="U233" i="2"/>
  <c r="U246" i="2"/>
  <c r="U245" i="2"/>
  <c r="U244" i="2"/>
  <c r="U243" i="2"/>
  <c r="U242" i="2"/>
  <c r="U241" i="2"/>
  <c r="U240" i="2"/>
  <c r="U250" i="2"/>
  <c r="U249" i="2"/>
  <c r="U253" i="2"/>
  <c r="U252" i="2"/>
  <c r="U271" i="2"/>
  <c r="U270" i="2"/>
  <c r="U269" i="2"/>
  <c r="U268" i="2"/>
  <c r="U267" i="2"/>
  <c r="U266" i="2"/>
  <c r="U265" i="2"/>
  <c r="U264" i="2"/>
  <c r="U263" i="2"/>
  <c r="U262" i="2"/>
  <c r="U261" i="2"/>
  <c r="U260" i="2"/>
  <c r="U259" i="2"/>
  <c r="U258" i="2"/>
  <c r="U257" i="2"/>
  <c r="U256" i="2"/>
  <c r="U255" i="2"/>
  <c r="U276" i="2"/>
  <c r="U275" i="2"/>
  <c r="U274" i="2"/>
  <c r="U273" i="2"/>
  <c r="U303" i="2"/>
  <c r="U302" i="2"/>
  <c r="U301" i="2"/>
  <c r="U300" i="2"/>
  <c r="U299" i="2"/>
  <c r="U298" i="2"/>
  <c r="U297" i="2"/>
  <c r="U296" i="2"/>
  <c r="U295" i="2"/>
  <c r="U294" i="2"/>
  <c r="U293" i="2"/>
  <c r="U292" i="2"/>
  <c r="U291" i="2"/>
  <c r="U290" i="2"/>
  <c r="U289" i="2"/>
  <c r="U288" i="2"/>
  <c r="U287" i="2"/>
  <c r="U286" i="2"/>
  <c r="U285" i="2"/>
  <c r="U306" i="2"/>
  <c r="U305" i="2"/>
  <c r="U317" i="2"/>
  <c r="U316" i="2"/>
  <c r="U315" i="2"/>
  <c r="U314" i="2"/>
  <c r="U313" i="2"/>
  <c r="U325" i="2"/>
  <c r="U324" i="2"/>
  <c r="U323" i="2"/>
  <c r="U322" i="2"/>
  <c r="U321" i="2"/>
  <c r="U332" i="2"/>
  <c r="U331" i="2"/>
  <c r="U330" i="2"/>
  <c r="U329" i="2"/>
  <c r="U328" i="2"/>
  <c r="U327" i="2"/>
  <c r="U335"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81" i="2"/>
  <c r="U380" i="2"/>
  <c r="U379" i="2"/>
  <c r="U378" i="2"/>
  <c r="U377" i="2"/>
  <c r="U376" i="2"/>
  <c r="U375" i="2"/>
  <c r="U374" i="2"/>
  <c r="U373" i="2"/>
  <c r="U372" i="2"/>
  <c r="U371" i="2"/>
  <c r="U370" i="2"/>
  <c r="U369" i="2"/>
  <c r="U368" i="2"/>
  <c r="U367" i="2"/>
  <c r="U387" i="2"/>
  <c r="U386" i="2"/>
  <c r="U385" i="2"/>
  <c r="U384" i="2"/>
  <c r="U383" i="2"/>
  <c r="U392" i="2"/>
  <c r="U391" i="2"/>
  <c r="U409" i="2"/>
  <c r="U408" i="2"/>
  <c r="U407" i="2"/>
  <c r="W407" i="2" s="1"/>
  <c r="U406" i="2"/>
  <c r="W406" i="2" s="1"/>
  <c r="U405" i="2"/>
  <c r="U404" i="2"/>
  <c r="U403" i="2"/>
  <c r="X403" i="2" s="1"/>
  <c r="U402" i="2"/>
  <c r="W402" i="2" s="1"/>
  <c r="U401" i="2"/>
  <c r="U400" i="2"/>
  <c r="U399" i="2"/>
  <c r="X399" i="2" s="1"/>
  <c r="U398" i="2"/>
  <c r="W398" i="2" s="1"/>
  <c r="U397" i="2"/>
  <c r="U396" i="2"/>
  <c r="U395" i="2"/>
  <c r="X395" i="2" s="1"/>
  <c r="U394" i="2"/>
  <c r="W394" i="2" s="1"/>
  <c r="U411" i="2"/>
  <c r="U412" i="2"/>
  <c r="U413" i="2"/>
  <c r="U414" i="2"/>
  <c r="A494" i="4"/>
  <c r="J494" i="4" s="1"/>
  <c r="B494" i="4"/>
  <c r="K494" i="4" s="1"/>
  <c r="C494" i="4"/>
  <c r="L494" i="4" s="1"/>
  <c r="D494" i="4"/>
  <c r="M494" i="4" s="1"/>
  <c r="E494" i="4"/>
  <c r="F494" i="4"/>
  <c r="G494" i="4"/>
  <c r="H494" i="4"/>
  <c r="P494" i="4" s="1"/>
  <c r="A495" i="4"/>
  <c r="J495" i="4" s="1"/>
  <c r="B495" i="4"/>
  <c r="K495" i="4" s="1"/>
  <c r="C495" i="4"/>
  <c r="L495" i="4" s="1"/>
  <c r="D495" i="4"/>
  <c r="M495" i="4" s="1"/>
  <c r="E495" i="4"/>
  <c r="N495" i="4" s="1"/>
  <c r="F495" i="4"/>
  <c r="G495" i="4"/>
  <c r="H495" i="4"/>
  <c r="P495" i="4" s="1"/>
  <c r="A496" i="4"/>
  <c r="J496" i="4" s="1"/>
  <c r="B496" i="4"/>
  <c r="K496" i="4" s="1"/>
  <c r="C496" i="4"/>
  <c r="L496" i="4" s="1"/>
  <c r="D496" i="4"/>
  <c r="M496" i="4" s="1"/>
  <c r="E496" i="4"/>
  <c r="N496" i="4" s="1"/>
  <c r="F496" i="4"/>
  <c r="G496" i="4"/>
  <c r="H496" i="4"/>
  <c r="P496" i="4" s="1"/>
  <c r="A497" i="4"/>
  <c r="J497" i="4" s="1"/>
  <c r="B497" i="4"/>
  <c r="C497" i="4"/>
  <c r="D497" i="4"/>
  <c r="E497" i="4"/>
  <c r="F497" i="4"/>
  <c r="G497" i="4"/>
  <c r="H497" i="4"/>
  <c r="P497" i="4" s="1"/>
  <c r="A499" i="4"/>
  <c r="J499" i="4" s="1"/>
  <c r="B499" i="4"/>
  <c r="K499" i="4" s="1"/>
  <c r="C499" i="4"/>
  <c r="L499" i="4" s="1"/>
  <c r="D499" i="4"/>
  <c r="E499" i="4"/>
  <c r="N499" i="4" s="1"/>
  <c r="F499" i="4"/>
  <c r="G499" i="4"/>
  <c r="H499" i="4"/>
  <c r="P499" i="4" s="1"/>
  <c r="A500" i="4"/>
  <c r="J500" i="4" s="1"/>
  <c r="B500" i="4"/>
  <c r="K500" i="4" s="1"/>
  <c r="C500" i="4"/>
  <c r="L500" i="4" s="1"/>
  <c r="D500" i="4"/>
  <c r="E500" i="4"/>
  <c r="N500" i="4" s="1"/>
  <c r="F500" i="4"/>
  <c r="G500" i="4"/>
  <c r="H500" i="4"/>
  <c r="P500" i="4" s="1"/>
  <c r="A475" i="4"/>
  <c r="J475" i="4" s="1"/>
  <c r="B475" i="4"/>
  <c r="K475" i="4" s="1"/>
  <c r="C475" i="4"/>
  <c r="L475" i="4" s="1"/>
  <c r="D475" i="4"/>
  <c r="M475" i="4" s="1"/>
  <c r="E475" i="4"/>
  <c r="N475" i="4" s="1"/>
  <c r="F475" i="4"/>
  <c r="G475" i="4"/>
  <c r="H475" i="4"/>
  <c r="P475" i="4" s="1"/>
  <c r="A476" i="4"/>
  <c r="J476" i="4" s="1"/>
  <c r="B476" i="4"/>
  <c r="K476" i="4" s="1"/>
  <c r="C476" i="4"/>
  <c r="L476" i="4" s="1"/>
  <c r="D476" i="4"/>
  <c r="M476" i="4" s="1"/>
  <c r="E476" i="4"/>
  <c r="N476" i="4" s="1"/>
  <c r="F476" i="4"/>
  <c r="G476" i="4"/>
  <c r="H476" i="4"/>
  <c r="P476" i="4" s="1"/>
  <c r="A477" i="4"/>
  <c r="J477" i="4" s="1"/>
  <c r="B477" i="4"/>
  <c r="K477" i="4" s="1"/>
  <c r="C477" i="4"/>
  <c r="L477" i="4" s="1"/>
  <c r="D477" i="4"/>
  <c r="M477" i="4" s="1"/>
  <c r="E477" i="4"/>
  <c r="N477" i="4" s="1"/>
  <c r="F477" i="4"/>
  <c r="G477" i="4"/>
  <c r="H477" i="4"/>
  <c r="P477" i="4" s="1"/>
  <c r="A478" i="4"/>
  <c r="J478" i="4" s="1"/>
  <c r="B478" i="4"/>
  <c r="K478" i="4" s="1"/>
  <c r="C478" i="4"/>
  <c r="L478" i="4" s="1"/>
  <c r="D478" i="4"/>
  <c r="M478" i="4" s="1"/>
  <c r="E478" i="4"/>
  <c r="F478" i="4"/>
  <c r="G478" i="4"/>
  <c r="H478" i="4"/>
  <c r="P478" i="4" s="1"/>
  <c r="A479" i="4"/>
  <c r="J479" i="4" s="1"/>
  <c r="B479" i="4"/>
  <c r="K479" i="4" s="1"/>
  <c r="C479" i="4"/>
  <c r="L479" i="4" s="1"/>
  <c r="D479" i="4"/>
  <c r="M479" i="4" s="1"/>
  <c r="E479" i="4"/>
  <c r="N479" i="4" s="1"/>
  <c r="F479" i="4"/>
  <c r="G479" i="4"/>
  <c r="H479" i="4"/>
  <c r="P479" i="4" s="1"/>
  <c r="A480" i="4"/>
  <c r="J480" i="4" s="1"/>
  <c r="B480" i="4"/>
  <c r="K480" i="4" s="1"/>
  <c r="C480" i="4"/>
  <c r="L480" i="4" s="1"/>
  <c r="D480" i="4"/>
  <c r="M480" i="4" s="1"/>
  <c r="E480" i="4"/>
  <c r="N480" i="4" s="1"/>
  <c r="F480" i="4"/>
  <c r="G480" i="4"/>
  <c r="H480" i="4"/>
  <c r="P480" i="4" s="1"/>
  <c r="A481" i="4"/>
  <c r="J481" i="4" s="1"/>
  <c r="B481" i="4"/>
  <c r="K481" i="4" s="1"/>
  <c r="C481" i="4"/>
  <c r="L481" i="4" s="1"/>
  <c r="D481" i="4"/>
  <c r="E481" i="4"/>
  <c r="N481" i="4" s="1"/>
  <c r="F481" i="4"/>
  <c r="G481" i="4"/>
  <c r="H481" i="4"/>
  <c r="P481" i="4" s="1"/>
  <c r="A482" i="4"/>
  <c r="J482" i="4" s="1"/>
  <c r="B482" i="4"/>
  <c r="K482" i="4" s="1"/>
  <c r="C482" i="4"/>
  <c r="L482" i="4" s="1"/>
  <c r="D482" i="4"/>
  <c r="M482" i="4" s="1"/>
  <c r="E482" i="4"/>
  <c r="F482" i="4"/>
  <c r="G482" i="4"/>
  <c r="H482" i="4"/>
  <c r="P482" i="4" s="1"/>
  <c r="A483" i="4"/>
  <c r="J483" i="4" s="1"/>
  <c r="B483" i="4"/>
  <c r="K483" i="4" s="1"/>
  <c r="C483" i="4"/>
  <c r="L483" i="4" s="1"/>
  <c r="D483" i="4"/>
  <c r="M483" i="4" s="1"/>
  <c r="E483" i="4"/>
  <c r="N483" i="4" s="1"/>
  <c r="F483" i="4"/>
  <c r="G483" i="4"/>
  <c r="H483" i="4"/>
  <c r="P483" i="4" s="1"/>
  <c r="A484" i="4"/>
  <c r="J484" i="4" s="1"/>
  <c r="B484" i="4"/>
  <c r="K484" i="4" s="1"/>
  <c r="C484" i="4"/>
  <c r="L484" i="4" s="1"/>
  <c r="D484" i="4"/>
  <c r="M484" i="4" s="1"/>
  <c r="E484" i="4"/>
  <c r="N484" i="4" s="1"/>
  <c r="F484" i="4"/>
  <c r="G484" i="4"/>
  <c r="H484" i="4"/>
  <c r="P484" i="4" s="1"/>
  <c r="A485" i="4"/>
  <c r="J485" i="4" s="1"/>
  <c r="B485" i="4"/>
  <c r="K485" i="4" s="1"/>
  <c r="C485" i="4"/>
  <c r="L485" i="4" s="1"/>
  <c r="D485" i="4"/>
  <c r="M485" i="4" s="1"/>
  <c r="E485" i="4"/>
  <c r="N485" i="4" s="1"/>
  <c r="F485" i="4"/>
  <c r="G485" i="4"/>
  <c r="H485" i="4"/>
  <c r="P485" i="4" s="1"/>
  <c r="A486" i="4"/>
  <c r="J486" i="4" s="1"/>
  <c r="B486" i="4"/>
  <c r="K486" i="4" s="1"/>
  <c r="C486" i="4"/>
  <c r="L486" i="4" s="1"/>
  <c r="D486" i="4"/>
  <c r="M486" i="4" s="1"/>
  <c r="E486" i="4"/>
  <c r="F486" i="4"/>
  <c r="G486" i="4"/>
  <c r="H486" i="4"/>
  <c r="P486" i="4" s="1"/>
  <c r="A487" i="4"/>
  <c r="B487" i="4"/>
  <c r="C487" i="4"/>
  <c r="D487" i="4"/>
  <c r="E487" i="4"/>
  <c r="F487" i="4"/>
  <c r="G487" i="4"/>
  <c r="H487" i="4"/>
  <c r="P487" i="4" s="1"/>
  <c r="A488" i="4"/>
  <c r="J488" i="4" s="1"/>
  <c r="B488" i="4"/>
  <c r="K488" i="4" s="1"/>
  <c r="C488" i="4"/>
  <c r="D488" i="4"/>
  <c r="E488" i="4"/>
  <c r="F488" i="4"/>
  <c r="G488" i="4"/>
  <c r="H488" i="4"/>
  <c r="P488" i="4" s="1"/>
  <c r="A489" i="4"/>
  <c r="J489" i="4" s="1"/>
  <c r="B489" i="4"/>
  <c r="K489" i="4" s="1"/>
  <c r="C489" i="4"/>
  <c r="L489" i="4" s="1"/>
  <c r="D489" i="4"/>
  <c r="E489" i="4"/>
  <c r="N489" i="4" s="1"/>
  <c r="F489" i="4"/>
  <c r="G489" i="4"/>
  <c r="H489" i="4"/>
  <c r="P489" i="4" s="1"/>
  <c r="A490" i="4"/>
  <c r="J490" i="4" s="1"/>
  <c r="B490" i="4"/>
  <c r="C490" i="4"/>
  <c r="L490" i="4" s="1"/>
  <c r="D490" i="4"/>
  <c r="M490" i="4" s="1"/>
  <c r="E490" i="4"/>
  <c r="F490" i="4"/>
  <c r="G490" i="4"/>
  <c r="H490" i="4"/>
  <c r="P490" i="4" s="1"/>
  <c r="A491" i="4"/>
  <c r="J491" i="4" s="1"/>
  <c r="B491" i="4"/>
  <c r="K491" i="4" s="1"/>
  <c r="C491" i="4"/>
  <c r="L491" i="4" s="1"/>
  <c r="D491" i="4"/>
  <c r="M491" i="4" s="1"/>
  <c r="E491" i="4"/>
  <c r="N491" i="4" s="1"/>
  <c r="F491" i="4"/>
  <c r="G491" i="4"/>
  <c r="H491" i="4"/>
  <c r="P491" i="4" s="1"/>
  <c r="A492" i="4"/>
  <c r="J492" i="4" s="1"/>
  <c r="B492" i="4"/>
  <c r="K492" i="4" s="1"/>
  <c r="C492" i="4"/>
  <c r="L492" i="4" s="1"/>
  <c r="D492" i="4"/>
  <c r="M492" i="4" s="1"/>
  <c r="E492" i="4"/>
  <c r="N492" i="4" s="1"/>
  <c r="F492" i="4"/>
  <c r="G492" i="4"/>
  <c r="H492" i="4"/>
  <c r="P492" i="4" s="1"/>
  <c r="A493" i="4"/>
  <c r="J493" i="4" s="1"/>
  <c r="B493" i="4"/>
  <c r="K493" i="4" s="1"/>
  <c r="C493" i="4"/>
  <c r="L493" i="4" s="1"/>
  <c r="D493" i="4"/>
  <c r="M493" i="4" s="1"/>
  <c r="E493" i="4"/>
  <c r="N493" i="4" s="1"/>
  <c r="F493" i="4"/>
  <c r="G493" i="4"/>
  <c r="H493" i="4"/>
  <c r="P493" i="4" s="1"/>
  <c r="H468" i="4"/>
  <c r="P468" i="4" s="1"/>
  <c r="F468" i="4"/>
  <c r="A459" i="4"/>
  <c r="J459" i="4" s="1"/>
  <c r="B459" i="4"/>
  <c r="K459" i="4" s="1"/>
  <c r="C459" i="4"/>
  <c r="L459" i="4" s="1"/>
  <c r="D459" i="4"/>
  <c r="M459" i="4" s="1"/>
  <c r="E459" i="4"/>
  <c r="N459" i="4" s="1"/>
  <c r="F459" i="4"/>
  <c r="G459" i="4"/>
  <c r="H459" i="4"/>
  <c r="P459" i="4" s="1"/>
  <c r="A460" i="4"/>
  <c r="J460" i="4" s="1"/>
  <c r="B460" i="4"/>
  <c r="K460" i="4" s="1"/>
  <c r="C460" i="4"/>
  <c r="L460" i="4" s="1"/>
  <c r="D460" i="4"/>
  <c r="M460" i="4" s="1"/>
  <c r="E460" i="4"/>
  <c r="N460" i="4" s="1"/>
  <c r="F460" i="4"/>
  <c r="G460" i="4"/>
  <c r="H460" i="4"/>
  <c r="P460" i="4" s="1"/>
  <c r="A461" i="4"/>
  <c r="J461" i="4" s="1"/>
  <c r="B461" i="4"/>
  <c r="K461" i="4" s="1"/>
  <c r="C461" i="4"/>
  <c r="L461" i="4" s="1"/>
  <c r="D461" i="4"/>
  <c r="E461" i="4"/>
  <c r="N461" i="4" s="1"/>
  <c r="F461" i="4"/>
  <c r="G461" i="4"/>
  <c r="H461" i="4"/>
  <c r="P461" i="4" s="1"/>
  <c r="A462" i="4"/>
  <c r="J462" i="4" s="1"/>
  <c r="B462" i="4"/>
  <c r="K462" i="4" s="1"/>
  <c r="C462" i="4"/>
  <c r="L462" i="4" s="1"/>
  <c r="D462" i="4"/>
  <c r="M462" i="4" s="1"/>
  <c r="E462" i="4"/>
  <c r="F462" i="4"/>
  <c r="G462" i="4"/>
  <c r="H462" i="4"/>
  <c r="P462" i="4" s="1"/>
  <c r="A463" i="4"/>
  <c r="J463" i="4" s="1"/>
  <c r="B463" i="4"/>
  <c r="K463" i="4" s="1"/>
  <c r="C463" i="4"/>
  <c r="L463" i="4" s="1"/>
  <c r="D463" i="4"/>
  <c r="M463" i="4" s="1"/>
  <c r="E463" i="4"/>
  <c r="N463" i="4" s="1"/>
  <c r="F463" i="4"/>
  <c r="G463" i="4"/>
  <c r="H463" i="4"/>
  <c r="P463" i="4" s="1"/>
  <c r="A464" i="4"/>
  <c r="J464" i="4" s="1"/>
  <c r="B464" i="4"/>
  <c r="K464" i="4" s="1"/>
  <c r="C464" i="4"/>
  <c r="L464" i="4" s="1"/>
  <c r="D464" i="4"/>
  <c r="M464" i="4" s="1"/>
  <c r="E464" i="4"/>
  <c r="N464" i="4" s="1"/>
  <c r="F464" i="4"/>
  <c r="G464" i="4"/>
  <c r="H464" i="4"/>
  <c r="P464" i="4" s="1"/>
  <c r="A465" i="4"/>
  <c r="J465" i="4" s="1"/>
  <c r="B465" i="4"/>
  <c r="K465" i="4" s="1"/>
  <c r="C465" i="4"/>
  <c r="L465" i="4" s="1"/>
  <c r="D465" i="4"/>
  <c r="E465" i="4"/>
  <c r="N465" i="4" s="1"/>
  <c r="F465" i="4"/>
  <c r="G465" i="4"/>
  <c r="H465" i="4"/>
  <c r="P465" i="4" s="1"/>
  <c r="A466" i="4"/>
  <c r="J466" i="4" s="1"/>
  <c r="B466" i="4"/>
  <c r="K466" i="4" s="1"/>
  <c r="C466" i="4"/>
  <c r="L466" i="4" s="1"/>
  <c r="D466" i="4"/>
  <c r="M466" i="4" s="1"/>
  <c r="E466" i="4"/>
  <c r="F466" i="4"/>
  <c r="G466" i="4"/>
  <c r="H466" i="4"/>
  <c r="P466" i="4" s="1"/>
  <c r="A467" i="4"/>
  <c r="J467" i="4" s="1"/>
  <c r="B467" i="4"/>
  <c r="K467" i="4" s="1"/>
  <c r="C467" i="4"/>
  <c r="L467" i="4" s="1"/>
  <c r="D467" i="4"/>
  <c r="M467" i="4" s="1"/>
  <c r="E467" i="4"/>
  <c r="N467" i="4" s="1"/>
  <c r="F467" i="4"/>
  <c r="G467" i="4"/>
  <c r="H467" i="4"/>
  <c r="P467" i="4" s="1"/>
  <c r="A468" i="4"/>
  <c r="J468" i="4" s="1"/>
  <c r="B468" i="4"/>
  <c r="K468" i="4" s="1"/>
  <c r="C468" i="4"/>
  <c r="L468" i="4" s="1"/>
  <c r="D468" i="4"/>
  <c r="M468" i="4" s="1"/>
  <c r="E468" i="4"/>
  <c r="N468" i="4" s="1"/>
  <c r="G468" i="4"/>
  <c r="A469" i="4"/>
  <c r="J469" i="4" s="1"/>
  <c r="B469" i="4"/>
  <c r="K469" i="4" s="1"/>
  <c r="C469" i="4"/>
  <c r="L469" i="4" s="1"/>
  <c r="D469" i="4"/>
  <c r="M469" i="4" s="1"/>
  <c r="E469" i="4"/>
  <c r="N469" i="4" s="1"/>
  <c r="F469" i="4"/>
  <c r="G469" i="4"/>
  <c r="H469" i="4"/>
  <c r="P469" i="4" s="1"/>
  <c r="A470" i="4"/>
  <c r="J470" i="4" s="1"/>
  <c r="B470" i="4"/>
  <c r="K470" i="4" s="1"/>
  <c r="C470" i="4"/>
  <c r="L470" i="4" s="1"/>
  <c r="D470" i="4"/>
  <c r="M470" i="4" s="1"/>
  <c r="E470" i="4"/>
  <c r="F470" i="4"/>
  <c r="G470" i="4"/>
  <c r="H470" i="4"/>
  <c r="P470" i="4" s="1"/>
  <c r="A471" i="4"/>
  <c r="J471" i="4" s="1"/>
  <c r="B471" i="4"/>
  <c r="K471" i="4" s="1"/>
  <c r="C471" i="4"/>
  <c r="L471" i="4" s="1"/>
  <c r="D471" i="4"/>
  <c r="M471" i="4" s="1"/>
  <c r="E471" i="4"/>
  <c r="N471" i="4" s="1"/>
  <c r="F471" i="4"/>
  <c r="G471" i="4"/>
  <c r="H471" i="4"/>
  <c r="P471" i="4" s="1"/>
  <c r="A472" i="4"/>
  <c r="J472" i="4" s="1"/>
  <c r="B472" i="4"/>
  <c r="K472" i="4" s="1"/>
  <c r="C472" i="4"/>
  <c r="L472" i="4" s="1"/>
  <c r="D472" i="4"/>
  <c r="M472" i="4" s="1"/>
  <c r="E472" i="4"/>
  <c r="N472" i="4" s="1"/>
  <c r="G472" i="4"/>
  <c r="H472" i="4"/>
  <c r="P472" i="4" s="1"/>
  <c r="A473" i="4"/>
  <c r="J473" i="4" s="1"/>
  <c r="B473" i="4"/>
  <c r="K473" i="4" s="1"/>
  <c r="C473" i="4"/>
  <c r="L473" i="4" s="1"/>
  <c r="D473" i="4"/>
  <c r="E473" i="4"/>
  <c r="N473" i="4" s="1"/>
  <c r="F473" i="4"/>
  <c r="G473" i="4"/>
  <c r="H473" i="4"/>
  <c r="P473" i="4" s="1"/>
  <c r="A474" i="4"/>
  <c r="J474" i="4" s="1"/>
  <c r="B474" i="4"/>
  <c r="K474" i="4" s="1"/>
  <c r="C474" i="4"/>
  <c r="L474" i="4" s="1"/>
  <c r="D474" i="4"/>
  <c r="M474" i="4" s="1"/>
  <c r="E474" i="4"/>
  <c r="F474" i="4"/>
  <c r="G474" i="4"/>
  <c r="H474" i="4"/>
  <c r="P474" i="4" s="1"/>
  <c r="A402" i="3"/>
  <c r="B402" i="3"/>
  <c r="C402" i="3"/>
  <c r="D402" i="3"/>
  <c r="E402" i="3" s="1"/>
  <c r="A403" i="3"/>
  <c r="B403" i="3"/>
  <c r="C403" i="3"/>
  <c r="D403" i="3"/>
  <c r="E403" i="3" s="1"/>
  <c r="A404" i="3"/>
  <c r="B404" i="3"/>
  <c r="C404" i="3"/>
  <c r="D404" i="3"/>
  <c r="E404" i="3" s="1"/>
  <c r="A405" i="3"/>
  <c r="B405" i="3"/>
  <c r="C405" i="3"/>
  <c r="D405" i="3"/>
  <c r="E405" i="3" s="1"/>
  <c r="A406" i="3"/>
  <c r="B406" i="3"/>
  <c r="C406" i="3"/>
  <c r="D406" i="3"/>
  <c r="A407" i="3"/>
  <c r="B407" i="3"/>
  <c r="C407" i="3"/>
  <c r="D407" i="3"/>
  <c r="A408" i="3"/>
  <c r="B408" i="3"/>
  <c r="C408" i="3"/>
  <c r="D408" i="3"/>
  <c r="E408" i="3" s="1"/>
  <c r="A409" i="3"/>
  <c r="B409" i="3"/>
  <c r="C409" i="3"/>
  <c r="D409" i="3"/>
  <c r="E409" i="3" s="1"/>
  <c r="A410" i="3"/>
  <c r="B410" i="3"/>
  <c r="C410" i="3"/>
  <c r="D410" i="3"/>
  <c r="E410" i="3" s="1"/>
  <c r="A411" i="3"/>
  <c r="B411" i="3"/>
  <c r="C411" i="3"/>
  <c r="D411" i="3"/>
  <c r="E411" i="3" s="1"/>
  <c r="A412" i="3"/>
  <c r="B412" i="3"/>
  <c r="C412" i="3"/>
  <c r="D412" i="3"/>
  <c r="E412" i="3" s="1"/>
  <c r="A413" i="3"/>
  <c r="B413" i="3"/>
  <c r="C413" i="3"/>
  <c r="D413" i="3"/>
  <c r="E413" i="3"/>
  <c r="A414" i="3"/>
  <c r="B414" i="3"/>
  <c r="C414" i="3"/>
  <c r="D414" i="3"/>
  <c r="E414" i="3" s="1"/>
  <c r="A415" i="3"/>
  <c r="B415" i="3"/>
  <c r="C415" i="3"/>
  <c r="D415" i="3"/>
  <c r="E415" i="3" s="1"/>
  <c r="A416" i="3"/>
  <c r="B416" i="3"/>
  <c r="C416" i="3"/>
  <c r="D416" i="3"/>
  <c r="E416" i="3" s="1"/>
  <c r="A417" i="3"/>
  <c r="B417" i="3"/>
  <c r="C417" i="3"/>
  <c r="D417" i="3"/>
  <c r="E417" i="3" s="1"/>
  <c r="A418" i="3"/>
  <c r="B418" i="3"/>
  <c r="C418" i="3"/>
  <c r="D418" i="3"/>
  <c r="E418" i="3" s="1"/>
  <c r="A419" i="3"/>
  <c r="B419" i="3"/>
  <c r="C419" i="3"/>
  <c r="D419" i="3"/>
  <c r="E419" i="3" s="1"/>
  <c r="A420" i="3"/>
  <c r="B420" i="3"/>
  <c r="C420" i="3"/>
  <c r="D420" i="3"/>
  <c r="E420" i="3" s="1"/>
  <c r="A421" i="3"/>
  <c r="B421" i="3"/>
  <c r="C421" i="3"/>
  <c r="D421" i="3"/>
  <c r="E421" i="3" s="1"/>
  <c r="A422" i="3"/>
  <c r="B422" i="3"/>
  <c r="C422" i="3"/>
  <c r="D422" i="3"/>
  <c r="E422" i="3" s="1"/>
  <c r="A423" i="3"/>
  <c r="B423" i="3"/>
  <c r="C423" i="3"/>
  <c r="D423" i="3"/>
  <c r="E423" i="3" s="1"/>
  <c r="A424" i="3"/>
  <c r="B424" i="3"/>
  <c r="C424" i="3"/>
  <c r="D424" i="3"/>
  <c r="E424" i="3" s="1"/>
  <c r="A425" i="3"/>
  <c r="B425" i="3"/>
  <c r="C425" i="3"/>
  <c r="D425" i="3"/>
  <c r="E425" i="3" s="1"/>
  <c r="A426" i="3"/>
  <c r="B426" i="3"/>
  <c r="C426" i="3"/>
  <c r="D426" i="3"/>
  <c r="E426" i="3" s="1"/>
  <c r="A427" i="3"/>
  <c r="B427" i="3"/>
  <c r="C427" i="3"/>
  <c r="D427" i="3"/>
  <c r="E427" i="3" s="1"/>
  <c r="A428" i="3"/>
  <c r="B428" i="3"/>
  <c r="C428" i="3"/>
  <c r="D428" i="3"/>
  <c r="E428" i="3" s="1"/>
  <c r="A429" i="3"/>
  <c r="B429" i="3"/>
  <c r="B430" i="3"/>
  <c r="A431" i="3"/>
  <c r="B431" i="3"/>
  <c r="C431" i="3"/>
  <c r="D431" i="3"/>
  <c r="E431" i="3" s="1"/>
  <c r="A432" i="3"/>
  <c r="B432" i="3"/>
  <c r="C432" i="3"/>
  <c r="D432" i="3"/>
  <c r="E432" i="3" s="1"/>
  <c r="A433" i="3"/>
  <c r="B433" i="3"/>
  <c r="C433" i="3"/>
  <c r="D433" i="3"/>
  <c r="E433" i="3" s="1"/>
  <c r="A434" i="3"/>
  <c r="B434" i="3"/>
  <c r="C434" i="3"/>
  <c r="D434" i="3"/>
  <c r="E434" i="3" s="1"/>
  <c r="A435" i="3"/>
  <c r="B435" i="3"/>
  <c r="C435" i="3"/>
  <c r="D435" i="3"/>
  <c r="E435" i="3" s="1"/>
  <c r="A436" i="3"/>
  <c r="B436" i="3"/>
  <c r="C436" i="3"/>
  <c r="D436" i="3"/>
  <c r="E436" i="3" s="1"/>
  <c r="A437" i="3"/>
  <c r="B437" i="3"/>
  <c r="C437" i="3"/>
  <c r="D437" i="3"/>
  <c r="E437" i="3" s="1"/>
  <c r="A438" i="3"/>
  <c r="B438" i="3"/>
  <c r="C438" i="3"/>
  <c r="D438" i="3"/>
  <c r="E438" i="3" s="1"/>
  <c r="B439" i="3"/>
  <c r="C390" i="3"/>
  <c r="A390" i="3"/>
  <c r="B390" i="3"/>
  <c r="B391" i="3"/>
  <c r="C391" i="3"/>
  <c r="D391" i="3"/>
  <c r="A392" i="3"/>
  <c r="B392" i="3"/>
  <c r="C392" i="3"/>
  <c r="D392" i="3"/>
  <c r="E392" i="3" s="1"/>
  <c r="A393" i="3"/>
  <c r="B393" i="3"/>
  <c r="C393" i="3"/>
  <c r="D393" i="3"/>
  <c r="E393" i="3" s="1"/>
  <c r="A394" i="3"/>
  <c r="B394" i="3"/>
  <c r="C394" i="3"/>
  <c r="D394" i="3"/>
  <c r="A395" i="3"/>
  <c r="B395" i="3"/>
  <c r="C395" i="3"/>
  <c r="D395" i="3"/>
  <c r="E395" i="3" s="1"/>
  <c r="A396" i="3"/>
  <c r="B396" i="3"/>
  <c r="C396" i="3"/>
  <c r="D396" i="3"/>
  <c r="E396" i="3" s="1"/>
  <c r="A397" i="3"/>
  <c r="B397" i="3"/>
  <c r="C397" i="3"/>
  <c r="D397" i="3"/>
  <c r="E397" i="3" s="1"/>
  <c r="A398" i="3"/>
  <c r="B398" i="3"/>
  <c r="C398" i="3"/>
  <c r="D398" i="3"/>
  <c r="A399" i="3"/>
  <c r="B399" i="3"/>
  <c r="C399" i="3"/>
  <c r="D399" i="3"/>
  <c r="E399" i="3" s="1"/>
  <c r="A400" i="3"/>
  <c r="B400" i="3"/>
  <c r="C400" i="3"/>
  <c r="D400" i="3"/>
  <c r="E400" i="3" s="1"/>
  <c r="A401" i="3"/>
  <c r="B401" i="3"/>
  <c r="C401" i="3"/>
  <c r="D401" i="3"/>
  <c r="E401" i="3" s="1"/>
  <c r="U410" i="2"/>
  <c r="U393" i="2"/>
  <c r="K392" i="1"/>
  <c r="Z391" i="2"/>
  <c r="W391" i="2"/>
  <c r="X391" i="2"/>
  <c r="Y391" i="2"/>
  <c r="Y392" i="2"/>
  <c r="W393" i="2"/>
  <c r="X393" i="2"/>
  <c r="Y393" i="2"/>
  <c r="Y394" i="2"/>
  <c r="W395" i="2"/>
  <c r="Y395" i="2"/>
  <c r="W396" i="2"/>
  <c r="X396" i="2"/>
  <c r="Y396" i="2"/>
  <c r="W397" i="2"/>
  <c r="X397" i="2"/>
  <c r="Y397" i="2"/>
  <c r="Y398" i="2"/>
  <c r="W399" i="2"/>
  <c r="Y399" i="2"/>
  <c r="W400" i="2"/>
  <c r="X400" i="2"/>
  <c r="Y400" i="2"/>
  <c r="W401" i="2"/>
  <c r="X401" i="2"/>
  <c r="Y401" i="2"/>
  <c r="Y402" i="2"/>
  <c r="W403" i="2"/>
  <c r="Y403" i="2"/>
  <c r="W404" i="2"/>
  <c r="Y404" i="2"/>
  <c r="W405" i="2"/>
  <c r="Y405" i="2"/>
  <c r="Y406" i="2"/>
  <c r="Y407" i="2"/>
  <c r="Y408" i="2"/>
  <c r="Y409" i="2"/>
  <c r="Y410" i="2"/>
  <c r="Y411" i="2"/>
  <c r="Y412" i="2"/>
  <c r="Y413" i="2"/>
  <c r="Y414" i="2"/>
  <c r="Y415" i="2"/>
  <c r="Y416" i="2"/>
  <c r="Y417" i="2"/>
  <c r="Y418" i="2"/>
  <c r="Y419" i="2"/>
  <c r="Y420" i="2"/>
  <c r="Y421" i="2"/>
  <c r="Y422" i="2"/>
  <c r="Y423" i="2"/>
  <c r="Y424" i="2"/>
  <c r="Y425" i="2"/>
  <c r="Y426" i="2"/>
  <c r="Y427" i="2"/>
  <c r="Y428" i="2"/>
  <c r="Y431" i="2"/>
  <c r="Y432" i="2"/>
  <c r="Y433" i="2"/>
  <c r="Y434" i="2"/>
  <c r="Y435" i="2"/>
  <c r="Y436" i="2"/>
  <c r="Y437" i="2"/>
  <c r="Y438" i="2"/>
  <c r="A428" i="2"/>
  <c r="B428" i="2"/>
  <c r="C428" i="2"/>
  <c r="D428" i="2"/>
  <c r="E428" i="2"/>
  <c r="F428" i="2"/>
  <c r="G428" i="2"/>
  <c r="R428" i="2" s="1"/>
  <c r="H428" i="2"/>
  <c r="S428" i="2" s="1"/>
  <c r="I428" i="2"/>
  <c r="J428" i="2"/>
  <c r="K428" i="2"/>
  <c r="L428" i="2"/>
  <c r="M428" i="2"/>
  <c r="N428" i="2"/>
  <c r="O428" i="2"/>
  <c r="P428" i="2"/>
  <c r="T428" i="2"/>
  <c r="Z428" i="2"/>
  <c r="A429" i="2"/>
  <c r="B429" i="2"/>
  <c r="C429" i="2"/>
  <c r="D429" i="2"/>
  <c r="E429" i="2"/>
  <c r="F429" i="2"/>
  <c r="G429" i="2"/>
  <c r="H429" i="2"/>
  <c r="I429" i="2"/>
  <c r="K429" i="2"/>
  <c r="J429" i="2" s="1"/>
  <c r="L429" i="2"/>
  <c r="M429" i="2"/>
  <c r="N429" i="2"/>
  <c r="O429" i="2"/>
  <c r="P429" i="2"/>
  <c r="Z429" i="2"/>
  <c r="A430" i="2"/>
  <c r="B430" i="2"/>
  <c r="C430" i="2"/>
  <c r="D430" i="2"/>
  <c r="E430" i="2"/>
  <c r="F430" i="2"/>
  <c r="G430" i="2"/>
  <c r="H430" i="2"/>
  <c r="I430" i="2"/>
  <c r="K430" i="2"/>
  <c r="J430" i="2" s="1"/>
  <c r="L430" i="2"/>
  <c r="M430" i="2"/>
  <c r="N430" i="2"/>
  <c r="O430" i="2"/>
  <c r="P430" i="2"/>
  <c r="Z430" i="2"/>
  <c r="A431" i="2"/>
  <c r="B431" i="2"/>
  <c r="C431" i="2"/>
  <c r="D431" i="2"/>
  <c r="E431" i="2"/>
  <c r="F431" i="2"/>
  <c r="G431" i="2"/>
  <c r="R431" i="2" s="1"/>
  <c r="H431" i="2"/>
  <c r="S431" i="2" s="1"/>
  <c r="I431" i="2"/>
  <c r="J431" i="2"/>
  <c r="K431" i="2"/>
  <c r="L431" i="2"/>
  <c r="M431" i="2"/>
  <c r="N431" i="2"/>
  <c r="O431" i="2"/>
  <c r="P431" i="2"/>
  <c r="T431" i="2"/>
  <c r="A432" i="2"/>
  <c r="B432" i="2"/>
  <c r="C432" i="2"/>
  <c r="D432" i="2"/>
  <c r="E432" i="2"/>
  <c r="F432" i="2"/>
  <c r="G432" i="2"/>
  <c r="R432" i="2" s="1"/>
  <c r="H432" i="2"/>
  <c r="S432" i="2" s="1"/>
  <c r="I432" i="2"/>
  <c r="J432" i="2"/>
  <c r="K432" i="2"/>
  <c r="L432" i="2"/>
  <c r="M432" i="2"/>
  <c r="N432" i="2"/>
  <c r="O432" i="2"/>
  <c r="P432" i="2"/>
  <c r="T432" i="2"/>
  <c r="Z432" i="2"/>
  <c r="A433" i="2"/>
  <c r="B433" i="2"/>
  <c r="C433" i="2"/>
  <c r="D433" i="2"/>
  <c r="E433" i="2"/>
  <c r="F433" i="2"/>
  <c r="G433" i="2"/>
  <c r="R433" i="2" s="1"/>
  <c r="H433" i="2"/>
  <c r="S433" i="2" s="1"/>
  <c r="I433" i="2"/>
  <c r="J433" i="2"/>
  <c r="K433" i="2"/>
  <c r="L433" i="2"/>
  <c r="M433" i="2"/>
  <c r="N433" i="2"/>
  <c r="O433" i="2"/>
  <c r="P433" i="2"/>
  <c r="T433" i="2"/>
  <c r="Z433" i="2"/>
  <c r="A434" i="2"/>
  <c r="B434" i="2"/>
  <c r="C434" i="2"/>
  <c r="D434" i="2"/>
  <c r="E434" i="2"/>
  <c r="F434" i="2"/>
  <c r="G434" i="2"/>
  <c r="R434" i="2" s="1"/>
  <c r="H434" i="2"/>
  <c r="S434" i="2" s="1"/>
  <c r="I434" i="2"/>
  <c r="J434" i="2"/>
  <c r="K434" i="2"/>
  <c r="L434" i="2"/>
  <c r="M434" i="2"/>
  <c r="N434" i="2"/>
  <c r="O434" i="2"/>
  <c r="P434" i="2"/>
  <c r="T434" i="2"/>
  <c r="Z434" i="2"/>
  <c r="A435" i="2"/>
  <c r="B435" i="2"/>
  <c r="C435" i="2"/>
  <c r="D435" i="2"/>
  <c r="E435" i="2"/>
  <c r="F435" i="2"/>
  <c r="G435" i="2"/>
  <c r="R435" i="2" s="1"/>
  <c r="H435" i="2"/>
  <c r="S435" i="2" s="1"/>
  <c r="I435" i="2"/>
  <c r="J435" i="2"/>
  <c r="K435" i="2"/>
  <c r="L435" i="2"/>
  <c r="M435" i="2"/>
  <c r="N435" i="2"/>
  <c r="O435" i="2"/>
  <c r="P435" i="2"/>
  <c r="T435" i="2"/>
  <c r="Z435" i="2"/>
  <c r="A436" i="2"/>
  <c r="B436" i="2"/>
  <c r="C436" i="2"/>
  <c r="D436" i="2"/>
  <c r="E436" i="2"/>
  <c r="F436" i="2"/>
  <c r="G436" i="2"/>
  <c r="R436" i="2" s="1"/>
  <c r="H436" i="2"/>
  <c r="S436" i="2" s="1"/>
  <c r="I436" i="2"/>
  <c r="J436" i="2"/>
  <c r="K436" i="2"/>
  <c r="L436" i="2"/>
  <c r="M436" i="2"/>
  <c r="N436" i="2"/>
  <c r="O436" i="2"/>
  <c r="P436" i="2"/>
  <c r="T436" i="2"/>
  <c r="Z436" i="2"/>
  <c r="A437" i="2"/>
  <c r="B437" i="2"/>
  <c r="C437" i="2"/>
  <c r="D437" i="2"/>
  <c r="E437" i="2"/>
  <c r="F437" i="2"/>
  <c r="G437" i="2"/>
  <c r="R437" i="2" s="1"/>
  <c r="H437" i="2"/>
  <c r="S437" i="2" s="1"/>
  <c r="I437" i="2"/>
  <c r="J437" i="2"/>
  <c r="K437" i="2"/>
  <c r="L437" i="2"/>
  <c r="M437" i="2"/>
  <c r="N437" i="2"/>
  <c r="O437" i="2"/>
  <c r="P437" i="2"/>
  <c r="T437" i="2"/>
  <c r="Z437" i="2"/>
  <c r="A438" i="2"/>
  <c r="B438" i="2"/>
  <c r="C438" i="2"/>
  <c r="D438" i="2"/>
  <c r="E438" i="2"/>
  <c r="F438" i="2"/>
  <c r="G438" i="2"/>
  <c r="R438" i="2" s="1"/>
  <c r="H438" i="2"/>
  <c r="S438" i="2" s="1"/>
  <c r="I438" i="2"/>
  <c r="J438" i="2"/>
  <c r="K438" i="2"/>
  <c r="L438" i="2"/>
  <c r="M438" i="2"/>
  <c r="N438" i="2"/>
  <c r="O438" i="2"/>
  <c r="P438" i="2"/>
  <c r="T438" i="2"/>
  <c r="Z438" i="2"/>
  <c r="A439" i="2"/>
  <c r="B439" i="2"/>
  <c r="C439" i="2"/>
  <c r="D439" i="2"/>
  <c r="E439" i="2"/>
  <c r="F439" i="2"/>
  <c r="G439" i="2"/>
  <c r="H439" i="2"/>
  <c r="I439" i="2"/>
  <c r="K439" i="2"/>
  <c r="J439" i="2" s="1"/>
  <c r="L439" i="2"/>
  <c r="M439" i="2"/>
  <c r="N439" i="2"/>
  <c r="O439" i="2"/>
  <c r="P439" i="2"/>
  <c r="Z439" i="2"/>
  <c r="A440" i="2"/>
  <c r="B440" i="2"/>
  <c r="C440" i="2"/>
  <c r="D440" i="2"/>
  <c r="E440" i="2"/>
  <c r="F440" i="2"/>
  <c r="G440" i="2"/>
  <c r="H440" i="2"/>
  <c r="I440" i="2"/>
  <c r="K440" i="2"/>
  <c r="J440" i="2" s="1"/>
  <c r="L440" i="2"/>
  <c r="M440" i="2"/>
  <c r="N440" i="2"/>
  <c r="O440" i="2"/>
  <c r="P440" i="2"/>
  <c r="Z440" i="2"/>
  <c r="A441" i="2"/>
  <c r="B441" i="2"/>
  <c r="C441" i="2"/>
  <c r="D441" i="2"/>
  <c r="E441" i="2"/>
  <c r="F441" i="2"/>
  <c r="G441" i="2"/>
  <c r="H441" i="2"/>
  <c r="I441" i="2"/>
  <c r="K441" i="2"/>
  <c r="J441" i="2" s="1"/>
  <c r="L441" i="2"/>
  <c r="M441" i="2"/>
  <c r="N441" i="2"/>
  <c r="O441" i="2"/>
  <c r="P441" i="2"/>
  <c r="A392" i="2"/>
  <c r="B392" i="2"/>
  <c r="C392" i="2"/>
  <c r="D392" i="2"/>
  <c r="E392" i="2"/>
  <c r="F392" i="2"/>
  <c r="G392" i="2"/>
  <c r="R392" i="2" s="1"/>
  <c r="H392" i="2"/>
  <c r="I392" i="2"/>
  <c r="J392" i="2"/>
  <c r="K392" i="2"/>
  <c r="W392" i="2" s="1"/>
  <c r="L392" i="2"/>
  <c r="M392" i="2"/>
  <c r="N392" i="2"/>
  <c r="O392" i="2"/>
  <c r="Z393" i="2" s="1"/>
  <c r="P392" i="2"/>
  <c r="S392" i="2"/>
  <c r="T392" i="2"/>
  <c r="Z392" i="2"/>
  <c r="A393" i="2"/>
  <c r="B393" i="2"/>
  <c r="C393" i="2"/>
  <c r="D393" i="2"/>
  <c r="E393" i="2"/>
  <c r="F393" i="2"/>
  <c r="G393" i="2"/>
  <c r="R393" i="2" s="1"/>
  <c r="H393" i="2"/>
  <c r="I393" i="2"/>
  <c r="J393" i="2"/>
  <c r="K393" i="2"/>
  <c r="L393" i="2"/>
  <c r="M393" i="2"/>
  <c r="N393" i="2"/>
  <c r="O393" i="2"/>
  <c r="Z394" i="2" s="1"/>
  <c r="P393" i="2"/>
  <c r="S393" i="2"/>
  <c r="T393" i="2"/>
  <c r="A394" i="2"/>
  <c r="B394" i="2"/>
  <c r="C394" i="2"/>
  <c r="D394" i="2"/>
  <c r="E394" i="2"/>
  <c r="F394" i="2"/>
  <c r="G394" i="2"/>
  <c r="R394" i="2" s="1"/>
  <c r="H394" i="2"/>
  <c r="S394" i="2" s="1"/>
  <c r="I394" i="2"/>
  <c r="J394" i="2"/>
  <c r="K394" i="2"/>
  <c r="L394" i="2"/>
  <c r="M394" i="2"/>
  <c r="N394" i="2"/>
  <c r="O394" i="2"/>
  <c r="Z395" i="2" s="1"/>
  <c r="P394" i="2"/>
  <c r="T394" i="2"/>
  <c r="A395" i="2"/>
  <c r="B395" i="2"/>
  <c r="C395" i="2"/>
  <c r="D395" i="2"/>
  <c r="E395" i="2"/>
  <c r="F395" i="2"/>
  <c r="G395" i="2"/>
  <c r="R395" i="2" s="1"/>
  <c r="H395" i="2"/>
  <c r="S395" i="2" s="1"/>
  <c r="I395" i="2"/>
  <c r="J395" i="2"/>
  <c r="K395" i="2"/>
  <c r="L395" i="2"/>
  <c r="M395" i="2"/>
  <c r="N395" i="2"/>
  <c r="O395" i="2"/>
  <c r="Z396" i="2" s="1"/>
  <c r="P395" i="2"/>
  <c r="T395" i="2"/>
  <c r="A396" i="2"/>
  <c r="B396" i="2"/>
  <c r="C396" i="2"/>
  <c r="D396" i="2"/>
  <c r="E396" i="2"/>
  <c r="F396" i="2"/>
  <c r="G396" i="2"/>
  <c r="R396" i="2" s="1"/>
  <c r="H396" i="2"/>
  <c r="S396" i="2" s="1"/>
  <c r="I396" i="2"/>
  <c r="J396" i="2"/>
  <c r="K396" i="2"/>
  <c r="L396" i="2"/>
  <c r="M396" i="2"/>
  <c r="N396" i="2"/>
  <c r="O396" i="2"/>
  <c r="Z397" i="2" s="1"/>
  <c r="P396" i="2"/>
  <c r="T396" i="2"/>
  <c r="A397" i="2"/>
  <c r="B397" i="2"/>
  <c r="C397" i="2"/>
  <c r="D397" i="2"/>
  <c r="E397" i="2"/>
  <c r="F397" i="2"/>
  <c r="G397" i="2"/>
  <c r="R397" i="2" s="1"/>
  <c r="H397" i="2"/>
  <c r="S397" i="2" s="1"/>
  <c r="I397" i="2"/>
  <c r="J397" i="2"/>
  <c r="K397" i="2"/>
  <c r="L397" i="2"/>
  <c r="M397" i="2"/>
  <c r="N397" i="2"/>
  <c r="O397" i="2"/>
  <c r="Z398" i="2" s="1"/>
  <c r="P397" i="2"/>
  <c r="T397" i="2"/>
  <c r="A398" i="2"/>
  <c r="B398" i="2"/>
  <c r="C398" i="2"/>
  <c r="D398" i="2"/>
  <c r="E398" i="2"/>
  <c r="F398" i="2"/>
  <c r="G398" i="2"/>
  <c r="R398" i="2" s="1"/>
  <c r="H398" i="2"/>
  <c r="S398" i="2" s="1"/>
  <c r="I398" i="2"/>
  <c r="J398" i="2"/>
  <c r="K398" i="2"/>
  <c r="L398" i="2"/>
  <c r="M398" i="2"/>
  <c r="N398" i="2"/>
  <c r="O398" i="2"/>
  <c r="Z399" i="2" s="1"/>
  <c r="P398" i="2"/>
  <c r="T398" i="2"/>
  <c r="A399" i="2"/>
  <c r="B399" i="2"/>
  <c r="C399" i="2"/>
  <c r="D399" i="2"/>
  <c r="E399" i="2"/>
  <c r="F399" i="2"/>
  <c r="G399" i="2"/>
  <c r="R399" i="2" s="1"/>
  <c r="H399" i="2"/>
  <c r="S399" i="2" s="1"/>
  <c r="I399" i="2"/>
  <c r="J399" i="2"/>
  <c r="K399" i="2"/>
  <c r="L399" i="2"/>
  <c r="M399" i="2"/>
  <c r="N399" i="2"/>
  <c r="O399" i="2"/>
  <c r="Z400" i="2" s="1"/>
  <c r="P399" i="2"/>
  <c r="T399" i="2"/>
  <c r="A400" i="2"/>
  <c r="B400" i="2"/>
  <c r="C400" i="2"/>
  <c r="D400" i="2"/>
  <c r="E400" i="2"/>
  <c r="F400" i="2"/>
  <c r="G400" i="2"/>
  <c r="R400" i="2" s="1"/>
  <c r="H400" i="2"/>
  <c r="S400" i="2" s="1"/>
  <c r="I400" i="2"/>
  <c r="J400" i="2"/>
  <c r="K400" i="2"/>
  <c r="L400" i="2"/>
  <c r="M400" i="2"/>
  <c r="N400" i="2"/>
  <c r="O400" i="2"/>
  <c r="Z401" i="2" s="1"/>
  <c r="P400" i="2"/>
  <c r="T400" i="2"/>
  <c r="A401" i="2"/>
  <c r="B401" i="2"/>
  <c r="C401" i="2"/>
  <c r="D401" i="2"/>
  <c r="E401" i="2"/>
  <c r="F401" i="2"/>
  <c r="G401" i="2"/>
  <c r="R401" i="2" s="1"/>
  <c r="H401" i="2"/>
  <c r="S401" i="2" s="1"/>
  <c r="I401" i="2"/>
  <c r="J401" i="2"/>
  <c r="K401" i="2"/>
  <c r="L401" i="2"/>
  <c r="M401" i="2"/>
  <c r="N401" i="2"/>
  <c r="O401" i="2"/>
  <c r="Z402" i="2" s="1"/>
  <c r="P401" i="2"/>
  <c r="T401" i="2"/>
  <c r="A402" i="2"/>
  <c r="B402" i="2"/>
  <c r="C402" i="2"/>
  <c r="D402" i="2"/>
  <c r="E402" i="2"/>
  <c r="F402" i="2"/>
  <c r="G402" i="2"/>
  <c r="R402" i="2" s="1"/>
  <c r="H402" i="2"/>
  <c r="S402" i="2" s="1"/>
  <c r="I402" i="2"/>
  <c r="J402" i="2"/>
  <c r="K402" i="2"/>
  <c r="L402" i="2"/>
  <c r="M402" i="2"/>
  <c r="N402" i="2"/>
  <c r="O402" i="2"/>
  <c r="Z403" i="2" s="1"/>
  <c r="P402" i="2"/>
  <c r="T402" i="2"/>
  <c r="A403" i="2"/>
  <c r="B403" i="2"/>
  <c r="C403" i="2"/>
  <c r="D403" i="2"/>
  <c r="E403" i="2"/>
  <c r="F403" i="2"/>
  <c r="G403" i="2"/>
  <c r="R403" i="2" s="1"/>
  <c r="H403" i="2"/>
  <c r="S403" i="2" s="1"/>
  <c r="I403" i="2"/>
  <c r="J403" i="2"/>
  <c r="K403" i="2"/>
  <c r="L403" i="2"/>
  <c r="M403" i="2"/>
  <c r="N403" i="2"/>
  <c r="O403" i="2"/>
  <c r="Z404" i="2" s="1"/>
  <c r="P403" i="2"/>
  <c r="T403" i="2"/>
  <c r="A404" i="2"/>
  <c r="B404" i="2"/>
  <c r="C404" i="2"/>
  <c r="D404" i="2"/>
  <c r="E404" i="2"/>
  <c r="F404" i="2"/>
  <c r="G404" i="2"/>
  <c r="R404" i="2" s="1"/>
  <c r="H404" i="2"/>
  <c r="S404" i="2" s="1"/>
  <c r="I404" i="2"/>
  <c r="J404" i="2"/>
  <c r="K404" i="2"/>
  <c r="L404" i="2"/>
  <c r="M404" i="2"/>
  <c r="N404" i="2"/>
  <c r="O404" i="2"/>
  <c r="Z405" i="2" s="1"/>
  <c r="P404" i="2"/>
  <c r="T404" i="2"/>
  <c r="A405" i="2"/>
  <c r="B405" i="2"/>
  <c r="C405" i="2"/>
  <c r="D405" i="2"/>
  <c r="E405" i="2"/>
  <c r="F405" i="2"/>
  <c r="G405" i="2"/>
  <c r="R405" i="2" s="1"/>
  <c r="H405" i="2"/>
  <c r="S405" i="2" s="1"/>
  <c r="I405" i="2"/>
  <c r="J405" i="2"/>
  <c r="K405" i="2"/>
  <c r="L405" i="2"/>
  <c r="M405" i="2"/>
  <c r="N405" i="2"/>
  <c r="O405" i="2"/>
  <c r="Z406" i="2" s="1"/>
  <c r="P405" i="2"/>
  <c r="T405" i="2"/>
  <c r="A406" i="2"/>
  <c r="B406" i="2"/>
  <c r="C406" i="2"/>
  <c r="D406" i="2"/>
  <c r="E406" i="2"/>
  <c r="F406" i="2"/>
  <c r="G406" i="2"/>
  <c r="R406" i="2" s="1"/>
  <c r="H406" i="2"/>
  <c r="S406" i="2" s="1"/>
  <c r="I406" i="2"/>
  <c r="J406" i="2"/>
  <c r="K406" i="2"/>
  <c r="L406" i="2"/>
  <c r="M406" i="2"/>
  <c r="N406" i="2"/>
  <c r="O406" i="2"/>
  <c r="Z407" i="2" s="1"/>
  <c r="P406" i="2"/>
  <c r="T406" i="2"/>
  <c r="A407" i="2"/>
  <c r="B407" i="2"/>
  <c r="C407" i="2"/>
  <c r="D407" i="2"/>
  <c r="E407" i="2"/>
  <c r="F407" i="2"/>
  <c r="G407" i="2"/>
  <c r="R407" i="2" s="1"/>
  <c r="H407" i="2"/>
  <c r="S407" i="2" s="1"/>
  <c r="I407" i="2"/>
  <c r="J407" i="2"/>
  <c r="K407" i="2"/>
  <c r="L407" i="2"/>
  <c r="M407" i="2"/>
  <c r="N407" i="2"/>
  <c r="O407" i="2"/>
  <c r="Z408" i="2" s="1"/>
  <c r="P407" i="2"/>
  <c r="T407" i="2"/>
  <c r="A408" i="2"/>
  <c r="B408" i="2"/>
  <c r="C408" i="2"/>
  <c r="D408" i="2"/>
  <c r="E408" i="2"/>
  <c r="F408" i="2"/>
  <c r="G408" i="2"/>
  <c r="R408" i="2" s="1"/>
  <c r="H408" i="2"/>
  <c r="S408" i="2" s="1"/>
  <c r="I408" i="2"/>
  <c r="J408" i="2"/>
  <c r="K408" i="2"/>
  <c r="L408" i="2"/>
  <c r="M408" i="2"/>
  <c r="N408" i="2"/>
  <c r="O408" i="2"/>
  <c r="Z409" i="2" s="1"/>
  <c r="P408" i="2"/>
  <c r="T408" i="2"/>
  <c r="A409" i="2"/>
  <c r="B409" i="2"/>
  <c r="C409" i="2"/>
  <c r="D409" i="2"/>
  <c r="E409" i="2"/>
  <c r="F409" i="2"/>
  <c r="G409" i="2"/>
  <c r="R409" i="2" s="1"/>
  <c r="H409" i="2"/>
  <c r="S409" i="2" s="1"/>
  <c r="I409" i="2"/>
  <c r="J409" i="2"/>
  <c r="K409" i="2"/>
  <c r="L409" i="2"/>
  <c r="M409" i="2"/>
  <c r="N409" i="2"/>
  <c r="O409" i="2"/>
  <c r="Z410" i="2" s="1"/>
  <c r="P409" i="2"/>
  <c r="T409" i="2"/>
  <c r="A410" i="2"/>
  <c r="B410" i="2"/>
  <c r="C410" i="2"/>
  <c r="D410" i="2"/>
  <c r="E410" i="2"/>
  <c r="F410" i="2"/>
  <c r="G410" i="2"/>
  <c r="R410" i="2" s="1"/>
  <c r="H410" i="2"/>
  <c r="S410" i="2" s="1"/>
  <c r="I410" i="2"/>
  <c r="J410" i="2"/>
  <c r="K410" i="2"/>
  <c r="L410" i="2"/>
  <c r="M410" i="2"/>
  <c r="N410" i="2"/>
  <c r="O410" i="2"/>
  <c r="Z411" i="2" s="1"/>
  <c r="P410" i="2"/>
  <c r="T410" i="2"/>
  <c r="A411" i="2"/>
  <c r="B411" i="2"/>
  <c r="C411" i="2"/>
  <c r="D411" i="2"/>
  <c r="E411" i="2"/>
  <c r="F411" i="2"/>
  <c r="G411" i="2"/>
  <c r="R411" i="2" s="1"/>
  <c r="H411" i="2"/>
  <c r="S411" i="2" s="1"/>
  <c r="I411" i="2"/>
  <c r="J411" i="2"/>
  <c r="K411" i="2"/>
  <c r="L411" i="2"/>
  <c r="M411" i="2"/>
  <c r="N411" i="2"/>
  <c r="O411" i="2"/>
  <c r="Z412" i="2" s="1"/>
  <c r="P411" i="2"/>
  <c r="T411" i="2"/>
  <c r="A412" i="2"/>
  <c r="B412" i="2"/>
  <c r="C412" i="2"/>
  <c r="D412" i="2"/>
  <c r="E412" i="2"/>
  <c r="F412" i="2"/>
  <c r="G412" i="2"/>
  <c r="R412" i="2" s="1"/>
  <c r="H412" i="2"/>
  <c r="S412" i="2" s="1"/>
  <c r="I412" i="2"/>
  <c r="J412" i="2"/>
  <c r="K412" i="2"/>
  <c r="L412" i="2"/>
  <c r="M412" i="2"/>
  <c r="N412" i="2"/>
  <c r="O412" i="2"/>
  <c r="Z413" i="2" s="1"/>
  <c r="P412" i="2"/>
  <c r="T412" i="2"/>
  <c r="A413" i="2"/>
  <c r="B413" i="2"/>
  <c r="C413" i="2"/>
  <c r="D413" i="2"/>
  <c r="E413" i="2"/>
  <c r="F413" i="2"/>
  <c r="G413" i="2"/>
  <c r="R413" i="2" s="1"/>
  <c r="H413" i="2"/>
  <c r="S413" i="2" s="1"/>
  <c r="I413" i="2"/>
  <c r="J413" i="2"/>
  <c r="K413" i="2"/>
  <c r="L413" i="2"/>
  <c r="M413" i="2"/>
  <c r="N413" i="2"/>
  <c r="O413" i="2"/>
  <c r="Z414" i="2" s="1"/>
  <c r="P413" i="2"/>
  <c r="T413" i="2"/>
  <c r="A414" i="2"/>
  <c r="B414" i="2"/>
  <c r="C414" i="2"/>
  <c r="D414" i="2"/>
  <c r="E414" i="2"/>
  <c r="F414" i="2"/>
  <c r="G414" i="2"/>
  <c r="R414" i="2" s="1"/>
  <c r="H414" i="2"/>
  <c r="S414" i="2" s="1"/>
  <c r="I414" i="2"/>
  <c r="J414" i="2"/>
  <c r="K414" i="2"/>
  <c r="L414" i="2"/>
  <c r="M414" i="2"/>
  <c r="N414" i="2"/>
  <c r="O414" i="2"/>
  <c r="P414" i="2"/>
  <c r="T414" i="2"/>
  <c r="A415" i="2"/>
  <c r="B415" i="2"/>
  <c r="C415" i="2"/>
  <c r="D415" i="2"/>
  <c r="E415" i="2"/>
  <c r="F415" i="2"/>
  <c r="G415" i="2"/>
  <c r="R415" i="2" s="1"/>
  <c r="H415" i="2"/>
  <c r="S415" i="2" s="1"/>
  <c r="I415" i="2"/>
  <c r="J415" i="2"/>
  <c r="K415" i="2"/>
  <c r="L415" i="2"/>
  <c r="M415" i="2"/>
  <c r="N415" i="2"/>
  <c r="O415" i="2"/>
  <c r="Z416" i="2" s="1"/>
  <c r="P415" i="2"/>
  <c r="T415" i="2"/>
  <c r="A416" i="2"/>
  <c r="B416" i="2"/>
  <c r="C416" i="2"/>
  <c r="D416" i="2"/>
  <c r="E416" i="2"/>
  <c r="F416" i="2"/>
  <c r="G416" i="2"/>
  <c r="R416" i="2" s="1"/>
  <c r="H416" i="2"/>
  <c r="S416" i="2" s="1"/>
  <c r="I416" i="2"/>
  <c r="J416" i="2"/>
  <c r="K416" i="2"/>
  <c r="L416" i="2"/>
  <c r="M416" i="2"/>
  <c r="N416" i="2"/>
  <c r="O416" i="2"/>
  <c r="Z417" i="2" s="1"/>
  <c r="P416" i="2"/>
  <c r="T416" i="2"/>
  <c r="A417" i="2"/>
  <c r="B417" i="2"/>
  <c r="C417" i="2"/>
  <c r="D417" i="2"/>
  <c r="E417" i="2"/>
  <c r="F417" i="2"/>
  <c r="G417" i="2"/>
  <c r="R417" i="2" s="1"/>
  <c r="H417" i="2"/>
  <c r="S417" i="2" s="1"/>
  <c r="I417" i="2"/>
  <c r="J417" i="2"/>
  <c r="K417" i="2"/>
  <c r="L417" i="2"/>
  <c r="M417" i="2"/>
  <c r="N417" i="2"/>
  <c r="O417" i="2"/>
  <c r="Z418" i="2" s="1"/>
  <c r="P417" i="2"/>
  <c r="T417" i="2"/>
  <c r="A418" i="2"/>
  <c r="B418" i="2"/>
  <c r="C418" i="2"/>
  <c r="D418" i="2"/>
  <c r="E418" i="2"/>
  <c r="F418" i="2"/>
  <c r="G418" i="2"/>
  <c r="R418" i="2" s="1"/>
  <c r="H418" i="2"/>
  <c r="S418" i="2" s="1"/>
  <c r="I418" i="2"/>
  <c r="J418" i="2"/>
  <c r="K418" i="2"/>
  <c r="L418" i="2"/>
  <c r="M418" i="2"/>
  <c r="N418" i="2"/>
  <c r="O418" i="2"/>
  <c r="Z419" i="2" s="1"/>
  <c r="P418" i="2"/>
  <c r="T418" i="2"/>
  <c r="A419" i="2"/>
  <c r="B419" i="2"/>
  <c r="C419" i="2"/>
  <c r="D419" i="2"/>
  <c r="E419" i="2"/>
  <c r="F419" i="2"/>
  <c r="G419" i="2"/>
  <c r="R419" i="2" s="1"/>
  <c r="H419" i="2"/>
  <c r="S419" i="2" s="1"/>
  <c r="I419" i="2"/>
  <c r="J419" i="2"/>
  <c r="K419" i="2"/>
  <c r="L419" i="2"/>
  <c r="M419" i="2"/>
  <c r="N419" i="2"/>
  <c r="O419" i="2"/>
  <c r="Z420" i="2" s="1"/>
  <c r="P419" i="2"/>
  <c r="T419" i="2"/>
  <c r="A420" i="2"/>
  <c r="B420" i="2"/>
  <c r="C420" i="2"/>
  <c r="D420" i="2"/>
  <c r="E420" i="2"/>
  <c r="F420" i="2"/>
  <c r="G420" i="2"/>
  <c r="R420" i="2" s="1"/>
  <c r="H420" i="2"/>
  <c r="S420" i="2" s="1"/>
  <c r="I420" i="2"/>
  <c r="J420" i="2"/>
  <c r="K420" i="2"/>
  <c r="L420" i="2"/>
  <c r="M420" i="2"/>
  <c r="N420" i="2"/>
  <c r="O420" i="2"/>
  <c r="Z421" i="2" s="1"/>
  <c r="P420" i="2"/>
  <c r="T420" i="2"/>
  <c r="A421" i="2"/>
  <c r="B421" i="2"/>
  <c r="C421" i="2"/>
  <c r="D421" i="2"/>
  <c r="E421" i="2"/>
  <c r="F421" i="2"/>
  <c r="G421" i="2"/>
  <c r="R421" i="2" s="1"/>
  <c r="H421" i="2"/>
  <c r="S421" i="2" s="1"/>
  <c r="I421" i="2"/>
  <c r="J421" i="2"/>
  <c r="K421" i="2"/>
  <c r="L421" i="2"/>
  <c r="M421" i="2"/>
  <c r="N421" i="2"/>
  <c r="O421" i="2"/>
  <c r="Z422" i="2" s="1"/>
  <c r="P421" i="2"/>
  <c r="T421" i="2"/>
  <c r="A422" i="2"/>
  <c r="B422" i="2"/>
  <c r="C422" i="2"/>
  <c r="D422" i="2"/>
  <c r="E422" i="2"/>
  <c r="F422" i="2"/>
  <c r="G422" i="2"/>
  <c r="R422" i="2" s="1"/>
  <c r="H422" i="2"/>
  <c r="S422" i="2" s="1"/>
  <c r="I422" i="2"/>
  <c r="J422" i="2"/>
  <c r="K422" i="2"/>
  <c r="L422" i="2"/>
  <c r="M422" i="2"/>
  <c r="N422" i="2"/>
  <c r="O422" i="2"/>
  <c r="Z423" i="2" s="1"/>
  <c r="P422" i="2"/>
  <c r="T422" i="2"/>
  <c r="A423" i="2"/>
  <c r="B423" i="2"/>
  <c r="C423" i="2"/>
  <c r="D423" i="2"/>
  <c r="E423" i="2"/>
  <c r="F423" i="2"/>
  <c r="G423" i="2"/>
  <c r="R423" i="2" s="1"/>
  <c r="H423" i="2"/>
  <c r="S423" i="2" s="1"/>
  <c r="I423" i="2"/>
  <c r="J423" i="2"/>
  <c r="K423" i="2"/>
  <c r="L423" i="2"/>
  <c r="M423" i="2"/>
  <c r="N423" i="2"/>
  <c r="O423" i="2"/>
  <c r="Z424" i="2" s="1"/>
  <c r="P423" i="2"/>
  <c r="T423" i="2"/>
  <c r="A424" i="2"/>
  <c r="B424" i="2"/>
  <c r="C424" i="2"/>
  <c r="D424" i="2"/>
  <c r="E424" i="2"/>
  <c r="F424" i="2"/>
  <c r="G424" i="2"/>
  <c r="R424" i="2" s="1"/>
  <c r="H424" i="2"/>
  <c r="S424" i="2" s="1"/>
  <c r="I424" i="2"/>
  <c r="J424" i="2"/>
  <c r="K424" i="2"/>
  <c r="L424" i="2"/>
  <c r="M424" i="2"/>
  <c r="N424" i="2"/>
  <c r="O424" i="2"/>
  <c r="Z425" i="2" s="1"/>
  <c r="P424" i="2"/>
  <c r="T424" i="2"/>
  <c r="A425" i="2"/>
  <c r="B425" i="2"/>
  <c r="C425" i="2"/>
  <c r="D425" i="2"/>
  <c r="E425" i="2"/>
  <c r="F425" i="2"/>
  <c r="G425" i="2"/>
  <c r="R425" i="2" s="1"/>
  <c r="H425" i="2"/>
  <c r="S425" i="2" s="1"/>
  <c r="I425" i="2"/>
  <c r="J425" i="2"/>
  <c r="K425" i="2"/>
  <c r="L425" i="2"/>
  <c r="M425" i="2"/>
  <c r="N425" i="2"/>
  <c r="O425" i="2"/>
  <c r="Z426" i="2" s="1"/>
  <c r="P425" i="2"/>
  <c r="T425" i="2"/>
  <c r="A426" i="2"/>
  <c r="B426" i="2"/>
  <c r="C426" i="2"/>
  <c r="D426" i="2"/>
  <c r="E426" i="2"/>
  <c r="F426" i="2"/>
  <c r="G426" i="2"/>
  <c r="R426" i="2" s="1"/>
  <c r="H426" i="2"/>
  <c r="S426" i="2" s="1"/>
  <c r="I426" i="2"/>
  <c r="J426" i="2"/>
  <c r="K426" i="2"/>
  <c r="L426" i="2"/>
  <c r="M426" i="2"/>
  <c r="N426" i="2"/>
  <c r="O426" i="2"/>
  <c r="Z427" i="2" s="1"/>
  <c r="P426" i="2"/>
  <c r="T426" i="2"/>
  <c r="A427" i="2"/>
  <c r="B427" i="2"/>
  <c r="C427" i="2"/>
  <c r="D427" i="2"/>
  <c r="E427" i="2"/>
  <c r="F427" i="2"/>
  <c r="G427" i="2"/>
  <c r="R427" i="2" s="1"/>
  <c r="H427" i="2"/>
  <c r="S427" i="2" s="1"/>
  <c r="I427" i="2"/>
  <c r="J427" i="2"/>
  <c r="K427" i="2"/>
  <c r="L427" i="2"/>
  <c r="M427" i="2"/>
  <c r="N427" i="2"/>
  <c r="O427" i="2"/>
  <c r="P427" i="2"/>
  <c r="T427" i="2"/>
  <c r="A390" i="2"/>
  <c r="B390" i="2"/>
  <c r="C390" i="2"/>
  <c r="D390" i="2"/>
  <c r="E390" i="2"/>
  <c r="F390" i="2"/>
  <c r="G390" i="2"/>
  <c r="H390" i="2"/>
  <c r="I390" i="2"/>
  <c r="K390" i="2"/>
  <c r="J390" i="2" s="1"/>
  <c r="L390" i="2"/>
  <c r="M390" i="2"/>
  <c r="N390" i="2"/>
  <c r="O390" i="2"/>
  <c r="P390" i="2"/>
  <c r="S391" i="2"/>
  <c r="R391" i="2"/>
  <c r="P391" i="2"/>
  <c r="O391" i="2"/>
  <c r="N391" i="2"/>
  <c r="M391" i="2"/>
  <c r="L391" i="2"/>
  <c r="K391" i="2"/>
  <c r="J391" i="2"/>
  <c r="I391" i="2"/>
  <c r="T391" i="2" s="1"/>
  <c r="H391" i="2"/>
  <c r="G391" i="2"/>
  <c r="F391" i="2"/>
  <c r="E391" i="2"/>
  <c r="D391" i="2"/>
  <c r="C391" i="2"/>
  <c r="B391" i="2"/>
  <c r="A391" i="2"/>
  <c r="K436" i="1"/>
  <c r="K435" i="1"/>
  <c r="K432" i="1"/>
  <c r="K431" i="1"/>
  <c r="H438" i="1"/>
  <c r="G437" i="1"/>
  <c r="H436" i="1"/>
  <c r="G435" i="1"/>
  <c r="H434" i="1"/>
  <c r="G433" i="1"/>
  <c r="H432" i="1"/>
  <c r="G431" i="1"/>
  <c r="F438" i="1"/>
  <c r="F433" i="1"/>
  <c r="F432" i="1"/>
  <c r="E431" i="1"/>
  <c r="N414" i="1"/>
  <c r="K428" i="1"/>
  <c r="K426" i="1"/>
  <c r="K424" i="1"/>
  <c r="K423" i="1"/>
  <c r="K420" i="1"/>
  <c r="K418" i="1"/>
  <c r="K416" i="1"/>
  <c r="K413" i="1"/>
  <c r="K411" i="1"/>
  <c r="K410" i="1"/>
  <c r="K409" i="1"/>
  <c r="K406" i="1"/>
  <c r="K405" i="1"/>
  <c r="K403" i="1"/>
  <c r="K401" i="1"/>
  <c r="K397" i="1"/>
  <c r="K395" i="1"/>
  <c r="K393" i="1"/>
  <c r="G410" i="1"/>
  <c r="H411" i="1"/>
  <c r="G412" i="1"/>
  <c r="H413" i="1"/>
  <c r="H406" i="1"/>
  <c r="G407" i="1"/>
  <c r="H408" i="1"/>
  <c r="G409" i="1"/>
  <c r="H414" i="1"/>
  <c r="G415" i="1"/>
  <c r="H416" i="1"/>
  <c r="G417" i="1"/>
  <c r="H418" i="1"/>
  <c r="G419" i="1"/>
  <c r="H420" i="1"/>
  <c r="G421" i="1"/>
  <c r="H422" i="1"/>
  <c r="G423" i="1"/>
  <c r="H424" i="1"/>
  <c r="G425" i="1"/>
  <c r="H426" i="1"/>
  <c r="G427" i="1"/>
  <c r="H428" i="1"/>
  <c r="H405" i="1"/>
  <c r="G404" i="1"/>
  <c r="H403" i="1"/>
  <c r="G402" i="1"/>
  <c r="H401" i="1"/>
  <c r="G400" i="1"/>
  <c r="H399" i="1"/>
  <c r="G398" i="1"/>
  <c r="H397" i="1"/>
  <c r="G396" i="1"/>
  <c r="H395" i="1"/>
  <c r="G394" i="1"/>
  <c r="H393" i="1"/>
  <c r="H392" i="1"/>
  <c r="G391" i="1"/>
  <c r="E423" i="1"/>
  <c r="E420" i="1"/>
  <c r="F410" i="1"/>
  <c r="F402" i="1"/>
  <c r="F401" i="1"/>
  <c r="E401" i="1"/>
  <c r="D401" i="1"/>
  <c r="C401" i="1"/>
  <c r="F391" i="1"/>
  <c r="E391" i="1"/>
  <c r="F392" i="1"/>
  <c r="E392" i="1"/>
  <c r="D392" i="1"/>
  <c r="C392" i="1"/>
  <c r="O500" i="4" l="1"/>
  <c r="O499" i="4"/>
  <c r="M500" i="4"/>
  <c r="N474" i="4"/>
  <c r="O474" i="4"/>
  <c r="N470" i="4"/>
  <c r="O470" i="4"/>
  <c r="N490" i="4"/>
  <c r="O490" i="4"/>
  <c r="N486" i="4"/>
  <c r="O486" i="4"/>
  <c r="N482" i="4"/>
  <c r="O482" i="4"/>
  <c r="N478" i="4"/>
  <c r="O478" i="4"/>
  <c r="N494" i="4"/>
  <c r="O494" i="4"/>
  <c r="N466" i="4"/>
  <c r="O466" i="4"/>
  <c r="N462" i="4"/>
  <c r="O462" i="4"/>
  <c r="O468" i="4"/>
  <c r="O465" i="4"/>
  <c r="O464" i="4"/>
  <c r="O461" i="4"/>
  <c r="O460" i="4"/>
  <c r="M499" i="4"/>
  <c r="O495" i="4"/>
  <c r="O479" i="4"/>
  <c r="O471" i="4"/>
  <c r="O463" i="4"/>
  <c r="M461" i="4"/>
  <c r="O473" i="4"/>
  <c r="O472" i="4"/>
  <c r="O469" i="4"/>
  <c r="O493" i="4"/>
  <c r="O492" i="4"/>
  <c r="O489" i="4"/>
  <c r="O485" i="4"/>
  <c r="O484" i="4"/>
  <c r="O481" i="4"/>
  <c r="O480" i="4"/>
  <c r="O477" i="4"/>
  <c r="O476" i="4"/>
  <c r="O496" i="4"/>
  <c r="O491" i="4"/>
  <c r="M489" i="4"/>
  <c r="O483" i="4"/>
  <c r="M481" i="4"/>
  <c r="O475" i="4"/>
  <c r="M473" i="4"/>
  <c r="O467" i="4"/>
  <c r="M465" i="4"/>
  <c r="O459" i="4"/>
  <c r="E391" i="3"/>
  <c r="E394" i="3"/>
  <c r="X402" i="2"/>
  <c r="X398" i="2"/>
  <c r="X394" i="2"/>
  <c r="E398" i="3"/>
  <c r="E407" i="3"/>
  <c r="E406" i="3"/>
  <c r="X392" i="2"/>
  <c r="W434" i="2"/>
  <c r="X434" i="2"/>
  <c r="W428" i="2"/>
  <c r="X428" i="2"/>
  <c r="W424" i="2"/>
  <c r="X424" i="2"/>
  <c r="W418" i="2"/>
  <c r="X418" i="2"/>
  <c r="W414" i="2"/>
  <c r="X414" i="2"/>
  <c r="W408" i="2"/>
  <c r="X408" i="2"/>
  <c r="W437" i="2"/>
  <c r="X437" i="2"/>
  <c r="W433" i="2"/>
  <c r="X433" i="2"/>
  <c r="W425" i="2"/>
  <c r="X425" i="2"/>
  <c r="W423" i="2"/>
  <c r="X423" i="2"/>
  <c r="W419" i="2"/>
  <c r="X419" i="2"/>
  <c r="W417" i="2"/>
  <c r="X417" i="2"/>
  <c r="W415" i="2"/>
  <c r="X415" i="2"/>
  <c r="W413" i="2"/>
  <c r="X413" i="2"/>
  <c r="W411" i="2"/>
  <c r="X411" i="2"/>
  <c r="W409" i="2"/>
  <c r="X409" i="2"/>
  <c r="W438" i="2"/>
  <c r="X438" i="2"/>
  <c r="W436" i="2"/>
  <c r="X436" i="2"/>
  <c r="W432" i="2"/>
  <c r="X432" i="2"/>
  <c r="W426" i="2"/>
  <c r="X426" i="2"/>
  <c r="W422" i="2"/>
  <c r="X422" i="2"/>
  <c r="W420" i="2"/>
  <c r="X420" i="2"/>
  <c r="W416" i="2"/>
  <c r="X416" i="2"/>
  <c r="W412" i="2"/>
  <c r="X412" i="2"/>
  <c r="W410" i="2"/>
  <c r="X410" i="2"/>
  <c r="W435" i="2"/>
  <c r="X435" i="2"/>
  <c r="W431" i="2"/>
  <c r="X431" i="2"/>
  <c r="W427" i="2"/>
  <c r="X427" i="2"/>
  <c r="W421" i="2"/>
  <c r="X421" i="2"/>
  <c r="X407" i="2"/>
  <c r="X406" i="2"/>
  <c r="X405" i="2"/>
  <c r="X404" i="2"/>
  <c r="B404" i="4"/>
  <c r="C404" i="4"/>
  <c r="L404" i="4" s="1"/>
  <c r="D404" i="4"/>
  <c r="E404" i="4"/>
  <c r="B363" i="4"/>
  <c r="C363" i="4"/>
  <c r="L363" i="4" s="1"/>
  <c r="D363" i="4"/>
  <c r="E363" i="4"/>
  <c r="C333" i="4"/>
  <c r="L333" i="4" s="1"/>
  <c r="D333" i="4"/>
  <c r="E333" i="4"/>
  <c r="C372" i="4"/>
  <c r="L372" i="4" s="1"/>
  <c r="B89" i="4"/>
  <c r="K89" i="4" s="1"/>
  <c r="J405" i="4" l="1"/>
  <c r="J373" i="4"/>
  <c r="J364" i="4"/>
  <c r="J357" i="4"/>
  <c r="A332" i="4" l="1"/>
  <c r="B332" i="4"/>
  <c r="C332" i="4"/>
  <c r="F332" i="4"/>
  <c r="J332" i="4"/>
  <c r="K332" i="4"/>
  <c r="A39" i="4"/>
  <c r="J39" i="4" s="1"/>
  <c r="B39" i="4"/>
  <c r="K39" i="4" s="1"/>
  <c r="I39" i="4"/>
  <c r="A89" i="4"/>
  <c r="J89" i="4" s="1"/>
  <c r="I89" i="4"/>
  <c r="A4" i="4"/>
  <c r="J4" i="4" s="1"/>
  <c r="B4" i="4"/>
  <c r="K4" i="4" s="1"/>
  <c r="C4" i="4"/>
  <c r="I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A337" i="4"/>
  <c r="J337" i="4" s="1"/>
  <c r="B337" i="4"/>
  <c r="K337" i="4" s="1"/>
  <c r="C337" i="4"/>
  <c r="L337" i="4" s="1"/>
  <c r="F337" i="4"/>
  <c r="A338" i="4"/>
  <c r="J338" i="4" s="1"/>
  <c r="B338" i="4"/>
  <c r="K338" i="4" s="1"/>
  <c r="C338" i="4"/>
  <c r="L338" i="4" s="1"/>
  <c r="F338" i="4"/>
  <c r="A339" i="4"/>
  <c r="J339" i="4" s="1"/>
  <c r="B339" i="4"/>
  <c r="K339" i="4" s="1"/>
  <c r="C339" i="4"/>
  <c r="L339" i="4" s="1"/>
  <c r="F339" i="4"/>
  <c r="A340" i="4"/>
  <c r="J340" i="4" s="1"/>
  <c r="B340" i="4"/>
  <c r="K340" i="4" s="1"/>
  <c r="C340" i="4"/>
  <c r="L340" i="4" s="1"/>
  <c r="F340" i="4"/>
  <c r="A341" i="4"/>
  <c r="J341" i="4" s="1"/>
  <c r="B341" i="4"/>
  <c r="K341" i="4" s="1"/>
  <c r="C341" i="4"/>
  <c r="L341" i="4" s="1"/>
  <c r="A342" i="4"/>
  <c r="J342" i="4" s="1"/>
  <c r="B342" i="4"/>
  <c r="K342" i="4" s="1"/>
  <c r="C342" i="4"/>
  <c r="L342" i="4" s="1"/>
  <c r="F342" i="4"/>
  <c r="A343" i="4"/>
  <c r="J343" i="4" s="1"/>
  <c r="B343" i="4"/>
  <c r="K343" i="4" s="1"/>
  <c r="C343" i="4"/>
  <c r="L343" i="4" s="1"/>
  <c r="F343" i="4"/>
  <c r="A344" i="4"/>
  <c r="J344" i="4" s="1"/>
  <c r="B344" i="4"/>
  <c r="K344" i="4" s="1"/>
  <c r="C344" i="4"/>
  <c r="L344" i="4" s="1"/>
  <c r="A345" i="4"/>
  <c r="J345" i="4" s="1"/>
  <c r="B345" i="4"/>
  <c r="K345" i="4" s="1"/>
  <c r="C345" i="4"/>
  <c r="L345" i="4" s="1"/>
  <c r="A346" i="4"/>
  <c r="J346" i="4" s="1"/>
  <c r="B346" i="4"/>
  <c r="K346" i="4" s="1"/>
  <c r="C346" i="4"/>
  <c r="L346" i="4" s="1"/>
  <c r="A347" i="4"/>
  <c r="J347" i="4" s="1"/>
  <c r="B347" i="4"/>
  <c r="K347" i="4" s="1"/>
  <c r="C347" i="4"/>
  <c r="L347" i="4" s="1"/>
  <c r="A348" i="4"/>
  <c r="J348" i="4" s="1"/>
  <c r="B348" i="4"/>
  <c r="K348" i="4" s="1"/>
  <c r="C348" i="4"/>
  <c r="L348" i="4" s="1"/>
  <c r="F348" i="4"/>
  <c r="A349" i="4"/>
  <c r="J349" i="4" s="1"/>
  <c r="B349" i="4"/>
  <c r="K349" i="4" s="1"/>
  <c r="C349" i="4"/>
  <c r="L349" i="4" s="1"/>
  <c r="F349" i="4"/>
  <c r="A350" i="4"/>
  <c r="J350" i="4" s="1"/>
  <c r="B350" i="4"/>
  <c r="K350" i="4" s="1"/>
  <c r="C350" i="4"/>
  <c r="L350" i="4" s="1"/>
  <c r="A351" i="4"/>
  <c r="J351" i="4" s="1"/>
  <c r="B351" i="4"/>
  <c r="K351" i="4" s="1"/>
  <c r="C351" i="4"/>
  <c r="L351" i="4" s="1"/>
  <c r="A352" i="4"/>
  <c r="J352" i="4" s="1"/>
  <c r="B352" i="4"/>
  <c r="K352" i="4" s="1"/>
  <c r="C352" i="4"/>
  <c r="L352" i="4" s="1"/>
  <c r="A353" i="4"/>
  <c r="J353" i="4" s="1"/>
  <c r="B353" i="4"/>
  <c r="K353" i="4" s="1"/>
  <c r="C353" i="4"/>
  <c r="L353" i="4" s="1"/>
  <c r="A354" i="4"/>
  <c r="J354" i="4" s="1"/>
  <c r="B354" i="4"/>
  <c r="C354" i="4"/>
  <c r="F354" i="4"/>
  <c r="A355" i="4"/>
  <c r="J355" i="4" s="1"/>
  <c r="B355" i="4"/>
  <c r="K355" i="4" s="1"/>
  <c r="C355" i="4"/>
  <c r="L355" i="4" s="1"/>
  <c r="F355" i="4"/>
  <c r="A356" i="4"/>
  <c r="J356" i="4" s="1"/>
  <c r="B356" i="4"/>
  <c r="K356" i="4" s="1"/>
  <c r="C356" i="4"/>
  <c r="L356" i="4" s="1"/>
  <c r="F356" i="4"/>
  <c r="A358" i="4"/>
  <c r="J358" i="4" s="1"/>
  <c r="B358" i="4"/>
  <c r="K358" i="4" s="1"/>
  <c r="C358" i="4"/>
  <c r="L358" i="4" s="1"/>
  <c r="A359" i="4"/>
  <c r="J359" i="4" s="1"/>
  <c r="B359" i="4"/>
  <c r="K359" i="4" s="1"/>
  <c r="C359" i="4"/>
  <c r="L359" i="4" s="1"/>
  <c r="A360" i="4"/>
  <c r="J360" i="4" s="1"/>
  <c r="B360" i="4"/>
  <c r="K360" i="4" s="1"/>
  <c r="C360" i="4"/>
  <c r="L360" i="4" s="1"/>
  <c r="A361" i="4"/>
  <c r="J361" i="4" s="1"/>
  <c r="B361" i="4"/>
  <c r="C361" i="4"/>
  <c r="F361" i="4"/>
  <c r="A363" i="4"/>
  <c r="J363" i="4" s="1"/>
  <c r="K363" i="4"/>
  <c r="F363" i="4"/>
  <c r="A365" i="4"/>
  <c r="J365" i="4" s="1"/>
  <c r="B365" i="4"/>
  <c r="K365" i="4" s="1"/>
  <c r="C365" i="4"/>
  <c r="L365" i="4" s="1"/>
  <c r="F365" i="4"/>
  <c r="A366" i="4"/>
  <c r="J366" i="4" s="1"/>
  <c r="B366" i="4"/>
  <c r="K366" i="4" s="1"/>
  <c r="C366" i="4"/>
  <c r="L366" i="4" s="1"/>
  <c r="F366" i="4"/>
  <c r="A367" i="4"/>
  <c r="J367" i="4" s="1"/>
  <c r="B367" i="4"/>
  <c r="K367" i="4" s="1"/>
  <c r="C367" i="4"/>
  <c r="L367" i="4" s="1"/>
  <c r="F367" i="4"/>
  <c r="A368" i="4"/>
  <c r="J368" i="4" s="1"/>
  <c r="B368" i="4"/>
  <c r="K368" i="4" s="1"/>
  <c r="C368" i="4"/>
  <c r="L368" i="4" s="1"/>
  <c r="F368" i="4"/>
  <c r="A369" i="4"/>
  <c r="J369" i="4" s="1"/>
  <c r="B369" i="4"/>
  <c r="K369" i="4" s="1"/>
  <c r="C369" i="4"/>
  <c r="L369" i="4" s="1"/>
  <c r="F369" i="4"/>
  <c r="A370" i="4"/>
  <c r="J370" i="4" s="1"/>
  <c r="B370" i="4"/>
  <c r="C370" i="4"/>
  <c r="F370" i="4"/>
  <c r="A372" i="4"/>
  <c r="J372" i="4" s="1"/>
  <c r="B372" i="4"/>
  <c r="K372" i="4" s="1"/>
  <c r="A374" i="4"/>
  <c r="J374" i="4" s="1"/>
  <c r="B374" i="4"/>
  <c r="K374" i="4" s="1"/>
  <c r="C374" i="4"/>
  <c r="L374" i="4" s="1"/>
  <c r="F374" i="4"/>
  <c r="A375" i="4"/>
  <c r="J375" i="4" s="1"/>
  <c r="B375" i="4"/>
  <c r="K375" i="4" s="1"/>
  <c r="C375" i="4"/>
  <c r="L375" i="4" s="1"/>
  <c r="A376" i="4"/>
  <c r="J376" i="4" s="1"/>
  <c r="B376" i="4"/>
  <c r="K376" i="4" s="1"/>
  <c r="C376" i="4"/>
  <c r="L376" i="4" s="1"/>
  <c r="A377" i="4"/>
  <c r="J377" i="4" s="1"/>
  <c r="B377" i="4"/>
  <c r="K377" i="4" s="1"/>
  <c r="C377" i="4"/>
  <c r="L377" i="4" s="1"/>
  <c r="A378" i="4"/>
  <c r="J378" i="4" s="1"/>
  <c r="B378" i="4"/>
  <c r="K378" i="4" s="1"/>
  <c r="C378" i="4"/>
  <c r="L378" i="4" s="1"/>
  <c r="A379" i="4"/>
  <c r="J379" i="4" s="1"/>
  <c r="B379" i="4"/>
  <c r="C379" i="4"/>
  <c r="F379" i="4"/>
  <c r="A380" i="4"/>
  <c r="J380" i="4" s="1"/>
  <c r="B380" i="4"/>
  <c r="K380" i="4" s="1"/>
  <c r="C380" i="4"/>
  <c r="L380" i="4" s="1"/>
  <c r="F380" i="4"/>
  <c r="A381" i="4"/>
  <c r="J381" i="4" s="1"/>
  <c r="B381" i="4"/>
  <c r="K381" i="4" s="1"/>
  <c r="C381" i="4"/>
  <c r="L381" i="4" s="1"/>
  <c r="F381" i="4"/>
  <c r="A382" i="4"/>
  <c r="J382" i="4" s="1"/>
  <c r="B382" i="4"/>
  <c r="K382" i="4" s="1"/>
  <c r="C382" i="4"/>
  <c r="L382" i="4" s="1"/>
  <c r="F382" i="4"/>
  <c r="A383" i="4"/>
  <c r="J383" i="4" s="1"/>
  <c r="B383" i="4"/>
  <c r="K383" i="4" s="1"/>
  <c r="C383" i="4"/>
  <c r="L383" i="4" s="1"/>
  <c r="F383" i="4"/>
  <c r="A384" i="4"/>
  <c r="J384" i="4" s="1"/>
  <c r="B384" i="4"/>
  <c r="K384" i="4" s="1"/>
  <c r="C384" i="4"/>
  <c r="L384" i="4" s="1"/>
  <c r="F384" i="4"/>
  <c r="A385" i="4"/>
  <c r="J385" i="4" s="1"/>
  <c r="B385" i="4"/>
  <c r="K385" i="4" s="1"/>
  <c r="C385" i="4"/>
  <c r="L385" i="4" s="1"/>
  <c r="F385" i="4"/>
  <c r="A386" i="4"/>
  <c r="J386" i="4" s="1"/>
  <c r="B386" i="4"/>
  <c r="C386" i="4"/>
  <c r="F386" i="4"/>
  <c r="A387" i="4"/>
  <c r="J387" i="4" s="1"/>
  <c r="B387" i="4"/>
  <c r="K387" i="4" s="1"/>
  <c r="C387" i="4"/>
  <c r="F387" i="4"/>
  <c r="A388" i="4"/>
  <c r="J388" i="4" s="1"/>
  <c r="B388" i="4"/>
  <c r="K388" i="4" s="1"/>
  <c r="C388" i="4"/>
  <c r="L388" i="4" s="1"/>
  <c r="F388" i="4"/>
  <c r="B389" i="4"/>
  <c r="C389" i="4"/>
  <c r="F389" i="4"/>
  <c r="A390" i="4"/>
  <c r="J390" i="4" s="1"/>
  <c r="B390" i="4"/>
  <c r="K390" i="4" s="1"/>
  <c r="C390" i="4"/>
  <c r="L390" i="4" s="1"/>
  <c r="F390" i="4"/>
  <c r="B391" i="4"/>
  <c r="K391" i="4" s="1"/>
  <c r="C391" i="4"/>
  <c r="L391" i="4" s="1"/>
  <c r="F391" i="4"/>
  <c r="B392" i="4"/>
  <c r="K392" i="4" s="1"/>
  <c r="C392" i="4"/>
  <c r="L392" i="4" s="1"/>
  <c r="F392" i="4"/>
  <c r="B393" i="4"/>
  <c r="K393" i="4" s="1"/>
  <c r="C393" i="4"/>
  <c r="L393" i="4" s="1"/>
  <c r="B394" i="4"/>
  <c r="K394" i="4" s="1"/>
  <c r="C394" i="4"/>
  <c r="L394" i="4" s="1"/>
  <c r="F394" i="4"/>
  <c r="B395" i="4"/>
  <c r="K395" i="4" s="1"/>
  <c r="C395" i="4"/>
  <c r="L395" i="4" s="1"/>
  <c r="F395" i="4"/>
  <c r="B396" i="4"/>
  <c r="K396" i="4" s="1"/>
  <c r="C396" i="4"/>
  <c r="L396" i="4" s="1"/>
  <c r="F396" i="4"/>
  <c r="B397" i="4"/>
  <c r="K397" i="4" s="1"/>
  <c r="C397" i="4"/>
  <c r="L397" i="4" s="1"/>
  <c r="F397" i="4"/>
  <c r="B398" i="4"/>
  <c r="K398" i="4" s="1"/>
  <c r="C398" i="4"/>
  <c r="L398" i="4" s="1"/>
  <c r="F398" i="4"/>
  <c r="B399" i="4"/>
  <c r="K399" i="4" s="1"/>
  <c r="C399" i="4"/>
  <c r="L399" i="4" s="1"/>
  <c r="F399" i="4"/>
  <c r="B400" i="4"/>
  <c r="K400" i="4" s="1"/>
  <c r="C400" i="4"/>
  <c r="L400" i="4" s="1"/>
  <c r="F400" i="4"/>
  <c r="B401" i="4"/>
  <c r="C401" i="4"/>
  <c r="F401" i="4"/>
  <c r="A402" i="4"/>
  <c r="B402" i="4"/>
  <c r="C402" i="4"/>
  <c r="F402" i="4"/>
  <c r="A404" i="4"/>
  <c r="J404" i="4" s="1"/>
  <c r="F404" i="4"/>
  <c r="A406" i="4"/>
  <c r="J406" i="4" s="1"/>
  <c r="B406" i="4"/>
  <c r="K406" i="4" s="1"/>
  <c r="C406" i="4"/>
  <c r="L406" i="4" s="1"/>
  <c r="F406" i="4"/>
  <c r="A407" i="4"/>
  <c r="J407" i="4" s="1"/>
  <c r="B407" i="4"/>
  <c r="K407" i="4" s="1"/>
  <c r="C407" i="4"/>
  <c r="L407" i="4" s="1"/>
  <c r="F407" i="4"/>
  <c r="A408" i="4"/>
  <c r="J408" i="4" s="1"/>
  <c r="B408" i="4"/>
  <c r="K408" i="4" s="1"/>
  <c r="C408" i="4"/>
  <c r="L408" i="4" s="1"/>
  <c r="F408" i="4"/>
  <c r="A409" i="4"/>
  <c r="J409" i="4" s="1"/>
  <c r="B409" i="4"/>
  <c r="K409" i="4" s="1"/>
  <c r="C409" i="4"/>
  <c r="L409" i="4" s="1"/>
  <c r="A410" i="4"/>
  <c r="J410" i="4" s="1"/>
  <c r="B410" i="4"/>
  <c r="K410" i="4" s="1"/>
  <c r="C410" i="4"/>
  <c r="L410" i="4" s="1"/>
  <c r="F410" i="4"/>
  <c r="A411" i="4"/>
  <c r="J411" i="4" s="1"/>
  <c r="B411" i="4"/>
  <c r="K411" i="4" s="1"/>
  <c r="C411" i="4"/>
  <c r="L411" i="4" s="1"/>
  <c r="F411" i="4"/>
  <c r="A412" i="4"/>
  <c r="J412" i="4" s="1"/>
  <c r="B412" i="4"/>
  <c r="K412" i="4" s="1"/>
  <c r="C412" i="4"/>
  <c r="L412" i="4" s="1"/>
  <c r="F412" i="4"/>
  <c r="A413" i="4"/>
  <c r="J413" i="4" s="1"/>
  <c r="B413" i="4"/>
  <c r="K413" i="4" s="1"/>
  <c r="C413" i="4"/>
  <c r="L413" i="4" s="1"/>
  <c r="A414" i="4"/>
  <c r="J414" i="4" s="1"/>
  <c r="B414" i="4"/>
  <c r="K414" i="4" s="1"/>
  <c r="C414" i="4"/>
  <c r="L414" i="4" s="1"/>
  <c r="A415" i="4"/>
  <c r="J415" i="4" s="1"/>
  <c r="B415" i="4"/>
  <c r="K415" i="4" s="1"/>
  <c r="C415" i="4"/>
  <c r="L415" i="4" s="1"/>
  <c r="F415" i="4"/>
  <c r="A416" i="4"/>
  <c r="J416" i="4" s="1"/>
  <c r="B416" i="4"/>
  <c r="K416" i="4" s="1"/>
  <c r="C416" i="4"/>
  <c r="L416" i="4" s="1"/>
  <c r="A417" i="4"/>
  <c r="J417" i="4" s="1"/>
  <c r="B417" i="4"/>
  <c r="K417" i="4" s="1"/>
  <c r="C417" i="4"/>
  <c r="L417" i="4" s="1"/>
  <c r="F417" i="4"/>
  <c r="A418" i="4"/>
  <c r="J418" i="4" s="1"/>
  <c r="B418" i="4"/>
  <c r="K418" i="4" s="1"/>
  <c r="C418" i="4"/>
  <c r="L418" i="4" s="1"/>
  <c r="F418" i="4"/>
  <c r="A419" i="4"/>
  <c r="J419" i="4" s="1"/>
  <c r="B419" i="4"/>
  <c r="K419" i="4" s="1"/>
  <c r="C419" i="4"/>
  <c r="L419" i="4" s="1"/>
  <c r="A420" i="4"/>
  <c r="J420" i="4" s="1"/>
  <c r="B420" i="4"/>
  <c r="K420" i="4" s="1"/>
  <c r="C420" i="4"/>
  <c r="L420" i="4" s="1"/>
  <c r="A421" i="4"/>
  <c r="J421" i="4" s="1"/>
  <c r="B421" i="4"/>
  <c r="K421" i="4" s="1"/>
  <c r="C421" i="4"/>
  <c r="L421" i="4" s="1"/>
  <c r="F421" i="4"/>
  <c r="A422" i="4"/>
  <c r="J422" i="4" s="1"/>
  <c r="B422" i="4"/>
  <c r="K422" i="4" s="1"/>
  <c r="C422" i="4"/>
  <c r="L422" i="4" s="1"/>
  <c r="F422" i="4"/>
  <c r="A423" i="4"/>
  <c r="J423" i="4" s="1"/>
  <c r="B423" i="4"/>
  <c r="K423" i="4" s="1"/>
  <c r="C423" i="4"/>
  <c r="L423" i="4" s="1"/>
  <c r="A424" i="4"/>
  <c r="J424" i="4" s="1"/>
  <c r="B424" i="4"/>
  <c r="K424" i="4" s="1"/>
  <c r="C424" i="4"/>
  <c r="L424" i="4" s="1"/>
  <c r="F424" i="4"/>
  <c r="A425" i="4"/>
  <c r="J425" i="4" s="1"/>
  <c r="B425" i="4"/>
  <c r="K425" i="4" s="1"/>
  <c r="C425" i="4"/>
  <c r="L425" i="4" s="1"/>
  <c r="F425" i="4"/>
  <c r="A426" i="4"/>
  <c r="J426" i="4" s="1"/>
  <c r="B426" i="4"/>
  <c r="K426" i="4" s="1"/>
  <c r="C426" i="4"/>
  <c r="L426" i="4" s="1"/>
  <c r="F426" i="4"/>
  <c r="A427" i="4"/>
  <c r="J427" i="4" s="1"/>
  <c r="B427" i="4"/>
  <c r="K427" i="4" s="1"/>
  <c r="C427" i="4"/>
  <c r="L427" i="4" s="1"/>
  <c r="F427" i="4"/>
  <c r="A428" i="4"/>
  <c r="J428" i="4" s="1"/>
  <c r="B428" i="4"/>
  <c r="K428" i="4" s="1"/>
  <c r="C428" i="4"/>
  <c r="L428" i="4" s="1"/>
  <c r="F428" i="4"/>
  <c r="A429" i="4"/>
  <c r="J429" i="4" s="1"/>
  <c r="B429" i="4"/>
  <c r="K429" i="4" s="1"/>
  <c r="C429" i="4"/>
  <c r="L429" i="4" s="1"/>
  <c r="F429" i="4"/>
  <c r="A430" i="4"/>
  <c r="J430" i="4" s="1"/>
  <c r="B430" i="4"/>
  <c r="K430" i="4" s="1"/>
  <c r="C430" i="4"/>
  <c r="L430" i="4" s="1"/>
  <c r="F430" i="4"/>
  <c r="A431" i="4"/>
  <c r="J431" i="4" s="1"/>
  <c r="B431" i="4"/>
  <c r="K431" i="4" s="1"/>
  <c r="C431" i="4"/>
  <c r="L431" i="4" s="1"/>
  <c r="F431" i="4"/>
  <c r="A432" i="4"/>
  <c r="J432" i="4" s="1"/>
  <c r="B432" i="4"/>
  <c r="K432" i="4" s="1"/>
  <c r="C432" i="4"/>
  <c r="L432" i="4" s="1"/>
  <c r="F432" i="4"/>
  <c r="A433" i="4"/>
  <c r="J433" i="4" s="1"/>
  <c r="B433" i="4"/>
  <c r="K433" i="4" s="1"/>
  <c r="C433" i="4"/>
  <c r="L433" i="4" s="1"/>
  <c r="F433" i="4"/>
  <c r="A434" i="4"/>
  <c r="J434" i="4" s="1"/>
  <c r="B434" i="4"/>
  <c r="K434" i="4" s="1"/>
  <c r="C434" i="4"/>
  <c r="L434" i="4" s="1"/>
  <c r="F434" i="4"/>
  <c r="A435" i="4"/>
  <c r="J435" i="4" s="1"/>
  <c r="B435" i="4"/>
  <c r="K435" i="4" s="1"/>
  <c r="C435" i="4"/>
  <c r="L435" i="4" s="1"/>
  <c r="F435" i="4"/>
  <c r="A436" i="4"/>
  <c r="J436" i="4" s="1"/>
  <c r="B436" i="4"/>
  <c r="K436" i="4" s="1"/>
  <c r="C436" i="4"/>
  <c r="L436" i="4" s="1"/>
  <c r="F436" i="4"/>
  <c r="A437" i="4"/>
  <c r="J437" i="4" s="1"/>
  <c r="B437" i="4"/>
  <c r="K437" i="4" s="1"/>
  <c r="C437" i="4"/>
  <c r="F437" i="4"/>
  <c r="A438" i="4"/>
  <c r="J438" i="4" s="1"/>
  <c r="B438" i="4"/>
  <c r="K438" i="4" s="1"/>
  <c r="C438" i="4"/>
  <c r="L438" i="4" s="1"/>
  <c r="F438" i="4"/>
  <c r="A439" i="4"/>
  <c r="J439" i="4" s="1"/>
  <c r="B439" i="4"/>
  <c r="K439" i="4" s="1"/>
  <c r="C439" i="4"/>
  <c r="L439" i="4" s="1"/>
  <c r="F439" i="4"/>
  <c r="A440" i="4"/>
  <c r="J440" i="4" s="1"/>
  <c r="B440" i="4"/>
  <c r="K440" i="4" s="1"/>
  <c r="C440" i="4"/>
  <c r="L440" i="4" s="1"/>
  <c r="F440" i="4"/>
  <c r="A441" i="4"/>
  <c r="J441" i="4" s="1"/>
  <c r="B441" i="4"/>
  <c r="K441" i="4" s="1"/>
  <c r="C441" i="4"/>
  <c r="L441" i="4" s="1"/>
  <c r="A442" i="4"/>
  <c r="J442" i="4" s="1"/>
  <c r="B442" i="4"/>
  <c r="K442" i="4" s="1"/>
  <c r="C442" i="4"/>
  <c r="L442" i="4" s="1"/>
  <c r="A443" i="4"/>
  <c r="J443" i="4" s="1"/>
  <c r="B443" i="4"/>
  <c r="C443" i="4"/>
  <c r="F443" i="4"/>
  <c r="A444" i="4"/>
  <c r="B444" i="4"/>
  <c r="C444" i="4"/>
  <c r="F444" i="4"/>
  <c r="A445" i="4"/>
  <c r="J445" i="4" s="1"/>
  <c r="B445" i="4"/>
  <c r="K445" i="4" s="1"/>
  <c r="H445" i="4"/>
  <c r="P445" i="4" s="1"/>
  <c r="A447" i="4"/>
  <c r="J447" i="4" s="1"/>
  <c r="B447" i="4"/>
  <c r="K447" i="4" s="1"/>
  <c r="C447" i="4"/>
  <c r="L447" i="4" s="1"/>
  <c r="D447" i="4"/>
  <c r="E447" i="4"/>
  <c r="N447" i="4" s="1"/>
  <c r="F447" i="4"/>
  <c r="G447" i="4"/>
  <c r="H447" i="4"/>
  <c r="P447" i="4" s="1"/>
  <c r="A448" i="4"/>
  <c r="J448" i="4" s="1"/>
  <c r="B448" i="4"/>
  <c r="K448" i="4" s="1"/>
  <c r="C448" i="4"/>
  <c r="L448" i="4" s="1"/>
  <c r="D448" i="4"/>
  <c r="E448" i="4"/>
  <c r="N448" i="4" s="1"/>
  <c r="F448" i="4"/>
  <c r="G448" i="4"/>
  <c r="H448" i="4"/>
  <c r="P448" i="4" s="1"/>
  <c r="A450" i="4"/>
  <c r="B450" i="4"/>
  <c r="C450" i="4"/>
  <c r="D450" i="4"/>
  <c r="M450" i="4" s="1"/>
  <c r="E450" i="4"/>
  <c r="N450" i="4" s="1"/>
  <c r="F450" i="4"/>
  <c r="G450" i="4"/>
  <c r="O450" i="4" s="1"/>
  <c r="H450" i="4"/>
  <c r="P450" i="4" s="1"/>
  <c r="A452" i="4"/>
  <c r="J452" i="4" s="1"/>
  <c r="B452" i="4"/>
  <c r="K452" i="4" s="1"/>
  <c r="C452" i="4"/>
  <c r="L452" i="4" s="1"/>
  <c r="D452" i="4"/>
  <c r="E452" i="4"/>
  <c r="N452" i="4" s="1"/>
  <c r="F452" i="4"/>
  <c r="G452" i="4"/>
  <c r="H452" i="4"/>
  <c r="P452" i="4" s="1"/>
  <c r="A453" i="4"/>
  <c r="J453" i="4" s="1"/>
  <c r="B453" i="4"/>
  <c r="K453" i="4" s="1"/>
  <c r="C453" i="4"/>
  <c r="L453" i="4" s="1"/>
  <c r="D453" i="4"/>
  <c r="E453" i="4"/>
  <c r="N453" i="4" s="1"/>
  <c r="F453" i="4"/>
  <c r="G453" i="4"/>
  <c r="H453" i="4"/>
  <c r="P453" i="4" s="1"/>
  <c r="A454" i="4"/>
  <c r="J454" i="4" s="1"/>
  <c r="B454" i="4"/>
  <c r="K454" i="4" s="1"/>
  <c r="C454" i="4"/>
  <c r="L454" i="4" s="1"/>
  <c r="D454" i="4"/>
  <c r="E454" i="4"/>
  <c r="N454" i="4" s="1"/>
  <c r="F454" i="4"/>
  <c r="G454" i="4"/>
  <c r="H454" i="4"/>
  <c r="P454" i="4" s="1"/>
  <c r="A455" i="4"/>
  <c r="J455" i="4" s="1"/>
  <c r="B455" i="4"/>
  <c r="K455" i="4" s="1"/>
  <c r="C455" i="4"/>
  <c r="L455" i="4" s="1"/>
  <c r="D455" i="4"/>
  <c r="E455" i="4"/>
  <c r="N455" i="4" s="1"/>
  <c r="F455" i="4"/>
  <c r="G455" i="4"/>
  <c r="H455" i="4"/>
  <c r="P455" i="4" s="1"/>
  <c r="A456" i="4"/>
  <c r="J456" i="4" s="1"/>
  <c r="B456" i="4"/>
  <c r="K456" i="4" s="1"/>
  <c r="C456" i="4"/>
  <c r="L456" i="4" s="1"/>
  <c r="D456" i="4"/>
  <c r="E456" i="4"/>
  <c r="N456" i="4" s="1"/>
  <c r="F456" i="4"/>
  <c r="G456" i="4"/>
  <c r="H456" i="4"/>
  <c r="P456" i="4" s="1"/>
  <c r="A457" i="4"/>
  <c r="J457" i="4" s="1"/>
  <c r="B457" i="4"/>
  <c r="K457" i="4" s="1"/>
  <c r="C457" i="4"/>
  <c r="L457" i="4" s="1"/>
  <c r="D457" i="4"/>
  <c r="E457" i="4"/>
  <c r="N457" i="4" s="1"/>
  <c r="F457" i="4"/>
  <c r="G457" i="4"/>
  <c r="H457" i="4"/>
  <c r="P457" i="4" s="1"/>
  <c r="A458" i="4"/>
  <c r="J458" i="4" s="1"/>
  <c r="B458" i="4"/>
  <c r="K458" i="4" s="1"/>
  <c r="C458" i="4"/>
  <c r="L458" i="4" s="1"/>
  <c r="D458" i="4"/>
  <c r="E458" i="4"/>
  <c r="N458" i="4" s="1"/>
  <c r="F458" i="4"/>
  <c r="G458" i="4"/>
  <c r="H458" i="4"/>
  <c r="P458" i="4" s="1"/>
  <c r="A333" i="4"/>
  <c r="J333" i="4" s="1"/>
  <c r="B333" i="4"/>
  <c r="K333" i="4" s="1"/>
  <c r="F333" i="4"/>
  <c r="A335" i="4"/>
  <c r="J335" i="4" s="1"/>
  <c r="B335" i="4"/>
  <c r="K335" i="4" s="1"/>
  <c r="C335" i="4"/>
  <c r="L335" i="4" s="1"/>
  <c r="O43" i="2"/>
  <c r="I120" i="1"/>
  <c r="M458" i="4" l="1"/>
  <c r="O458" i="4"/>
  <c r="O456" i="4"/>
  <c r="M456" i="4"/>
  <c r="O447" i="4"/>
  <c r="M447" i="4"/>
  <c r="O457" i="4"/>
  <c r="M457" i="4"/>
  <c r="M455" i="4"/>
  <c r="O455" i="4"/>
  <c r="M454" i="4"/>
  <c r="O454" i="4"/>
  <c r="O453" i="4"/>
  <c r="M453" i="4"/>
  <c r="O452" i="4"/>
  <c r="M452" i="4"/>
  <c r="M448" i="4"/>
  <c r="O448" i="4"/>
  <c r="Z68" i="2"/>
  <c r="Z69" i="2"/>
  <c r="Z70" i="2"/>
  <c r="Z84" i="2"/>
  <c r="Z85" i="2"/>
  <c r="Z99" i="2"/>
  <c r="Z100" i="2"/>
  <c r="Z119" i="2"/>
  <c r="Z120" i="2"/>
  <c r="Z121" i="2"/>
  <c r="Z122" i="2"/>
  <c r="Z143" i="2"/>
  <c r="Z144" i="2"/>
  <c r="Z163" i="2"/>
  <c r="Z164" i="2"/>
  <c r="Z187" i="2"/>
  <c r="Z188" i="2"/>
  <c r="Z189" i="2"/>
  <c r="Z231" i="2"/>
  <c r="Z248" i="2"/>
  <c r="Z283" i="2"/>
  <c r="Z284" i="2"/>
  <c r="Z311" i="2"/>
  <c r="Z312" i="2"/>
  <c r="Z319" i="2"/>
  <c r="Z320" i="2"/>
  <c r="Z333" i="2"/>
  <c r="Z334" i="2"/>
  <c r="Z349" i="2"/>
  <c r="Z350" i="2"/>
  <c r="Z382"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Z123" i="2" s="1"/>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Z101" i="2" s="1"/>
  <c r="O31" i="2"/>
  <c r="O32" i="2"/>
  <c r="O33" i="2"/>
  <c r="O34" i="2"/>
  <c r="O35" i="2"/>
  <c r="O36" i="2"/>
  <c r="O37" i="2"/>
  <c r="O38" i="2"/>
  <c r="O39" i="2"/>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26" i="2"/>
  <c r="Z28" i="2"/>
  <c r="J30" i="2"/>
  <c r="J31" i="2"/>
  <c r="J32" i="2"/>
  <c r="J33" i="2"/>
  <c r="J34" i="2"/>
  <c r="J35"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71" i="2"/>
  <c r="J72" i="2"/>
  <c r="J73" i="2"/>
  <c r="J74" i="2"/>
  <c r="J75" i="2"/>
  <c r="J76" i="2"/>
  <c r="J77" i="2"/>
  <c r="J78" i="2"/>
  <c r="J79" i="2"/>
  <c r="J80" i="2"/>
  <c r="J81" i="2"/>
  <c r="J82" i="2"/>
  <c r="J86" i="2"/>
  <c r="J87" i="2"/>
  <c r="J88" i="2"/>
  <c r="J89" i="2"/>
  <c r="J90" i="2"/>
  <c r="J91" i="2"/>
  <c r="J92" i="2"/>
  <c r="J93" i="2"/>
  <c r="J94" i="2"/>
  <c r="J95" i="2"/>
  <c r="J96" i="2"/>
  <c r="J97" i="2"/>
  <c r="J101" i="2"/>
  <c r="J102" i="2"/>
  <c r="J103" i="2"/>
  <c r="J104" i="2"/>
  <c r="J105" i="2"/>
  <c r="J106" i="2"/>
  <c r="J107" i="2"/>
  <c r="J108" i="2"/>
  <c r="J109" i="2"/>
  <c r="J110" i="2"/>
  <c r="J111" i="2"/>
  <c r="J112" i="2"/>
  <c r="J113" i="2"/>
  <c r="J114" i="2"/>
  <c r="J115" i="2"/>
  <c r="J117" i="2"/>
  <c r="J119" i="2"/>
  <c r="J120" i="2"/>
  <c r="J121" i="2"/>
  <c r="J122" i="2"/>
  <c r="J123" i="2"/>
  <c r="J124" i="2"/>
  <c r="J125" i="2"/>
  <c r="J126" i="2"/>
  <c r="J127" i="2"/>
  <c r="J128" i="2"/>
  <c r="J129" i="2"/>
  <c r="J130" i="2"/>
  <c r="J131" i="2"/>
  <c r="J132" i="2"/>
  <c r="J133" i="2"/>
  <c r="J134" i="2"/>
  <c r="J135" i="2"/>
  <c r="J136" i="2"/>
  <c r="J137" i="2"/>
  <c r="J138" i="2"/>
  <c r="J139" i="2"/>
  <c r="J140" i="2"/>
  <c r="J145" i="2"/>
  <c r="J146" i="2"/>
  <c r="J147" i="2"/>
  <c r="J148" i="2"/>
  <c r="J149" i="2"/>
  <c r="J150" i="2"/>
  <c r="J151" i="2"/>
  <c r="J152" i="2"/>
  <c r="J153" i="2"/>
  <c r="J154" i="2"/>
  <c r="J155" i="2"/>
  <c r="J156" i="2"/>
  <c r="J157" i="2"/>
  <c r="J158" i="2"/>
  <c r="J159" i="2"/>
  <c r="J160" i="2"/>
  <c r="J161" i="2"/>
  <c r="J165" i="2"/>
  <c r="J166" i="2"/>
  <c r="J167" i="2"/>
  <c r="J168" i="2"/>
  <c r="J169" i="2"/>
  <c r="J170" i="2"/>
  <c r="J171" i="2"/>
  <c r="J172" i="2"/>
  <c r="J173" i="2"/>
  <c r="J174" i="2"/>
  <c r="J175" i="2"/>
  <c r="J176" i="2"/>
  <c r="J177" i="2"/>
  <c r="J178" i="2"/>
  <c r="J179" i="2"/>
  <c r="J180" i="2"/>
  <c r="J181" i="2"/>
  <c r="J182" i="2"/>
  <c r="J183" i="2"/>
  <c r="J184" i="2"/>
  <c r="J185"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2" i="2"/>
  <c r="J233" i="2"/>
  <c r="J234" i="2"/>
  <c r="J235" i="2"/>
  <c r="J236" i="2"/>
  <c r="J237" i="2"/>
  <c r="J238" i="2"/>
  <c r="J239" i="2"/>
  <c r="J240" i="2"/>
  <c r="J241" i="2"/>
  <c r="J242" i="2"/>
  <c r="J243" i="2"/>
  <c r="J244" i="2"/>
  <c r="J245" i="2"/>
  <c r="J246"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5" i="2"/>
  <c r="C285" i="3" s="1"/>
  <c r="J286" i="2"/>
  <c r="C286" i="3" s="1"/>
  <c r="J287" i="2"/>
  <c r="C287" i="3" s="1"/>
  <c r="J288" i="2"/>
  <c r="C288" i="3" s="1"/>
  <c r="J289" i="2"/>
  <c r="C289" i="3" s="1"/>
  <c r="J290" i="2"/>
  <c r="C290" i="3" s="1"/>
  <c r="J291" i="2"/>
  <c r="C291" i="3" s="1"/>
  <c r="J292" i="2"/>
  <c r="C292" i="3" s="1"/>
  <c r="J293" i="2"/>
  <c r="C293" i="3" s="1"/>
  <c r="J294" i="2"/>
  <c r="J295" i="2"/>
  <c r="C295" i="3" s="1"/>
  <c r="J296" i="2"/>
  <c r="C296" i="3" s="1"/>
  <c r="J297" i="2"/>
  <c r="C297" i="3" s="1"/>
  <c r="J298" i="2"/>
  <c r="C298" i="3" s="1"/>
  <c r="J299" i="2"/>
  <c r="C299" i="3" s="1"/>
  <c r="J300" i="2"/>
  <c r="C300" i="3" s="1"/>
  <c r="J301" i="2"/>
  <c r="C301" i="3" s="1"/>
  <c r="J302" i="2"/>
  <c r="C302" i="3" s="1"/>
  <c r="J303" i="2"/>
  <c r="C303" i="3" s="1"/>
  <c r="J305" i="2"/>
  <c r="C305" i="3" s="1"/>
  <c r="J306" i="2"/>
  <c r="C306" i="3" s="1"/>
  <c r="J309" i="2"/>
  <c r="C309" i="3" s="1"/>
  <c r="J313" i="2"/>
  <c r="C313" i="3" s="1"/>
  <c r="J314" i="2"/>
  <c r="J315" i="2"/>
  <c r="C315" i="3" s="1"/>
  <c r="J316" i="2"/>
  <c r="C316" i="3" s="1"/>
  <c r="J317" i="2"/>
  <c r="C317" i="3" s="1"/>
  <c r="J321" i="2"/>
  <c r="C321" i="3" s="1"/>
  <c r="J322" i="2"/>
  <c r="J323" i="2"/>
  <c r="C323" i="3" s="1"/>
  <c r="J324" i="2"/>
  <c r="C324" i="3" s="1"/>
  <c r="J325" i="2"/>
  <c r="C325" i="3" s="1"/>
  <c r="J326" i="2"/>
  <c r="J327" i="2"/>
  <c r="C327" i="3" s="1"/>
  <c r="J328" i="2"/>
  <c r="C328" i="3" s="1"/>
  <c r="J329" i="2"/>
  <c r="C329" i="3" s="1"/>
  <c r="J330" i="2"/>
  <c r="J331" i="2"/>
  <c r="J332" i="2"/>
  <c r="C332" i="3" s="1"/>
  <c r="J335" i="2"/>
  <c r="J336" i="2"/>
  <c r="J337" i="2"/>
  <c r="C337" i="3" s="1"/>
  <c r="J338" i="2"/>
  <c r="C338" i="3" s="1"/>
  <c r="J339" i="2"/>
  <c r="C339" i="3" s="1"/>
  <c r="J340" i="2"/>
  <c r="C340" i="3" s="1"/>
  <c r="J341" i="2"/>
  <c r="C341" i="3" s="1"/>
  <c r="J342" i="2"/>
  <c r="C342" i="3" s="1"/>
  <c r="J343" i="2"/>
  <c r="J344" i="2"/>
  <c r="C344" i="3" s="1"/>
  <c r="J345" i="2"/>
  <c r="C345" i="3" s="1"/>
  <c r="J346" i="2"/>
  <c r="C346" i="3" s="1"/>
  <c r="J347" i="2"/>
  <c r="C347" i="3" s="1"/>
  <c r="J351" i="2"/>
  <c r="J352" i="2"/>
  <c r="C352" i="3" s="1"/>
  <c r="J353" i="2"/>
  <c r="C353" i="3" s="1"/>
  <c r="J354" i="2"/>
  <c r="C354" i="3" s="1"/>
  <c r="J355" i="2"/>
  <c r="C355" i="3" s="1"/>
  <c r="J356" i="2"/>
  <c r="C356" i="3" s="1"/>
  <c r="J357" i="2"/>
  <c r="C357" i="3" s="1"/>
  <c r="J358" i="2"/>
  <c r="J359" i="2"/>
  <c r="J360" i="2"/>
  <c r="C360" i="3" s="1"/>
  <c r="J361" i="2"/>
  <c r="C361" i="3" s="1"/>
  <c r="J362" i="2"/>
  <c r="J363" i="2"/>
  <c r="C363" i="3" s="1"/>
  <c r="J364" i="2"/>
  <c r="C364" i="3" s="1"/>
  <c r="J365" i="2"/>
  <c r="C365" i="3" s="1"/>
  <c r="J366" i="2"/>
  <c r="J367" i="2"/>
  <c r="J368" i="2"/>
  <c r="C368" i="3" s="1"/>
  <c r="J369" i="2"/>
  <c r="C369" i="3" s="1"/>
  <c r="J370" i="2"/>
  <c r="J371" i="2"/>
  <c r="C371" i="3" s="1"/>
  <c r="J372" i="2"/>
  <c r="C372" i="3" s="1"/>
  <c r="J373" i="2"/>
  <c r="C373" i="3" s="1"/>
  <c r="J374" i="2"/>
  <c r="J375" i="2"/>
  <c r="J376" i="2"/>
  <c r="C376" i="3" s="1"/>
  <c r="J377" i="2"/>
  <c r="C377" i="3" s="1"/>
  <c r="J378" i="2"/>
  <c r="J379" i="2"/>
  <c r="C379" i="3" s="1"/>
  <c r="J380" i="2"/>
  <c r="C380" i="3" s="1"/>
  <c r="J381" i="2"/>
  <c r="C381" i="3" s="1"/>
  <c r="J383" i="2"/>
  <c r="J384" i="2"/>
  <c r="C384" i="3" s="1"/>
  <c r="J385" i="2"/>
  <c r="C385" i="3" s="1"/>
  <c r="J386" i="2"/>
  <c r="J387" i="2"/>
  <c r="J13" i="2"/>
  <c r="J14" i="2"/>
  <c r="J15" i="2"/>
  <c r="J16" i="2"/>
  <c r="J17" i="2"/>
  <c r="J18" i="2"/>
  <c r="J19" i="2"/>
  <c r="J20" i="2"/>
  <c r="J23" i="2"/>
  <c r="J24" i="2"/>
  <c r="J26" i="2"/>
  <c r="J27" i="2"/>
  <c r="J8" i="2"/>
  <c r="J9" i="2"/>
  <c r="J10" i="2"/>
  <c r="J11" i="2"/>
  <c r="J12" i="2"/>
  <c r="J6" i="2"/>
  <c r="J7" i="2"/>
  <c r="J5" i="2"/>
  <c r="G283" i="2"/>
  <c r="D332" i="4" s="1"/>
  <c r="H283" i="2"/>
  <c r="E332" i="4" s="1"/>
  <c r="I283" i="2"/>
  <c r="G284" i="2"/>
  <c r="H284" i="2"/>
  <c r="I284" i="2"/>
  <c r="G285" i="2"/>
  <c r="D335" i="4" s="1"/>
  <c r="H285" i="2"/>
  <c r="E335" i="4" s="1"/>
  <c r="N335" i="4" s="1"/>
  <c r="I285" i="2"/>
  <c r="T285" i="2" s="1"/>
  <c r="D285" i="3" s="1"/>
  <c r="G286" i="2"/>
  <c r="H286" i="2"/>
  <c r="E336" i="4" s="1"/>
  <c r="N336" i="4" s="1"/>
  <c r="I286" i="2"/>
  <c r="G287" i="2"/>
  <c r="D337" i="4" s="1"/>
  <c r="M337" i="4" s="1"/>
  <c r="H287" i="2"/>
  <c r="I287" i="2"/>
  <c r="T287" i="2" s="1"/>
  <c r="D287" i="3" s="1"/>
  <c r="G288" i="2"/>
  <c r="D338" i="4" s="1"/>
  <c r="H288" i="2"/>
  <c r="E338" i="4" s="1"/>
  <c r="N338" i="4" s="1"/>
  <c r="I288" i="2"/>
  <c r="T288" i="2" s="1"/>
  <c r="D288" i="3" s="1"/>
  <c r="G289" i="2"/>
  <c r="D339" i="4" s="1"/>
  <c r="H289" i="2"/>
  <c r="I289" i="2"/>
  <c r="T289" i="2" s="1"/>
  <c r="D289" i="3" s="1"/>
  <c r="G290" i="2"/>
  <c r="H290" i="2"/>
  <c r="E340" i="4" s="1"/>
  <c r="N340" i="4" s="1"/>
  <c r="I290" i="2"/>
  <c r="G291" i="2"/>
  <c r="H291" i="2"/>
  <c r="I291" i="2"/>
  <c r="T291" i="2" s="1"/>
  <c r="D291" i="3" s="1"/>
  <c r="G292" i="2"/>
  <c r="D342" i="4" s="1"/>
  <c r="H292" i="2"/>
  <c r="E342" i="4" s="1"/>
  <c r="N342" i="4" s="1"/>
  <c r="I292" i="2"/>
  <c r="T292" i="2" s="1"/>
  <c r="D292" i="3" s="1"/>
  <c r="G293" i="2"/>
  <c r="D343" i="4" s="1"/>
  <c r="H293" i="2"/>
  <c r="E343" i="4" s="1"/>
  <c r="N343" i="4" s="1"/>
  <c r="I293" i="2"/>
  <c r="T293" i="2" s="1"/>
  <c r="D293" i="3" s="1"/>
  <c r="E293" i="3" s="1"/>
  <c r="G294" i="2"/>
  <c r="H294" i="2"/>
  <c r="E344" i="4" s="1"/>
  <c r="N344" i="4" s="1"/>
  <c r="I294" i="2"/>
  <c r="G295" i="2"/>
  <c r="D345" i="4" s="1"/>
  <c r="M345" i="4" s="1"/>
  <c r="H295" i="2"/>
  <c r="I295" i="2"/>
  <c r="T295" i="2" s="1"/>
  <c r="D295" i="3" s="1"/>
  <c r="G296" i="2"/>
  <c r="D346" i="4" s="1"/>
  <c r="H296" i="2"/>
  <c r="I296" i="2"/>
  <c r="T296" i="2" s="1"/>
  <c r="D296" i="3" s="1"/>
  <c r="G297" i="2"/>
  <c r="D347" i="4" s="1"/>
  <c r="H297" i="2"/>
  <c r="I297" i="2"/>
  <c r="T297" i="2" s="1"/>
  <c r="D297" i="3" s="1"/>
  <c r="G298" i="2"/>
  <c r="H298" i="2"/>
  <c r="E348" i="4" s="1"/>
  <c r="N348" i="4" s="1"/>
  <c r="I298" i="2"/>
  <c r="G299" i="2"/>
  <c r="D349" i="4" s="1"/>
  <c r="M349" i="4" s="1"/>
  <c r="H299" i="2"/>
  <c r="I299" i="2"/>
  <c r="G300" i="2"/>
  <c r="H300" i="2"/>
  <c r="I300" i="2"/>
  <c r="T300" i="2" s="1"/>
  <c r="D300" i="3" s="1"/>
  <c r="G301" i="2"/>
  <c r="D351" i="4" s="1"/>
  <c r="M351" i="4" s="1"/>
  <c r="H301" i="2"/>
  <c r="I301" i="2"/>
  <c r="T301" i="2" s="1"/>
  <c r="D301" i="3" s="1"/>
  <c r="G302" i="2"/>
  <c r="H302" i="2"/>
  <c r="E352" i="4" s="1"/>
  <c r="N352" i="4" s="1"/>
  <c r="I302" i="2"/>
  <c r="G303" i="2"/>
  <c r="H303" i="2"/>
  <c r="I303" i="2"/>
  <c r="G304" i="2"/>
  <c r="D354" i="4" s="1"/>
  <c r="H304" i="2"/>
  <c r="E354" i="4" s="1"/>
  <c r="I304" i="2"/>
  <c r="G305" i="2"/>
  <c r="D355" i="4" s="1"/>
  <c r="M355" i="4" s="1"/>
  <c r="H305" i="2"/>
  <c r="I305" i="2"/>
  <c r="T305" i="2" s="1"/>
  <c r="D305" i="3" s="1"/>
  <c r="G306" i="2"/>
  <c r="H306" i="2"/>
  <c r="E356" i="4" s="1"/>
  <c r="N356" i="4" s="1"/>
  <c r="I306" i="2"/>
  <c r="G307" i="2"/>
  <c r="D358" i="4" s="1"/>
  <c r="M358" i="4" s="1"/>
  <c r="H307" i="2"/>
  <c r="I307" i="2"/>
  <c r="T307" i="2" s="1"/>
  <c r="D307" i="3" s="1"/>
  <c r="G308" i="2"/>
  <c r="D359" i="4" s="1"/>
  <c r="M359" i="4" s="1"/>
  <c r="H308" i="2"/>
  <c r="I308" i="2"/>
  <c r="T308" i="2" s="1"/>
  <c r="D308" i="3" s="1"/>
  <c r="G309" i="2"/>
  <c r="D360" i="4" s="1"/>
  <c r="M360" i="4" s="1"/>
  <c r="H309" i="2"/>
  <c r="I309" i="2"/>
  <c r="G310" i="2"/>
  <c r="D361" i="4" s="1"/>
  <c r="H310" i="2"/>
  <c r="E361" i="4" s="1"/>
  <c r="I310" i="2"/>
  <c r="G311" i="2"/>
  <c r="H311" i="2"/>
  <c r="I311" i="2"/>
  <c r="G312" i="2"/>
  <c r="H312" i="2"/>
  <c r="I312" i="2"/>
  <c r="G313" i="2"/>
  <c r="D365" i="4" s="1"/>
  <c r="M365" i="4" s="1"/>
  <c r="H313" i="2"/>
  <c r="E365" i="4" s="1"/>
  <c r="N365" i="4" s="1"/>
  <c r="I313" i="2"/>
  <c r="T313" i="2" s="1"/>
  <c r="D313" i="3" s="1"/>
  <c r="E313" i="3" s="1"/>
  <c r="G314" i="2"/>
  <c r="H314" i="2"/>
  <c r="E366" i="4" s="1"/>
  <c r="N366" i="4" s="1"/>
  <c r="I314" i="2"/>
  <c r="G315" i="2"/>
  <c r="D367" i="4" s="1"/>
  <c r="M367" i="4" s="1"/>
  <c r="H315" i="2"/>
  <c r="I315" i="2"/>
  <c r="T315" i="2" s="1"/>
  <c r="D315" i="3" s="1"/>
  <c r="G316" i="2"/>
  <c r="D368" i="4" s="1"/>
  <c r="H316" i="2"/>
  <c r="E368" i="4" s="1"/>
  <c r="N368" i="4" s="1"/>
  <c r="I316" i="2"/>
  <c r="T316" i="2" s="1"/>
  <c r="D316" i="3" s="1"/>
  <c r="G317" i="2"/>
  <c r="D369" i="4" s="1"/>
  <c r="M369" i="4" s="1"/>
  <c r="H317" i="2"/>
  <c r="I317" i="2"/>
  <c r="T317" i="2" s="1"/>
  <c r="D317" i="3" s="1"/>
  <c r="G318" i="2"/>
  <c r="D370" i="4" s="1"/>
  <c r="H318" i="2"/>
  <c r="E370" i="4" s="1"/>
  <c r="I318" i="2"/>
  <c r="G319" i="2"/>
  <c r="H319" i="2"/>
  <c r="I319" i="2"/>
  <c r="G320" i="2"/>
  <c r="H320" i="2"/>
  <c r="I320" i="2"/>
  <c r="G321" i="2"/>
  <c r="D374" i="4" s="1"/>
  <c r="H321" i="2"/>
  <c r="E374" i="4" s="1"/>
  <c r="N374" i="4" s="1"/>
  <c r="I321" i="2"/>
  <c r="G322" i="2"/>
  <c r="H322" i="2"/>
  <c r="E375" i="4" s="1"/>
  <c r="N375" i="4" s="1"/>
  <c r="I322" i="2"/>
  <c r="T322" i="2" s="1"/>
  <c r="D322" i="3" s="1"/>
  <c r="G323" i="2"/>
  <c r="D376" i="4" s="1"/>
  <c r="M376" i="4" s="1"/>
  <c r="H323" i="2"/>
  <c r="I323" i="2"/>
  <c r="T323" i="2" s="1"/>
  <c r="D323" i="3" s="1"/>
  <c r="G324" i="2"/>
  <c r="D377" i="4" s="1"/>
  <c r="M377" i="4" s="1"/>
  <c r="H324" i="2"/>
  <c r="E377" i="4" s="1"/>
  <c r="N377" i="4" s="1"/>
  <c r="I324" i="2"/>
  <c r="T324" i="2" s="1"/>
  <c r="D324" i="3" s="1"/>
  <c r="G325" i="2"/>
  <c r="D378" i="4" s="1"/>
  <c r="M378" i="4" s="1"/>
  <c r="H325" i="2"/>
  <c r="I325" i="2"/>
  <c r="T325" i="2" s="1"/>
  <c r="D325" i="3" s="1"/>
  <c r="G326" i="2"/>
  <c r="D379" i="4" s="1"/>
  <c r="H326" i="2"/>
  <c r="E379" i="4" s="1"/>
  <c r="I326" i="2"/>
  <c r="G327" i="2"/>
  <c r="H327" i="2"/>
  <c r="I327" i="2"/>
  <c r="T327" i="2" s="1"/>
  <c r="D327" i="3" s="1"/>
  <c r="G328" i="2"/>
  <c r="H328" i="2"/>
  <c r="E381" i="4" s="1"/>
  <c r="N381" i="4" s="1"/>
  <c r="I328" i="2"/>
  <c r="T328" i="2" s="1"/>
  <c r="D328" i="3" s="1"/>
  <c r="G329" i="2"/>
  <c r="D382" i="4" s="1"/>
  <c r="H329" i="2"/>
  <c r="E382" i="4" s="1"/>
  <c r="N382" i="4" s="1"/>
  <c r="I329" i="2"/>
  <c r="G330" i="2"/>
  <c r="H330" i="2"/>
  <c r="E383" i="4" s="1"/>
  <c r="N383" i="4" s="1"/>
  <c r="I330" i="2"/>
  <c r="G331" i="2"/>
  <c r="D384" i="4" s="1"/>
  <c r="M384" i="4" s="1"/>
  <c r="H331" i="2"/>
  <c r="I331" i="2"/>
  <c r="T331" i="2" s="1"/>
  <c r="D331" i="3" s="1"/>
  <c r="G332" i="2"/>
  <c r="D385" i="4" s="1"/>
  <c r="H332" i="2"/>
  <c r="E385" i="4" s="1"/>
  <c r="N385" i="4" s="1"/>
  <c r="I332" i="2"/>
  <c r="T332" i="2" s="1"/>
  <c r="D332" i="3" s="1"/>
  <c r="G333" i="2"/>
  <c r="D386" i="4" s="1"/>
  <c r="H333" i="2"/>
  <c r="E386" i="4" s="1"/>
  <c r="I333" i="2"/>
  <c r="G334" i="2"/>
  <c r="D387" i="4" s="1"/>
  <c r="H334" i="2"/>
  <c r="E387" i="4" s="1"/>
  <c r="I334" i="2"/>
  <c r="G335" i="2"/>
  <c r="D388" i="4" s="1"/>
  <c r="M388" i="4" s="1"/>
  <c r="H335" i="2"/>
  <c r="I335" i="2"/>
  <c r="T335" i="2" s="1"/>
  <c r="D335" i="3" s="1"/>
  <c r="G336" i="2"/>
  <c r="D389" i="4" s="1"/>
  <c r="H336" i="2"/>
  <c r="E389" i="4" s="1"/>
  <c r="I336" i="2"/>
  <c r="G337" i="2"/>
  <c r="D390" i="4" s="1"/>
  <c r="H337" i="2"/>
  <c r="E390" i="4" s="1"/>
  <c r="N390" i="4" s="1"/>
  <c r="I337" i="2"/>
  <c r="T337" i="2" s="1"/>
  <c r="D337" i="3" s="1"/>
  <c r="G338" i="2"/>
  <c r="H338" i="2"/>
  <c r="E391" i="4" s="1"/>
  <c r="N391" i="4" s="1"/>
  <c r="I338" i="2"/>
  <c r="T338" i="2" s="1"/>
  <c r="D338" i="3" s="1"/>
  <c r="G339" i="2"/>
  <c r="D392" i="4" s="1"/>
  <c r="M392" i="4" s="1"/>
  <c r="H339" i="2"/>
  <c r="I339" i="2"/>
  <c r="T339" i="2" s="1"/>
  <c r="D339" i="3" s="1"/>
  <c r="G340" i="2"/>
  <c r="D393" i="4" s="1"/>
  <c r="M393" i="4" s="1"/>
  <c r="H340" i="2"/>
  <c r="E393" i="4" s="1"/>
  <c r="N393" i="4" s="1"/>
  <c r="I340" i="2"/>
  <c r="T340" i="2" s="1"/>
  <c r="D340" i="3" s="1"/>
  <c r="G341" i="2"/>
  <c r="D394" i="4" s="1"/>
  <c r="H341" i="2"/>
  <c r="I341" i="2"/>
  <c r="T341" i="2" s="1"/>
  <c r="D341" i="3" s="1"/>
  <c r="G342" i="2"/>
  <c r="H342" i="2"/>
  <c r="E395" i="4" s="1"/>
  <c r="N395" i="4" s="1"/>
  <c r="I342" i="2"/>
  <c r="G343" i="2"/>
  <c r="D396" i="4" s="1"/>
  <c r="M396" i="4" s="1"/>
  <c r="H343" i="2"/>
  <c r="I343" i="2"/>
  <c r="T343" i="2" s="1"/>
  <c r="D343" i="3" s="1"/>
  <c r="G344" i="2"/>
  <c r="D397" i="4" s="1"/>
  <c r="H344" i="2"/>
  <c r="I344" i="2"/>
  <c r="G345" i="2"/>
  <c r="D398" i="4" s="1"/>
  <c r="M398" i="4" s="1"/>
  <c r="H345" i="2"/>
  <c r="I345" i="2"/>
  <c r="G346" i="2"/>
  <c r="H346" i="2"/>
  <c r="E399" i="4" s="1"/>
  <c r="N399" i="4" s="1"/>
  <c r="I346" i="2"/>
  <c r="G347" i="2"/>
  <c r="D400" i="4" s="1"/>
  <c r="M400" i="4" s="1"/>
  <c r="H347" i="2"/>
  <c r="I347" i="2"/>
  <c r="G348" i="2"/>
  <c r="D401" i="4" s="1"/>
  <c r="H348" i="2"/>
  <c r="E401" i="4" s="1"/>
  <c r="I348" i="2"/>
  <c r="G349" i="2"/>
  <c r="D402" i="4" s="1"/>
  <c r="H349" i="2"/>
  <c r="E402" i="4" s="1"/>
  <c r="I349" i="2"/>
  <c r="G350" i="2"/>
  <c r="H350" i="2"/>
  <c r="I350" i="2"/>
  <c r="H351" i="2"/>
  <c r="I351" i="2"/>
  <c r="T351" i="2" s="1"/>
  <c r="D351" i="3" s="1"/>
  <c r="G352" i="2"/>
  <c r="D407" i="4" s="1"/>
  <c r="I352" i="2"/>
  <c r="T352" i="2" s="1"/>
  <c r="D352" i="3" s="1"/>
  <c r="H353" i="2"/>
  <c r="E408" i="4" s="1"/>
  <c r="N408" i="4" s="1"/>
  <c r="I353" i="2"/>
  <c r="T353" i="2" s="1"/>
  <c r="D353" i="3" s="1"/>
  <c r="G354" i="2"/>
  <c r="I354" i="2"/>
  <c r="H355" i="2"/>
  <c r="I355" i="2"/>
  <c r="T355" i="2" s="1"/>
  <c r="D355" i="3" s="1"/>
  <c r="H356" i="2"/>
  <c r="E411" i="4" s="1"/>
  <c r="N411" i="4" s="1"/>
  <c r="I356" i="2"/>
  <c r="T356" i="2" s="1"/>
  <c r="D356" i="3" s="1"/>
  <c r="G357" i="2"/>
  <c r="D412" i="4" s="1"/>
  <c r="I357" i="2"/>
  <c r="H358" i="2"/>
  <c r="E413" i="4" s="1"/>
  <c r="N413" i="4" s="1"/>
  <c r="I358" i="2"/>
  <c r="G359" i="2"/>
  <c r="I359" i="2"/>
  <c r="T359" i="2" s="1"/>
  <c r="D359" i="3" s="1"/>
  <c r="H360" i="2"/>
  <c r="E415" i="4" s="1"/>
  <c r="N415" i="4" s="1"/>
  <c r="I360" i="2"/>
  <c r="T360" i="2" s="1"/>
  <c r="D360" i="3" s="1"/>
  <c r="G361" i="2"/>
  <c r="D416" i="4" s="1"/>
  <c r="M416" i="4" s="1"/>
  <c r="I361" i="2"/>
  <c r="T361" i="2" s="1"/>
  <c r="D361" i="3" s="1"/>
  <c r="H362" i="2"/>
  <c r="E417" i="4" s="1"/>
  <c r="N417" i="4" s="1"/>
  <c r="I362" i="2"/>
  <c r="G363" i="2"/>
  <c r="D418" i="4" s="1"/>
  <c r="M418" i="4" s="1"/>
  <c r="I363" i="2"/>
  <c r="T363" i="2" s="1"/>
  <c r="D363" i="3" s="1"/>
  <c r="H364" i="2"/>
  <c r="E419" i="4" s="1"/>
  <c r="N419" i="4" s="1"/>
  <c r="I364" i="2"/>
  <c r="T364" i="2" s="1"/>
  <c r="D364" i="3" s="1"/>
  <c r="G365" i="2"/>
  <c r="D420" i="4" s="1"/>
  <c r="I365" i="2"/>
  <c r="H366" i="2"/>
  <c r="E421" i="4" s="1"/>
  <c r="N421" i="4" s="1"/>
  <c r="I366" i="2"/>
  <c r="T366" i="2" s="1"/>
  <c r="D366" i="3" s="1"/>
  <c r="H367" i="2"/>
  <c r="I367" i="2"/>
  <c r="T367" i="2" s="1"/>
  <c r="D367" i="3" s="1"/>
  <c r="G368" i="2"/>
  <c r="D423" i="4" s="1"/>
  <c r="M423" i="4" s="1"/>
  <c r="I368" i="2"/>
  <c r="T368" i="2" s="1"/>
  <c r="D368" i="3" s="1"/>
  <c r="H369" i="2"/>
  <c r="I369" i="2"/>
  <c r="T369" i="2" s="1"/>
  <c r="D369" i="3" s="1"/>
  <c r="G370" i="2"/>
  <c r="I370" i="2"/>
  <c r="H371" i="2"/>
  <c r="I371" i="2"/>
  <c r="T371" i="2" s="1"/>
  <c r="D371" i="3" s="1"/>
  <c r="G372" i="2"/>
  <c r="D427" i="4" s="1"/>
  <c r="I372" i="2"/>
  <c r="T372" i="2" s="1"/>
  <c r="D372" i="3" s="1"/>
  <c r="H373" i="2"/>
  <c r="E428" i="4" s="1"/>
  <c r="N428" i="4" s="1"/>
  <c r="I373" i="2"/>
  <c r="T373" i="2" s="1"/>
  <c r="D373" i="3" s="1"/>
  <c r="G374" i="2"/>
  <c r="I374" i="2"/>
  <c r="H375" i="2"/>
  <c r="I375" i="2"/>
  <c r="T375" i="2" s="1"/>
  <c r="D375" i="3" s="1"/>
  <c r="G376" i="2"/>
  <c r="D431" i="4" s="1"/>
  <c r="M431" i="4" s="1"/>
  <c r="I376" i="2"/>
  <c r="T376" i="2" s="1"/>
  <c r="D376" i="3" s="1"/>
  <c r="H377" i="2"/>
  <c r="E432" i="4" s="1"/>
  <c r="N432" i="4" s="1"/>
  <c r="I377" i="2"/>
  <c r="G378" i="2"/>
  <c r="I378" i="2"/>
  <c r="H379" i="2"/>
  <c r="I379" i="2"/>
  <c r="T379" i="2" s="1"/>
  <c r="D379" i="3" s="1"/>
  <c r="G380" i="2"/>
  <c r="D435" i="4" s="1"/>
  <c r="I380" i="2"/>
  <c r="T380" i="2" s="1"/>
  <c r="D380" i="3" s="1"/>
  <c r="H381" i="2"/>
  <c r="E436" i="4" s="1"/>
  <c r="N436" i="4" s="1"/>
  <c r="I381" i="2"/>
  <c r="T381" i="2" s="1"/>
  <c r="D381" i="3" s="1"/>
  <c r="G382" i="2"/>
  <c r="D437" i="4" s="1"/>
  <c r="H382" i="2"/>
  <c r="E437" i="4" s="1"/>
  <c r="I382" i="2"/>
  <c r="G383" i="2"/>
  <c r="D438" i="4" s="1"/>
  <c r="I383" i="2"/>
  <c r="H384" i="2"/>
  <c r="I384" i="2"/>
  <c r="T384" i="2" s="1"/>
  <c r="D384" i="3" s="1"/>
  <c r="G385" i="2"/>
  <c r="D440" i="4" s="1"/>
  <c r="M440" i="4" s="1"/>
  <c r="I385" i="2"/>
  <c r="H386" i="2"/>
  <c r="E441" i="4" s="1"/>
  <c r="N441" i="4" s="1"/>
  <c r="I386" i="2"/>
  <c r="T386" i="2" s="1"/>
  <c r="D386" i="3" s="1"/>
  <c r="G387" i="2"/>
  <c r="I387" i="2"/>
  <c r="G388" i="2"/>
  <c r="D443" i="4" s="1"/>
  <c r="H388" i="2"/>
  <c r="E443" i="4" s="1"/>
  <c r="I388" i="2"/>
  <c r="G389" i="2"/>
  <c r="D444" i="4" s="1"/>
  <c r="H389" i="2"/>
  <c r="E444" i="4" s="1"/>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D286" i="3" s="1"/>
  <c r="S290" i="2"/>
  <c r="T290" i="2"/>
  <c r="D290" i="3" s="1"/>
  <c r="R292" i="2"/>
  <c r="S293" i="2"/>
  <c r="T294" i="2"/>
  <c r="D294" i="3" s="1"/>
  <c r="T298" i="2"/>
  <c r="D298" i="3" s="1"/>
  <c r="T299" i="2"/>
  <c r="D299" i="3" s="1"/>
  <c r="T302" i="2"/>
  <c r="D302" i="3" s="1"/>
  <c r="R305" i="2"/>
  <c r="T306" i="2"/>
  <c r="D306" i="3" s="1"/>
  <c r="R308" i="2"/>
  <c r="Y308" i="2" s="1"/>
  <c r="T314" i="2"/>
  <c r="D314" i="3" s="1"/>
  <c r="R316" i="2"/>
  <c r="Y316" i="2" s="1"/>
  <c r="S321" i="2"/>
  <c r="R324" i="2"/>
  <c r="R325" i="2"/>
  <c r="Y325" i="2" s="1"/>
  <c r="S329" i="2"/>
  <c r="T330" i="2"/>
  <c r="D330" i="3" s="1"/>
  <c r="R332" i="2"/>
  <c r="S337" i="2"/>
  <c r="R340" i="2"/>
  <c r="Y340" i="2" s="1"/>
  <c r="R341" i="2"/>
  <c r="T342" i="2"/>
  <c r="D342" i="3" s="1"/>
  <c r="R344" i="2"/>
  <c r="Y344" i="2" s="1"/>
  <c r="R352" i="2"/>
  <c r="Y352" i="2" s="1"/>
  <c r="T357" i="2"/>
  <c r="D357" i="3" s="1"/>
  <c r="T358" i="2"/>
  <c r="D358" i="3" s="1"/>
  <c r="S360" i="2"/>
  <c r="T362" i="2"/>
  <c r="D362" i="3" s="1"/>
  <c r="T365" i="2"/>
  <c r="D365" i="3" s="1"/>
  <c r="R368" i="2"/>
  <c r="Y368" i="2" s="1"/>
  <c r="T370" i="2"/>
  <c r="D370" i="3" s="1"/>
  <c r="T374" i="2"/>
  <c r="D374" i="3" s="1"/>
  <c r="R376" i="2"/>
  <c r="Y376" i="2" s="1"/>
  <c r="T377" i="2"/>
  <c r="D377" i="3" s="1"/>
  <c r="T378" i="2"/>
  <c r="D378" i="3" s="1"/>
  <c r="R383" i="2"/>
  <c r="Y383" i="2" s="1"/>
  <c r="T385" i="2"/>
  <c r="D385" i="3" s="1"/>
  <c r="A288" i="2"/>
  <c r="A288" i="3" s="1"/>
  <c r="B288" i="2"/>
  <c r="B288" i="3" s="1"/>
  <c r="C288" i="2"/>
  <c r="D288" i="2"/>
  <c r="E288" i="2"/>
  <c r="F288" i="2"/>
  <c r="S288" i="2"/>
  <c r="K288" i="2"/>
  <c r="L288" i="2"/>
  <c r="M288" i="2"/>
  <c r="N288" i="2"/>
  <c r="G338" i="4" s="1"/>
  <c r="P288" i="2"/>
  <c r="H338" i="4" s="1"/>
  <c r="P338" i="4" s="1"/>
  <c r="R288" i="2"/>
  <c r="Y288" i="2" s="1"/>
  <c r="A289" i="2"/>
  <c r="A289" i="3" s="1"/>
  <c r="B289" i="2"/>
  <c r="B289" i="3" s="1"/>
  <c r="C289" i="2"/>
  <c r="D289" i="2"/>
  <c r="E289" i="2"/>
  <c r="F289" i="2"/>
  <c r="K289" i="2"/>
  <c r="L289" i="2"/>
  <c r="M289" i="2"/>
  <c r="N289" i="2"/>
  <c r="G339" i="4" s="1"/>
  <c r="P289" i="2"/>
  <c r="H339" i="4" s="1"/>
  <c r="P339" i="4" s="1"/>
  <c r="A290" i="2"/>
  <c r="A290" i="3" s="1"/>
  <c r="B290" i="2"/>
  <c r="B290" i="3" s="1"/>
  <c r="C290" i="2"/>
  <c r="D290" i="2"/>
  <c r="E290" i="2"/>
  <c r="K290" i="2"/>
  <c r="L290" i="2"/>
  <c r="M290" i="2"/>
  <c r="N290" i="2"/>
  <c r="G340" i="4" s="1"/>
  <c r="P290" i="2"/>
  <c r="H340" i="4" s="1"/>
  <c r="P340" i="4" s="1"/>
  <c r="A291" i="2"/>
  <c r="A291" i="3" s="1"/>
  <c r="B291" i="2"/>
  <c r="B291" i="3" s="1"/>
  <c r="C291" i="2"/>
  <c r="D291" i="2"/>
  <c r="E291" i="2"/>
  <c r="F291" i="2"/>
  <c r="L291" i="2"/>
  <c r="M291" i="2"/>
  <c r="N291" i="2"/>
  <c r="G341" i="4" s="1"/>
  <c r="P291" i="2"/>
  <c r="H341" i="4" s="1"/>
  <c r="P341" i="4" s="1"/>
  <c r="A292" i="2"/>
  <c r="A292" i="3" s="1"/>
  <c r="B292" i="2"/>
  <c r="B292" i="3" s="1"/>
  <c r="C292" i="2"/>
  <c r="D292" i="2"/>
  <c r="E292" i="2"/>
  <c r="K292" i="2"/>
  <c r="L292" i="2"/>
  <c r="M292" i="2"/>
  <c r="N292" i="2"/>
  <c r="G342" i="4" s="1"/>
  <c r="P292" i="2"/>
  <c r="H342" i="4" s="1"/>
  <c r="P342" i="4" s="1"/>
  <c r="A293" i="2"/>
  <c r="A293" i="3" s="1"/>
  <c r="B293" i="2"/>
  <c r="B293" i="3" s="1"/>
  <c r="C293" i="2"/>
  <c r="D293" i="2"/>
  <c r="E293" i="2"/>
  <c r="F293" i="2"/>
  <c r="K293" i="2"/>
  <c r="L293" i="2"/>
  <c r="M293" i="2"/>
  <c r="N293" i="2"/>
  <c r="G343" i="4" s="1"/>
  <c r="P293" i="2"/>
  <c r="H343" i="4" s="1"/>
  <c r="P343" i="4" s="1"/>
  <c r="A294" i="2"/>
  <c r="A294" i="3" s="1"/>
  <c r="B294" i="2"/>
  <c r="B294" i="3" s="1"/>
  <c r="C294" i="2"/>
  <c r="D294" i="2"/>
  <c r="E294" i="2"/>
  <c r="F294" i="2"/>
  <c r="L294" i="2"/>
  <c r="M294" i="2"/>
  <c r="N294" i="2"/>
  <c r="G344" i="4" s="1"/>
  <c r="P294" i="2"/>
  <c r="H344" i="4" s="1"/>
  <c r="P344" i="4" s="1"/>
  <c r="A295" i="2"/>
  <c r="A295" i="3" s="1"/>
  <c r="B295" i="2"/>
  <c r="B295" i="3" s="1"/>
  <c r="C295" i="2"/>
  <c r="D295" i="2"/>
  <c r="F295" i="2"/>
  <c r="L295" i="2"/>
  <c r="M295" i="2"/>
  <c r="N295" i="2"/>
  <c r="G345" i="4" s="1"/>
  <c r="P295" i="2"/>
  <c r="H345" i="4" s="1"/>
  <c r="P345" i="4" s="1"/>
  <c r="A296" i="2"/>
  <c r="A296" i="3" s="1"/>
  <c r="B296" i="2"/>
  <c r="B296" i="3" s="1"/>
  <c r="C296" i="2"/>
  <c r="D296" i="2"/>
  <c r="F296" i="2"/>
  <c r="R296" i="2"/>
  <c r="L296" i="2"/>
  <c r="M296" i="2"/>
  <c r="N296" i="2"/>
  <c r="G346" i="4" s="1"/>
  <c r="P296" i="2"/>
  <c r="H346" i="4" s="1"/>
  <c r="P346" i="4" s="1"/>
  <c r="A297" i="2"/>
  <c r="A297" i="3" s="1"/>
  <c r="B297" i="2"/>
  <c r="B297" i="3" s="1"/>
  <c r="C297" i="2"/>
  <c r="D297" i="2"/>
  <c r="E297" i="2"/>
  <c r="F297" i="2"/>
  <c r="L297" i="2"/>
  <c r="M297" i="2"/>
  <c r="N297" i="2"/>
  <c r="G347" i="4" s="1"/>
  <c r="P297" i="2"/>
  <c r="H347" i="4" s="1"/>
  <c r="P347" i="4" s="1"/>
  <c r="A298" i="2"/>
  <c r="A298" i="3" s="1"/>
  <c r="B298" i="2"/>
  <c r="B298" i="3" s="1"/>
  <c r="C298" i="2"/>
  <c r="D298" i="2"/>
  <c r="E298" i="2"/>
  <c r="F298" i="2"/>
  <c r="K298" i="2"/>
  <c r="L298" i="2"/>
  <c r="M298" i="2"/>
  <c r="N298" i="2"/>
  <c r="G348" i="4" s="1"/>
  <c r="P298" i="2"/>
  <c r="H348" i="4" s="1"/>
  <c r="P348" i="4" s="1"/>
  <c r="A299" i="2"/>
  <c r="A299" i="3" s="1"/>
  <c r="B299" i="2"/>
  <c r="B299" i="3" s="1"/>
  <c r="C299" i="2"/>
  <c r="D299" i="2"/>
  <c r="E299" i="2"/>
  <c r="F299" i="2"/>
  <c r="R299" i="2"/>
  <c r="Y299" i="2" s="1"/>
  <c r="K299" i="2"/>
  <c r="L299" i="2"/>
  <c r="M299" i="2"/>
  <c r="N299" i="2"/>
  <c r="G349" i="4" s="1"/>
  <c r="P299" i="2"/>
  <c r="H349" i="4" s="1"/>
  <c r="P349" i="4" s="1"/>
  <c r="A300" i="2"/>
  <c r="A300" i="3" s="1"/>
  <c r="B300" i="2"/>
  <c r="B300" i="3" s="1"/>
  <c r="C300" i="2"/>
  <c r="D300" i="2"/>
  <c r="E300" i="2"/>
  <c r="F300" i="2"/>
  <c r="L300" i="2"/>
  <c r="M300" i="2"/>
  <c r="N300" i="2"/>
  <c r="G350" i="4" s="1"/>
  <c r="P300" i="2"/>
  <c r="H350" i="4" s="1"/>
  <c r="P350" i="4" s="1"/>
  <c r="A301" i="2"/>
  <c r="A301" i="3" s="1"/>
  <c r="B301" i="2"/>
  <c r="B301" i="3" s="1"/>
  <c r="C301" i="2"/>
  <c r="D301" i="2"/>
  <c r="E301" i="2"/>
  <c r="F301" i="2"/>
  <c r="L301" i="2"/>
  <c r="M301" i="2"/>
  <c r="N301" i="2"/>
  <c r="G351" i="4" s="1"/>
  <c r="P301" i="2"/>
  <c r="H351" i="4" s="1"/>
  <c r="P351" i="4" s="1"/>
  <c r="A302" i="2"/>
  <c r="A302" i="3" s="1"/>
  <c r="B302" i="2"/>
  <c r="B302" i="3" s="1"/>
  <c r="C302" i="2"/>
  <c r="D302" i="2"/>
  <c r="E302" i="2"/>
  <c r="F302" i="2"/>
  <c r="L302" i="2"/>
  <c r="M302" i="2"/>
  <c r="N302" i="2"/>
  <c r="G352" i="4" s="1"/>
  <c r="P302" i="2"/>
  <c r="H352" i="4" s="1"/>
  <c r="P352" i="4" s="1"/>
  <c r="A303" i="2"/>
  <c r="A303" i="3" s="1"/>
  <c r="B303" i="2"/>
  <c r="B303" i="3" s="1"/>
  <c r="C303" i="2"/>
  <c r="D303" i="2"/>
  <c r="E303" i="2"/>
  <c r="F303" i="2"/>
  <c r="L303" i="2"/>
  <c r="M303" i="2"/>
  <c r="N303" i="2"/>
  <c r="G353" i="4" s="1"/>
  <c r="P303" i="2"/>
  <c r="H353" i="4" s="1"/>
  <c r="P353" i="4" s="1"/>
  <c r="T303" i="2"/>
  <c r="D303" i="3" s="1"/>
  <c r="A304" i="2"/>
  <c r="A304" i="3" s="1"/>
  <c r="B304" i="2"/>
  <c r="B304" i="3" s="1"/>
  <c r="C304" i="2"/>
  <c r="D304" i="2"/>
  <c r="E304" i="2"/>
  <c r="F304" i="2"/>
  <c r="K304" i="2"/>
  <c r="J304" i="2" s="1"/>
  <c r="L304" i="2"/>
  <c r="M304" i="2"/>
  <c r="N304" i="2"/>
  <c r="G354" i="4" s="1"/>
  <c r="P304" i="2"/>
  <c r="H354" i="4" s="1"/>
  <c r="P354" i="4" s="1"/>
  <c r="A305" i="2"/>
  <c r="A305" i="3" s="1"/>
  <c r="B305" i="2"/>
  <c r="B305" i="3" s="1"/>
  <c r="K305" i="2"/>
  <c r="L305" i="2"/>
  <c r="M305" i="2"/>
  <c r="N305" i="2"/>
  <c r="G355" i="4" s="1"/>
  <c r="P305" i="2"/>
  <c r="H355" i="4" s="1"/>
  <c r="P355" i="4" s="1"/>
  <c r="A306" i="2"/>
  <c r="A306" i="3" s="1"/>
  <c r="B306" i="2"/>
  <c r="B306" i="3" s="1"/>
  <c r="C306" i="2"/>
  <c r="D306" i="2"/>
  <c r="E306" i="2"/>
  <c r="F306" i="2"/>
  <c r="K306" i="2"/>
  <c r="L306" i="2"/>
  <c r="M306" i="2"/>
  <c r="N306" i="2"/>
  <c r="G356" i="4" s="1"/>
  <c r="P306" i="2"/>
  <c r="H356" i="4" s="1"/>
  <c r="P356" i="4" s="1"/>
  <c r="A307" i="2"/>
  <c r="A307" i="3" s="1"/>
  <c r="B307" i="2"/>
  <c r="B307" i="3" s="1"/>
  <c r="C307" i="2"/>
  <c r="D307" i="2"/>
  <c r="E307" i="2"/>
  <c r="F307" i="2"/>
  <c r="L307" i="2"/>
  <c r="M307" i="2"/>
  <c r="N307" i="2"/>
  <c r="G358" i="4" s="1"/>
  <c r="O358" i="4" s="1"/>
  <c r="P307" i="2"/>
  <c r="H358" i="4" s="1"/>
  <c r="P358" i="4" s="1"/>
  <c r="A308" i="2"/>
  <c r="A308" i="3" s="1"/>
  <c r="B308" i="2"/>
  <c r="B308" i="3" s="1"/>
  <c r="C308" i="2"/>
  <c r="D308" i="2"/>
  <c r="E308" i="2"/>
  <c r="F308" i="2"/>
  <c r="L308" i="2"/>
  <c r="M308" i="2"/>
  <c r="N308" i="2"/>
  <c r="G359" i="4" s="1"/>
  <c r="O359" i="4" s="1"/>
  <c r="P308" i="2"/>
  <c r="H359" i="4" s="1"/>
  <c r="P359" i="4" s="1"/>
  <c r="A309" i="2"/>
  <c r="A309" i="3" s="1"/>
  <c r="B309" i="2"/>
  <c r="B309" i="3" s="1"/>
  <c r="C309" i="2"/>
  <c r="D309" i="2"/>
  <c r="E309" i="2"/>
  <c r="F309" i="2"/>
  <c r="L309" i="2"/>
  <c r="M309" i="2"/>
  <c r="N309" i="2"/>
  <c r="P309" i="2"/>
  <c r="H360" i="4" s="1"/>
  <c r="P360" i="4" s="1"/>
  <c r="T309" i="2"/>
  <c r="D309" i="3" s="1"/>
  <c r="A310" i="2"/>
  <c r="A310" i="3" s="1"/>
  <c r="B310" i="2"/>
  <c r="B310" i="3" s="1"/>
  <c r="C310" i="2"/>
  <c r="D310" i="2"/>
  <c r="E310" i="2"/>
  <c r="F310" i="2"/>
  <c r="K310" i="2"/>
  <c r="J310" i="2" s="1"/>
  <c r="L310" i="2"/>
  <c r="M310" i="2"/>
  <c r="N310" i="2"/>
  <c r="G361" i="4" s="1"/>
  <c r="P310" i="2"/>
  <c r="H361" i="4" s="1"/>
  <c r="P361" i="4" s="1"/>
  <c r="A311" i="2"/>
  <c r="A311" i="3" s="1"/>
  <c r="B311" i="2"/>
  <c r="B311" i="3" s="1"/>
  <c r="C311" i="2"/>
  <c r="D311" i="2"/>
  <c r="E311" i="2"/>
  <c r="F311" i="2"/>
  <c r="K311" i="2"/>
  <c r="J311" i="2" s="1"/>
  <c r="L311" i="2"/>
  <c r="M311" i="2"/>
  <c r="N311" i="2"/>
  <c r="P311" i="2"/>
  <c r="A312" i="2"/>
  <c r="A312" i="3" s="1"/>
  <c r="B312" i="2"/>
  <c r="B312" i="3" s="1"/>
  <c r="C312" i="2"/>
  <c r="C312" i="3" s="1"/>
  <c r="D312" i="2"/>
  <c r="E312" i="2"/>
  <c r="F312" i="2"/>
  <c r="K312" i="2"/>
  <c r="J312" i="2" s="1"/>
  <c r="L312" i="2"/>
  <c r="M312" i="2"/>
  <c r="N312" i="2"/>
  <c r="G363" i="4" s="1"/>
  <c r="P312" i="2"/>
  <c r="H363" i="4" s="1"/>
  <c r="P363" i="4" s="1"/>
  <c r="A313" i="2"/>
  <c r="A313" i="3" s="1"/>
  <c r="B313" i="2"/>
  <c r="B313" i="3" s="1"/>
  <c r="C313" i="2"/>
  <c r="D313" i="2"/>
  <c r="E313" i="2"/>
  <c r="F313" i="2"/>
  <c r="S313" i="2"/>
  <c r="K313" i="2"/>
  <c r="L313" i="2"/>
  <c r="M313" i="2"/>
  <c r="N313" i="2"/>
  <c r="G365" i="4" s="1"/>
  <c r="P313" i="2"/>
  <c r="H365" i="4" s="1"/>
  <c r="P365" i="4" s="1"/>
  <c r="R313" i="2"/>
  <c r="A314" i="2"/>
  <c r="A314" i="3" s="1"/>
  <c r="B314" i="2"/>
  <c r="B314" i="3" s="1"/>
  <c r="C314" i="2"/>
  <c r="D314" i="2"/>
  <c r="E314" i="2"/>
  <c r="F314" i="2"/>
  <c r="S314" i="2"/>
  <c r="K314" i="2"/>
  <c r="L314" i="2"/>
  <c r="M314" i="2"/>
  <c r="N314" i="2"/>
  <c r="G366" i="4" s="1"/>
  <c r="P314" i="2"/>
  <c r="H366" i="4" s="1"/>
  <c r="P366" i="4" s="1"/>
  <c r="A315" i="2"/>
  <c r="A315" i="3" s="1"/>
  <c r="B315" i="2"/>
  <c r="B315" i="3" s="1"/>
  <c r="C315" i="2"/>
  <c r="D315" i="2"/>
  <c r="E315" i="2"/>
  <c r="F315" i="2"/>
  <c r="K315" i="2"/>
  <c r="L315" i="2"/>
  <c r="M315" i="2"/>
  <c r="N315" i="2"/>
  <c r="G367" i="4" s="1"/>
  <c r="P315" i="2"/>
  <c r="H367" i="4" s="1"/>
  <c r="P367" i="4" s="1"/>
  <c r="A316" i="2"/>
  <c r="A316" i="3" s="1"/>
  <c r="B316" i="2"/>
  <c r="B316" i="3" s="1"/>
  <c r="C316" i="2"/>
  <c r="D316" i="2"/>
  <c r="E316" i="2"/>
  <c r="F316" i="2"/>
  <c r="K316" i="2"/>
  <c r="L316" i="2"/>
  <c r="M316" i="2"/>
  <c r="N316" i="2"/>
  <c r="G368" i="4" s="1"/>
  <c r="P316" i="2"/>
  <c r="H368" i="4" s="1"/>
  <c r="P368" i="4" s="1"/>
  <c r="A317" i="2"/>
  <c r="A317" i="3" s="1"/>
  <c r="B317" i="2"/>
  <c r="B317" i="3" s="1"/>
  <c r="C317" i="2"/>
  <c r="D317" i="2"/>
  <c r="E317" i="2"/>
  <c r="F317" i="2"/>
  <c r="K317" i="2"/>
  <c r="L317" i="2"/>
  <c r="M317" i="2"/>
  <c r="N317" i="2"/>
  <c r="G369" i="4" s="1"/>
  <c r="P317" i="2"/>
  <c r="H369" i="4" s="1"/>
  <c r="P369" i="4" s="1"/>
  <c r="A318" i="2"/>
  <c r="A318" i="3" s="1"/>
  <c r="B318" i="2"/>
  <c r="B318" i="3" s="1"/>
  <c r="C318" i="2"/>
  <c r="D318" i="2"/>
  <c r="E318" i="2"/>
  <c r="F318" i="2"/>
  <c r="K318" i="2"/>
  <c r="J318" i="2" s="1"/>
  <c r="L318" i="2"/>
  <c r="M318" i="2"/>
  <c r="N318" i="2"/>
  <c r="G370" i="4" s="1"/>
  <c r="P318" i="2"/>
  <c r="H370" i="4" s="1"/>
  <c r="P370" i="4" s="1"/>
  <c r="A319" i="2"/>
  <c r="A319" i="3" s="1"/>
  <c r="B319" i="2"/>
  <c r="B319" i="3" s="1"/>
  <c r="C319" i="2"/>
  <c r="D319" i="2"/>
  <c r="E319" i="2"/>
  <c r="F319" i="2"/>
  <c r="K319" i="2"/>
  <c r="J319" i="2" s="1"/>
  <c r="L319" i="2"/>
  <c r="M319" i="2"/>
  <c r="N319" i="2"/>
  <c r="P319" i="2"/>
  <c r="A320" i="2"/>
  <c r="A320" i="3" s="1"/>
  <c r="B320" i="2"/>
  <c r="B320" i="3" s="1"/>
  <c r="C320" i="2"/>
  <c r="D320" i="2"/>
  <c r="E320" i="2"/>
  <c r="F320" i="2"/>
  <c r="K320" i="2"/>
  <c r="J320" i="2" s="1"/>
  <c r="L320" i="2"/>
  <c r="M320" i="2"/>
  <c r="N320" i="2"/>
  <c r="G372" i="4" s="1"/>
  <c r="P320" i="2"/>
  <c r="H372" i="4" s="1"/>
  <c r="P372" i="4" s="1"/>
  <c r="A321" i="2"/>
  <c r="A321" i="3" s="1"/>
  <c r="B321" i="2"/>
  <c r="B321" i="3" s="1"/>
  <c r="K321" i="2"/>
  <c r="L321" i="2"/>
  <c r="M321" i="2"/>
  <c r="N321" i="2"/>
  <c r="G374" i="4" s="1"/>
  <c r="P321" i="2"/>
  <c r="H374" i="4" s="1"/>
  <c r="P374" i="4" s="1"/>
  <c r="T321" i="2"/>
  <c r="D321" i="3" s="1"/>
  <c r="A322" i="2"/>
  <c r="A322" i="3" s="1"/>
  <c r="B322" i="2"/>
  <c r="B322" i="3" s="1"/>
  <c r="C322" i="2"/>
  <c r="D322" i="2"/>
  <c r="E322" i="2"/>
  <c r="F322" i="2"/>
  <c r="L322" i="2"/>
  <c r="M322" i="2"/>
  <c r="N322" i="2"/>
  <c r="G375" i="4" s="1"/>
  <c r="P322" i="2"/>
  <c r="H375" i="4" s="1"/>
  <c r="P375" i="4" s="1"/>
  <c r="A323" i="2"/>
  <c r="A323" i="3" s="1"/>
  <c r="B323" i="2"/>
  <c r="B323" i="3" s="1"/>
  <c r="C323" i="2"/>
  <c r="D323" i="2"/>
  <c r="L323" i="2"/>
  <c r="M323" i="2"/>
  <c r="N323" i="2"/>
  <c r="G376" i="4" s="1"/>
  <c r="P323" i="2"/>
  <c r="H376" i="4" s="1"/>
  <c r="P376" i="4" s="1"/>
  <c r="A324" i="2"/>
  <c r="A324" i="3" s="1"/>
  <c r="B324" i="2"/>
  <c r="B324" i="3" s="1"/>
  <c r="C324" i="2"/>
  <c r="D324" i="2"/>
  <c r="E324" i="2"/>
  <c r="F324" i="2"/>
  <c r="L324" i="2"/>
  <c r="M324" i="2"/>
  <c r="N324" i="2"/>
  <c r="G377" i="4" s="1"/>
  <c r="P324" i="2"/>
  <c r="H377" i="4" s="1"/>
  <c r="P377" i="4" s="1"/>
  <c r="A325" i="2"/>
  <c r="A325" i="3" s="1"/>
  <c r="B325" i="2"/>
  <c r="B325" i="3" s="1"/>
  <c r="C325" i="2"/>
  <c r="D325" i="2"/>
  <c r="E325" i="2"/>
  <c r="F325" i="2"/>
  <c r="L325" i="2"/>
  <c r="M325" i="2"/>
  <c r="N325" i="2"/>
  <c r="G378" i="4" s="1"/>
  <c r="P325" i="2"/>
  <c r="H378" i="4" s="1"/>
  <c r="P378" i="4" s="1"/>
  <c r="A326" i="2"/>
  <c r="A326" i="3" s="1"/>
  <c r="B326" i="2"/>
  <c r="B326" i="3" s="1"/>
  <c r="K326" i="2"/>
  <c r="L326" i="2"/>
  <c r="M326" i="2"/>
  <c r="N326" i="2"/>
  <c r="G379" i="4" s="1"/>
  <c r="P326" i="2"/>
  <c r="H379" i="4" s="1"/>
  <c r="P379" i="4" s="1"/>
  <c r="A327" i="2"/>
  <c r="A327" i="3" s="1"/>
  <c r="B327" i="2"/>
  <c r="B327" i="3" s="1"/>
  <c r="K327" i="2"/>
  <c r="L327" i="2"/>
  <c r="M327" i="2"/>
  <c r="N327" i="2"/>
  <c r="G380" i="4" s="1"/>
  <c r="P327" i="2"/>
  <c r="H380" i="4" s="1"/>
  <c r="P380" i="4" s="1"/>
  <c r="A328" i="2"/>
  <c r="A328" i="3" s="1"/>
  <c r="B328" i="2"/>
  <c r="B328" i="3" s="1"/>
  <c r="C328" i="2"/>
  <c r="D328" i="2"/>
  <c r="E328" i="2"/>
  <c r="F328" i="2"/>
  <c r="K328" i="2"/>
  <c r="L328" i="2"/>
  <c r="M328" i="2"/>
  <c r="N328" i="2"/>
  <c r="G381" i="4" s="1"/>
  <c r="P328" i="2"/>
  <c r="H381" i="4" s="1"/>
  <c r="P381" i="4" s="1"/>
  <c r="A329" i="2"/>
  <c r="A329" i="3" s="1"/>
  <c r="B329" i="2"/>
  <c r="B329" i="3" s="1"/>
  <c r="C329" i="2"/>
  <c r="D329" i="2"/>
  <c r="E329" i="2"/>
  <c r="F329" i="2"/>
  <c r="K329" i="2"/>
  <c r="L329" i="2"/>
  <c r="M329" i="2"/>
  <c r="N329" i="2"/>
  <c r="G382" i="4" s="1"/>
  <c r="P329" i="2"/>
  <c r="H382" i="4" s="1"/>
  <c r="P382" i="4" s="1"/>
  <c r="R329" i="2"/>
  <c r="Y329" i="2" s="1"/>
  <c r="T329" i="2"/>
  <c r="D329" i="3" s="1"/>
  <c r="E329" i="3" s="1"/>
  <c r="A330" i="2"/>
  <c r="A330" i="3" s="1"/>
  <c r="B330" i="2"/>
  <c r="B330" i="3" s="1"/>
  <c r="C330" i="2"/>
  <c r="D330" i="2"/>
  <c r="E330" i="2"/>
  <c r="F330" i="2"/>
  <c r="K330" i="2"/>
  <c r="L330" i="2"/>
  <c r="M330" i="2"/>
  <c r="N330" i="2"/>
  <c r="G383" i="4" s="1"/>
  <c r="P330" i="2"/>
  <c r="H383" i="4" s="1"/>
  <c r="P383" i="4" s="1"/>
  <c r="A331" i="2"/>
  <c r="A331" i="3" s="1"/>
  <c r="B331" i="2"/>
  <c r="B331" i="3" s="1"/>
  <c r="C331" i="2"/>
  <c r="D331" i="2"/>
  <c r="E331" i="2"/>
  <c r="K331" i="2"/>
  <c r="L331" i="2"/>
  <c r="M331" i="2"/>
  <c r="N331" i="2"/>
  <c r="G384" i="4" s="1"/>
  <c r="P331" i="2"/>
  <c r="H384" i="4" s="1"/>
  <c r="P384" i="4" s="1"/>
  <c r="A332" i="2"/>
  <c r="A332" i="3" s="1"/>
  <c r="B332" i="2"/>
  <c r="B332" i="3" s="1"/>
  <c r="C332" i="2"/>
  <c r="D332" i="2"/>
  <c r="E332" i="2"/>
  <c r="F332" i="2"/>
  <c r="K332" i="2"/>
  <c r="L332" i="2"/>
  <c r="M332" i="2"/>
  <c r="N332" i="2"/>
  <c r="G385" i="4" s="1"/>
  <c r="P332" i="2"/>
  <c r="H385" i="4" s="1"/>
  <c r="P385" i="4" s="1"/>
  <c r="A333" i="2"/>
  <c r="A333" i="3" s="1"/>
  <c r="B333" i="2"/>
  <c r="B333" i="3" s="1"/>
  <c r="C333" i="2"/>
  <c r="D333" i="2"/>
  <c r="E333" i="2"/>
  <c r="F333" i="2"/>
  <c r="K333" i="2"/>
  <c r="J333" i="2" s="1"/>
  <c r="L333" i="2"/>
  <c r="M333" i="2"/>
  <c r="N333" i="2"/>
  <c r="G386" i="4" s="1"/>
  <c r="P333" i="2"/>
  <c r="H386" i="4" s="1"/>
  <c r="P386" i="4" s="1"/>
  <c r="A334" i="2"/>
  <c r="A334" i="3" s="1"/>
  <c r="B334" i="2"/>
  <c r="B334" i="3" s="1"/>
  <c r="C334" i="2"/>
  <c r="D334" i="2"/>
  <c r="E334" i="2"/>
  <c r="F334" i="2"/>
  <c r="K334" i="2"/>
  <c r="J334" i="2" s="1"/>
  <c r="L334" i="2"/>
  <c r="M334" i="2"/>
  <c r="N334" i="2"/>
  <c r="G387" i="4" s="1"/>
  <c r="P334" i="2"/>
  <c r="H387" i="4" s="1"/>
  <c r="P387" i="4" s="1"/>
  <c r="A335" i="2"/>
  <c r="A335" i="3" s="1"/>
  <c r="B335" i="2"/>
  <c r="B335" i="3" s="1"/>
  <c r="C335" i="2"/>
  <c r="D335" i="2"/>
  <c r="E335" i="2"/>
  <c r="F335" i="2"/>
  <c r="K335" i="2"/>
  <c r="L335" i="2"/>
  <c r="M335" i="2"/>
  <c r="N335" i="2"/>
  <c r="G388" i="4" s="1"/>
  <c r="P335" i="2"/>
  <c r="H388" i="4" s="1"/>
  <c r="P388" i="4" s="1"/>
  <c r="B336" i="2"/>
  <c r="B336" i="3" s="1"/>
  <c r="K336" i="2"/>
  <c r="L336" i="2"/>
  <c r="M336" i="2"/>
  <c r="N336" i="2"/>
  <c r="G389" i="4" s="1"/>
  <c r="P336" i="2"/>
  <c r="H389" i="4" s="1"/>
  <c r="P389" i="4" s="1"/>
  <c r="A337" i="2"/>
  <c r="A337" i="3" s="1"/>
  <c r="B337" i="2"/>
  <c r="B337" i="3" s="1"/>
  <c r="K337" i="2"/>
  <c r="L337" i="2"/>
  <c r="M337" i="2"/>
  <c r="N337" i="2"/>
  <c r="G390" i="4" s="1"/>
  <c r="P337" i="2"/>
  <c r="H390" i="4" s="1"/>
  <c r="P390" i="4" s="1"/>
  <c r="B338" i="2"/>
  <c r="B338" i="3" s="1"/>
  <c r="C338" i="2"/>
  <c r="D338" i="2"/>
  <c r="E338" i="2"/>
  <c r="F338" i="2"/>
  <c r="K338" i="2"/>
  <c r="L338" i="2"/>
  <c r="M338" i="2"/>
  <c r="N338" i="2"/>
  <c r="G391" i="4" s="1"/>
  <c r="P338" i="2"/>
  <c r="H391" i="4" s="1"/>
  <c r="P391" i="4" s="1"/>
  <c r="B339" i="2"/>
  <c r="B339" i="3" s="1"/>
  <c r="C339" i="2"/>
  <c r="D339" i="2"/>
  <c r="E339" i="2"/>
  <c r="K339" i="2"/>
  <c r="L339" i="2"/>
  <c r="M339" i="2"/>
  <c r="N339" i="2"/>
  <c r="G392" i="4" s="1"/>
  <c r="P339" i="2"/>
  <c r="H392" i="4" s="1"/>
  <c r="P392" i="4" s="1"/>
  <c r="B340" i="2"/>
  <c r="B340" i="3" s="1"/>
  <c r="C340" i="2"/>
  <c r="D340" i="2"/>
  <c r="E340" i="2"/>
  <c r="F340" i="2"/>
  <c r="S340" i="2"/>
  <c r="L340" i="2"/>
  <c r="M340" i="2"/>
  <c r="N340" i="2"/>
  <c r="G393" i="4" s="1"/>
  <c r="P340" i="2"/>
  <c r="H393" i="4" s="1"/>
  <c r="P393" i="4" s="1"/>
  <c r="B341" i="2"/>
  <c r="B341" i="3" s="1"/>
  <c r="C341" i="2"/>
  <c r="D341" i="2"/>
  <c r="E341" i="2"/>
  <c r="F341" i="2"/>
  <c r="K341" i="2"/>
  <c r="W341" i="2" s="1"/>
  <c r="L341" i="2"/>
  <c r="M341" i="2"/>
  <c r="N341" i="2"/>
  <c r="G394" i="4" s="1"/>
  <c r="P341" i="2"/>
  <c r="H394" i="4" s="1"/>
  <c r="P394" i="4" s="1"/>
  <c r="B342" i="2"/>
  <c r="B342" i="3" s="1"/>
  <c r="C342" i="2"/>
  <c r="D342" i="2"/>
  <c r="E342" i="2"/>
  <c r="F342" i="2"/>
  <c r="K342" i="2"/>
  <c r="L342" i="2"/>
  <c r="M342" i="2"/>
  <c r="N342" i="2"/>
  <c r="G395" i="4" s="1"/>
  <c r="P342" i="2"/>
  <c r="H395" i="4" s="1"/>
  <c r="P395" i="4" s="1"/>
  <c r="B343" i="2"/>
  <c r="B343" i="3" s="1"/>
  <c r="C343" i="2"/>
  <c r="D343" i="2"/>
  <c r="E343" i="2"/>
  <c r="K343" i="2"/>
  <c r="L343" i="2"/>
  <c r="M343" i="2"/>
  <c r="N343" i="2"/>
  <c r="G396" i="4" s="1"/>
  <c r="P343" i="2"/>
  <c r="H396" i="4" s="1"/>
  <c r="P396" i="4" s="1"/>
  <c r="B344" i="2"/>
  <c r="B344" i="3" s="1"/>
  <c r="C344" i="2"/>
  <c r="D344" i="2"/>
  <c r="E344" i="2"/>
  <c r="F344" i="2"/>
  <c r="K344" i="2"/>
  <c r="L344" i="2"/>
  <c r="M344" i="2"/>
  <c r="N344" i="2"/>
  <c r="G397" i="4" s="1"/>
  <c r="P344" i="2"/>
  <c r="H397" i="4" s="1"/>
  <c r="P397" i="4" s="1"/>
  <c r="T344" i="2"/>
  <c r="D344" i="3" s="1"/>
  <c r="B345" i="2"/>
  <c r="B345" i="3" s="1"/>
  <c r="C345" i="2"/>
  <c r="D345" i="2"/>
  <c r="E345" i="2"/>
  <c r="F345" i="2"/>
  <c r="T345" i="2"/>
  <c r="D345" i="3" s="1"/>
  <c r="K345" i="2"/>
  <c r="X345" i="2" s="1"/>
  <c r="L345" i="2"/>
  <c r="M345" i="2"/>
  <c r="N345" i="2"/>
  <c r="G398" i="4" s="1"/>
  <c r="P345" i="2"/>
  <c r="H398" i="4" s="1"/>
  <c r="P398" i="4" s="1"/>
  <c r="B346" i="2"/>
  <c r="B346" i="3" s="1"/>
  <c r="C346" i="2"/>
  <c r="D346" i="2"/>
  <c r="E346" i="2"/>
  <c r="F346" i="2"/>
  <c r="T346" i="2"/>
  <c r="D346" i="3" s="1"/>
  <c r="K346" i="2"/>
  <c r="L346" i="2"/>
  <c r="M346" i="2"/>
  <c r="N346" i="2"/>
  <c r="G399" i="4" s="1"/>
  <c r="P346" i="2"/>
  <c r="H399" i="4" s="1"/>
  <c r="P399" i="4" s="1"/>
  <c r="B347" i="2"/>
  <c r="B347" i="3" s="1"/>
  <c r="C347" i="2"/>
  <c r="D347" i="2"/>
  <c r="E347" i="2"/>
  <c r="F347" i="2"/>
  <c r="K347" i="2"/>
  <c r="L347" i="2"/>
  <c r="M347" i="2"/>
  <c r="N347" i="2"/>
  <c r="G400" i="4" s="1"/>
  <c r="P347" i="2"/>
  <c r="H400" i="4" s="1"/>
  <c r="P400" i="4" s="1"/>
  <c r="T347" i="2"/>
  <c r="D347" i="3" s="1"/>
  <c r="E347" i="3" s="1"/>
  <c r="B348" i="2"/>
  <c r="B348" i="3" s="1"/>
  <c r="C348" i="2"/>
  <c r="D348" i="2"/>
  <c r="E348" i="2"/>
  <c r="F348" i="2"/>
  <c r="K348" i="2"/>
  <c r="J348" i="2" s="1"/>
  <c r="L348" i="2"/>
  <c r="M348" i="2"/>
  <c r="N348" i="2"/>
  <c r="G401" i="4" s="1"/>
  <c r="P348" i="2"/>
  <c r="H401" i="4" s="1"/>
  <c r="P401" i="4" s="1"/>
  <c r="A349" i="2"/>
  <c r="A349" i="3" s="1"/>
  <c r="B349" i="2"/>
  <c r="B349" i="3" s="1"/>
  <c r="C349" i="2"/>
  <c r="D349" i="2"/>
  <c r="E349" i="2"/>
  <c r="F349" i="2"/>
  <c r="K349" i="2"/>
  <c r="J349" i="2" s="1"/>
  <c r="L349" i="2"/>
  <c r="M349" i="2"/>
  <c r="N349" i="2"/>
  <c r="G402" i="4" s="1"/>
  <c r="P349" i="2"/>
  <c r="H402" i="4" s="1"/>
  <c r="P402" i="4" s="1"/>
  <c r="A350" i="2"/>
  <c r="A350" i="3" s="1"/>
  <c r="B350" i="2"/>
  <c r="B350" i="3" s="1"/>
  <c r="C350" i="2"/>
  <c r="D350" i="2"/>
  <c r="E350" i="2"/>
  <c r="F350" i="2"/>
  <c r="K350" i="2"/>
  <c r="J350" i="2" s="1"/>
  <c r="L350" i="2"/>
  <c r="M350" i="2"/>
  <c r="N350" i="2"/>
  <c r="G404" i="4" s="1"/>
  <c r="P350" i="2"/>
  <c r="H404" i="4" s="1"/>
  <c r="P404" i="4" s="1"/>
  <c r="A351" i="2"/>
  <c r="A351" i="3" s="1"/>
  <c r="B351" i="2"/>
  <c r="B351" i="3" s="1"/>
  <c r="K351" i="2"/>
  <c r="L351" i="2"/>
  <c r="M351" i="2"/>
  <c r="N351" i="2"/>
  <c r="G406" i="4" s="1"/>
  <c r="P351" i="2"/>
  <c r="H406" i="4" s="1"/>
  <c r="P406" i="4" s="1"/>
  <c r="A352" i="2"/>
  <c r="A352" i="3" s="1"/>
  <c r="B352" i="2"/>
  <c r="B352" i="3" s="1"/>
  <c r="C352" i="2"/>
  <c r="D352" i="2"/>
  <c r="E352" i="2"/>
  <c r="F352" i="2"/>
  <c r="K352" i="2"/>
  <c r="L352" i="2"/>
  <c r="M352" i="2"/>
  <c r="N352" i="2"/>
  <c r="G407" i="4" s="1"/>
  <c r="P352" i="2"/>
  <c r="H407" i="4" s="1"/>
  <c r="P407" i="4" s="1"/>
  <c r="A353" i="2"/>
  <c r="A353" i="3" s="1"/>
  <c r="B353" i="2"/>
  <c r="B353" i="3" s="1"/>
  <c r="C353" i="2"/>
  <c r="D353" i="2"/>
  <c r="E353" i="2"/>
  <c r="F353" i="2"/>
  <c r="K353" i="2"/>
  <c r="L353" i="2"/>
  <c r="M353" i="2"/>
  <c r="N353" i="2"/>
  <c r="G408" i="4" s="1"/>
  <c r="P353" i="2"/>
  <c r="H408" i="4" s="1"/>
  <c r="P408" i="4" s="1"/>
  <c r="A354" i="2"/>
  <c r="A354" i="3" s="1"/>
  <c r="B354" i="2"/>
  <c r="B354" i="3" s="1"/>
  <c r="C354" i="2"/>
  <c r="D354" i="2"/>
  <c r="E354" i="2"/>
  <c r="F354" i="2"/>
  <c r="T354" i="2"/>
  <c r="D354" i="3" s="1"/>
  <c r="L354" i="2"/>
  <c r="M354" i="2"/>
  <c r="N354" i="2"/>
  <c r="G409" i="4" s="1"/>
  <c r="P354" i="2"/>
  <c r="H409" i="4" s="1"/>
  <c r="P409" i="4" s="1"/>
  <c r="A355" i="2"/>
  <c r="A355" i="3" s="1"/>
  <c r="B355" i="2"/>
  <c r="B355" i="3" s="1"/>
  <c r="C355" i="2"/>
  <c r="D355" i="2"/>
  <c r="E355" i="2"/>
  <c r="F355" i="2"/>
  <c r="K355" i="2"/>
  <c r="L355" i="2"/>
  <c r="M355" i="2"/>
  <c r="N355" i="2"/>
  <c r="G410" i="4" s="1"/>
  <c r="P355" i="2"/>
  <c r="H410" i="4" s="1"/>
  <c r="P410" i="4" s="1"/>
  <c r="A356" i="2"/>
  <c r="A356" i="3" s="1"/>
  <c r="B356" i="2"/>
  <c r="B356" i="3" s="1"/>
  <c r="C356" i="2"/>
  <c r="D356" i="2"/>
  <c r="E356" i="2"/>
  <c r="F356" i="2"/>
  <c r="S356" i="2"/>
  <c r="K356" i="2"/>
  <c r="W356" i="2" s="1"/>
  <c r="L356" i="2"/>
  <c r="M356" i="2"/>
  <c r="N356" i="2"/>
  <c r="G411" i="4" s="1"/>
  <c r="P356" i="2"/>
  <c r="H411" i="4" s="1"/>
  <c r="P411" i="4" s="1"/>
  <c r="A357" i="2"/>
  <c r="A357" i="3" s="1"/>
  <c r="B357" i="2"/>
  <c r="B357" i="3" s="1"/>
  <c r="C357" i="2"/>
  <c r="D357" i="2"/>
  <c r="E357" i="2"/>
  <c r="F357" i="2"/>
  <c r="K357" i="2"/>
  <c r="L357" i="2"/>
  <c r="M357" i="2"/>
  <c r="N357" i="2"/>
  <c r="G412" i="4" s="1"/>
  <c r="P357" i="2"/>
  <c r="H412" i="4" s="1"/>
  <c r="P412" i="4" s="1"/>
  <c r="A358" i="2"/>
  <c r="A358" i="3" s="1"/>
  <c r="B358" i="2"/>
  <c r="B358" i="3" s="1"/>
  <c r="C358" i="2"/>
  <c r="D358" i="2"/>
  <c r="E358" i="2"/>
  <c r="F358" i="2"/>
  <c r="L358" i="2"/>
  <c r="M358" i="2"/>
  <c r="N358" i="2"/>
  <c r="G413" i="4" s="1"/>
  <c r="P358" i="2"/>
  <c r="H413" i="4" s="1"/>
  <c r="P413" i="4" s="1"/>
  <c r="A359" i="2"/>
  <c r="A359" i="3" s="1"/>
  <c r="B359" i="2"/>
  <c r="B359" i="3" s="1"/>
  <c r="C359" i="2"/>
  <c r="D359" i="2"/>
  <c r="E359" i="2"/>
  <c r="F359" i="2"/>
  <c r="L359" i="2"/>
  <c r="M359" i="2"/>
  <c r="N359" i="2"/>
  <c r="G414" i="4" s="1"/>
  <c r="P359" i="2"/>
  <c r="H414" i="4" s="1"/>
  <c r="P414" i="4" s="1"/>
  <c r="A360" i="2"/>
  <c r="A360" i="3" s="1"/>
  <c r="B360" i="2"/>
  <c r="B360" i="3" s="1"/>
  <c r="C360" i="2"/>
  <c r="D360" i="2"/>
  <c r="E360" i="2"/>
  <c r="F360" i="2"/>
  <c r="K360" i="2"/>
  <c r="W360" i="2" s="1"/>
  <c r="L360" i="2"/>
  <c r="M360" i="2"/>
  <c r="N360" i="2"/>
  <c r="G415" i="4" s="1"/>
  <c r="P360" i="2"/>
  <c r="H415" i="4" s="1"/>
  <c r="P415" i="4" s="1"/>
  <c r="A361" i="2"/>
  <c r="A361" i="3" s="1"/>
  <c r="B361" i="2"/>
  <c r="B361" i="3" s="1"/>
  <c r="C361" i="2"/>
  <c r="D361" i="2"/>
  <c r="E361" i="2"/>
  <c r="F361" i="2"/>
  <c r="L361" i="2"/>
  <c r="M361" i="2"/>
  <c r="N361" i="2"/>
  <c r="G416" i="4" s="1"/>
  <c r="P361" i="2"/>
  <c r="H416" i="4" s="1"/>
  <c r="P416" i="4" s="1"/>
  <c r="A362" i="2"/>
  <c r="A362" i="3" s="1"/>
  <c r="B362" i="2"/>
  <c r="B362" i="3" s="1"/>
  <c r="C362" i="2"/>
  <c r="D362" i="2"/>
  <c r="E362" i="2"/>
  <c r="K362" i="2"/>
  <c r="L362" i="2"/>
  <c r="M362" i="2"/>
  <c r="N362" i="2"/>
  <c r="G417" i="4" s="1"/>
  <c r="P362" i="2"/>
  <c r="H417" i="4" s="1"/>
  <c r="P417" i="4" s="1"/>
  <c r="A363" i="2"/>
  <c r="A363" i="3" s="1"/>
  <c r="B363" i="2"/>
  <c r="B363" i="3" s="1"/>
  <c r="C363" i="2"/>
  <c r="D363" i="2"/>
  <c r="E363" i="2"/>
  <c r="F363" i="2"/>
  <c r="W363" i="2"/>
  <c r="K363" i="2"/>
  <c r="L363" i="2"/>
  <c r="M363" i="2"/>
  <c r="N363" i="2"/>
  <c r="G418" i="4" s="1"/>
  <c r="P363" i="2"/>
  <c r="H418" i="4" s="1"/>
  <c r="P418" i="4" s="1"/>
  <c r="A364" i="2"/>
  <c r="A364" i="3" s="1"/>
  <c r="B364" i="2"/>
  <c r="B364" i="3" s="1"/>
  <c r="C364" i="2"/>
  <c r="D364" i="2"/>
  <c r="E364" i="2"/>
  <c r="F364" i="2"/>
  <c r="S364" i="2"/>
  <c r="L364" i="2"/>
  <c r="M364" i="2"/>
  <c r="N364" i="2"/>
  <c r="G419" i="4" s="1"/>
  <c r="P364" i="2"/>
  <c r="H419" i="4" s="1"/>
  <c r="P419" i="4" s="1"/>
  <c r="A365" i="2"/>
  <c r="A365" i="3" s="1"/>
  <c r="B365" i="2"/>
  <c r="B365" i="3" s="1"/>
  <c r="C365" i="2"/>
  <c r="D365" i="2"/>
  <c r="E365" i="2"/>
  <c r="F365" i="2"/>
  <c r="L365" i="2"/>
  <c r="M365" i="2"/>
  <c r="N365" i="2"/>
  <c r="G420" i="4" s="1"/>
  <c r="P365" i="2"/>
  <c r="H420" i="4" s="1"/>
  <c r="P420" i="4" s="1"/>
  <c r="A366" i="2"/>
  <c r="A366" i="3" s="1"/>
  <c r="B366" i="2"/>
  <c r="B366" i="3" s="1"/>
  <c r="C366" i="2"/>
  <c r="D366" i="2"/>
  <c r="E366" i="2"/>
  <c r="F366" i="2"/>
  <c r="K366" i="2"/>
  <c r="L366" i="2"/>
  <c r="M366" i="2"/>
  <c r="N366" i="2"/>
  <c r="P366" i="2"/>
  <c r="H421" i="4" s="1"/>
  <c r="P421" i="4" s="1"/>
  <c r="A367" i="2"/>
  <c r="A367" i="3" s="1"/>
  <c r="B367" i="2"/>
  <c r="B367" i="3" s="1"/>
  <c r="C367" i="2"/>
  <c r="D367" i="2"/>
  <c r="E367" i="2"/>
  <c r="F367" i="2"/>
  <c r="K367" i="2"/>
  <c r="L367" i="2"/>
  <c r="M367" i="2"/>
  <c r="N367" i="2"/>
  <c r="G422" i="4" s="1"/>
  <c r="P367" i="2"/>
  <c r="H422" i="4" s="1"/>
  <c r="P422" i="4" s="1"/>
  <c r="A368" i="2"/>
  <c r="A368" i="3" s="1"/>
  <c r="B368" i="2"/>
  <c r="B368" i="3" s="1"/>
  <c r="C368" i="2"/>
  <c r="D368" i="2"/>
  <c r="E368" i="2"/>
  <c r="F368" i="2"/>
  <c r="L368" i="2"/>
  <c r="M368" i="2"/>
  <c r="N368" i="2"/>
  <c r="G423" i="4" s="1"/>
  <c r="P368" i="2"/>
  <c r="H423" i="4" s="1"/>
  <c r="P423" i="4" s="1"/>
  <c r="A369" i="2"/>
  <c r="A369" i="3" s="1"/>
  <c r="B369" i="2"/>
  <c r="B369" i="3" s="1"/>
  <c r="C369" i="2"/>
  <c r="D369" i="2"/>
  <c r="E369" i="2"/>
  <c r="F369" i="2"/>
  <c r="K369" i="2"/>
  <c r="L369" i="2"/>
  <c r="M369" i="2"/>
  <c r="N369" i="2"/>
  <c r="G424" i="4" s="1"/>
  <c r="P369" i="2"/>
  <c r="H424" i="4" s="1"/>
  <c r="P424" i="4" s="1"/>
  <c r="A370" i="2"/>
  <c r="A370" i="3" s="1"/>
  <c r="B370" i="2"/>
  <c r="B370" i="3" s="1"/>
  <c r="C370" i="2"/>
  <c r="D370" i="2"/>
  <c r="E370" i="2"/>
  <c r="F370" i="2"/>
  <c r="K370" i="2"/>
  <c r="L370" i="2"/>
  <c r="M370" i="2"/>
  <c r="N370" i="2"/>
  <c r="G425" i="4" s="1"/>
  <c r="P370" i="2"/>
  <c r="H425" i="4" s="1"/>
  <c r="P425" i="4" s="1"/>
  <c r="A371" i="2"/>
  <c r="A371" i="3" s="1"/>
  <c r="B371" i="2"/>
  <c r="B371" i="3" s="1"/>
  <c r="C371" i="2"/>
  <c r="D371" i="2"/>
  <c r="E371" i="2"/>
  <c r="F371" i="2"/>
  <c r="K371" i="2"/>
  <c r="W371" i="2" s="1"/>
  <c r="L371" i="2"/>
  <c r="M371" i="2"/>
  <c r="N371" i="2"/>
  <c r="G426" i="4" s="1"/>
  <c r="P371" i="2"/>
  <c r="H426" i="4" s="1"/>
  <c r="P426" i="4" s="1"/>
  <c r="A372" i="2"/>
  <c r="A372" i="3" s="1"/>
  <c r="B372" i="2"/>
  <c r="B372" i="3" s="1"/>
  <c r="C372" i="2"/>
  <c r="D372" i="2"/>
  <c r="E372" i="2"/>
  <c r="F372" i="2"/>
  <c r="R372" i="2"/>
  <c r="Y372" i="2" s="1"/>
  <c r="K372" i="2"/>
  <c r="W372" i="2" s="1"/>
  <c r="L372" i="2"/>
  <c r="M372" i="2"/>
  <c r="N372" i="2"/>
  <c r="G427" i="4" s="1"/>
  <c r="P372" i="2"/>
  <c r="H427" i="4" s="1"/>
  <c r="P427" i="4" s="1"/>
  <c r="A373" i="2"/>
  <c r="A373" i="3" s="1"/>
  <c r="B373" i="2"/>
  <c r="B373" i="3" s="1"/>
  <c r="C373" i="2"/>
  <c r="D373" i="2"/>
  <c r="E373" i="2"/>
  <c r="F373" i="2"/>
  <c r="K373" i="2"/>
  <c r="L373" i="2"/>
  <c r="M373" i="2"/>
  <c r="N373" i="2"/>
  <c r="G428" i="4" s="1"/>
  <c r="P373" i="2"/>
  <c r="H428" i="4" s="1"/>
  <c r="P428" i="4" s="1"/>
  <c r="A374" i="2"/>
  <c r="A374" i="3" s="1"/>
  <c r="B374" i="2"/>
  <c r="B374" i="3" s="1"/>
  <c r="C374" i="2"/>
  <c r="D374" i="2"/>
  <c r="E374" i="2"/>
  <c r="F374" i="2"/>
  <c r="K374" i="2"/>
  <c r="L374" i="2"/>
  <c r="M374" i="2"/>
  <c r="N374" i="2"/>
  <c r="G429" i="4" s="1"/>
  <c r="P374" i="2"/>
  <c r="H429" i="4" s="1"/>
  <c r="P429" i="4" s="1"/>
  <c r="A375" i="2"/>
  <c r="A375" i="3" s="1"/>
  <c r="B375" i="2"/>
  <c r="B375" i="3" s="1"/>
  <c r="C375" i="2"/>
  <c r="D375" i="2"/>
  <c r="E375" i="2"/>
  <c r="F375" i="2"/>
  <c r="K375" i="2"/>
  <c r="L375" i="2"/>
  <c r="M375" i="2"/>
  <c r="N375" i="2"/>
  <c r="G430" i="4" s="1"/>
  <c r="P375" i="2"/>
  <c r="H430" i="4" s="1"/>
  <c r="P430" i="4" s="1"/>
  <c r="A376" i="2"/>
  <c r="A376" i="3" s="1"/>
  <c r="B376" i="2"/>
  <c r="B376" i="3" s="1"/>
  <c r="C376" i="2"/>
  <c r="D376" i="2"/>
  <c r="E376" i="2"/>
  <c r="F376" i="2"/>
  <c r="K376" i="2"/>
  <c r="W376" i="2" s="1"/>
  <c r="L376" i="2"/>
  <c r="M376" i="2"/>
  <c r="N376" i="2"/>
  <c r="G431" i="4" s="1"/>
  <c r="P376" i="2"/>
  <c r="H431" i="4" s="1"/>
  <c r="P431" i="4" s="1"/>
  <c r="A377" i="2"/>
  <c r="A377" i="3" s="1"/>
  <c r="B377" i="2"/>
  <c r="B377" i="3" s="1"/>
  <c r="C377" i="2"/>
  <c r="D377" i="2"/>
  <c r="E377" i="2"/>
  <c r="K377" i="2"/>
  <c r="W377" i="2" s="1"/>
  <c r="L377" i="2"/>
  <c r="M377" i="2"/>
  <c r="N377" i="2"/>
  <c r="G432" i="4" s="1"/>
  <c r="P377" i="2"/>
  <c r="H432" i="4" s="1"/>
  <c r="P432" i="4" s="1"/>
  <c r="A378" i="2"/>
  <c r="A378" i="3" s="1"/>
  <c r="B378" i="2"/>
  <c r="B378" i="3" s="1"/>
  <c r="C378" i="2"/>
  <c r="D378" i="2"/>
  <c r="E378" i="2"/>
  <c r="F378" i="2"/>
  <c r="K378" i="2"/>
  <c r="L378" i="2"/>
  <c r="M378" i="2"/>
  <c r="N378" i="2"/>
  <c r="G433" i="4" s="1"/>
  <c r="P378" i="2"/>
  <c r="H433" i="4" s="1"/>
  <c r="P433" i="4" s="1"/>
  <c r="A379" i="2"/>
  <c r="A379" i="3" s="1"/>
  <c r="B379" i="2"/>
  <c r="B379" i="3" s="1"/>
  <c r="C379" i="2"/>
  <c r="D379" i="2"/>
  <c r="E379" i="2"/>
  <c r="F379" i="2"/>
  <c r="K379" i="2"/>
  <c r="W379" i="2" s="1"/>
  <c r="L379" i="2"/>
  <c r="M379" i="2"/>
  <c r="N379" i="2"/>
  <c r="G434" i="4" s="1"/>
  <c r="P379" i="2"/>
  <c r="H434" i="4" s="1"/>
  <c r="P434" i="4" s="1"/>
  <c r="A380" i="2"/>
  <c r="A380" i="3" s="1"/>
  <c r="B380" i="2"/>
  <c r="B380" i="3" s="1"/>
  <c r="C380" i="2"/>
  <c r="D380" i="2"/>
  <c r="E380" i="2"/>
  <c r="F380" i="2"/>
  <c r="R380" i="2"/>
  <c r="Y380" i="2" s="1"/>
  <c r="K380" i="2"/>
  <c r="W380" i="2" s="1"/>
  <c r="L380" i="2"/>
  <c r="M380" i="2"/>
  <c r="N380" i="2"/>
  <c r="G435" i="4" s="1"/>
  <c r="P380" i="2"/>
  <c r="H435" i="4" s="1"/>
  <c r="P435" i="4" s="1"/>
  <c r="A381" i="2"/>
  <c r="A381" i="3" s="1"/>
  <c r="B381" i="2"/>
  <c r="B381" i="3" s="1"/>
  <c r="C381" i="2"/>
  <c r="D381" i="2"/>
  <c r="E381" i="2"/>
  <c r="F381" i="2"/>
  <c r="K381" i="2"/>
  <c r="W381" i="2" s="1"/>
  <c r="L381" i="2"/>
  <c r="M381" i="2"/>
  <c r="N381" i="2"/>
  <c r="G436" i="4" s="1"/>
  <c r="P381" i="2"/>
  <c r="H436" i="4" s="1"/>
  <c r="P436" i="4" s="1"/>
  <c r="A382" i="2"/>
  <c r="A382" i="3" s="1"/>
  <c r="B382" i="2"/>
  <c r="B382" i="3" s="1"/>
  <c r="C382" i="2"/>
  <c r="D382" i="2"/>
  <c r="E382" i="2"/>
  <c r="F382" i="2"/>
  <c r="K382" i="2"/>
  <c r="J382" i="2" s="1"/>
  <c r="L382" i="2"/>
  <c r="M382" i="2"/>
  <c r="N382" i="2"/>
  <c r="G437" i="4" s="1"/>
  <c r="P382" i="2"/>
  <c r="H437" i="4" s="1"/>
  <c r="P437" i="4" s="1"/>
  <c r="A383" i="2"/>
  <c r="A383" i="3" s="1"/>
  <c r="B383" i="2"/>
  <c r="B383" i="3" s="1"/>
  <c r="C383" i="2"/>
  <c r="D383" i="2"/>
  <c r="E383" i="2"/>
  <c r="F383" i="2"/>
  <c r="K383" i="2"/>
  <c r="X383" i="2" s="1"/>
  <c r="L383" i="2"/>
  <c r="M383" i="2"/>
  <c r="N383" i="2"/>
  <c r="G438" i="4" s="1"/>
  <c r="P383" i="2"/>
  <c r="H438" i="4" s="1"/>
  <c r="P438" i="4" s="1"/>
  <c r="T383" i="2"/>
  <c r="D383" i="3" s="1"/>
  <c r="E383" i="3" s="1"/>
  <c r="A384" i="2"/>
  <c r="A384" i="3" s="1"/>
  <c r="B384" i="2"/>
  <c r="B384" i="3" s="1"/>
  <c r="C384" i="2"/>
  <c r="D384" i="2"/>
  <c r="E384" i="2"/>
  <c r="F384" i="2"/>
  <c r="K384" i="2"/>
  <c r="L384" i="2"/>
  <c r="M384" i="2"/>
  <c r="N384" i="2"/>
  <c r="G439" i="4" s="1"/>
  <c r="P384" i="2"/>
  <c r="H439" i="4" s="1"/>
  <c r="P439" i="4" s="1"/>
  <c r="A385" i="2"/>
  <c r="A385" i="3" s="1"/>
  <c r="B385" i="2"/>
  <c r="B385" i="3" s="1"/>
  <c r="C385" i="2"/>
  <c r="D385" i="2"/>
  <c r="E385" i="2"/>
  <c r="F385" i="2"/>
  <c r="K385" i="2"/>
  <c r="W385" i="2" s="1"/>
  <c r="L385" i="2"/>
  <c r="M385" i="2"/>
  <c r="N385" i="2"/>
  <c r="G440" i="4" s="1"/>
  <c r="P385" i="2"/>
  <c r="H440" i="4" s="1"/>
  <c r="P440" i="4" s="1"/>
  <c r="A386" i="2"/>
  <c r="A386" i="3" s="1"/>
  <c r="B386" i="2"/>
  <c r="B386" i="3" s="1"/>
  <c r="C386" i="2"/>
  <c r="D386" i="2"/>
  <c r="E386" i="2"/>
  <c r="F386" i="2"/>
  <c r="L386" i="2"/>
  <c r="M386" i="2"/>
  <c r="N386" i="2"/>
  <c r="G441" i="4" s="1"/>
  <c r="P386" i="2"/>
  <c r="H441" i="4" s="1"/>
  <c r="P441" i="4" s="1"/>
  <c r="S386" i="2"/>
  <c r="A387" i="2"/>
  <c r="A387" i="3" s="1"/>
  <c r="B387" i="2"/>
  <c r="B387" i="3" s="1"/>
  <c r="C387" i="2"/>
  <c r="D387" i="2"/>
  <c r="E387" i="2"/>
  <c r="F387" i="2"/>
  <c r="L387" i="2"/>
  <c r="M387" i="2"/>
  <c r="N387" i="2"/>
  <c r="G442" i="4" s="1"/>
  <c r="P387" i="2"/>
  <c r="H442" i="4" s="1"/>
  <c r="P442" i="4" s="1"/>
  <c r="T387" i="2"/>
  <c r="D387" i="3" s="1"/>
  <c r="A388" i="2"/>
  <c r="A388" i="3" s="1"/>
  <c r="B388" i="2"/>
  <c r="B388" i="3" s="1"/>
  <c r="C388" i="2"/>
  <c r="D388" i="2"/>
  <c r="E388" i="2"/>
  <c r="F388" i="2"/>
  <c r="K388" i="2"/>
  <c r="J388" i="2" s="1"/>
  <c r="L388" i="2"/>
  <c r="M388" i="2"/>
  <c r="N388" i="2"/>
  <c r="G443" i="4" s="1"/>
  <c r="P388" i="2"/>
  <c r="H443" i="4" s="1"/>
  <c r="P443" i="4" s="1"/>
  <c r="A389" i="2"/>
  <c r="B389" i="2"/>
  <c r="C389" i="2"/>
  <c r="D389" i="2"/>
  <c r="E389" i="2"/>
  <c r="F389" i="2"/>
  <c r="K389" i="2"/>
  <c r="J389" i="2" s="1"/>
  <c r="L389" i="2"/>
  <c r="M389" i="2"/>
  <c r="N389" i="2"/>
  <c r="G444" i="4" s="1"/>
  <c r="P389" i="2"/>
  <c r="H444" i="4" s="1"/>
  <c r="A283" i="2"/>
  <c r="A283" i="3" s="1"/>
  <c r="B283" i="2"/>
  <c r="B283" i="3" s="1"/>
  <c r="C283" i="2"/>
  <c r="D283" i="2"/>
  <c r="E283" i="2"/>
  <c r="F283" i="2"/>
  <c r="K283" i="2"/>
  <c r="J283" i="2" s="1"/>
  <c r="L283" i="2"/>
  <c r="M283" i="2"/>
  <c r="N283" i="2"/>
  <c r="G332" i="4" s="1"/>
  <c r="P283" i="2"/>
  <c r="H332" i="4" s="1"/>
  <c r="P332" i="4" s="1"/>
  <c r="A284" i="2"/>
  <c r="A284" i="3" s="1"/>
  <c r="B284" i="2"/>
  <c r="B284" i="3" s="1"/>
  <c r="C284" i="2"/>
  <c r="D284" i="2"/>
  <c r="E284" i="2"/>
  <c r="F284" i="2"/>
  <c r="K284" i="2"/>
  <c r="J284" i="2" s="1"/>
  <c r="L284" i="2"/>
  <c r="M284" i="2"/>
  <c r="N284" i="2"/>
  <c r="G333" i="4" s="1"/>
  <c r="P284" i="2"/>
  <c r="H333" i="4" s="1"/>
  <c r="P333" i="4" s="1"/>
  <c r="A285" i="2"/>
  <c r="A285" i="3" s="1"/>
  <c r="B285" i="2"/>
  <c r="B285" i="3" s="1"/>
  <c r="C285" i="2"/>
  <c r="D285" i="2"/>
  <c r="E285" i="2"/>
  <c r="S285" i="2"/>
  <c r="L285" i="2"/>
  <c r="M285" i="2"/>
  <c r="N285" i="2"/>
  <c r="G335" i="4" s="1"/>
  <c r="P285" i="2"/>
  <c r="H335" i="4" s="1"/>
  <c r="P335" i="4" s="1"/>
  <c r="R285" i="2"/>
  <c r="A286" i="2"/>
  <c r="A286" i="3" s="1"/>
  <c r="B286" i="2"/>
  <c r="B286" i="3" s="1"/>
  <c r="C286" i="2"/>
  <c r="D286" i="2"/>
  <c r="E286" i="2"/>
  <c r="F286" i="2"/>
  <c r="S286" i="2"/>
  <c r="L286" i="2"/>
  <c r="M286" i="2"/>
  <c r="N286" i="2"/>
  <c r="G336" i="4" s="1"/>
  <c r="P286" i="2"/>
  <c r="H336" i="4" s="1"/>
  <c r="P336" i="4" s="1"/>
  <c r="A287" i="2"/>
  <c r="A287" i="3" s="1"/>
  <c r="B287" i="2"/>
  <c r="B287" i="3" s="1"/>
  <c r="C287" i="2"/>
  <c r="D287" i="2"/>
  <c r="E287" i="2"/>
  <c r="F287" i="2"/>
  <c r="K287" i="2"/>
  <c r="L287" i="2"/>
  <c r="M287" i="2"/>
  <c r="N287" i="2"/>
  <c r="G337" i="4" s="1"/>
  <c r="P287" i="2"/>
  <c r="H337" i="4" s="1"/>
  <c r="P337" i="4" s="1"/>
  <c r="R287" i="2"/>
  <c r="P282" i="2"/>
  <c r="N282" i="2"/>
  <c r="M282" i="2"/>
  <c r="L282" i="2"/>
  <c r="K282" i="2"/>
  <c r="J282" i="2" s="1"/>
  <c r="F282" i="2"/>
  <c r="E282" i="2"/>
  <c r="D282" i="2"/>
  <c r="C282" i="2"/>
  <c r="B282" i="2"/>
  <c r="B282" i="3" s="1"/>
  <c r="A282" i="2"/>
  <c r="A282" i="3" s="1"/>
  <c r="O343" i="4" l="1"/>
  <c r="R339" i="2"/>
  <c r="Y339" i="2" s="1"/>
  <c r="S332" i="2"/>
  <c r="R331" i="2"/>
  <c r="Y331" i="2" s="1"/>
  <c r="R295" i="2"/>
  <c r="Y295" i="2" s="1"/>
  <c r="S292" i="2"/>
  <c r="S353" i="2"/>
  <c r="E379" i="3"/>
  <c r="E367" i="3"/>
  <c r="E363" i="3"/>
  <c r="E355" i="3"/>
  <c r="Z288" i="2"/>
  <c r="W384" i="2"/>
  <c r="S373" i="2"/>
  <c r="R357" i="2"/>
  <c r="Y357" i="2" s="1"/>
  <c r="R335" i="2"/>
  <c r="Y335" i="2" s="1"/>
  <c r="S328" i="2"/>
  <c r="S316" i="2"/>
  <c r="X355" i="2"/>
  <c r="R323" i="2"/>
  <c r="R307" i="2"/>
  <c r="Y307" i="2" s="1"/>
  <c r="R347" i="2"/>
  <c r="Y347" i="2" s="1"/>
  <c r="R343" i="2"/>
  <c r="S324" i="2"/>
  <c r="Y324" i="2" s="1"/>
  <c r="R315" i="2"/>
  <c r="Y315" i="2" s="1"/>
  <c r="R363" i="2"/>
  <c r="Y363" i="2" s="1"/>
  <c r="E343" i="3"/>
  <c r="O390" i="4"/>
  <c r="O382" i="4"/>
  <c r="O374" i="4"/>
  <c r="W369" i="2"/>
  <c r="S362" i="2"/>
  <c r="R345" i="2"/>
  <c r="E317" i="3"/>
  <c r="S306" i="2"/>
  <c r="R317" i="2"/>
  <c r="Y317" i="2" s="1"/>
  <c r="S302" i="2"/>
  <c r="Z372" i="2"/>
  <c r="Z364" i="2"/>
  <c r="Z360" i="2"/>
  <c r="Z356" i="2"/>
  <c r="Z324" i="2"/>
  <c r="Z300" i="2"/>
  <c r="Z292" i="2"/>
  <c r="W373" i="2"/>
  <c r="S366" i="2"/>
  <c r="R365" i="2"/>
  <c r="Y365" i="2" s="1"/>
  <c r="R361" i="2"/>
  <c r="Y361" i="2" s="1"/>
  <c r="S358" i="2"/>
  <c r="W357" i="2"/>
  <c r="E344" i="3"/>
  <c r="S342" i="2"/>
  <c r="S338" i="2"/>
  <c r="S322" i="2"/>
  <c r="E306" i="3"/>
  <c r="R301" i="2"/>
  <c r="Y301" i="2" s="1"/>
  <c r="S294" i="2"/>
  <c r="Z379" i="2"/>
  <c r="Z359" i="2"/>
  <c r="Z331" i="2"/>
  <c r="E299" i="3"/>
  <c r="R385" i="2"/>
  <c r="Y385" i="2" s="1"/>
  <c r="X369" i="2"/>
  <c r="X353" i="2"/>
  <c r="S346" i="2"/>
  <c r="S298" i="2"/>
  <c r="R297" i="2"/>
  <c r="Y297" i="2" s="1"/>
  <c r="E357" i="3"/>
  <c r="R337" i="2"/>
  <c r="Y337" i="2" s="1"/>
  <c r="S330" i="2"/>
  <c r="R321" i="2"/>
  <c r="Y321" i="2" s="1"/>
  <c r="R309" i="2"/>
  <c r="Y309" i="2" s="1"/>
  <c r="E298" i="3"/>
  <c r="R293" i="2"/>
  <c r="Y293" i="2" s="1"/>
  <c r="R289" i="2"/>
  <c r="Y289" i="2" s="1"/>
  <c r="E380" i="3"/>
  <c r="M374" i="4"/>
  <c r="E345" i="3"/>
  <c r="E337" i="3"/>
  <c r="E331" i="3"/>
  <c r="E315" i="3"/>
  <c r="E378" i="3"/>
  <c r="E362" i="3"/>
  <c r="E330" i="3"/>
  <c r="E314" i="3"/>
  <c r="Z71" i="2"/>
  <c r="Z313" i="2"/>
  <c r="Z388" i="2"/>
  <c r="Z384" i="2"/>
  <c r="Z380" i="2"/>
  <c r="Z376" i="2"/>
  <c r="Z348" i="2"/>
  <c r="Z344" i="2"/>
  <c r="Z340" i="2"/>
  <c r="Z336" i="2"/>
  <c r="Z332" i="2"/>
  <c r="Z328" i="2"/>
  <c r="Z316" i="2"/>
  <c r="Z308" i="2"/>
  <c r="Z305" i="2"/>
  <c r="Z386" i="2"/>
  <c r="Z347" i="2"/>
  <c r="Z309" i="2"/>
  <c r="O365" i="4"/>
  <c r="X385" i="2"/>
  <c r="X377" i="2"/>
  <c r="E385" i="3"/>
  <c r="E377" i="3"/>
  <c r="E374" i="3"/>
  <c r="G421" i="4"/>
  <c r="O421" i="4" s="1"/>
  <c r="U366" i="2"/>
  <c r="E366" i="3" s="1"/>
  <c r="E341" i="3"/>
  <c r="G360" i="4"/>
  <c r="O360" i="4" s="1"/>
  <c r="U309" i="2"/>
  <c r="E309" i="3" s="1"/>
  <c r="E384" i="3"/>
  <c r="S379" i="2"/>
  <c r="E434" i="4"/>
  <c r="N434" i="4" s="1"/>
  <c r="R378" i="2"/>
  <c r="Y378" i="2" s="1"/>
  <c r="D433" i="4"/>
  <c r="E376" i="3"/>
  <c r="S375" i="2"/>
  <c r="E430" i="4"/>
  <c r="R374" i="2"/>
  <c r="Y374" i="2" s="1"/>
  <c r="D429" i="4"/>
  <c r="Z387" i="2"/>
  <c r="Z375" i="2"/>
  <c r="Z371" i="2"/>
  <c r="Z367" i="2"/>
  <c r="Z363" i="2"/>
  <c r="Z355" i="2"/>
  <c r="Z323" i="2"/>
  <c r="Z307" i="2"/>
  <c r="Z303" i="2"/>
  <c r="Z299" i="2"/>
  <c r="Z295" i="2"/>
  <c r="Z291" i="2"/>
  <c r="Z368" i="2"/>
  <c r="Z352" i="2"/>
  <c r="Z343" i="2"/>
  <c r="Z329" i="2"/>
  <c r="Z314" i="2"/>
  <c r="Z304" i="2"/>
  <c r="S381" i="2"/>
  <c r="E375" i="3"/>
  <c r="E371" i="3"/>
  <c r="E351" i="3"/>
  <c r="E346" i="3"/>
  <c r="E321" i="3"/>
  <c r="E289" i="3"/>
  <c r="S377" i="2"/>
  <c r="E342" i="3"/>
  <c r="E339" i="3"/>
  <c r="E335" i="3"/>
  <c r="Y292" i="2"/>
  <c r="E287" i="3"/>
  <c r="R387" i="2"/>
  <c r="Y387" i="2" s="1"/>
  <c r="D442" i="4"/>
  <c r="S384" i="2"/>
  <c r="E439" i="4"/>
  <c r="N439" i="4" s="1"/>
  <c r="E381" i="3"/>
  <c r="Z378" i="2"/>
  <c r="Z374" i="2"/>
  <c r="Z370" i="2"/>
  <c r="Z366" i="2"/>
  <c r="Z362" i="2"/>
  <c r="Z358" i="2"/>
  <c r="Z354" i="2"/>
  <c r="Z346" i="2"/>
  <c r="Z342" i="2"/>
  <c r="Z338" i="2"/>
  <c r="Z330" i="2"/>
  <c r="Z326" i="2"/>
  <c r="Z322" i="2"/>
  <c r="Z318" i="2"/>
  <c r="Z310" i="2"/>
  <c r="Z306" i="2"/>
  <c r="Z302" i="2"/>
  <c r="Z298" i="2"/>
  <c r="Z294" i="2"/>
  <c r="Z290" i="2"/>
  <c r="Z286" i="2"/>
  <c r="Z381" i="2"/>
  <c r="Z339" i="2"/>
  <c r="M438" i="4"/>
  <c r="E370" i="3"/>
  <c r="E327" i="3"/>
  <c r="E290" i="3"/>
  <c r="M435" i="4"/>
  <c r="M427" i="4"/>
  <c r="S369" i="2"/>
  <c r="E424" i="4"/>
  <c r="N424" i="4" s="1"/>
  <c r="M407" i="4"/>
  <c r="S345" i="2"/>
  <c r="E398" i="4"/>
  <c r="M397" i="4"/>
  <c r="S341" i="2"/>
  <c r="E394" i="4"/>
  <c r="N394" i="4" s="1"/>
  <c r="E338" i="3"/>
  <c r="O385" i="4"/>
  <c r="M385" i="4"/>
  <c r="R328" i="2"/>
  <c r="Y328" i="2" s="1"/>
  <c r="D381" i="4"/>
  <c r="S325" i="2"/>
  <c r="E378" i="4"/>
  <c r="S317" i="2"/>
  <c r="E369" i="4"/>
  <c r="O368" i="4"/>
  <c r="M368" i="4"/>
  <c r="S309" i="2"/>
  <c r="E360" i="4"/>
  <c r="N360" i="4" s="1"/>
  <c r="S305" i="2"/>
  <c r="E355" i="4"/>
  <c r="N355" i="4" s="1"/>
  <c r="S301" i="2"/>
  <c r="E351" i="4"/>
  <c r="N351" i="4" s="1"/>
  <c r="R300" i="2"/>
  <c r="Y300" i="2" s="1"/>
  <c r="D350" i="4"/>
  <c r="S297" i="2"/>
  <c r="E347" i="4"/>
  <c r="N347" i="4" s="1"/>
  <c r="M346" i="4"/>
  <c r="O342" i="4"/>
  <c r="M342" i="4"/>
  <c r="S289" i="2"/>
  <c r="E339" i="4"/>
  <c r="N339" i="4" s="1"/>
  <c r="M338" i="4"/>
  <c r="O338" i="4"/>
  <c r="Z389" i="2"/>
  <c r="Z385" i="2"/>
  <c r="Z373" i="2"/>
  <c r="Z369" i="2"/>
  <c r="Z365" i="2"/>
  <c r="Z361" i="2"/>
  <c r="Z357" i="2"/>
  <c r="Z353" i="2"/>
  <c r="Z345" i="2"/>
  <c r="Z341" i="2"/>
  <c r="Z301" i="2"/>
  <c r="Z297" i="2"/>
  <c r="Z293" i="2"/>
  <c r="Z289" i="2"/>
  <c r="Z377" i="2"/>
  <c r="Z296" i="2"/>
  <c r="C387" i="3"/>
  <c r="W383" i="2"/>
  <c r="C383" i="3"/>
  <c r="W375" i="2"/>
  <c r="C375" i="3"/>
  <c r="W367" i="2"/>
  <c r="C367" i="3"/>
  <c r="C359" i="3"/>
  <c r="W351" i="2"/>
  <c r="C351" i="3"/>
  <c r="W343" i="2"/>
  <c r="C343" i="3"/>
  <c r="W335" i="2"/>
  <c r="C335" i="3"/>
  <c r="W331" i="2"/>
  <c r="C331" i="3"/>
  <c r="C294" i="3"/>
  <c r="Z317" i="2"/>
  <c r="Z321" i="2"/>
  <c r="Z287" i="2"/>
  <c r="M339" i="4"/>
  <c r="M347" i="4"/>
  <c r="M420" i="4"/>
  <c r="M412" i="4"/>
  <c r="M343" i="4"/>
  <c r="M394" i="4"/>
  <c r="E372" i="3"/>
  <c r="S371" i="2"/>
  <c r="E426" i="4"/>
  <c r="N426" i="4" s="1"/>
  <c r="R370" i="2"/>
  <c r="Y370" i="2" s="1"/>
  <c r="D425" i="4"/>
  <c r="S367" i="2"/>
  <c r="E422" i="4"/>
  <c r="N422" i="4" s="1"/>
  <c r="E360" i="3"/>
  <c r="E356" i="3"/>
  <c r="S355" i="2"/>
  <c r="E410" i="4"/>
  <c r="N410" i="4" s="1"/>
  <c r="R354" i="2"/>
  <c r="Y354" i="2" s="1"/>
  <c r="D409" i="4"/>
  <c r="E352" i="3"/>
  <c r="S351" i="2"/>
  <c r="E406" i="4"/>
  <c r="N406" i="4" s="1"/>
  <c r="S347" i="2"/>
  <c r="E400" i="4"/>
  <c r="N400" i="4" s="1"/>
  <c r="R346" i="2"/>
  <c r="Y346" i="2" s="1"/>
  <c r="D399" i="4"/>
  <c r="S343" i="2"/>
  <c r="E396" i="4"/>
  <c r="N396" i="4" s="1"/>
  <c r="R342" i="2"/>
  <c r="Y342" i="2" s="1"/>
  <c r="D395" i="4"/>
  <c r="S339" i="2"/>
  <c r="E392" i="4"/>
  <c r="N392" i="4" s="1"/>
  <c r="R338" i="2"/>
  <c r="Y338" i="2" s="1"/>
  <c r="D391" i="4"/>
  <c r="S335" i="2"/>
  <c r="E388" i="4"/>
  <c r="N388" i="4" s="1"/>
  <c r="E332" i="3"/>
  <c r="S331" i="2"/>
  <c r="E384" i="4"/>
  <c r="N384" i="4" s="1"/>
  <c r="R330" i="2"/>
  <c r="Y330" i="2" s="1"/>
  <c r="D383" i="4"/>
  <c r="E328" i="3"/>
  <c r="S327" i="2"/>
  <c r="E380" i="4"/>
  <c r="N380" i="4" s="1"/>
  <c r="S323" i="2"/>
  <c r="E376" i="4"/>
  <c r="N376" i="4" s="1"/>
  <c r="R322" i="2"/>
  <c r="Y322" i="2" s="1"/>
  <c r="D375" i="4"/>
  <c r="E316" i="3"/>
  <c r="S315" i="2"/>
  <c r="E367" i="4"/>
  <c r="N367" i="4" s="1"/>
  <c r="R314" i="2"/>
  <c r="D366" i="4"/>
  <c r="S307" i="2"/>
  <c r="E358" i="4"/>
  <c r="N358" i="4" s="1"/>
  <c r="R306" i="2"/>
  <c r="Y306" i="2" s="1"/>
  <c r="D356" i="4"/>
  <c r="S303" i="2"/>
  <c r="E353" i="4"/>
  <c r="N353" i="4" s="1"/>
  <c r="R302" i="2"/>
  <c r="D352" i="4"/>
  <c r="S299" i="2"/>
  <c r="E349" i="4"/>
  <c r="N349" i="4" s="1"/>
  <c r="R298" i="2"/>
  <c r="D348" i="4"/>
  <c r="S295" i="2"/>
  <c r="E345" i="4"/>
  <c r="N345" i="4" s="1"/>
  <c r="R294" i="2"/>
  <c r="Y294" i="2" s="1"/>
  <c r="D344" i="4"/>
  <c r="E292" i="3"/>
  <c r="S291" i="2"/>
  <c r="E341" i="4"/>
  <c r="N341" i="4" s="1"/>
  <c r="R290" i="2"/>
  <c r="D340" i="4"/>
  <c r="E288" i="3"/>
  <c r="S287" i="2"/>
  <c r="Y287" i="2" s="1"/>
  <c r="E337" i="4"/>
  <c r="N337" i="4" s="1"/>
  <c r="R286" i="2"/>
  <c r="Y286" i="2" s="1"/>
  <c r="D336" i="4"/>
  <c r="C386" i="3"/>
  <c r="X378" i="2"/>
  <c r="C378" i="3"/>
  <c r="X374" i="2"/>
  <c r="C374" i="3"/>
  <c r="X370" i="2"/>
  <c r="C370" i="3"/>
  <c r="C366" i="3"/>
  <c r="X362" i="2"/>
  <c r="C362" i="3"/>
  <c r="C358" i="3"/>
  <c r="X330" i="2"/>
  <c r="C330" i="3"/>
  <c r="C322" i="3"/>
  <c r="X314" i="2"/>
  <c r="C314" i="3"/>
  <c r="Z383" i="2"/>
  <c r="M390" i="4"/>
  <c r="M382" i="4"/>
  <c r="M335" i="4"/>
  <c r="E373" i="3"/>
  <c r="E369" i="3"/>
  <c r="R359" i="2"/>
  <c r="Y359" i="2" s="1"/>
  <c r="D414" i="4"/>
  <c r="E353" i="3"/>
  <c r="S344" i="2"/>
  <c r="E397" i="4"/>
  <c r="N397" i="4" s="1"/>
  <c r="R327" i="2"/>
  <c r="Y327" i="2" s="1"/>
  <c r="D380" i="4"/>
  <c r="S308" i="2"/>
  <c r="E359" i="4"/>
  <c r="N359" i="4" s="1"/>
  <c r="E305" i="3"/>
  <c r="R303" i="2"/>
  <c r="Y303" i="2" s="1"/>
  <c r="D353" i="4"/>
  <c r="S300" i="2"/>
  <c r="E350" i="4"/>
  <c r="N350" i="4" s="1"/>
  <c r="S296" i="2"/>
  <c r="E346" i="4"/>
  <c r="N346" i="4" s="1"/>
  <c r="R291" i="2"/>
  <c r="Y291" i="2" s="1"/>
  <c r="D341" i="4"/>
  <c r="Z335" i="2"/>
  <c r="Z327" i="2"/>
  <c r="Z325" i="2"/>
  <c r="Z315" i="2"/>
  <c r="O400" i="4"/>
  <c r="X375" i="2"/>
  <c r="W374" i="2"/>
  <c r="X367" i="2"/>
  <c r="X351" i="2"/>
  <c r="X347" i="2"/>
  <c r="W314" i="2"/>
  <c r="X298" i="2"/>
  <c r="Y285" i="2"/>
  <c r="Y332" i="2"/>
  <c r="Y305" i="2"/>
  <c r="Y345" i="2"/>
  <c r="Y313" i="2"/>
  <c r="Y298" i="2"/>
  <c r="Y290" i="2"/>
  <c r="Y323" i="2"/>
  <c r="X329" i="2"/>
  <c r="W329" i="2"/>
  <c r="X321" i="2"/>
  <c r="W321" i="2"/>
  <c r="X379" i="2"/>
  <c r="W378" i="2"/>
  <c r="X373" i="2"/>
  <c r="X363" i="2"/>
  <c r="W362" i="2"/>
  <c r="X357" i="2"/>
  <c r="X343" i="2"/>
  <c r="X335" i="2"/>
  <c r="X331" i="2"/>
  <c r="W316" i="2"/>
  <c r="X316" i="2"/>
  <c r="W288" i="2"/>
  <c r="X288" i="2"/>
  <c r="X381" i="2"/>
  <c r="X371" i="2"/>
  <c r="W370" i="2"/>
  <c r="X341" i="2"/>
  <c r="X313" i="2"/>
  <c r="W313" i="2"/>
  <c r="Y343" i="2"/>
  <c r="W339" i="2"/>
  <c r="W337" i="2"/>
  <c r="X317" i="2"/>
  <c r="W317" i="2"/>
  <c r="X384" i="2"/>
  <c r="X380" i="2"/>
  <c r="X376" i="2"/>
  <c r="X372" i="2"/>
  <c r="X360" i="2"/>
  <c r="X356" i="2"/>
  <c r="W355" i="2"/>
  <c r="W353" i="2"/>
  <c r="W347" i="2"/>
  <c r="W345" i="2"/>
  <c r="Y341" i="2"/>
  <c r="X339" i="2"/>
  <c r="X337" i="2"/>
  <c r="W330" i="2"/>
  <c r="W328" i="2"/>
  <c r="X328" i="2"/>
  <c r="Y314" i="2"/>
  <c r="W306" i="2"/>
  <c r="Y302" i="2"/>
  <c r="Y296" i="2"/>
  <c r="W292" i="2"/>
  <c r="W290" i="2"/>
  <c r="X306" i="2"/>
  <c r="W298" i="2"/>
  <c r="X292" i="2"/>
  <c r="X290" i="2"/>
  <c r="W287" i="2"/>
  <c r="X287" i="2"/>
  <c r="N227" i="2"/>
  <c r="Z228" i="2" s="1"/>
  <c r="K387" i="1"/>
  <c r="K386" i="1"/>
  <c r="H385" i="1"/>
  <c r="H385" i="2" s="1"/>
  <c r="E440" i="4" s="1"/>
  <c r="N440" i="4" s="1"/>
  <c r="G386" i="1"/>
  <c r="G386" i="2" s="1"/>
  <c r="H387" i="1"/>
  <c r="H387" i="2" s="1"/>
  <c r="S387" i="2" s="1"/>
  <c r="G384" i="1"/>
  <c r="G384" i="2" s="1"/>
  <c r="D439" i="4" s="1"/>
  <c r="H383" i="1"/>
  <c r="H383" i="2" s="1"/>
  <c r="H380" i="1"/>
  <c r="H380" i="2" s="1"/>
  <c r="G381" i="1"/>
  <c r="G381" i="2" s="1"/>
  <c r="F377" i="1"/>
  <c r="F377" i="2" s="1"/>
  <c r="K368" i="1"/>
  <c r="O349" i="4" l="1"/>
  <c r="O384" i="4"/>
  <c r="X366" i="2"/>
  <c r="E435" i="4"/>
  <c r="S380" i="2"/>
  <c r="R384" i="2"/>
  <c r="Y384" i="2" s="1"/>
  <c r="E442" i="4"/>
  <c r="N442" i="4" s="1"/>
  <c r="D441" i="4"/>
  <c r="R386" i="2"/>
  <c r="Y386" i="2" s="1"/>
  <c r="F423" i="4"/>
  <c r="K368" i="2"/>
  <c r="E438" i="4"/>
  <c r="S383" i="2"/>
  <c r="F441" i="4"/>
  <c r="K386" i="2"/>
  <c r="D436" i="4"/>
  <c r="R381" i="2"/>
  <c r="Y381" i="2" s="1"/>
  <c r="F442" i="4"/>
  <c r="K387" i="2"/>
  <c r="O440" i="4"/>
  <c r="S385" i="2"/>
  <c r="O348" i="4"/>
  <c r="M348" i="4"/>
  <c r="N398" i="4"/>
  <c r="O398" i="4"/>
  <c r="O388" i="4"/>
  <c r="N430" i="4"/>
  <c r="M336" i="4"/>
  <c r="M352" i="4"/>
  <c r="M356" i="4"/>
  <c r="O356" i="4"/>
  <c r="O367" i="4"/>
  <c r="N378" i="4"/>
  <c r="O439" i="4"/>
  <c r="M439" i="4"/>
  <c r="O396" i="4"/>
  <c r="O355" i="4"/>
  <c r="M350" i="4"/>
  <c r="W366" i="2"/>
  <c r="M353" i="4"/>
  <c r="M340" i="4"/>
  <c r="O340" i="4"/>
  <c r="O366" i="4"/>
  <c r="M366" i="4"/>
  <c r="M391" i="4"/>
  <c r="O391" i="4"/>
  <c r="M409" i="4"/>
  <c r="M425" i="4"/>
  <c r="O392" i="4"/>
  <c r="N369" i="4"/>
  <c r="O369" i="4"/>
  <c r="O337" i="4"/>
  <c r="M442" i="4"/>
  <c r="M429" i="4"/>
  <c r="O339" i="4"/>
  <c r="O394" i="4"/>
  <c r="M341" i="4"/>
  <c r="M414" i="4"/>
  <c r="M380" i="4"/>
  <c r="O380" i="4"/>
  <c r="M344" i="4"/>
  <c r="M375" i="4"/>
  <c r="O383" i="4"/>
  <c r="M383" i="4"/>
  <c r="O395" i="4"/>
  <c r="M395" i="4"/>
  <c r="O399" i="4"/>
  <c r="M399" i="4"/>
  <c r="O381" i="4"/>
  <c r="M381" i="4"/>
  <c r="O397" i="4"/>
  <c r="M433" i="4"/>
  <c r="X338" i="2"/>
  <c r="W338" i="2"/>
  <c r="X332" i="2"/>
  <c r="W332" i="2"/>
  <c r="W327" i="2"/>
  <c r="X327" i="2"/>
  <c r="X289" i="2"/>
  <c r="W289" i="2"/>
  <c r="X344" i="2"/>
  <c r="W344" i="2"/>
  <c r="X305" i="2"/>
  <c r="W305" i="2"/>
  <c r="X352" i="2"/>
  <c r="W352" i="2"/>
  <c r="X299" i="2"/>
  <c r="W299" i="2"/>
  <c r="X309" i="2"/>
  <c r="W309" i="2"/>
  <c r="X342" i="2"/>
  <c r="W342" i="2"/>
  <c r="X293" i="2"/>
  <c r="W293" i="2"/>
  <c r="W315" i="2"/>
  <c r="X315" i="2"/>
  <c r="X346" i="2"/>
  <c r="W346" i="2"/>
  <c r="K365" i="1"/>
  <c r="K364" i="1"/>
  <c r="F362" i="1"/>
  <c r="F362" i="2" s="1"/>
  <c r="K361" i="1"/>
  <c r="K359" i="1"/>
  <c r="K358" i="1"/>
  <c r="K354" i="1"/>
  <c r="H376" i="1"/>
  <c r="H376" i="2" s="1"/>
  <c r="G377" i="1"/>
  <c r="G377" i="2" s="1"/>
  <c r="H378" i="1"/>
  <c r="H378" i="2" s="1"/>
  <c r="G379" i="1"/>
  <c r="G379" i="2" s="1"/>
  <c r="G375" i="1"/>
  <c r="G375" i="2" s="1"/>
  <c r="H374" i="1"/>
  <c r="H374" i="2" s="1"/>
  <c r="G373" i="1"/>
  <c r="G373" i="2" s="1"/>
  <c r="H372" i="1"/>
  <c r="H372" i="2" s="1"/>
  <c r="G371" i="1"/>
  <c r="G371" i="2" s="1"/>
  <c r="H370" i="1"/>
  <c r="H370" i="2" s="1"/>
  <c r="G369" i="1"/>
  <c r="G369" i="2" s="1"/>
  <c r="H368" i="1"/>
  <c r="H368" i="2" s="1"/>
  <c r="G367" i="1"/>
  <c r="G367" i="2" s="1"/>
  <c r="G366" i="1"/>
  <c r="G366" i="2" s="1"/>
  <c r="H365" i="1"/>
  <c r="H365" i="2" s="1"/>
  <c r="G364" i="1"/>
  <c r="G364" i="2" s="1"/>
  <c r="H363" i="1"/>
  <c r="H363" i="2" s="1"/>
  <c r="G362" i="1"/>
  <c r="G362" i="2" s="1"/>
  <c r="H361" i="1"/>
  <c r="H361" i="2" s="1"/>
  <c r="G360" i="1"/>
  <c r="G360" i="2" s="1"/>
  <c r="H359" i="1"/>
  <c r="H359" i="2" s="1"/>
  <c r="G358" i="1"/>
  <c r="G358" i="2" s="1"/>
  <c r="H357" i="1"/>
  <c r="H357" i="2" s="1"/>
  <c r="G356" i="1"/>
  <c r="G356" i="2" s="1"/>
  <c r="G355" i="1"/>
  <c r="G355" i="2" s="1"/>
  <c r="H354" i="1"/>
  <c r="H354" i="2" s="1"/>
  <c r="G353" i="1"/>
  <c r="G353" i="2" s="1"/>
  <c r="H352" i="1"/>
  <c r="H352" i="2" s="1"/>
  <c r="G351" i="1"/>
  <c r="G351" i="2" s="1"/>
  <c r="F351" i="1"/>
  <c r="F351" i="2" s="1"/>
  <c r="E351" i="1"/>
  <c r="E351" i="2" s="1"/>
  <c r="D351" i="1"/>
  <c r="D351" i="2" s="1"/>
  <c r="C351" i="1"/>
  <c r="C351" i="2" s="1"/>
  <c r="O442" i="4" l="1"/>
  <c r="E412" i="4"/>
  <c r="S357" i="2"/>
  <c r="E420" i="4"/>
  <c r="S365" i="2"/>
  <c r="E433" i="4"/>
  <c r="S378" i="2"/>
  <c r="F419" i="4"/>
  <c r="K364" i="2"/>
  <c r="W368" i="2"/>
  <c r="E368" i="3"/>
  <c r="X368" i="2"/>
  <c r="D408" i="4"/>
  <c r="R353" i="2"/>
  <c r="Y353" i="2" s="1"/>
  <c r="E416" i="4"/>
  <c r="S361" i="2"/>
  <c r="D424" i="4"/>
  <c r="R369" i="2"/>
  <c r="Y369" i="2" s="1"/>
  <c r="D428" i="4"/>
  <c r="R373" i="2"/>
  <c r="Y373" i="2" s="1"/>
  <c r="F413" i="4"/>
  <c r="K358" i="2"/>
  <c r="E409" i="4"/>
  <c r="S354" i="2"/>
  <c r="R358" i="2"/>
  <c r="Y358" i="2" s="1"/>
  <c r="D413" i="4"/>
  <c r="R362" i="2"/>
  <c r="Y362" i="2" s="1"/>
  <c r="D417" i="4"/>
  <c r="R366" i="2"/>
  <c r="Y366" i="2" s="1"/>
  <c r="D421" i="4"/>
  <c r="M421" i="4" s="1"/>
  <c r="E425" i="4"/>
  <c r="S370" i="2"/>
  <c r="E429" i="4"/>
  <c r="S374" i="2"/>
  <c r="D432" i="4"/>
  <c r="R377" i="2"/>
  <c r="Y377" i="2" s="1"/>
  <c r="F414" i="4"/>
  <c r="K359" i="2"/>
  <c r="F420" i="4"/>
  <c r="K365" i="2"/>
  <c r="M436" i="4"/>
  <c r="O436" i="4"/>
  <c r="N438" i="4"/>
  <c r="O438" i="4"/>
  <c r="R351" i="2"/>
  <c r="Y351" i="2" s="1"/>
  <c r="D406" i="4"/>
  <c r="S359" i="2"/>
  <c r="E414" i="4"/>
  <c r="R367" i="2"/>
  <c r="Y367" i="2" s="1"/>
  <c r="D422" i="4"/>
  <c r="D430" i="4"/>
  <c r="R375" i="2"/>
  <c r="Y375" i="2" s="1"/>
  <c r="F416" i="4"/>
  <c r="K361" i="2"/>
  <c r="W387" i="2"/>
  <c r="X387" i="2"/>
  <c r="E387" i="3"/>
  <c r="E386" i="3"/>
  <c r="X386" i="2"/>
  <c r="W386" i="2"/>
  <c r="R355" i="2"/>
  <c r="Y355" i="2" s="1"/>
  <c r="D410" i="4"/>
  <c r="E418" i="4"/>
  <c r="S363" i="2"/>
  <c r="D426" i="4"/>
  <c r="R371" i="2"/>
  <c r="Y371" i="2" s="1"/>
  <c r="S376" i="2"/>
  <c r="E431" i="4"/>
  <c r="E407" i="4"/>
  <c r="S352" i="2"/>
  <c r="D411" i="4"/>
  <c r="R356" i="2"/>
  <c r="Y356" i="2" s="1"/>
  <c r="D415" i="4"/>
  <c r="R360" i="2"/>
  <c r="Y360" i="2" s="1"/>
  <c r="D419" i="4"/>
  <c r="R364" i="2"/>
  <c r="Y364" i="2" s="1"/>
  <c r="E423" i="4"/>
  <c r="S368" i="2"/>
  <c r="E427" i="4"/>
  <c r="S372" i="2"/>
  <c r="R379" i="2"/>
  <c r="Y379" i="2" s="1"/>
  <c r="D434" i="4"/>
  <c r="F409" i="4"/>
  <c r="K354" i="2"/>
  <c r="O441" i="4"/>
  <c r="M441" i="4"/>
  <c r="N435" i="4"/>
  <c r="O435" i="4"/>
  <c r="K340" i="1"/>
  <c r="F343" i="1"/>
  <c r="F343" i="2" s="1"/>
  <c r="F339" i="1"/>
  <c r="F339" i="2" s="1"/>
  <c r="F337" i="1"/>
  <c r="F337" i="2" s="1"/>
  <c r="E337" i="1"/>
  <c r="E337" i="2" s="1"/>
  <c r="D337" i="1"/>
  <c r="D337" i="2" s="1"/>
  <c r="C337" i="1"/>
  <c r="C337" i="2" s="1"/>
  <c r="F336" i="1"/>
  <c r="F336" i="2" s="1"/>
  <c r="E336" i="1"/>
  <c r="E336" i="2" s="1"/>
  <c r="D336" i="1"/>
  <c r="D336" i="2" s="1"/>
  <c r="C336" i="1"/>
  <c r="C336" i="2" s="1"/>
  <c r="O434" i="4" l="1"/>
  <c r="M434" i="4"/>
  <c r="N423" i="4"/>
  <c r="O423" i="4"/>
  <c r="O415" i="4"/>
  <c r="M415" i="4"/>
  <c r="N407" i="4"/>
  <c r="O407" i="4"/>
  <c r="M426" i="4"/>
  <c r="O426" i="4"/>
  <c r="N429" i="4"/>
  <c r="O429" i="4"/>
  <c r="O424" i="4"/>
  <c r="M424" i="4"/>
  <c r="M408" i="4"/>
  <c r="O408" i="4"/>
  <c r="W364" i="2"/>
  <c r="E364" i="3"/>
  <c r="X364" i="2"/>
  <c r="F393" i="4"/>
  <c r="O393" i="4" s="1"/>
  <c r="K340" i="2"/>
  <c r="N431" i="4"/>
  <c r="O431" i="4"/>
  <c r="N414" i="4"/>
  <c r="O414" i="4"/>
  <c r="W365" i="2"/>
  <c r="X365" i="2"/>
  <c r="E365" i="3"/>
  <c r="M417" i="4"/>
  <c r="O417" i="4"/>
  <c r="N420" i="4"/>
  <c r="O420" i="4"/>
  <c r="E354" i="3"/>
  <c r="X354" i="2"/>
  <c r="W354" i="2"/>
  <c r="N427" i="4"/>
  <c r="O427" i="4"/>
  <c r="O419" i="4"/>
  <c r="M419" i="4"/>
  <c r="O411" i="4"/>
  <c r="M411" i="4"/>
  <c r="N418" i="4"/>
  <c r="O418" i="4"/>
  <c r="M430" i="4"/>
  <c r="O430" i="4"/>
  <c r="M432" i="4"/>
  <c r="O432" i="4"/>
  <c r="N425" i="4"/>
  <c r="O425" i="4"/>
  <c r="N409" i="4"/>
  <c r="O409" i="4"/>
  <c r="M428" i="4"/>
  <c r="O428" i="4"/>
  <c r="N416" i="4"/>
  <c r="O416" i="4"/>
  <c r="M410" i="4"/>
  <c r="O410" i="4"/>
  <c r="X361" i="2"/>
  <c r="W361" i="2"/>
  <c r="E361" i="3"/>
  <c r="M422" i="4"/>
  <c r="O422" i="4"/>
  <c r="M406" i="4"/>
  <c r="O406" i="4"/>
  <c r="E359" i="3"/>
  <c r="W359" i="2"/>
  <c r="X359" i="2"/>
  <c r="M413" i="4"/>
  <c r="O413" i="4"/>
  <c r="E358" i="3"/>
  <c r="X358" i="2"/>
  <c r="W358" i="2"/>
  <c r="N433" i="4"/>
  <c r="O433" i="4"/>
  <c r="N412" i="4"/>
  <c r="O412" i="4"/>
  <c r="A341" i="1"/>
  <c r="A342" i="1"/>
  <c r="A343" i="1"/>
  <c r="A344" i="1"/>
  <c r="A345" i="1"/>
  <c r="A346" i="1"/>
  <c r="A347" i="1"/>
  <c r="A348" i="1"/>
  <c r="A336" i="1"/>
  <c r="A338" i="1"/>
  <c r="A339" i="1"/>
  <c r="A340" i="1"/>
  <c r="K325" i="1"/>
  <c r="K324" i="1"/>
  <c r="K323" i="1"/>
  <c r="K322" i="1"/>
  <c r="F323" i="1"/>
  <c r="F323" i="2" s="1"/>
  <c r="E323" i="1"/>
  <c r="E323" i="2" s="1"/>
  <c r="F331" i="1"/>
  <c r="F331" i="2" s="1"/>
  <c r="F327" i="1"/>
  <c r="F327" i="2" s="1"/>
  <c r="E327" i="1"/>
  <c r="E327" i="2" s="1"/>
  <c r="D327" i="1"/>
  <c r="D327" i="2" s="1"/>
  <c r="C327" i="1"/>
  <c r="C327" i="2" s="1"/>
  <c r="F326" i="1"/>
  <c r="F326" i="2" s="1"/>
  <c r="E326" i="1"/>
  <c r="E326" i="2" s="1"/>
  <c r="D326" i="1"/>
  <c r="D326" i="2" s="1"/>
  <c r="C326" i="1"/>
  <c r="C326" i="2" s="1"/>
  <c r="F321" i="1"/>
  <c r="F321" i="2" s="1"/>
  <c r="E321" i="1"/>
  <c r="E321" i="2" s="1"/>
  <c r="D321" i="1"/>
  <c r="D321" i="2" s="1"/>
  <c r="C321" i="1"/>
  <c r="C321" i="2" s="1"/>
  <c r="K309" i="1"/>
  <c r="K308" i="1"/>
  <c r="K307" i="1"/>
  <c r="K303" i="1"/>
  <c r="K302" i="1"/>
  <c r="K301" i="1"/>
  <c r="K300" i="1"/>
  <c r="K297" i="1"/>
  <c r="K296" i="1"/>
  <c r="K295" i="1"/>
  <c r="K294" i="1"/>
  <c r="K291" i="1"/>
  <c r="K286" i="1"/>
  <c r="K285" i="1"/>
  <c r="F359" i="4" l="1"/>
  <c r="K308" i="2"/>
  <c r="J308" i="2" s="1"/>
  <c r="A389" i="4"/>
  <c r="J389" i="4" s="1"/>
  <c r="A336" i="2"/>
  <c r="A336" i="3" s="1"/>
  <c r="A394" i="4"/>
  <c r="J394" i="4" s="1"/>
  <c r="A341" i="2"/>
  <c r="A341" i="3" s="1"/>
  <c r="F346" i="4"/>
  <c r="O346" i="4" s="1"/>
  <c r="K296" i="2"/>
  <c r="F360" i="4"/>
  <c r="K309" i="2"/>
  <c r="F375" i="4"/>
  <c r="O375" i="4" s="1"/>
  <c r="K322" i="2"/>
  <c r="A393" i="4"/>
  <c r="J393" i="4" s="1"/>
  <c r="A340" i="2"/>
  <c r="A340" i="3" s="1"/>
  <c r="A401" i="4"/>
  <c r="J401" i="4" s="1"/>
  <c r="A348" i="2"/>
  <c r="A348" i="3" s="1"/>
  <c r="A397" i="4"/>
  <c r="J397" i="4" s="1"/>
  <c r="A344" i="2"/>
  <c r="A344" i="3" s="1"/>
  <c r="F345" i="4"/>
  <c r="O345" i="4" s="1"/>
  <c r="K295" i="2"/>
  <c r="A398" i="4"/>
  <c r="J398" i="4" s="1"/>
  <c r="A345" i="2"/>
  <c r="A345" i="3" s="1"/>
  <c r="F336" i="4"/>
  <c r="O336" i="4" s="1"/>
  <c r="K286" i="2"/>
  <c r="F341" i="4"/>
  <c r="O341" i="4" s="1"/>
  <c r="K291" i="2"/>
  <c r="F347" i="4"/>
  <c r="O347" i="4" s="1"/>
  <c r="K297" i="2"/>
  <c r="F353" i="4"/>
  <c r="O353" i="4" s="1"/>
  <c r="K303" i="2"/>
  <c r="F376" i="4"/>
  <c r="O376" i="4" s="1"/>
  <c r="K323" i="2"/>
  <c r="A392" i="4"/>
  <c r="J392" i="4" s="1"/>
  <c r="A339" i="2"/>
  <c r="A339" i="3" s="1"/>
  <c r="A400" i="4"/>
  <c r="J400" i="4" s="1"/>
  <c r="A347" i="2"/>
  <c r="A347" i="3" s="1"/>
  <c r="A396" i="4"/>
  <c r="J396" i="4" s="1"/>
  <c r="A343" i="2"/>
  <c r="A343" i="3" s="1"/>
  <c r="F335" i="4"/>
  <c r="O335" i="4" s="1"/>
  <c r="K285" i="2"/>
  <c r="F351" i="4"/>
  <c r="O351" i="4" s="1"/>
  <c r="K301" i="2"/>
  <c r="F378" i="4"/>
  <c r="O378" i="4" s="1"/>
  <c r="K325" i="2"/>
  <c r="F352" i="4"/>
  <c r="O352" i="4" s="1"/>
  <c r="K302" i="2"/>
  <c r="F344" i="4"/>
  <c r="O344" i="4" s="1"/>
  <c r="K294" i="2"/>
  <c r="F350" i="4"/>
  <c r="O350" i="4" s="1"/>
  <c r="K300" i="2"/>
  <c r="F358" i="4"/>
  <c r="K307" i="2"/>
  <c r="J307" i="2" s="1"/>
  <c r="F377" i="4"/>
  <c r="O377" i="4" s="1"/>
  <c r="K324" i="2"/>
  <c r="A391" i="4"/>
  <c r="J391" i="4" s="1"/>
  <c r="A338" i="2"/>
  <c r="A338" i="3" s="1"/>
  <c r="A399" i="4"/>
  <c r="J399" i="4" s="1"/>
  <c r="A346" i="2"/>
  <c r="A346" i="3" s="1"/>
  <c r="A395" i="4"/>
  <c r="J395" i="4" s="1"/>
  <c r="A342" i="2"/>
  <c r="A342" i="3" s="1"/>
  <c r="E340" i="3"/>
  <c r="X340" i="2"/>
  <c r="W340" i="2"/>
  <c r="F305" i="1"/>
  <c r="F305" i="2" s="1"/>
  <c r="E305" i="1"/>
  <c r="E305" i="2" s="1"/>
  <c r="D305" i="1"/>
  <c r="D305" i="2" s="1"/>
  <c r="C305" i="1"/>
  <c r="C305" i="2" s="1"/>
  <c r="E296" i="1"/>
  <c r="E296" i="2" s="1"/>
  <c r="E295" i="1"/>
  <c r="E295" i="2" s="1"/>
  <c r="F292" i="1"/>
  <c r="F292" i="2" s="1"/>
  <c r="F290" i="1"/>
  <c r="F290" i="2" s="1"/>
  <c r="F285" i="1"/>
  <c r="F285" i="2" s="1"/>
  <c r="X300" i="2" l="1"/>
  <c r="E300" i="3"/>
  <c r="W300" i="2"/>
  <c r="E294" i="3"/>
  <c r="W294" i="2"/>
  <c r="X294" i="2"/>
  <c r="X285" i="2"/>
  <c r="E285" i="3"/>
  <c r="W285" i="2"/>
  <c r="E323" i="3"/>
  <c r="W323" i="2"/>
  <c r="X323" i="2"/>
  <c r="E297" i="3"/>
  <c r="X297" i="2"/>
  <c r="W297" i="2"/>
  <c r="W286" i="2"/>
  <c r="X286" i="2"/>
  <c r="E286" i="3"/>
  <c r="E295" i="3"/>
  <c r="X295" i="2"/>
  <c r="W295" i="2"/>
  <c r="W322" i="2"/>
  <c r="X322" i="2"/>
  <c r="E322" i="3"/>
  <c r="W296" i="2"/>
  <c r="E296" i="3"/>
  <c r="X296" i="2"/>
  <c r="X302" i="2"/>
  <c r="W302" i="2"/>
  <c r="E302" i="3"/>
  <c r="C307" i="3"/>
  <c r="U307" i="2"/>
  <c r="E307" i="3" s="1"/>
  <c r="W325" i="2"/>
  <c r="E325" i="3"/>
  <c r="X325" i="2"/>
  <c r="W324" i="2"/>
  <c r="X324" i="2"/>
  <c r="E324" i="3"/>
  <c r="E301" i="3"/>
  <c r="X301" i="2"/>
  <c r="W301" i="2"/>
  <c r="E303" i="3"/>
  <c r="X303" i="2"/>
  <c r="W303" i="2"/>
  <c r="E291" i="3"/>
  <c r="X291" i="2"/>
  <c r="W291" i="2"/>
  <c r="C308" i="3"/>
  <c r="U308" i="2"/>
  <c r="E308" i="3" s="1"/>
  <c r="C290" i="4"/>
  <c r="C268" i="4"/>
  <c r="B219" i="4"/>
  <c r="C219" i="4"/>
  <c r="C193" i="4"/>
  <c r="C172" i="4"/>
  <c r="C122" i="4"/>
  <c r="L122" i="4" s="1"/>
  <c r="B40" i="4"/>
  <c r="K40" i="4" s="1"/>
  <c r="C5" i="4"/>
  <c r="L5" i="4" s="1"/>
  <c r="B5" i="4"/>
  <c r="K5" i="4" s="1"/>
  <c r="X308" i="2" l="1"/>
  <c r="W307" i="2"/>
  <c r="W308" i="2"/>
  <c r="X307" i="2"/>
  <c r="J328" i="4"/>
  <c r="J319" i="4"/>
  <c r="J299" i="4"/>
  <c r="J294" i="4"/>
  <c r="J321" i="4"/>
  <c r="J301" i="4"/>
  <c r="J296" i="4"/>
  <c r="J291" i="4"/>
  <c r="J278" i="4"/>
  <c r="J269" i="4"/>
  <c r="J271" i="4"/>
  <c r="J280" i="4"/>
  <c r="J262" i="4"/>
  <c r="J264" i="4"/>
  <c r="J260" i="4"/>
  <c r="J241" i="4"/>
  <c r="J243" i="4"/>
  <c r="J220" i="4"/>
  <c r="J194" i="4"/>
  <c r="J173" i="4"/>
  <c r="J168" i="4"/>
  <c r="A216" i="4"/>
  <c r="K216" i="4" s="1"/>
  <c r="B216" i="4"/>
  <c r="C216" i="4"/>
  <c r="I216" i="4"/>
  <c r="A218" i="4"/>
  <c r="J218" i="4" s="1"/>
  <c r="B218" i="4"/>
  <c r="K218" i="4" s="1"/>
  <c r="C218" i="4"/>
  <c r="F218" i="4"/>
  <c r="I218" i="4"/>
  <c r="A219" i="4"/>
  <c r="J219" i="4" s="1"/>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I233" i="4"/>
  <c r="A234" i="4"/>
  <c r="J234" i="4" s="1"/>
  <c r="B234" i="4"/>
  <c r="K234" i="4" s="1"/>
  <c r="C234" i="4"/>
  <c r="L234" i="4" s="1"/>
  <c r="F234" i="4"/>
  <c r="I234" i="4"/>
  <c r="A235" i="4"/>
  <c r="J235" i="4" s="1"/>
  <c r="B235" i="4"/>
  <c r="K235" i="4" s="1"/>
  <c r="C235" i="4"/>
  <c r="L235" i="4" s="1"/>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I240" i="4"/>
  <c r="A242" i="4"/>
  <c r="J242" i="4" s="1"/>
  <c r="B242" i="4"/>
  <c r="K242" i="4" s="1"/>
  <c r="C242" i="4"/>
  <c r="L242" i="4" s="1"/>
  <c r="I242" i="4"/>
  <c r="A244" i="4"/>
  <c r="J244" i="4" s="1"/>
  <c r="B244" i="4"/>
  <c r="K244" i="4" s="1"/>
  <c r="C244" i="4"/>
  <c r="L244" i="4" s="1"/>
  <c r="F244" i="4"/>
  <c r="I244" i="4"/>
  <c r="A245" i="4"/>
  <c r="J245" i="4" s="1"/>
  <c r="B245" i="4"/>
  <c r="K245" i="4" s="1"/>
  <c r="C245" i="4"/>
  <c r="L245" i="4" s="1"/>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I255" i="4"/>
  <c r="A256" i="4"/>
  <c r="J256" i="4" s="1"/>
  <c r="B256" i="4"/>
  <c r="K256" i="4" s="1"/>
  <c r="C256" i="4"/>
  <c r="L256" i="4" s="1"/>
  <c r="F256" i="4"/>
  <c r="I256" i="4"/>
  <c r="A257" i="4"/>
  <c r="J257" i="4" s="1"/>
  <c r="B257" i="4"/>
  <c r="K257" i="4" s="1"/>
  <c r="C257" i="4"/>
  <c r="L257" i="4" s="1"/>
  <c r="I257" i="4"/>
  <c r="A258" i="4"/>
  <c r="J258" i="4" s="1"/>
  <c r="B258" i="4"/>
  <c r="K258" i="4" s="1"/>
  <c r="C258" i="4"/>
  <c r="L258" i="4" s="1"/>
  <c r="F258" i="4"/>
  <c r="I258" i="4"/>
  <c r="A259" i="4"/>
  <c r="J259" i="4" s="1"/>
  <c r="B259" i="4"/>
  <c r="K259" i="4" s="1"/>
  <c r="C259" i="4"/>
  <c r="L259" i="4" s="1"/>
  <c r="I259" i="4"/>
  <c r="A261" i="4"/>
  <c r="J261" i="4" s="1"/>
  <c r="B261" i="4"/>
  <c r="K261" i="4" s="1"/>
  <c r="C261" i="4"/>
  <c r="L261" i="4" s="1"/>
  <c r="I261" i="4"/>
  <c r="A263" i="4"/>
  <c r="J263" i="4" s="1"/>
  <c r="B263" i="4"/>
  <c r="K263" i="4" s="1"/>
  <c r="C263" i="4"/>
  <c r="L263" i="4" s="1"/>
  <c r="F263" i="4"/>
  <c r="I263" i="4"/>
  <c r="A265" i="4"/>
  <c r="J265" i="4" s="1"/>
  <c r="B265" i="4"/>
  <c r="K265" i="4" s="1"/>
  <c r="C265" i="4"/>
  <c r="L265" i="4" s="1"/>
  <c r="I265" i="4"/>
  <c r="A266" i="4"/>
  <c r="K266" i="4" s="1"/>
  <c r="B266" i="4"/>
  <c r="C266" i="4"/>
  <c r="F266" i="4"/>
  <c r="I266" i="4"/>
  <c r="A268" i="4"/>
  <c r="J268" i="4" s="1"/>
  <c r="B268" i="4"/>
  <c r="K268" i="4" s="1"/>
  <c r="L268" i="4"/>
  <c r="F268" i="4"/>
  <c r="I268" i="4"/>
  <c r="A270" i="4"/>
  <c r="J270" i="4" s="1"/>
  <c r="B270" i="4"/>
  <c r="K270" i="4" s="1"/>
  <c r="C270" i="4"/>
  <c r="L270" i="4" s="1"/>
  <c r="I270" i="4"/>
  <c r="A272" i="4"/>
  <c r="J272" i="4" s="1"/>
  <c r="B272" i="4"/>
  <c r="K272" i="4" s="1"/>
  <c r="C272" i="4"/>
  <c r="L272" i="4" s="1"/>
  <c r="F272" i="4"/>
  <c r="I272" i="4"/>
  <c r="A273" i="4"/>
  <c r="J273" i="4" s="1"/>
  <c r="B273" i="4"/>
  <c r="K273" i="4" s="1"/>
  <c r="C273" i="4"/>
  <c r="L273" i="4" s="1"/>
  <c r="F273" i="4"/>
  <c r="I273" i="4"/>
  <c r="A274" i="4"/>
  <c r="J274" i="4" s="1"/>
  <c r="B274" i="4"/>
  <c r="K274" i="4" s="1"/>
  <c r="C274" i="4"/>
  <c r="L274" i="4" s="1"/>
  <c r="F274" i="4"/>
  <c r="I274" i="4"/>
  <c r="A275" i="4"/>
  <c r="J275" i="4" s="1"/>
  <c r="B275" i="4"/>
  <c r="K275" i="4" s="1"/>
  <c r="C275" i="4"/>
  <c r="L275" i="4" s="1"/>
  <c r="F275" i="4"/>
  <c r="I275" i="4"/>
  <c r="A276" i="4"/>
  <c r="J276" i="4" s="1"/>
  <c r="B276" i="4"/>
  <c r="K276" i="4" s="1"/>
  <c r="C276" i="4"/>
  <c r="L276" i="4" s="1"/>
  <c r="F276" i="4"/>
  <c r="I276" i="4"/>
  <c r="A277" i="4"/>
  <c r="J277" i="4" s="1"/>
  <c r="B277" i="4"/>
  <c r="K277" i="4" s="1"/>
  <c r="C277" i="4"/>
  <c r="L277" i="4" s="1"/>
  <c r="I277" i="4"/>
  <c r="A279" i="4"/>
  <c r="J279" i="4" s="1"/>
  <c r="B279" i="4"/>
  <c r="K279" i="4" s="1"/>
  <c r="C279" i="4"/>
  <c r="L279" i="4" s="1"/>
  <c r="I279" i="4"/>
  <c r="A281" i="4"/>
  <c r="J281" i="4" s="1"/>
  <c r="B281" i="4"/>
  <c r="K281" i="4" s="1"/>
  <c r="C281" i="4"/>
  <c r="L281" i="4" s="1"/>
  <c r="F281" i="4"/>
  <c r="I281" i="4"/>
  <c r="A282" i="4"/>
  <c r="J282" i="4" s="1"/>
  <c r="B282" i="4"/>
  <c r="K282" i="4" s="1"/>
  <c r="C282" i="4"/>
  <c r="L282" i="4" s="1"/>
  <c r="I282" i="4"/>
  <c r="A283" i="4"/>
  <c r="J283" i="4" s="1"/>
  <c r="B283" i="4"/>
  <c r="K283" i="4" s="1"/>
  <c r="C283" i="4"/>
  <c r="L283" i="4" s="1"/>
  <c r="I283" i="4"/>
  <c r="A284" i="4"/>
  <c r="J284" i="4" s="1"/>
  <c r="B284" i="4"/>
  <c r="K284" i="4" s="1"/>
  <c r="C284" i="4"/>
  <c r="L284" i="4" s="1"/>
  <c r="F284" i="4"/>
  <c r="I284" i="4"/>
  <c r="A285" i="4"/>
  <c r="J285" i="4" s="1"/>
  <c r="B285" i="4"/>
  <c r="K285" i="4" s="1"/>
  <c r="C285" i="4"/>
  <c r="L285" i="4" s="1"/>
  <c r="F285" i="4"/>
  <c r="I285" i="4"/>
  <c r="A286" i="4"/>
  <c r="J286" i="4" s="1"/>
  <c r="B286" i="4"/>
  <c r="K286" i="4" s="1"/>
  <c r="C286" i="4"/>
  <c r="L286" i="4" s="1"/>
  <c r="I286" i="4"/>
  <c r="A287" i="4"/>
  <c r="J287" i="4" s="1"/>
  <c r="B287" i="4"/>
  <c r="K287" i="4" s="1"/>
  <c r="C287" i="4"/>
  <c r="L287" i="4" s="1"/>
  <c r="I287" i="4"/>
  <c r="A288" i="4"/>
  <c r="K288" i="4" s="1"/>
  <c r="B288" i="4"/>
  <c r="C288" i="4"/>
  <c r="F288" i="4"/>
  <c r="I288" i="4"/>
  <c r="A290" i="4"/>
  <c r="J290" i="4" s="1"/>
  <c r="B290" i="4"/>
  <c r="K290" i="4" s="1"/>
  <c r="L290" i="4"/>
  <c r="F290" i="4"/>
  <c r="I290" i="4"/>
  <c r="A292" i="4"/>
  <c r="J292" i="4" s="1"/>
  <c r="B292" i="4"/>
  <c r="K292" i="4" s="1"/>
  <c r="C292" i="4"/>
  <c r="L292" i="4" s="1"/>
  <c r="I292" i="4"/>
  <c r="A293" i="4"/>
  <c r="J293" i="4" s="1"/>
  <c r="B293" i="4"/>
  <c r="K293" i="4" s="1"/>
  <c r="C293" i="4"/>
  <c r="L293" i="4" s="1"/>
  <c r="I293" i="4"/>
  <c r="A295" i="4"/>
  <c r="J295" i="4" s="1"/>
  <c r="B295" i="4"/>
  <c r="K295" i="4" s="1"/>
  <c r="C295" i="4"/>
  <c r="L295" i="4" s="1"/>
  <c r="I295" i="4"/>
  <c r="A297" i="4"/>
  <c r="J297" i="4" s="1"/>
  <c r="B297" i="4"/>
  <c r="K297" i="4" s="1"/>
  <c r="C297" i="4"/>
  <c r="L297" i="4" s="1"/>
  <c r="F297" i="4"/>
  <c r="I297" i="4"/>
  <c r="A298" i="4"/>
  <c r="J298" i="4" s="1"/>
  <c r="B298" i="4"/>
  <c r="K298" i="4" s="1"/>
  <c r="C298" i="4"/>
  <c r="L298" i="4" s="1"/>
  <c r="I298" i="4"/>
  <c r="A300" i="4"/>
  <c r="J300" i="4" s="1"/>
  <c r="B300" i="4"/>
  <c r="K300" i="4" s="1"/>
  <c r="C300" i="4"/>
  <c r="L300" i="4" s="1"/>
  <c r="I300" i="4"/>
  <c r="A302" i="4"/>
  <c r="J302" i="4" s="1"/>
  <c r="B302" i="4"/>
  <c r="K302" i="4" s="1"/>
  <c r="C302" i="4"/>
  <c r="L302" i="4" s="1"/>
  <c r="F302" i="4"/>
  <c r="I302" i="4"/>
  <c r="A303" i="4"/>
  <c r="J303" i="4" s="1"/>
  <c r="B303" i="4"/>
  <c r="K303" i="4" s="1"/>
  <c r="C303" i="4"/>
  <c r="L303" i="4" s="1"/>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I306" i="4"/>
  <c r="A307" i="4"/>
  <c r="J307" i="4" s="1"/>
  <c r="B307" i="4"/>
  <c r="K307" i="4" s="1"/>
  <c r="C307" i="4"/>
  <c r="L307" i="4" s="1"/>
  <c r="I307" i="4"/>
  <c r="A308" i="4"/>
  <c r="J308" i="4" s="1"/>
  <c r="B308" i="4"/>
  <c r="K308" i="4" s="1"/>
  <c r="C308" i="4"/>
  <c r="L308" i="4" s="1"/>
  <c r="I308" i="4"/>
  <c r="A309" i="4"/>
  <c r="J309" i="4" s="1"/>
  <c r="B309" i="4"/>
  <c r="K309" i="4" s="1"/>
  <c r="C309" i="4"/>
  <c r="L309" i="4" s="1"/>
  <c r="F309" i="4"/>
  <c r="I309" i="4"/>
  <c r="A310" i="4"/>
  <c r="J310" i="4" s="1"/>
  <c r="B310" i="4"/>
  <c r="K310" i="4" s="1"/>
  <c r="C310" i="4"/>
  <c r="L310" i="4" s="1"/>
  <c r="I310" i="4"/>
  <c r="A311" i="4"/>
  <c r="J311" i="4" s="1"/>
  <c r="B311" i="4"/>
  <c r="K311" i="4" s="1"/>
  <c r="C311" i="4"/>
  <c r="L311" i="4" s="1"/>
  <c r="F311" i="4"/>
  <c r="I311" i="4"/>
  <c r="A312" i="4"/>
  <c r="J312" i="4" s="1"/>
  <c r="B312" i="4"/>
  <c r="K312" i="4" s="1"/>
  <c r="C312" i="4"/>
  <c r="L312" i="4" s="1"/>
  <c r="I312" i="4"/>
  <c r="A313" i="4"/>
  <c r="J313" i="4" s="1"/>
  <c r="B313" i="4"/>
  <c r="K313" i="4" s="1"/>
  <c r="C313" i="4"/>
  <c r="L313" i="4" s="1"/>
  <c r="F313" i="4"/>
  <c r="I313" i="4"/>
  <c r="A314" i="4"/>
  <c r="J314" i="4" s="1"/>
  <c r="B314" i="4"/>
  <c r="K314" i="4" s="1"/>
  <c r="C314" i="4"/>
  <c r="L314" i="4" s="1"/>
  <c r="I314" i="4"/>
  <c r="A315" i="4"/>
  <c r="J315" i="4" s="1"/>
  <c r="B315" i="4"/>
  <c r="K315" i="4" s="1"/>
  <c r="C315" i="4"/>
  <c r="L315" i="4" s="1"/>
  <c r="F315" i="4"/>
  <c r="I315" i="4"/>
  <c r="A316" i="4"/>
  <c r="J316" i="4" s="1"/>
  <c r="B316" i="4"/>
  <c r="C316" i="4"/>
  <c r="L316" i="4" s="1"/>
  <c r="F316" i="4"/>
  <c r="I316" i="4"/>
  <c r="K316" i="4"/>
  <c r="A317" i="4"/>
  <c r="J317" i="4" s="1"/>
  <c r="B317" i="4"/>
  <c r="K317" i="4" s="1"/>
  <c r="C317" i="4"/>
  <c r="L317" i="4" s="1"/>
  <c r="F317" i="4"/>
  <c r="I317" i="4"/>
  <c r="A318" i="4"/>
  <c r="J318" i="4" s="1"/>
  <c r="B318" i="4"/>
  <c r="K318" i="4" s="1"/>
  <c r="C318" i="4"/>
  <c r="L318" i="4" s="1"/>
  <c r="I318" i="4"/>
  <c r="A320" i="4"/>
  <c r="J320" i="4" s="1"/>
  <c r="B320" i="4"/>
  <c r="K320" i="4" s="1"/>
  <c r="C320" i="4"/>
  <c r="L320" i="4" s="1"/>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I324" i="4"/>
  <c r="A325" i="4"/>
  <c r="J325" i="4" s="1"/>
  <c r="B325" i="4"/>
  <c r="K325" i="4" s="1"/>
  <c r="C325" i="4"/>
  <c r="L325" i="4" s="1"/>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I329" i="4"/>
  <c r="A330" i="4"/>
  <c r="J330" i="4" s="1"/>
  <c r="B330" i="4"/>
  <c r="K330" i="4" s="1"/>
  <c r="C330" i="4"/>
  <c r="L330" i="4" s="1"/>
  <c r="F330" i="4"/>
  <c r="I330" i="4"/>
  <c r="A239" i="2" l="1"/>
  <c r="A239" i="3" s="1"/>
  <c r="B239" i="2"/>
  <c r="B239" i="3" s="1"/>
  <c r="C239" i="2"/>
  <c r="D239" i="2"/>
  <c r="E239" i="2"/>
  <c r="F239" i="2"/>
  <c r="D279" i="4"/>
  <c r="M279" i="4" s="1"/>
  <c r="E279" i="4"/>
  <c r="N279" i="4" s="1"/>
  <c r="T239" i="2"/>
  <c r="L239" i="2"/>
  <c r="M239" i="2"/>
  <c r="N239" i="2"/>
  <c r="Z240" i="2" s="1"/>
  <c r="P239" i="2"/>
  <c r="H279" i="4" s="1"/>
  <c r="P279" i="4" s="1"/>
  <c r="A240" i="2"/>
  <c r="A240" i="3" s="1"/>
  <c r="B240" i="2"/>
  <c r="B240" i="3" s="1"/>
  <c r="C240" i="2"/>
  <c r="D240" i="2"/>
  <c r="E240" i="2"/>
  <c r="F240" i="2"/>
  <c r="E281" i="4"/>
  <c r="N281" i="4" s="1"/>
  <c r="T240" i="2"/>
  <c r="K240" i="2"/>
  <c r="L240" i="2"/>
  <c r="M240" i="2"/>
  <c r="N240" i="2"/>
  <c r="P240" i="2"/>
  <c r="H281" i="4" s="1"/>
  <c r="P281" i="4" s="1"/>
  <c r="A241" i="2"/>
  <c r="A241" i="3" s="1"/>
  <c r="B241" i="2"/>
  <c r="B241" i="3" s="1"/>
  <c r="C241" i="2"/>
  <c r="D241" i="2"/>
  <c r="E241" i="2"/>
  <c r="F241" i="2"/>
  <c r="T241" i="2"/>
  <c r="L241" i="2"/>
  <c r="M241" i="2"/>
  <c r="N241" i="2"/>
  <c r="P241" i="2"/>
  <c r="H282" i="4" s="1"/>
  <c r="P282" i="4" s="1"/>
  <c r="A242" i="2"/>
  <c r="A242" i="3" s="1"/>
  <c r="B242" i="2"/>
  <c r="B242" i="3" s="1"/>
  <c r="C242" i="2"/>
  <c r="D242" i="2"/>
  <c r="E242" i="2"/>
  <c r="F242" i="2"/>
  <c r="D283" i="4"/>
  <c r="M283" i="4" s="1"/>
  <c r="T242" i="2"/>
  <c r="L242" i="2"/>
  <c r="M242" i="2"/>
  <c r="N242" i="2"/>
  <c r="P242" i="2"/>
  <c r="H283" i="4" s="1"/>
  <c r="P283" i="4" s="1"/>
  <c r="A243" i="2"/>
  <c r="A243" i="3" s="1"/>
  <c r="B243" i="2"/>
  <c r="B243" i="3" s="1"/>
  <c r="C243" i="2"/>
  <c r="D243" i="2"/>
  <c r="E243" i="2"/>
  <c r="F243" i="2"/>
  <c r="D284" i="4"/>
  <c r="M284" i="4" s="1"/>
  <c r="E284" i="4"/>
  <c r="N284" i="4" s="1"/>
  <c r="T243" i="2"/>
  <c r="K243" i="2"/>
  <c r="L243" i="2"/>
  <c r="M243" i="2"/>
  <c r="N243" i="2"/>
  <c r="P243" i="2"/>
  <c r="H284" i="4" s="1"/>
  <c r="P284" i="4" s="1"/>
  <c r="A244" i="2"/>
  <c r="A244" i="3" s="1"/>
  <c r="B244" i="2"/>
  <c r="B244" i="3" s="1"/>
  <c r="C244" i="2"/>
  <c r="D244" i="2"/>
  <c r="E244" i="2"/>
  <c r="F244" i="2"/>
  <c r="E285" i="4"/>
  <c r="N285" i="4" s="1"/>
  <c r="K244" i="2"/>
  <c r="L244" i="2"/>
  <c r="M244" i="2"/>
  <c r="N244" i="2"/>
  <c r="P244" i="2"/>
  <c r="H285" i="4" s="1"/>
  <c r="P285" i="4" s="1"/>
  <c r="S244" i="2"/>
  <c r="T244" i="2"/>
  <c r="A245" i="2"/>
  <c r="A245" i="3" s="1"/>
  <c r="B245" i="2"/>
  <c r="B245" i="3" s="1"/>
  <c r="C245" i="2"/>
  <c r="D245" i="2"/>
  <c r="E245" i="2"/>
  <c r="F245" i="2"/>
  <c r="T245" i="2"/>
  <c r="L245" i="2"/>
  <c r="M245" i="2"/>
  <c r="N245" i="2"/>
  <c r="P245" i="2"/>
  <c r="H286" i="4" s="1"/>
  <c r="P286" i="4" s="1"/>
  <c r="A246" i="2"/>
  <c r="A246" i="3" s="1"/>
  <c r="B246" i="2"/>
  <c r="B246" i="3" s="1"/>
  <c r="C246" i="2"/>
  <c r="D246" i="2"/>
  <c r="E246" i="2"/>
  <c r="F246" i="2"/>
  <c r="D287" i="4"/>
  <c r="M287" i="4" s="1"/>
  <c r="T246" i="2"/>
  <c r="L246" i="2"/>
  <c r="M246" i="2"/>
  <c r="N246" i="2"/>
  <c r="P246" i="2"/>
  <c r="H287" i="4" s="1"/>
  <c r="P287" i="4" s="1"/>
  <c r="A247" i="2"/>
  <c r="A247" i="3" s="1"/>
  <c r="B247" i="2"/>
  <c r="B247" i="3" s="1"/>
  <c r="C247" i="2"/>
  <c r="D247" i="2"/>
  <c r="E247" i="2"/>
  <c r="F247" i="2"/>
  <c r="D288" i="4"/>
  <c r="E288" i="4"/>
  <c r="K247" i="2"/>
  <c r="J247" i="2" s="1"/>
  <c r="L247" i="2"/>
  <c r="M247" i="2"/>
  <c r="N247" i="2"/>
  <c r="G288" i="4" s="1"/>
  <c r="P247" i="2"/>
  <c r="H288" i="4" s="1"/>
  <c r="P288" i="4" s="1"/>
  <c r="A248" i="2"/>
  <c r="A248" i="3" s="1"/>
  <c r="B248" i="2"/>
  <c r="B248" i="3" s="1"/>
  <c r="C248" i="2"/>
  <c r="D248" i="2"/>
  <c r="E248" i="2"/>
  <c r="F248" i="2"/>
  <c r="E290" i="4"/>
  <c r="K248" i="2"/>
  <c r="J248" i="2" s="1"/>
  <c r="L248" i="2"/>
  <c r="M248" i="2"/>
  <c r="N248" i="2"/>
  <c r="G290" i="4" s="1"/>
  <c r="P248" i="2"/>
  <c r="H290" i="4" s="1"/>
  <c r="P290" i="4" s="1"/>
  <c r="A249" i="2"/>
  <c r="A249" i="3" s="1"/>
  <c r="B249" i="2"/>
  <c r="B249" i="3" s="1"/>
  <c r="C249" i="2"/>
  <c r="D249" i="2"/>
  <c r="E249" i="2"/>
  <c r="F249" i="2"/>
  <c r="T249" i="2"/>
  <c r="K249" i="2"/>
  <c r="L249" i="2"/>
  <c r="M249" i="2"/>
  <c r="N249" i="2"/>
  <c r="P249" i="2"/>
  <c r="H292" i="4" s="1"/>
  <c r="P292" i="4" s="1"/>
  <c r="A250" i="2"/>
  <c r="A250" i="3" s="1"/>
  <c r="B250" i="2"/>
  <c r="B250" i="3" s="1"/>
  <c r="C250" i="2"/>
  <c r="D250" i="2"/>
  <c r="E250" i="2"/>
  <c r="F250" i="2"/>
  <c r="D293" i="4"/>
  <c r="M293" i="4" s="1"/>
  <c r="T250" i="2"/>
  <c r="L250" i="2"/>
  <c r="M250" i="2"/>
  <c r="N250" i="2"/>
  <c r="P250" i="2"/>
  <c r="H293" i="4" s="1"/>
  <c r="P293" i="4" s="1"/>
  <c r="A251" i="2"/>
  <c r="A251" i="3" s="1"/>
  <c r="B251" i="2"/>
  <c r="B251" i="3" s="1"/>
  <c r="C251" i="2"/>
  <c r="D251" i="2"/>
  <c r="E251" i="2"/>
  <c r="D295" i="4"/>
  <c r="M295" i="4" s="1"/>
  <c r="E295" i="4"/>
  <c r="N295" i="4" s="1"/>
  <c r="T251" i="2"/>
  <c r="L251" i="2"/>
  <c r="M251" i="2"/>
  <c r="N251" i="2"/>
  <c r="P251" i="2"/>
  <c r="H295" i="4" s="1"/>
  <c r="P295" i="4" s="1"/>
  <c r="A252" i="2"/>
  <c r="A252" i="3" s="1"/>
  <c r="B252" i="2"/>
  <c r="B252" i="3" s="1"/>
  <c r="E297" i="4"/>
  <c r="N297" i="4" s="1"/>
  <c r="T252" i="2"/>
  <c r="K252" i="2"/>
  <c r="L252" i="2"/>
  <c r="M252" i="2"/>
  <c r="N252" i="2"/>
  <c r="P252" i="2"/>
  <c r="H297" i="4" s="1"/>
  <c r="P297" i="4" s="1"/>
  <c r="A253" i="2"/>
  <c r="A253" i="3" s="1"/>
  <c r="B253" i="2"/>
  <c r="B253" i="3" s="1"/>
  <c r="C253" i="2"/>
  <c r="D253" i="2"/>
  <c r="E253" i="2"/>
  <c r="F253" i="2"/>
  <c r="T253" i="2"/>
  <c r="L253" i="2"/>
  <c r="M253" i="2"/>
  <c r="N253" i="2"/>
  <c r="P253" i="2"/>
  <c r="H298" i="4" s="1"/>
  <c r="P298" i="4" s="1"/>
  <c r="A254" i="2"/>
  <c r="A254" i="3" s="1"/>
  <c r="B254" i="2"/>
  <c r="B254" i="3" s="1"/>
  <c r="C254" i="2"/>
  <c r="D254" i="2"/>
  <c r="F254" i="2"/>
  <c r="D300" i="4"/>
  <c r="M300" i="4" s="1"/>
  <c r="T254" i="2"/>
  <c r="L254" i="2"/>
  <c r="M254" i="2"/>
  <c r="N254" i="2"/>
  <c r="P254" i="2"/>
  <c r="H300" i="4" s="1"/>
  <c r="P300" i="4" s="1"/>
  <c r="A255" i="2"/>
  <c r="A255" i="3" s="1"/>
  <c r="B255" i="2"/>
  <c r="B255" i="3" s="1"/>
  <c r="D302" i="4"/>
  <c r="M302" i="4" s="1"/>
  <c r="E302" i="4"/>
  <c r="N302" i="4" s="1"/>
  <c r="T255" i="2"/>
  <c r="K255" i="2"/>
  <c r="L255" i="2"/>
  <c r="M255" i="2"/>
  <c r="N255" i="2"/>
  <c r="P255" i="2"/>
  <c r="H302" i="4" s="1"/>
  <c r="P302" i="4" s="1"/>
  <c r="S255" i="2"/>
  <c r="A256" i="2"/>
  <c r="A256" i="3" s="1"/>
  <c r="B256" i="2"/>
  <c r="B256" i="3" s="1"/>
  <c r="C256" i="2"/>
  <c r="D256" i="2"/>
  <c r="E256" i="2"/>
  <c r="F256" i="2"/>
  <c r="E303" i="4"/>
  <c r="N303" i="4" s="1"/>
  <c r="K256" i="2"/>
  <c r="L256" i="2"/>
  <c r="M256" i="2"/>
  <c r="N256" i="2"/>
  <c r="P256" i="2"/>
  <c r="H303" i="4" s="1"/>
  <c r="P303" i="4" s="1"/>
  <c r="S256" i="2"/>
  <c r="T256" i="2"/>
  <c r="A257" i="2"/>
  <c r="A257" i="3" s="1"/>
  <c r="B257" i="2"/>
  <c r="B257" i="3" s="1"/>
  <c r="C257" i="2"/>
  <c r="D257" i="2"/>
  <c r="E257" i="2"/>
  <c r="F257" i="2"/>
  <c r="T257" i="2"/>
  <c r="K257" i="2"/>
  <c r="L257" i="2"/>
  <c r="M257" i="2"/>
  <c r="N257" i="2"/>
  <c r="P257" i="2"/>
  <c r="H304" i="4" s="1"/>
  <c r="P304" i="4" s="1"/>
  <c r="A258" i="2"/>
  <c r="A258" i="3" s="1"/>
  <c r="B258" i="2"/>
  <c r="B258" i="3" s="1"/>
  <c r="C258" i="2"/>
  <c r="D258" i="2"/>
  <c r="E258" i="2"/>
  <c r="F258" i="2"/>
  <c r="D305" i="4"/>
  <c r="M305" i="4" s="1"/>
  <c r="T258" i="2"/>
  <c r="K258" i="2"/>
  <c r="L258" i="2"/>
  <c r="M258" i="2"/>
  <c r="N258" i="2"/>
  <c r="P258" i="2"/>
  <c r="H305" i="4" s="1"/>
  <c r="P305" i="4" s="1"/>
  <c r="A259" i="2"/>
  <c r="A259" i="3" s="1"/>
  <c r="B259" i="2"/>
  <c r="B259" i="3" s="1"/>
  <c r="C259" i="2"/>
  <c r="E259" i="2"/>
  <c r="F259" i="2"/>
  <c r="D306" i="4"/>
  <c r="M306" i="4" s="1"/>
  <c r="E306" i="4"/>
  <c r="N306" i="4" s="1"/>
  <c r="T259" i="2"/>
  <c r="D259" i="3" s="1"/>
  <c r="L259" i="2"/>
  <c r="M259" i="2"/>
  <c r="N259" i="2"/>
  <c r="P259" i="2"/>
  <c r="H306" i="4" s="1"/>
  <c r="P306" i="4" s="1"/>
  <c r="A260" i="2"/>
  <c r="A260" i="3" s="1"/>
  <c r="B260" i="2"/>
  <c r="B260" i="3" s="1"/>
  <c r="D260" i="2"/>
  <c r="E260" i="2"/>
  <c r="F260" i="2"/>
  <c r="E307" i="4"/>
  <c r="N307" i="4" s="1"/>
  <c r="T260" i="2"/>
  <c r="L260" i="2"/>
  <c r="M260" i="2"/>
  <c r="N260" i="2"/>
  <c r="P260" i="2"/>
  <c r="H307" i="4" s="1"/>
  <c r="P307" i="4" s="1"/>
  <c r="A261" i="2"/>
  <c r="A261" i="3" s="1"/>
  <c r="B261" i="2"/>
  <c r="B261" i="3" s="1"/>
  <c r="C261" i="2"/>
  <c r="D261" i="2"/>
  <c r="E261" i="2"/>
  <c r="F261" i="2"/>
  <c r="T261" i="2"/>
  <c r="L261" i="2"/>
  <c r="M261" i="2"/>
  <c r="N261" i="2"/>
  <c r="P261" i="2"/>
  <c r="H308" i="4" s="1"/>
  <c r="P308" i="4" s="1"/>
  <c r="A262" i="2"/>
  <c r="A262" i="3" s="1"/>
  <c r="B262" i="2"/>
  <c r="B262" i="3" s="1"/>
  <c r="C262" i="2"/>
  <c r="D262" i="2"/>
  <c r="E262" i="2"/>
  <c r="F262" i="2"/>
  <c r="D309" i="4"/>
  <c r="M309" i="4" s="1"/>
  <c r="T262" i="2"/>
  <c r="K262" i="2"/>
  <c r="L262" i="2"/>
  <c r="M262" i="2"/>
  <c r="N262" i="2"/>
  <c r="P262" i="2"/>
  <c r="H309" i="4" s="1"/>
  <c r="P309" i="4" s="1"/>
  <c r="A263" i="2"/>
  <c r="A263" i="3" s="1"/>
  <c r="B263" i="2"/>
  <c r="B263" i="3" s="1"/>
  <c r="C263" i="2"/>
  <c r="D263" i="2"/>
  <c r="E263" i="2"/>
  <c r="F263" i="2"/>
  <c r="D310" i="4"/>
  <c r="E310" i="4"/>
  <c r="N310" i="4" s="1"/>
  <c r="T263" i="2"/>
  <c r="L263" i="2"/>
  <c r="M263" i="2"/>
  <c r="N263" i="2"/>
  <c r="P263" i="2"/>
  <c r="H310" i="4" s="1"/>
  <c r="P310" i="4" s="1"/>
  <c r="A264" i="2"/>
  <c r="A264" i="3" s="1"/>
  <c r="B264" i="2"/>
  <c r="B264" i="3" s="1"/>
  <c r="C264" i="2"/>
  <c r="D264" i="2"/>
  <c r="E264" i="2"/>
  <c r="F264" i="2"/>
  <c r="E311" i="4"/>
  <c r="N311" i="4" s="1"/>
  <c r="T264" i="2"/>
  <c r="K264" i="2"/>
  <c r="L264" i="2"/>
  <c r="M264" i="2"/>
  <c r="N264" i="2"/>
  <c r="P264" i="2"/>
  <c r="H311" i="4" s="1"/>
  <c r="P311" i="4" s="1"/>
  <c r="A265" i="2"/>
  <c r="A265" i="3" s="1"/>
  <c r="B265" i="2"/>
  <c r="B265" i="3" s="1"/>
  <c r="C265" i="2"/>
  <c r="D265" i="2"/>
  <c r="E265" i="2"/>
  <c r="F265" i="2"/>
  <c r="T265" i="2"/>
  <c r="L265" i="2"/>
  <c r="M265" i="2"/>
  <c r="N265" i="2"/>
  <c r="P265" i="2"/>
  <c r="H312" i="4" s="1"/>
  <c r="P312" i="4" s="1"/>
  <c r="A266" i="2"/>
  <c r="A266" i="3" s="1"/>
  <c r="B266" i="2"/>
  <c r="B266" i="3" s="1"/>
  <c r="C266" i="2"/>
  <c r="D266" i="2"/>
  <c r="E266" i="2"/>
  <c r="F266" i="2"/>
  <c r="D313" i="4"/>
  <c r="M313" i="4" s="1"/>
  <c r="T266" i="2"/>
  <c r="K266" i="2"/>
  <c r="L266" i="2"/>
  <c r="M266" i="2"/>
  <c r="N266" i="2"/>
  <c r="P266" i="2"/>
  <c r="H313" i="4" s="1"/>
  <c r="P313" i="4" s="1"/>
  <c r="A267" i="2"/>
  <c r="A267" i="3" s="1"/>
  <c r="B267" i="2"/>
  <c r="B267" i="3" s="1"/>
  <c r="C267" i="2"/>
  <c r="D267" i="2"/>
  <c r="E267" i="2"/>
  <c r="F267" i="2"/>
  <c r="D314" i="4"/>
  <c r="M314" i="4" s="1"/>
  <c r="E314" i="4"/>
  <c r="N314" i="4" s="1"/>
  <c r="T267" i="2"/>
  <c r="L267" i="2"/>
  <c r="M267" i="2"/>
  <c r="N267" i="2"/>
  <c r="P267" i="2"/>
  <c r="H314" i="4" s="1"/>
  <c r="P314" i="4" s="1"/>
  <c r="A268" i="2"/>
  <c r="A268" i="3" s="1"/>
  <c r="B268" i="2"/>
  <c r="B268" i="3" s="1"/>
  <c r="E315" i="4"/>
  <c r="N315" i="4" s="1"/>
  <c r="T268" i="2"/>
  <c r="K268" i="2"/>
  <c r="L268" i="2"/>
  <c r="M268" i="2"/>
  <c r="N268" i="2"/>
  <c r="P268" i="2"/>
  <c r="H315" i="4" s="1"/>
  <c r="P315" i="4" s="1"/>
  <c r="A269" i="2"/>
  <c r="A269" i="3" s="1"/>
  <c r="B269" i="2"/>
  <c r="B269" i="3" s="1"/>
  <c r="T269" i="2"/>
  <c r="K269" i="2"/>
  <c r="L269" i="2"/>
  <c r="M269" i="2"/>
  <c r="N269" i="2"/>
  <c r="P269" i="2"/>
  <c r="H316" i="4" s="1"/>
  <c r="P316" i="4" s="1"/>
  <c r="A270" i="2"/>
  <c r="A270" i="3" s="1"/>
  <c r="B270" i="2"/>
  <c r="B270" i="3" s="1"/>
  <c r="D317" i="4"/>
  <c r="T270" i="2"/>
  <c r="K270" i="2"/>
  <c r="L270" i="2"/>
  <c r="M270" i="2"/>
  <c r="N270" i="2"/>
  <c r="P270" i="2"/>
  <c r="H317" i="4" s="1"/>
  <c r="P317" i="4" s="1"/>
  <c r="A271" i="2"/>
  <c r="A271" i="3" s="1"/>
  <c r="B271" i="2"/>
  <c r="B271" i="3" s="1"/>
  <c r="D318" i="4"/>
  <c r="E318" i="4"/>
  <c r="N318" i="4" s="1"/>
  <c r="T271" i="2"/>
  <c r="L271" i="2"/>
  <c r="M271" i="2"/>
  <c r="N271" i="2"/>
  <c r="P271" i="2"/>
  <c r="H318" i="4" s="1"/>
  <c r="P318" i="4" s="1"/>
  <c r="A272" i="2"/>
  <c r="A272" i="3" s="1"/>
  <c r="B272" i="2"/>
  <c r="B272" i="3" s="1"/>
  <c r="D320" i="4"/>
  <c r="M320" i="4" s="1"/>
  <c r="E320" i="4"/>
  <c r="N320" i="4" s="1"/>
  <c r="T272" i="2"/>
  <c r="L272" i="2"/>
  <c r="M272" i="2"/>
  <c r="N272" i="2"/>
  <c r="Z273" i="2" s="1"/>
  <c r="P272" i="2"/>
  <c r="H320" i="4" s="1"/>
  <c r="P320" i="4" s="1"/>
  <c r="A273" i="2"/>
  <c r="A273" i="3" s="1"/>
  <c r="B273" i="2"/>
  <c r="B273" i="3" s="1"/>
  <c r="T273" i="2"/>
  <c r="K273" i="2"/>
  <c r="L273" i="2"/>
  <c r="M273" i="2"/>
  <c r="N273" i="2"/>
  <c r="P273" i="2"/>
  <c r="H322" i="4" s="1"/>
  <c r="P322" i="4" s="1"/>
  <c r="A274" i="2"/>
  <c r="A274" i="3" s="1"/>
  <c r="B274" i="2"/>
  <c r="B274" i="3" s="1"/>
  <c r="T274" i="2"/>
  <c r="K274" i="2"/>
  <c r="L274" i="2"/>
  <c r="M274" i="2"/>
  <c r="N274" i="2"/>
  <c r="P274" i="2"/>
  <c r="H323" i="4" s="1"/>
  <c r="P323" i="4" s="1"/>
  <c r="A275" i="2"/>
  <c r="A275" i="3" s="1"/>
  <c r="B275" i="2"/>
  <c r="B275" i="3" s="1"/>
  <c r="D324" i="4"/>
  <c r="E324" i="4"/>
  <c r="N324" i="4" s="1"/>
  <c r="T275" i="2"/>
  <c r="L275" i="2"/>
  <c r="M275" i="2"/>
  <c r="N275" i="2"/>
  <c r="P275" i="2"/>
  <c r="H324" i="4" s="1"/>
  <c r="P324" i="4" s="1"/>
  <c r="A276" i="2"/>
  <c r="A276" i="3" s="1"/>
  <c r="B276" i="2"/>
  <c r="B276" i="3" s="1"/>
  <c r="D325" i="4"/>
  <c r="E325" i="4"/>
  <c r="N325" i="4" s="1"/>
  <c r="T276" i="2"/>
  <c r="L276" i="2"/>
  <c r="M276" i="2"/>
  <c r="N276" i="2"/>
  <c r="P276" i="2"/>
  <c r="H325" i="4" s="1"/>
  <c r="P325" i="4" s="1"/>
  <c r="A277" i="2"/>
  <c r="A277" i="3" s="1"/>
  <c r="B277" i="2"/>
  <c r="B277" i="3" s="1"/>
  <c r="T277" i="2"/>
  <c r="K277" i="2"/>
  <c r="C277" i="3" s="1"/>
  <c r="L277" i="2"/>
  <c r="M277" i="2"/>
  <c r="N277" i="2"/>
  <c r="P277" i="2"/>
  <c r="H326" i="4" s="1"/>
  <c r="P326" i="4" s="1"/>
  <c r="A278" i="2"/>
  <c r="A278" i="3" s="1"/>
  <c r="B278" i="2"/>
  <c r="B278" i="3" s="1"/>
  <c r="T278" i="2"/>
  <c r="K278" i="2"/>
  <c r="C278" i="3" s="1"/>
  <c r="L278" i="2"/>
  <c r="M278" i="2"/>
  <c r="N278" i="2"/>
  <c r="P278" i="2"/>
  <c r="H327" i="4" s="1"/>
  <c r="P327" i="4" s="1"/>
  <c r="A279" i="2"/>
  <c r="A279" i="3" s="1"/>
  <c r="B279" i="2"/>
  <c r="B279" i="3" s="1"/>
  <c r="D329" i="4"/>
  <c r="M329" i="4" s="1"/>
  <c r="E329" i="4"/>
  <c r="N329" i="4" s="1"/>
  <c r="T279" i="2"/>
  <c r="L279" i="2"/>
  <c r="M279" i="2"/>
  <c r="N279" i="2"/>
  <c r="Z280" i="2" s="1"/>
  <c r="P279" i="2"/>
  <c r="H329" i="4" s="1"/>
  <c r="P329" i="4" s="1"/>
  <c r="A280" i="2"/>
  <c r="A280" i="3" s="1"/>
  <c r="B280" i="2"/>
  <c r="B280" i="3" s="1"/>
  <c r="D330" i="4"/>
  <c r="M330" i="4" s="1"/>
  <c r="E330" i="4"/>
  <c r="N330" i="4" s="1"/>
  <c r="T280" i="2"/>
  <c r="K280" i="2"/>
  <c r="L280" i="2"/>
  <c r="M280" i="2"/>
  <c r="N280" i="2"/>
  <c r="Z281" i="2" s="1"/>
  <c r="P280" i="2"/>
  <c r="H330" i="4" s="1"/>
  <c r="P330" i="4" s="1"/>
  <c r="A281" i="2"/>
  <c r="A281" i="3" s="1"/>
  <c r="B281" i="2"/>
  <c r="B281" i="3" s="1"/>
  <c r="C281" i="2"/>
  <c r="D281" i="2"/>
  <c r="E281" i="2"/>
  <c r="F281" i="2"/>
  <c r="K281" i="2"/>
  <c r="J281" i="2" s="1"/>
  <c r="L281" i="2"/>
  <c r="M281" i="2"/>
  <c r="N281" i="2"/>
  <c r="P281" i="2"/>
  <c r="K279" i="1"/>
  <c r="F329" i="4" s="1"/>
  <c r="K276" i="1"/>
  <c r="F325" i="4" s="1"/>
  <c r="K275" i="1"/>
  <c r="F324" i="4" s="1"/>
  <c r="K272" i="1"/>
  <c r="F320" i="4" s="1"/>
  <c r="K271" i="1"/>
  <c r="F318" i="4" s="1"/>
  <c r="K267" i="1"/>
  <c r="F314" i="4" s="1"/>
  <c r="K265" i="1"/>
  <c r="F312" i="4" s="1"/>
  <c r="K263" i="1"/>
  <c r="F310" i="4" s="1"/>
  <c r="K261" i="1"/>
  <c r="F308" i="4" s="1"/>
  <c r="K260" i="1"/>
  <c r="F307" i="4" s="1"/>
  <c r="K259" i="1"/>
  <c r="F306" i="4" s="1"/>
  <c r="K256" i="1"/>
  <c r="F303" i="4" s="1"/>
  <c r="K254" i="1"/>
  <c r="F300" i="4" s="1"/>
  <c r="K253" i="1"/>
  <c r="F298" i="4" s="1"/>
  <c r="K251" i="1"/>
  <c r="F295" i="4" s="1"/>
  <c r="K250" i="1"/>
  <c r="F293" i="4" s="1"/>
  <c r="K249" i="1"/>
  <c r="F292" i="4" s="1"/>
  <c r="K246" i="1"/>
  <c r="F287" i="4" s="1"/>
  <c r="K245" i="1"/>
  <c r="F286" i="4" s="1"/>
  <c r="K242" i="1"/>
  <c r="F283" i="4" s="1"/>
  <c r="K241" i="1"/>
  <c r="F282" i="4" s="1"/>
  <c r="K239" i="1"/>
  <c r="F279" i="4" s="1"/>
  <c r="K238" i="1"/>
  <c r="F277" i="4" s="1"/>
  <c r="K239" i="2" l="1"/>
  <c r="K265" i="2"/>
  <c r="K261" i="2"/>
  <c r="K260" i="2"/>
  <c r="K245" i="2"/>
  <c r="K242" i="2"/>
  <c r="W242" i="2" s="1"/>
  <c r="K279" i="2"/>
  <c r="K275" i="2"/>
  <c r="K271" i="2"/>
  <c r="K267" i="2"/>
  <c r="K263" i="2"/>
  <c r="K259" i="2"/>
  <c r="K254" i="2"/>
  <c r="K250" i="2"/>
  <c r="W250" i="2" s="1"/>
  <c r="K241" i="2"/>
  <c r="K253" i="2"/>
  <c r="K276" i="2"/>
  <c r="K272" i="2"/>
  <c r="J272" i="2" s="1"/>
  <c r="C272" i="3" s="1"/>
  <c r="K251" i="2"/>
  <c r="J251" i="2" s="1"/>
  <c r="U251" i="2" s="1"/>
  <c r="K246" i="2"/>
  <c r="G326" i="4"/>
  <c r="O326" i="4" s="1"/>
  <c r="Z278" i="2"/>
  <c r="C261" i="3"/>
  <c r="G305" i="4"/>
  <c r="Z259" i="2"/>
  <c r="C257" i="3"/>
  <c r="G302" i="4"/>
  <c r="Z256" i="2"/>
  <c r="G295" i="4"/>
  <c r="O295" i="4" s="1"/>
  <c r="Z252" i="2"/>
  <c r="G287" i="4"/>
  <c r="Z249" i="2"/>
  <c r="Z247" i="2"/>
  <c r="G315" i="4"/>
  <c r="Z269" i="2"/>
  <c r="G311" i="4"/>
  <c r="Z265" i="2"/>
  <c r="G308" i="4"/>
  <c r="Z262" i="2"/>
  <c r="G307" i="4"/>
  <c r="Z261" i="2"/>
  <c r="G304" i="4"/>
  <c r="Z258" i="2"/>
  <c r="C241" i="3"/>
  <c r="G324" i="4"/>
  <c r="Z276" i="2"/>
  <c r="G318" i="4"/>
  <c r="Z272" i="2"/>
  <c r="G314" i="4"/>
  <c r="Z268" i="2"/>
  <c r="G310" i="4"/>
  <c r="Z264" i="2"/>
  <c r="G306" i="4"/>
  <c r="Z260" i="2"/>
  <c r="E259" i="3"/>
  <c r="G300" i="4"/>
  <c r="O300" i="4" s="1"/>
  <c r="Z255" i="2"/>
  <c r="C253" i="3"/>
  <c r="G293" i="4"/>
  <c r="Z251" i="2"/>
  <c r="C249" i="3"/>
  <c r="G282" i="4"/>
  <c r="Z242" i="2"/>
  <c r="G281" i="4"/>
  <c r="Z241" i="2"/>
  <c r="G327" i="4"/>
  <c r="O327" i="4" s="1"/>
  <c r="Z279" i="2"/>
  <c r="G325" i="4"/>
  <c r="Z277" i="2"/>
  <c r="G323" i="4"/>
  <c r="Z275" i="2"/>
  <c r="G322" i="4"/>
  <c r="Z274" i="2"/>
  <c r="G317" i="4"/>
  <c r="Z271" i="2"/>
  <c r="C269" i="3"/>
  <c r="X269" i="2"/>
  <c r="G313" i="4"/>
  <c r="Z267" i="2"/>
  <c r="C265" i="3"/>
  <c r="G309" i="4"/>
  <c r="Z263" i="2"/>
  <c r="C245" i="3"/>
  <c r="G316" i="4"/>
  <c r="Z270" i="2"/>
  <c r="G312" i="4"/>
  <c r="Z266" i="2"/>
  <c r="C250" i="3"/>
  <c r="G286" i="4"/>
  <c r="Z246" i="2"/>
  <c r="G283" i="4"/>
  <c r="Z243" i="2"/>
  <c r="J280" i="2"/>
  <c r="C274" i="3"/>
  <c r="C273" i="3"/>
  <c r="C270" i="3"/>
  <c r="C266" i="3"/>
  <c r="C262" i="3"/>
  <c r="X262" i="2"/>
  <c r="G303" i="4"/>
  <c r="Z257" i="2"/>
  <c r="C255" i="3"/>
  <c r="G298" i="4"/>
  <c r="Z254" i="2"/>
  <c r="G297" i="4"/>
  <c r="Z253" i="2"/>
  <c r="G292" i="4"/>
  <c r="Z250" i="2"/>
  <c r="C246" i="3"/>
  <c r="G285" i="4"/>
  <c r="Z245" i="2"/>
  <c r="G284" i="4"/>
  <c r="Z244" i="2"/>
  <c r="R250" i="2"/>
  <c r="Y250" i="2" s="1"/>
  <c r="D250" i="3" s="1"/>
  <c r="S271" i="2"/>
  <c r="S260" i="2"/>
  <c r="R263" i="2"/>
  <c r="Y263" i="2" s="1"/>
  <c r="D263" i="3" s="1"/>
  <c r="E263" i="3" s="1"/>
  <c r="C254" i="3"/>
  <c r="S267" i="2"/>
  <c r="S252" i="2"/>
  <c r="S240" i="2"/>
  <c r="S272" i="2"/>
  <c r="C264" i="3"/>
  <c r="C243" i="3"/>
  <c r="S263" i="2"/>
  <c r="R239" i="2"/>
  <c r="S275" i="2"/>
  <c r="O310" i="4"/>
  <c r="W276" i="2"/>
  <c r="O324" i="4"/>
  <c r="O318" i="4"/>
  <c r="U277" i="2"/>
  <c r="O325" i="4"/>
  <c r="S264" i="2"/>
  <c r="R259" i="2"/>
  <c r="R251" i="2"/>
  <c r="Y251" i="2" s="1"/>
  <c r="D251" i="3" s="1"/>
  <c r="S243" i="2"/>
  <c r="M310" i="4"/>
  <c r="S280" i="2"/>
  <c r="R275" i="2"/>
  <c r="Y275" i="2" s="1"/>
  <c r="D275" i="3" s="1"/>
  <c r="E275" i="3" s="1"/>
  <c r="R271" i="2"/>
  <c r="Y271" i="2" s="1"/>
  <c r="D271" i="3" s="1"/>
  <c r="E271" i="3" s="1"/>
  <c r="M324" i="4"/>
  <c r="S276" i="2"/>
  <c r="C252" i="3"/>
  <c r="R246" i="2"/>
  <c r="Y246" i="2" s="1"/>
  <c r="D246" i="3" s="1"/>
  <c r="R242" i="2"/>
  <c r="Y242" i="2" s="1"/>
  <c r="D242" i="3" s="1"/>
  <c r="C259" i="3"/>
  <c r="R279" i="2"/>
  <c r="Y279" i="2" s="1"/>
  <c r="D279" i="3" s="1"/>
  <c r="S278" i="2"/>
  <c r="E327" i="4"/>
  <c r="N327" i="4" s="1"/>
  <c r="S277" i="2"/>
  <c r="E326" i="4"/>
  <c r="N326" i="4" s="1"/>
  <c r="C275" i="3"/>
  <c r="S274" i="2"/>
  <c r="E323" i="4"/>
  <c r="N323" i="4" s="1"/>
  <c r="W271" i="2"/>
  <c r="C271" i="3"/>
  <c r="R270" i="2"/>
  <c r="Y270" i="2" s="1"/>
  <c r="D270" i="3" s="1"/>
  <c r="E270" i="3" s="1"/>
  <c r="S270" i="2"/>
  <c r="E317" i="4"/>
  <c r="N317" i="4" s="1"/>
  <c r="R266" i="2"/>
  <c r="S266" i="2"/>
  <c r="E313" i="4"/>
  <c r="N313" i="4" s="1"/>
  <c r="R264" i="2"/>
  <c r="D311" i="4"/>
  <c r="W263" i="2"/>
  <c r="C263" i="3"/>
  <c r="R261" i="2"/>
  <c r="Y261" i="2" s="1"/>
  <c r="D261" i="3" s="1"/>
  <c r="D308" i="4"/>
  <c r="S257" i="2"/>
  <c r="E304" i="4"/>
  <c r="N304" i="4" s="1"/>
  <c r="R252" i="2"/>
  <c r="D297" i="4"/>
  <c r="R249" i="2"/>
  <c r="D292" i="4"/>
  <c r="S239" i="2"/>
  <c r="G279" i="4"/>
  <c r="O279" i="4" s="1"/>
  <c r="M318" i="4"/>
  <c r="O306" i="4"/>
  <c r="R278" i="2"/>
  <c r="Y278" i="2" s="1"/>
  <c r="D278" i="3" s="1"/>
  <c r="D327" i="4"/>
  <c r="M327" i="4" s="1"/>
  <c r="R277" i="2"/>
  <c r="Y277" i="2" s="1"/>
  <c r="D277" i="3" s="1"/>
  <c r="E277" i="3" s="1"/>
  <c r="D326" i="4"/>
  <c r="M326" i="4" s="1"/>
  <c r="R268" i="2"/>
  <c r="D315" i="4"/>
  <c r="C267" i="3"/>
  <c r="S265" i="2"/>
  <c r="E312" i="4"/>
  <c r="N312" i="4" s="1"/>
  <c r="W264" i="2"/>
  <c r="C258" i="3"/>
  <c r="R257" i="2"/>
  <c r="D304" i="4"/>
  <c r="S245" i="2"/>
  <c r="E286" i="4"/>
  <c r="N286" i="4" s="1"/>
  <c r="R274" i="2"/>
  <c r="Y274" i="2" s="1"/>
  <c r="D274" i="3" s="1"/>
  <c r="D323" i="4"/>
  <c r="S273" i="2"/>
  <c r="E322" i="4"/>
  <c r="N322" i="4" s="1"/>
  <c r="R260" i="2"/>
  <c r="D307" i="4"/>
  <c r="S253" i="2"/>
  <c r="E298" i="4"/>
  <c r="N298" i="4" s="1"/>
  <c r="W252" i="2"/>
  <c r="S246" i="2"/>
  <c r="E287" i="4"/>
  <c r="N287" i="4" s="1"/>
  <c r="S242" i="2"/>
  <c r="E283" i="4"/>
  <c r="N283" i="4" s="1"/>
  <c r="R240" i="2"/>
  <c r="D281" i="4"/>
  <c r="C280" i="3"/>
  <c r="G330" i="4"/>
  <c r="O330" i="4" s="1"/>
  <c r="S269" i="2"/>
  <c r="E316" i="4"/>
  <c r="N316" i="4" s="1"/>
  <c r="X268" i="2"/>
  <c r="R267" i="2"/>
  <c r="Y267" i="2" s="1"/>
  <c r="D267" i="3" s="1"/>
  <c r="R265" i="2"/>
  <c r="Y265" i="2" s="1"/>
  <c r="D265" i="3" s="1"/>
  <c r="E265" i="3" s="1"/>
  <c r="D312" i="4"/>
  <c r="R255" i="2"/>
  <c r="Y255" i="2" s="1"/>
  <c r="D255" i="3" s="1"/>
  <c r="R253" i="2"/>
  <c r="Y253" i="2" s="1"/>
  <c r="D253" i="3" s="1"/>
  <c r="D298" i="4"/>
  <c r="S250" i="2"/>
  <c r="E293" i="4"/>
  <c r="N293" i="4" s="1"/>
  <c r="D290" i="4"/>
  <c r="R245" i="2"/>
  <c r="D286" i="4"/>
  <c r="R243" i="2"/>
  <c r="S241" i="2"/>
  <c r="E282" i="4"/>
  <c r="N282" i="4" s="1"/>
  <c r="U278" i="2"/>
  <c r="M325" i="4"/>
  <c r="M317" i="4"/>
  <c r="R276" i="2"/>
  <c r="Y276" i="2" s="1"/>
  <c r="D276" i="3" s="1"/>
  <c r="E276" i="3" s="1"/>
  <c r="R273" i="2"/>
  <c r="Y273" i="2" s="1"/>
  <c r="D273" i="3" s="1"/>
  <c r="E273" i="3" s="1"/>
  <c r="D322" i="4"/>
  <c r="G320" i="4"/>
  <c r="O320" i="4" s="1"/>
  <c r="R280" i="2"/>
  <c r="Y280" i="2" s="1"/>
  <c r="D280" i="3" s="1"/>
  <c r="S279" i="2"/>
  <c r="C279" i="3"/>
  <c r="G329" i="4"/>
  <c r="O329" i="4" s="1"/>
  <c r="X274" i="2"/>
  <c r="R272" i="2"/>
  <c r="Y272" i="2" s="1"/>
  <c r="D272" i="3" s="1"/>
  <c r="R269" i="2"/>
  <c r="Y269" i="2" s="1"/>
  <c r="D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S254" i="2"/>
  <c r="E300" i="4"/>
  <c r="N300" i="4" s="1"/>
  <c r="S251" i="2"/>
  <c r="S249" i="2"/>
  <c r="E292" i="4"/>
  <c r="N292" i="4" s="1"/>
  <c r="R244" i="2"/>
  <c r="Y244" i="2" s="1"/>
  <c r="D244" i="3" s="1"/>
  <c r="E244" i="3" s="1"/>
  <c r="D285" i="4"/>
  <c r="C242" i="3"/>
  <c r="R241" i="2"/>
  <c r="D282" i="4"/>
  <c r="U254" i="2"/>
  <c r="O284" i="4"/>
  <c r="O314" i="4"/>
  <c r="O302" i="4"/>
  <c r="W273" i="2"/>
  <c r="C260" i="3"/>
  <c r="C244" i="3"/>
  <c r="X275" i="2"/>
  <c r="X271" i="2"/>
  <c r="C256" i="3"/>
  <c r="X252" i="2"/>
  <c r="X241" i="2"/>
  <c r="C240" i="3"/>
  <c r="F280" i="1"/>
  <c r="F280" i="2" s="1"/>
  <c r="E280" i="1"/>
  <c r="E280" i="2" s="1"/>
  <c r="D280" i="1"/>
  <c r="D280" i="2" s="1"/>
  <c r="C280" i="1"/>
  <c r="C280" i="2" s="1"/>
  <c r="F279" i="1"/>
  <c r="F279" i="2" s="1"/>
  <c r="E279" i="1"/>
  <c r="E279" i="2" s="1"/>
  <c r="D279" i="1"/>
  <c r="D279" i="2" s="1"/>
  <c r="C279" i="1"/>
  <c r="C279" i="2" s="1"/>
  <c r="F278" i="1"/>
  <c r="F278" i="2" s="1"/>
  <c r="E278" i="1"/>
  <c r="E278" i="2" s="1"/>
  <c r="D278" i="1"/>
  <c r="D278" i="2" s="1"/>
  <c r="C278" i="1"/>
  <c r="C278" i="2" s="1"/>
  <c r="F277" i="1"/>
  <c r="F277" i="2" s="1"/>
  <c r="E277" i="1"/>
  <c r="E277" i="2" s="1"/>
  <c r="D277" i="1"/>
  <c r="D277" i="2" s="1"/>
  <c r="C277" i="1"/>
  <c r="C277" i="2" s="1"/>
  <c r="F276" i="1"/>
  <c r="F276" i="2" s="1"/>
  <c r="E276" i="1"/>
  <c r="E276" i="2" s="1"/>
  <c r="D276" i="1"/>
  <c r="D276" i="2" s="1"/>
  <c r="C276" i="1"/>
  <c r="C276" i="2" s="1"/>
  <c r="F275" i="1"/>
  <c r="F275" i="2" s="1"/>
  <c r="E275" i="1"/>
  <c r="E275" i="2" s="1"/>
  <c r="D275" i="1"/>
  <c r="D275" i="2" s="1"/>
  <c r="C275" i="1"/>
  <c r="C275" i="2" s="1"/>
  <c r="F274" i="1"/>
  <c r="F274" i="2" s="1"/>
  <c r="E274" i="1"/>
  <c r="E274" i="2" s="1"/>
  <c r="D274" i="1"/>
  <c r="D274" i="2" s="1"/>
  <c r="C274" i="1"/>
  <c r="C274" i="2" s="1"/>
  <c r="F273" i="1"/>
  <c r="F273" i="2" s="1"/>
  <c r="E273" i="1"/>
  <c r="E273" i="2" s="1"/>
  <c r="D273" i="1"/>
  <c r="D273" i="2" s="1"/>
  <c r="C273" i="1"/>
  <c r="C273" i="2" s="1"/>
  <c r="F272" i="1"/>
  <c r="F272" i="2" s="1"/>
  <c r="E272" i="1"/>
  <c r="E272" i="2" s="1"/>
  <c r="D272" i="1"/>
  <c r="D272" i="2" s="1"/>
  <c r="C272" i="1"/>
  <c r="C272" i="2" s="1"/>
  <c r="F271" i="1"/>
  <c r="F271" i="2" s="1"/>
  <c r="E271" i="1"/>
  <c r="E271" i="2" s="1"/>
  <c r="D271" i="1"/>
  <c r="D271" i="2" s="1"/>
  <c r="C271" i="1"/>
  <c r="C271" i="2" s="1"/>
  <c r="F270" i="1"/>
  <c r="F270" i="2" s="1"/>
  <c r="E270" i="1"/>
  <c r="E270" i="2" s="1"/>
  <c r="D270" i="1"/>
  <c r="D270" i="2" s="1"/>
  <c r="C270" i="1"/>
  <c r="C270" i="2" s="1"/>
  <c r="F269" i="1"/>
  <c r="F269" i="2" s="1"/>
  <c r="E269" i="1"/>
  <c r="E269" i="2" s="1"/>
  <c r="D269" i="1"/>
  <c r="D269" i="2" s="1"/>
  <c r="C269" i="1"/>
  <c r="C269" i="2" s="1"/>
  <c r="F268" i="1"/>
  <c r="F268" i="2" s="1"/>
  <c r="E268" i="1"/>
  <c r="E268" i="2" s="1"/>
  <c r="D268" i="1"/>
  <c r="D268" i="2" s="1"/>
  <c r="C268" i="1"/>
  <c r="C268" i="2" s="1"/>
  <c r="C260" i="1"/>
  <c r="C260" i="2" s="1"/>
  <c r="D259" i="1"/>
  <c r="D259" i="2" s="1"/>
  <c r="F255" i="1"/>
  <c r="F255" i="2" s="1"/>
  <c r="E255" i="1"/>
  <c r="E255" i="2" s="1"/>
  <c r="D255" i="1"/>
  <c r="D255" i="2" s="1"/>
  <c r="C255" i="1"/>
  <c r="C255" i="2" s="1"/>
  <c r="E254" i="1"/>
  <c r="E254" i="2" s="1"/>
  <c r="F251" i="1"/>
  <c r="F251" i="2" s="1"/>
  <c r="F252" i="1"/>
  <c r="F252" i="2" s="1"/>
  <c r="E252" i="1"/>
  <c r="E252" i="2" s="1"/>
  <c r="D252" i="1"/>
  <c r="D252" i="2" s="1"/>
  <c r="C252" i="1"/>
  <c r="C252" i="2" s="1"/>
  <c r="A238" i="2"/>
  <c r="A238" i="3" s="1"/>
  <c r="A237" i="2"/>
  <c r="A237" i="3" s="1"/>
  <c r="B237" i="2"/>
  <c r="B237" i="3" s="1"/>
  <c r="C237" i="2"/>
  <c r="D237" i="2"/>
  <c r="E237" i="2"/>
  <c r="F237" i="2"/>
  <c r="T237" i="2"/>
  <c r="K237" i="2"/>
  <c r="L237" i="2"/>
  <c r="M237" i="2"/>
  <c r="N237" i="2"/>
  <c r="P237" i="2"/>
  <c r="H276" i="4" s="1"/>
  <c r="P276" i="4" s="1"/>
  <c r="B238" i="2"/>
  <c r="B238" i="3" s="1"/>
  <c r="C238" i="2"/>
  <c r="D238" i="2"/>
  <c r="E238" i="2"/>
  <c r="F238" i="2"/>
  <c r="T238" i="2"/>
  <c r="K238" i="2"/>
  <c r="L238" i="2"/>
  <c r="M238" i="2"/>
  <c r="N238" i="2"/>
  <c r="P238" i="2"/>
  <c r="H277" i="4" s="1"/>
  <c r="P277" i="4" s="1"/>
  <c r="A225" i="2"/>
  <c r="A225" i="3" s="1"/>
  <c r="B225" i="2"/>
  <c r="B225" i="3" s="1"/>
  <c r="C225" i="2"/>
  <c r="D225" i="2"/>
  <c r="E225" i="2"/>
  <c r="F225" i="2"/>
  <c r="T225" i="2"/>
  <c r="D225" i="3" s="1"/>
  <c r="K225" i="2"/>
  <c r="L225" i="2"/>
  <c r="M225" i="2"/>
  <c r="N225" i="2"/>
  <c r="P225" i="2"/>
  <c r="H258" i="4" s="1"/>
  <c r="P258" i="4" s="1"/>
  <c r="A226" i="2"/>
  <c r="A226" i="3" s="1"/>
  <c r="B226" i="2"/>
  <c r="B226" i="3" s="1"/>
  <c r="C226" i="2"/>
  <c r="D226" i="2"/>
  <c r="E226" i="2"/>
  <c r="F226" i="2"/>
  <c r="D259" i="4"/>
  <c r="T226" i="2"/>
  <c r="D226" i="3" s="1"/>
  <c r="L226" i="2"/>
  <c r="M226" i="2"/>
  <c r="N226" i="2"/>
  <c r="P226" i="2"/>
  <c r="H259" i="4" s="1"/>
  <c r="P259" i="4" s="1"/>
  <c r="A227" i="2"/>
  <c r="A227" i="3" s="1"/>
  <c r="B227" i="2"/>
  <c r="B227" i="3" s="1"/>
  <c r="C227" i="2"/>
  <c r="D227" i="2"/>
  <c r="E227" i="2"/>
  <c r="F227" i="2"/>
  <c r="D261" i="4"/>
  <c r="M261" i="4" s="1"/>
  <c r="T227" i="2"/>
  <c r="D227" i="3" s="1"/>
  <c r="L227" i="2"/>
  <c r="M227" i="2"/>
  <c r="G261" i="4"/>
  <c r="O261" i="4" s="1"/>
  <c r="P227" i="2"/>
  <c r="H261" i="4" s="1"/>
  <c r="P261" i="4" s="1"/>
  <c r="A228" i="2"/>
  <c r="A228" i="3" s="1"/>
  <c r="B228" i="2"/>
  <c r="B228" i="3" s="1"/>
  <c r="D228" i="2"/>
  <c r="E263" i="4"/>
  <c r="N263" i="4" s="1"/>
  <c r="K228" i="2"/>
  <c r="L228" i="2"/>
  <c r="M228" i="2"/>
  <c r="N228" i="2"/>
  <c r="P228" i="2"/>
  <c r="H263" i="4" s="1"/>
  <c r="P263" i="4" s="1"/>
  <c r="S228" i="2"/>
  <c r="T228" i="2"/>
  <c r="D228" i="3" s="1"/>
  <c r="A229" i="2"/>
  <c r="A229" i="3" s="1"/>
  <c r="B229" i="2"/>
  <c r="B229" i="3" s="1"/>
  <c r="T229" i="2"/>
  <c r="D229" i="3" s="1"/>
  <c r="L229" i="2"/>
  <c r="M229" i="2"/>
  <c r="N229" i="2"/>
  <c r="P229" i="2"/>
  <c r="H265" i="4" s="1"/>
  <c r="P265" i="4" s="1"/>
  <c r="A230" i="2"/>
  <c r="A230" i="3" s="1"/>
  <c r="B230" i="2"/>
  <c r="B230" i="3" s="1"/>
  <c r="C230" i="2"/>
  <c r="D230" i="2"/>
  <c r="E230" i="2"/>
  <c r="F230" i="2"/>
  <c r="D266" i="4"/>
  <c r="E266" i="4"/>
  <c r="K230" i="2"/>
  <c r="J230" i="2" s="1"/>
  <c r="L230" i="2"/>
  <c r="M230" i="2"/>
  <c r="N230" i="2"/>
  <c r="G266" i="4" s="1"/>
  <c r="P230" i="2"/>
  <c r="H266" i="4" s="1"/>
  <c r="P266" i="4" s="1"/>
  <c r="A231" i="2"/>
  <c r="A231" i="3" s="1"/>
  <c r="B231" i="2"/>
  <c r="B231" i="3" s="1"/>
  <c r="C231" i="2"/>
  <c r="D231" i="2"/>
  <c r="E231" i="2"/>
  <c r="F231" i="2"/>
  <c r="D268" i="4"/>
  <c r="E268" i="4"/>
  <c r="K231" i="2"/>
  <c r="J231" i="2" s="1"/>
  <c r="L231" i="2"/>
  <c r="M231" i="2"/>
  <c r="N231" i="2"/>
  <c r="G268" i="4" s="1"/>
  <c r="P231" i="2"/>
  <c r="H268" i="4" s="1"/>
  <c r="P268" i="4" s="1"/>
  <c r="A232" i="2"/>
  <c r="A232" i="3" s="1"/>
  <c r="B232" i="2"/>
  <c r="B232" i="3" s="1"/>
  <c r="E270" i="4"/>
  <c r="N270" i="4" s="1"/>
  <c r="T232" i="2"/>
  <c r="D232" i="3" s="1"/>
  <c r="L232" i="2"/>
  <c r="M232" i="2"/>
  <c r="N232" i="2"/>
  <c r="P232" i="2"/>
  <c r="H270" i="4" s="1"/>
  <c r="P270" i="4" s="1"/>
  <c r="A233" i="2"/>
  <c r="A233" i="3" s="1"/>
  <c r="B233" i="2"/>
  <c r="B233" i="3" s="1"/>
  <c r="T233" i="2"/>
  <c r="D233" i="3" s="1"/>
  <c r="K233" i="2"/>
  <c r="L233" i="2"/>
  <c r="M233" i="2"/>
  <c r="N233" i="2"/>
  <c r="P233" i="2"/>
  <c r="H272" i="4" s="1"/>
  <c r="P272" i="4" s="1"/>
  <c r="A234" i="2"/>
  <c r="A234" i="3" s="1"/>
  <c r="B234" i="2"/>
  <c r="B234" i="3" s="1"/>
  <c r="C234" i="2"/>
  <c r="E234" i="2"/>
  <c r="F234" i="2"/>
  <c r="D273" i="4"/>
  <c r="T234" i="2"/>
  <c r="D234" i="3" s="1"/>
  <c r="K234" i="2"/>
  <c r="L234" i="2"/>
  <c r="M234" i="2"/>
  <c r="N234" i="2"/>
  <c r="P234" i="2"/>
  <c r="H273" i="4" s="1"/>
  <c r="P273" i="4" s="1"/>
  <c r="A235" i="2"/>
  <c r="A235" i="3" s="1"/>
  <c r="B235" i="2"/>
  <c r="B235" i="3" s="1"/>
  <c r="C235" i="2"/>
  <c r="D235" i="2"/>
  <c r="E235" i="2"/>
  <c r="F235" i="2"/>
  <c r="D274" i="4"/>
  <c r="T235" i="2"/>
  <c r="D235" i="3" s="1"/>
  <c r="K235" i="2"/>
  <c r="L235" i="2"/>
  <c r="M235" i="2"/>
  <c r="N235" i="2"/>
  <c r="P235" i="2"/>
  <c r="H274" i="4" s="1"/>
  <c r="P274" i="4" s="1"/>
  <c r="A236" i="2"/>
  <c r="A236" i="3" s="1"/>
  <c r="B236" i="2"/>
  <c r="B236" i="3" s="1"/>
  <c r="C236" i="2"/>
  <c r="D236" i="2"/>
  <c r="F236" i="2"/>
  <c r="E275" i="4"/>
  <c r="N275" i="4" s="1"/>
  <c r="T236" i="2"/>
  <c r="D236" i="3" s="1"/>
  <c r="E236" i="3" s="1"/>
  <c r="K236" i="2"/>
  <c r="L236" i="2"/>
  <c r="M236" i="2"/>
  <c r="N236" i="2"/>
  <c r="P236" i="2"/>
  <c r="H275" i="4" s="1"/>
  <c r="P275" i="4" s="1"/>
  <c r="S236" i="2"/>
  <c r="A203" i="2"/>
  <c r="A203" i="3" s="1"/>
  <c r="B203" i="2"/>
  <c r="B203" i="3" s="1"/>
  <c r="C203" i="2"/>
  <c r="D203" i="2"/>
  <c r="E203" i="2"/>
  <c r="F203" i="2"/>
  <c r="D234" i="4"/>
  <c r="T203" i="2"/>
  <c r="D203" i="3" s="1"/>
  <c r="K203" i="2"/>
  <c r="L203" i="2"/>
  <c r="M203" i="2"/>
  <c r="N203" i="2"/>
  <c r="P203" i="2"/>
  <c r="H234" i="4" s="1"/>
  <c r="P234" i="4" s="1"/>
  <c r="A204" i="2"/>
  <c r="A204" i="3" s="1"/>
  <c r="B204" i="2"/>
  <c r="B204" i="3" s="1"/>
  <c r="C204" i="2"/>
  <c r="D204" i="2"/>
  <c r="E204" i="2"/>
  <c r="F204" i="2"/>
  <c r="E235" i="4"/>
  <c r="N235" i="4" s="1"/>
  <c r="L204" i="2"/>
  <c r="M204" i="2"/>
  <c r="N204" i="2"/>
  <c r="P204" i="2"/>
  <c r="H235" i="4" s="1"/>
  <c r="P235" i="4" s="1"/>
  <c r="S204" i="2"/>
  <c r="T204" i="2"/>
  <c r="D204" i="3" s="1"/>
  <c r="A205" i="2"/>
  <c r="A205" i="3" s="1"/>
  <c r="B205" i="2"/>
  <c r="B205" i="3" s="1"/>
  <c r="C205" i="2"/>
  <c r="D205" i="2"/>
  <c r="E205" i="2"/>
  <c r="F205" i="2"/>
  <c r="T205" i="2"/>
  <c r="D205" i="3" s="1"/>
  <c r="K205" i="2"/>
  <c r="L205" i="2"/>
  <c r="M205" i="2"/>
  <c r="N205" i="2"/>
  <c r="P205" i="2"/>
  <c r="H236" i="4" s="1"/>
  <c r="P236" i="4" s="1"/>
  <c r="A206" i="2"/>
  <c r="A206" i="3" s="1"/>
  <c r="B206" i="2"/>
  <c r="B206" i="3" s="1"/>
  <c r="C206" i="2"/>
  <c r="D206" i="2"/>
  <c r="E206" i="2"/>
  <c r="F206" i="2"/>
  <c r="D237" i="4"/>
  <c r="T206" i="2"/>
  <c r="D206" i="3" s="1"/>
  <c r="K206" i="2"/>
  <c r="L206" i="2"/>
  <c r="M206" i="2"/>
  <c r="N206" i="2"/>
  <c r="P206" i="2"/>
  <c r="H237" i="4" s="1"/>
  <c r="P237" i="4" s="1"/>
  <c r="A207" i="2"/>
  <c r="A207" i="3" s="1"/>
  <c r="B207" i="2"/>
  <c r="B207" i="3" s="1"/>
  <c r="C207" i="2"/>
  <c r="D207" i="2"/>
  <c r="E207" i="2"/>
  <c r="F207" i="2"/>
  <c r="D238" i="4"/>
  <c r="E238" i="4"/>
  <c r="N238" i="4" s="1"/>
  <c r="T207" i="2"/>
  <c r="D207" i="3" s="1"/>
  <c r="K207" i="2"/>
  <c r="L207" i="2"/>
  <c r="M207" i="2"/>
  <c r="N207" i="2"/>
  <c r="P207" i="2"/>
  <c r="H238" i="4" s="1"/>
  <c r="P238" i="4" s="1"/>
  <c r="A208" i="2"/>
  <c r="A208" i="3" s="1"/>
  <c r="B208" i="2"/>
  <c r="B208" i="3" s="1"/>
  <c r="C208" i="2"/>
  <c r="D208" i="2"/>
  <c r="E208" i="2"/>
  <c r="F208" i="2"/>
  <c r="E239" i="4"/>
  <c r="N239" i="4" s="1"/>
  <c r="K208" i="2"/>
  <c r="L208" i="2"/>
  <c r="M208" i="2"/>
  <c r="N208" i="2"/>
  <c r="P208" i="2"/>
  <c r="H239" i="4" s="1"/>
  <c r="P239" i="4" s="1"/>
  <c r="T208" i="2"/>
  <c r="D208" i="3" s="1"/>
  <c r="A209" i="2"/>
  <c r="A209" i="3" s="1"/>
  <c r="B209" i="2"/>
  <c r="B209" i="3" s="1"/>
  <c r="C209" i="2"/>
  <c r="D209" i="2"/>
  <c r="E209" i="2"/>
  <c r="F209" i="2"/>
  <c r="T209" i="2"/>
  <c r="D209" i="3" s="1"/>
  <c r="L209" i="2"/>
  <c r="M209" i="2"/>
  <c r="N209" i="2"/>
  <c r="P209" i="2"/>
  <c r="H240" i="4" s="1"/>
  <c r="P240" i="4" s="1"/>
  <c r="A210" i="2"/>
  <c r="A210" i="3" s="1"/>
  <c r="B210" i="2"/>
  <c r="B210" i="3" s="1"/>
  <c r="C210" i="2"/>
  <c r="D210" i="2"/>
  <c r="E210" i="2"/>
  <c r="F210" i="2"/>
  <c r="T210" i="2"/>
  <c r="D210" i="3" s="1"/>
  <c r="L210" i="2"/>
  <c r="M210" i="2"/>
  <c r="N210" i="2"/>
  <c r="P210" i="2"/>
  <c r="H242" i="4" s="1"/>
  <c r="P242" i="4" s="1"/>
  <c r="A211" i="2"/>
  <c r="A211" i="3" s="1"/>
  <c r="B211" i="2"/>
  <c r="B211" i="3" s="1"/>
  <c r="C211" i="2"/>
  <c r="D211" i="2"/>
  <c r="E211" i="2"/>
  <c r="F211" i="2"/>
  <c r="E244" i="4"/>
  <c r="N244" i="4" s="1"/>
  <c r="T211" i="2"/>
  <c r="D211" i="3" s="1"/>
  <c r="K211" i="2"/>
  <c r="L211" i="2"/>
  <c r="M211" i="2"/>
  <c r="N211" i="2"/>
  <c r="P211" i="2"/>
  <c r="H244" i="4" s="1"/>
  <c r="P244" i="4" s="1"/>
  <c r="S211" i="2"/>
  <c r="A212" i="2"/>
  <c r="A212" i="3" s="1"/>
  <c r="B212" i="2"/>
  <c r="B212" i="3" s="1"/>
  <c r="C212" i="2"/>
  <c r="D212" i="2"/>
  <c r="E212" i="2"/>
  <c r="F212" i="2"/>
  <c r="E245" i="4"/>
  <c r="N245" i="4" s="1"/>
  <c r="L212" i="2"/>
  <c r="M212" i="2"/>
  <c r="N212" i="2"/>
  <c r="P212" i="2"/>
  <c r="H245" i="4" s="1"/>
  <c r="P245" i="4" s="1"/>
  <c r="S212" i="2"/>
  <c r="T212" i="2"/>
  <c r="D212" i="3" s="1"/>
  <c r="A213" i="2"/>
  <c r="A213" i="3" s="1"/>
  <c r="B213" i="2"/>
  <c r="B213" i="3" s="1"/>
  <c r="C213" i="2"/>
  <c r="D213" i="2"/>
  <c r="E213" i="2"/>
  <c r="F213" i="2"/>
  <c r="T213" i="2"/>
  <c r="D213" i="3" s="1"/>
  <c r="E213" i="3" s="1"/>
  <c r="K213" i="2"/>
  <c r="L213" i="2"/>
  <c r="M213" i="2"/>
  <c r="N213" i="2"/>
  <c r="P213" i="2"/>
  <c r="H246" i="4" s="1"/>
  <c r="P246" i="4" s="1"/>
  <c r="A214" i="2"/>
  <c r="A214" i="3" s="1"/>
  <c r="B214" i="2"/>
  <c r="B214" i="3" s="1"/>
  <c r="C214" i="2"/>
  <c r="D214" i="2"/>
  <c r="E214" i="2"/>
  <c r="F214" i="2"/>
  <c r="D247" i="4"/>
  <c r="T214" i="2"/>
  <c r="D214" i="3" s="1"/>
  <c r="K214" i="2"/>
  <c r="L214" i="2"/>
  <c r="M214" i="2"/>
  <c r="N214" i="2"/>
  <c r="P214" i="2"/>
  <c r="H247" i="4" s="1"/>
  <c r="P247" i="4" s="1"/>
  <c r="A215" i="2"/>
  <c r="A215" i="3" s="1"/>
  <c r="B215" i="2"/>
  <c r="B215" i="3" s="1"/>
  <c r="C215" i="2"/>
  <c r="D215" i="2"/>
  <c r="E215" i="2"/>
  <c r="F215" i="2"/>
  <c r="T215" i="2"/>
  <c r="D215" i="3" s="1"/>
  <c r="K215" i="2"/>
  <c r="L215" i="2"/>
  <c r="M215" i="2"/>
  <c r="N215" i="2"/>
  <c r="P215" i="2"/>
  <c r="H248" i="4" s="1"/>
  <c r="P248" i="4" s="1"/>
  <c r="A216" i="2"/>
  <c r="A216" i="3" s="1"/>
  <c r="B216" i="2"/>
  <c r="B216" i="3" s="1"/>
  <c r="C216" i="2"/>
  <c r="D216" i="2"/>
  <c r="E216" i="2"/>
  <c r="F216" i="2"/>
  <c r="E249" i="4"/>
  <c r="N249" i="4" s="1"/>
  <c r="T216" i="2"/>
  <c r="D216" i="3" s="1"/>
  <c r="L216" i="2"/>
  <c r="M216" i="2"/>
  <c r="N216" i="2"/>
  <c r="P216" i="2"/>
  <c r="H249" i="4" s="1"/>
  <c r="P249" i="4" s="1"/>
  <c r="S216" i="2"/>
  <c r="A217" i="2"/>
  <c r="A217" i="3" s="1"/>
  <c r="B217" i="2"/>
  <c r="B217" i="3" s="1"/>
  <c r="C217" i="2"/>
  <c r="D217" i="2"/>
  <c r="E217" i="2"/>
  <c r="F217" i="2"/>
  <c r="T217" i="2"/>
  <c r="D217" i="3" s="1"/>
  <c r="K217" i="2"/>
  <c r="L217" i="2"/>
  <c r="M217" i="2"/>
  <c r="N217" i="2"/>
  <c r="P217" i="2"/>
  <c r="H250" i="4" s="1"/>
  <c r="P250" i="4" s="1"/>
  <c r="A218" i="2"/>
  <c r="A218" i="3" s="1"/>
  <c r="B218" i="2"/>
  <c r="B218" i="3" s="1"/>
  <c r="C218" i="2"/>
  <c r="D218" i="2"/>
  <c r="E218" i="2"/>
  <c r="F218" i="2"/>
  <c r="T218" i="2"/>
  <c r="D218" i="3" s="1"/>
  <c r="K218" i="2"/>
  <c r="L218" i="2"/>
  <c r="M218" i="2"/>
  <c r="N218" i="2"/>
  <c r="P218" i="2"/>
  <c r="H251" i="4" s="1"/>
  <c r="P251" i="4" s="1"/>
  <c r="A219" i="2"/>
  <c r="A219" i="3" s="1"/>
  <c r="B219" i="2"/>
  <c r="B219" i="3" s="1"/>
  <c r="C219" i="2"/>
  <c r="D219" i="2"/>
  <c r="E219" i="2"/>
  <c r="F219" i="2"/>
  <c r="D252" i="4"/>
  <c r="T219" i="2"/>
  <c r="D219" i="3" s="1"/>
  <c r="E219" i="3" s="1"/>
  <c r="K219" i="2"/>
  <c r="L219" i="2"/>
  <c r="M219" i="2"/>
  <c r="N219" i="2"/>
  <c r="P219" i="2"/>
  <c r="H252" i="4" s="1"/>
  <c r="P252" i="4" s="1"/>
  <c r="A220" i="2"/>
  <c r="A220" i="3" s="1"/>
  <c r="B220" i="2"/>
  <c r="B220" i="3" s="1"/>
  <c r="C220" i="2"/>
  <c r="D220" i="2"/>
  <c r="E220" i="2"/>
  <c r="F220" i="2"/>
  <c r="E253" i="4"/>
  <c r="N253" i="4" s="1"/>
  <c r="T220" i="2"/>
  <c r="D220" i="3" s="1"/>
  <c r="K220" i="2"/>
  <c r="L220" i="2"/>
  <c r="M220" i="2"/>
  <c r="N220" i="2"/>
  <c r="P220" i="2"/>
  <c r="H253" i="4" s="1"/>
  <c r="P253" i="4" s="1"/>
  <c r="A221" i="2"/>
  <c r="A221" i="3" s="1"/>
  <c r="B221" i="2"/>
  <c r="B221" i="3" s="1"/>
  <c r="C221" i="2"/>
  <c r="D221" i="2"/>
  <c r="E221" i="2"/>
  <c r="F221" i="2"/>
  <c r="T221" i="2"/>
  <c r="D221" i="3" s="1"/>
  <c r="K221" i="2"/>
  <c r="L221" i="2"/>
  <c r="M221" i="2"/>
  <c r="N221" i="2"/>
  <c r="P221" i="2"/>
  <c r="H254" i="4" s="1"/>
  <c r="P254" i="4" s="1"/>
  <c r="A222" i="2"/>
  <c r="A222" i="3" s="1"/>
  <c r="B222" i="2"/>
  <c r="B222" i="3" s="1"/>
  <c r="C222" i="2"/>
  <c r="D222" i="2"/>
  <c r="E222" i="2"/>
  <c r="F222" i="2"/>
  <c r="D255" i="4"/>
  <c r="T222" i="2"/>
  <c r="D222" i="3" s="1"/>
  <c r="L222" i="2"/>
  <c r="M222" i="2"/>
  <c r="N222" i="2"/>
  <c r="P222" i="2"/>
  <c r="H255" i="4" s="1"/>
  <c r="P255" i="4" s="1"/>
  <c r="A223" i="2"/>
  <c r="A223" i="3" s="1"/>
  <c r="B223" i="2"/>
  <c r="B223" i="3" s="1"/>
  <c r="C223" i="2"/>
  <c r="D223" i="2"/>
  <c r="E223" i="2"/>
  <c r="F223" i="2"/>
  <c r="D256" i="4"/>
  <c r="E256" i="4"/>
  <c r="N256" i="4" s="1"/>
  <c r="T223" i="2"/>
  <c r="D223" i="3" s="1"/>
  <c r="K223" i="2"/>
  <c r="L223" i="2"/>
  <c r="M223" i="2"/>
  <c r="N223" i="2"/>
  <c r="P223" i="2"/>
  <c r="H256" i="4" s="1"/>
  <c r="P256" i="4" s="1"/>
  <c r="A224" i="2"/>
  <c r="A224" i="3" s="1"/>
  <c r="B224" i="2"/>
  <c r="B224" i="3" s="1"/>
  <c r="C224" i="2"/>
  <c r="D224" i="2"/>
  <c r="E224" i="2"/>
  <c r="F224" i="2"/>
  <c r="E257" i="4"/>
  <c r="N257" i="4" s="1"/>
  <c r="L224" i="2"/>
  <c r="M224" i="2"/>
  <c r="N224" i="2"/>
  <c r="P224" i="2"/>
  <c r="H257" i="4" s="1"/>
  <c r="P257" i="4" s="1"/>
  <c r="S224" i="2"/>
  <c r="T224" i="2"/>
  <c r="D224" i="3" s="1"/>
  <c r="A190" i="2"/>
  <c r="A190" i="3" s="1"/>
  <c r="B190" i="2"/>
  <c r="B190" i="3" s="1"/>
  <c r="C190" i="2"/>
  <c r="D190" i="2"/>
  <c r="E190" i="2"/>
  <c r="F190" i="2"/>
  <c r="D221" i="4"/>
  <c r="T190" i="2"/>
  <c r="D190" i="3" s="1"/>
  <c r="K190" i="2"/>
  <c r="L190" i="2"/>
  <c r="M190" i="2"/>
  <c r="N190" i="2"/>
  <c r="P190" i="2"/>
  <c r="H221" i="4" s="1"/>
  <c r="P221" i="4" s="1"/>
  <c r="A191" i="2"/>
  <c r="A191" i="3" s="1"/>
  <c r="B191" i="2"/>
  <c r="B191" i="3" s="1"/>
  <c r="C191" i="2"/>
  <c r="D191" i="2"/>
  <c r="E191" i="2"/>
  <c r="F191" i="2"/>
  <c r="E222" i="4"/>
  <c r="N222" i="4" s="1"/>
  <c r="T191" i="2"/>
  <c r="D191" i="3" s="1"/>
  <c r="E191" i="3" s="1"/>
  <c r="K191" i="2"/>
  <c r="L191" i="2"/>
  <c r="M191" i="2"/>
  <c r="N191" i="2"/>
  <c r="P191" i="2"/>
  <c r="H222" i="4" s="1"/>
  <c r="P222" i="4" s="1"/>
  <c r="S191" i="2"/>
  <c r="A192" i="2"/>
  <c r="A192" i="3" s="1"/>
  <c r="B192" i="2"/>
  <c r="B192" i="3" s="1"/>
  <c r="C192" i="2"/>
  <c r="D192" i="2"/>
  <c r="E192" i="2"/>
  <c r="F192" i="2"/>
  <c r="T192" i="2"/>
  <c r="D192" i="3" s="1"/>
  <c r="L192" i="2"/>
  <c r="M192" i="2"/>
  <c r="N192" i="2"/>
  <c r="P192" i="2"/>
  <c r="H223" i="4" s="1"/>
  <c r="P223" i="4" s="1"/>
  <c r="A193" i="2"/>
  <c r="A193" i="3" s="1"/>
  <c r="B193" i="2"/>
  <c r="B193" i="3" s="1"/>
  <c r="C193" i="2"/>
  <c r="D193" i="2"/>
  <c r="E193" i="2"/>
  <c r="F193" i="2"/>
  <c r="D224" i="4"/>
  <c r="T193" i="2"/>
  <c r="D193" i="3" s="1"/>
  <c r="K193" i="2"/>
  <c r="L193" i="2"/>
  <c r="M193" i="2"/>
  <c r="N193" i="2"/>
  <c r="P193" i="2"/>
  <c r="H224" i="4" s="1"/>
  <c r="P224" i="4" s="1"/>
  <c r="A194" i="2"/>
  <c r="A194" i="3" s="1"/>
  <c r="B194" i="2"/>
  <c r="B194" i="3" s="1"/>
  <c r="C194" i="2"/>
  <c r="D194" i="2"/>
  <c r="E194" i="2"/>
  <c r="F194" i="2"/>
  <c r="D225" i="4"/>
  <c r="E225" i="4"/>
  <c r="N225" i="4" s="1"/>
  <c r="T194" i="2"/>
  <c r="D194" i="3" s="1"/>
  <c r="K194" i="2"/>
  <c r="L194" i="2"/>
  <c r="M194" i="2"/>
  <c r="N194" i="2"/>
  <c r="P194" i="2"/>
  <c r="H225" i="4" s="1"/>
  <c r="P225" i="4" s="1"/>
  <c r="A195" i="2"/>
  <c r="A195" i="3" s="1"/>
  <c r="B195" i="2"/>
  <c r="B195" i="3" s="1"/>
  <c r="C195" i="2"/>
  <c r="D195" i="2"/>
  <c r="E195" i="2"/>
  <c r="F195" i="2"/>
  <c r="E226" i="4"/>
  <c r="N226" i="4" s="1"/>
  <c r="T195" i="2"/>
  <c r="D195" i="3" s="1"/>
  <c r="L195" i="2"/>
  <c r="M195" i="2"/>
  <c r="N195" i="2"/>
  <c r="P195" i="2"/>
  <c r="H226" i="4" s="1"/>
  <c r="P226" i="4" s="1"/>
  <c r="S195" i="2"/>
  <c r="A196" i="2"/>
  <c r="A196" i="3" s="1"/>
  <c r="B196" i="2"/>
  <c r="B196" i="3" s="1"/>
  <c r="C196" i="2"/>
  <c r="D196" i="2"/>
  <c r="E196" i="2"/>
  <c r="F196" i="2"/>
  <c r="T196" i="2"/>
  <c r="D196" i="3" s="1"/>
  <c r="K196" i="2"/>
  <c r="L196" i="2"/>
  <c r="M196" i="2"/>
  <c r="N196" i="2"/>
  <c r="P196" i="2"/>
  <c r="H227" i="4" s="1"/>
  <c r="P227" i="4" s="1"/>
  <c r="A197" i="2"/>
  <c r="A197" i="3" s="1"/>
  <c r="B197" i="2"/>
  <c r="B197" i="3" s="1"/>
  <c r="C197" i="2"/>
  <c r="D197" i="2"/>
  <c r="E197" i="2"/>
  <c r="D228" i="4"/>
  <c r="T197" i="2"/>
  <c r="D197" i="3" s="1"/>
  <c r="K197" i="2"/>
  <c r="L197" i="2"/>
  <c r="M197" i="2"/>
  <c r="N197" i="2"/>
  <c r="P197" i="2"/>
  <c r="H228" i="4" s="1"/>
  <c r="P228" i="4" s="1"/>
  <c r="A198" i="2"/>
  <c r="A198" i="3" s="1"/>
  <c r="B198" i="2"/>
  <c r="B198" i="3" s="1"/>
  <c r="C198" i="2"/>
  <c r="D198" i="2"/>
  <c r="E198" i="2"/>
  <c r="F198" i="2"/>
  <c r="E229" i="4"/>
  <c r="N229" i="4" s="1"/>
  <c r="T198" i="2"/>
  <c r="D198" i="3" s="1"/>
  <c r="E198" i="3" s="1"/>
  <c r="K198" i="2"/>
  <c r="L198" i="2"/>
  <c r="M198" i="2"/>
  <c r="N198" i="2"/>
  <c r="P198" i="2"/>
  <c r="H229" i="4" s="1"/>
  <c r="P229" i="4" s="1"/>
  <c r="A199" i="2"/>
  <c r="A199" i="3" s="1"/>
  <c r="B199" i="2"/>
  <c r="B199" i="3" s="1"/>
  <c r="C199" i="2"/>
  <c r="D199" i="2"/>
  <c r="E199" i="2"/>
  <c r="F199" i="2"/>
  <c r="T199" i="2"/>
  <c r="D199" i="3" s="1"/>
  <c r="L199" i="2"/>
  <c r="M199" i="2"/>
  <c r="N199" i="2"/>
  <c r="P199" i="2"/>
  <c r="H230" i="4" s="1"/>
  <c r="P230" i="4" s="1"/>
  <c r="A200" i="2"/>
  <c r="A200" i="3" s="1"/>
  <c r="B200" i="2"/>
  <c r="B200" i="3" s="1"/>
  <c r="C200" i="2"/>
  <c r="D200" i="2"/>
  <c r="E200" i="2"/>
  <c r="F200" i="2"/>
  <c r="T200" i="2"/>
  <c r="D200" i="3" s="1"/>
  <c r="K200" i="2"/>
  <c r="L200" i="2"/>
  <c r="M200" i="2"/>
  <c r="N200" i="2"/>
  <c r="P200" i="2"/>
  <c r="H231" i="4" s="1"/>
  <c r="P231" i="4" s="1"/>
  <c r="A201" i="2"/>
  <c r="A201" i="3" s="1"/>
  <c r="B201" i="2"/>
  <c r="B201" i="3" s="1"/>
  <c r="C201" i="2"/>
  <c r="D201" i="2"/>
  <c r="E201" i="2"/>
  <c r="F201" i="2"/>
  <c r="T201" i="2"/>
  <c r="D201" i="3" s="1"/>
  <c r="K201" i="2"/>
  <c r="L201" i="2"/>
  <c r="M201" i="2"/>
  <c r="N201" i="2"/>
  <c r="P201" i="2"/>
  <c r="H232" i="4" s="1"/>
  <c r="P232" i="4" s="1"/>
  <c r="A202" i="2"/>
  <c r="A202" i="3" s="1"/>
  <c r="B202" i="2"/>
  <c r="B202" i="3" s="1"/>
  <c r="C202" i="2"/>
  <c r="D202" i="2"/>
  <c r="E202" i="2"/>
  <c r="F202" i="2"/>
  <c r="D233" i="4"/>
  <c r="T202" i="2"/>
  <c r="D202" i="3" s="1"/>
  <c r="L202" i="2"/>
  <c r="M202" i="2"/>
  <c r="N202" i="2"/>
  <c r="P202" i="2"/>
  <c r="H233" i="4" s="1"/>
  <c r="P233" i="4" s="1"/>
  <c r="E200" i="3" l="1"/>
  <c r="E194" i="3"/>
  <c r="E205" i="3"/>
  <c r="E228" i="3"/>
  <c r="E223" i="3"/>
  <c r="W246" i="2"/>
  <c r="X246" i="2"/>
  <c r="E242" i="3"/>
  <c r="E246" i="3"/>
  <c r="E269" i="3"/>
  <c r="E253" i="3"/>
  <c r="E267" i="3"/>
  <c r="G232" i="4"/>
  <c r="Z202" i="2"/>
  <c r="G231" i="4"/>
  <c r="Z201" i="2"/>
  <c r="G229" i="4"/>
  <c r="Z199" i="2"/>
  <c r="G225" i="4"/>
  <c r="Z195" i="2"/>
  <c r="G257" i="4"/>
  <c r="Z225" i="2"/>
  <c r="G256" i="4"/>
  <c r="Z224" i="2"/>
  <c r="G252" i="4"/>
  <c r="Z220" i="2"/>
  <c r="G240" i="4"/>
  <c r="Z210" i="2"/>
  <c r="G275" i="4"/>
  <c r="Z237" i="2"/>
  <c r="E254" i="3"/>
  <c r="G228" i="4"/>
  <c r="Z198" i="2"/>
  <c r="C196" i="3"/>
  <c r="E196" i="3"/>
  <c r="E190" i="3"/>
  <c r="G251" i="4"/>
  <c r="Z219" i="2"/>
  <c r="E217" i="3"/>
  <c r="C216" i="3"/>
  <c r="G239" i="4"/>
  <c r="Z209" i="2"/>
  <c r="G238" i="4"/>
  <c r="Z208" i="2"/>
  <c r="E235" i="3"/>
  <c r="C234" i="3"/>
  <c r="G259" i="4"/>
  <c r="Z227" i="2"/>
  <c r="G227" i="4"/>
  <c r="Z197" i="2"/>
  <c r="G224" i="4"/>
  <c r="Z194" i="2"/>
  <c r="E193" i="3"/>
  <c r="C192" i="3"/>
  <c r="G255" i="4"/>
  <c r="Z223" i="2"/>
  <c r="C220" i="3"/>
  <c r="E220" i="3"/>
  <c r="G249" i="4"/>
  <c r="Z217" i="2"/>
  <c r="G245" i="4"/>
  <c r="Z213" i="2"/>
  <c r="G235" i="4"/>
  <c r="Z205" i="2"/>
  <c r="G234" i="4"/>
  <c r="Z204" i="2"/>
  <c r="E203" i="3"/>
  <c r="G273" i="4"/>
  <c r="Z235" i="2"/>
  <c r="E234" i="3"/>
  <c r="G265" i="4"/>
  <c r="O265" i="4" s="1"/>
  <c r="Z230" i="2"/>
  <c r="G258" i="4"/>
  <c r="Z226" i="2"/>
  <c r="E225" i="3"/>
  <c r="G277" i="4"/>
  <c r="Z239" i="2"/>
  <c r="Y260" i="2"/>
  <c r="D260" i="3" s="1"/>
  <c r="E260" i="3" s="1"/>
  <c r="E274" i="3"/>
  <c r="E278" i="3"/>
  <c r="E261" i="3"/>
  <c r="E250" i="3"/>
  <c r="G230" i="4"/>
  <c r="Z200" i="2"/>
  <c r="G222" i="4"/>
  <c r="Z192" i="2"/>
  <c r="G246" i="4"/>
  <c r="Z214" i="2"/>
  <c r="G242" i="4"/>
  <c r="O242" i="4" s="1"/>
  <c r="Z211" i="2"/>
  <c r="C208" i="3"/>
  <c r="X208" i="2"/>
  <c r="G236" i="4"/>
  <c r="Z206" i="2"/>
  <c r="G263" i="4"/>
  <c r="Z229" i="2"/>
  <c r="C226" i="3"/>
  <c r="E197" i="3"/>
  <c r="G221" i="4"/>
  <c r="Z191" i="2"/>
  <c r="E218" i="3"/>
  <c r="G250" i="4"/>
  <c r="Z218" i="2"/>
  <c r="C212" i="3"/>
  <c r="E207" i="3"/>
  <c r="C204" i="3"/>
  <c r="G274" i="4"/>
  <c r="Z236" i="2"/>
  <c r="G276" i="4"/>
  <c r="Z238" i="2"/>
  <c r="G233" i="4"/>
  <c r="Z203" i="2"/>
  <c r="C201" i="3"/>
  <c r="E201" i="3"/>
  <c r="G226" i="4"/>
  <c r="Z196" i="2"/>
  <c r="G223" i="4"/>
  <c r="Z193" i="2"/>
  <c r="C224" i="3"/>
  <c r="G254" i="4"/>
  <c r="Z222" i="2"/>
  <c r="E221" i="3"/>
  <c r="G253" i="4"/>
  <c r="Z221" i="2"/>
  <c r="G248" i="4"/>
  <c r="Z216" i="2"/>
  <c r="E215" i="3"/>
  <c r="G247" i="4"/>
  <c r="Z215" i="2"/>
  <c r="E214" i="3"/>
  <c r="G244" i="4"/>
  <c r="Z212" i="2"/>
  <c r="E211" i="3"/>
  <c r="E208" i="3"/>
  <c r="G237" i="4"/>
  <c r="Z207" i="2"/>
  <c r="E206" i="3"/>
  <c r="G272" i="4"/>
  <c r="Z234" i="2"/>
  <c r="E233" i="3"/>
  <c r="G270" i="4"/>
  <c r="O270" i="4" s="1"/>
  <c r="Z233" i="2"/>
  <c r="E255" i="3"/>
  <c r="E251" i="3"/>
  <c r="Y239" i="2"/>
  <c r="D239" i="3" s="1"/>
  <c r="W241" i="2"/>
  <c r="Y252" i="2"/>
  <c r="D252" i="3" s="1"/>
  <c r="E252" i="3" s="1"/>
  <c r="Y264" i="2"/>
  <c r="D264" i="3" s="1"/>
  <c r="E264" i="3" s="1"/>
  <c r="W275" i="2"/>
  <c r="W243" i="2"/>
  <c r="S208" i="2"/>
  <c r="X277" i="2"/>
  <c r="C251" i="3"/>
  <c r="O313" i="4"/>
  <c r="O287" i="4"/>
  <c r="S207" i="2"/>
  <c r="X254" i="2"/>
  <c r="X253" i="2"/>
  <c r="Y241" i="2"/>
  <c r="D241" i="3" s="1"/>
  <c r="E241" i="3" s="1"/>
  <c r="Y268" i="2"/>
  <c r="D268" i="3" s="1"/>
  <c r="E268" i="3" s="1"/>
  <c r="X243" i="2"/>
  <c r="S232" i="2"/>
  <c r="C276" i="3"/>
  <c r="R203" i="2"/>
  <c r="Y203" i="2" s="1"/>
  <c r="W253" i="2"/>
  <c r="W267" i="2"/>
  <c r="U279" i="2"/>
  <c r="W279" i="2" s="1"/>
  <c r="Y240" i="2"/>
  <c r="D240" i="3" s="1"/>
  <c r="E240" i="3" s="1"/>
  <c r="R193" i="2"/>
  <c r="Y193" i="2" s="1"/>
  <c r="X261" i="2"/>
  <c r="X276" i="2"/>
  <c r="X242" i="2"/>
  <c r="Y259" i="2"/>
  <c r="Y262" i="2"/>
  <c r="D262" i="3" s="1"/>
  <c r="E262" i="3" s="1"/>
  <c r="S198" i="2"/>
  <c r="R202" i="2"/>
  <c r="R234" i="2"/>
  <c r="X264" i="2"/>
  <c r="X263" i="2"/>
  <c r="O283" i="4"/>
  <c r="O309" i="4"/>
  <c r="X259" i="2"/>
  <c r="O293" i="4"/>
  <c r="W269" i="2"/>
  <c r="X257" i="2"/>
  <c r="W277" i="2"/>
  <c r="Y257" i="2"/>
  <c r="D257" i="3" s="1"/>
  <c r="E257" i="3" s="1"/>
  <c r="W259" i="2"/>
  <c r="W254" i="2"/>
  <c r="W278" i="2"/>
  <c r="Y243" i="2"/>
  <c r="D243" i="3" s="1"/>
  <c r="E243" i="3" s="1"/>
  <c r="Y266" i="2"/>
  <c r="D266" i="3" s="1"/>
  <c r="E266" i="3" s="1"/>
  <c r="R207" i="2"/>
  <c r="Y207" i="2" s="1"/>
  <c r="R197" i="2"/>
  <c r="Y197" i="2" s="1"/>
  <c r="R223" i="2"/>
  <c r="R206" i="2"/>
  <c r="W261" i="2"/>
  <c r="X278" i="2"/>
  <c r="X251" i="2"/>
  <c r="Y245" i="2"/>
  <c r="D245" i="3" s="1"/>
  <c r="E245" i="3" s="1"/>
  <c r="X255" i="2"/>
  <c r="X267" i="2"/>
  <c r="X250" i="2"/>
  <c r="W257" i="2"/>
  <c r="X273" i="2"/>
  <c r="W255" i="2"/>
  <c r="M247" i="4"/>
  <c r="R225" i="2"/>
  <c r="D258" i="4"/>
  <c r="W270" i="2"/>
  <c r="W266" i="2"/>
  <c r="M322" i="4"/>
  <c r="O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37" i="3" s="1"/>
  <c r="E237" i="3" s="1"/>
  <c r="D276" i="4"/>
  <c r="X265" i="2"/>
  <c r="X266" i="2"/>
  <c r="W274" i="2"/>
  <c r="M281" i="4"/>
  <c r="O281" i="4"/>
  <c r="X258" i="2"/>
  <c r="C239" i="3"/>
  <c r="U239" i="2"/>
  <c r="M308" i="4"/>
  <c r="O308" i="4"/>
  <c r="M311" i="4"/>
  <c r="O311" i="4"/>
  <c r="W251" i="2"/>
  <c r="U272" i="2"/>
  <c r="E272" i="3" s="1"/>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E280" i="3" s="1"/>
  <c r="R198" i="2"/>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O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C221" i="3"/>
  <c r="C236" i="3"/>
  <c r="X234" i="2"/>
  <c r="C232" i="3"/>
  <c r="C228" i="3"/>
  <c r="C222" i="3"/>
  <c r="C218" i="3"/>
  <c r="C214" i="3"/>
  <c r="C210" i="3"/>
  <c r="C206" i="3"/>
  <c r="X201" i="2"/>
  <c r="C199" i="3"/>
  <c r="C195" i="3"/>
  <c r="C191" i="3"/>
  <c r="Y198" i="2" l="1"/>
  <c r="E279" i="3"/>
  <c r="W201" i="2"/>
  <c r="E239" i="3"/>
  <c r="W225" i="2"/>
  <c r="X225" i="2"/>
  <c r="X235" i="2"/>
  <c r="X223" i="2"/>
  <c r="Y238" i="2"/>
  <c r="D238" i="3" s="1"/>
  <c r="E238" i="3" s="1"/>
  <c r="O228" i="4"/>
  <c r="Y208" i="2"/>
  <c r="Y232" i="2"/>
  <c r="W235" i="2"/>
  <c r="Y202" i="2"/>
  <c r="W233" i="2"/>
  <c r="Y206" i="2"/>
  <c r="X211" i="2"/>
  <c r="Y234" i="2"/>
  <c r="X196" i="2"/>
  <c r="C198" i="3"/>
  <c r="X198" i="2"/>
  <c r="C202" i="3"/>
  <c r="O237" i="4"/>
  <c r="O221" i="4"/>
  <c r="W196" i="2"/>
  <c r="X233" i="2"/>
  <c r="W223" i="2"/>
  <c r="Y213" i="2"/>
  <c r="Y192" i="2"/>
  <c r="Y223" i="2"/>
  <c r="W203" i="2"/>
  <c r="W190" i="2"/>
  <c r="Y221" i="2"/>
  <c r="W219" i="2"/>
  <c r="Y200" i="2"/>
  <c r="X219" i="2"/>
  <c r="O252" i="4"/>
  <c r="Y194" i="2"/>
  <c r="X200" i="2"/>
  <c r="W221" i="2"/>
  <c r="X213" i="2"/>
  <c r="Y225" i="2"/>
  <c r="O273" i="4"/>
  <c r="Y219" i="2"/>
  <c r="O224" i="4"/>
  <c r="M257" i="4"/>
  <c r="M231" i="4"/>
  <c r="O231" i="4"/>
  <c r="W194" i="2"/>
  <c r="C194" i="3"/>
  <c r="Y215" i="2"/>
  <c r="M254" i="4"/>
  <c r="O254" i="4"/>
  <c r="M229" i="4"/>
  <c r="O229" i="4"/>
  <c r="W239" i="2"/>
  <c r="X239" i="2"/>
  <c r="M276" i="4"/>
  <c r="O276" i="4"/>
  <c r="M251" i="4"/>
  <c r="O251" i="4"/>
  <c r="M258" i="4"/>
  <c r="O258" i="4"/>
  <c r="W200" i="2"/>
  <c r="X203" i="2"/>
  <c r="M277" i="4"/>
  <c r="O277" i="4"/>
  <c r="M240" i="4"/>
  <c r="M245" i="4"/>
  <c r="M235" i="4"/>
  <c r="M244" i="4"/>
  <c r="O244" i="4"/>
  <c r="M246" i="4"/>
  <c r="O246" i="4"/>
  <c r="O234" i="4"/>
  <c r="W215" i="2"/>
  <c r="X215" i="2"/>
  <c r="M253" i="4"/>
  <c r="O253" i="4"/>
  <c r="Y190" i="2"/>
  <c r="X194" i="2"/>
  <c r="M230" i="4"/>
  <c r="M232" i="4"/>
  <c r="O232" i="4"/>
  <c r="M222" i="4"/>
  <c r="O222" i="4"/>
  <c r="M227" i="4"/>
  <c r="O227" i="4"/>
  <c r="X280" i="2"/>
  <c r="W280" i="2"/>
  <c r="O274" i="4"/>
  <c r="X272" i="2"/>
  <c r="W272" i="2"/>
  <c r="M250" i="4"/>
  <c r="O250" i="4"/>
  <c r="M223" i="4"/>
  <c r="O247" i="4"/>
  <c r="W238" i="2"/>
  <c r="C238" i="3"/>
  <c r="M272" i="4"/>
  <c r="O272" i="4"/>
  <c r="W237" i="2"/>
  <c r="C237" i="3"/>
  <c r="M236" i="4"/>
  <c r="O236" i="4"/>
  <c r="M226" i="4"/>
  <c r="Y196" i="2"/>
  <c r="M263" i="4"/>
  <c r="O263" i="4"/>
  <c r="M239" i="4"/>
  <c r="O239" i="4"/>
  <c r="M248" i="4"/>
  <c r="O248" i="4"/>
  <c r="M249" i="4"/>
  <c r="M275" i="4"/>
  <c r="O275" i="4"/>
  <c r="Y217" i="2"/>
  <c r="U210" i="2"/>
  <c r="E210" i="3" s="1"/>
  <c r="X217" i="2"/>
  <c r="X220" i="2"/>
  <c r="X193" i="2"/>
  <c r="W217" i="2"/>
  <c r="C217" i="3"/>
  <c r="X205" i="2"/>
  <c r="C193" i="3"/>
  <c r="W193" i="2"/>
  <c r="W208" i="2"/>
  <c r="W234" i="2"/>
  <c r="C227" i="3"/>
  <c r="U227" i="2"/>
  <c r="E227" i="3" s="1"/>
  <c r="U232" i="2"/>
  <c r="E232" i="3" s="1"/>
  <c r="W205" i="2"/>
  <c r="X190" i="2"/>
  <c r="X238" i="2"/>
  <c r="X237" i="2"/>
  <c r="W236" i="2"/>
  <c r="X236" i="2"/>
  <c r="W228" i="2"/>
  <c r="X228" i="2"/>
  <c r="W220" i="2"/>
  <c r="X206" i="2"/>
  <c r="W206" i="2"/>
  <c r="X214" i="2"/>
  <c r="W214" i="2"/>
  <c r="W218" i="2"/>
  <c r="X218" i="2"/>
  <c r="W191" i="2"/>
  <c r="X191" i="2"/>
  <c r="X210" i="2" l="1"/>
  <c r="W210" i="2"/>
  <c r="X232" i="2"/>
  <c r="W232" i="2"/>
  <c r="W227" i="2"/>
  <c r="X227" i="2"/>
  <c r="E236" i="1"/>
  <c r="E236" i="2" s="1"/>
  <c r="D234" i="1"/>
  <c r="D234" i="2" s="1"/>
  <c r="F233" i="1"/>
  <c r="F233" i="2" s="1"/>
  <c r="E233" i="1"/>
  <c r="E233" i="2" s="1"/>
  <c r="D233" i="1"/>
  <c r="D233" i="2" s="1"/>
  <c r="C233" i="1"/>
  <c r="C233" i="2" s="1"/>
  <c r="K232" i="1"/>
  <c r="F232" i="1"/>
  <c r="F232" i="2" s="1"/>
  <c r="E232" i="1"/>
  <c r="E232" i="2" s="1"/>
  <c r="D232" i="1"/>
  <c r="D232" i="2" s="1"/>
  <c r="C232" i="1"/>
  <c r="C232" i="2" s="1"/>
  <c r="K229" i="1"/>
  <c r="F229" i="1"/>
  <c r="F229" i="2" s="1"/>
  <c r="E229" i="1"/>
  <c r="E229" i="2" s="1"/>
  <c r="D229" i="1"/>
  <c r="D229" i="2" s="1"/>
  <c r="C229" i="1"/>
  <c r="C229" i="2" s="1"/>
  <c r="F228" i="1"/>
  <c r="F228" i="2" s="1"/>
  <c r="E228" i="1"/>
  <c r="E228" i="2" s="1"/>
  <c r="C228" i="1"/>
  <c r="C228" i="2" s="1"/>
  <c r="K227" i="1"/>
  <c r="K226" i="1"/>
  <c r="K224" i="1"/>
  <c r="K222" i="1"/>
  <c r="K216" i="1"/>
  <c r="K212" i="1"/>
  <c r="K210" i="1"/>
  <c r="K209" i="1"/>
  <c r="K204" i="1"/>
  <c r="K202" i="1"/>
  <c r="K199" i="1"/>
  <c r="F197" i="1"/>
  <c r="F197" i="2" s="1"/>
  <c r="K195" i="1"/>
  <c r="K192" i="1"/>
  <c r="F226" i="4" l="1"/>
  <c r="O226" i="4" s="1"/>
  <c r="K195" i="2"/>
  <c r="F235" i="4"/>
  <c r="O235" i="4" s="1"/>
  <c r="K204" i="2"/>
  <c r="F249" i="4"/>
  <c r="O249" i="4" s="1"/>
  <c r="K216" i="2"/>
  <c r="F261" i="4"/>
  <c r="K227" i="2"/>
  <c r="F265" i="4"/>
  <c r="K229" i="2"/>
  <c r="J229" i="2" s="1"/>
  <c r="F240" i="4"/>
  <c r="O240" i="4" s="1"/>
  <c r="K209" i="2"/>
  <c r="F255" i="4"/>
  <c r="O255" i="4" s="1"/>
  <c r="K222" i="2"/>
  <c r="F270" i="4"/>
  <c r="K232" i="2"/>
  <c r="F230" i="4"/>
  <c r="O230" i="4" s="1"/>
  <c r="K199" i="2"/>
  <c r="F242" i="4"/>
  <c r="K210" i="2"/>
  <c r="F257" i="4"/>
  <c r="O257" i="4" s="1"/>
  <c r="K224" i="2"/>
  <c r="F223" i="4"/>
  <c r="O223" i="4" s="1"/>
  <c r="K192" i="2"/>
  <c r="F233" i="4"/>
  <c r="O233" i="4" s="1"/>
  <c r="K202" i="2"/>
  <c r="F245" i="4"/>
  <c r="O245" i="4" s="1"/>
  <c r="K212" i="2"/>
  <c r="F259" i="4"/>
  <c r="O259" i="4" s="1"/>
  <c r="K226" i="2"/>
  <c r="A186" i="4"/>
  <c r="J186" i="4" s="1"/>
  <c r="B186" i="4"/>
  <c r="K186" i="4" s="1"/>
  <c r="C186" i="4"/>
  <c r="L186" i="4" s="1"/>
  <c r="I186" i="4"/>
  <c r="A187" i="4"/>
  <c r="J187" i="4" s="1"/>
  <c r="B187" i="4"/>
  <c r="K187" i="4" s="1"/>
  <c r="C187" i="4"/>
  <c r="L187" i="4" s="1"/>
  <c r="I187" i="4"/>
  <c r="A188" i="4"/>
  <c r="J188" i="4" s="1"/>
  <c r="B188" i="4"/>
  <c r="K188" i="4" s="1"/>
  <c r="C188" i="4"/>
  <c r="L188" i="4" s="1"/>
  <c r="I188" i="4"/>
  <c r="A189" i="4"/>
  <c r="J189" i="4" s="1"/>
  <c r="B189" i="4"/>
  <c r="K189" i="4" s="1"/>
  <c r="C189" i="4"/>
  <c r="L189" i="4" s="1"/>
  <c r="I189" i="4"/>
  <c r="A190" i="4"/>
  <c r="J190" i="4" s="1"/>
  <c r="B190" i="4"/>
  <c r="K190" i="4" s="1"/>
  <c r="C190" i="4"/>
  <c r="L190" i="4" s="1"/>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I198" i="4"/>
  <c r="A199" i="4"/>
  <c r="J199" i="4" s="1"/>
  <c r="B199" i="4"/>
  <c r="K199" i="4" s="1"/>
  <c r="C199" i="4"/>
  <c r="L199" i="4" s="1"/>
  <c r="I199" i="4"/>
  <c r="A200" i="4"/>
  <c r="J200" i="4" s="1"/>
  <c r="B200" i="4"/>
  <c r="K200" i="4" s="1"/>
  <c r="C200" i="4"/>
  <c r="L200" i="4" s="1"/>
  <c r="I200" i="4"/>
  <c r="A201" i="4"/>
  <c r="J201" i="4" s="1"/>
  <c r="B201" i="4"/>
  <c r="K201" i="4" s="1"/>
  <c r="C201" i="4"/>
  <c r="L201" i="4" s="1"/>
  <c r="I201" i="4"/>
  <c r="A202" i="4"/>
  <c r="J202" i="4" s="1"/>
  <c r="B202" i="4"/>
  <c r="K202" i="4" s="1"/>
  <c r="C202" i="4"/>
  <c r="L202" i="4" s="1"/>
  <c r="I202" i="4"/>
  <c r="A203" i="4"/>
  <c r="J203" i="4" s="1"/>
  <c r="B203" i="4"/>
  <c r="K203" i="4" s="1"/>
  <c r="C203" i="4"/>
  <c r="L203" i="4" s="1"/>
  <c r="I203" i="4"/>
  <c r="A204" i="4"/>
  <c r="J204" i="4" s="1"/>
  <c r="B204" i="4"/>
  <c r="K204" i="4" s="1"/>
  <c r="C204" i="4"/>
  <c r="L204" i="4" s="1"/>
  <c r="I204" i="4"/>
  <c r="A205" i="4"/>
  <c r="J205" i="4" s="1"/>
  <c r="B205" i="4"/>
  <c r="K205" i="4" s="1"/>
  <c r="C205" i="4"/>
  <c r="L205" i="4" s="1"/>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I208" i="4"/>
  <c r="A209" i="4"/>
  <c r="J209" i="4" s="1"/>
  <c r="B209" i="4"/>
  <c r="K209" i="4" s="1"/>
  <c r="C209" i="4"/>
  <c r="L209" i="4" s="1"/>
  <c r="F209" i="4"/>
  <c r="I209" i="4"/>
  <c r="A210" i="4"/>
  <c r="J210" i="4" s="1"/>
  <c r="B210" i="4"/>
  <c r="K210" i="4" s="1"/>
  <c r="C210" i="4"/>
  <c r="L210" i="4" s="1"/>
  <c r="I210" i="4"/>
  <c r="A211" i="4"/>
  <c r="J211" i="4" s="1"/>
  <c r="B211" i="4"/>
  <c r="K211" i="4" s="1"/>
  <c r="C211" i="4"/>
  <c r="L211" i="4" s="1"/>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I160" i="4"/>
  <c r="A161" i="4"/>
  <c r="J161" i="4" s="1"/>
  <c r="B161" i="4"/>
  <c r="K161" i="4" s="1"/>
  <c r="C161" i="4"/>
  <c r="L161" i="4" s="1"/>
  <c r="I161" i="4"/>
  <c r="A162" i="4"/>
  <c r="J162" i="4" s="1"/>
  <c r="B162" i="4"/>
  <c r="K162" i="4" s="1"/>
  <c r="C162" i="4"/>
  <c r="L162" i="4" s="1"/>
  <c r="F162" i="4"/>
  <c r="I162" i="4"/>
  <c r="A163" i="4"/>
  <c r="J163" i="4" s="1"/>
  <c r="B163" i="4"/>
  <c r="K163" i="4" s="1"/>
  <c r="C163" i="4"/>
  <c r="L163" i="4" s="1"/>
  <c r="I163" i="4"/>
  <c r="A164" i="4"/>
  <c r="J164" i="4" s="1"/>
  <c r="B164" i="4"/>
  <c r="K164" i="4" s="1"/>
  <c r="C164" i="4"/>
  <c r="L164" i="4" s="1"/>
  <c r="I164" i="4"/>
  <c r="A165" i="4"/>
  <c r="J165" i="4" s="1"/>
  <c r="B165" i="4"/>
  <c r="K165" i="4" s="1"/>
  <c r="C165" i="4"/>
  <c r="L165" i="4" s="1"/>
  <c r="I165" i="4"/>
  <c r="A166" i="4"/>
  <c r="J166" i="4" s="1"/>
  <c r="B166" i="4"/>
  <c r="K166" i="4" s="1"/>
  <c r="C166" i="4"/>
  <c r="L166" i="4" s="1"/>
  <c r="I166" i="4"/>
  <c r="A167" i="4"/>
  <c r="J167" i="4" s="1"/>
  <c r="B167" i="4"/>
  <c r="K167" i="4" s="1"/>
  <c r="C167" i="4"/>
  <c r="L167" i="4" s="1"/>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I174" i="4"/>
  <c r="A175" i="4"/>
  <c r="J175" i="4" s="1"/>
  <c r="B175" i="4"/>
  <c r="K175" i="4" s="1"/>
  <c r="C175" i="4"/>
  <c r="L175" i="4" s="1"/>
  <c r="I175" i="4"/>
  <c r="A176" i="4"/>
  <c r="J176" i="4" s="1"/>
  <c r="B176" i="4"/>
  <c r="K176" i="4" s="1"/>
  <c r="C176" i="4"/>
  <c r="L176" i="4" s="1"/>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I179" i="4"/>
  <c r="A180" i="4"/>
  <c r="J180" i="4" s="1"/>
  <c r="B180" i="4"/>
  <c r="K180" i="4" s="1"/>
  <c r="C180" i="4"/>
  <c r="L180" i="4" s="1"/>
  <c r="I180" i="4"/>
  <c r="A181" i="4"/>
  <c r="J181" i="4" s="1"/>
  <c r="B181" i="4"/>
  <c r="K181" i="4" s="1"/>
  <c r="C181" i="4"/>
  <c r="L181" i="4" s="1"/>
  <c r="I181" i="4"/>
  <c r="A182" i="4"/>
  <c r="J182" i="4" s="1"/>
  <c r="B182" i="4"/>
  <c r="K182" i="4" s="1"/>
  <c r="C182" i="4"/>
  <c r="L182" i="4" s="1"/>
  <c r="I182" i="4"/>
  <c r="A183" i="4"/>
  <c r="J183" i="4" s="1"/>
  <c r="B183" i="4"/>
  <c r="K183" i="4" s="1"/>
  <c r="C183" i="4"/>
  <c r="L183" i="4" s="1"/>
  <c r="I183" i="4"/>
  <c r="A184" i="4"/>
  <c r="J184" i="4" s="1"/>
  <c r="B184" i="4"/>
  <c r="K184" i="4" s="1"/>
  <c r="C184" i="4"/>
  <c r="L184" i="4" s="1"/>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E219" i="4"/>
  <c r="S123" i="2"/>
  <c r="E151" i="4"/>
  <c r="N151" i="4" s="1"/>
  <c r="A181" i="2"/>
  <c r="A181" i="3" s="1"/>
  <c r="B181" i="2"/>
  <c r="B181" i="3" s="1"/>
  <c r="C181" i="2"/>
  <c r="D181" i="2"/>
  <c r="E181" i="2"/>
  <c r="F181" i="2"/>
  <c r="D211" i="4"/>
  <c r="M211" i="4" s="1"/>
  <c r="T181" i="2"/>
  <c r="D181" i="3" s="1"/>
  <c r="L181" i="2"/>
  <c r="M181" i="2"/>
  <c r="N181" i="2"/>
  <c r="P181" i="2"/>
  <c r="H211" i="4" s="1"/>
  <c r="P211" i="4" s="1"/>
  <c r="R181" i="2"/>
  <c r="A182" i="2"/>
  <c r="A182" i="3" s="1"/>
  <c r="B182" i="2"/>
  <c r="B182" i="3" s="1"/>
  <c r="C182" i="2"/>
  <c r="D182" i="2"/>
  <c r="E182" i="2"/>
  <c r="F182" i="2"/>
  <c r="D212" i="4"/>
  <c r="M212" i="4" s="1"/>
  <c r="T182" i="2"/>
  <c r="D182" i="3" s="1"/>
  <c r="K182" i="2"/>
  <c r="L182" i="2"/>
  <c r="M182" i="2"/>
  <c r="N182" i="2"/>
  <c r="P182" i="2"/>
  <c r="H212" i="4" s="1"/>
  <c r="P212" i="4" s="1"/>
  <c r="A183" i="2"/>
  <c r="A183" i="3" s="1"/>
  <c r="B183" i="2"/>
  <c r="B183" i="3" s="1"/>
  <c r="C183" i="2"/>
  <c r="D183" i="2"/>
  <c r="E183" i="2"/>
  <c r="F183" i="2"/>
  <c r="T183" i="2"/>
  <c r="D183" i="3" s="1"/>
  <c r="K183" i="2"/>
  <c r="C183" i="3" s="1"/>
  <c r="L183" i="2"/>
  <c r="M183" i="2"/>
  <c r="N183" i="2"/>
  <c r="P183" i="2"/>
  <c r="H213" i="4" s="1"/>
  <c r="P213" i="4" s="1"/>
  <c r="A184" i="2"/>
  <c r="A184" i="3" s="1"/>
  <c r="B184" i="2"/>
  <c r="B184" i="3" s="1"/>
  <c r="C184" i="2"/>
  <c r="D184" i="2"/>
  <c r="E184" i="2"/>
  <c r="F184" i="2"/>
  <c r="R184" i="2"/>
  <c r="T184" i="2"/>
  <c r="D184" i="3" s="1"/>
  <c r="K184" i="2"/>
  <c r="L184" i="2"/>
  <c r="M184" i="2"/>
  <c r="N184" i="2"/>
  <c r="P184" i="2"/>
  <c r="H214" i="4" s="1"/>
  <c r="P214" i="4" s="1"/>
  <c r="A185" i="2"/>
  <c r="A185" i="3" s="1"/>
  <c r="B185" i="2"/>
  <c r="B185" i="3" s="1"/>
  <c r="C185" i="2"/>
  <c r="D185" i="2"/>
  <c r="E185" i="2"/>
  <c r="F185" i="2"/>
  <c r="D215" i="4"/>
  <c r="M215" i="4" s="1"/>
  <c r="T185" i="2"/>
  <c r="D185" i="3" s="1"/>
  <c r="L185" i="2"/>
  <c r="M185" i="2"/>
  <c r="N185" i="2"/>
  <c r="P185" i="2"/>
  <c r="H215" i="4" s="1"/>
  <c r="P215" i="4" s="1"/>
  <c r="A186" i="2"/>
  <c r="A186" i="3" s="1"/>
  <c r="B186" i="2"/>
  <c r="B186" i="3" s="1"/>
  <c r="C186" i="2"/>
  <c r="D186" i="2"/>
  <c r="E186" i="2"/>
  <c r="F186" i="2"/>
  <c r="D216" i="4"/>
  <c r="L186" i="2"/>
  <c r="M186" i="2"/>
  <c r="N186" i="2"/>
  <c r="G216" i="4" s="1"/>
  <c r="P186" i="2"/>
  <c r="H216" i="4" s="1"/>
  <c r="P216" i="4" s="1"/>
  <c r="A187" i="2"/>
  <c r="A187" i="3" s="1"/>
  <c r="B187" i="2"/>
  <c r="B187" i="3" s="1"/>
  <c r="C187" i="2"/>
  <c r="D187" i="2"/>
  <c r="E187" i="2"/>
  <c r="F187" i="2"/>
  <c r="K187" i="2"/>
  <c r="J187" i="2" s="1"/>
  <c r="L187" i="2"/>
  <c r="M187" i="2"/>
  <c r="N187" i="2"/>
  <c r="P187" i="2"/>
  <c r="A188" i="2"/>
  <c r="A188" i="3" s="1"/>
  <c r="B188" i="2"/>
  <c r="B188" i="3" s="1"/>
  <c r="C188" i="2"/>
  <c r="D188" i="2"/>
  <c r="E188" i="2"/>
  <c r="F188" i="2"/>
  <c r="D218" i="4"/>
  <c r="K188" i="2"/>
  <c r="J188" i="2" s="1"/>
  <c r="L188" i="2"/>
  <c r="M188" i="2"/>
  <c r="N188" i="2"/>
  <c r="G218" i="4" s="1"/>
  <c r="P188" i="2"/>
  <c r="H218" i="4" s="1"/>
  <c r="P218" i="4" s="1"/>
  <c r="A189" i="2"/>
  <c r="A189" i="3" s="1"/>
  <c r="B189" i="2"/>
  <c r="B189" i="3" s="1"/>
  <c r="C189" i="2"/>
  <c r="D189" i="2"/>
  <c r="E189" i="2"/>
  <c r="F189" i="2"/>
  <c r="D219" i="4"/>
  <c r="K189" i="2"/>
  <c r="J189" i="2" s="1"/>
  <c r="L189" i="2"/>
  <c r="M189" i="2"/>
  <c r="N189" i="2"/>
  <c r="G219" i="4" s="1"/>
  <c r="P189" i="2"/>
  <c r="H219" i="4" s="1"/>
  <c r="P219" i="4" s="1"/>
  <c r="A170" i="2"/>
  <c r="A170" i="3" s="1"/>
  <c r="B170" i="2"/>
  <c r="B170" i="3" s="1"/>
  <c r="C170" i="2"/>
  <c r="D170" i="2"/>
  <c r="E170" i="2"/>
  <c r="F170" i="2"/>
  <c r="D200" i="4"/>
  <c r="M200" i="4" s="1"/>
  <c r="T170" i="2"/>
  <c r="D170" i="3" s="1"/>
  <c r="L170" i="2"/>
  <c r="M170" i="2"/>
  <c r="N170" i="2"/>
  <c r="P170" i="2"/>
  <c r="H200" i="4" s="1"/>
  <c r="P200" i="4" s="1"/>
  <c r="A171" i="2"/>
  <c r="A171" i="3" s="1"/>
  <c r="B171" i="2"/>
  <c r="B171" i="3" s="1"/>
  <c r="C171" i="2"/>
  <c r="D171" i="2"/>
  <c r="E171" i="2"/>
  <c r="F171" i="2"/>
  <c r="D201" i="4"/>
  <c r="M201" i="4" s="1"/>
  <c r="T171" i="2"/>
  <c r="D171" i="3" s="1"/>
  <c r="L171" i="2"/>
  <c r="M171" i="2"/>
  <c r="N171" i="2"/>
  <c r="P171" i="2"/>
  <c r="H201" i="4" s="1"/>
  <c r="P201" i="4" s="1"/>
  <c r="S171" i="2"/>
  <c r="A172" i="2"/>
  <c r="A172" i="3" s="1"/>
  <c r="B172" i="2"/>
  <c r="B172" i="3" s="1"/>
  <c r="C172" i="2"/>
  <c r="D172" i="2"/>
  <c r="F172" i="2"/>
  <c r="D202" i="4"/>
  <c r="M202" i="4" s="1"/>
  <c r="T172" i="2"/>
  <c r="D172" i="3" s="1"/>
  <c r="L172" i="2"/>
  <c r="M172" i="2"/>
  <c r="N172" i="2"/>
  <c r="P172" i="2"/>
  <c r="H202" i="4" s="1"/>
  <c r="P202" i="4" s="1"/>
  <c r="A173" i="2"/>
  <c r="A173" i="3" s="1"/>
  <c r="B173" i="2"/>
  <c r="B173" i="3" s="1"/>
  <c r="C173" i="2"/>
  <c r="D173" i="2"/>
  <c r="E173" i="2"/>
  <c r="F173" i="2"/>
  <c r="T173" i="2"/>
  <c r="D173" i="3" s="1"/>
  <c r="L173" i="2"/>
  <c r="M173" i="2"/>
  <c r="N173" i="2"/>
  <c r="P173" i="2"/>
  <c r="H203" i="4" s="1"/>
  <c r="P203" i="4" s="1"/>
  <c r="A174" i="2"/>
  <c r="A174" i="3" s="1"/>
  <c r="B174" i="2"/>
  <c r="B174" i="3" s="1"/>
  <c r="C174" i="2"/>
  <c r="D174" i="2"/>
  <c r="E174" i="2"/>
  <c r="F174" i="2"/>
  <c r="D204" i="4"/>
  <c r="M204" i="4" s="1"/>
  <c r="T174" i="2"/>
  <c r="D174" i="3" s="1"/>
  <c r="L174" i="2"/>
  <c r="M174" i="2"/>
  <c r="N174" i="2"/>
  <c r="P174" i="2"/>
  <c r="H204" i="4" s="1"/>
  <c r="P204" i="4" s="1"/>
  <c r="A175" i="2"/>
  <c r="A175" i="3" s="1"/>
  <c r="B175" i="2"/>
  <c r="B175" i="3" s="1"/>
  <c r="C175" i="2"/>
  <c r="D175" i="2"/>
  <c r="E175" i="2"/>
  <c r="F175" i="2"/>
  <c r="T175" i="2"/>
  <c r="D175" i="3" s="1"/>
  <c r="L175" i="2"/>
  <c r="M175" i="2"/>
  <c r="N175" i="2"/>
  <c r="P175" i="2"/>
  <c r="H205" i="4" s="1"/>
  <c r="P205" i="4" s="1"/>
  <c r="S175" i="2"/>
  <c r="A176" i="2"/>
  <c r="A176" i="3" s="1"/>
  <c r="B176" i="2"/>
  <c r="B176" i="3" s="1"/>
  <c r="C176" i="2"/>
  <c r="D176" i="2"/>
  <c r="E176" i="2"/>
  <c r="F176" i="2"/>
  <c r="D206" i="4"/>
  <c r="M206" i="4" s="1"/>
  <c r="K176" i="2"/>
  <c r="L176" i="2"/>
  <c r="M176" i="2"/>
  <c r="N176" i="2"/>
  <c r="P176" i="2"/>
  <c r="H206" i="4" s="1"/>
  <c r="P206" i="4" s="1"/>
  <c r="T176" i="2"/>
  <c r="D176" i="3" s="1"/>
  <c r="A177" i="2"/>
  <c r="A177" i="3" s="1"/>
  <c r="B177" i="2"/>
  <c r="B177" i="3" s="1"/>
  <c r="C177" i="2"/>
  <c r="D177" i="2"/>
  <c r="E177" i="2"/>
  <c r="F177" i="2"/>
  <c r="D207" i="4"/>
  <c r="M207" i="4" s="1"/>
  <c r="T177" i="2"/>
  <c r="D177" i="3" s="1"/>
  <c r="K177" i="2"/>
  <c r="L177" i="2"/>
  <c r="M177" i="2"/>
  <c r="N177" i="2"/>
  <c r="P177" i="2"/>
  <c r="H207" i="4" s="1"/>
  <c r="P207" i="4" s="1"/>
  <c r="R177" i="2"/>
  <c r="A178" i="2"/>
  <c r="A178" i="3" s="1"/>
  <c r="B178" i="2"/>
  <c r="B178" i="3" s="1"/>
  <c r="C178" i="2"/>
  <c r="D178" i="2"/>
  <c r="E178" i="2"/>
  <c r="F178" i="2"/>
  <c r="D208" i="4"/>
  <c r="M208" i="4" s="1"/>
  <c r="L178" i="2"/>
  <c r="M178" i="2"/>
  <c r="N178" i="2"/>
  <c r="P178" i="2"/>
  <c r="H208" i="4" s="1"/>
  <c r="P208" i="4" s="1"/>
  <c r="R178" i="2"/>
  <c r="Y178" i="2" s="1"/>
  <c r="T178" i="2"/>
  <c r="D178" i="3" s="1"/>
  <c r="A179" i="2"/>
  <c r="A179" i="3" s="1"/>
  <c r="B179" i="2"/>
  <c r="B179" i="3" s="1"/>
  <c r="C179" i="2"/>
  <c r="D179" i="2"/>
  <c r="E179" i="2"/>
  <c r="F179" i="2"/>
  <c r="D209" i="4"/>
  <c r="M209" i="4" s="1"/>
  <c r="T179" i="2"/>
  <c r="D179" i="3" s="1"/>
  <c r="K179" i="2"/>
  <c r="L179" i="2"/>
  <c r="M179" i="2"/>
  <c r="N179" i="2"/>
  <c r="P179" i="2"/>
  <c r="H209" i="4" s="1"/>
  <c r="P209" i="4" s="1"/>
  <c r="R179" i="2"/>
  <c r="S179" i="2"/>
  <c r="A180" i="2"/>
  <c r="A180" i="3" s="1"/>
  <c r="B180" i="2"/>
  <c r="B180" i="3" s="1"/>
  <c r="C180" i="2"/>
  <c r="D180" i="2"/>
  <c r="E180" i="2"/>
  <c r="F180" i="2"/>
  <c r="D210" i="4"/>
  <c r="M210" i="4" s="1"/>
  <c r="T180" i="2"/>
  <c r="D180" i="3" s="1"/>
  <c r="L180" i="2"/>
  <c r="M180" i="2"/>
  <c r="N180" i="2"/>
  <c r="P180" i="2"/>
  <c r="H210" i="4" s="1"/>
  <c r="P210" i="4" s="1"/>
  <c r="R180" i="2"/>
  <c r="Y180" i="2" s="1"/>
  <c r="A162" i="2"/>
  <c r="A162" i="3" s="1"/>
  <c r="B162" i="2"/>
  <c r="B162" i="3" s="1"/>
  <c r="C162" i="2"/>
  <c r="D162" i="2"/>
  <c r="E162" i="2"/>
  <c r="F162" i="2"/>
  <c r="D191" i="4"/>
  <c r="K162" i="2"/>
  <c r="J162" i="2" s="1"/>
  <c r="L162" i="2"/>
  <c r="M162" i="2"/>
  <c r="N162" i="2"/>
  <c r="G191" i="4" s="1"/>
  <c r="P162" i="2"/>
  <c r="H191" i="4" s="1"/>
  <c r="P191" i="4" s="1"/>
  <c r="A163" i="2"/>
  <c r="A163" i="3" s="1"/>
  <c r="B163" i="2"/>
  <c r="B163" i="3" s="1"/>
  <c r="C163" i="2"/>
  <c r="D163" i="2"/>
  <c r="E163" i="2"/>
  <c r="F163" i="2"/>
  <c r="K163" i="2"/>
  <c r="J163" i="2" s="1"/>
  <c r="L163" i="2"/>
  <c r="M163" i="2"/>
  <c r="N163" i="2"/>
  <c r="P163" i="2"/>
  <c r="A164" i="2"/>
  <c r="A164" i="3" s="1"/>
  <c r="B164" i="2"/>
  <c r="B164" i="3" s="1"/>
  <c r="C164" i="2"/>
  <c r="D164" i="2"/>
  <c r="E164" i="2"/>
  <c r="F164" i="2"/>
  <c r="D193" i="4"/>
  <c r="K164" i="2"/>
  <c r="J164" i="2" s="1"/>
  <c r="L164" i="2"/>
  <c r="M164" i="2"/>
  <c r="N164" i="2"/>
  <c r="G193" i="4" s="1"/>
  <c r="P164" i="2"/>
  <c r="H193" i="4" s="1"/>
  <c r="P193" i="4" s="1"/>
  <c r="A165" i="2"/>
  <c r="A165" i="3" s="1"/>
  <c r="B165" i="2"/>
  <c r="B165" i="3" s="1"/>
  <c r="C165" i="2"/>
  <c r="D165" i="2"/>
  <c r="E165" i="2"/>
  <c r="F165" i="2"/>
  <c r="D195" i="4"/>
  <c r="M195" i="4" s="1"/>
  <c r="T165" i="2"/>
  <c r="D165" i="3" s="1"/>
  <c r="K165" i="2"/>
  <c r="L165" i="2"/>
  <c r="M165" i="2"/>
  <c r="N165" i="2"/>
  <c r="P165" i="2"/>
  <c r="H195" i="4" s="1"/>
  <c r="P195" i="4" s="1"/>
  <c r="R165" i="2"/>
  <c r="A166" i="2"/>
  <c r="A166" i="3" s="1"/>
  <c r="B166" i="2"/>
  <c r="B166" i="3" s="1"/>
  <c r="C166" i="2"/>
  <c r="D166" i="2"/>
  <c r="E166" i="2"/>
  <c r="F166" i="2"/>
  <c r="D196" i="4"/>
  <c r="M196" i="4" s="1"/>
  <c r="T166" i="2"/>
  <c r="D166" i="3" s="1"/>
  <c r="K166" i="2"/>
  <c r="L166" i="2"/>
  <c r="M166" i="2"/>
  <c r="N166" i="2"/>
  <c r="P166" i="2"/>
  <c r="H196" i="4" s="1"/>
  <c r="P196" i="4" s="1"/>
  <c r="R166" i="2"/>
  <c r="Y166" i="2" s="1"/>
  <c r="S166" i="2"/>
  <c r="A167" i="2"/>
  <c r="A167" i="3" s="1"/>
  <c r="B167" i="2"/>
  <c r="B167" i="3" s="1"/>
  <c r="C167" i="2"/>
  <c r="D167" i="2"/>
  <c r="E167" i="2"/>
  <c r="F167" i="2"/>
  <c r="D197" i="4"/>
  <c r="M197" i="4" s="1"/>
  <c r="T167" i="2"/>
  <c r="D167" i="3" s="1"/>
  <c r="K167" i="2"/>
  <c r="L167" i="2"/>
  <c r="M167" i="2"/>
  <c r="N167" i="2"/>
  <c r="P167" i="2"/>
  <c r="H197" i="4" s="1"/>
  <c r="P197" i="4" s="1"/>
  <c r="R167" i="2"/>
  <c r="S167" i="2"/>
  <c r="A168" i="2"/>
  <c r="A168" i="3" s="1"/>
  <c r="B168" i="2"/>
  <c r="B168" i="3" s="1"/>
  <c r="C168" i="2"/>
  <c r="D168" i="2"/>
  <c r="E168" i="2"/>
  <c r="F168" i="2"/>
  <c r="D198" i="4"/>
  <c r="M198" i="4" s="1"/>
  <c r="T168" i="2"/>
  <c r="D168" i="3" s="1"/>
  <c r="L168" i="2"/>
  <c r="M168" i="2"/>
  <c r="N168" i="2"/>
  <c r="P168" i="2"/>
  <c r="H198" i="4" s="1"/>
  <c r="P198" i="4" s="1"/>
  <c r="R168" i="2"/>
  <c r="Y168" i="2" s="1"/>
  <c r="A169" i="2"/>
  <c r="A169" i="3" s="1"/>
  <c r="B169" i="2"/>
  <c r="B169" i="3" s="1"/>
  <c r="C169" i="2"/>
  <c r="D169" i="2"/>
  <c r="E169" i="2"/>
  <c r="F169" i="2"/>
  <c r="D199" i="4"/>
  <c r="M199" i="4" s="1"/>
  <c r="T169" i="2"/>
  <c r="D169" i="3" s="1"/>
  <c r="L169" i="2"/>
  <c r="M169" i="2"/>
  <c r="N169" i="2"/>
  <c r="P169" i="2"/>
  <c r="H199" i="4" s="1"/>
  <c r="P199" i="4" s="1"/>
  <c r="A131" i="2"/>
  <c r="A131" i="3" s="1"/>
  <c r="B131" i="2"/>
  <c r="B131" i="3" s="1"/>
  <c r="C131" i="2"/>
  <c r="D131" i="2"/>
  <c r="E131" i="2"/>
  <c r="F131" i="2"/>
  <c r="D158" i="4"/>
  <c r="M158" i="4" s="1"/>
  <c r="T131" i="2"/>
  <c r="D131" i="3" s="1"/>
  <c r="K131" i="2"/>
  <c r="L131" i="2"/>
  <c r="M131" i="2"/>
  <c r="N131" i="2"/>
  <c r="P131" i="2"/>
  <c r="H158" i="4" s="1"/>
  <c r="P158" i="4" s="1"/>
  <c r="S131" i="2"/>
  <c r="A132" i="2"/>
  <c r="A132" i="3" s="1"/>
  <c r="B132" i="2"/>
  <c r="B132" i="3" s="1"/>
  <c r="C132" i="2"/>
  <c r="D132" i="2"/>
  <c r="E132" i="2"/>
  <c r="F132" i="2"/>
  <c r="D159" i="4"/>
  <c r="M159" i="4" s="1"/>
  <c r="T132" i="2"/>
  <c r="D132" i="3" s="1"/>
  <c r="K132" i="2"/>
  <c r="L132" i="2"/>
  <c r="M132" i="2"/>
  <c r="N132" i="2"/>
  <c r="P132" i="2"/>
  <c r="H159" i="4" s="1"/>
  <c r="P159" i="4" s="1"/>
  <c r="A133" i="2"/>
  <c r="A133" i="3" s="1"/>
  <c r="B133" i="2"/>
  <c r="B133" i="3" s="1"/>
  <c r="C133" i="2"/>
  <c r="D133" i="2"/>
  <c r="E133" i="2"/>
  <c r="F133" i="2"/>
  <c r="D160" i="4"/>
  <c r="M160" i="4" s="1"/>
  <c r="T133" i="2"/>
  <c r="D133" i="3" s="1"/>
  <c r="L133" i="2"/>
  <c r="M133" i="2"/>
  <c r="N133" i="2"/>
  <c r="P133" i="2"/>
  <c r="H160" i="4" s="1"/>
  <c r="P160" i="4" s="1"/>
  <c r="A134" i="2"/>
  <c r="A134" i="3" s="1"/>
  <c r="B134" i="2"/>
  <c r="B134" i="3" s="1"/>
  <c r="C134" i="2"/>
  <c r="D161" i="4"/>
  <c r="M161" i="4" s="1"/>
  <c r="T134" i="2"/>
  <c r="D134" i="3" s="1"/>
  <c r="L134" i="2"/>
  <c r="M134" i="2"/>
  <c r="N134" i="2"/>
  <c r="P134" i="2"/>
  <c r="H161" i="4" s="1"/>
  <c r="P161" i="4" s="1"/>
  <c r="A135" i="2"/>
  <c r="A135" i="3" s="1"/>
  <c r="B135" i="2"/>
  <c r="B135" i="3" s="1"/>
  <c r="C135" i="2"/>
  <c r="D135" i="2"/>
  <c r="E135" i="2"/>
  <c r="F135" i="2"/>
  <c r="D162" i="4"/>
  <c r="M162" i="4" s="1"/>
  <c r="T135" i="2"/>
  <c r="D135" i="3" s="1"/>
  <c r="K135" i="2"/>
  <c r="L135" i="2"/>
  <c r="M135" i="2"/>
  <c r="N135" i="2"/>
  <c r="P135" i="2"/>
  <c r="H162" i="4" s="1"/>
  <c r="P162" i="4" s="1"/>
  <c r="S135" i="2"/>
  <c r="A136" i="2"/>
  <c r="A136" i="3" s="1"/>
  <c r="B136" i="2"/>
  <c r="B136" i="3" s="1"/>
  <c r="C136" i="2"/>
  <c r="D136" i="2"/>
  <c r="E136" i="2"/>
  <c r="F136" i="2"/>
  <c r="D163" i="4"/>
  <c r="M163" i="4" s="1"/>
  <c r="T136" i="2"/>
  <c r="D136" i="3" s="1"/>
  <c r="L136" i="2"/>
  <c r="M136" i="2"/>
  <c r="N136" i="2"/>
  <c r="P136" i="2"/>
  <c r="H163" i="4" s="1"/>
  <c r="P163" i="4" s="1"/>
  <c r="A137" i="2"/>
  <c r="A137" i="3" s="1"/>
  <c r="B137" i="2"/>
  <c r="B137" i="3" s="1"/>
  <c r="C137" i="2"/>
  <c r="D137" i="2"/>
  <c r="E137" i="2"/>
  <c r="F137" i="2"/>
  <c r="D164" i="4"/>
  <c r="M164" i="4" s="1"/>
  <c r="T137" i="2"/>
  <c r="D137" i="3" s="1"/>
  <c r="L137" i="2"/>
  <c r="M137" i="2"/>
  <c r="N137" i="2"/>
  <c r="P137" i="2"/>
  <c r="H164" i="4" s="1"/>
  <c r="P164" i="4" s="1"/>
  <c r="A138" i="2"/>
  <c r="A138" i="3" s="1"/>
  <c r="B138" i="2"/>
  <c r="B138" i="3" s="1"/>
  <c r="C138" i="2"/>
  <c r="D138" i="2"/>
  <c r="E138" i="2"/>
  <c r="F138" i="2"/>
  <c r="D165" i="4"/>
  <c r="M165" i="4" s="1"/>
  <c r="T138" i="2"/>
  <c r="D138" i="3" s="1"/>
  <c r="L138" i="2"/>
  <c r="M138" i="2"/>
  <c r="N138" i="2"/>
  <c r="P138" i="2"/>
  <c r="H165" i="4" s="1"/>
  <c r="P165" i="4" s="1"/>
  <c r="A139" i="2"/>
  <c r="A139" i="3" s="1"/>
  <c r="B139" i="2"/>
  <c r="B139" i="3" s="1"/>
  <c r="C139" i="2"/>
  <c r="D139" i="2"/>
  <c r="E139" i="2"/>
  <c r="F139" i="2"/>
  <c r="D166" i="4"/>
  <c r="M166" i="4" s="1"/>
  <c r="T139" i="2"/>
  <c r="D139" i="3" s="1"/>
  <c r="L139" i="2"/>
  <c r="M139" i="2"/>
  <c r="N139" i="2"/>
  <c r="P139" i="2"/>
  <c r="H166" i="4" s="1"/>
  <c r="P166" i="4" s="1"/>
  <c r="S139" i="2"/>
  <c r="A140" i="2"/>
  <c r="A140" i="3" s="1"/>
  <c r="B140" i="2"/>
  <c r="B140" i="3" s="1"/>
  <c r="C140" i="2"/>
  <c r="D140" i="2"/>
  <c r="E140" i="2"/>
  <c r="F140" i="2"/>
  <c r="D167" i="4"/>
  <c r="M167" i="4" s="1"/>
  <c r="T140" i="2"/>
  <c r="D140" i="3" s="1"/>
  <c r="L140" i="2"/>
  <c r="M140" i="2"/>
  <c r="N140" i="2"/>
  <c r="P140" i="2"/>
  <c r="H167" i="4" s="1"/>
  <c r="P167" i="4" s="1"/>
  <c r="A141" i="2"/>
  <c r="A141" i="3" s="1"/>
  <c r="B141" i="2"/>
  <c r="B141" i="3" s="1"/>
  <c r="C141" i="2"/>
  <c r="D141" i="2"/>
  <c r="F141" i="2"/>
  <c r="D169" i="4"/>
  <c r="M169" i="4" s="1"/>
  <c r="T141" i="2"/>
  <c r="D141" i="3" s="1"/>
  <c r="K141" i="2"/>
  <c r="L141" i="2"/>
  <c r="M141" i="2"/>
  <c r="N141" i="2"/>
  <c r="P141" i="2"/>
  <c r="H169" i="4" s="1"/>
  <c r="P169" i="4" s="1"/>
  <c r="R141" i="2"/>
  <c r="Y141" i="2" s="1"/>
  <c r="A142" i="2"/>
  <c r="A142" i="3" s="1"/>
  <c r="B142" i="2"/>
  <c r="B142" i="3" s="1"/>
  <c r="C142" i="2"/>
  <c r="D142" i="2"/>
  <c r="E142" i="2"/>
  <c r="F142" i="2"/>
  <c r="D170" i="4"/>
  <c r="K142" i="2"/>
  <c r="J142" i="2" s="1"/>
  <c r="L142" i="2"/>
  <c r="M142" i="2"/>
  <c r="N142" i="2"/>
  <c r="G170" i="4" s="1"/>
  <c r="P142" i="2"/>
  <c r="H170" i="4" s="1"/>
  <c r="P170" i="4" s="1"/>
  <c r="A143" i="2"/>
  <c r="A143" i="3" s="1"/>
  <c r="B143" i="2"/>
  <c r="B143" i="3" s="1"/>
  <c r="C143" i="2"/>
  <c r="D143" i="2"/>
  <c r="E143" i="2"/>
  <c r="F143" i="2"/>
  <c r="K143" i="2"/>
  <c r="J143" i="2" s="1"/>
  <c r="L143" i="2"/>
  <c r="M143" i="2"/>
  <c r="N143" i="2"/>
  <c r="P143" i="2"/>
  <c r="A144" i="2"/>
  <c r="A144" i="3" s="1"/>
  <c r="B144" i="2"/>
  <c r="B144" i="3" s="1"/>
  <c r="C144" i="2"/>
  <c r="D144" i="2"/>
  <c r="E144" i="2"/>
  <c r="F144" i="2"/>
  <c r="D172" i="4"/>
  <c r="K144" i="2"/>
  <c r="J144" i="2" s="1"/>
  <c r="L144" i="2"/>
  <c r="M144" i="2"/>
  <c r="N144" i="2"/>
  <c r="G172" i="4" s="1"/>
  <c r="P144" i="2"/>
  <c r="H172" i="4" s="1"/>
  <c r="P172" i="4" s="1"/>
  <c r="A145" i="2"/>
  <c r="A145" i="3" s="1"/>
  <c r="B145" i="2"/>
  <c r="B145" i="3" s="1"/>
  <c r="C145" i="2"/>
  <c r="D145" i="2"/>
  <c r="E145" i="2"/>
  <c r="F145" i="2"/>
  <c r="D174" i="4"/>
  <c r="M174" i="4" s="1"/>
  <c r="L145" i="2"/>
  <c r="M145" i="2"/>
  <c r="N145" i="2"/>
  <c r="P145" i="2"/>
  <c r="H174" i="4" s="1"/>
  <c r="P174" i="4" s="1"/>
  <c r="T145" i="2"/>
  <c r="D145" i="3" s="1"/>
  <c r="A146" i="2"/>
  <c r="A146" i="3" s="1"/>
  <c r="B146" i="2"/>
  <c r="B146" i="3" s="1"/>
  <c r="C146" i="2"/>
  <c r="D146" i="2"/>
  <c r="E146" i="2"/>
  <c r="F146" i="2"/>
  <c r="D175" i="4"/>
  <c r="M175" i="4" s="1"/>
  <c r="T146" i="2"/>
  <c r="D146" i="3" s="1"/>
  <c r="L146" i="2"/>
  <c r="M146" i="2"/>
  <c r="N146" i="2"/>
  <c r="P146" i="2"/>
  <c r="H175" i="4" s="1"/>
  <c r="P175" i="4" s="1"/>
  <c r="A147" i="2"/>
  <c r="A147" i="3" s="1"/>
  <c r="B147" i="2"/>
  <c r="B147" i="3" s="1"/>
  <c r="D176" i="4"/>
  <c r="M176" i="4" s="1"/>
  <c r="T147" i="2"/>
  <c r="D147" i="3" s="1"/>
  <c r="L147" i="2"/>
  <c r="M147" i="2"/>
  <c r="N147" i="2"/>
  <c r="P147" i="2"/>
  <c r="H176" i="4" s="1"/>
  <c r="P176" i="4" s="1"/>
  <c r="S147" i="2"/>
  <c r="A148" i="2"/>
  <c r="A148" i="3" s="1"/>
  <c r="B148" i="2"/>
  <c r="B148" i="3" s="1"/>
  <c r="C148" i="2"/>
  <c r="D148" i="2"/>
  <c r="E148" i="2"/>
  <c r="F148" i="2"/>
  <c r="D177" i="4"/>
  <c r="M177" i="4" s="1"/>
  <c r="T148" i="2"/>
  <c r="D148" i="3" s="1"/>
  <c r="K148" i="2"/>
  <c r="L148" i="2"/>
  <c r="M148" i="2"/>
  <c r="N148" i="2"/>
  <c r="P148" i="2"/>
  <c r="H177" i="4" s="1"/>
  <c r="P177" i="4" s="1"/>
  <c r="A149" i="2"/>
  <c r="A149" i="3" s="1"/>
  <c r="B149" i="2"/>
  <c r="B149" i="3" s="1"/>
  <c r="C149" i="2"/>
  <c r="D149" i="2"/>
  <c r="E149" i="2"/>
  <c r="F149" i="2"/>
  <c r="D178" i="4"/>
  <c r="M178" i="4" s="1"/>
  <c r="T149" i="2"/>
  <c r="D149" i="3" s="1"/>
  <c r="K149" i="2"/>
  <c r="L149" i="2"/>
  <c r="M149" i="2"/>
  <c r="N149" i="2"/>
  <c r="P149" i="2"/>
  <c r="H178" i="4" s="1"/>
  <c r="P178" i="4" s="1"/>
  <c r="A150" i="2"/>
  <c r="A150" i="3" s="1"/>
  <c r="B150" i="2"/>
  <c r="B150" i="3" s="1"/>
  <c r="C150" i="2"/>
  <c r="D150" i="2"/>
  <c r="E150" i="2"/>
  <c r="F150" i="2"/>
  <c r="D179" i="4"/>
  <c r="M179" i="4" s="1"/>
  <c r="T150" i="2"/>
  <c r="D150" i="3" s="1"/>
  <c r="L150" i="2"/>
  <c r="M150" i="2"/>
  <c r="N150" i="2"/>
  <c r="P150" i="2"/>
  <c r="H179" i="4" s="1"/>
  <c r="P179" i="4" s="1"/>
  <c r="R150" i="2"/>
  <c r="A151" i="2"/>
  <c r="A151" i="3" s="1"/>
  <c r="B151" i="2"/>
  <c r="B151" i="3" s="1"/>
  <c r="C151" i="2"/>
  <c r="D151" i="2"/>
  <c r="F151" i="2"/>
  <c r="D180" i="4"/>
  <c r="M180" i="4" s="1"/>
  <c r="L151" i="2"/>
  <c r="M151" i="2"/>
  <c r="N151" i="2"/>
  <c r="P151" i="2"/>
  <c r="H180" i="4" s="1"/>
  <c r="P180" i="4" s="1"/>
  <c r="S151" i="2"/>
  <c r="T151" i="2"/>
  <c r="D151" i="3" s="1"/>
  <c r="A152" i="2"/>
  <c r="A152" i="3" s="1"/>
  <c r="B152" i="2"/>
  <c r="B152" i="3" s="1"/>
  <c r="C152" i="2"/>
  <c r="D152" i="2"/>
  <c r="E152" i="2"/>
  <c r="F152" i="2"/>
  <c r="R152" i="2"/>
  <c r="T152" i="2"/>
  <c r="D152" i="3" s="1"/>
  <c r="L152" i="2"/>
  <c r="M152" i="2"/>
  <c r="N152" i="2"/>
  <c r="P152" i="2"/>
  <c r="H181" i="4" s="1"/>
  <c r="P181" i="4" s="1"/>
  <c r="A153" i="2"/>
  <c r="A153" i="3" s="1"/>
  <c r="B153" i="2"/>
  <c r="B153" i="3" s="1"/>
  <c r="C153" i="2"/>
  <c r="D153" i="2"/>
  <c r="E153" i="2"/>
  <c r="F153" i="2"/>
  <c r="D182" i="4"/>
  <c r="M182" i="4" s="1"/>
  <c r="T153" i="2"/>
  <c r="D153" i="3" s="1"/>
  <c r="L153" i="2"/>
  <c r="M153" i="2"/>
  <c r="N153" i="2"/>
  <c r="P153" i="2"/>
  <c r="H182" i="4" s="1"/>
  <c r="P182" i="4" s="1"/>
  <c r="A154" i="2"/>
  <c r="A154" i="3" s="1"/>
  <c r="B154" i="2"/>
  <c r="B154" i="3" s="1"/>
  <c r="D183" i="4"/>
  <c r="M183" i="4" s="1"/>
  <c r="T154" i="2"/>
  <c r="D154" i="3" s="1"/>
  <c r="L154" i="2"/>
  <c r="M154" i="2"/>
  <c r="N154" i="2"/>
  <c r="P154" i="2"/>
  <c r="H183" i="4" s="1"/>
  <c r="P183" i="4" s="1"/>
  <c r="R154" i="2"/>
  <c r="Y154" i="2" s="1"/>
  <c r="A155" i="2"/>
  <c r="A155" i="3" s="1"/>
  <c r="B155" i="2"/>
  <c r="B155" i="3" s="1"/>
  <c r="C155" i="2"/>
  <c r="D155" i="2"/>
  <c r="F155" i="2"/>
  <c r="D184" i="4"/>
  <c r="M184" i="4" s="1"/>
  <c r="T155" i="2"/>
  <c r="D155" i="3" s="1"/>
  <c r="L155" i="2"/>
  <c r="M155" i="2"/>
  <c r="N155" i="2"/>
  <c r="P155" i="2"/>
  <c r="H184" i="4" s="1"/>
  <c r="P184" i="4" s="1"/>
  <c r="A156" i="2"/>
  <c r="A156" i="3" s="1"/>
  <c r="B156" i="2"/>
  <c r="B156" i="3" s="1"/>
  <c r="D185" i="4"/>
  <c r="M185" i="4" s="1"/>
  <c r="T156" i="2"/>
  <c r="D156" i="3" s="1"/>
  <c r="K156" i="2"/>
  <c r="L156" i="2"/>
  <c r="M156" i="2"/>
  <c r="N156" i="2"/>
  <c r="P156" i="2"/>
  <c r="H185" i="4" s="1"/>
  <c r="P185" i="4" s="1"/>
  <c r="A157" i="2"/>
  <c r="A157" i="3" s="1"/>
  <c r="B157" i="2"/>
  <c r="B157" i="3" s="1"/>
  <c r="D157" i="2"/>
  <c r="F157" i="2"/>
  <c r="D186" i="4"/>
  <c r="M186" i="4" s="1"/>
  <c r="T157" i="2"/>
  <c r="D157" i="3" s="1"/>
  <c r="L157" i="2"/>
  <c r="M157" i="2"/>
  <c r="N157" i="2"/>
  <c r="P157" i="2"/>
  <c r="H186" i="4" s="1"/>
  <c r="P186" i="4" s="1"/>
  <c r="A158" i="2"/>
  <c r="A158" i="3" s="1"/>
  <c r="B158" i="2"/>
  <c r="B158" i="3" s="1"/>
  <c r="C158" i="2"/>
  <c r="D158" i="2"/>
  <c r="E158" i="2"/>
  <c r="F158" i="2"/>
  <c r="D187" i="4"/>
  <c r="M187" i="4" s="1"/>
  <c r="T158" i="2"/>
  <c r="D158" i="3" s="1"/>
  <c r="L158" i="2"/>
  <c r="M158" i="2"/>
  <c r="N158" i="2"/>
  <c r="P158" i="2"/>
  <c r="H187" i="4" s="1"/>
  <c r="P187" i="4" s="1"/>
  <c r="A159" i="2"/>
  <c r="A159" i="3" s="1"/>
  <c r="B159" i="2"/>
  <c r="B159" i="3" s="1"/>
  <c r="C159" i="2"/>
  <c r="D159" i="2"/>
  <c r="E159" i="2"/>
  <c r="F159" i="2"/>
  <c r="D188" i="4"/>
  <c r="M188" i="4" s="1"/>
  <c r="T159" i="2"/>
  <c r="D159" i="3" s="1"/>
  <c r="L159" i="2"/>
  <c r="M159" i="2"/>
  <c r="N159" i="2"/>
  <c r="P159" i="2"/>
  <c r="H188" i="4" s="1"/>
  <c r="P188" i="4" s="1"/>
  <c r="R159" i="2"/>
  <c r="Y159" i="2" s="1"/>
  <c r="A160" i="2"/>
  <c r="A160" i="3" s="1"/>
  <c r="B160" i="2"/>
  <c r="B160" i="3" s="1"/>
  <c r="C160" i="2"/>
  <c r="D160" i="2"/>
  <c r="E160" i="2"/>
  <c r="F160" i="2"/>
  <c r="D189" i="4"/>
  <c r="M189" i="4" s="1"/>
  <c r="T160" i="2"/>
  <c r="D160" i="3" s="1"/>
  <c r="L160" i="2"/>
  <c r="M160" i="2"/>
  <c r="N160" i="2"/>
  <c r="P160" i="2"/>
  <c r="H189" i="4" s="1"/>
  <c r="P189" i="4" s="1"/>
  <c r="A161" i="2"/>
  <c r="A161" i="3" s="1"/>
  <c r="B161" i="2"/>
  <c r="B161" i="3" s="1"/>
  <c r="C161" i="2"/>
  <c r="D161" i="2"/>
  <c r="E161" i="2"/>
  <c r="F161" i="2"/>
  <c r="D190" i="4"/>
  <c r="M190" i="4" s="1"/>
  <c r="T161" i="2"/>
  <c r="D161" i="3" s="1"/>
  <c r="L161" i="2"/>
  <c r="M161" i="2"/>
  <c r="N161" i="2"/>
  <c r="P161" i="2"/>
  <c r="H190" i="4" s="1"/>
  <c r="P190" i="4" s="1"/>
  <c r="A123" i="2"/>
  <c r="B123" i="2"/>
  <c r="C123" i="2"/>
  <c r="D123" i="2"/>
  <c r="E123" i="2"/>
  <c r="F123" i="2"/>
  <c r="R123" i="2"/>
  <c r="T123" i="2"/>
  <c r="K123" i="2"/>
  <c r="L123" i="2"/>
  <c r="M123" i="2"/>
  <c r="N123" i="2"/>
  <c r="Z124" i="2" s="1"/>
  <c r="P123" i="2"/>
  <c r="A124" i="2"/>
  <c r="B124" i="2"/>
  <c r="C124" i="2"/>
  <c r="D124" i="2"/>
  <c r="E124" i="2"/>
  <c r="F124" i="2"/>
  <c r="D151" i="4"/>
  <c r="M151" i="4" s="1"/>
  <c r="T124" i="2"/>
  <c r="K124" i="2"/>
  <c r="L124" i="2"/>
  <c r="M124" i="2"/>
  <c r="N124" i="2"/>
  <c r="P124" i="2"/>
  <c r="H151" i="4" s="1"/>
  <c r="P151" i="4" s="1"/>
  <c r="A125" i="2"/>
  <c r="A125" i="3" s="1"/>
  <c r="B125" i="2"/>
  <c r="B125" i="3" s="1"/>
  <c r="C125" i="2"/>
  <c r="D125" i="2"/>
  <c r="E125" i="2"/>
  <c r="F125" i="2"/>
  <c r="D152" i="4"/>
  <c r="M152" i="4" s="1"/>
  <c r="T125" i="2"/>
  <c r="D125" i="3" s="1"/>
  <c r="L125" i="2"/>
  <c r="M125" i="2"/>
  <c r="N125" i="2"/>
  <c r="P125" i="2"/>
  <c r="H152" i="4" s="1"/>
  <c r="P152" i="4" s="1"/>
  <c r="A126" i="2"/>
  <c r="A126" i="3" s="1"/>
  <c r="B126" i="2"/>
  <c r="B126" i="3" s="1"/>
  <c r="C126" i="2"/>
  <c r="D126" i="2"/>
  <c r="E126" i="2"/>
  <c r="F126" i="2"/>
  <c r="D153" i="4"/>
  <c r="M153" i="4" s="1"/>
  <c r="T126" i="2"/>
  <c r="D126" i="3" s="1"/>
  <c r="K126" i="2"/>
  <c r="L126" i="2"/>
  <c r="M126" i="2"/>
  <c r="N126" i="2"/>
  <c r="P126" i="2"/>
  <c r="H153" i="4" s="1"/>
  <c r="P153" i="4" s="1"/>
  <c r="A127" i="2"/>
  <c r="A127" i="3" s="1"/>
  <c r="B127" i="2"/>
  <c r="B127" i="3" s="1"/>
  <c r="C127" i="2"/>
  <c r="D127" i="2"/>
  <c r="E127" i="2"/>
  <c r="F127" i="2"/>
  <c r="R127" i="2"/>
  <c r="Y127" i="2" s="1"/>
  <c r="T127" i="2"/>
  <c r="D127" i="3" s="1"/>
  <c r="K127" i="2"/>
  <c r="L127" i="2"/>
  <c r="M127" i="2"/>
  <c r="N127" i="2"/>
  <c r="P127" i="2"/>
  <c r="H154" i="4" s="1"/>
  <c r="P154" i="4" s="1"/>
  <c r="S127" i="2"/>
  <c r="A128" i="2"/>
  <c r="A128" i="3" s="1"/>
  <c r="B128" i="2"/>
  <c r="B128" i="3" s="1"/>
  <c r="C128" i="2"/>
  <c r="D128" i="2"/>
  <c r="E128" i="2"/>
  <c r="F128" i="2"/>
  <c r="D155" i="4"/>
  <c r="M155" i="4" s="1"/>
  <c r="T128" i="2"/>
  <c r="D128" i="3" s="1"/>
  <c r="K128" i="2"/>
  <c r="L128" i="2"/>
  <c r="M128" i="2"/>
  <c r="N128" i="2"/>
  <c r="P128" i="2"/>
  <c r="H155" i="4" s="1"/>
  <c r="P155" i="4" s="1"/>
  <c r="A129" i="2"/>
  <c r="A129" i="3" s="1"/>
  <c r="B129" i="2"/>
  <c r="B129" i="3" s="1"/>
  <c r="C129" i="2"/>
  <c r="D129" i="2"/>
  <c r="E129" i="2"/>
  <c r="F129" i="2"/>
  <c r="D156" i="4"/>
  <c r="M156" i="4" s="1"/>
  <c r="T129" i="2"/>
  <c r="D129" i="3" s="1"/>
  <c r="K129" i="2"/>
  <c r="L129" i="2"/>
  <c r="M129" i="2"/>
  <c r="N129" i="2"/>
  <c r="P129" i="2"/>
  <c r="H156" i="4" s="1"/>
  <c r="P156" i="4" s="1"/>
  <c r="A130" i="2"/>
  <c r="A130" i="3" s="1"/>
  <c r="B130" i="2"/>
  <c r="B130" i="3" s="1"/>
  <c r="C130" i="2"/>
  <c r="D130" i="2"/>
  <c r="E130" i="2"/>
  <c r="F130" i="2"/>
  <c r="D157" i="4"/>
  <c r="M157" i="4" s="1"/>
  <c r="T130" i="2"/>
  <c r="D130" i="3" s="1"/>
  <c r="K130" i="2"/>
  <c r="L130" i="2"/>
  <c r="M130" i="2"/>
  <c r="N130" i="2"/>
  <c r="P130" i="2"/>
  <c r="H157" i="4" s="1"/>
  <c r="P157" i="4" s="1"/>
  <c r="S130" i="2"/>
  <c r="K185" i="1"/>
  <c r="K185" i="2" s="1"/>
  <c r="K181" i="1"/>
  <c r="K181" i="2" s="1"/>
  <c r="K180" i="1"/>
  <c r="F210" i="4" s="1"/>
  <c r="K178" i="1"/>
  <c r="K178" i="2" s="1"/>
  <c r="K175" i="1"/>
  <c r="K175" i="2" s="1"/>
  <c r="K174" i="1"/>
  <c r="K174" i="2" s="1"/>
  <c r="K173" i="1"/>
  <c r="F203" i="4" s="1"/>
  <c r="K172" i="1"/>
  <c r="F202" i="4" s="1"/>
  <c r="K186" i="1"/>
  <c r="F216" i="4" s="1"/>
  <c r="K173" i="2" l="1"/>
  <c r="E173" i="3" s="1"/>
  <c r="K172" i="2"/>
  <c r="F205" i="4"/>
  <c r="E212" i="3"/>
  <c r="X212" i="2"/>
  <c r="W212" i="2"/>
  <c r="E192" i="3"/>
  <c r="W192" i="2"/>
  <c r="X192" i="2"/>
  <c r="E209" i="3"/>
  <c r="W209" i="2"/>
  <c r="X209" i="2"/>
  <c r="E204" i="3"/>
  <c r="X204" i="2"/>
  <c r="W204" i="2"/>
  <c r="E156" i="3"/>
  <c r="E165" i="3"/>
  <c r="K180" i="2"/>
  <c r="E179" i="3"/>
  <c r="E177" i="3"/>
  <c r="E184" i="3"/>
  <c r="F208" i="4"/>
  <c r="F204" i="4"/>
  <c r="F215" i="4"/>
  <c r="F211" i="4"/>
  <c r="E226" i="3"/>
  <c r="X226" i="2"/>
  <c r="W226" i="2"/>
  <c r="E202" i="3"/>
  <c r="W202" i="2"/>
  <c r="X202" i="2"/>
  <c r="E224" i="3"/>
  <c r="W224" i="2"/>
  <c r="X224" i="2"/>
  <c r="E199" i="3"/>
  <c r="X199" i="2"/>
  <c r="W199" i="2"/>
  <c r="E222" i="3"/>
  <c r="W222" i="2"/>
  <c r="X222" i="2"/>
  <c r="C229" i="3"/>
  <c r="U229" i="2"/>
  <c r="E229" i="3" s="1"/>
  <c r="E216" i="3"/>
  <c r="X216" i="2"/>
  <c r="W216" i="2"/>
  <c r="E195" i="3"/>
  <c r="W195" i="2"/>
  <c r="X195" i="2"/>
  <c r="K186" i="2"/>
  <c r="J186" i="2" s="1"/>
  <c r="G180" i="4"/>
  <c r="Z152" i="2"/>
  <c r="C131" i="3"/>
  <c r="G209" i="4"/>
  <c r="Z180" i="2"/>
  <c r="Z337" i="2"/>
  <c r="G202" i="4"/>
  <c r="Z173" i="2"/>
  <c r="G214" i="4"/>
  <c r="Z185" i="2"/>
  <c r="C126" i="3"/>
  <c r="E126" i="3"/>
  <c r="G156" i="4"/>
  <c r="Z130" i="2"/>
  <c r="G178" i="4"/>
  <c r="Z150" i="2"/>
  <c r="G175" i="4"/>
  <c r="Z147" i="2"/>
  <c r="C139" i="3"/>
  <c r="G163" i="4"/>
  <c r="Z137" i="2"/>
  <c r="G160" i="4"/>
  <c r="Z351" i="2"/>
  <c r="Z134" i="2"/>
  <c r="G199" i="4"/>
  <c r="Z170" i="2"/>
  <c r="G196" i="4"/>
  <c r="Z167" i="2"/>
  <c r="C178" i="3"/>
  <c r="G206" i="4"/>
  <c r="Z177" i="2"/>
  <c r="C174" i="3"/>
  <c r="G201" i="4"/>
  <c r="Z172" i="2"/>
  <c r="C170" i="3"/>
  <c r="C185" i="3"/>
  <c r="E185" i="3"/>
  <c r="C181" i="3"/>
  <c r="C147" i="3"/>
  <c r="G174" i="4"/>
  <c r="Z145" i="2"/>
  <c r="Z146" i="2"/>
  <c r="G169" i="4"/>
  <c r="O169" i="4" s="1"/>
  <c r="Z142" i="2"/>
  <c r="C137" i="3"/>
  <c r="G162" i="4"/>
  <c r="Z136" i="2"/>
  <c r="G198" i="4"/>
  <c r="Z169" i="2"/>
  <c r="C180" i="3"/>
  <c r="E178" i="3"/>
  <c r="G203" i="4"/>
  <c r="Z174" i="2"/>
  <c r="E127" i="3"/>
  <c r="E129" i="3"/>
  <c r="C128" i="3"/>
  <c r="E128" i="3"/>
  <c r="G153" i="4"/>
  <c r="Z127" i="2"/>
  <c r="G190" i="4"/>
  <c r="Z165" i="2"/>
  <c r="Z162" i="2"/>
  <c r="G187" i="4"/>
  <c r="Z159" i="2"/>
  <c r="G155" i="4"/>
  <c r="Z129" i="2"/>
  <c r="G152" i="4"/>
  <c r="Z126" i="2"/>
  <c r="G189" i="4"/>
  <c r="Z161" i="2"/>
  <c r="G186" i="4"/>
  <c r="Z158" i="2"/>
  <c r="G183" i="4"/>
  <c r="Z155" i="2"/>
  <c r="Z285" i="2"/>
  <c r="G177" i="4"/>
  <c r="Z149" i="2"/>
  <c r="E148" i="3"/>
  <c r="C145" i="3"/>
  <c r="J141" i="2"/>
  <c r="G166" i="4"/>
  <c r="Z140" i="2"/>
  <c r="C135" i="3"/>
  <c r="G159" i="4"/>
  <c r="Z133" i="2"/>
  <c r="E132" i="3"/>
  <c r="C168" i="3"/>
  <c r="G197" i="4"/>
  <c r="Z168" i="2"/>
  <c r="E167" i="3"/>
  <c r="G208" i="4"/>
  <c r="Z179" i="2"/>
  <c r="G205" i="4"/>
  <c r="Z176" i="2"/>
  <c r="E175" i="3"/>
  <c r="G204" i="4"/>
  <c r="Z175" i="2"/>
  <c r="E174" i="3"/>
  <c r="C172" i="3"/>
  <c r="G200" i="4"/>
  <c r="Z171" i="2"/>
  <c r="G215" i="4"/>
  <c r="Z186" i="2"/>
  <c r="G211" i="4"/>
  <c r="Z182" i="2"/>
  <c r="E181" i="3"/>
  <c r="C130" i="3"/>
  <c r="E130" i="3"/>
  <c r="G151" i="4"/>
  <c r="Z125" i="2"/>
  <c r="G185" i="4"/>
  <c r="Z157" i="2"/>
  <c r="G182" i="4"/>
  <c r="Z154" i="2"/>
  <c r="G165" i="4"/>
  <c r="Z139" i="2"/>
  <c r="E135" i="3"/>
  <c r="G195" i="4"/>
  <c r="Z166" i="2"/>
  <c r="G207" i="4"/>
  <c r="Z178" i="2"/>
  <c r="E172" i="3"/>
  <c r="G157" i="4"/>
  <c r="Z131" i="2"/>
  <c r="G154" i="4"/>
  <c r="Z128" i="2"/>
  <c r="G188" i="4"/>
  <c r="Z160" i="2"/>
  <c r="G184" i="4"/>
  <c r="Z156" i="2"/>
  <c r="G181" i="4"/>
  <c r="Z153" i="2"/>
  <c r="G179" i="4"/>
  <c r="Z151" i="2"/>
  <c r="C149" i="3"/>
  <c r="E149" i="3"/>
  <c r="G176" i="4"/>
  <c r="Z148" i="2"/>
  <c r="G167" i="4"/>
  <c r="Z141" i="2"/>
  <c r="G164" i="4"/>
  <c r="Z138" i="2"/>
  <c r="G161" i="4"/>
  <c r="Z135" i="2"/>
  <c r="C133" i="3"/>
  <c r="G158" i="4"/>
  <c r="Z132" i="2"/>
  <c r="E131" i="3"/>
  <c r="C166" i="3"/>
  <c r="E166" i="3"/>
  <c r="G210" i="4"/>
  <c r="Z181" i="2"/>
  <c r="E180" i="3"/>
  <c r="C176" i="3"/>
  <c r="E176" i="3"/>
  <c r="G213" i="4"/>
  <c r="O213" i="4" s="1"/>
  <c r="Z184" i="2"/>
  <c r="G212" i="4"/>
  <c r="Z183" i="2"/>
  <c r="E182" i="3"/>
  <c r="S134" i="2"/>
  <c r="S145" i="2"/>
  <c r="S173" i="2"/>
  <c r="S133" i="2"/>
  <c r="R176" i="2"/>
  <c r="Y176" i="2" s="1"/>
  <c r="R171" i="2"/>
  <c r="Y171" i="2" s="1"/>
  <c r="R153" i="2"/>
  <c r="R149" i="2"/>
  <c r="Y149" i="2" s="1"/>
  <c r="R131" i="2"/>
  <c r="Y131" i="2" s="1"/>
  <c r="S149" i="2"/>
  <c r="R147" i="2"/>
  <c r="R135" i="2"/>
  <c r="Y135" i="2" s="1"/>
  <c r="R134" i="2"/>
  <c r="Y134" i="2" s="1"/>
  <c r="R174" i="2"/>
  <c r="Y174" i="2" s="1"/>
  <c r="S165" i="2"/>
  <c r="Y165" i="2" s="1"/>
  <c r="R146" i="2"/>
  <c r="Y146" i="2" s="1"/>
  <c r="R132" i="2"/>
  <c r="R169" i="2"/>
  <c r="R172" i="2"/>
  <c r="Y172" i="2" s="1"/>
  <c r="R148" i="2"/>
  <c r="R136" i="2"/>
  <c r="Y136" i="2" s="1"/>
  <c r="R133" i="2"/>
  <c r="Y133" i="2" s="1"/>
  <c r="S169" i="2"/>
  <c r="Y147" i="2"/>
  <c r="R124" i="2"/>
  <c r="R160" i="2"/>
  <c r="R129" i="2"/>
  <c r="Y129" i="2" s="1"/>
  <c r="S124" i="2"/>
  <c r="S184" i="2"/>
  <c r="Y184" i="2" s="1"/>
  <c r="R137" i="2"/>
  <c r="S132" i="2"/>
  <c r="R128" i="2"/>
  <c r="S168" i="2"/>
  <c r="S129" i="2"/>
  <c r="S125" i="2"/>
  <c r="S159" i="2"/>
  <c r="S155" i="2"/>
  <c r="S177" i="2"/>
  <c r="Y177" i="2" s="1"/>
  <c r="S181" i="2"/>
  <c r="Y181" i="2" s="1"/>
  <c r="S161" i="2"/>
  <c r="S157" i="2"/>
  <c r="S153" i="2"/>
  <c r="Y153" i="2" s="1"/>
  <c r="S141" i="2"/>
  <c r="S137" i="2"/>
  <c r="S183" i="2"/>
  <c r="E153" i="4"/>
  <c r="N153" i="4" s="1"/>
  <c r="R156" i="2"/>
  <c r="R138" i="2"/>
  <c r="Y138" i="2" s="1"/>
  <c r="W124" i="2"/>
  <c r="R161" i="2"/>
  <c r="Y161" i="2" s="1"/>
  <c r="R140" i="2"/>
  <c r="Y140" i="2" s="1"/>
  <c r="R151" i="2"/>
  <c r="Y151" i="2" s="1"/>
  <c r="C141" i="3"/>
  <c r="S138" i="2"/>
  <c r="D154" i="4"/>
  <c r="M154" i="4" s="1"/>
  <c r="R157" i="2"/>
  <c r="Y157" i="2" s="1"/>
  <c r="R145" i="2"/>
  <c r="S176" i="2"/>
  <c r="E206" i="4"/>
  <c r="N206" i="4" s="1"/>
  <c r="S128" i="2"/>
  <c r="E155" i="4"/>
  <c r="N155" i="4" s="1"/>
  <c r="R126" i="2"/>
  <c r="Y126" i="2" s="1"/>
  <c r="S160" i="2"/>
  <c r="S140" i="2"/>
  <c r="R175" i="2"/>
  <c r="Y175" i="2" s="1"/>
  <c r="D205" i="4"/>
  <c r="M205" i="4" s="1"/>
  <c r="R173" i="2"/>
  <c r="Y173" i="2" s="1"/>
  <c r="D203" i="4"/>
  <c r="M203" i="4" s="1"/>
  <c r="S182" i="2"/>
  <c r="E212" i="4"/>
  <c r="N212" i="4" s="1"/>
  <c r="S178" i="2"/>
  <c r="E208" i="4"/>
  <c r="N208" i="4" s="1"/>
  <c r="S174" i="2"/>
  <c r="E204" i="4"/>
  <c r="N204" i="4" s="1"/>
  <c r="S158" i="2"/>
  <c r="E187" i="4"/>
  <c r="N187" i="4" s="1"/>
  <c r="S154" i="2"/>
  <c r="E183" i="4"/>
  <c r="N183" i="4" s="1"/>
  <c r="S150" i="2"/>
  <c r="Y150" i="2" s="1"/>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E183" i="3" s="1"/>
  <c r="D214" i="4"/>
  <c r="M214" i="4" s="1"/>
  <c r="O211" i="4"/>
  <c r="O207" i="4"/>
  <c r="O197" i="4"/>
  <c r="O209" i="4"/>
  <c r="O196" i="4"/>
  <c r="O195" i="4"/>
  <c r="O178" i="4"/>
  <c r="O162" i="4"/>
  <c r="O159" i="4"/>
  <c r="O158" i="4"/>
  <c r="O157" i="4"/>
  <c r="O156" i="4"/>
  <c r="O151" i="4"/>
  <c r="Y179"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X229" i="2" l="1"/>
  <c r="W229" i="2"/>
  <c r="Y128" i="2"/>
  <c r="Y145" i="2"/>
  <c r="Y137" i="2"/>
  <c r="Y169" i="2"/>
  <c r="Y124" i="2"/>
  <c r="Y132" i="2"/>
  <c r="W181" i="2"/>
  <c r="Y156" i="2"/>
  <c r="X181" i="2"/>
  <c r="X128" i="2"/>
  <c r="O203" i="4"/>
  <c r="Y148" i="2"/>
  <c r="X130" i="2"/>
  <c r="X185" i="2"/>
  <c r="O153" i="4"/>
  <c r="Y155" i="2"/>
  <c r="X126" i="2"/>
  <c r="O154" i="4"/>
  <c r="W130" i="2"/>
  <c r="Y160" i="2"/>
  <c r="X124" i="2"/>
  <c r="Y158" i="2"/>
  <c r="W126" i="2"/>
  <c r="W185" i="2"/>
  <c r="Y183" i="2"/>
  <c r="U141" i="2"/>
  <c r="E141" i="3" s="1"/>
  <c r="W183" i="2"/>
  <c r="W178" i="2"/>
  <c r="W128" i="2"/>
  <c r="X183" i="2"/>
  <c r="O177" i="4"/>
  <c r="O155" i="4"/>
  <c r="O206" i="4"/>
  <c r="O202" i="4"/>
  <c r="O208" i="4"/>
  <c r="O214" i="4"/>
  <c r="O215" i="4"/>
  <c r="O212" i="4"/>
  <c r="O204" i="4"/>
  <c r="O210" i="4"/>
  <c r="O185" i="4"/>
  <c r="O205" i="4"/>
  <c r="X131" i="2"/>
  <c r="X174" i="2"/>
  <c r="X178" i="2"/>
  <c r="X135" i="2"/>
  <c r="X166" i="2"/>
  <c r="X172" i="2"/>
  <c r="X176" i="2"/>
  <c r="X180" i="2"/>
  <c r="W174" i="2"/>
  <c r="X149" i="2"/>
  <c r="W131" i="2"/>
  <c r="W176" i="2"/>
  <c r="X184" i="2"/>
  <c r="W184" i="2"/>
  <c r="X182" i="2"/>
  <c r="W182" i="2"/>
  <c r="W175" i="2"/>
  <c r="X175" i="2"/>
  <c r="X179" i="2"/>
  <c r="W179" i="2"/>
  <c r="W173" i="2"/>
  <c r="X173" i="2"/>
  <c r="X177" i="2"/>
  <c r="W177" i="2"/>
  <c r="W172" i="2"/>
  <c r="W180" i="2"/>
  <c r="W166" i="2"/>
  <c r="W167" i="2"/>
  <c r="X167" i="2"/>
  <c r="W165" i="2"/>
  <c r="X165" i="2"/>
  <c r="W132" i="2"/>
  <c r="X132" i="2"/>
  <c r="W148" i="2"/>
  <c r="X148" i="2"/>
  <c r="X156" i="2"/>
  <c r="W156" i="2"/>
  <c r="W149" i="2"/>
  <c r="W123" i="2"/>
  <c r="X123" i="2"/>
  <c r="W127" i="2"/>
  <c r="X127" i="2"/>
  <c r="W129" i="2"/>
  <c r="X129" i="2"/>
  <c r="W141" i="2" l="1"/>
  <c r="X141" i="2"/>
  <c r="E172" i="1"/>
  <c r="E172" i="2" s="1"/>
  <c r="K171" i="1" l="1"/>
  <c r="K170" i="1"/>
  <c r="K169" i="1"/>
  <c r="K168" i="1"/>
  <c r="K161" i="1"/>
  <c r="K160" i="1"/>
  <c r="K159" i="1"/>
  <c r="K158" i="1"/>
  <c r="K157" i="1"/>
  <c r="K155" i="1"/>
  <c r="K154" i="1"/>
  <c r="K153" i="1"/>
  <c r="K152" i="1"/>
  <c r="K151" i="1"/>
  <c r="K150" i="1"/>
  <c r="K147" i="1"/>
  <c r="K146" i="1"/>
  <c r="K145" i="1"/>
  <c r="E151" i="1"/>
  <c r="E151" i="2" s="1"/>
  <c r="F156" i="1"/>
  <c r="F156" i="2" s="1"/>
  <c r="E157" i="1"/>
  <c r="E157" i="2" s="1"/>
  <c r="C157" i="1"/>
  <c r="C157" i="2" s="1"/>
  <c r="E156" i="1"/>
  <c r="E156" i="2" s="1"/>
  <c r="D156" i="1"/>
  <c r="D156" i="2" s="1"/>
  <c r="C156" i="1"/>
  <c r="C156" i="2" s="1"/>
  <c r="E155" i="1"/>
  <c r="E155" i="2" s="1"/>
  <c r="F154" i="1"/>
  <c r="F154" i="2" s="1"/>
  <c r="E154" i="1"/>
  <c r="E154" i="2" s="1"/>
  <c r="D154" i="1"/>
  <c r="D154" i="2" s="1"/>
  <c r="C154" i="1"/>
  <c r="C154" i="2" s="1"/>
  <c r="F147" i="1"/>
  <c r="F147" i="2" s="1"/>
  <c r="E147" i="1"/>
  <c r="E147" i="2" s="1"/>
  <c r="D147" i="1"/>
  <c r="D147" i="2" s="1"/>
  <c r="C147" i="1"/>
  <c r="C147" i="2" s="1"/>
  <c r="F176" i="4" l="1"/>
  <c r="O176" i="4" s="1"/>
  <c r="K147" i="2"/>
  <c r="F182" i="4"/>
  <c r="O182" i="4" s="1"/>
  <c r="K153" i="2"/>
  <c r="K158" i="2"/>
  <c r="F187" i="4"/>
  <c r="O187" i="4" s="1"/>
  <c r="F198" i="4"/>
  <c r="O198" i="4" s="1"/>
  <c r="K168" i="2"/>
  <c r="F179" i="4"/>
  <c r="O179" i="4" s="1"/>
  <c r="K150" i="2"/>
  <c r="K154" i="2"/>
  <c r="F183" i="4"/>
  <c r="O183" i="4" s="1"/>
  <c r="K159" i="2"/>
  <c r="F188" i="4"/>
  <c r="O188" i="4" s="1"/>
  <c r="F199" i="4"/>
  <c r="O199" i="4" s="1"/>
  <c r="K169" i="2"/>
  <c r="F174" i="4"/>
  <c r="O174" i="4" s="1"/>
  <c r="K145" i="2"/>
  <c r="F180" i="4"/>
  <c r="O180" i="4" s="1"/>
  <c r="K151" i="2"/>
  <c r="F184" i="4"/>
  <c r="O184" i="4" s="1"/>
  <c r="K155" i="2"/>
  <c r="F189" i="4"/>
  <c r="O189" i="4" s="1"/>
  <c r="K160" i="2"/>
  <c r="K170" i="2"/>
  <c r="F200" i="4"/>
  <c r="O200" i="4" s="1"/>
  <c r="F175" i="4"/>
  <c r="O175" i="4" s="1"/>
  <c r="K146" i="2"/>
  <c r="K152" i="2"/>
  <c r="F181" i="4"/>
  <c r="O181" i="4" s="1"/>
  <c r="K157" i="2"/>
  <c r="F186" i="4"/>
  <c r="O186" i="4" s="1"/>
  <c r="F190" i="4"/>
  <c r="O190" i="4" s="1"/>
  <c r="K161" i="2"/>
  <c r="K171" i="2"/>
  <c r="F201" i="4"/>
  <c r="O201" i="4" s="1"/>
  <c r="K140" i="1"/>
  <c r="K139" i="1"/>
  <c r="K138" i="1"/>
  <c r="K137" i="1"/>
  <c r="K136" i="1"/>
  <c r="K134" i="1"/>
  <c r="K133" i="1"/>
  <c r="K125" i="1"/>
  <c r="E141" i="1"/>
  <c r="E141" i="2" s="1"/>
  <c r="F134" i="1"/>
  <c r="F134" i="2" s="1"/>
  <c r="E134" i="1"/>
  <c r="E134" i="2" s="1"/>
  <c r="D134" i="1"/>
  <c r="D134" i="2" s="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A122" i="3" s="1"/>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B1" i="3" s="1"/>
  <c r="A1" i="2"/>
  <c r="A1" i="3" s="1"/>
  <c r="O2" i="2"/>
  <c r="N2" i="2"/>
  <c r="M2" i="2"/>
  <c r="L2" i="2"/>
  <c r="K2" i="2"/>
  <c r="J2" i="2"/>
  <c r="I2" i="2"/>
  <c r="H2" i="2"/>
  <c r="G2" i="2"/>
  <c r="F2" i="2"/>
  <c r="E2" i="2"/>
  <c r="D2" i="2"/>
  <c r="C2" i="2"/>
  <c r="B2" i="2"/>
  <c r="B2" i="3" s="1"/>
  <c r="A2" i="2"/>
  <c r="A2" i="3" s="1"/>
  <c r="A28" i="2"/>
  <c r="A28" i="3" s="1"/>
  <c r="B28" i="2"/>
  <c r="C28" i="2"/>
  <c r="D28" i="2"/>
  <c r="E28" i="2"/>
  <c r="F28" i="2"/>
  <c r="K28" i="2"/>
  <c r="J28" i="2" s="1"/>
  <c r="L28" i="2"/>
  <c r="M28" i="2"/>
  <c r="N28" i="2"/>
  <c r="P28" i="2"/>
  <c r="A29" i="2"/>
  <c r="A29" i="3" s="1"/>
  <c r="B29" i="2"/>
  <c r="C29" i="2"/>
  <c r="D29" i="2"/>
  <c r="E29" i="2"/>
  <c r="F29" i="2"/>
  <c r="K29" i="2"/>
  <c r="J29" i="2" s="1"/>
  <c r="L29" i="2"/>
  <c r="M29" i="2"/>
  <c r="N29" i="2"/>
  <c r="P29" i="2"/>
  <c r="D147" i="4"/>
  <c r="M147" i="4" s="1"/>
  <c r="A120" i="2"/>
  <c r="A120" i="3" s="1"/>
  <c r="B120" i="2"/>
  <c r="B120" i="3" s="1"/>
  <c r="C120" i="2"/>
  <c r="D120" i="2"/>
  <c r="E120" i="2"/>
  <c r="F120" i="2"/>
  <c r="T120" i="2"/>
  <c r="D120" i="3" s="1"/>
  <c r="K120" i="2"/>
  <c r="L120" i="2"/>
  <c r="M120" i="2"/>
  <c r="N120" i="2"/>
  <c r="G147" i="4" s="1"/>
  <c r="P120" i="2"/>
  <c r="H147" i="4" s="1"/>
  <c r="P147" i="4" s="1"/>
  <c r="P120" i="1"/>
  <c r="A147" i="4"/>
  <c r="J147" i="4" s="1"/>
  <c r="B147" i="4"/>
  <c r="K147" i="4" s="1"/>
  <c r="C147" i="4"/>
  <c r="L147" i="4" s="1"/>
  <c r="E147" i="4"/>
  <c r="N147" i="4" s="1"/>
  <c r="F147" i="4"/>
  <c r="I147" i="4"/>
  <c r="S120" i="2"/>
  <c r="K125" i="2" l="1"/>
  <c r="F152" i="4"/>
  <c r="O152" i="4" s="1"/>
  <c r="F164" i="4"/>
  <c r="O164" i="4" s="1"/>
  <c r="K137" i="2"/>
  <c r="E146" i="3"/>
  <c r="X146" i="2"/>
  <c r="W146" i="2"/>
  <c r="E160" i="3"/>
  <c r="X160" i="2"/>
  <c r="W160" i="2"/>
  <c r="E151" i="3"/>
  <c r="X151" i="2"/>
  <c r="W151" i="2"/>
  <c r="E169" i="3"/>
  <c r="X169" i="2"/>
  <c r="W169" i="2"/>
  <c r="E168" i="3"/>
  <c r="W168" i="2"/>
  <c r="X168" i="2"/>
  <c r="E153" i="3"/>
  <c r="W153" i="2"/>
  <c r="X153" i="2"/>
  <c r="F160" i="4"/>
  <c r="O160" i="4" s="1"/>
  <c r="K133" i="2"/>
  <c r="F165" i="4"/>
  <c r="O165" i="4" s="1"/>
  <c r="K138" i="2"/>
  <c r="E171" i="3"/>
  <c r="W171" i="2"/>
  <c r="X171" i="2"/>
  <c r="E157" i="3"/>
  <c r="X157" i="2"/>
  <c r="W157" i="2"/>
  <c r="E154" i="3"/>
  <c r="X154" i="2"/>
  <c r="W154" i="2"/>
  <c r="F161" i="4"/>
  <c r="O161" i="4" s="1"/>
  <c r="K134" i="2"/>
  <c r="K139" i="2"/>
  <c r="F166" i="4"/>
  <c r="O166" i="4" s="1"/>
  <c r="E161" i="3"/>
  <c r="W161" i="2"/>
  <c r="X161" i="2"/>
  <c r="E155" i="3"/>
  <c r="W155" i="2"/>
  <c r="X155" i="2"/>
  <c r="E145" i="3"/>
  <c r="X145" i="2"/>
  <c r="W145" i="2"/>
  <c r="E150" i="3"/>
  <c r="X150" i="2"/>
  <c r="W150" i="2"/>
  <c r="E147" i="3"/>
  <c r="X147" i="2"/>
  <c r="W147" i="2"/>
  <c r="F163" i="4"/>
  <c r="O163" i="4" s="1"/>
  <c r="K136" i="2"/>
  <c r="F167" i="4"/>
  <c r="O167" i="4" s="1"/>
  <c r="K140" i="2"/>
  <c r="E152" i="3"/>
  <c r="X152" i="2"/>
  <c r="W152" i="2"/>
  <c r="E170" i="3"/>
  <c r="X170" i="2"/>
  <c r="W170" i="2"/>
  <c r="E159" i="3"/>
  <c r="X159" i="2"/>
  <c r="W159" i="2"/>
  <c r="E158" i="3"/>
  <c r="W158" i="2"/>
  <c r="X158" i="2"/>
  <c r="C120" i="3"/>
  <c r="E120" i="3"/>
  <c r="D149" i="4"/>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A109" i="4"/>
  <c r="J109" i="4" s="1"/>
  <c r="B109" i="4"/>
  <c r="K109" i="4" s="1"/>
  <c r="C109" i="4"/>
  <c r="L109" i="4" s="1"/>
  <c r="F109" i="4"/>
  <c r="A110" i="4"/>
  <c r="J110" i="4" s="1"/>
  <c r="B110" i="4"/>
  <c r="K110" i="4" s="1"/>
  <c r="C110" i="4"/>
  <c r="L110" i="4" s="1"/>
  <c r="F110" i="4"/>
  <c r="A111" i="4"/>
  <c r="B111" i="4"/>
  <c r="K111" i="4" s="1"/>
  <c r="C111" i="4"/>
  <c r="L111" i="4" s="1"/>
  <c r="F111" i="4"/>
  <c r="J111" i="4"/>
  <c r="A112" i="4"/>
  <c r="J112" i="4" s="1"/>
  <c r="B112" i="4"/>
  <c r="K112" i="4" s="1"/>
  <c r="C112" i="4"/>
  <c r="L112" i="4" s="1"/>
  <c r="A113" i="4"/>
  <c r="J113" i="4" s="1"/>
  <c r="B113" i="4"/>
  <c r="K113" i="4" s="1"/>
  <c r="C113" i="4"/>
  <c r="L113" i="4" s="1"/>
  <c r="F113" i="4"/>
  <c r="A114" i="4"/>
  <c r="J114" i="4" s="1"/>
  <c r="B114" i="4"/>
  <c r="K114" i="4" s="1"/>
  <c r="C114" i="4"/>
  <c r="L114" i="4" s="1"/>
  <c r="F114" i="4"/>
  <c r="A115" i="4"/>
  <c r="J115" i="4" s="1"/>
  <c r="B115" i="4"/>
  <c r="K115" i="4" s="1"/>
  <c r="C115" i="4"/>
  <c r="L115" i="4" s="1"/>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A129" i="4"/>
  <c r="J129" i="4" s="1"/>
  <c r="B129" i="4"/>
  <c r="K129" i="4" s="1"/>
  <c r="C129" i="4"/>
  <c r="L129" i="4" s="1"/>
  <c r="F129" i="4"/>
  <c r="A130" i="4"/>
  <c r="J130" i="4" s="1"/>
  <c r="B130" i="4"/>
  <c r="K130" i="4" s="1"/>
  <c r="C130" i="4"/>
  <c r="L130" i="4" s="1"/>
  <c r="A131" i="4"/>
  <c r="J131" i="4" s="1"/>
  <c r="B131" i="4"/>
  <c r="K131" i="4" s="1"/>
  <c r="C131" i="4"/>
  <c r="L131" i="4" s="1"/>
  <c r="A132" i="4"/>
  <c r="J132" i="4" s="1"/>
  <c r="B132" i="4"/>
  <c r="K132" i="4" s="1"/>
  <c r="C132" i="4"/>
  <c r="L132" i="4" s="1"/>
  <c r="A133" i="4"/>
  <c r="J133" i="4" s="1"/>
  <c r="B133" i="4"/>
  <c r="K133" i="4" s="1"/>
  <c r="C133" i="4"/>
  <c r="L133" i="4" s="1"/>
  <c r="A134" i="4"/>
  <c r="J134" i="4" s="1"/>
  <c r="B134" i="4"/>
  <c r="K134" i="4" s="1"/>
  <c r="C134" i="4"/>
  <c r="L134" i="4" s="1"/>
  <c r="A135" i="4"/>
  <c r="J135" i="4" s="1"/>
  <c r="B135" i="4"/>
  <c r="K135" i="4" s="1"/>
  <c r="C135" i="4"/>
  <c r="L135" i="4" s="1"/>
  <c r="A136" i="4"/>
  <c r="J136" i="4" s="1"/>
  <c r="B136" i="4"/>
  <c r="K136" i="4" s="1"/>
  <c r="C136" i="4"/>
  <c r="L136" i="4" s="1"/>
  <c r="A138" i="4"/>
  <c r="J138" i="4" s="1"/>
  <c r="B138" i="4"/>
  <c r="K138" i="4" s="1"/>
  <c r="C138" i="4"/>
  <c r="L138" i="4" s="1"/>
  <c r="F138" i="4"/>
  <c r="A140" i="4"/>
  <c r="J140" i="4" s="1"/>
  <c r="B140" i="4"/>
  <c r="K140" i="4" s="1"/>
  <c r="C140" i="4"/>
  <c r="L140" i="4" s="1"/>
  <c r="A142" i="4"/>
  <c r="J142" i="4" s="1"/>
  <c r="B142" i="4"/>
  <c r="K142" i="4" s="1"/>
  <c r="C142" i="4"/>
  <c r="L142" i="4" s="1"/>
  <c r="F142" i="4"/>
  <c r="A144" i="4"/>
  <c r="J144" i="4" s="1"/>
  <c r="B144" i="4"/>
  <c r="K144" i="4" s="1"/>
  <c r="C144" i="4"/>
  <c r="L144" i="4" s="1"/>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P119" i="2" s="1"/>
  <c r="H146" i="4" s="1"/>
  <c r="P146" i="4" s="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8" i="2"/>
  <c r="F39" i="2"/>
  <c r="F40" i="2"/>
  <c r="F42" i="2"/>
  <c r="F43" i="2"/>
  <c r="F45" i="2"/>
  <c r="F46" i="2"/>
  <c r="F47" i="2"/>
  <c r="F48" i="2"/>
  <c r="F51" i="2"/>
  <c r="F52" i="2"/>
  <c r="F53" i="2"/>
  <c r="F55" i="2"/>
  <c r="F56" i="2"/>
  <c r="F57" i="2"/>
  <c r="F58" i="2"/>
  <c r="F59" i="2"/>
  <c r="F61" i="2"/>
  <c r="F62" i="2"/>
  <c r="F65" i="2"/>
  <c r="F66" i="2"/>
  <c r="F67" i="2"/>
  <c r="F68" i="2"/>
  <c r="F69" i="2"/>
  <c r="F70" i="2"/>
  <c r="F72" i="2"/>
  <c r="F73" i="2"/>
  <c r="F74" i="2"/>
  <c r="F75" i="2"/>
  <c r="F76" i="2"/>
  <c r="F77"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10" i="2"/>
  <c r="F111" i="2"/>
  <c r="F112" i="2"/>
  <c r="F114" i="2"/>
  <c r="F115" i="2"/>
  <c r="F116" i="2"/>
  <c r="F118" i="2"/>
  <c r="F119" i="2"/>
  <c r="F5" i="2"/>
  <c r="A9" i="2"/>
  <c r="A9" i="3" s="1"/>
  <c r="B9" i="2"/>
  <c r="B9" i="3" s="1"/>
  <c r="C9" i="2"/>
  <c r="D9" i="2"/>
  <c r="E9" i="2"/>
  <c r="R9" i="2"/>
  <c r="S9" i="2"/>
  <c r="T9" i="2"/>
  <c r="D9" i="3" s="1"/>
  <c r="L9" i="2"/>
  <c r="M9" i="2"/>
  <c r="N9" i="2"/>
  <c r="Z10" i="2" s="1"/>
  <c r="P9" i="2"/>
  <c r="Q9" i="2"/>
  <c r="A10" i="2"/>
  <c r="A10" i="3" s="1"/>
  <c r="B10" i="2"/>
  <c r="B10" i="3" s="1"/>
  <c r="C10" i="2"/>
  <c r="D10" i="2"/>
  <c r="E10" i="2"/>
  <c r="R10" i="2"/>
  <c r="Y10" i="2" s="1"/>
  <c r="S10" i="2"/>
  <c r="T10" i="2"/>
  <c r="D10" i="3" s="1"/>
  <c r="K10" i="2"/>
  <c r="L10" i="2"/>
  <c r="M10" i="2"/>
  <c r="N10" i="2"/>
  <c r="Z11" i="2" s="1"/>
  <c r="P10" i="2"/>
  <c r="Q10" i="2"/>
  <c r="A11" i="2"/>
  <c r="A11" i="3" s="1"/>
  <c r="B11" i="2"/>
  <c r="B11" i="3" s="1"/>
  <c r="C11" i="2"/>
  <c r="D11" i="2"/>
  <c r="E11" i="2"/>
  <c r="R11" i="2"/>
  <c r="S11" i="2"/>
  <c r="T11" i="2"/>
  <c r="D11" i="3" s="1"/>
  <c r="K11" i="2"/>
  <c r="C11" i="3" s="1"/>
  <c r="L11" i="2"/>
  <c r="M11" i="2"/>
  <c r="N11" i="2"/>
  <c r="Z12" i="2" s="1"/>
  <c r="P11" i="2"/>
  <c r="Q11" i="2"/>
  <c r="A12" i="2"/>
  <c r="A12" i="3" s="1"/>
  <c r="B12" i="2"/>
  <c r="B12" i="3" s="1"/>
  <c r="C12" i="2"/>
  <c r="D12" i="2"/>
  <c r="E12" i="2"/>
  <c r="R12" i="2"/>
  <c r="Y12" i="2" s="1"/>
  <c r="S12" i="2"/>
  <c r="T12" i="2"/>
  <c r="D12" i="3" s="1"/>
  <c r="L12" i="2"/>
  <c r="M12" i="2"/>
  <c r="N12" i="2"/>
  <c r="Z13" i="2" s="1"/>
  <c r="P12" i="2"/>
  <c r="Q12" i="2"/>
  <c r="A13" i="2"/>
  <c r="A13" i="3" s="1"/>
  <c r="B13" i="2"/>
  <c r="B13" i="3" s="1"/>
  <c r="C13" i="2"/>
  <c r="D13" i="2"/>
  <c r="E13" i="2"/>
  <c r="R13" i="2"/>
  <c r="S13" i="2"/>
  <c r="T13" i="2"/>
  <c r="D13" i="3" s="1"/>
  <c r="K13" i="2"/>
  <c r="L13" i="2"/>
  <c r="M13" i="2"/>
  <c r="N13" i="2"/>
  <c r="Z14" i="2" s="1"/>
  <c r="P13" i="2"/>
  <c r="Q13" i="2"/>
  <c r="A14" i="2"/>
  <c r="A14" i="3" s="1"/>
  <c r="B14" i="2"/>
  <c r="B14" i="3" s="1"/>
  <c r="C14" i="2"/>
  <c r="D14" i="2"/>
  <c r="E14" i="2"/>
  <c r="R14" i="2"/>
  <c r="Y14" i="2" s="1"/>
  <c r="S14" i="2"/>
  <c r="T14" i="2"/>
  <c r="D14" i="3" s="1"/>
  <c r="K14" i="2"/>
  <c r="L14" i="2"/>
  <c r="M14" i="2"/>
  <c r="N14" i="2"/>
  <c r="Z15" i="2" s="1"/>
  <c r="P14" i="2"/>
  <c r="Q14" i="2"/>
  <c r="A15" i="2"/>
  <c r="A15" i="3" s="1"/>
  <c r="B15" i="2"/>
  <c r="B15" i="3" s="1"/>
  <c r="C15" i="2"/>
  <c r="D15" i="2"/>
  <c r="E15" i="2"/>
  <c r="R15" i="2"/>
  <c r="S15" i="2"/>
  <c r="T15" i="2"/>
  <c r="D15" i="3" s="1"/>
  <c r="K15" i="2"/>
  <c r="C15" i="3" s="1"/>
  <c r="L15" i="2"/>
  <c r="M15" i="2"/>
  <c r="N15" i="2"/>
  <c r="Z16" i="2" s="1"/>
  <c r="P15" i="2"/>
  <c r="Q15" i="2"/>
  <c r="A16" i="2"/>
  <c r="A16" i="3" s="1"/>
  <c r="B16" i="2"/>
  <c r="B16" i="3" s="1"/>
  <c r="C16" i="2"/>
  <c r="D16" i="2"/>
  <c r="E16" i="2"/>
  <c r="R16" i="2"/>
  <c r="Y16" i="2" s="1"/>
  <c r="S16" i="2"/>
  <c r="T16" i="2"/>
  <c r="D16" i="3" s="1"/>
  <c r="K16" i="2"/>
  <c r="L16" i="2"/>
  <c r="M16" i="2"/>
  <c r="N16" i="2"/>
  <c r="Z17" i="2" s="1"/>
  <c r="P16" i="2"/>
  <c r="Q16" i="2"/>
  <c r="A17" i="2"/>
  <c r="A17" i="3" s="1"/>
  <c r="B17" i="2"/>
  <c r="B17" i="3" s="1"/>
  <c r="C17" i="2"/>
  <c r="D17" i="2"/>
  <c r="E17" i="2"/>
  <c r="R17" i="2"/>
  <c r="S17" i="2"/>
  <c r="T17" i="2"/>
  <c r="D17" i="3" s="1"/>
  <c r="K17" i="2"/>
  <c r="L17" i="2"/>
  <c r="M17" i="2"/>
  <c r="N17" i="2"/>
  <c r="Z18" i="2" s="1"/>
  <c r="P17" i="2"/>
  <c r="Q17" i="2"/>
  <c r="A18" i="2"/>
  <c r="A18" i="3" s="1"/>
  <c r="B18" i="2"/>
  <c r="B18" i="3" s="1"/>
  <c r="C18" i="2"/>
  <c r="D18" i="2"/>
  <c r="E18" i="2"/>
  <c r="R18" i="2"/>
  <c r="Y18" i="2" s="1"/>
  <c r="S18" i="2"/>
  <c r="T18" i="2"/>
  <c r="D18" i="3" s="1"/>
  <c r="K18" i="2"/>
  <c r="C18" i="3" s="1"/>
  <c r="L18" i="2"/>
  <c r="M18" i="2"/>
  <c r="N18" i="2"/>
  <c r="Z19" i="2" s="1"/>
  <c r="P18" i="2"/>
  <c r="Q18" i="2"/>
  <c r="A19" i="2"/>
  <c r="A19" i="3" s="1"/>
  <c r="B19" i="2"/>
  <c r="B19" i="3" s="1"/>
  <c r="C19" i="2"/>
  <c r="D19" i="2"/>
  <c r="E19" i="2"/>
  <c r="R19" i="2"/>
  <c r="S19" i="2"/>
  <c r="T19" i="2"/>
  <c r="D19" i="3" s="1"/>
  <c r="K19" i="2"/>
  <c r="L19" i="2"/>
  <c r="M19" i="2"/>
  <c r="N19" i="2"/>
  <c r="Z20" i="2" s="1"/>
  <c r="P19" i="2"/>
  <c r="Q19" i="2"/>
  <c r="A20" i="2"/>
  <c r="A20" i="3" s="1"/>
  <c r="B20" i="2"/>
  <c r="B20" i="3" s="1"/>
  <c r="C20" i="2"/>
  <c r="D20" i="2"/>
  <c r="E20" i="2"/>
  <c r="R20" i="2"/>
  <c r="Y20" i="2" s="1"/>
  <c r="S20" i="2"/>
  <c r="T20" i="2"/>
  <c r="D20" i="3" s="1"/>
  <c r="L20" i="2"/>
  <c r="M20" i="2"/>
  <c r="N20" i="2"/>
  <c r="Z21" i="2" s="1"/>
  <c r="P20" i="2"/>
  <c r="Q20" i="2"/>
  <c r="A21" i="2"/>
  <c r="A21" i="3" s="1"/>
  <c r="B21" i="2"/>
  <c r="B21" i="3" s="1"/>
  <c r="C21" i="2"/>
  <c r="D21" i="2"/>
  <c r="E21" i="2"/>
  <c r="R21" i="2"/>
  <c r="S21" i="2"/>
  <c r="T21" i="2"/>
  <c r="D21" i="3" s="1"/>
  <c r="K21" i="2"/>
  <c r="L21" i="2"/>
  <c r="M21" i="2"/>
  <c r="N21" i="2"/>
  <c r="Z22" i="2" s="1"/>
  <c r="P21" i="2"/>
  <c r="Q21" i="2"/>
  <c r="A22" i="2"/>
  <c r="A22" i="3" s="1"/>
  <c r="B22" i="2"/>
  <c r="B22" i="3" s="1"/>
  <c r="C22" i="2"/>
  <c r="D22" i="2"/>
  <c r="E22" i="2"/>
  <c r="R22" i="2"/>
  <c r="Y22" i="2" s="1"/>
  <c r="S22" i="2"/>
  <c r="T22" i="2"/>
  <c r="D22" i="3" s="1"/>
  <c r="K22" i="2"/>
  <c r="L22" i="2"/>
  <c r="M22" i="2"/>
  <c r="N22" i="2"/>
  <c r="Z23" i="2" s="1"/>
  <c r="P22" i="2"/>
  <c r="Q22" i="2"/>
  <c r="A23" i="2"/>
  <c r="A23" i="3" s="1"/>
  <c r="B23" i="2"/>
  <c r="B23" i="3" s="1"/>
  <c r="C23" i="2"/>
  <c r="D23" i="2"/>
  <c r="E23" i="2"/>
  <c r="R23" i="2"/>
  <c r="S23" i="2"/>
  <c r="T23" i="2"/>
  <c r="D23" i="3" s="1"/>
  <c r="L23" i="2"/>
  <c r="M23" i="2"/>
  <c r="N23" i="2"/>
  <c r="P23" i="2"/>
  <c r="Q23" i="2"/>
  <c r="A24" i="2"/>
  <c r="A24" i="3" s="1"/>
  <c r="B24" i="2"/>
  <c r="B24" i="3" s="1"/>
  <c r="C24" i="2"/>
  <c r="D24" i="2"/>
  <c r="E24" i="2"/>
  <c r="R24" i="2"/>
  <c r="Y24" i="2" s="1"/>
  <c r="S24" i="2"/>
  <c r="T24" i="2"/>
  <c r="D24" i="3" s="1"/>
  <c r="K24" i="2"/>
  <c r="L24" i="2"/>
  <c r="M24" i="2"/>
  <c r="N24" i="2"/>
  <c r="P24" i="2"/>
  <c r="Q24" i="2"/>
  <c r="A25" i="2"/>
  <c r="A25" i="3" s="1"/>
  <c r="B25" i="2"/>
  <c r="B25" i="3" s="1"/>
  <c r="C25" i="2"/>
  <c r="D25" i="2"/>
  <c r="E25" i="2"/>
  <c r="K25" i="2"/>
  <c r="J25" i="2" s="1"/>
  <c r="L25" i="2"/>
  <c r="M25" i="2"/>
  <c r="N25" i="2"/>
  <c r="P25" i="2"/>
  <c r="Q25" i="2"/>
  <c r="A26" i="2"/>
  <c r="A26" i="3" s="1"/>
  <c r="B26" i="2"/>
  <c r="B26" i="3" s="1"/>
  <c r="C26" i="2"/>
  <c r="D26" i="2"/>
  <c r="E26" i="2"/>
  <c r="R26" i="2"/>
  <c r="S26" i="2"/>
  <c r="T26" i="2"/>
  <c r="D26" i="3" s="1"/>
  <c r="K26" i="2"/>
  <c r="C26" i="3" s="1"/>
  <c r="L26" i="2"/>
  <c r="M26" i="2"/>
  <c r="N26" i="2"/>
  <c r="P26" i="2"/>
  <c r="Q26" i="2"/>
  <c r="A27" i="2"/>
  <c r="A27" i="3" s="1"/>
  <c r="B27" i="2"/>
  <c r="B27" i="3" s="1"/>
  <c r="C27" i="2"/>
  <c r="D27" i="2"/>
  <c r="E27" i="2"/>
  <c r="R27" i="2"/>
  <c r="Y27" i="2" s="1"/>
  <c r="S27" i="2"/>
  <c r="T27" i="2"/>
  <c r="D27" i="3" s="1"/>
  <c r="K27" i="2"/>
  <c r="C27" i="3" s="1"/>
  <c r="L27" i="2"/>
  <c r="M27" i="2"/>
  <c r="N27" i="2"/>
  <c r="Z30" i="2" s="1"/>
  <c r="P27" i="2"/>
  <c r="Q27" i="2"/>
  <c r="B28" i="3"/>
  <c r="Q28" i="2"/>
  <c r="B29" i="3"/>
  <c r="Q29" i="2"/>
  <c r="A30" i="2"/>
  <c r="A30" i="3" s="1"/>
  <c r="B30" i="2"/>
  <c r="B30" i="3" s="1"/>
  <c r="C30" i="2"/>
  <c r="D30" i="2"/>
  <c r="E30" i="2"/>
  <c r="R30" i="2"/>
  <c r="S30" i="2"/>
  <c r="T30" i="2"/>
  <c r="D30" i="3" s="1"/>
  <c r="K30" i="2"/>
  <c r="L30" i="2"/>
  <c r="M30" i="2"/>
  <c r="N30" i="2"/>
  <c r="Z31" i="2" s="1"/>
  <c r="P30" i="2"/>
  <c r="Q30" i="2"/>
  <c r="A31" i="2"/>
  <c r="A31" i="3" s="1"/>
  <c r="B31" i="2"/>
  <c r="B31" i="3" s="1"/>
  <c r="C31" i="2"/>
  <c r="D31" i="2"/>
  <c r="E31" i="2"/>
  <c r="R31" i="2"/>
  <c r="Y31" i="2" s="1"/>
  <c r="S31" i="2"/>
  <c r="T31" i="2"/>
  <c r="D31" i="3" s="1"/>
  <c r="K31" i="2"/>
  <c r="L31" i="2"/>
  <c r="M31" i="2"/>
  <c r="N31" i="2"/>
  <c r="P31" i="2"/>
  <c r="Q31" i="2"/>
  <c r="A32" i="2"/>
  <c r="A32" i="3" s="1"/>
  <c r="B32" i="2"/>
  <c r="B32" i="3" s="1"/>
  <c r="C32" i="2"/>
  <c r="D32" i="2"/>
  <c r="E32" i="2"/>
  <c r="R32" i="2"/>
  <c r="S32" i="2"/>
  <c r="T32" i="2"/>
  <c r="D32" i="3" s="1"/>
  <c r="K32" i="2"/>
  <c r="L32" i="2"/>
  <c r="M32" i="2"/>
  <c r="N32" i="2"/>
  <c r="Z33" i="2" s="1"/>
  <c r="P32" i="2"/>
  <c r="Q32" i="2"/>
  <c r="A33" i="2"/>
  <c r="A33" i="3" s="1"/>
  <c r="B33" i="2"/>
  <c r="B33" i="3" s="1"/>
  <c r="C33" i="2"/>
  <c r="D33" i="2"/>
  <c r="E33" i="2"/>
  <c r="R33" i="2"/>
  <c r="Y33" i="2" s="1"/>
  <c r="S33" i="2"/>
  <c r="T33" i="2"/>
  <c r="D33" i="3" s="1"/>
  <c r="K33" i="2"/>
  <c r="L33" i="2"/>
  <c r="M33" i="2"/>
  <c r="N33" i="2"/>
  <c r="Z34" i="2" s="1"/>
  <c r="P33" i="2"/>
  <c r="Q33" i="2"/>
  <c r="A34" i="2"/>
  <c r="A34" i="3" s="1"/>
  <c r="B34" i="2"/>
  <c r="B34" i="3" s="1"/>
  <c r="C34" i="2"/>
  <c r="D34" i="2"/>
  <c r="E34" i="2"/>
  <c r="R34" i="2"/>
  <c r="Y34" i="2" s="1"/>
  <c r="S34" i="2"/>
  <c r="T34" i="2"/>
  <c r="D34" i="3" s="1"/>
  <c r="K34" i="2"/>
  <c r="L34" i="2"/>
  <c r="M34" i="2"/>
  <c r="N34" i="2"/>
  <c r="Z35" i="2" s="1"/>
  <c r="P34" i="2"/>
  <c r="Q34" i="2"/>
  <c r="A35" i="2"/>
  <c r="A35" i="3" s="1"/>
  <c r="B35" i="2"/>
  <c r="B35" i="3" s="1"/>
  <c r="C35" i="2"/>
  <c r="D35" i="2"/>
  <c r="E35" i="2"/>
  <c r="R35" i="2"/>
  <c r="S35" i="2"/>
  <c r="T35" i="2"/>
  <c r="D35" i="3" s="1"/>
  <c r="K35" i="2"/>
  <c r="L35" i="2"/>
  <c r="M35" i="2"/>
  <c r="N35" i="2"/>
  <c r="Z36" i="2" s="1"/>
  <c r="P35" i="2"/>
  <c r="Q35" i="2"/>
  <c r="A36" i="2"/>
  <c r="A36" i="3" s="1"/>
  <c r="B36" i="2"/>
  <c r="B36" i="3" s="1"/>
  <c r="C36" i="2"/>
  <c r="D36" i="2"/>
  <c r="E36" i="2"/>
  <c r="K36" i="2"/>
  <c r="J36" i="2" s="1"/>
  <c r="L36" i="2"/>
  <c r="M36" i="2"/>
  <c r="N36" i="2"/>
  <c r="P36" i="2"/>
  <c r="Q36" i="2"/>
  <c r="A37" i="2"/>
  <c r="A37" i="3" s="1"/>
  <c r="B37" i="2"/>
  <c r="B37" i="3" s="1"/>
  <c r="R37" i="2"/>
  <c r="Y37" i="2" s="1"/>
  <c r="S37" i="2"/>
  <c r="T37" i="2"/>
  <c r="D37" i="3" s="1"/>
  <c r="K37" i="2"/>
  <c r="L37" i="2"/>
  <c r="M37" i="2"/>
  <c r="N37" i="2"/>
  <c r="Z38" i="2" s="1"/>
  <c r="P37" i="2"/>
  <c r="Q37" i="2"/>
  <c r="A38" i="2"/>
  <c r="A38" i="3" s="1"/>
  <c r="B38" i="2"/>
  <c r="B38" i="3" s="1"/>
  <c r="C38" i="2"/>
  <c r="D38" i="2"/>
  <c r="E38" i="2"/>
  <c r="R38" i="2"/>
  <c r="Y38" i="2" s="1"/>
  <c r="S38" i="2"/>
  <c r="T38" i="2"/>
  <c r="D38" i="3" s="1"/>
  <c r="K38" i="2"/>
  <c r="C38" i="3" s="1"/>
  <c r="L38" i="2"/>
  <c r="M38" i="2"/>
  <c r="N38" i="2"/>
  <c r="Z39" i="2" s="1"/>
  <c r="P38" i="2"/>
  <c r="Q38" i="2"/>
  <c r="A39" i="2"/>
  <c r="A39" i="3" s="1"/>
  <c r="B39" i="2"/>
  <c r="B39" i="3" s="1"/>
  <c r="C39" i="2"/>
  <c r="D39" i="2"/>
  <c r="E39" i="2"/>
  <c r="R39" i="2"/>
  <c r="Y39" i="2" s="1"/>
  <c r="S39" i="2"/>
  <c r="T39" i="2"/>
  <c r="D39" i="3" s="1"/>
  <c r="K39" i="2"/>
  <c r="L39" i="2"/>
  <c r="M39" i="2"/>
  <c r="N39" i="2"/>
  <c r="Z40" i="2" s="1"/>
  <c r="P39" i="2"/>
  <c r="Q39" i="2"/>
  <c r="A40" i="2"/>
  <c r="A40" i="3" s="1"/>
  <c r="B40" i="2"/>
  <c r="B40" i="3" s="1"/>
  <c r="C40" i="2"/>
  <c r="D40" i="2"/>
  <c r="E40" i="2"/>
  <c r="R40" i="2"/>
  <c r="Y40" i="2" s="1"/>
  <c r="S40" i="2"/>
  <c r="T40" i="2"/>
  <c r="D40" i="3" s="1"/>
  <c r="K40" i="2"/>
  <c r="L40" i="2"/>
  <c r="M40" i="2"/>
  <c r="N40" i="2"/>
  <c r="P40" i="2"/>
  <c r="Q40" i="2"/>
  <c r="A41" i="2"/>
  <c r="A41" i="3" s="1"/>
  <c r="B41" i="2"/>
  <c r="B41" i="3" s="1"/>
  <c r="D41" i="2"/>
  <c r="E41" i="2"/>
  <c r="R41" i="2"/>
  <c r="Y41" i="2" s="1"/>
  <c r="S41" i="2"/>
  <c r="T41" i="2"/>
  <c r="D41" i="3" s="1"/>
  <c r="K41" i="2"/>
  <c r="L41" i="2"/>
  <c r="M41" i="2"/>
  <c r="N41" i="2"/>
  <c r="P41" i="2"/>
  <c r="Q41" i="2"/>
  <c r="A42" i="2"/>
  <c r="A42" i="3" s="1"/>
  <c r="B42" i="2"/>
  <c r="B42" i="3" s="1"/>
  <c r="D42" i="2"/>
  <c r="E42" i="2"/>
  <c r="R42" i="2"/>
  <c r="Y42" i="2" s="1"/>
  <c r="S42" i="2"/>
  <c r="T42" i="2"/>
  <c r="D42" i="3" s="1"/>
  <c r="K42" i="2"/>
  <c r="L42" i="2"/>
  <c r="M42" i="2"/>
  <c r="N42" i="2"/>
  <c r="Z43" i="2" s="1"/>
  <c r="P42" i="2"/>
  <c r="Q42" i="2"/>
  <c r="A43" i="2"/>
  <c r="A43" i="3" s="1"/>
  <c r="B43" i="2"/>
  <c r="B43" i="3" s="1"/>
  <c r="D43" i="2"/>
  <c r="E43" i="2"/>
  <c r="R43" i="2"/>
  <c r="Y43" i="2" s="1"/>
  <c r="S43" i="2"/>
  <c r="T43" i="2"/>
  <c r="D43" i="3" s="1"/>
  <c r="K43" i="2"/>
  <c r="L43" i="2"/>
  <c r="M43" i="2"/>
  <c r="N43" i="2"/>
  <c r="Z44" i="2" s="1"/>
  <c r="P43" i="2"/>
  <c r="Q43" i="2"/>
  <c r="A44" i="2"/>
  <c r="A44" i="3" s="1"/>
  <c r="B44" i="2"/>
  <c r="B44" i="3" s="1"/>
  <c r="D44" i="2"/>
  <c r="E44" i="2"/>
  <c r="R44" i="2"/>
  <c r="Y44" i="2" s="1"/>
  <c r="S44" i="2"/>
  <c r="T44" i="2"/>
  <c r="D44" i="3" s="1"/>
  <c r="K44" i="2"/>
  <c r="C44" i="3" s="1"/>
  <c r="L44" i="2"/>
  <c r="M44" i="2"/>
  <c r="N44" i="2"/>
  <c r="Z45" i="2" s="1"/>
  <c r="P44" i="2"/>
  <c r="Q44" i="2"/>
  <c r="A45" i="2"/>
  <c r="A45" i="3" s="1"/>
  <c r="B45" i="2"/>
  <c r="B45" i="3" s="1"/>
  <c r="R45" i="2"/>
  <c r="Y45" i="2" s="1"/>
  <c r="S45" i="2"/>
  <c r="T45" i="2"/>
  <c r="D45" i="3" s="1"/>
  <c r="K45" i="2"/>
  <c r="L45" i="2"/>
  <c r="M45" i="2"/>
  <c r="N45" i="2"/>
  <c r="Z46" i="2" s="1"/>
  <c r="P45" i="2"/>
  <c r="Q45" i="2"/>
  <c r="A46" i="2"/>
  <c r="A46" i="3" s="1"/>
  <c r="B46" i="2"/>
  <c r="B46" i="3" s="1"/>
  <c r="E46" i="2"/>
  <c r="R46" i="2"/>
  <c r="Y46" i="2" s="1"/>
  <c r="S46" i="2"/>
  <c r="T46" i="2"/>
  <c r="D46" i="3" s="1"/>
  <c r="K46" i="2"/>
  <c r="C46" i="3" s="1"/>
  <c r="L46" i="2"/>
  <c r="M46" i="2"/>
  <c r="N46" i="2"/>
  <c r="Z47" i="2" s="1"/>
  <c r="P46" i="2"/>
  <c r="Q46" i="2"/>
  <c r="A47" i="2"/>
  <c r="A47" i="3" s="1"/>
  <c r="B47" i="2"/>
  <c r="B47" i="3" s="1"/>
  <c r="R47" i="2"/>
  <c r="Y47" i="2" s="1"/>
  <c r="S47" i="2"/>
  <c r="T47" i="2"/>
  <c r="D47" i="3" s="1"/>
  <c r="K47" i="2"/>
  <c r="L47" i="2"/>
  <c r="M47" i="2"/>
  <c r="N47" i="2"/>
  <c r="Z48" i="2" s="1"/>
  <c r="P47" i="2"/>
  <c r="Q47" i="2"/>
  <c r="A48" i="2"/>
  <c r="A48" i="3" s="1"/>
  <c r="B48" i="2"/>
  <c r="B48" i="3" s="1"/>
  <c r="C48" i="2"/>
  <c r="D48" i="2"/>
  <c r="E48" i="2"/>
  <c r="R48" i="2"/>
  <c r="Y48" i="2" s="1"/>
  <c r="S48" i="2"/>
  <c r="T48" i="2"/>
  <c r="D48" i="3" s="1"/>
  <c r="K48" i="2"/>
  <c r="C48" i="3" s="1"/>
  <c r="L48" i="2"/>
  <c r="M48" i="2"/>
  <c r="N48" i="2"/>
  <c r="P48" i="2"/>
  <c r="Q48" i="2"/>
  <c r="A49" i="2"/>
  <c r="A49" i="3" s="1"/>
  <c r="B49" i="2"/>
  <c r="B49" i="3" s="1"/>
  <c r="R49" i="2"/>
  <c r="S49" i="2"/>
  <c r="T49" i="2"/>
  <c r="D49" i="3" s="1"/>
  <c r="K49" i="2"/>
  <c r="L49" i="2"/>
  <c r="M49" i="2"/>
  <c r="N49" i="2"/>
  <c r="P49" i="2"/>
  <c r="Q49" i="2"/>
  <c r="A50" i="2"/>
  <c r="A50" i="3" s="1"/>
  <c r="B50" i="2"/>
  <c r="B50" i="3" s="1"/>
  <c r="D50" i="2"/>
  <c r="R50" i="2"/>
  <c r="Y50" i="2" s="1"/>
  <c r="S50" i="2"/>
  <c r="T50" i="2"/>
  <c r="D50" i="3" s="1"/>
  <c r="K50" i="2"/>
  <c r="L50" i="2"/>
  <c r="M50" i="2"/>
  <c r="N50" i="2"/>
  <c r="Z51" i="2" s="1"/>
  <c r="P50" i="2"/>
  <c r="Q50" i="2"/>
  <c r="A51" i="2"/>
  <c r="A51" i="3" s="1"/>
  <c r="B51" i="2"/>
  <c r="B51" i="3" s="1"/>
  <c r="C51" i="2"/>
  <c r="D51" i="2"/>
  <c r="E51" i="2"/>
  <c r="R51" i="2"/>
  <c r="S51" i="2"/>
  <c r="T51" i="2"/>
  <c r="D51" i="3" s="1"/>
  <c r="K51" i="2"/>
  <c r="L51" i="2"/>
  <c r="M51" i="2"/>
  <c r="N51" i="2"/>
  <c r="P51" i="2"/>
  <c r="Q51" i="2"/>
  <c r="A52" i="2"/>
  <c r="A52" i="3" s="1"/>
  <c r="B52" i="2"/>
  <c r="B52" i="3" s="1"/>
  <c r="C52" i="2"/>
  <c r="D52" i="2"/>
  <c r="E52" i="2"/>
  <c r="R52" i="2"/>
  <c r="Y52" i="2" s="1"/>
  <c r="S52" i="2"/>
  <c r="T52" i="2"/>
  <c r="D52" i="3" s="1"/>
  <c r="K52" i="2"/>
  <c r="L52" i="2"/>
  <c r="M52" i="2"/>
  <c r="N52" i="2"/>
  <c r="P52" i="2"/>
  <c r="Q52" i="2"/>
  <c r="A53" i="2"/>
  <c r="A53" i="3" s="1"/>
  <c r="B53" i="2"/>
  <c r="B53" i="3" s="1"/>
  <c r="C53" i="2"/>
  <c r="D53" i="2"/>
  <c r="E53" i="2"/>
  <c r="R53" i="2"/>
  <c r="Y53" i="2" s="1"/>
  <c r="S53" i="2"/>
  <c r="T53" i="2"/>
  <c r="D53" i="3" s="1"/>
  <c r="K53" i="2"/>
  <c r="L53" i="2"/>
  <c r="M53" i="2"/>
  <c r="N53" i="2"/>
  <c r="Z54" i="2" s="1"/>
  <c r="P53" i="2"/>
  <c r="Q53" i="2"/>
  <c r="A54" i="2"/>
  <c r="A54" i="3" s="1"/>
  <c r="B54" i="2"/>
  <c r="B54" i="3" s="1"/>
  <c r="D54" i="2"/>
  <c r="R54" i="2"/>
  <c r="Y54" i="2" s="1"/>
  <c r="S54" i="2"/>
  <c r="T54" i="2"/>
  <c r="D54" i="3" s="1"/>
  <c r="K54" i="2"/>
  <c r="L54" i="2"/>
  <c r="M54" i="2"/>
  <c r="N54" i="2"/>
  <c r="Z55" i="2" s="1"/>
  <c r="P54" i="2"/>
  <c r="Q54" i="2"/>
  <c r="A55" i="2"/>
  <c r="A55" i="3" s="1"/>
  <c r="B55" i="2"/>
  <c r="B55" i="3" s="1"/>
  <c r="C55" i="2"/>
  <c r="D55" i="2"/>
  <c r="E55" i="2"/>
  <c r="R55" i="2"/>
  <c r="Y55" i="2" s="1"/>
  <c r="S55" i="2"/>
  <c r="T55" i="2"/>
  <c r="D55" i="3" s="1"/>
  <c r="K55" i="2"/>
  <c r="L55" i="2"/>
  <c r="M55" i="2"/>
  <c r="N55" i="2"/>
  <c r="Z56" i="2" s="1"/>
  <c r="P55" i="2"/>
  <c r="Q55" i="2"/>
  <c r="A56" i="2"/>
  <c r="A56" i="3" s="1"/>
  <c r="B56" i="2"/>
  <c r="B56" i="3" s="1"/>
  <c r="C56" i="2"/>
  <c r="D56" i="2"/>
  <c r="E56" i="2"/>
  <c r="R56" i="2"/>
  <c r="Y56" i="2" s="1"/>
  <c r="S56" i="2"/>
  <c r="T56" i="2"/>
  <c r="D56" i="3" s="1"/>
  <c r="K56" i="2"/>
  <c r="L56" i="2"/>
  <c r="M56" i="2"/>
  <c r="N56" i="2"/>
  <c r="Z57" i="2" s="1"/>
  <c r="P56" i="2"/>
  <c r="Q56" i="2"/>
  <c r="A57" i="2"/>
  <c r="A57" i="3" s="1"/>
  <c r="B57" i="2"/>
  <c r="B57" i="3" s="1"/>
  <c r="C57" i="2"/>
  <c r="D57" i="2"/>
  <c r="E57" i="2"/>
  <c r="R57" i="2"/>
  <c r="Y57" i="2" s="1"/>
  <c r="S57" i="2"/>
  <c r="T57" i="2"/>
  <c r="D57" i="3" s="1"/>
  <c r="K57" i="2"/>
  <c r="L57" i="2"/>
  <c r="M57" i="2"/>
  <c r="N57" i="2"/>
  <c r="Z58" i="2" s="1"/>
  <c r="P57" i="2"/>
  <c r="Q57" i="2"/>
  <c r="A58" i="2"/>
  <c r="A58" i="3" s="1"/>
  <c r="B58" i="2"/>
  <c r="B58" i="3" s="1"/>
  <c r="C58" i="2"/>
  <c r="D58" i="2"/>
  <c r="E58" i="2"/>
  <c r="R58" i="2"/>
  <c r="Y58" i="2" s="1"/>
  <c r="S58" i="2"/>
  <c r="T58" i="2"/>
  <c r="D58" i="3" s="1"/>
  <c r="K58" i="2"/>
  <c r="L58" i="2"/>
  <c r="M58" i="2"/>
  <c r="N58" i="2"/>
  <c r="Z59" i="2" s="1"/>
  <c r="P58" i="2"/>
  <c r="Q58" i="2"/>
  <c r="A59" i="2"/>
  <c r="A59" i="3" s="1"/>
  <c r="B59" i="2"/>
  <c r="B59" i="3" s="1"/>
  <c r="D59" i="2"/>
  <c r="E59" i="2"/>
  <c r="R59" i="2"/>
  <c r="Y59" i="2" s="1"/>
  <c r="S59" i="2"/>
  <c r="T59" i="2"/>
  <c r="D59" i="3" s="1"/>
  <c r="K59" i="2"/>
  <c r="L59" i="2"/>
  <c r="M59" i="2"/>
  <c r="N59" i="2"/>
  <c r="Z60" i="2" s="1"/>
  <c r="P59" i="2"/>
  <c r="Q59" i="2"/>
  <c r="A60" i="2"/>
  <c r="A60" i="3" s="1"/>
  <c r="B60" i="2"/>
  <c r="B60" i="3" s="1"/>
  <c r="C60" i="2"/>
  <c r="D60" i="2"/>
  <c r="R60" i="2"/>
  <c r="Y60" i="2" s="1"/>
  <c r="S60" i="2"/>
  <c r="T60" i="2"/>
  <c r="D60" i="3" s="1"/>
  <c r="K60" i="2"/>
  <c r="L60" i="2"/>
  <c r="M60" i="2"/>
  <c r="N60" i="2"/>
  <c r="Z61" i="2" s="1"/>
  <c r="P60" i="2"/>
  <c r="Q60" i="2"/>
  <c r="A61" i="2"/>
  <c r="A61" i="3" s="1"/>
  <c r="B61" i="2"/>
  <c r="B61" i="3" s="1"/>
  <c r="C61" i="2"/>
  <c r="D61" i="2"/>
  <c r="R61" i="2"/>
  <c r="Y61" i="2" s="1"/>
  <c r="S61" i="2"/>
  <c r="T61" i="2"/>
  <c r="D61" i="3" s="1"/>
  <c r="K61" i="2"/>
  <c r="L61" i="2"/>
  <c r="M61" i="2"/>
  <c r="N61" i="2"/>
  <c r="Z62" i="2" s="1"/>
  <c r="P61" i="2"/>
  <c r="Q61" i="2"/>
  <c r="A62" i="2"/>
  <c r="A62" i="3" s="1"/>
  <c r="B62" i="2"/>
  <c r="B62" i="3" s="1"/>
  <c r="C62" i="2"/>
  <c r="D62" i="2"/>
  <c r="E62" i="2"/>
  <c r="R62" i="2"/>
  <c r="Y62" i="2" s="1"/>
  <c r="S62" i="2"/>
  <c r="T62" i="2"/>
  <c r="D62" i="3" s="1"/>
  <c r="K62" i="2"/>
  <c r="L62" i="2"/>
  <c r="M62" i="2"/>
  <c r="N62" i="2"/>
  <c r="Z63" i="2" s="1"/>
  <c r="P62" i="2"/>
  <c r="Q62" i="2"/>
  <c r="A63" i="2"/>
  <c r="A63" i="3" s="1"/>
  <c r="B63" i="2"/>
  <c r="B63" i="3" s="1"/>
  <c r="C63" i="2"/>
  <c r="D63" i="2"/>
  <c r="R63" i="2"/>
  <c r="Y63" i="2" s="1"/>
  <c r="S63" i="2"/>
  <c r="T63" i="2"/>
  <c r="D63" i="3" s="1"/>
  <c r="K63" i="2"/>
  <c r="L63" i="2"/>
  <c r="M63" i="2"/>
  <c r="N63" i="2"/>
  <c r="Z64" i="2" s="1"/>
  <c r="P63" i="2"/>
  <c r="Q63" i="2"/>
  <c r="A64" i="2"/>
  <c r="A64" i="3" s="1"/>
  <c r="B64" i="2"/>
  <c r="B64" i="3" s="1"/>
  <c r="C64" i="2"/>
  <c r="D64" i="2"/>
  <c r="E64" i="2"/>
  <c r="R64" i="2"/>
  <c r="Y64" i="2" s="1"/>
  <c r="S64" i="2"/>
  <c r="T64" i="2"/>
  <c r="D64" i="3" s="1"/>
  <c r="K64" i="2"/>
  <c r="J64" i="2" s="1"/>
  <c r="L64" i="2"/>
  <c r="M64" i="2"/>
  <c r="N64" i="2"/>
  <c r="Z65" i="2" s="1"/>
  <c r="P64" i="2"/>
  <c r="Q64" i="2"/>
  <c r="A65" i="2"/>
  <c r="A65" i="3" s="1"/>
  <c r="B65" i="2"/>
  <c r="B65" i="3" s="1"/>
  <c r="C65" i="2"/>
  <c r="D65" i="2"/>
  <c r="E65" i="2"/>
  <c r="R65" i="2"/>
  <c r="S65" i="2"/>
  <c r="T65" i="2"/>
  <c r="D65" i="3" s="1"/>
  <c r="K65" i="2"/>
  <c r="L65" i="2"/>
  <c r="M65" i="2"/>
  <c r="N65" i="2"/>
  <c r="Z66" i="2" s="1"/>
  <c r="P65" i="2"/>
  <c r="Q65" i="2"/>
  <c r="A66" i="2"/>
  <c r="A66" i="3" s="1"/>
  <c r="B66" i="2"/>
  <c r="B66" i="3" s="1"/>
  <c r="C66" i="2"/>
  <c r="D66" i="2"/>
  <c r="E66" i="2"/>
  <c r="R66" i="2"/>
  <c r="Y66" i="2" s="1"/>
  <c r="S66" i="2"/>
  <c r="T66" i="2"/>
  <c r="D66" i="3" s="1"/>
  <c r="K66" i="2"/>
  <c r="L66" i="2"/>
  <c r="M66" i="2"/>
  <c r="N66" i="2"/>
  <c r="Z67" i="2" s="1"/>
  <c r="P66" i="2"/>
  <c r="Q66" i="2"/>
  <c r="A67" i="2"/>
  <c r="A67" i="3" s="1"/>
  <c r="B67" i="2"/>
  <c r="B67" i="3" s="1"/>
  <c r="C67" i="2"/>
  <c r="D67" i="2"/>
  <c r="E67" i="2"/>
  <c r="R67" i="2"/>
  <c r="S67" i="2"/>
  <c r="T67" i="2"/>
  <c r="D67" i="3" s="1"/>
  <c r="K67" i="2"/>
  <c r="L67" i="2"/>
  <c r="M67" i="2"/>
  <c r="N67" i="2"/>
  <c r="P67" i="2"/>
  <c r="Q67" i="2"/>
  <c r="A68" i="2"/>
  <c r="A68" i="3" s="1"/>
  <c r="B68" i="2"/>
  <c r="B68" i="3" s="1"/>
  <c r="C68" i="2"/>
  <c r="D68" i="2"/>
  <c r="E68" i="2"/>
  <c r="K68" i="2"/>
  <c r="J68" i="2" s="1"/>
  <c r="L68" i="2"/>
  <c r="M68" i="2"/>
  <c r="N68" i="2"/>
  <c r="P68" i="2"/>
  <c r="Q68" i="2"/>
  <c r="A69" i="2"/>
  <c r="A69" i="3" s="1"/>
  <c r="B69" i="2"/>
  <c r="B69" i="3" s="1"/>
  <c r="C69" i="2"/>
  <c r="D69" i="2"/>
  <c r="E69" i="2"/>
  <c r="K69" i="2"/>
  <c r="J69" i="2" s="1"/>
  <c r="L69" i="2"/>
  <c r="M69" i="2"/>
  <c r="N69" i="2"/>
  <c r="P69" i="2"/>
  <c r="Q69" i="2"/>
  <c r="A70" i="2"/>
  <c r="A70" i="3" s="1"/>
  <c r="B70" i="2"/>
  <c r="B70" i="3" s="1"/>
  <c r="C70" i="2"/>
  <c r="D70" i="2"/>
  <c r="E70" i="2"/>
  <c r="K70" i="2"/>
  <c r="J70" i="2" s="1"/>
  <c r="L70" i="2"/>
  <c r="M70" i="2"/>
  <c r="N70" i="2"/>
  <c r="P70" i="2"/>
  <c r="Q70" i="2"/>
  <c r="A71" i="2"/>
  <c r="A71" i="3" s="1"/>
  <c r="B71" i="2"/>
  <c r="B71" i="3" s="1"/>
  <c r="D71" i="2"/>
  <c r="D92" i="4"/>
  <c r="M92" i="4" s="1"/>
  <c r="E92" i="4"/>
  <c r="N92" i="4" s="1"/>
  <c r="T71" i="2"/>
  <c r="D71" i="3" s="1"/>
  <c r="E71" i="3" s="1"/>
  <c r="K71" i="2"/>
  <c r="L71" i="2"/>
  <c r="M71" i="2"/>
  <c r="N71" i="2"/>
  <c r="P71" i="2"/>
  <c r="H92" i="4" s="1"/>
  <c r="P92" i="4" s="1"/>
  <c r="Q71" i="2"/>
  <c r="A72" i="2"/>
  <c r="A72" i="3" s="1"/>
  <c r="B72" i="2"/>
  <c r="B72" i="3" s="1"/>
  <c r="C72" i="2"/>
  <c r="D72" i="2"/>
  <c r="E72" i="2"/>
  <c r="R72" i="2"/>
  <c r="T72" i="2"/>
  <c r="D72" i="3" s="1"/>
  <c r="K72" i="2"/>
  <c r="L72" i="2"/>
  <c r="M72" i="2"/>
  <c r="N72" i="2"/>
  <c r="P72" i="2"/>
  <c r="H93" i="4" s="1"/>
  <c r="P93" i="4" s="1"/>
  <c r="Q72" i="2"/>
  <c r="A73" i="2"/>
  <c r="A73" i="3" s="1"/>
  <c r="B73" i="2"/>
  <c r="B73" i="3" s="1"/>
  <c r="C73" i="2"/>
  <c r="D73" i="2"/>
  <c r="E73" i="2"/>
  <c r="T73" i="2"/>
  <c r="D73" i="3" s="1"/>
  <c r="K73" i="2"/>
  <c r="L73" i="2"/>
  <c r="M73" i="2"/>
  <c r="N73" i="2"/>
  <c r="P73" i="2"/>
  <c r="H94" i="4" s="1"/>
  <c r="P94" i="4" s="1"/>
  <c r="Q73" i="2"/>
  <c r="A74" i="2"/>
  <c r="A74" i="3" s="1"/>
  <c r="B74" i="2"/>
  <c r="B74" i="3" s="1"/>
  <c r="C74" i="2"/>
  <c r="D74" i="2"/>
  <c r="E74" i="2"/>
  <c r="S74" i="2"/>
  <c r="T74" i="2"/>
  <c r="D74" i="3" s="1"/>
  <c r="K74" i="2"/>
  <c r="L74" i="2"/>
  <c r="M74" i="2"/>
  <c r="N74" i="2"/>
  <c r="P74" i="2"/>
  <c r="H95" i="4" s="1"/>
  <c r="P95" i="4" s="1"/>
  <c r="Q74" i="2"/>
  <c r="A75" i="2"/>
  <c r="A75" i="3" s="1"/>
  <c r="B75" i="2"/>
  <c r="B75" i="3" s="1"/>
  <c r="C75" i="2"/>
  <c r="D75" i="2"/>
  <c r="E75" i="2"/>
  <c r="S75" i="2"/>
  <c r="T75" i="2"/>
  <c r="D75" i="3" s="1"/>
  <c r="K75" i="2"/>
  <c r="L75" i="2"/>
  <c r="M75" i="2"/>
  <c r="N75" i="2"/>
  <c r="P75" i="2"/>
  <c r="H96" i="4" s="1"/>
  <c r="P96" i="4" s="1"/>
  <c r="Q75" i="2"/>
  <c r="A76" i="2"/>
  <c r="A76" i="3" s="1"/>
  <c r="B76" i="2"/>
  <c r="B76" i="3" s="1"/>
  <c r="C76" i="2"/>
  <c r="D76" i="2"/>
  <c r="E76" i="2"/>
  <c r="T76" i="2"/>
  <c r="D76" i="3" s="1"/>
  <c r="K76" i="2"/>
  <c r="L76" i="2"/>
  <c r="M76" i="2"/>
  <c r="N76" i="2"/>
  <c r="P76" i="2"/>
  <c r="H97" i="4" s="1"/>
  <c r="P97" i="4" s="1"/>
  <c r="Q76" i="2"/>
  <c r="A77" i="2"/>
  <c r="A77" i="3" s="1"/>
  <c r="B77" i="2"/>
  <c r="B77" i="3" s="1"/>
  <c r="C77" i="2"/>
  <c r="D77" i="2"/>
  <c r="E77" i="2"/>
  <c r="T77" i="2"/>
  <c r="D77" i="3" s="1"/>
  <c r="K77" i="2"/>
  <c r="L77" i="2"/>
  <c r="M77" i="2"/>
  <c r="N77" i="2"/>
  <c r="P77" i="2"/>
  <c r="H98" i="4" s="1"/>
  <c r="P98" i="4" s="1"/>
  <c r="Q77" i="2"/>
  <c r="A78" i="2"/>
  <c r="A78" i="3" s="1"/>
  <c r="B78" i="2"/>
  <c r="B78" i="3" s="1"/>
  <c r="C78" i="2"/>
  <c r="D78" i="2"/>
  <c r="E78" i="2"/>
  <c r="D99" i="4"/>
  <c r="M99" i="4" s="1"/>
  <c r="T78" i="2"/>
  <c r="D78" i="3" s="1"/>
  <c r="K78" i="2"/>
  <c r="L78" i="2"/>
  <c r="M78" i="2"/>
  <c r="N78" i="2"/>
  <c r="P78" i="2"/>
  <c r="H99" i="4" s="1"/>
  <c r="P99" i="4" s="1"/>
  <c r="Q78" i="2"/>
  <c r="A79" i="2"/>
  <c r="A79" i="3" s="1"/>
  <c r="B79" i="2"/>
  <c r="B79" i="3" s="1"/>
  <c r="C79" i="2"/>
  <c r="D79" i="2"/>
  <c r="E79" i="2"/>
  <c r="T79" i="2"/>
  <c r="D79" i="3" s="1"/>
  <c r="E79" i="3" s="1"/>
  <c r="K79" i="2"/>
  <c r="L79" i="2"/>
  <c r="M79" i="2"/>
  <c r="N79" i="2"/>
  <c r="P79" i="2"/>
  <c r="H100" i="4" s="1"/>
  <c r="P100" i="4" s="1"/>
  <c r="Q79" i="2"/>
  <c r="A80" i="2"/>
  <c r="A80" i="3" s="1"/>
  <c r="B80" i="2"/>
  <c r="B80" i="3" s="1"/>
  <c r="C80" i="2"/>
  <c r="D80" i="2"/>
  <c r="E80" i="2"/>
  <c r="R80" i="2"/>
  <c r="Y80" i="2" s="1"/>
  <c r="E101" i="4"/>
  <c r="N101" i="4" s="1"/>
  <c r="T80" i="2"/>
  <c r="D80" i="3" s="1"/>
  <c r="K80" i="2"/>
  <c r="L80" i="2"/>
  <c r="M80" i="2"/>
  <c r="N80" i="2"/>
  <c r="P80" i="2"/>
  <c r="H101" i="4" s="1"/>
  <c r="P101" i="4" s="1"/>
  <c r="Q80" i="2"/>
  <c r="A81" i="2"/>
  <c r="A81" i="3" s="1"/>
  <c r="B81" i="2"/>
  <c r="B81" i="3" s="1"/>
  <c r="C81" i="2"/>
  <c r="D81" i="2"/>
  <c r="E81" i="2"/>
  <c r="T81" i="2"/>
  <c r="D81" i="3" s="1"/>
  <c r="K81" i="2"/>
  <c r="L81" i="2"/>
  <c r="M81" i="2"/>
  <c r="N81" i="2"/>
  <c r="P81" i="2"/>
  <c r="H102" i="4" s="1"/>
  <c r="P102" i="4" s="1"/>
  <c r="Q81" i="2"/>
  <c r="A82" i="2"/>
  <c r="A82" i="3" s="1"/>
  <c r="B82" i="2"/>
  <c r="B82" i="3" s="1"/>
  <c r="C82" i="2"/>
  <c r="D82" i="2"/>
  <c r="E82" i="2"/>
  <c r="T82" i="2"/>
  <c r="D82" i="3" s="1"/>
  <c r="L82" i="2"/>
  <c r="M82" i="2"/>
  <c r="N82" i="2"/>
  <c r="P82" i="2"/>
  <c r="H103" i="4" s="1"/>
  <c r="P103" i="4" s="1"/>
  <c r="Q82" i="2"/>
  <c r="A83" i="2"/>
  <c r="A83" i="3" s="1"/>
  <c r="B83" i="2"/>
  <c r="B83" i="3" s="1"/>
  <c r="C83" i="2"/>
  <c r="D83" i="2"/>
  <c r="E83" i="2"/>
  <c r="D104" i="4"/>
  <c r="E104" i="4"/>
  <c r="K83" i="2"/>
  <c r="J83" i="2" s="1"/>
  <c r="L83" i="2"/>
  <c r="M83" i="2"/>
  <c r="N83" i="2"/>
  <c r="G104" i="4" s="1"/>
  <c r="P83" i="2"/>
  <c r="H104" i="4" s="1"/>
  <c r="P104" i="4" s="1"/>
  <c r="Q83" i="2"/>
  <c r="A84" i="3"/>
  <c r="B84" i="3"/>
  <c r="C84" i="2"/>
  <c r="D84" i="2"/>
  <c r="E84" i="2"/>
  <c r="K84" i="2"/>
  <c r="J84" i="2" s="1"/>
  <c r="L84" i="2"/>
  <c r="M84" i="2"/>
  <c r="N84" i="2"/>
  <c r="P84" i="2"/>
  <c r="Q84" i="2"/>
  <c r="A85" i="2"/>
  <c r="A85" i="3" s="1"/>
  <c r="B85" i="2"/>
  <c r="B85" i="3" s="1"/>
  <c r="C85" i="2"/>
  <c r="D85" i="2"/>
  <c r="E85" i="2"/>
  <c r="K85" i="2"/>
  <c r="J85" i="2" s="1"/>
  <c r="L85" i="2"/>
  <c r="M85" i="2"/>
  <c r="N85" i="2"/>
  <c r="G106" i="4" s="1"/>
  <c r="P85" i="2"/>
  <c r="H106" i="4" s="1"/>
  <c r="P106" i="4" s="1"/>
  <c r="Q85" i="2"/>
  <c r="A86" i="2"/>
  <c r="A86" i="3" s="1"/>
  <c r="B86" i="2"/>
  <c r="B86" i="3" s="1"/>
  <c r="C86" i="2"/>
  <c r="D86" i="2"/>
  <c r="E86" i="2"/>
  <c r="T86" i="2"/>
  <c r="D86" i="3" s="1"/>
  <c r="K86" i="2"/>
  <c r="L86" i="2"/>
  <c r="M86" i="2"/>
  <c r="N86" i="2"/>
  <c r="P86" i="2"/>
  <c r="H108" i="4" s="1"/>
  <c r="P108" i="4" s="1"/>
  <c r="Q86" i="2"/>
  <c r="A87" i="2"/>
  <c r="A87" i="3" s="1"/>
  <c r="B87" i="2"/>
  <c r="B87" i="3" s="1"/>
  <c r="C87" i="2"/>
  <c r="D87" i="2"/>
  <c r="E87" i="2"/>
  <c r="T87" i="2"/>
  <c r="D87" i="3" s="1"/>
  <c r="K87" i="2"/>
  <c r="L87" i="2"/>
  <c r="M87" i="2"/>
  <c r="N87" i="2"/>
  <c r="P87" i="2"/>
  <c r="H109" i="4" s="1"/>
  <c r="P109" i="4" s="1"/>
  <c r="Q87" i="2"/>
  <c r="A88" i="2"/>
  <c r="A88" i="3" s="1"/>
  <c r="B88" i="2"/>
  <c r="B88" i="3" s="1"/>
  <c r="C88" i="2"/>
  <c r="D88" i="2"/>
  <c r="E88" i="2"/>
  <c r="D110" i="4"/>
  <c r="M110" i="4" s="1"/>
  <c r="T88" i="2"/>
  <c r="D88" i="3" s="1"/>
  <c r="K88" i="2"/>
  <c r="L88" i="2"/>
  <c r="M88" i="2"/>
  <c r="N88" i="2"/>
  <c r="P88" i="2"/>
  <c r="H110" i="4" s="1"/>
  <c r="P110" i="4" s="1"/>
  <c r="Q88" i="2"/>
  <c r="A89" i="2"/>
  <c r="A89" i="3" s="1"/>
  <c r="B89" i="2"/>
  <c r="B89" i="3" s="1"/>
  <c r="C89" i="2"/>
  <c r="D89" i="2"/>
  <c r="E89" i="2"/>
  <c r="T89" i="2"/>
  <c r="D89" i="3" s="1"/>
  <c r="K89" i="2"/>
  <c r="L89" i="2"/>
  <c r="M89" i="2"/>
  <c r="N89" i="2"/>
  <c r="P89" i="2"/>
  <c r="H111" i="4" s="1"/>
  <c r="P111" i="4" s="1"/>
  <c r="Q89" i="2"/>
  <c r="A90" i="2"/>
  <c r="A90" i="3" s="1"/>
  <c r="B90" i="2"/>
  <c r="B90" i="3" s="1"/>
  <c r="C90" i="2"/>
  <c r="D90" i="2"/>
  <c r="E90" i="2"/>
  <c r="T90" i="2"/>
  <c r="D90" i="3" s="1"/>
  <c r="L90" i="2"/>
  <c r="M90" i="2"/>
  <c r="N90" i="2"/>
  <c r="P90" i="2"/>
  <c r="H112" i="4" s="1"/>
  <c r="P112" i="4" s="1"/>
  <c r="Q90" i="2"/>
  <c r="A91" i="2"/>
  <c r="A91" i="3" s="1"/>
  <c r="B91" i="2"/>
  <c r="B91" i="3" s="1"/>
  <c r="C91" i="2"/>
  <c r="D91" i="2"/>
  <c r="D113" i="4"/>
  <c r="M113" i="4" s="1"/>
  <c r="T91" i="2"/>
  <c r="D91" i="3" s="1"/>
  <c r="K91" i="2"/>
  <c r="L91" i="2"/>
  <c r="M91" i="2"/>
  <c r="N91" i="2"/>
  <c r="P91" i="2"/>
  <c r="H113" i="4" s="1"/>
  <c r="P113" i="4" s="1"/>
  <c r="Q91" i="2"/>
  <c r="A92" i="2"/>
  <c r="A92" i="3" s="1"/>
  <c r="B92" i="2"/>
  <c r="B92" i="3" s="1"/>
  <c r="C92" i="2"/>
  <c r="D92" i="2"/>
  <c r="E92" i="2"/>
  <c r="S92" i="2"/>
  <c r="T92" i="2"/>
  <c r="D92" i="3" s="1"/>
  <c r="K92" i="2"/>
  <c r="L92" i="2"/>
  <c r="M92" i="2"/>
  <c r="N92" i="2"/>
  <c r="P92" i="2"/>
  <c r="H114" i="4" s="1"/>
  <c r="P114" i="4" s="1"/>
  <c r="Q92" i="2"/>
  <c r="A93" i="2"/>
  <c r="A93" i="3" s="1"/>
  <c r="B93" i="2"/>
  <c r="B93" i="3" s="1"/>
  <c r="C93" i="2"/>
  <c r="D93" i="2"/>
  <c r="E93" i="2"/>
  <c r="T93" i="2"/>
  <c r="D93" i="3" s="1"/>
  <c r="L93" i="2"/>
  <c r="M93" i="2"/>
  <c r="N93" i="2"/>
  <c r="P93" i="2"/>
  <c r="H115" i="4" s="1"/>
  <c r="P115" i="4" s="1"/>
  <c r="Q93" i="2"/>
  <c r="A94" i="2"/>
  <c r="A94" i="3" s="1"/>
  <c r="B94" i="2"/>
  <c r="B94" i="3" s="1"/>
  <c r="C94" i="2"/>
  <c r="D94" i="2"/>
  <c r="E94" i="2"/>
  <c r="R94" i="2"/>
  <c r="T94" i="2"/>
  <c r="D94" i="3" s="1"/>
  <c r="K94" i="2"/>
  <c r="L94" i="2"/>
  <c r="M94" i="2"/>
  <c r="N94" i="2"/>
  <c r="P94" i="2"/>
  <c r="H116" i="4" s="1"/>
  <c r="P116" i="4" s="1"/>
  <c r="Q94" i="2"/>
  <c r="A95" i="2"/>
  <c r="A95" i="3" s="1"/>
  <c r="B95" i="2"/>
  <c r="B95" i="3" s="1"/>
  <c r="C95" i="2"/>
  <c r="D95" i="2"/>
  <c r="E95" i="2"/>
  <c r="T95" i="2"/>
  <c r="D95" i="3" s="1"/>
  <c r="K95" i="2"/>
  <c r="L95" i="2"/>
  <c r="M95" i="2"/>
  <c r="N95" i="2"/>
  <c r="P95" i="2"/>
  <c r="H117" i="4" s="1"/>
  <c r="P117" i="4" s="1"/>
  <c r="Q95" i="2"/>
  <c r="A96" i="2"/>
  <c r="A96" i="3" s="1"/>
  <c r="B96" i="2"/>
  <c r="B96" i="3" s="1"/>
  <c r="C96" i="2"/>
  <c r="D96" i="2"/>
  <c r="E96" i="2"/>
  <c r="D118" i="4"/>
  <c r="M118" i="4" s="1"/>
  <c r="E118" i="4"/>
  <c r="N118" i="4" s="1"/>
  <c r="T96" i="2"/>
  <c r="D96" i="3" s="1"/>
  <c r="K96" i="2"/>
  <c r="L96" i="2"/>
  <c r="M96" i="2"/>
  <c r="N96" i="2"/>
  <c r="P96" i="2"/>
  <c r="H118" i="4" s="1"/>
  <c r="P118" i="4" s="1"/>
  <c r="Q96" i="2"/>
  <c r="A97" i="2"/>
  <c r="A97" i="3" s="1"/>
  <c r="B97" i="2"/>
  <c r="B97" i="3" s="1"/>
  <c r="C97" i="2"/>
  <c r="D97" i="2"/>
  <c r="E97" i="2"/>
  <c r="T97" i="2"/>
  <c r="D97" i="3" s="1"/>
  <c r="K97" i="2"/>
  <c r="L97" i="2"/>
  <c r="M97" i="2"/>
  <c r="N97" i="2"/>
  <c r="P97" i="2"/>
  <c r="H119" i="4" s="1"/>
  <c r="P119" i="4" s="1"/>
  <c r="Q97" i="2"/>
  <c r="A98" i="2"/>
  <c r="A98" i="3" s="1"/>
  <c r="B98" i="2"/>
  <c r="B98" i="3" s="1"/>
  <c r="C98" i="2"/>
  <c r="D98" i="2"/>
  <c r="E98" i="2"/>
  <c r="D120" i="4"/>
  <c r="E120" i="4"/>
  <c r="K98" i="2"/>
  <c r="J98" i="2" s="1"/>
  <c r="L98" i="2"/>
  <c r="M98" i="2"/>
  <c r="N98" i="2"/>
  <c r="G120" i="4" s="1"/>
  <c r="P98" i="2"/>
  <c r="H120" i="4" s="1"/>
  <c r="P120" i="4" s="1"/>
  <c r="Q98" i="2"/>
  <c r="A99" i="2"/>
  <c r="A99" i="3" s="1"/>
  <c r="B99" i="2"/>
  <c r="B99" i="3" s="1"/>
  <c r="C99" i="2"/>
  <c r="D99" i="2"/>
  <c r="E99" i="2"/>
  <c r="K99" i="2"/>
  <c r="J99" i="2" s="1"/>
  <c r="L99" i="2"/>
  <c r="M99" i="2"/>
  <c r="N99" i="2"/>
  <c r="P99" i="2"/>
  <c r="Q99" i="2"/>
  <c r="A100" i="2"/>
  <c r="A100" i="3" s="1"/>
  <c r="B100" i="2"/>
  <c r="B100" i="3" s="1"/>
  <c r="C100" i="2"/>
  <c r="D100" i="2"/>
  <c r="E100" i="2"/>
  <c r="E122" i="4"/>
  <c r="K100" i="2"/>
  <c r="J100" i="2" s="1"/>
  <c r="L100" i="2"/>
  <c r="M100" i="2"/>
  <c r="N100" i="2"/>
  <c r="G122" i="4" s="1"/>
  <c r="P100" i="2"/>
  <c r="H122" i="4" s="1"/>
  <c r="Q100" i="2"/>
  <c r="A101" i="2"/>
  <c r="A101" i="3" s="1"/>
  <c r="B101" i="2"/>
  <c r="B101" i="3" s="1"/>
  <c r="C101" i="2"/>
  <c r="D101" i="2"/>
  <c r="E101" i="2"/>
  <c r="T101" i="2"/>
  <c r="D101" i="3" s="1"/>
  <c r="L101" i="2"/>
  <c r="M101" i="2"/>
  <c r="N101" i="2"/>
  <c r="P101" i="2"/>
  <c r="H124" i="4" s="1"/>
  <c r="P124" i="4" s="1"/>
  <c r="Q101" i="2"/>
  <c r="A102" i="2"/>
  <c r="A102" i="3" s="1"/>
  <c r="B102" i="2"/>
  <c r="B102" i="3" s="1"/>
  <c r="D102" i="2"/>
  <c r="E102" i="2"/>
  <c r="T102" i="2"/>
  <c r="D102" i="3" s="1"/>
  <c r="K102" i="2"/>
  <c r="L102" i="2"/>
  <c r="M102" i="2"/>
  <c r="N102" i="2"/>
  <c r="P102" i="2"/>
  <c r="H125" i="4" s="1"/>
  <c r="P125" i="4" s="1"/>
  <c r="Q102" i="2"/>
  <c r="A103" i="2"/>
  <c r="A103" i="3" s="1"/>
  <c r="B103" i="2"/>
  <c r="B103" i="3" s="1"/>
  <c r="C103" i="2"/>
  <c r="D103" i="2"/>
  <c r="E103" i="2"/>
  <c r="T103" i="2"/>
  <c r="D103" i="3" s="1"/>
  <c r="K103" i="2"/>
  <c r="L103" i="2"/>
  <c r="M103" i="2"/>
  <c r="N103" i="2"/>
  <c r="P103" i="2"/>
  <c r="H126" i="4" s="1"/>
  <c r="P126" i="4" s="1"/>
  <c r="Q103" i="2"/>
  <c r="A104" i="2"/>
  <c r="A104" i="3" s="1"/>
  <c r="B104" i="2"/>
  <c r="B104" i="3" s="1"/>
  <c r="C104" i="2"/>
  <c r="D104" i="2"/>
  <c r="E104" i="2"/>
  <c r="T104" i="2"/>
  <c r="D104" i="3" s="1"/>
  <c r="K104" i="2"/>
  <c r="L104" i="2"/>
  <c r="M104" i="2"/>
  <c r="N104" i="2"/>
  <c r="P104" i="2"/>
  <c r="H127" i="4" s="1"/>
  <c r="P127" i="4" s="1"/>
  <c r="Q104" i="2"/>
  <c r="A105" i="2"/>
  <c r="A105" i="3" s="1"/>
  <c r="B105" i="2"/>
  <c r="B105" i="3" s="1"/>
  <c r="C105" i="2"/>
  <c r="D105" i="2"/>
  <c r="E105" i="2"/>
  <c r="D128" i="4"/>
  <c r="M128" i="4" s="1"/>
  <c r="T105" i="2"/>
  <c r="D105" i="3" s="1"/>
  <c r="L105" i="2"/>
  <c r="M105" i="2"/>
  <c r="N105" i="2"/>
  <c r="P105" i="2"/>
  <c r="H128" i="4" s="1"/>
  <c r="P128" i="4" s="1"/>
  <c r="Q105" i="2"/>
  <c r="A106" i="2"/>
  <c r="A106" i="3" s="1"/>
  <c r="B106" i="2"/>
  <c r="B106" i="3" s="1"/>
  <c r="C106" i="2"/>
  <c r="D106" i="2"/>
  <c r="E106" i="2"/>
  <c r="T106" i="2"/>
  <c r="D106" i="3" s="1"/>
  <c r="K106" i="2"/>
  <c r="L106" i="2"/>
  <c r="M106" i="2"/>
  <c r="N106" i="2"/>
  <c r="P106" i="2"/>
  <c r="H129" i="4" s="1"/>
  <c r="P129" i="4" s="1"/>
  <c r="Q106" i="2"/>
  <c r="A107" i="2"/>
  <c r="A107" i="3" s="1"/>
  <c r="B107" i="2"/>
  <c r="B107" i="3" s="1"/>
  <c r="C107" i="2"/>
  <c r="D107" i="2"/>
  <c r="E107" i="2"/>
  <c r="R107" i="2"/>
  <c r="Y107" i="2" s="1"/>
  <c r="T107" i="2"/>
  <c r="D107" i="3" s="1"/>
  <c r="L107" i="2"/>
  <c r="M107" i="2"/>
  <c r="N107" i="2"/>
  <c r="P107" i="2"/>
  <c r="H130" i="4" s="1"/>
  <c r="P130" i="4" s="1"/>
  <c r="Q107" i="2"/>
  <c r="A108" i="2"/>
  <c r="A108" i="3" s="1"/>
  <c r="B108" i="2"/>
  <c r="B108" i="3" s="1"/>
  <c r="C108" i="2"/>
  <c r="E108" i="2"/>
  <c r="R108" i="2"/>
  <c r="E131" i="4"/>
  <c r="N131" i="4" s="1"/>
  <c r="T108" i="2"/>
  <c r="D108" i="3" s="1"/>
  <c r="K108" i="2"/>
  <c r="L108" i="2"/>
  <c r="M108" i="2"/>
  <c r="N108" i="2"/>
  <c r="P108" i="2"/>
  <c r="H131" i="4" s="1"/>
  <c r="P131" i="4" s="1"/>
  <c r="Q108" i="2"/>
  <c r="A109" i="2"/>
  <c r="A109" i="3" s="1"/>
  <c r="B109" i="2"/>
  <c r="B109" i="3" s="1"/>
  <c r="C109" i="2"/>
  <c r="E109" i="2"/>
  <c r="R109" i="2"/>
  <c r="Y109" i="2" s="1"/>
  <c r="T109" i="2"/>
  <c r="D109" i="3" s="1"/>
  <c r="L109" i="2"/>
  <c r="M109" i="2"/>
  <c r="N109" i="2"/>
  <c r="P109" i="2"/>
  <c r="H132" i="4" s="1"/>
  <c r="P132" i="4" s="1"/>
  <c r="Q109" i="2"/>
  <c r="A110" i="2"/>
  <c r="A110" i="3" s="1"/>
  <c r="B110" i="2"/>
  <c r="B110" i="3" s="1"/>
  <c r="D110" i="2"/>
  <c r="E110" i="2"/>
  <c r="T110" i="2"/>
  <c r="D110" i="3" s="1"/>
  <c r="L110" i="2"/>
  <c r="M110" i="2"/>
  <c r="N110" i="2"/>
  <c r="P110" i="2"/>
  <c r="H133" i="4" s="1"/>
  <c r="P133" i="4" s="1"/>
  <c r="Q110" i="2"/>
  <c r="A111" i="2"/>
  <c r="A111" i="3" s="1"/>
  <c r="B111" i="2"/>
  <c r="B111" i="3" s="1"/>
  <c r="C111" i="2"/>
  <c r="D111" i="2"/>
  <c r="E111" i="2"/>
  <c r="D134" i="4"/>
  <c r="M134" i="4" s="1"/>
  <c r="T111" i="2"/>
  <c r="D111" i="3" s="1"/>
  <c r="L111" i="2"/>
  <c r="M111" i="2"/>
  <c r="N111" i="2"/>
  <c r="P111" i="2"/>
  <c r="H134" i="4" s="1"/>
  <c r="P134" i="4" s="1"/>
  <c r="Q111" i="2"/>
  <c r="A112" i="2"/>
  <c r="A112" i="3" s="1"/>
  <c r="B112" i="2"/>
  <c r="B112" i="3" s="1"/>
  <c r="C112" i="2"/>
  <c r="D112" i="2"/>
  <c r="T112" i="2"/>
  <c r="D112" i="3" s="1"/>
  <c r="K112" i="2"/>
  <c r="L112" i="2"/>
  <c r="M112" i="2"/>
  <c r="N112" i="2"/>
  <c r="P112" i="2"/>
  <c r="H135" i="4" s="1"/>
  <c r="P135" i="4" s="1"/>
  <c r="Q112" i="2"/>
  <c r="A113" i="2"/>
  <c r="A113" i="3" s="1"/>
  <c r="B113" i="2"/>
  <c r="B113" i="3" s="1"/>
  <c r="C113" i="2"/>
  <c r="D113" i="2"/>
  <c r="E113" i="2"/>
  <c r="T113" i="2"/>
  <c r="D113" i="3" s="1"/>
  <c r="K113" i="2"/>
  <c r="L113" i="2"/>
  <c r="M113" i="2"/>
  <c r="N113" i="2"/>
  <c r="P113" i="2"/>
  <c r="H136" i="4" s="1"/>
  <c r="P136" i="4" s="1"/>
  <c r="Q113" i="2"/>
  <c r="A114" i="2"/>
  <c r="A114" i="3" s="1"/>
  <c r="B114" i="2"/>
  <c r="B114" i="3" s="1"/>
  <c r="C114" i="2"/>
  <c r="D114" i="2"/>
  <c r="E114" i="2"/>
  <c r="T114" i="2"/>
  <c r="D114" i="3" s="1"/>
  <c r="K114" i="2"/>
  <c r="L114" i="2"/>
  <c r="M114" i="2"/>
  <c r="N114" i="2"/>
  <c r="P114" i="2"/>
  <c r="H138" i="4" s="1"/>
  <c r="P138" i="4" s="1"/>
  <c r="Q114" i="2"/>
  <c r="A115" i="2"/>
  <c r="A115" i="3" s="1"/>
  <c r="B115" i="2"/>
  <c r="B115" i="3" s="1"/>
  <c r="C115" i="2"/>
  <c r="D115" i="2"/>
  <c r="T115" i="2"/>
  <c r="D115" i="3" s="1"/>
  <c r="K115" i="2"/>
  <c r="L115" i="2"/>
  <c r="M115" i="2"/>
  <c r="N115" i="2"/>
  <c r="P115" i="2"/>
  <c r="H140" i="4" s="1"/>
  <c r="P140" i="4" s="1"/>
  <c r="Q115" i="2"/>
  <c r="A116" i="2"/>
  <c r="A116" i="3" s="1"/>
  <c r="B116" i="2"/>
  <c r="B116" i="3" s="1"/>
  <c r="C116" i="2"/>
  <c r="D116" i="2"/>
  <c r="E116" i="2"/>
  <c r="E142" i="4"/>
  <c r="N142" i="4" s="1"/>
  <c r="T116" i="2"/>
  <c r="D116" i="3" s="1"/>
  <c r="K116" i="2"/>
  <c r="L116" i="2"/>
  <c r="M116" i="2"/>
  <c r="N116" i="2"/>
  <c r="Z117" i="2" s="1"/>
  <c r="P116" i="2"/>
  <c r="H142" i="4" s="1"/>
  <c r="P142" i="4" s="1"/>
  <c r="Q116" i="2"/>
  <c r="A117" i="2"/>
  <c r="A117" i="3" s="1"/>
  <c r="B117" i="2"/>
  <c r="B117" i="3" s="1"/>
  <c r="C117" i="2"/>
  <c r="D117" i="2"/>
  <c r="E117" i="2"/>
  <c r="T117" i="2"/>
  <c r="D117" i="3" s="1"/>
  <c r="L117" i="2"/>
  <c r="M117" i="2"/>
  <c r="N117" i="2"/>
  <c r="P117" i="2"/>
  <c r="H144" i="4" s="1"/>
  <c r="P144" i="4" s="1"/>
  <c r="Q117" i="2"/>
  <c r="A118" i="2"/>
  <c r="A118" i="3" s="1"/>
  <c r="B118" i="2"/>
  <c r="C118" i="2"/>
  <c r="D118" i="2"/>
  <c r="E118" i="2"/>
  <c r="E145" i="4"/>
  <c r="K118" i="2"/>
  <c r="J118" i="2" s="1"/>
  <c r="L118" i="2"/>
  <c r="M118" i="2"/>
  <c r="N118" i="2"/>
  <c r="G145" i="4" s="1"/>
  <c r="P118" i="2"/>
  <c r="H145" i="4" s="1"/>
  <c r="P145" i="4" s="1"/>
  <c r="Q118" i="2"/>
  <c r="A119" i="2"/>
  <c r="A119" i="3" s="1"/>
  <c r="B119" i="2"/>
  <c r="B119" i="3" s="1"/>
  <c r="C119" i="2"/>
  <c r="D119" i="2"/>
  <c r="E119" i="2"/>
  <c r="T119" i="2"/>
  <c r="D119" i="3" s="1"/>
  <c r="K119" i="2"/>
  <c r="L119" i="2"/>
  <c r="M119" i="2"/>
  <c r="N119" i="2"/>
  <c r="G146" i="4" s="1"/>
  <c r="Q119" i="2"/>
  <c r="A6" i="2"/>
  <c r="A6" i="3" s="1"/>
  <c r="B6" i="2"/>
  <c r="B6" i="3" s="1"/>
  <c r="C6" i="2"/>
  <c r="D6" i="2"/>
  <c r="E6" i="2"/>
  <c r="R6" i="2"/>
  <c r="Y6" i="2" s="1"/>
  <c r="S6" i="2"/>
  <c r="T6" i="2"/>
  <c r="D6" i="3" s="1"/>
  <c r="L6" i="2"/>
  <c r="M6" i="2"/>
  <c r="N6" i="2"/>
  <c r="Z7" i="2" s="1"/>
  <c r="P6" i="2"/>
  <c r="A7" i="2"/>
  <c r="A7" i="3" s="1"/>
  <c r="B7" i="2"/>
  <c r="B7" i="3" s="1"/>
  <c r="C7" i="2"/>
  <c r="D7" i="2"/>
  <c r="E7" i="2"/>
  <c r="R7" i="2"/>
  <c r="T7" i="2"/>
  <c r="D7" i="3" s="1"/>
  <c r="K7" i="2"/>
  <c r="L7" i="2"/>
  <c r="M7" i="2"/>
  <c r="N7" i="2"/>
  <c r="Z8" i="2" s="1"/>
  <c r="P7" i="2"/>
  <c r="A8" i="2"/>
  <c r="A8" i="3" s="1"/>
  <c r="B8" i="2"/>
  <c r="B8" i="3" s="1"/>
  <c r="C8" i="2"/>
  <c r="D8" i="2"/>
  <c r="E8" i="2"/>
  <c r="R8" i="2"/>
  <c r="Y8" i="2" s="1"/>
  <c r="S8" i="2"/>
  <c r="T8" i="2"/>
  <c r="D8" i="3" s="1"/>
  <c r="K8" i="2"/>
  <c r="L8" i="2"/>
  <c r="M8" i="2"/>
  <c r="N8" i="2"/>
  <c r="Z9" i="2" s="1"/>
  <c r="P8" i="2"/>
  <c r="M5" i="2"/>
  <c r="N5" i="2"/>
  <c r="Z6" i="2" s="1"/>
  <c r="K5" i="2"/>
  <c r="Q2" i="2"/>
  <c r="Q3" i="2"/>
  <c r="Q4" i="2"/>
  <c r="Q5" i="2"/>
  <c r="Q6" i="2"/>
  <c r="Q7" i="2"/>
  <c r="Q8" i="2"/>
  <c r="Q1" i="2"/>
  <c r="K117" i="1"/>
  <c r="K117" i="2" s="1"/>
  <c r="K115" i="1"/>
  <c r="F140" i="4" s="1"/>
  <c r="K113" i="1"/>
  <c r="F136" i="4" s="1"/>
  <c r="K112" i="1"/>
  <c r="F135" i="4" s="1"/>
  <c r="K111" i="1"/>
  <c r="K111" i="2" s="1"/>
  <c r="K110" i="1"/>
  <c r="F133" i="4" s="1"/>
  <c r="K109" i="1"/>
  <c r="F132" i="4" s="1"/>
  <c r="K108" i="1"/>
  <c r="F131" i="4" s="1"/>
  <c r="K107" i="1"/>
  <c r="F130" i="4" s="1"/>
  <c r="K105" i="1"/>
  <c r="F128" i="4" s="1"/>
  <c r="K101" i="1"/>
  <c r="F124" i="4" s="1"/>
  <c r="F117" i="1"/>
  <c r="F117" i="2" s="1"/>
  <c r="E115" i="1"/>
  <c r="E115" i="2" s="1"/>
  <c r="F113" i="1"/>
  <c r="F113" i="2" s="1"/>
  <c r="E112" i="1"/>
  <c r="E112" i="2" s="1"/>
  <c r="C110" i="1"/>
  <c r="C110" i="2" s="1"/>
  <c r="F109" i="1"/>
  <c r="F109" i="2" s="1"/>
  <c r="E109" i="1"/>
  <c r="D109" i="1"/>
  <c r="D109" i="2" s="1"/>
  <c r="C109" i="1"/>
  <c r="F108" i="1"/>
  <c r="F108" i="2" s="1"/>
  <c r="E108" i="1"/>
  <c r="D108" i="1"/>
  <c r="D108" i="2" s="1"/>
  <c r="C108" i="1"/>
  <c r="C102" i="1"/>
  <c r="C102" i="2" s="1"/>
  <c r="K93" i="1"/>
  <c r="F115" i="4" s="1"/>
  <c r="K90" i="1"/>
  <c r="K90" i="2" s="1"/>
  <c r="K86" i="1"/>
  <c r="F108" i="4" s="1"/>
  <c r="E91" i="1"/>
  <c r="E91" i="2" s="1"/>
  <c r="K82" i="1"/>
  <c r="K82" i="2" s="1"/>
  <c r="K72" i="1"/>
  <c r="F78" i="1"/>
  <c r="F78" i="2" s="1"/>
  <c r="F71" i="1"/>
  <c r="F71" i="2" s="1"/>
  <c r="E71" i="1"/>
  <c r="E71" i="2" s="1"/>
  <c r="C71" i="1"/>
  <c r="C71" i="2" s="1"/>
  <c r="J40" i="2" l="1"/>
  <c r="E133" i="3"/>
  <c r="X133" i="2"/>
  <c r="W133" i="2"/>
  <c r="E137" i="3"/>
  <c r="X137" i="2"/>
  <c r="W137" i="2"/>
  <c r="E113" i="3"/>
  <c r="E112" i="3"/>
  <c r="K110" i="2"/>
  <c r="K109" i="2"/>
  <c r="K105" i="2"/>
  <c r="K93" i="2"/>
  <c r="E72" i="3"/>
  <c r="E65" i="3"/>
  <c r="E63" i="3"/>
  <c r="E57" i="3"/>
  <c r="E53" i="3"/>
  <c r="E49" i="3"/>
  <c r="E47" i="3"/>
  <c r="E43" i="3"/>
  <c r="F144" i="4"/>
  <c r="F134" i="4"/>
  <c r="F112" i="4"/>
  <c r="K107" i="2"/>
  <c r="E107" i="3" s="1"/>
  <c r="E136" i="3"/>
  <c r="W136" i="2"/>
  <c r="X136" i="2"/>
  <c r="E109" i="3"/>
  <c r="E105" i="3"/>
  <c r="K101" i="2"/>
  <c r="E93" i="3"/>
  <c r="Z27" i="2"/>
  <c r="J21" i="2"/>
  <c r="E140" i="3"/>
  <c r="W140" i="2"/>
  <c r="X140" i="2"/>
  <c r="E139" i="3"/>
  <c r="W139" i="2"/>
  <c r="X139" i="2"/>
  <c r="E138" i="3"/>
  <c r="W138" i="2"/>
  <c r="X138" i="2"/>
  <c r="J116" i="2"/>
  <c r="Z52" i="2"/>
  <c r="E134" i="3"/>
  <c r="X134" i="2"/>
  <c r="W134" i="2"/>
  <c r="E125" i="3"/>
  <c r="X125" i="2"/>
  <c r="W125" i="2"/>
  <c r="G131" i="4"/>
  <c r="Z109" i="2"/>
  <c r="E104" i="3"/>
  <c r="G126" i="4"/>
  <c r="Z104" i="2"/>
  <c r="G124" i="4"/>
  <c r="Z102" i="2"/>
  <c r="E97" i="3"/>
  <c r="G118" i="4"/>
  <c r="Z97" i="2"/>
  <c r="G113" i="4"/>
  <c r="Z92" i="2"/>
  <c r="C81" i="3"/>
  <c r="E81" i="3"/>
  <c r="G98" i="4"/>
  <c r="Z78" i="2"/>
  <c r="G97" i="4"/>
  <c r="Z77" i="2"/>
  <c r="E75" i="3"/>
  <c r="C74" i="3"/>
  <c r="E66" i="3"/>
  <c r="E60" i="3"/>
  <c r="Z53" i="2"/>
  <c r="Z24" i="2"/>
  <c r="Z37" i="2"/>
  <c r="E119" i="3"/>
  <c r="G144" i="4"/>
  <c r="Z118" i="2"/>
  <c r="E117" i="3"/>
  <c r="C115" i="3"/>
  <c r="C111" i="3"/>
  <c r="C95" i="3"/>
  <c r="E95" i="3"/>
  <c r="G112" i="4"/>
  <c r="Z91" i="2"/>
  <c r="E90" i="3"/>
  <c r="G111" i="4"/>
  <c r="Z90" i="2"/>
  <c r="E89" i="3"/>
  <c r="G110" i="4"/>
  <c r="Z89" i="2"/>
  <c r="C87" i="3"/>
  <c r="G103" i="4"/>
  <c r="Z83" i="2"/>
  <c r="Z232" i="2"/>
  <c r="Z86" i="2"/>
  <c r="G102" i="4"/>
  <c r="Z82" i="2"/>
  <c r="G101" i="4"/>
  <c r="Z81" i="2"/>
  <c r="E80" i="3"/>
  <c r="G95" i="4"/>
  <c r="Z75" i="2"/>
  <c r="E74" i="3"/>
  <c r="C73" i="3"/>
  <c r="C67" i="3"/>
  <c r="X67" i="2"/>
  <c r="C59" i="3"/>
  <c r="C55" i="3"/>
  <c r="C51" i="3"/>
  <c r="C45" i="3"/>
  <c r="J22" i="2"/>
  <c r="G133" i="4"/>
  <c r="Z111" i="2"/>
  <c r="G132" i="4"/>
  <c r="Z110" i="2"/>
  <c r="G129" i="4"/>
  <c r="Z107" i="2"/>
  <c r="G128" i="4"/>
  <c r="Z106" i="2"/>
  <c r="C102" i="3"/>
  <c r="E102" i="3"/>
  <c r="G115" i="4"/>
  <c r="Z94" i="2"/>
  <c r="G114" i="4"/>
  <c r="Z93" i="2"/>
  <c r="C91" i="3"/>
  <c r="G100" i="4"/>
  <c r="Z80" i="2"/>
  <c r="G99" i="4"/>
  <c r="Z79" i="2"/>
  <c r="G92" i="4"/>
  <c r="Z72" i="2"/>
  <c r="C62" i="3"/>
  <c r="E62" i="3"/>
  <c r="C54" i="3"/>
  <c r="E54" i="3"/>
  <c r="C50" i="3"/>
  <c r="E108" i="3"/>
  <c r="G127" i="4"/>
  <c r="Z105" i="2"/>
  <c r="E103" i="3"/>
  <c r="G125" i="4"/>
  <c r="Z103" i="2"/>
  <c r="E101" i="3"/>
  <c r="G119" i="4"/>
  <c r="Z190" i="2"/>
  <c r="Z98" i="2"/>
  <c r="E96" i="3"/>
  <c r="E91" i="3"/>
  <c r="C88" i="3"/>
  <c r="W88" i="2"/>
  <c r="C82" i="3"/>
  <c r="E82" i="3"/>
  <c r="E77" i="3"/>
  <c r="E76" i="3"/>
  <c r="G96" i="4"/>
  <c r="Z76" i="2"/>
  <c r="E58" i="3"/>
  <c r="E56" i="3"/>
  <c r="E52" i="3"/>
  <c r="E50" i="3"/>
  <c r="E19" i="3"/>
  <c r="G140" i="4"/>
  <c r="Z116" i="2"/>
  <c r="E115" i="3"/>
  <c r="G138" i="4"/>
  <c r="O138" i="4" s="1"/>
  <c r="Z115" i="2"/>
  <c r="G136" i="4"/>
  <c r="Z114" i="2"/>
  <c r="G135" i="4"/>
  <c r="Z113" i="2"/>
  <c r="G134" i="4"/>
  <c r="Z112" i="2"/>
  <c r="E111" i="3"/>
  <c r="C110" i="3"/>
  <c r="E110" i="3"/>
  <c r="G130" i="4"/>
  <c r="Z108" i="2"/>
  <c r="C106" i="3"/>
  <c r="E106" i="3"/>
  <c r="G117" i="4"/>
  <c r="Z96" i="2"/>
  <c r="G116" i="4"/>
  <c r="Z95" i="2"/>
  <c r="E94" i="3"/>
  <c r="C92" i="3"/>
  <c r="W92" i="2"/>
  <c r="G109" i="4"/>
  <c r="Z88" i="2"/>
  <c r="E87" i="3"/>
  <c r="G108" i="4"/>
  <c r="Z87" i="2"/>
  <c r="E86" i="3"/>
  <c r="C78" i="3"/>
  <c r="E78" i="3"/>
  <c r="G94" i="4"/>
  <c r="Z74" i="2"/>
  <c r="E73" i="3"/>
  <c r="G93" i="4"/>
  <c r="Z73" i="2"/>
  <c r="E67" i="3"/>
  <c r="E59" i="3"/>
  <c r="E55" i="3"/>
  <c r="E51" i="3"/>
  <c r="Z49" i="2"/>
  <c r="Z50" i="2"/>
  <c r="E45" i="3"/>
  <c r="Z41" i="2"/>
  <c r="Z42" i="2"/>
  <c r="E37" i="3"/>
  <c r="Z25" i="2"/>
  <c r="Z32" i="2"/>
  <c r="E16" i="3"/>
  <c r="Y49" i="2"/>
  <c r="C35" i="3"/>
  <c r="C31" i="3"/>
  <c r="Y51" i="2"/>
  <c r="W120" i="2"/>
  <c r="Y7" i="2"/>
  <c r="C16" i="3"/>
  <c r="X120" i="2"/>
  <c r="Y21" i="2"/>
  <c r="Y13" i="2"/>
  <c r="E15" i="3"/>
  <c r="Y30" i="2"/>
  <c r="Y26" i="2"/>
  <c r="U20" i="2"/>
  <c r="X20" i="2" s="1"/>
  <c r="Y19" i="2"/>
  <c r="R91" i="2"/>
  <c r="Y91" i="2" s="1"/>
  <c r="S116" i="2"/>
  <c r="D116" i="4"/>
  <c r="M116" i="4" s="1"/>
  <c r="Y65" i="2"/>
  <c r="U46" i="2"/>
  <c r="E46" i="3" s="1"/>
  <c r="Y32" i="2"/>
  <c r="W110" i="2"/>
  <c r="W38" i="2"/>
  <c r="R111" i="2"/>
  <c r="Y111" i="2" s="1"/>
  <c r="D130" i="4"/>
  <c r="M130" i="4" s="1"/>
  <c r="E95" i="4"/>
  <c r="N95" i="4" s="1"/>
  <c r="R96" i="2"/>
  <c r="C7" i="3"/>
  <c r="C114" i="3"/>
  <c r="C61" i="3"/>
  <c r="Y17" i="2"/>
  <c r="Y9" i="2"/>
  <c r="E27" i="3"/>
  <c r="R71" i="2"/>
  <c r="R78" i="2"/>
  <c r="Y78" i="2" s="1"/>
  <c r="S96" i="2"/>
  <c r="C19" i="3"/>
  <c r="C103" i="3"/>
  <c r="C71" i="3"/>
  <c r="S81" i="2"/>
  <c r="E102" i="4"/>
  <c r="N102" i="4" s="1"/>
  <c r="C79" i="3"/>
  <c r="C63" i="3"/>
  <c r="C58" i="3"/>
  <c r="C17" i="3"/>
  <c r="E17" i="3"/>
  <c r="C13" i="3"/>
  <c r="E13" i="3"/>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E30" i="3"/>
  <c r="C30" i="3"/>
  <c r="Y23" i="2"/>
  <c r="E18" i="3"/>
  <c r="C5" i="3"/>
  <c r="W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E41" i="3"/>
  <c r="U26" i="2"/>
  <c r="E26" i="3" s="1"/>
  <c r="D132" i="4"/>
  <c r="M132" i="4" s="1"/>
  <c r="D131" i="4"/>
  <c r="M131" i="4" s="1"/>
  <c r="E114" i="4"/>
  <c r="N114" i="4" s="1"/>
  <c r="E96" i="4"/>
  <c r="N96" i="4" s="1"/>
  <c r="E133" i="4"/>
  <c r="N133" i="4" s="1"/>
  <c r="S110" i="2"/>
  <c r="C108" i="3"/>
  <c r="E129" i="4"/>
  <c r="N129" i="4" s="1"/>
  <c r="S106" i="2"/>
  <c r="C104" i="3"/>
  <c r="D95" i="4"/>
  <c r="M95" i="4" s="1"/>
  <c r="R74" i="2"/>
  <c r="Y74" i="2" s="1"/>
  <c r="C12" i="3"/>
  <c r="D101" i="4"/>
  <c r="M101" i="4" s="1"/>
  <c r="E134" i="4"/>
  <c r="N134" i="4" s="1"/>
  <c r="S111" i="2"/>
  <c r="D133" i="4"/>
  <c r="M133" i="4" s="1"/>
  <c r="R110" i="2"/>
  <c r="R81" i="2"/>
  <c r="D102" i="4"/>
  <c r="M102" i="4" s="1"/>
  <c r="C80" i="3"/>
  <c r="S77" i="2"/>
  <c r="E98" i="4"/>
  <c r="N98" i="4" s="1"/>
  <c r="Y15" i="2"/>
  <c r="C14" i="3"/>
  <c r="E14" i="3"/>
  <c r="C9" i="3"/>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E42" i="3"/>
  <c r="X102" i="2"/>
  <c r="R105" i="2"/>
  <c r="Y105" i="2" s="1"/>
  <c r="U7" i="2"/>
  <c r="E7" i="3" s="1"/>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E48" i="3" s="1"/>
  <c r="C47" i="3"/>
  <c r="C43" i="3"/>
  <c r="C33" i="3"/>
  <c r="Y11" i="2"/>
  <c r="X81" i="2"/>
  <c r="S108" i="2"/>
  <c r="Y108" i="2" s="1"/>
  <c r="C8" i="3"/>
  <c r="E8" i="3"/>
  <c r="R117" i="2"/>
  <c r="D144" i="4"/>
  <c r="M144" i="4" s="1"/>
  <c r="C116" i="3"/>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E39" i="3"/>
  <c r="Y35" i="2"/>
  <c r="C34" i="3"/>
  <c r="C24" i="3"/>
  <c r="U11" i="2"/>
  <c r="E11" i="3" s="1"/>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O60" i="4" s="1"/>
  <c r="G61" i="4"/>
  <c r="G62" i="4"/>
  <c r="O62" i="4" s="1"/>
  <c r="G63" i="4"/>
  <c r="G64" i="4"/>
  <c r="O64" i="4" s="1"/>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M60" i="4" s="1"/>
  <c r="E60" i="4"/>
  <c r="N60" i="4" s="1"/>
  <c r="H60" i="4"/>
  <c r="P60" i="4" s="1"/>
  <c r="D61" i="4"/>
  <c r="E61" i="4"/>
  <c r="N61" i="4" s="1"/>
  <c r="H61" i="4"/>
  <c r="P61" i="4" s="1"/>
  <c r="D62" i="4"/>
  <c r="M62" i="4" s="1"/>
  <c r="E62" i="4"/>
  <c r="N62" i="4" s="1"/>
  <c r="H62" i="4"/>
  <c r="P62" i="4" s="1"/>
  <c r="D63" i="4"/>
  <c r="E63" i="4"/>
  <c r="N63" i="4" s="1"/>
  <c r="H63" i="4"/>
  <c r="P63" i="4" s="1"/>
  <c r="D64" i="4"/>
  <c r="M64" i="4" s="1"/>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4" i="2" s="1"/>
  <c r="F63" i="1"/>
  <c r="F63" i="2" s="1"/>
  <c r="E63" i="1"/>
  <c r="E63" i="2" s="1"/>
  <c r="E61" i="1"/>
  <c r="E61" i="2" s="1"/>
  <c r="F60" i="1"/>
  <c r="F60" i="2" s="1"/>
  <c r="E60" i="1"/>
  <c r="E60" i="2" s="1"/>
  <c r="C59" i="1"/>
  <c r="C59" i="2" s="1"/>
  <c r="F54" i="1"/>
  <c r="F54" i="2" s="1"/>
  <c r="E54" i="1"/>
  <c r="E54" i="2" s="1"/>
  <c r="C54" i="1"/>
  <c r="C54" i="2" s="1"/>
  <c r="F50" i="1"/>
  <c r="F50" i="2" s="1"/>
  <c r="F49" i="1"/>
  <c r="F49" i="2" s="1"/>
  <c r="F44" i="1"/>
  <c r="F44" i="2" s="1"/>
  <c r="F41" i="1"/>
  <c r="F41" i="2" s="1"/>
  <c r="E50" i="1"/>
  <c r="E50" i="2" s="1"/>
  <c r="E49" i="1"/>
  <c r="E49" i="2" s="1"/>
  <c r="E47" i="1"/>
  <c r="E47" i="2" s="1"/>
  <c r="E45" i="1"/>
  <c r="E45" i="2" s="1"/>
  <c r="D49" i="1"/>
  <c r="D49" i="2" s="1"/>
  <c r="D47" i="1"/>
  <c r="D47" i="2" s="1"/>
  <c r="D46" i="1"/>
  <c r="D46" i="2" s="1"/>
  <c r="D45" i="1"/>
  <c r="D45" i="2" s="1"/>
  <c r="C50" i="1"/>
  <c r="C50" i="2" s="1"/>
  <c r="C49" i="1"/>
  <c r="C49" i="2" s="1"/>
  <c r="C47" i="1"/>
  <c r="C47" i="2" s="1"/>
  <c r="C46" i="1"/>
  <c r="C46" i="2" s="1"/>
  <c r="C45" i="1"/>
  <c r="C45" i="2" s="1"/>
  <c r="C44" i="1"/>
  <c r="C44" i="2" s="1"/>
  <c r="C43" i="1"/>
  <c r="C43" i="2" s="1"/>
  <c r="C42" i="1"/>
  <c r="C42" i="2" s="1"/>
  <c r="C41" i="1"/>
  <c r="C41" i="2" s="1"/>
  <c r="E37" i="1"/>
  <c r="E37" i="2" s="1"/>
  <c r="F37" i="1"/>
  <c r="F37" i="2" s="1"/>
  <c r="C37" i="1"/>
  <c r="C37" i="2" s="1"/>
  <c r="D37" i="1"/>
  <c r="D37" i="2" s="1"/>
  <c r="K23" i="1"/>
  <c r="K23" i="2" s="1"/>
  <c r="C23" i="3" s="1"/>
  <c r="K20" i="1"/>
  <c r="K20" i="2" s="1"/>
  <c r="C20" i="3" s="1"/>
  <c r="K12" i="1"/>
  <c r="K12" i="2" s="1"/>
  <c r="E12" i="3" s="1"/>
  <c r="K9" i="1"/>
  <c r="K9" i="2" s="1"/>
  <c r="E9" i="3" s="1"/>
  <c r="K6" i="1"/>
  <c r="K6" i="2" s="1"/>
  <c r="C6" i="3" s="1"/>
  <c r="E92" i="3" l="1"/>
  <c r="E38" i="3"/>
  <c r="E23" i="3"/>
  <c r="E6" i="3"/>
  <c r="E44" i="3"/>
  <c r="E88" i="3"/>
  <c r="E20" i="3"/>
  <c r="E31" i="3"/>
  <c r="O37" i="4"/>
  <c r="O131" i="4"/>
  <c r="W26" i="2"/>
  <c r="X26" i="2"/>
  <c r="W16" i="2"/>
  <c r="U35" i="2"/>
  <c r="X7" i="2"/>
  <c r="X95" i="2"/>
  <c r="W95" i="2"/>
  <c r="Y116" i="2"/>
  <c r="W73" i="2"/>
  <c r="W17" i="2"/>
  <c r="Y96" i="2"/>
  <c r="W56" i="2"/>
  <c r="X43" i="2"/>
  <c r="O134" i="4"/>
  <c r="X92" i="2"/>
  <c r="W51" i="2"/>
  <c r="X38" i="2"/>
  <c r="X14" i="2"/>
  <c r="U61" i="2"/>
  <c r="E61" i="3" s="1"/>
  <c r="X51" i="2"/>
  <c r="W57" i="2"/>
  <c r="W91" i="2"/>
  <c r="X16" i="2"/>
  <c r="O135" i="4"/>
  <c r="O125" i="4"/>
  <c r="Y81" i="2"/>
  <c r="U32" i="2"/>
  <c r="E32" i="3" s="1"/>
  <c r="C32" i="3"/>
  <c r="U64" i="2"/>
  <c r="E64" i="3" s="1"/>
  <c r="C64" i="3"/>
  <c r="W7" i="2"/>
  <c r="X19" i="2"/>
  <c r="W63" i="2"/>
  <c r="X57" i="2"/>
  <c r="X77" i="2"/>
  <c r="C77" i="3"/>
  <c r="U10" i="2"/>
  <c r="E10" i="3" s="1"/>
  <c r="C10" i="3"/>
  <c r="X113" i="2"/>
  <c r="C113" i="3"/>
  <c r="U21" i="2"/>
  <c r="E21" i="3" s="1"/>
  <c r="C21" i="3"/>
  <c r="W62" i="2"/>
  <c r="X106" i="2"/>
  <c r="W12" i="2"/>
  <c r="W27" i="2"/>
  <c r="X73" i="2"/>
  <c r="Y73" i="2"/>
  <c r="X97" i="2"/>
  <c r="W37" i="2"/>
  <c r="C37" i="3"/>
  <c r="U22" i="2"/>
  <c r="C22" i="3"/>
  <c r="X94" i="2"/>
  <c r="X109" i="2"/>
  <c r="W15" i="2"/>
  <c r="X50" i="2"/>
  <c r="O110" i="4"/>
  <c r="X74" i="2"/>
  <c r="X111" i="2"/>
  <c r="X31" i="2"/>
  <c r="W20" i="2"/>
  <c r="U114" i="2"/>
  <c r="E114" i="3" s="1"/>
  <c r="X76" i="2"/>
  <c r="X55" i="2"/>
  <c r="W74" i="2"/>
  <c r="W111" i="2"/>
  <c r="X48" i="2"/>
  <c r="O144" i="4"/>
  <c r="X75" i="2"/>
  <c r="Y86" i="2"/>
  <c r="X15" i="2"/>
  <c r="O115" i="4"/>
  <c r="O124" i="4"/>
  <c r="X112" i="2"/>
  <c r="X53" i="2"/>
  <c r="X18" i="2"/>
  <c r="X82" i="2"/>
  <c r="O108" i="4"/>
  <c r="W46" i="2"/>
  <c r="X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23" i="2"/>
  <c r="X78" i="2"/>
  <c r="X88" i="2"/>
  <c r="X56" i="2"/>
  <c r="W117" i="2"/>
  <c r="O112" i="4"/>
  <c r="O95" i="4"/>
  <c r="O93" i="4"/>
  <c r="O114" i="4"/>
  <c r="Y79" i="2"/>
  <c r="Y102" i="2"/>
  <c r="W106" i="2"/>
  <c r="X45" i="2"/>
  <c r="X17" i="2"/>
  <c r="W23" i="2"/>
  <c r="X80" i="2"/>
  <c r="W80" i="2"/>
  <c r="W65" i="2"/>
  <c r="O109" i="4"/>
  <c r="W96" i="2"/>
  <c r="W6" i="2"/>
  <c r="W47" i="2"/>
  <c r="X47" i="2"/>
  <c r="X9" i="2"/>
  <c r="X66" i="2"/>
  <c r="X108" i="2"/>
  <c r="X54" i="2"/>
  <c r="X42" i="2"/>
  <c r="X117" i="2"/>
  <c r="O117" i="4"/>
  <c r="O102" i="4"/>
  <c r="O98" i="4"/>
  <c r="W60" i="2"/>
  <c r="W79" i="2"/>
  <c r="W49" i="2"/>
  <c r="W66" i="2"/>
  <c r="W93" i="2"/>
  <c r="W8" i="2"/>
  <c r="W72" i="2"/>
  <c r="W102" i="2"/>
  <c r="W41" i="2"/>
  <c r="W89" i="2"/>
  <c r="W58" i="2"/>
  <c r="X58" i="2"/>
  <c r="W77" i="2"/>
  <c r="W86" i="2"/>
  <c r="W105" i="2"/>
  <c r="W53" i="2"/>
  <c r="Y104" i="2"/>
  <c r="X12" i="2"/>
  <c r="W52" i="2"/>
  <c r="W90" i="2"/>
  <c r="X49" i="2"/>
  <c r="W9" i="2"/>
  <c r="X11" i="2"/>
  <c r="X62" i="2"/>
  <c r="X72" i="2"/>
  <c r="X90" i="2"/>
  <c r="W54" i="2"/>
  <c r="W87" i="2"/>
  <c r="W107" i="2"/>
  <c r="O136" i="4"/>
  <c r="O119" i="4"/>
  <c r="M140" i="4"/>
  <c r="O130" i="4"/>
  <c r="W48" i="2"/>
  <c r="X65" i="2"/>
  <c r="U33" i="2"/>
  <c r="E33" i="3" s="1"/>
  <c r="W39" i="2"/>
  <c r="W78" i="2"/>
  <c r="Y101" i="2"/>
  <c r="W112" i="2"/>
  <c r="Y117" i="2"/>
  <c r="W81" i="2"/>
  <c r="W43" i="2"/>
  <c r="Y77" i="2"/>
  <c r="Y106" i="2"/>
  <c r="Y112" i="2"/>
  <c r="W101" i="2"/>
  <c r="Y110" i="2"/>
  <c r="X89" i="2"/>
  <c r="W30" i="2"/>
  <c r="X30" i="2"/>
  <c r="Y114" i="2"/>
  <c r="U116" i="2"/>
  <c r="E116" i="3" s="1"/>
  <c r="X5" i="2"/>
  <c r="X13" i="2"/>
  <c r="W11" i="2"/>
  <c r="X104" i="2"/>
  <c r="W55" i="2"/>
  <c r="X87" i="2"/>
  <c r="X107" i="2"/>
  <c r="O99" i="4"/>
  <c r="O132" i="4"/>
  <c r="X52" i="2"/>
  <c r="X93" i="2"/>
  <c r="X79" i="2"/>
  <c r="Y88" i="2"/>
  <c r="U34" i="2"/>
  <c r="E34" i="3" s="1"/>
  <c r="U40" i="2"/>
  <c r="E40" i="3" s="1"/>
  <c r="W76" i="2"/>
  <c r="W94" i="2"/>
  <c r="W75" i="2"/>
  <c r="Y90" i="2"/>
  <c r="W109" i="2"/>
  <c r="W97" i="2"/>
  <c r="X101" i="2"/>
  <c r="W113" i="2"/>
  <c r="W104" i="2"/>
  <c r="W108" i="2"/>
  <c r="U24" i="2"/>
  <c r="E24" i="3" s="1"/>
  <c r="X44" i="2"/>
  <c r="O81" i="4"/>
  <c r="O87" i="4"/>
  <c r="O85" i="4"/>
  <c r="O86" i="4"/>
  <c r="O80" i="4"/>
  <c r="M63" i="4"/>
  <c r="O63" i="4"/>
  <c r="M53" i="4"/>
  <c r="O53" i="4"/>
  <c r="M72" i="4"/>
  <c r="O72" i="4"/>
  <c r="M68" i="4"/>
  <c r="O68" i="4"/>
  <c r="M65" i="4"/>
  <c r="O65" i="4"/>
  <c r="M61" i="4"/>
  <c r="O61" i="4"/>
  <c r="M87" i="4"/>
  <c r="M81" i="4"/>
  <c r="M75" i="4"/>
  <c r="O75" i="4"/>
  <c r="M71" i="4"/>
  <c r="O71" i="4"/>
  <c r="M67" i="4"/>
  <c r="O67" i="4"/>
  <c r="M59" i="4"/>
  <c r="O59" i="4"/>
  <c r="M76" i="4"/>
  <c r="O76" i="4"/>
  <c r="M85" i="4"/>
  <c r="M73" i="4"/>
  <c r="O73" i="4"/>
  <c r="M69" i="4"/>
  <c r="O69" i="4"/>
  <c r="M57" i="4"/>
  <c r="O57" i="4"/>
  <c r="M51" i="4"/>
  <c r="O51" i="4"/>
  <c r="M86" i="4"/>
  <c r="M80" i="4"/>
  <c r="M74" i="4"/>
  <c r="O74" i="4"/>
  <c r="M70" i="4"/>
  <c r="O70" i="4"/>
  <c r="M66" i="4"/>
  <c r="O66" i="4"/>
  <c r="M58" i="4"/>
  <c r="O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H7" i="4" s="1"/>
  <c r="P7" i="4" s="1"/>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W22" i="2" l="1"/>
  <c r="E22" i="3"/>
  <c r="W35" i="2"/>
  <c r="E35" i="3"/>
  <c r="W10" i="2"/>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<sst xmlns="http://schemas.openxmlformats.org/spreadsheetml/2006/main" count="2194" uniqueCount="1103">
  <si>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</si>
  <si>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</si>
  <si>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</si>
  <si>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</si>
  <si>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</si>
  <si>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</si>
  <si>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</si>
  <si>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</si>
  <si>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</si>
  <si>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</si>
  <si>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</si>
  <si>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</si>
  <si>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</si>
  <si>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</si>
  <si>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</si>
  <si>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</si>
  <si>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</si>
  <si>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</si>
  <si>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</si>
  <si>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</si>
  <si>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</si>
  <si>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</si>
  <si>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</si>
  <si>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</si>
  <si>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</si>
  <si>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</si>
  <si>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</si>
  <si>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</si>
  <si>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</si>
  <si>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</si>
  <si>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</si>
  <si>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</si>
  <si>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</si>
  <si>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</si>
  <si>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</si>
  <si>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</si>
  <si>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</si>
  <si>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</si>
  <si>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</si>
  <si>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</si>
  <si>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</si>
  <si>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</si>
  <si>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</si>
  <si>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</si>
  <si>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</si>
  <si>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</si>
  <si>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</si>
  <si>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</si>
  <si>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</si>
  <si>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</si>
  <si>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</si>
  <si>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</si>
  <si>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</si>
  <si>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</si>
  <si>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</si>
  <si>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</si>
  <si>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</si>
  <si>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</si>
  <si>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</si>
  <si>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</si>
  <si>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</si>
  <si>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</si>
  <si>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</si>
  <si>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</si>
  <si>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</si>
  <si>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</si>
  <si>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</si>
  <si>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</si>
  <si>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</si>
  <si>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</si>
  <si>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</si>
  <si>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</si>
  <si>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</si>
  <si>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</si>
  <si>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</si>
  <si>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</si>
  <si>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</si>
  <si>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</si>
  <si>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</si>
  <si>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</si>
  <si>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</si>
  <si>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</si>
  <si>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</si>
  <si>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</si>
  <si>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</si>
  <si>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</si>
  <si>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</si>
  <si>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</si>
  <si>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</si>
  <si>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</si>
  <si>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</si>
  <si>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</si>
  <si>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</si>
  <si>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</si>
  <si>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</si>
  <si>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</si>
  <si>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</si>
  <si>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</si>
  <si>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</si>
  <si>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</si>
  <si>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</si>
  <si>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</si>
  <si>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</si>
  <si>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</si>
  <si>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</si>
  <si>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</si>
  <si>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</si>
  <si>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</si>
  <si>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</si>
  <si>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</si>
  <si>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</si>
  <si>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</si>
  <si>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</si>
  <si>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</si>
  <si>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</si>
  <si>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</si>
  <si>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</si>
  <si>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</si>
  <si>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</si>
  <si>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</si>
  <si>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</si>
  <si>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</si>
  <si>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</si>
  <si>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</si>
  <si>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</si>
  <si>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</si>
  <si>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</si>
  <si>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</si>
  <si>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</si>
  <si>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</si>
  <si>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</si>
  <si>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</si>
  <si>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</si>
  <si>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</si>
  <si>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</si>
  <si>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</si>
  <si>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</si>
  <si>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</si>
  <si>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</si>
  <si>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</si>
  <si>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</si>
  <si>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</si>
  <si>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</si>
  <si>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</si>
  <si>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</si>
  <si>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</si>
  <si>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</si>
  <si>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</si>
  <si>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</si>
  <si>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</si>
  <si>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</si>
  <si>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</si>
  <si>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</si>
  <si>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</si>
  <si>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</si>
  <si>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</si>
  <si>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</si>
  <si>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</si>
  <si>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</si>
  <si>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</si>
  <si>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</si>
  <si>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</si>
  <si>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</si>
  <si>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</si>
  <si>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</si>
  <si>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</si>
  <si>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</si>
  <si>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</si>
  <si>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</si>
  <si>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</si>
  <si>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</si>
  <si>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</si>
  <si>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</si>
  <si>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</si>
  <si>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</si>
  <si>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</si>
  <si>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</si>
  <si>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</si>
  <si>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</si>
  <si>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</si>
  <si>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</si>
  <si>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</si>
  <si>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</si>
  <si>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</si>
  <si>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</si>
  <si>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</si>
  <si>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</si>
  <si>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</si>
  <si>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</si>
  <si>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</si>
  <si>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</si>
  <si>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</si>
  <si>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</si>
  <si>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</si>
  <si>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</si>
  <si>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</si>
  <si>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</si>
  <si>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</si>
  <si>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</si>
  <si>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</si>
  <si>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</si>
  <si>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</si>
  <si>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</si>
  <si>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</si>
  <si>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</si>
  <si>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</si>
  <si>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</si>
  <si>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</si>
  <si>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</si>
  <si>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</si>
  <si>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</si>
  <si>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</si>
  <si>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</si>
  <si>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</si>
  <si>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</si>
  <si>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</si>
  <si>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</si>
  <si>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</si>
  <si>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</si>
  <si>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</si>
  <si>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</si>
  <si>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</si>
  <si>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</si>
  <si>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</si>
  <si>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</si>
  <si>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</si>
  <si>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</si>
  <si>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</si>
  <si>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</si>
  <si>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</si>
  <si>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</si>
  <si>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</si>
  <si>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</si>
  <si>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</si>
  <si>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</si>
  <si>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</si>
  <si>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</si>
  <si>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</si>
  <si>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</si>
  <si>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</si>
  <si>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</si>
  <si>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</si>
  <si>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</si>
  <si>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</si>
  <si>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</si>
  <si>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</si>
  <si>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</si>
  <si>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</si>
  <si>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</si>
  <si>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</si>
  <si>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</si>
  <si>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</si>
  <si>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</si>
  <si>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</si>
  <si>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</si>
  <si>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</si>
  <si>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</si>
  <si>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</si>
  <si>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</si>
  <si>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</si>
  <si>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</si>
  <si>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</si>
  <si>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</si>
  <si>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</si>
  <si>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</si>
  <si>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</si>
  <si>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</si>
  <si>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</si>
  <si>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</si>
  <si>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</si>
  <si>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</si>
  <si>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</si>
  <si>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</si>
  <si>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</si>
  <si>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</si>
  <si>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</si>
  <si>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</si>
  <si>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</si>
  <si>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</si>
  <si>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</si>
  <si>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</si>
  <si>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</si>
  <si>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</si>
  <si>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</si>
  <si>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</si>
  <si>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</si>
  <si>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</si>
  <si>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</si>
  <si>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</si>
  <si>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</si>
  <si>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</si>
  <si>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</si>
  <si>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</si>
  <si>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</si>
  <si>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</si>
  <si>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</si>
  <si>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</si>
  <si>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</si>
  <si>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</si>
  <si>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</si>
  <si>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</si>
  <si>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</si>
  <si>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</si>
  <si>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</si>
  <si>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</si>
  <si>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</si>
  <si>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</si>
  <si>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</si>
  <si>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</si>
  <si>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</si>
  <si>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</si>
  <si>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</si>
  <si>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</si>
  <si>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</si>
  <si>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</si>
  <si>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</si>
  <si>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</si>
  <si>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</si>
  <si>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</si>
  <si>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</si>
  <si>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</si>
  <si>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</si>
  <si>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</si>
  <si>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</si>
  <si>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</si>
  <si>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</si>
  <si>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</si>
  <si>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</si>
  <si>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</si>
  <si>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</si>
  <si>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</si>
  <si>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</si>
  <si>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</si>
  <si>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</si>
  <si>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</si>
  <si>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</si>
  <si>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</si>
  <si>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</si>
  <si>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</si>
  <si>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</si>
  <si>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</si>
  <si>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</si>
  <si>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</si>
  <si>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</si>
  <si>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</si>
  <si>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</si>
  <si>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</si>
  <si>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</si>
  <si>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</si>
  <si>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</si>
  <si>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</si>
  <si>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</si>
  <si>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</si>
  <si>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</si>
  <si>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</si>
  <si>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</si>
  <si>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</si>
  <si>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</si>
  <si>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</si>
  <si>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</si>
  <si>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</si>
  <si>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</si>
  <si>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</si>
  <si>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</si>
  <si>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</si>
  <si>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</si>
  <si>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</si>
  <si>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</si>
  <si>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</si>
  <si>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</si>
  <si>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</si>
  <si>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</si>
  <si>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</si>
  <si>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</si>
  <si>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</si>
  <si>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</si>
  <si>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</si>
  <si>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</si>
  <si>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</si>
  <si>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</si>
  <si>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</si>
  <si>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</si>
  <si>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</si>
  <si>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</si>
  <si>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</si>
  <si>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</si>
  <si>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</si>
  <si>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</si>
  <si>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</si>
  <si>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</si>
  <si>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</si>
  <si>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</si>
  <si>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</si>
  <si>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</si>
  <si>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</si>
  <si>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</si>
  <si>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</si>
  <si>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</si>
  <si>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</si>
  <si>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</si>
  <si>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</si>
  <si>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</si>
  <si>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</si>
  <si>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</si>
  <si>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</si>
  <si>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</si>
  <si>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</si>
  <si>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</si>
  <si>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</si>
  <si>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</si>
  <si>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</si>
  <si>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</si>
  <si>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</si>
  <si>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</si>
  <si>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</si>
  <si>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</si>
  <si>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</si>
  <si>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</si>
  <si>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</si>
  <si>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</si>
  <si>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</si>
  <si>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</si>
  <si>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</si>
  <si>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</si>
  <si>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</si>
  <si>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</si>
  <si>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</si>
  <si>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</si>
  <si>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</si>
  <si>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</si>
  <si>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</si>
  <si>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</si>
  <si>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</si>
  <si>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</si>
  <si>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</si>
  <si>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</si>
  <si>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</si>
  <si>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</si>
  <si>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</si>
  <si>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</si>
  <si>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</si>
  <si>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</si>
  <si>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</si>
  <si>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</si>
  <si>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</si>
  <si>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</si>
  <si>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</si>
  <si>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</si>
  <si>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</si>
  <si>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</si>
  <si>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</si>
  <si>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</si>
  <si>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</si>
  <si>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</si>
  <si>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</si>
  <si>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</si>
  <si>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</si>
  <si>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</si>
  <si>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</si>
  <si>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</si>
  <si>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</si>
  <si>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</si>
  <si>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</si>
  <si>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</si>
  <si>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</si>
  <si>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</si>
  <si>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</si>
  <si>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</si>
  <si>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</si>
  <si>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</si>
  <si>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</si>
  <si>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</si>
  <si>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</si>
  <si>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</si>
  <si>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</si>
  <si>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</si>
  <si>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</si>
  <si>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</si>
  <si>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</si>
  <si>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</si>
  <si>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</si>
  <si>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</si>
  <si>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</si>
  <si>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</si>
  <si>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</si>
  <si>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</si>
  <si>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</si>
  <si>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</si>
  <si>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</si>
  <si>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</si>
  <si>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</si>
  <si>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</si>
  <si>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</si>
  <si>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</si>
  <si>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</si>
  <si>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</si>
  <si>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</si>
  <si>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</si>
  <si>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</si>
  <si>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</si>
  <si>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</si>
  <si>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</si>
  <si>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</si>
  <si>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</si>
  <si>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</si>
  <si>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</si>
  <si>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</si>
  <si>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</si>
  <si>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</si>
  <si>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</si>
  <si>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</si>
  <si>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</si>
  <si>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</si>
  <si>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</si>
  <si>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</si>
  <si>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</si>
  <si>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</si>
  <si>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</si>
  <si>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</si>
  <si>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</si>
  <si>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</si>
  <si>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</si>
  <si>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</si>
  <si>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</si>
  <si>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</si>
  <si>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</si>
  <si>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</si>
  <si>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</si>
  <si>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</si>
  <si>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</si>
  <si>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</si>
  <si>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</si>
  <si>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</si>
  <si>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</si>
  <si>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</si>
  <si>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</si>
  <si>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</si>
  <si>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</si>
  <si>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</si>
  <si>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</si>
  <si>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</si>
  <si>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</si>
  <si>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</si>
  <si>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</si>
  <si>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</si>
  <si>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</si>
  <si>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</si>
  <si>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</si>
  <si>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</si>
  <si>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</si>
  <si>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</si>
  <si>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</si>
  <si>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</si>
  <si>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</si>
  <si>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</si>
  <si>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</si>
  <si>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</si>
  <si>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</si>
  <si>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</si>
  <si>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</si>
  <si>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</si>
  <si>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</si>
  <si>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</si>
  <si>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</si>
  <si>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</si>
  <si>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</si>
  <si>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</si>
  <si>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</si>
  <si>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</si>
  <si>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</si>
  <si>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</si>
  <si>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</si>
  <si>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</si>
  <si>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</si>
  <si>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</si>
  <si>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</si>
  <si>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</si>
  <si>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</si>
  <si>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</si>
  <si>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</si>
  <si>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</si>
  <si>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</si>
  <si>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</si>
  <si>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</si>
  <si>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</si>
  <si>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</si>
  <si>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</si>
  <si>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</si>
  <si>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</si>
  <si>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</si>
  <si>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</si>
  <si>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</si>
  <si>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</si>
  <si>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</si>
  <si>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</si>
  <si>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</si>
  <si>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</si>
  <si>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</si>
  <si>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</si>
  <si>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</si>
  <si>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</si>
  <si>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</si>
  <si>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</si>
  <si>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</si>
  <si>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</si>
  <si>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</si>
  <si>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</si>
  <si>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</si>
  <si>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</si>
  <si>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</si>
  <si>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</si>
  <si>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</si>
  <si>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</si>
  <si>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</si>
  <si>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</si>
  <si>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</si>
  <si>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</si>
  <si>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</si>
  <si>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</si>
  <si>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</si>
  <si>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</si>
  <si>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</si>
  <si>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</si>
  <si>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</si>
  <si>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</si>
  <si>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</si>
  <si>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</si>
  <si>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</si>
  <si>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</si>
  <si>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</si>
  <si>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</si>
  <si>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</si>
  <si>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</si>
  <si>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</si>
  <si>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</si>
  <si>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</si>
  <si>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</si>
  <si>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</si>
  <si>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</si>
  <si>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</si>
  <si>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</si>
  <si>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</si>
  <si>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</si>
  <si>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</si>
  <si>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</si>
  <si>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</si>
  <si>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</si>
  <si>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</si>
  <si>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</si>
  <si>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</si>
  <si>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</si>
  <si>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</si>
  <si>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</si>
  <si>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</si>
  <si>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</si>
  <si>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</si>
  <si>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</si>
  <si>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</si>
  <si>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</si>
  <si>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</si>
  <si>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</si>
  <si>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</si>
  <si>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</si>
  <si>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</si>
  <si>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</si>
  <si>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</si>
  <si>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</si>
  <si>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</si>
  <si>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</si>
  <si>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</si>
  <si>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</si>
  <si>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</si>
  <si>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</si>
  <si>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</si>
  <si>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</si>
  <si>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</si>
  <si>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</si>
  <si>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</si>
  <si>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</si>
  <si>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</si>
  <si>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</si>
  <si>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</si>
  <si>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</si>
  <si>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</si>
  <si>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</si>
  <si>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</si>
  <si>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</si>
  <si>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</si>
  <si>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</si>
  <si>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</si>
  <si>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</si>
  <si>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</si>
  <si>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</si>
  <si>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</si>
  <si>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</si>
  <si>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</si>
  <si>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</si>
  <si>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</si>
  <si>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</si>
  <si>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</si>
  <si>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</si>
  <si>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</si>
  <si>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</si>
  <si>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</si>
  <si>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</si>
  <si>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</si>
  <si>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</si>
  <si>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</si>
  <si>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</si>
  <si>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</si>
  <si>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</si>
  <si>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</si>
  <si>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</si>
  <si>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</si>
  <si>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</si>
  <si>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</si>
  <si>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</si>
  <si>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</si>
  <si>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</si>
  <si>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</si>
  <si>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</si>
  <si>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</si>
  <si>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</si>
  <si>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</si>
  <si>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</si>
  <si>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</si>
  <si>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</si>
  <si>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</si>
  <si>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</si>
  <si>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</si>
  <si>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</si>
  <si>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</si>
  <si>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</si>
  <si>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</si>
  <si>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</si>
  <si>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</si>
  <si>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</si>
  <si>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</si>
  <si>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</si>
  <si>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</si>
  <si>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</si>
  <si>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</si>
  <si>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</si>
  <si>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</si>
  <si>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</si>
  <si>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</si>
  <si>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</si>
  <si>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</si>
  <si>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</si>
  <si>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</si>
  <si>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</si>
  <si>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</si>
  <si>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</si>
  <si>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</si>
  <si>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</si>
  <si>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</si>
  <si>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</si>
  <si>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</si>
  <si>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</si>
  <si>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</si>
  <si>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</si>
  <si>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</si>
  <si>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</si>
  <si>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</si>
  <si>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</si>
  <si>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</si>
  <si>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</si>
  <si>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</si>
  <si>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</si>
  <si>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</si>
  <si>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</si>
  <si>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</si>
  <si>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</si>
  <si>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</si>
  <si>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</si>
  <si>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</si>
  <si>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</si>
  <si>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</si>
  <si>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</si>
  <si>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</si>
  <si>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</si>
  <si>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</si>
  <si>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</si>
  <si>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</si>
  <si>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</si>
  <si>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</si>
  <si>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</si>
  <si>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</si>
  <si>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</si>
  <si>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</si>
  <si>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</si>
  <si>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</si>
  <si>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</si>
  <si>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</si>
  <si>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</si>
  <si>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</si>
  <si>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</si>
  <si>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</si>
  <si>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</si>
  <si>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</si>
  <si>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</si>
  <si>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</si>
  <si>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</si>
  <si>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</si>
  <si>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</si>
  <si>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</si>
  <si>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</si>
  <si>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</si>
  <si>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</si>
  <si>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</si>
  <si>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</si>
  <si>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</si>
  <si>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</si>
  <si>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</si>
  <si>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</si>
  <si>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</si>
  <si>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</si>
  <si>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</si>
  <si>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</si>
  <si>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</si>
  <si>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</si>
  <si>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</si>
  <si>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</si>
  <si>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</si>
  <si>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</si>
  <si>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</si>
  <si>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</si>
  <si>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</si>
  <si>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</si>
  <si>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</si>
  <si>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</si>
  <si>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</si>
  <si>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</si>
  <si>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</si>
  <si>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</si>
  <si>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</si>
  <si>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</si>
  <si>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</si>
  <si>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</si>
  <si>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</si>
  <si>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</si>
  <si>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</si>
  <si>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</si>
  <si>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</si>
  <si>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</si>
  <si>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</si>
  <si>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</si>
  <si>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</si>
  <si>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</si>
  <si>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</si>
  <si>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</si>
  <si>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</si>
  <si>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</si>
  <si>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</si>
  <si>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</si>
  <si>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</si>
  <si>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</si>
  <si>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</si>
  <si>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</si>
  <si>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</si>
  <si>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</si>
  <si>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</si>
  <si>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</si>
  <si>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</si>
  <si>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</si>
  <si>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</si>
  <si>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</si>
  <si>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</si>
  <si>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</si>
  <si>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</si>
  <si>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</si>
  <si>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</si>
  <si>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</si>
  <si>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</si>
  <si>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</si>
  <si>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</si>
  <si>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</si>
  <si>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</si>
  <si>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</si>
  <si>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</si>
  <si>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</si>
  <si>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</si>
  <si>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</si>
  <si>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</si>
  <si>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</si>
  <si>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</si>
  <si>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</si>
  <si>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</si>
  <si>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</si>
  <si>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</si>
  <si>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</si>
  <si>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</si>
  <si>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</si>
  <si>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</si>
  <si>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</si>
  <si>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</si>
  <si>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</si>
  <si>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</si>
  <si>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</si>
  <si>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</si>
  <si>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</si>
  <si>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</si>
  <si>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</si>
  <si>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</si>
  <si>
    <t>Name Too faint to read. 'Black?' hole to 'Paradise?'. Sketch contains 'Calcutta' at  start and 'Sore Knees Creep' near the end.</t>
  </si>
  <si>
    <t>August 30th 1953</t>
  </si>
  <si>
    <t>(sketch T-U-V-W)  New Grottoes</t>
  </si>
  <si>
    <t>21-22nd April 1957</t>
  </si>
  <si>
    <t>Paradise Regained, Mud Sump to Blue Pencil Passage</t>
  </si>
  <si>
    <t>Mag Var 10(deg) 35' W</t>
  </si>
  <si>
    <t>Chris Hawkes</t>
  </si>
  <si>
    <t>15 in aven</t>
  </si>
  <si>
    <t>20 in double passage</t>
  </si>
  <si>
    <t>14 in passage</t>
  </si>
  <si>
    <t>Drop</t>
  </si>
  <si>
    <t>12 to choke</t>
  </si>
  <si>
    <t>7 to aven</t>
  </si>
  <si>
    <t>6 in fault</t>
  </si>
  <si>
    <t>262 45</t>
  </si>
  <si>
    <t>262 00</t>
  </si>
  <si>
    <t>033 20</t>
  </si>
  <si>
    <t>185 10</t>
  </si>
  <si>
    <t>323 20</t>
  </si>
  <si>
    <t>161 30</t>
  </si>
  <si>
    <t>296 40</t>
  </si>
  <si>
    <t>139 40</t>
  </si>
  <si>
    <t>115 00</t>
  </si>
  <si>
    <t>155 00</t>
  </si>
  <si>
    <t>056 40</t>
  </si>
  <si>
    <t>247 00</t>
  </si>
  <si>
    <t>068 30</t>
  </si>
  <si>
    <t>231 00</t>
  </si>
  <si>
    <t>312 00</t>
  </si>
  <si>
    <t>076 00</t>
  </si>
  <si>
    <t>124 40</t>
  </si>
  <si>
    <t>134 00</t>
  </si>
  <si>
    <t>254 00</t>
  </si>
  <si>
    <t>281 00</t>
  </si>
  <si>
    <t>147 15</t>
  </si>
  <si>
    <t>021 30</t>
  </si>
  <si>
    <t>113 10</t>
  </si>
  <si>
    <t>167 00</t>
  </si>
  <si>
    <t>271 30</t>
  </si>
  <si>
    <t>009 30</t>
  </si>
  <si>
    <t>213 20</t>
  </si>
  <si>
    <t>143 20</t>
  </si>
  <si>
    <t>116 40</t>
  </si>
  <si>
    <t>295 00</t>
  </si>
  <si>
    <t>236 40</t>
  </si>
  <si>
    <t>248 30</t>
  </si>
  <si>
    <t>256 00</t>
  </si>
  <si>
    <t>304 40</t>
  </si>
  <si>
    <t>314 00</t>
  </si>
  <si>
    <t>191 50</t>
  </si>
  <si>
    <t>327 15</t>
  </si>
  <si>
    <t>293 10</t>
  </si>
  <si>
    <t>347 00</t>
  </si>
  <si>
    <t>38 20</t>
  </si>
  <si>
    <t>7 30</t>
  </si>
  <si>
    <t>49 00</t>
  </si>
  <si>
    <t>41 00</t>
  </si>
  <si>
    <t>zero</t>
  </si>
  <si>
    <t>8 20</t>
  </si>
  <si>
    <t>20 40</t>
  </si>
  <si>
    <t>ag on page 65</t>
  </si>
  <si>
    <t>Near side of pool in Mud sump</t>
  </si>
  <si>
    <t>Far side of pool in Mud sump</t>
  </si>
  <si>
    <t>Foot of Mud Shute</t>
  </si>
  <si>
    <t>Over 12' Drop. Candle put 1.1' lower for clino</t>
  </si>
  <si>
    <t>Double passage 2' on</t>
  </si>
  <si>
    <t>On rock rib</t>
  </si>
  <si>
    <t>Passage (small) on left at 6'</t>
  </si>
  <si>
    <t>Stn 124 marked by double ring on roof</t>
  </si>
  <si>
    <t>p. 73-74</t>
  </si>
  <si>
    <t>(=PDF p.75-76)</t>
  </si>
  <si>
    <t>10 (22 in aven)</t>
  </si>
  <si>
    <t>knob on roof 4 feet from entrance pit of Blue Pencil Passage</t>
  </si>
  <si>
    <t>084 20</t>
  </si>
  <si>
    <t>007 30</t>
  </si>
  <si>
    <t>252 15</t>
  </si>
  <si>
    <t>052 00</t>
  </si>
  <si>
    <t>094 10</t>
  </si>
  <si>
    <t>149 15</t>
  </si>
  <si>
    <t>042 20</t>
  </si>
  <si>
    <t>264 20</t>
  </si>
  <si>
    <t>072 15</t>
  </si>
  <si>
    <t>274 10</t>
  </si>
  <si>
    <t>329 15</t>
  </si>
  <si>
    <t>33 20</t>
  </si>
  <si>
    <t>Alt/ OD</t>
  </si>
  <si>
    <t>1.1 difference in calc drop using clino because candle placed 1.1 lower for clino. Instead of clino reading, use drop of -2.1</t>
  </si>
  <si>
    <t>Location</t>
  </si>
  <si>
    <t>Lat</t>
  </si>
  <si>
    <t>Lon</t>
  </si>
  <si>
    <t>OSGB:Easting</t>
  </si>
  <si>
    <t>OSGB:Northing</t>
  </si>
  <si>
    <t>Bearing OS</t>
  </si>
  <si>
    <t>Priddy Pool</t>
  </si>
  <si>
    <t>Centre of Swildons survey</t>
  </si>
  <si>
    <t>Southerly extent of survey</t>
  </si>
  <si>
    <t>Calc. angle (grid bearing) for True North</t>
  </si>
  <si>
    <t>SWILDONS TRUE NORTH LINE NORTH</t>
  </si>
  <si>
    <t>SWILDONS TRUE NORTH LINE SOUTH</t>
  </si>
  <si>
    <t>Magnetic deviations calculated from</t>
  </si>
  <si>
    <t>http://www.ngdc.noaa.gov/geomag/declination.shtml</t>
  </si>
  <si>
    <t>Date</t>
  </si>
  <si>
    <t>NOAA_x000D_
mag to True</t>
  </si>
  <si>
    <t>Latitude:    N 51.25594 Longitude:    W 2.67496</t>
  </si>
  <si>
    <t>Therion grid convergence value</t>
  </si>
  <si>
    <t>Survex declination _x000D_
to adjust from _x000D_
Mag to OS Grid</t>
  </si>
  <si>
    <t>(skipped surface survey to Priddy Green dig and back)</t>
  </si>
  <si>
    <t>May 22 1960</t>
  </si>
  <si>
    <t>Howard, Chris Hawkes, Derek Ford</t>
  </si>
  <si>
    <t>Side Passages in Paradise Regained</t>
  </si>
  <si>
    <t>Readings mag. 11(deg) W</t>
  </si>
  <si>
    <t>6 to mousehole</t>
  </si>
  <si>
    <t>165 30</t>
  </si>
  <si>
    <t>061 30</t>
  </si>
  <si>
    <t>142 00</t>
  </si>
  <si>
    <t>up Olivers 'ole</t>
  </si>
  <si>
    <t>Passage 20' at 127 deg</t>
  </si>
  <si>
    <t>4' to dig</t>
  </si>
  <si>
    <t>054 30</t>
  </si>
  <si>
    <t>041 00</t>
  </si>
  <si>
    <t>90?</t>
  </si>
  <si>
    <t>14 ? (estimate)</t>
  </si>
  <si>
    <t>25 00</t>
  </si>
  <si>
    <t>34 30</t>
  </si>
  <si>
    <t>July 12th 1960</t>
  </si>
  <si>
    <t>Derek Ford</t>
  </si>
  <si>
    <t>Side Passages in Paradise Regained - Maypole Series</t>
  </si>
  <si>
    <t>var 11(deg) W</t>
  </si>
  <si>
    <t>choke</t>
  </si>
  <si>
    <t>3(20)</t>
  </si>
  <si>
    <t>243 00</t>
  </si>
  <si>
    <t>076 30</t>
  </si>
  <si>
    <t>251 40</t>
  </si>
  <si>
    <t>048 30</t>
  </si>
  <si>
    <t>104 30</t>
  </si>
  <si>
    <t>294 00</t>
  </si>
  <si>
    <t>162 30</t>
  </si>
  <si>
    <t>274 00</t>
  </si>
  <si>
    <t>063 00</t>
  </si>
  <si>
    <t>071 40</t>
  </si>
  <si>
    <t>42 00</t>
  </si>
  <si>
    <t>gravel choke</t>
  </si>
  <si>
    <t>143 - see p.73</t>
  </si>
  <si>
    <t>204 is on knob low on wall, circle and dot on wall above</t>
  </si>
  <si>
    <t>207 marked on roof, alt 503.4</t>
  </si>
  <si>
    <t>Kenneys Belly!</t>
  </si>
  <si>
    <t>212 marked by arrow on dripstone wall in Fault Ch.</t>
  </si>
  <si>
    <t>124 is 1.5' above 124 of p.71</t>
  </si>
  <si>
    <t>&lt;- minor error or unclear value in calc values in original notes</t>
  </si>
  <si>
    <t>&lt;- error in estimated vertical calc. value</t>
  </si>
  <si>
    <t>215 marked … in Pitch Chamber. Maypole Series starts about 30' along</t>
  </si>
  <si>
    <t>between 2 holes in floor</t>
  </si>
  <si>
    <t>Hole in floor 6' on, 4' diam</t>
  </si>
  <si>
    <t>Highish rift</t>
  </si>
  <si>
    <t>Oxbow on left at 12'</t>
  </si>
  <si>
    <t>Passage on left</t>
  </si>
  <si>
    <t>Maypole Junction</t>
  </si>
  <si>
    <t>… on roof</t>
  </si>
  <si>
    <t>11' over drop</t>
  </si>
  <si>
    <t>244 30</t>
  </si>
  <si>
    <t>104 40</t>
  </si>
  <si>
    <t>064 30</t>
  </si>
  <si>
    <t>51 00</t>
  </si>
  <si>
    <t>37 30</t>
  </si>
  <si>
    <t>cross joints at 27' &amp; 34'</t>
  </si>
  <si>
    <t>Dig 10' on at 040, choke 10' further at 060</t>
  </si>
  <si>
    <t>Smoke mark .stal. on roof also candle + mud</t>
  </si>
  <si>
    <t>July 14th 1960</t>
  </si>
  <si>
    <t>Joe Candy</t>
  </si>
  <si>
    <t>Side Passages in Paradise Regained - Maypole Series, Candys Calamity, Shatter Pot.</t>
  </si>
  <si>
    <t>Var 11(deg) W</t>
  </si>
  <si>
    <t>p. 75-78</t>
  </si>
  <si>
    <t>(=PDF p.77-80)</t>
  </si>
  <si>
    <t>276 30</t>
  </si>
  <si>
    <t>189 15</t>
  </si>
  <si>
    <t>208 00</t>
  </si>
  <si>
    <t>Passage continues 15' at 350deg Corner of Airless Oxbow 18' at 307deg. Bottom of A.O. 3' lower than 228</t>
  </si>
  <si>
    <t>028 00</t>
  </si>
  <si>
    <t>Lip of 8' drop</t>
  </si>
  <si>
    <t>131 30</t>
  </si>
  <si>
    <t>Choke 1' on in same line</t>
  </si>
  <si>
    <t>096 30</t>
  </si>
  <si>
    <t>311 30</t>
  </si>
  <si>
    <t>38 00</t>
  </si>
  <si>
    <t>46 30</t>
  </si>
  <si>
    <t>17 30</t>
  </si>
  <si>
    <t>6' passage on left at 15'</t>
  </si>
  <si>
    <t>12' up small passage</t>
  </si>
  <si>
    <t>Wide low passage diverges on right at 8'</t>
  </si>
  <si>
    <t>Candys Calamity</t>
  </si>
  <si>
    <t>30?</t>
  </si>
  <si>
    <t>123 30</t>
  </si>
  <si>
    <t>235 00</t>
  </si>
  <si>
    <t>139 30</t>
  </si>
  <si>
    <t>In pitch chamber</t>
  </si>
  <si>
    <t>Lip of pitch 8' on</t>
  </si>
  <si>
    <t>Approx. bearing for this and following legs</t>
  </si>
  <si>
    <t>&lt;- allowed errors for approximated legs</t>
  </si>
  <si>
    <t>&lt;- error in calc. depth</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</si>
</sst>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dd\-mmm\-yyyy"/>
  </numFmts>
  <fonts count="8"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6">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165" fontId="0" fillId="0" borderId="0" xfId="0" applyNumberFormat="1"/>
    <xf numFmtId="0" fontId="1" fillId="0" borderId="0" xfId="0" applyFont="1" applyAlignment="1">
      <alignment horizontal="center"/>
    </xf>
    <xf numFmtId="0" fontId="0" fillId="0" borderId="0" xfId="0" applyAlignment="1">
      <alignment horizontal="center"/>
    </xf>
    <xf numFmtId="20" fontId="0" fillId="0" borderId="0" xfId="0" applyNumberFormat="1" applyAlignment="1">
      <alignment horizontal="right"/>
    </xf>
    <xf numFmtId="0" fontId="0" fillId="0" borderId="0" xfId="0" applyAlignment="1">
      <alignment horizontal="left"/>
    </xf>
  </cellXfs>
  <cellStyles count="2">
    <cellStyle name="Hyperlink" xfId="1" builtinId="8"/>
    <cellStyle name="Normal" xfId="0" builtinId="0"/>
  </cellStyles>
  <dxfs count="34">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opLeftCell="A4" workbookViewId="0">
      <selection activeCell="A7" sqref="A7"/>
    </sheetView>
  </sheetViews>
  <sheetFormatPr defaultRowHeight="15" x14ac:dyDescent="0.25"/>
  <cols>
    <col min="1" max="1" width="118.85546875" customWidth="1"/>
  </cols>
  <sheetData>
    <row r="1" spans="1:1" ht="75" x14ac:dyDescent="0.25">
      <c r="A1" s="13" t="s">
        <v>877</v>
      </c>
    </row>
    <row r="2" spans="1:1" x14ac:dyDescent="0.25">
      <c r="A2" s="13"/>
    </row>
    <row r="3" spans="1:1" x14ac:dyDescent="0.25">
      <c r="A3" s="14" t="s">
        <v>878</v>
      </c>
    </row>
    <row r="4" spans="1:1" ht="45" x14ac:dyDescent="0.25">
      <c r="A4" s="13" t="s">
        <v>886</v>
      </c>
    </row>
    <row r="5" spans="1:1" x14ac:dyDescent="0.25">
      <c r="A5" s="13"/>
    </row>
    <row r="6" spans="1:1" x14ac:dyDescent="0.25">
      <c r="A6" s="14" t="s">
        <v>879</v>
      </c>
    </row>
    <row r="7" spans="1:1" ht="180" x14ac:dyDescent="0.25">
      <c r="A7" s="13" t="s">
        <v>890</v>
      </c>
    </row>
    <row r="8" spans="1:1" x14ac:dyDescent="0.25">
      <c r="A8" s="13"/>
    </row>
    <row r="9" spans="1:1" x14ac:dyDescent="0.25">
      <c r="A9" s="14" t="s">
        <v>880</v>
      </c>
    </row>
    <row r="10" spans="1:1" ht="30" x14ac:dyDescent="0.25">
      <c r="A10" s="13" t="s">
        <v>887</v>
      </c>
    </row>
    <row r="11" spans="1:1" x14ac:dyDescent="0.25">
      <c r="A11" s="13"/>
    </row>
    <row r="12" spans="1:1" x14ac:dyDescent="0.25">
      <c r="A12" s="14" t="s">
        <v>881</v>
      </c>
    </row>
    <row r="13" spans="1:1" ht="30" x14ac:dyDescent="0.25">
      <c r="A13" s="13" t="s">
        <v>888</v>
      </c>
    </row>
    <row r="15" spans="1:1" x14ac:dyDescent="0.25">
      <c r="A15" s="13" t="s">
        <v>883</v>
      </c>
    </row>
    <row r="16" spans="1:1" x14ac:dyDescent="0.25">
      <c r="A16" s="15" t="s">
        <v>882</v>
      </c>
    </row>
    <row r="18" spans="1:1" x14ac:dyDescent="0.25">
      <c r="A18" t="s">
        <v>884</v>
      </c>
    </row>
    <row r="19" spans="1:1" x14ac:dyDescent="0.25">
      <c r="A19" s="15" t="s">
        <v>885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00"/>
  <sheetViews>
    <sheetView tabSelected="1" zoomScale="80" zoomScaleNormal="80" workbookViewId="0">
      <pane xSplit="2" ySplit="4" topLeftCell="C485" activePane="bottomRight" state="frozen"/>
      <selection pane="topRight" activeCell="C1" sqref="C1"/>
      <selection pane="bottomLeft" activeCell="A5" sqref="A5"/>
      <selection pane="bottomRight" activeCell="A502" sqref="A502"/>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22" t="s">
        <v>8</v>
      </c>
      <c r="F3" s="22"/>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903</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896</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832</v>
      </c>
      <c r="B283" s="1" t="s">
        <v>802</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906</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793</v>
      </c>
    </row>
    <row r="312" spans="1:16" x14ac:dyDescent="0.25">
      <c r="A312" t="s">
        <v>737</v>
      </c>
      <c r="B312" t="s">
        <v>898</v>
      </c>
      <c r="C312" t="s">
        <v>899</v>
      </c>
    </row>
    <row r="313" spans="1:16" x14ac:dyDescent="0.25">
      <c r="A313" t="s">
        <v>318</v>
      </c>
      <c r="B313" t="s">
        <v>738</v>
      </c>
      <c r="G313" t="s">
        <v>16</v>
      </c>
      <c r="H313" t="s">
        <v>350</v>
      </c>
      <c r="I313" t="s">
        <v>768</v>
      </c>
      <c r="J313">
        <v>9.8000000000000007</v>
      </c>
      <c r="K313" t="s">
        <v>774</v>
      </c>
      <c r="M313">
        <v>6.9</v>
      </c>
      <c r="N313">
        <v>7</v>
      </c>
      <c r="O313">
        <v>367.1</v>
      </c>
      <c r="P313" t="s">
        <v>794</v>
      </c>
    </row>
    <row r="314" spans="1:16" x14ac:dyDescent="0.25">
      <c r="A314" t="s">
        <v>738</v>
      </c>
      <c r="B314" t="s">
        <v>739</v>
      </c>
      <c r="G314" t="s">
        <v>16</v>
      </c>
      <c r="H314" t="s">
        <v>758</v>
      </c>
      <c r="I314" t="s">
        <v>769</v>
      </c>
      <c r="J314">
        <v>38.1</v>
      </c>
      <c r="K314" t="s">
        <v>525</v>
      </c>
      <c r="M314">
        <v>36</v>
      </c>
      <c r="N314">
        <v>12.4</v>
      </c>
      <c r="O314">
        <v>374.1</v>
      </c>
      <c r="P314" t="s">
        <v>795</v>
      </c>
    </row>
    <row r="315" spans="1:16" x14ac:dyDescent="0.25">
      <c r="A315" t="s">
        <v>739</v>
      </c>
      <c r="B315" t="s">
        <v>740</v>
      </c>
      <c r="G315" t="s">
        <v>759</v>
      </c>
      <c r="H315" t="s">
        <v>16</v>
      </c>
      <c r="I315" t="s">
        <v>759</v>
      </c>
      <c r="J315">
        <v>63.3</v>
      </c>
      <c r="K315" t="s">
        <v>775</v>
      </c>
      <c r="M315">
        <v>61.8</v>
      </c>
      <c r="N315">
        <v>13.8</v>
      </c>
      <c r="O315">
        <v>386.5</v>
      </c>
      <c r="P315" t="s">
        <v>796</v>
      </c>
    </row>
    <row r="316" spans="1:16" x14ac:dyDescent="0.25">
      <c r="A316" t="s">
        <v>739</v>
      </c>
      <c r="B316" t="s">
        <v>741</v>
      </c>
      <c r="G316" t="s">
        <v>548</v>
      </c>
      <c r="H316" t="s">
        <v>16</v>
      </c>
      <c r="I316" t="s">
        <v>548</v>
      </c>
      <c r="J316">
        <v>57.3</v>
      </c>
      <c r="K316" t="s">
        <v>245</v>
      </c>
      <c r="M316">
        <v>56.5</v>
      </c>
      <c r="N316">
        <v>9.9</v>
      </c>
      <c r="O316">
        <v>400.3</v>
      </c>
      <c r="P316" t="s">
        <v>797</v>
      </c>
    </row>
    <row r="317" spans="1:16" x14ac:dyDescent="0.25">
      <c r="A317" t="s">
        <v>739</v>
      </c>
      <c r="B317" t="s">
        <v>742</v>
      </c>
      <c r="G317" t="s">
        <v>539</v>
      </c>
      <c r="H317" t="s">
        <v>16</v>
      </c>
      <c r="I317" t="s">
        <v>539</v>
      </c>
      <c r="J317">
        <v>190.3</v>
      </c>
      <c r="K317" t="s">
        <v>314</v>
      </c>
      <c r="M317">
        <v>188.4</v>
      </c>
      <c r="N317">
        <v>26.5</v>
      </c>
      <c r="O317">
        <v>396.4</v>
      </c>
      <c r="P317" t="s">
        <v>798</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799</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800</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801</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872</v>
      </c>
      <c r="B334" s="1" t="s">
        <v>871</v>
      </c>
    </row>
    <row r="335" spans="1:16" x14ac:dyDescent="0.25">
      <c r="A335" t="s">
        <v>756</v>
      </c>
      <c r="B335" t="s">
        <v>320</v>
      </c>
      <c r="C335">
        <v>3</v>
      </c>
      <c r="D335">
        <v>3</v>
      </c>
      <c r="E335">
        <v>20</v>
      </c>
      <c r="F335">
        <v>7</v>
      </c>
      <c r="G335" t="s">
        <v>813</v>
      </c>
      <c r="H335" s="7" t="s">
        <v>16</v>
      </c>
      <c r="I335" t="s">
        <v>823</v>
      </c>
      <c r="J335">
        <v>16.2</v>
      </c>
      <c r="K335" t="s">
        <v>827</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834</v>
      </c>
    </row>
    <row r="337" spans="1:16" x14ac:dyDescent="0.25">
      <c r="A337" t="s">
        <v>399</v>
      </c>
      <c r="B337" t="s">
        <v>803</v>
      </c>
      <c r="C337" s="7" t="str">
        <f t="shared" si="41"/>
        <v>/</v>
      </c>
      <c r="D337" s="7" t="str">
        <f t="shared" si="41"/>
        <v>/</v>
      </c>
      <c r="E337" s="7" t="str">
        <f t="shared" si="41"/>
        <v>/</v>
      </c>
      <c r="F337" s="7" t="str">
        <f t="shared" si="41"/>
        <v>/</v>
      </c>
      <c r="G337" t="s">
        <v>814</v>
      </c>
      <c r="H337" s="7" t="s">
        <v>16</v>
      </c>
      <c r="I337" t="s">
        <v>814</v>
      </c>
      <c r="J337">
        <v>26.5</v>
      </c>
      <c r="K337" t="s">
        <v>828</v>
      </c>
      <c r="M337">
        <v>24.3</v>
      </c>
      <c r="N337">
        <v>10.8</v>
      </c>
      <c r="O337">
        <v>260.8</v>
      </c>
      <c r="P337" t="s">
        <v>833</v>
      </c>
    </row>
    <row r="338" spans="1:16" x14ac:dyDescent="0.25">
      <c r="A338" t="str">
        <f t="shared" si="40"/>
        <v>GH</v>
      </c>
      <c r="B338" t="s">
        <v>804</v>
      </c>
      <c r="C338">
        <v>7</v>
      </c>
      <c r="D338">
        <v>4</v>
      </c>
      <c r="E338">
        <v>6</v>
      </c>
      <c r="F338">
        <v>12</v>
      </c>
      <c r="G338" s="7" t="s">
        <v>16</v>
      </c>
      <c r="H338" s="7" t="s">
        <v>820</v>
      </c>
      <c r="I338" t="s">
        <v>824</v>
      </c>
      <c r="J338">
        <v>20</v>
      </c>
      <c r="K338" t="s">
        <v>829</v>
      </c>
      <c r="M338">
        <v>19.899999999999999</v>
      </c>
      <c r="N338">
        <v>1.2</v>
      </c>
      <c r="O338">
        <v>271.60000000000002</v>
      </c>
    </row>
    <row r="339" spans="1:16" x14ac:dyDescent="0.25">
      <c r="A339" t="str">
        <f t="shared" si="40"/>
        <v>GI</v>
      </c>
      <c r="B339" t="s">
        <v>805</v>
      </c>
      <c r="C339">
        <v>10</v>
      </c>
      <c r="D339">
        <v>3</v>
      </c>
      <c r="E339">
        <v>8</v>
      </c>
      <c r="F339" s="7" t="str">
        <f t="shared" si="41"/>
        <v>/</v>
      </c>
      <c r="G339" t="s">
        <v>815</v>
      </c>
      <c r="H339" s="7" t="s">
        <v>16</v>
      </c>
      <c r="I339" t="s">
        <v>815</v>
      </c>
      <c r="J339">
        <v>52.9</v>
      </c>
      <c r="K339" t="s">
        <v>180</v>
      </c>
      <c r="M339">
        <v>52.2</v>
      </c>
      <c r="N339">
        <v>8.6999999999999993</v>
      </c>
      <c r="O339">
        <v>272.8</v>
      </c>
    </row>
    <row r="340" spans="1:16" x14ac:dyDescent="0.25">
      <c r="A340" t="str">
        <f t="shared" si="40"/>
        <v>GJ</v>
      </c>
      <c r="B340" t="s">
        <v>806</v>
      </c>
      <c r="C340">
        <v>14</v>
      </c>
      <c r="D340">
        <v>4</v>
      </c>
      <c r="E340">
        <v>4</v>
      </c>
      <c r="F340" t="s">
        <v>16</v>
      </c>
      <c r="G340" s="7" t="s">
        <v>816</v>
      </c>
      <c r="H340" s="7" t="s">
        <v>16</v>
      </c>
      <c r="I340" t="s">
        <v>816</v>
      </c>
      <c r="J340">
        <v>4</v>
      </c>
      <c r="K340" t="str">
        <f>"-53 30"</f>
        <v>-53 30</v>
      </c>
      <c r="M340">
        <v>2.4</v>
      </c>
      <c r="N340">
        <v>-3.2</v>
      </c>
      <c r="O340">
        <v>281.5</v>
      </c>
    </row>
    <row r="341" spans="1:16" x14ac:dyDescent="0.25">
      <c r="A341" t="str">
        <f t="shared" si="40"/>
        <v>GK</v>
      </c>
      <c r="B341" t="s">
        <v>807</v>
      </c>
      <c r="C341">
        <v>4</v>
      </c>
      <c r="D341">
        <v>0.5</v>
      </c>
      <c r="E341">
        <v>2.5</v>
      </c>
      <c r="F341">
        <v>0.3</v>
      </c>
      <c r="G341" t="s">
        <v>16</v>
      </c>
      <c r="H341" s="7" t="s">
        <v>628</v>
      </c>
      <c r="I341" t="s">
        <v>825</v>
      </c>
      <c r="J341">
        <v>11.7</v>
      </c>
      <c r="K341" t="s">
        <v>208</v>
      </c>
      <c r="M341">
        <v>10.5</v>
      </c>
      <c r="N341">
        <v>5.0999999999999996</v>
      </c>
      <c r="O341">
        <v>278.3</v>
      </c>
    </row>
    <row r="342" spans="1:16" x14ac:dyDescent="0.25">
      <c r="A342" t="str">
        <f t="shared" si="40"/>
        <v>GL</v>
      </c>
      <c r="B342" t="s">
        <v>808</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809</v>
      </c>
      <c r="C343">
        <v>6</v>
      </c>
      <c r="D343">
        <v>2</v>
      </c>
      <c r="E343">
        <v>1</v>
      </c>
      <c r="F343" s="7" t="str">
        <f t="shared" ref="F343" si="42">"/"</f>
        <v>/</v>
      </c>
      <c r="G343" t="s">
        <v>16</v>
      </c>
      <c r="H343" s="7" t="s">
        <v>821</v>
      </c>
      <c r="I343" t="s">
        <v>826</v>
      </c>
      <c r="J343">
        <v>12.8</v>
      </c>
      <c r="K343" t="s">
        <v>208</v>
      </c>
      <c r="M343">
        <v>11.5</v>
      </c>
      <c r="N343">
        <v>5.6</v>
      </c>
      <c r="O343">
        <v>290.3</v>
      </c>
    </row>
    <row r="344" spans="1:16" x14ac:dyDescent="0.25">
      <c r="A344" t="str">
        <f t="shared" si="40"/>
        <v>GN</v>
      </c>
      <c r="B344" t="s">
        <v>810</v>
      </c>
      <c r="C344">
        <v>10</v>
      </c>
      <c r="D344">
        <v>4</v>
      </c>
      <c r="E344">
        <v>0.5</v>
      </c>
      <c r="F344">
        <v>6</v>
      </c>
      <c r="G344" s="7" t="s">
        <v>817</v>
      </c>
      <c r="H344" s="7" t="s">
        <v>16</v>
      </c>
      <c r="I344" t="s">
        <v>817</v>
      </c>
      <c r="J344">
        <v>39.9</v>
      </c>
      <c r="K344" t="s">
        <v>507</v>
      </c>
      <c r="M344">
        <v>36.299999999999997</v>
      </c>
      <c r="N344">
        <v>16.600000000000001</v>
      </c>
      <c r="O344">
        <v>295.89999999999998</v>
      </c>
    </row>
    <row r="345" spans="1:16" x14ac:dyDescent="0.25">
      <c r="A345" t="str">
        <f t="shared" si="40"/>
        <v>GO</v>
      </c>
      <c r="B345" t="s">
        <v>811</v>
      </c>
      <c r="C345">
        <v>1</v>
      </c>
      <c r="D345">
        <v>0.2</v>
      </c>
      <c r="E345">
        <v>4</v>
      </c>
      <c r="F345">
        <v>3</v>
      </c>
      <c r="G345" t="s">
        <v>16</v>
      </c>
      <c r="H345" s="7" t="s">
        <v>822</v>
      </c>
      <c r="I345" t="s">
        <v>823</v>
      </c>
      <c r="J345">
        <v>8.9</v>
      </c>
      <c r="K345" t="s">
        <v>830</v>
      </c>
      <c r="M345">
        <v>8.4</v>
      </c>
      <c r="N345">
        <v>3</v>
      </c>
      <c r="O345">
        <v>312.5</v>
      </c>
      <c r="P345" t="s">
        <v>835</v>
      </c>
    </row>
    <row r="346" spans="1:16" x14ac:dyDescent="0.25">
      <c r="A346" t="str">
        <f t="shared" si="40"/>
        <v>GP</v>
      </c>
      <c r="B346" t="s">
        <v>812</v>
      </c>
      <c r="C346">
        <v>1</v>
      </c>
      <c r="D346">
        <v>3</v>
      </c>
      <c r="E346">
        <v>3</v>
      </c>
      <c r="F346">
        <v>7</v>
      </c>
      <c r="G346" s="7" t="s">
        <v>818</v>
      </c>
      <c r="H346" s="7" t="s">
        <v>16</v>
      </c>
      <c r="I346" t="s">
        <v>818</v>
      </c>
      <c r="J346">
        <v>27.7</v>
      </c>
      <c r="K346" t="s">
        <v>455</v>
      </c>
      <c r="M346">
        <v>26.8</v>
      </c>
      <c r="N346">
        <v>7.2</v>
      </c>
      <c r="O346">
        <v>315.5</v>
      </c>
      <c r="P346" t="s">
        <v>836</v>
      </c>
    </row>
    <row r="347" spans="1:16" x14ac:dyDescent="0.25">
      <c r="A347" t="str">
        <f t="shared" si="40"/>
        <v>GQ</v>
      </c>
      <c r="B347" t="s">
        <v>750</v>
      </c>
      <c r="C347">
        <v>2</v>
      </c>
      <c r="D347">
        <v>2</v>
      </c>
      <c r="E347">
        <v>3.5</v>
      </c>
      <c r="F347">
        <v>1</v>
      </c>
      <c r="G347" t="s">
        <v>819</v>
      </c>
      <c r="H347" s="7" t="s">
        <v>16</v>
      </c>
      <c r="I347" t="s">
        <v>819</v>
      </c>
      <c r="J347">
        <v>9.8000000000000007</v>
      </c>
      <c r="K347" t="s">
        <v>831</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837</v>
      </c>
    </row>
    <row r="349" spans="1:16" x14ac:dyDescent="0.25">
      <c r="A349" s="1"/>
      <c r="B349" s="1"/>
      <c r="P349" t="s">
        <v>889</v>
      </c>
    </row>
    <row r="350" spans="1:16" x14ac:dyDescent="0.25">
      <c r="A350" s="1" t="s">
        <v>905</v>
      </c>
      <c r="C350" t="s">
        <v>904</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838</v>
      </c>
      <c r="I351" t="s">
        <v>839</v>
      </c>
      <c r="J351">
        <v>34.299999999999997</v>
      </c>
      <c r="K351" t="s">
        <v>732</v>
      </c>
      <c r="M351">
        <v>33.4</v>
      </c>
      <c r="N351">
        <v>7.7</v>
      </c>
      <c r="O351">
        <v>95.6</v>
      </c>
    </row>
    <row r="352" spans="1:16" x14ac:dyDescent="0.25">
      <c r="A352">
        <v>60</v>
      </c>
      <c r="B352">
        <v>61</v>
      </c>
      <c r="C352">
        <v>10</v>
      </c>
      <c r="D352">
        <v>8</v>
      </c>
      <c r="E352">
        <v>2</v>
      </c>
      <c r="F352">
        <v>8</v>
      </c>
      <c r="G352" t="s">
        <v>840</v>
      </c>
      <c r="H352" s="7" t="str">
        <f t="shared" si="43"/>
        <v>/</v>
      </c>
      <c r="I352" t="s">
        <v>840</v>
      </c>
      <c r="J352">
        <v>41.8</v>
      </c>
      <c r="K352" t="s">
        <v>829</v>
      </c>
      <c r="M352">
        <v>41.6</v>
      </c>
      <c r="N352">
        <v>2.6</v>
      </c>
      <c r="O352">
        <v>103.3</v>
      </c>
    </row>
    <row r="353" spans="1:15" x14ac:dyDescent="0.25">
      <c r="A353">
        <v>61</v>
      </c>
      <c r="B353">
        <v>62</v>
      </c>
      <c r="C353">
        <v>8</v>
      </c>
      <c r="D353">
        <v>6</v>
      </c>
      <c r="E353" t="s">
        <v>16</v>
      </c>
      <c r="F353">
        <v>3</v>
      </c>
      <c r="G353" s="7" t="str">
        <f t="shared" si="43"/>
        <v>/</v>
      </c>
      <c r="H353" t="s">
        <v>42</v>
      </c>
      <c r="I353" t="s">
        <v>842</v>
      </c>
      <c r="J353">
        <v>22.9</v>
      </c>
      <c r="K353" t="s">
        <v>367</v>
      </c>
      <c r="M353">
        <v>22.7</v>
      </c>
      <c r="N353">
        <v>2.4</v>
      </c>
      <c r="O353">
        <v>105.9</v>
      </c>
    </row>
    <row r="354" spans="1:15" x14ac:dyDescent="0.25">
      <c r="A354">
        <v>62</v>
      </c>
      <c r="B354">
        <v>63</v>
      </c>
      <c r="C354">
        <v>5</v>
      </c>
      <c r="D354">
        <v>7</v>
      </c>
      <c r="E354">
        <v>3</v>
      </c>
      <c r="F354">
        <v>1</v>
      </c>
      <c r="G354" t="s">
        <v>843</v>
      </c>
      <c r="H354" s="7" t="str">
        <f t="shared" si="43"/>
        <v>/</v>
      </c>
      <c r="I354" t="s">
        <v>843</v>
      </c>
      <c r="J354">
        <v>30.3</v>
      </c>
      <c r="K354" t="str">
        <f>"-5 00"</f>
        <v>-5 00</v>
      </c>
      <c r="M354">
        <v>30</v>
      </c>
      <c r="N354">
        <v>-2.6</v>
      </c>
      <c r="O354">
        <v>108.3</v>
      </c>
    </row>
    <row r="355" spans="1:15" x14ac:dyDescent="0.25">
      <c r="A355">
        <v>63</v>
      </c>
      <c r="B355">
        <v>64</v>
      </c>
      <c r="C355">
        <v>8</v>
      </c>
      <c r="D355">
        <v>2</v>
      </c>
      <c r="F355">
        <v>2</v>
      </c>
      <c r="G355" s="7" t="str">
        <f t="shared" si="43"/>
        <v>/</v>
      </c>
      <c r="H355" t="s">
        <v>844</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845</v>
      </c>
      <c r="I356" t="s">
        <v>846</v>
      </c>
      <c r="J356">
        <v>15.7</v>
      </c>
      <c r="K356" t="s">
        <v>829</v>
      </c>
      <c r="M356">
        <v>15.6</v>
      </c>
      <c r="N356">
        <v>1</v>
      </c>
      <c r="O356">
        <v>108.4</v>
      </c>
    </row>
    <row r="357" spans="1:15" x14ac:dyDescent="0.25">
      <c r="A357">
        <v>65</v>
      </c>
      <c r="B357">
        <v>66</v>
      </c>
      <c r="C357" t="s">
        <v>847</v>
      </c>
      <c r="D357">
        <v>3</v>
      </c>
      <c r="E357">
        <v>2</v>
      </c>
      <c r="F357">
        <v>2</v>
      </c>
      <c r="G357" t="s">
        <v>848</v>
      </c>
      <c r="H357" s="7" t="str">
        <f t="shared" si="43"/>
        <v>/</v>
      </c>
      <c r="I357" t="s">
        <v>848</v>
      </c>
      <c r="J357">
        <v>19.3</v>
      </c>
      <c r="K357" t="s">
        <v>215</v>
      </c>
      <c r="M357">
        <v>18.8</v>
      </c>
      <c r="N357">
        <v>4.5</v>
      </c>
      <c r="O357">
        <v>109.4</v>
      </c>
    </row>
    <row r="358" spans="1:15" x14ac:dyDescent="0.25">
      <c r="A358">
        <v>66</v>
      </c>
      <c r="B358">
        <v>67</v>
      </c>
      <c r="C358">
        <v>6</v>
      </c>
      <c r="D358">
        <v>4</v>
      </c>
      <c r="E358">
        <v>3</v>
      </c>
      <c r="F358">
        <v>4</v>
      </c>
      <c r="G358" s="7" t="str">
        <f t="shared" si="43"/>
        <v>/</v>
      </c>
      <c r="H358" s="7" t="s">
        <v>849</v>
      </c>
      <c r="I358" t="s">
        <v>850</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851</v>
      </c>
      <c r="I360" t="s">
        <v>852</v>
      </c>
      <c r="J360">
        <v>14.8</v>
      </c>
      <c r="K360" t="s">
        <v>651</v>
      </c>
      <c r="M360">
        <v>14.6</v>
      </c>
      <c r="N360">
        <v>1.4</v>
      </c>
      <c r="O360">
        <v>110</v>
      </c>
    </row>
    <row r="361" spans="1:15" x14ac:dyDescent="0.25">
      <c r="A361">
        <v>69</v>
      </c>
      <c r="B361">
        <v>70</v>
      </c>
      <c r="C361">
        <v>6</v>
      </c>
      <c r="D361">
        <v>3</v>
      </c>
      <c r="E361">
        <v>3</v>
      </c>
      <c r="F361">
        <v>3</v>
      </c>
      <c r="G361" t="s">
        <v>853</v>
      </c>
      <c r="H361" s="7" t="str">
        <f t="shared" si="43"/>
        <v>/</v>
      </c>
      <c r="I361" t="s">
        <v>853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854</v>
      </c>
      <c r="F363">
        <v>5</v>
      </c>
      <c r="G363" t="s">
        <v>855</v>
      </c>
      <c r="H363" s="7" t="str">
        <f t="shared" si="43"/>
        <v>/</v>
      </c>
      <c r="I363" t="s">
        <v>855</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854</v>
      </c>
      <c r="G366" s="7" t="str">
        <f t="shared" ref="F366:H385" si="44">"/"</f>
        <v>/</v>
      </c>
      <c r="H366" t="s">
        <v>856</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827</v>
      </c>
      <c r="M369">
        <v>6.9</v>
      </c>
      <c r="N369">
        <v>3.3</v>
      </c>
      <c r="O369">
        <v>116.3</v>
      </c>
    </row>
    <row r="370" spans="1:15" x14ac:dyDescent="0.25">
      <c r="A370">
        <v>78</v>
      </c>
      <c r="B370">
        <v>79</v>
      </c>
      <c r="C370">
        <v>10</v>
      </c>
      <c r="D370">
        <v>3</v>
      </c>
      <c r="E370">
        <v>3</v>
      </c>
      <c r="F370">
        <v>4</v>
      </c>
      <c r="G370" t="s">
        <v>857</v>
      </c>
      <c r="H370" s="7" t="str">
        <f t="shared" si="44"/>
        <v>/</v>
      </c>
      <c r="I370" t="s">
        <v>857</v>
      </c>
      <c r="J370">
        <v>35</v>
      </c>
      <c r="K370" t="s">
        <v>516</v>
      </c>
      <c r="M370">
        <v>34.799999999999997</v>
      </c>
      <c r="N370">
        <v>2.4</v>
      </c>
      <c r="O370">
        <v>119.6</v>
      </c>
    </row>
    <row r="371" spans="1:15" x14ac:dyDescent="0.25">
      <c r="A371">
        <v>79</v>
      </c>
      <c r="B371">
        <v>80</v>
      </c>
      <c r="C371">
        <v>10</v>
      </c>
      <c r="D371">
        <v>3</v>
      </c>
      <c r="E371">
        <v>4</v>
      </c>
      <c r="F371">
        <v>4</v>
      </c>
      <c r="G371" s="7" t="str">
        <f t="shared" si="44"/>
        <v>/</v>
      </c>
      <c r="H371" s="7" t="s">
        <v>858</v>
      </c>
      <c r="I371" t="s">
        <v>859</v>
      </c>
      <c r="J371">
        <v>45.7</v>
      </c>
      <c r="K371" t="s">
        <v>181</v>
      </c>
      <c r="M371">
        <v>45.7</v>
      </c>
      <c r="N371">
        <v>0.4</v>
      </c>
      <c r="O371">
        <v>122</v>
      </c>
    </row>
    <row r="372" spans="1:15" x14ac:dyDescent="0.25">
      <c r="A372">
        <v>80</v>
      </c>
      <c r="B372">
        <v>81</v>
      </c>
      <c r="C372">
        <v>10</v>
      </c>
      <c r="D372">
        <v>3</v>
      </c>
      <c r="E372">
        <v>5</v>
      </c>
      <c r="F372">
        <v>2</v>
      </c>
      <c r="G372" t="s">
        <v>860</v>
      </c>
      <c r="H372" s="7" t="str">
        <f t="shared" si="44"/>
        <v>/</v>
      </c>
      <c r="I372" t="s">
        <v>860</v>
      </c>
      <c r="J372">
        <v>27.2</v>
      </c>
      <c r="K372" t="s">
        <v>181</v>
      </c>
      <c r="M372">
        <v>27.2</v>
      </c>
      <c r="N372">
        <v>0.2</v>
      </c>
      <c r="O372">
        <v>122.4</v>
      </c>
    </row>
    <row r="373" spans="1:15" x14ac:dyDescent="0.25">
      <c r="A373">
        <v>81</v>
      </c>
      <c r="B373">
        <v>82</v>
      </c>
      <c r="C373">
        <v>5</v>
      </c>
      <c r="D373" t="s">
        <v>16</v>
      </c>
      <c r="E373">
        <v>7</v>
      </c>
      <c r="F373">
        <v>8</v>
      </c>
      <c r="G373" s="7" t="str">
        <f t="shared" si="44"/>
        <v>/</v>
      </c>
      <c r="H373" t="s">
        <v>861</v>
      </c>
      <c r="I373" t="s">
        <v>862</v>
      </c>
      <c r="J373">
        <v>19.100000000000001</v>
      </c>
      <c r="K373" t="s">
        <v>474</v>
      </c>
      <c r="M373">
        <v>18.899999999999999</v>
      </c>
      <c r="N373">
        <v>2.2999999999999998</v>
      </c>
      <c r="O373">
        <v>122.6</v>
      </c>
    </row>
    <row r="374" spans="1:15" x14ac:dyDescent="0.25">
      <c r="A374">
        <v>82</v>
      </c>
      <c r="B374">
        <v>83</v>
      </c>
      <c r="C374">
        <v>2</v>
      </c>
      <c r="D374">
        <v>2</v>
      </c>
      <c r="E374">
        <v>8</v>
      </c>
      <c r="F374">
        <v>6</v>
      </c>
      <c r="G374" t="s">
        <v>863</v>
      </c>
      <c r="H374" s="7" t="str">
        <f t="shared" si="44"/>
        <v>/</v>
      </c>
      <c r="I374" t="s">
        <v>863</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864</v>
      </c>
      <c r="J375">
        <v>35.5</v>
      </c>
      <c r="K375" t="s">
        <v>651</v>
      </c>
      <c r="M375">
        <v>35.299999999999997</v>
      </c>
      <c r="N375">
        <v>3.4</v>
      </c>
      <c r="O375">
        <v>127</v>
      </c>
    </row>
    <row r="376" spans="1:15" x14ac:dyDescent="0.25">
      <c r="A376">
        <v>84</v>
      </c>
      <c r="B376">
        <v>85</v>
      </c>
      <c r="C376">
        <v>1</v>
      </c>
      <c r="D376">
        <v>3</v>
      </c>
      <c r="E376">
        <v>6</v>
      </c>
      <c r="F376">
        <v>3</v>
      </c>
      <c r="G376" t="s">
        <v>865</v>
      </c>
      <c r="H376" s="7" t="str">
        <f t="shared" ref="H376" si="45">"/"</f>
        <v>/</v>
      </c>
      <c r="I376" t="s">
        <v>865</v>
      </c>
      <c r="J376">
        <v>29.1</v>
      </c>
      <c r="K376" t="s">
        <v>519</v>
      </c>
      <c r="M376">
        <v>28</v>
      </c>
      <c r="N376">
        <v>8.1</v>
      </c>
      <c r="O376">
        <v>130.4</v>
      </c>
    </row>
    <row r="377" spans="1:15" x14ac:dyDescent="0.25">
      <c r="A377">
        <v>85</v>
      </c>
      <c r="B377">
        <v>86</v>
      </c>
      <c r="C377">
        <v>3</v>
      </c>
      <c r="D377" t="s">
        <v>866</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867</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868</v>
      </c>
      <c r="I381" t="s">
        <v>869</v>
      </c>
      <c r="J381">
        <v>26.4</v>
      </c>
      <c r="K381" t="s">
        <v>188</v>
      </c>
      <c r="M381">
        <v>25.5</v>
      </c>
      <c r="N381">
        <v>6.6</v>
      </c>
      <c r="O381">
        <v>172.3</v>
      </c>
    </row>
    <row r="382" spans="1:15" x14ac:dyDescent="0.25">
      <c r="A382" s="1" t="s">
        <v>841</v>
      </c>
      <c r="B382" s="1" t="s">
        <v>870</v>
      </c>
    </row>
    <row r="383" spans="1:15" x14ac:dyDescent="0.25">
      <c r="A383">
        <v>90</v>
      </c>
      <c r="B383">
        <v>91</v>
      </c>
      <c r="C383">
        <v>15</v>
      </c>
      <c r="D383">
        <v>4</v>
      </c>
      <c r="E383">
        <v>3</v>
      </c>
      <c r="F383">
        <v>3</v>
      </c>
      <c r="G383" t="s">
        <v>421</v>
      </c>
      <c r="H383" s="7" t="str">
        <f t="shared" si="44"/>
        <v>/</v>
      </c>
      <c r="I383" t="s">
        <v>421</v>
      </c>
      <c r="J383">
        <v>49</v>
      </c>
      <c r="K383" t="s">
        <v>829</v>
      </c>
      <c r="M383">
        <v>48.7</v>
      </c>
      <c r="N383">
        <v>3</v>
      </c>
      <c r="O383">
        <v>178.9</v>
      </c>
    </row>
    <row r="384" spans="1:15" x14ac:dyDescent="0.25">
      <c r="A384">
        <v>91</v>
      </c>
      <c r="B384">
        <v>92</v>
      </c>
      <c r="C384">
        <v>25</v>
      </c>
      <c r="D384" t="s">
        <v>874</v>
      </c>
      <c r="E384" t="s">
        <v>16</v>
      </c>
      <c r="F384">
        <v>5</v>
      </c>
      <c r="G384" s="7" t="str">
        <f t="shared" si="44"/>
        <v>/</v>
      </c>
      <c r="H384" t="s">
        <v>770</v>
      </c>
      <c r="I384" t="s">
        <v>760</v>
      </c>
      <c r="J384">
        <v>35.799999999999997</v>
      </c>
      <c r="K384" t="s">
        <v>876</v>
      </c>
      <c r="M384">
        <v>32</v>
      </c>
      <c r="N384">
        <v>16</v>
      </c>
      <c r="O384">
        <v>181.9</v>
      </c>
    </row>
    <row r="385" spans="1:16" x14ac:dyDescent="0.25">
      <c r="A385">
        <v>92</v>
      </c>
      <c r="B385">
        <v>93</v>
      </c>
      <c r="C385">
        <v>20</v>
      </c>
      <c r="D385">
        <v>4</v>
      </c>
      <c r="E385">
        <v>8</v>
      </c>
      <c r="F385">
        <v>6</v>
      </c>
      <c r="G385" t="s">
        <v>875</v>
      </c>
      <c r="H385" s="7" t="str">
        <f t="shared" si="44"/>
        <v>/</v>
      </c>
      <c r="I385" t="s">
        <v>875</v>
      </c>
      <c r="J385">
        <v>48.2</v>
      </c>
      <c r="K385" t="s">
        <v>63</v>
      </c>
      <c r="M385">
        <v>47.7</v>
      </c>
      <c r="N385">
        <v>7.1</v>
      </c>
      <c r="O385">
        <v>197.9</v>
      </c>
    </row>
    <row r="386" spans="1:16" x14ac:dyDescent="0.25">
      <c r="A386">
        <v>93</v>
      </c>
      <c r="B386">
        <v>94</v>
      </c>
      <c r="C386">
        <v>8</v>
      </c>
      <c r="D386">
        <v>7</v>
      </c>
      <c r="E386">
        <v>5</v>
      </c>
      <c r="F386">
        <v>2</v>
      </c>
      <c r="G386" s="7" t="str">
        <f t="shared" ref="G386:H387" si="46">"/"</f>
        <v>/</v>
      </c>
      <c r="H386" t="s">
        <v>868</v>
      </c>
      <c r="I386" t="s">
        <v>869</v>
      </c>
      <c r="J386">
        <v>18.5</v>
      </c>
      <c r="K386" t="str">
        <f>"-9 00"</f>
        <v>-9 00</v>
      </c>
      <c r="M386">
        <v>18.3</v>
      </c>
      <c r="N386">
        <v>-2.9</v>
      </c>
      <c r="O386">
        <v>205</v>
      </c>
    </row>
    <row r="387" spans="1:16" x14ac:dyDescent="0.25">
      <c r="A387">
        <v>94</v>
      </c>
      <c r="B387">
        <v>95</v>
      </c>
      <c r="C387" t="s">
        <v>873</v>
      </c>
      <c r="D387">
        <v>3</v>
      </c>
      <c r="E387">
        <v>3</v>
      </c>
      <c r="F387">
        <v>1</v>
      </c>
      <c r="G387" t="s">
        <v>641</v>
      </c>
      <c r="H387" s="7" t="str">
        <f t="shared" si="46"/>
        <v>/</v>
      </c>
      <c r="I387" t="s">
        <v>641</v>
      </c>
      <c r="J387">
        <v>26</v>
      </c>
      <c r="K387" t="str">
        <f>"-4 30"</f>
        <v>-4 30</v>
      </c>
      <c r="M387">
        <v>25.8</v>
      </c>
      <c r="N387">
        <v>-2</v>
      </c>
      <c r="O387">
        <v>202.1</v>
      </c>
    </row>
    <row r="388" spans="1:16" x14ac:dyDescent="0.25">
      <c r="A388">
        <v>95</v>
      </c>
      <c r="C388">
        <v>10</v>
      </c>
      <c r="D388" t="s">
        <v>16</v>
      </c>
      <c r="E388" t="s">
        <v>16</v>
      </c>
      <c r="F388">
        <v>3</v>
      </c>
      <c r="M388">
        <v>52.5</v>
      </c>
      <c r="N388">
        <v>10</v>
      </c>
      <c r="O388">
        <v>200.1</v>
      </c>
    </row>
    <row r="389" spans="1:16" x14ac:dyDescent="0.25">
      <c r="O389">
        <v>210</v>
      </c>
    </row>
    <row r="390" spans="1:16" s="1" customFormat="1" x14ac:dyDescent="0.25">
      <c r="A390" s="1" t="s">
        <v>907</v>
      </c>
      <c r="B390" s="1" t="s">
        <v>910</v>
      </c>
      <c r="C390" s="1" t="s">
        <v>908</v>
      </c>
      <c r="M390" s="1" t="s">
        <v>909</v>
      </c>
      <c r="O390" s="4" t="s">
        <v>989</v>
      </c>
    </row>
    <row r="391" spans="1:16" x14ac:dyDescent="0.25">
      <c r="A391" t="s">
        <v>599</v>
      </c>
      <c r="B391">
        <v>98</v>
      </c>
      <c r="C391">
        <v>2</v>
      </c>
      <c r="D391">
        <v>1.5</v>
      </c>
      <c r="E391" s="7" t="str">
        <f t="shared" ref="C391:H405" si="47">"/"</f>
        <v>/</v>
      </c>
      <c r="F391" s="7" t="str">
        <f t="shared" si="47"/>
        <v>/</v>
      </c>
      <c r="G391" s="7" t="str">
        <f t="shared" si="47"/>
        <v>/</v>
      </c>
      <c r="H391" t="s">
        <v>420</v>
      </c>
      <c r="I391" t="s">
        <v>414</v>
      </c>
      <c r="J391">
        <v>3.3</v>
      </c>
      <c r="K391" t="s">
        <v>244</v>
      </c>
      <c r="M391">
        <v>3</v>
      </c>
      <c r="N391">
        <v>1.3</v>
      </c>
      <c r="O391">
        <v>470.1</v>
      </c>
      <c r="P391" t="s">
        <v>964</v>
      </c>
    </row>
    <row r="392" spans="1:16" x14ac:dyDescent="0.25">
      <c r="A392">
        <v>98</v>
      </c>
      <c r="B392">
        <v>99</v>
      </c>
      <c r="C392" s="7" t="str">
        <f t="shared" si="47"/>
        <v>/</v>
      </c>
      <c r="D392" s="7" t="str">
        <f t="shared" si="47"/>
        <v>/</v>
      </c>
      <c r="E392" s="7" t="str">
        <f t="shared" si="47"/>
        <v>/</v>
      </c>
      <c r="F392" s="7" t="str">
        <f t="shared" si="47"/>
        <v>/</v>
      </c>
      <c r="G392" t="s">
        <v>918</v>
      </c>
      <c r="H392" s="7" t="str">
        <f t="shared" si="47"/>
        <v>/</v>
      </c>
      <c r="I392" t="s">
        <v>918</v>
      </c>
      <c r="J392">
        <v>19.5</v>
      </c>
      <c r="K392" t="str">
        <f>"-19 30"</f>
        <v>-19 30</v>
      </c>
      <c r="M392">
        <v>18.399999999999999</v>
      </c>
      <c r="N392">
        <v>-6.5</v>
      </c>
      <c r="O392">
        <v>471.4</v>
      </c>
    </row>
    <row r="393" spans="1:16" x14ac:dyDescent="0.25">
      <c r="A393">
        <v>99</v>
      </c>
      <c r="B393">
        <v>100</v>
      </c>
      <c r="C393">
        <v>1</v>
      </c>
      <c r="D393">
        <v>0.3</v>
      </c>
      <c r="E393">
        <v>1.8</v>
      </c>
      <c r="F393">
        <v>3</v>
      </c>
      <c r="G393" t="s">
        <v>919</v>
      </c>
      <c r="H393" s="7" t="str">
        <f t="shared" si="47"/>
        <v>/</v>
      </c>
      <c r="I393" t="s">
        <v>919</v>
      </c>
      <c r="J393">
        <v>7.3</v>
      </c>
      <c r="K393" t="str">
        <f>"+0.2 feet"</f>
        <v>+0.2 feet</v>
      </c>
      <c r="M393">
        <v>7.3</v>
      </c>
      <c r="N393">
        <v>0.2</v>
      </c>
      <c r="O393">
        <v>464.9</v>
      </c>
      <c r="P393" t="s">
        <v>965</v>
      </c>
    </row>
    <row r="394" spans="1:16" x14ac:dyDescent="0.25">
      <c r="A394">
        <v>100</v>
      </c>
      <c r="B394">
        <v>101</v>
      </c>
      <c r="C394">
        <v>3</v>
      </c>
      <c r="D394">
        <v>0.3</v>
      </c>
      <c r="E394">
        <v>3.5</v>
      </c>
      <c r="F394">
        <v>1.2</v>
      </c>
      <c r="G394" s="7" t="str">
        <f t="shared" si="47"/>
        <v>/</v>
      </c>
      <c r="H394" t="s">
        <v>920</v>
      </c>
      <c r="I394" t="s">
        <v>944</v>
      </c>
      <c r="J394">
        <v>10.5</v>
      </c>
      <c r="K394" t="s">
        <v>957</v>
      </c>
      <c r="M394">
        <v>8.1999999999999993</v>
      </c>
      <c r="N394">
        <v>6.5</v>
      </c>
      <c r="O394">
        <v>465.1</v>
      </c>
      <c r="P394" t="s">
        <v>966</v>
      </c>
    </row>
    <row r="395" spans="1:16" x14ac:dyDescent="0.25">
      <c r="A395">
        <v>101</v>
      </c>
      <c r="B395">
        <v>102</v>
      </c>
      <c r="C395">
        <v>3</v>
      </c>
      <c r="D395">
        <v>1</v>
      </c>
      <c r="E395" t="s">
        <v>913</v>
      </c>
      <c r="F395">
        <v>4</v>
      </c>
      <c r="G395" t="s">
        <v>921</v>
      </c>
      <c r="H395" s="7" t="str">
        <f t="shared" si="47"/>
        <v>/</v>
      </c>
      <c r="I395" t="s">
        <v>921</v>
      </c>
      <c r="J395">
        <v>15.5</v>
      </c>
      <c r="K395" t="str">
        <f>"-7 00"</f>
        <v>-7 00</v>
      </c>
      <c r="M395">
        <v>15.4</v>
      </c>
      <c r="N395">
        <v>-1.9</v>
      </c>
      <c r="O395">
        <v>471.6</v>
      </c>
    </row>
    <row r="396" spans="1:16" x14ac:dyDescent="0.25">
      <c r="A396">
        <v>102</v>
      </c>
      <c r="B396">
        <v>103</v>
      </c>
      <c r="C396" t="s">
        <v>911</v>
      </c>
      <c r="D396">
        <v>1</v>
      </c>
      <c r="E396">
        <v>2</v>
      </c>
      <c r="F396" t="s">
        <v>916</v>
      </c>
      <c r="G396" s="7" t="str">
        <f t="shared" si="47"/>
        <v>/</v>
      </c>
      <c r="H396" t="s">
        <v>922</v>
      </c>
      <c r="I396" t="s">
        <v>945</v>
      </c>
      <c r="J396">
        <v>28.9</v>
      </c>
      <c r="K396" t="s">
        <v>653</v>
      </c>
      <c r="M396">
        <v>27</v>
      </c>
      <c r="N396">
        <v>10.1</v>
      </c>
      <c r="O396">
        <v>469.7</v>
      </c>
    </row>
    <row r="397" spans="1:16" x14ac:dyDescent="0.25">
      <c r="A397">
        <v>103</v>
      </c>
      <c r="B397">
        <v>104</v>
      </c>
      <c r="C397" t="s">
        <v>912</v>
      </c>
      <c r="D397">
        <v>6</v>
      </c>
      <c r="E397">
        <v>1</v>
      </c>
      <c r="F397">
        <v>3</v>
      </c>
      <c r="G397" t="s">
        <v>923</v>
      </c>
      <c r="H397" s="7" t="str">
        <f t="shared" si="47"/>
        <v>/</v>
      </c>
      <c r="I397" t="s">
        <v>923</v>
      </c>
      <c r="J397">
        <v>7.5</v>
      </c>
      <c r="K397" t="str">
        <f>"-12 30"</f>
        <v>-12 30</v>
      </c>
      <c r="M397">
        <v>7.3</v>
      </c>
      <c r="N397">
        <v>-1.6</v>
      </c>
      <c r="O397">
        <v>479.8</v>
      </c>
    </row>
    <row r="398" spans="1:16" x14ac:dyDescent="0.25">
      <c r="A398">
        <v>104</v>
      </c>
      <c r="B398">
        <v>105</v>
      </c>
      <c r="C398">
        <v>20</v>
      </c>
      <c r="D398">
        <v>3</v>
      </c>
      <c r="E398">
        <v>1</v>
      </c>
      <c r="F398" t="s">
        <v>917</v>
      </c>
      <c r="G398" s="7" t="str">
        <f t="shared" si="47"/>
        <v>/</v>
      </c>
      <c r="H398" t="s">
        <v>924</v>
      </c>
      <c r="I398" t="s">
        <v>946</v>
      </c>
      <c r="J398">
        <v>6.7</v>
      </c>
      <c r="K398" t="s">
        <v>210</v>
      </c>
      <c r="M398">
        <v>6.6</v>
      </c>
      <c r="N398">
        <v>1.2</v>
      </c>
      <c r="O398">
        <v>478.2</v>
      </c>
    </row>
    <row r="399" spans="1:16" x14ac:dyDescent="0.25">
      <c r="A399">
        <v>105</v>
      </c>
      <c r="B399">
        <v>106</v>
      </c>
      <c r="C399">
        <v>20</v>
      </c>
      <c r="D399">
        <v>2</v>
      </c>
      <c r="E399">
        <v>2</v>
      </c>
      <c r="F399">
        <v>1.5</v>
      </c>
      <c r="G399" t="s">
        <v>925</v>
      </c>
      <c r="H399" s="7" t="str">
        <f t="shared" si="47"/>
        <v>/</v>
      </c>
      <c r="I399" t="s">
        <v>925</v>
      </c>
      <c r="J399">
        <v>20.2</v>
      </c>
      <c r="K399" t="s">
        <v>63</v>
      </c>
      <c r="M399">
        <v>20</v>
      </c>
      <c r="N399">
        <v>3</v>
      </c>
      <c r="O399">
        <v>479.4</v>
      </c>
    </row>
    <row r="400" spans="1:16" x14ac:dyDescent="0.25">
      <c r="A400">
        <v>106</v>
      </c>
      <c r="B400">
        <v>107</v>
      </c>
      <c r="C400">
        <v>18</v>
      </c>
      <c r="D400">
        <v>2</v>
      </c>
      <c r="E400">
        <v>2.5</v>
      </c>
      <c r="F400">
        <v>6</v>
      </c>
      <c r="G400" s="7" t="str">
        <f t="shared" si="47"/>
        <v>/</v>
      </c>
      <c r="H400" t="s">
        <v>926</v>
      </c>
      <c r="I400" t="s">
        <v>947</v>
      </c>
      <c r="J400">
        <v>3.3</v>
      </c>
      <c r="K400" t="s">
        <v>367</v>
      </c>
      <c r="M400">
        <v>3.3</v>
      </c>
      <c r="N400">
        <v>0.3</v>
      </c>
      <c r="O400">
        <v>482.4</v>
      </c>
    </row>
    <row r="401" spans="1:16" x14ac:dyDescent="0.25">
      <c r="A401">
        <v>107</v>
      </c>
      <c r="B401">
        <v>108</v>
      </c>
      <c r="C401" s="7" t="str">
        <f t="shared" ref="C401:F402" si="48">"/"</f>
        <v>/</v>
      </c>
      <c r="D401" s="7" t="str">
        <f t="shared" si="48"/>
        <v>/</v>
      </c>
      <c r="E401" s="7" t="str">
        <f t="shared" si="48"/>
        <v>/</v>
      </c>
      <c r="F401" s="7" t="str">
        <f t="shared" si="48"/>
        <v>/</v>
      </c>
      <c r="G401" t="s">
        <v>927</v>
      </c>
      <c r="H401" s="7" t="str">
        <f t="shared" si="47"/>
        <v>/</v>
      </c>
      <c r="I401" t="s">
        <v>927</v>
      </c>
      <c r="J401">
        <v>15</v>
      </c>
      <c r="K401" t="str">
        <f>"-8 50"</f>
        <v>-8 50</v>
      </c>
      <c r="M401">
        <v>14.8</v>
      </c>
      <c r="N401">
        <v>-2.2999999999999998</v>
      </c>
      <c r="O401">
        <v>482.7</v>
      </c>
    </row>
    <row r="402" spans="1:16" x14ac:dyDescent="0.25">
      <c r="A402">
        <v>108</v>
      </c>
      <c r="B402">
        <v>109</v>
      </c>
      <c r="C402">
        <v>3</v>
      </c>
      <c r="D402">
        <v>1.5</v>
      </c>
      <c r="E402">
        <v>15</v>
      </c>
      <c r="F402" s="7" t="str">
        <f t="shared" si="48"/>
        <v>/</v>
      </c>
      <c r="G402" s="7" t="str">
        <f t="shared" si="47"/>
        <v>/</v>
      </c>
      <c r="H402" t="s">
        <v>928</v>
      </c>
      <c r="I402" t="s">
        <v>948</v>
      </c>
      <c r="J402">
        <v>40.200000000000003</v>
      </c>
      <c r="K402" t="s">
        <v>958</v>
      </c>
      <c r="M402">
        <v>39.9</v>
      </c>
      <c r="N402">
        <v>5.3</v>
      </c>
      <c r="O402">
        <v>480.4</v>
      </c>
    </row>
    <row r="403" spans="1:16" x14ac:dyDescent="0.25">
      <c r="A403">
        <v>109</v>
      </c>
      <c r="B403">
        <v>110</v>
      </c>
      <c r="C403">
        <v>18</v>
      </c>
      <c r="D403">
        <v>10</v>
      </c>
      <c r="E403">
        <v>6</v>
      </c>
      <c r="F403">
        <v>1.5</v>
      </c>
      <c r="G403" t="s">
        <v>929</v>
      </c>
      <c r="H403" s="7" t="str">
        <f t="shared" si="47"/>
        <v>/</v>
      </c>
      <c r="I403" t="s">
        <v>929</v>
      </c>
      <c r="J403">
        <v>20.399999999999999</v>
      </c>
      <c r="K403" t="str">
        <f>"-24 30"</f>
        <v>-24 30</v>
      </c>
      <c r="M403">
        <v>18.5</v>
      </c>
      <c r="N403">
        <v>-8.5</v>
      </c>
      <c r="O403">
        <v>485.7</v>
      </c>
    </row>
    <row r="404" spans="1:16" x14ac:dyDescent="0.25">
      <c r="A404">
        <v>110</v>
      </c>
      <c r="B404">
        <v>111</v>
      </c>
      <c r="C404">
        <v>18</v>
      </c>
      <c r="D404">
        <v>0.5</v>
      </c>
      <c r="E404" t="s">
        <v>914</v>
      </c>
      <c r="F404">
        <v>5</v>
      </c>
      <c r="G404" s="7" t="str">
        <f t="shared" si="47"/>
        <v>/</v>
      </c>
      <c r="H404" t="s">
        <v>930</v>
      </c>
      <c r="I404" t="s">
        <v>949</v>
      </c>
      <c r="J404">
        <v>26</v>
      </c>
      <c r="K404" t="s">
        <v>653</v>
      </c>
      <c r="M404">
        <v>24.3</v>
      </c>
      <c r="N404">
        <v>9.1</v>
      </c>
      <c r="O404">
        <v>477.2</v>
      </c>
    </row>
    <row r="405" spans="1:16" x14ac:dyDescent="0.25">
      <c r="A405">
        <v>111</v>
      </c>
      <c r="B405">
        <v>112</v>
      </c>
      <c r="C405">
        <v>2</v>
      </c>
      <c r="D405">
        <v>2</v>
      </c>
      <c r="E405">
        <v>2.5</v>
      </c>
      <c r="F405">
        <v>2</v>
      </c>
      <c r="G405" t="s">
        <v>409</v>
      </c>
      <c r="H405" s="7" t="str">
        <f t="shared" si="47"/>
        <v>/</v>
      </c>
      <c r="I405" t="s">
        <v>409</v>
      </c>
      <c r="J405">
        <v>31.5</v>
      </c>
      <c r="K405" t="str">
        <f>"-14 40"</f>
        <v>-14 40</v>
      </c>
      <c r="M405">
        <v>30.5</v>
      </c>
      <c r="N405">
        <v>-8</v>
      </c>
      <c r="O405">
        <v>486.3</v>
      </c>
    </row>
    <row r="406" spans="1:16" x14ac:dyDescent="0.25">
      <c r="A406">
        <v>112</v>
      </c>
      <c r="B406">
        <v>113</v>
      </c>
      <c r="C406">
        <v>2</v>
      </c>
      <c r="D406">
        <v>0.3</v>
      </c>
      <c r="E406">
        <v>8</v>
      </c>
      <c r="F406">
        <v>3.5</v>
      </c>
      <c r="G406" s="7" t="s">
        <v>931</v>
      </c>
      <c r="H406" s="7" t="str">
        <f t="shared" ref="G406:H412" si="49">"/"</f>
        <v>/</v>
      </c>
      <c r="I406" t="s">
        <v>931</v>
      </c>
      <c r="J406">
        <v>13.9</v>
      </c>
      <c r="K406" t="str">
        <f>"-12 30"</f>
        <v>-12 30</v>
      </c>
      <c r="M406">
        <v>13.6</v>
      </c>
      <c r="N406">
        <v>-3</v>
      </c>
      <c r="O406">
        <v>478.3</v>
      </c>
    </row>
    <row r="407" spans="1:16" x14ac:dyDescent="0.25">
      <c r="A407">
        <v>113</v>
      </c>
      <c r="B407">
        <v>114</v>
      </c>
      <c r="C407">
        <v>2</v>
      </c>
      <c r="D407">
        <v>0.5</v>
      </c>
      <c r="E407">
        <v>0.5</v>
      </c>
      <c r="F407">
        <v>4</v>
      </c>
      <c r="G407" s="7" t="str">
        <f t="shared" si="49"/>
        <v>/</v>
      </c>
      <c r="H407" t="s">
        <v>175</v>
      </c>
      <c r="I407" t="s">
        <v>165</v>
      </c>
      <c r="J407">
        <v>17.7</v>
      </c>
      <c r="K407" t="s">
        <v>959</v>
      </c>
      <c r="M407">
        <v>11.6</v>
      </c>
      <c r="N407">
        <v>13.4</v>
      </c>
      <c r="O407">
        <v>475.3</v>
      </c>
      <c r="P407" t="s">
        <v>967</v>
      </c>
    </row>
    <row r="408" spans="1:16" x14ac:dyDescent="0.25">
      <c r="A408">
        <v>114</v>
      </c>
      <c r="B408">
        <v>115</v>
      </c>
      <c r="C408">
        <v>2.5</v>
      </c>
      <c r="D408">
        <v>4</v>
      </c>
      <c r="E408">
        <v>0.5</v>
      </c>
      <c r="F408">
        <v>1</v>
      </c>
      <c r="G408" s="7" t="s">
        <v>932</v>
      </c>
      <c r="H408" s="7" t="str">
        <f t="shared" si="49"/>
        <v>/</v>
      </c>
      <c r="I408" t="s">
        <v>932</v>
      </c>
      <c r="J408">
        <v>7.6</v>
      </c>
      <c r="K408" t="s">
        <v>243</v>
      </c>
      <c r="M408">
        <v>7.6</v>
      </c>
      <c r="N408">
        <v>0.1</v>
      </c>
      <c r="O408">
        <v>488.7</v>
      </c>
    </row>
    <row r="409" spans="1:16" x14ac:dyDescent="0.25">
      <c r="A409">
        <v>115</v>
      </c>
      <c r="B409">
        <v>116</v>
      </c>
      <c r="C409">
        <v>2</v>
      </c>
      <c r="D409">
        <v>0.3</v>
      </c>
      <c r="E409">
        <v>2.5</v>
      </c>
      <c r="F409">
        <v>1</v>
      </c>
      <c r="G409" s="7" t="str">
        <f t="shared" si="49"/>
        <v>/</v>
      </c>
      <c r="H409" t="s">
        <v>933</v>
      </c>
      <c r="I409" t="s">
        <v>950</v>
      </c>
      <c r="J409">
        <v>9.9</v>
      </c>
      <c r="K409" t="str">
        <f>"-14 30"</f>
        <v>-14 30</v>
      </c>
      <c r="M409">
        <v>9.6</v>
      </c>
      <c r="N409">
        <v>-2.5</v>
      </c>
      <c r="O409">
        <v>488.8</v>
      </c>
    </row>
    <row r="410" spans="1:16" x14ac:dyDescent="0.25">
      <c r="A410">
        <v>116</v>
      </c>
      <c r="B410">
        <v>117</v>
      </c>
      <c r="C410">
        <v>2</v>
      </c>
      <c r="D410">
        <v>12.9</v>
      </c>
      <c r="E410">
        <v>2</v>
      </c>
      <c r="F410" s="7" t="str">
        <f t="shared" ref="F410" si="50">"/"</f>
        <v>/</v>
      </c>
      <c r="G410" s="7" t="str">
        <f t="shared" si="49"/>
        <v>/</v>
      </c>
      <c r="H410" t="s">
        <v>934</v>
      </c>
      <c r="I410" t="s">
        <v>951</v>
      </c>
      <c r="J410">
        <v>19.8</v>
      </c>
      <c r="K410" t="str">
        <f>"-3 00"</f>
        <v>-3 00</v>
      </c>
      <c r="M410">
        <v>19.7</v>
      </c>
      <c r="N410">
        <v>-2.1</v>
      </c>
      <c r="O410">
        <v>486.3</v>
      </c>
      <c r="P410" t="s">
        <v>968</v>
      </c>
    </row>
    <row r="411" spans="1:16" x14ac:dyDescent="0.25">
      <c r="A411">
        <v>117</v>
      </c>
      <c r="B411">
        <v>118</v>
      </c>
      <c r="C411">
        <v>2.5</v>
      </c>
      <c r="D411">
        <v>7</v>
      </c>
      <c r="E411">
        <v>1</v>
      </c>
      <c r="F411">
        <v>0.5</v>
      </c>
      <c r="G411" t="s">
        <v>529</v>
      </c>
      <c r="H411" s="7" t="str">
        <f t="shared" si="49"/>
        <v>/</v>
      </c>
      <c r="I411" t="s">
        <v>529</v>
      </c>
      <c r="J411">
        <v>18.100000000000001</v>
      </c>
      <c r="K411" t="str">
        <f>"-11 10"</f>
        <v>-11 10</v>
      </c>
      <c r="M411">
        <v>17.8</v>
      </c>
      <c r="N411">
        <v>-3.5</v>
      </c>
      <c r="O411">
        <v>484.2</v>
      </c>
      <c r="P411" t="s">
        <v>969</v>
      </c>
    </row>
    <row r="412" spans="1:16" x14ac:dyDescent="0.25">
      <c r="A412">
        <v>118</v>
      </c>
      <c r="B412">
        <v>119</v>
      </c>
      <c r="C412">
        <v>7</v>
      </c>
      <c r="D412">
        <v>1</v>
      </c>
      <c r="E412">
        <v>1.5</v>
      </c>
      <c r="F412">
        <v>4</v>
      </c>
      <c r="G412" s="7" t="str">
        <f t="shared" si="49"/>
        <v>/</v>
      </c>
      <c r="H412" t="s">
        <v>935</v>
      </c>
      <c r="I412" t="s">
        <v>952</v>
      </c>
      <c r="J412">
        <v>4.3</v>
      </c>
      <c r="K412" t="s">
        <v>960</v>
      </c>
      <c r="M412">
        <v>3.2</v>
      </c>
      <c r="N412">
        <v>2.8</v>
      </c>
      <c r="O412">
        <v>480.7</v>
      </c>
    </row>
    <row r="413" spans="1:16" x14ac:dyDescent="0.25">
      <c r="A413">
        <v>119</v>
      </c>
      <c r="B413">
        <v>120</v>
      </c>
      <c r="C413">
        <v>5</v>
      </c>
      <c r="D413">
        <v>4</v>
      </c>
      <c r="E413">
        <v>4</v>
      </c>
      <c r="F413">
        <v>6</v>
      </c>
      <c r="G413" t="s">
        <v>936</v>
      </c>
      <c r="H413" s="7" t="str">
        <f t="shared" ref="G413:H420" si="51">"/"</f>
        <v>/</v>
      </c>
      <c r="I413" t="s">
        <v>936</v>
      </c>
      <c r="J413">
        <v>6.2</v>
      </c>
      <c r="K413" t="str">
        <f>"-23 30"</f>
        <v>-23 30</v>
      </c>
      <c r="M413">
        <v>5.7</v>
      </c>
      <c r="N413">
        <v>-2.5</v>
      </c>
      <c r="O413">
        <v>483.5</v>
      </c>
      <c r="P413" t="s">
        <v>970</v>
      </c>
    </row>
    <row r="414" spans="1:16" x14ac:dyDescent="0.25">
      <c r="A414">
        <v>120</v>
      </c>
      <c r="B414">
        <v>121</v>
      </c>
      <c r="C414">
        <v>0.5</v>
      </c>
      <c r="D414">
        <v>1</v>
      </c>
      <c r="E414">
        <v>0.5</v>
      </c>
      <c r="F414">
        <v>2</v>
      </c>
      <c r="G414" t="s">
        <v>769</v>
      </c>
      <c r="H414" s="7" t="str">
        <f t="shared" si="51"/>
        <v>/</v>
      </c>
      <c r="I414" t="s">
        <v>769</v>
      </c>
      <c r="J414">
        <v>9.1999999999999993</v>
      </c>
      <c r="K414" t="s">
        <v>961</v>
      </c>
      <c r="M414">
        <v>9.1999999999999993</v>
      </c>
      <c r="N414" s="7" t="str">
        <f t="shared" ref="N414" si="52">"/"</f>
        <v>/</v>
      </c>
      <c r="O414">
        <v>481</v>
      </c>
    </row>
    <row r="415" spans="1:16" x14ac:dyDescent="0.25">
      <c r="A415">
        <v>121</v>
      </c>
      <c r="B415">
        <v>122</v>
      </c>
      <c r="C415">
        <v>1.5</v>
      </c>
      <c r="D415">
        <v>0.5</v>
      </c>
      <c r="E415">
        <v>1.5</v>
      </c>
      <c r="F415">
        <v>2</v>
      </c>
      <c r="G415" s="7" t="str">
        <f t="shared" si="51"/>
        <v>/</v>
      </c>
      <c r="H415" t="s">
        <v>441</v>
      </c>
      <c r="I415" t="s">
        <v>953</v>
      </c>
      <c r="J415">
        <v>10</v>
      </c>
      <c r="K415" t="s">
        <v>828</v>
      </c>
      <c r="M415">
        <v>9.1</v>
      </c>
      <c r="N415">
        <v>4.0999999999999996</v>
      </c>
      <c r="O415">
        <v>481</v>
      </c>
    </row>
    <row r="416" spans="1:16" x14ac:dyDescent="0.25">
      <c r="A416">
        <v>122</v>
      </c>
      <c r="B416">
        <v>123</v>
      </c>
      <c r="C416">
        <v>2</v>
      </c>
      <c r="D416">
        <v>1</v>
      </c>
      <c r="E416">
        <v>2.5</v>
      </c>
      <c r="F416">
        <v>1.5</v>
      </c>
      <c r="G416" t="s">
        <v>711</v>
      </c>
      <c r="H416" s="7" t="str">
        <f t="shared" si="51"/>
        <v>/</v>
      </c>
      <c r="I416" t="s">
        <v>711</v>
      </c>
      <c r="J416">
        <v>22</v>
      </c>
      <c r="K416" t="str">
        <f>"-10 00"</f>
        <v>-10 00</v>
      </c>
      <c r="M416">
        <v>21.7</v>
      </c>
      <c r="N416">
        <v>-3.8</v>
      </c>
      <c r="O416">
        <v>485.1</v>
      </c>
      <c r="P416" t="s">
        <v>971</v>
      </c>
    </row>
    <row r="417" spans="1:16" x14ac:dyDescent="0.25">
      <c r="A417">
        <v>123</v>
      </c>
      <c r="B417">
        <v>124</v>
      </c>
      <c r="C417">
        <v>2</v>
      </c>
      <c r="D417">
        <v>0.3</v>
      </c>
      <c r="E417">
        <v>2</v>
      </c>
      <c r="F417">
        <v>1.5</v>
      </c>
      <c r="G417" s="7" t="str">
        <f t="shared" si="51"/>
        <v>/</v>
      </c>
      <c r="H417" t="s">
        <v>869</v>
      </c>
      <c r="I417" t="s">
        <v>868</v>
      </c>
      <c r="J417">
        <v>18.7</v>
      </c>
      <c r="K417" t="s">
        <v>519</v>
      </c>
      <c r="M417">
        <v>18</v>
      </c>
      <c r="N417">
        <v>5.3</v>
      </c>
      <c r="O417">
        <v>481.3</v>
      </c>
    </row>
    <row r="418" spans="1:16" x14ac:dyDescent="0.25">
      <c r="A418">
        <v>124</v>
      </c>
      <c r="B418">
        <v>125</v>
      </c>
      <c r="C418">
        <v>1.5</v>
      </c>
      <c r="D418">
        <v>1.2</v>
      </c>
      <c r="E418">
        <v>4</v>
      </c>
      <c r="F418">
        <v>2.5</v>
      </c>
      <c r="G418" t="s">
        <v>937</v>
      </c>
      <c r="H418" s="7" t="str">
        <f t="shared" si="51"/>
        <v>/</v>
      </c>
      <c r="I418" t="s">
        <v>937</v>
      </c>
      <c r="J418">
        <v>40.700000000000003</v>
      </c>
      <c r="K418" t="str">
        <f>"-14 15"</f>
        <v>-14 15</v>
      </c>
      <c r="M418">
        <v>39.4</v>
      </c>
      <c r="N418">
        <v>-10</v>
      </c>
      <c r="O418">
        <v>486.6</v>
      </c>
      <c r="P418" t="s">
        <v>972</v>
      </c>
    </row>
    <row r="419" spans="1:16" x14ac:dyDescent="0.25">
      <c r="A419">
        <v>125</v>
      </c>
      <c r="B419">
        <v>126</v>
      </c>
      <c r="C419">
        <v>2</v>
      </c>
      <c r="D419">
        <v>0.3</v>
      </c>
      <c r="E419">
        <v>3</v>
      </c>
      <c r="F419">
        <v>6</v>
      </c>
      <c r="G419" s="7" t="str">
        <f t="shared" si="51"/>
        <v>/</v>
      </c>
      <c r="H419" t="s">
        <v>938</v>
      </c>
      <c r="I419" t="s">
        <v>954</v>
      </c>
      <c r="J419">
        <v>13.8</v>
      </c>
      <c r="K419" t="s">
        <v>651</v>
      </c>
      <c r="M419">
        <v>13.7</v>
      </c>
      <c r="N419">
        <v>1.3</v>
      </c>
      <c r="O419">
        <v>476.6</v>
      </c>
    </row>
    <row r="420" spans="1:16" x14ac:dyDescent="0.25">
      <c r="A420">
        <v>126</v>
      </c>
      <c r="B420">
        <v>127</v>
      </c>
      <c r="C420">
        <v>2.5</v>
      </c>
      <c r="D420">
        <v>1.5</v>
      </c>
      <c r="E420" s="7" t="str">
        <f t="shared" ref="E420" si="53">"/"</f>
        <v>/</v>
      </c>
      <c r="F420" s="7">
        <v>4</v>
      </c>
      <c r="G420" t="s">
        <v>500</v>
      </c>
      <c r="H420" s="7" t="str">
        <f t="shared" si="51"/>
        <v>/</v>
      </c>
      <c r="I420" t="s">
        <v>500</v>
      </c>
      <c r="J420">
        <v>20.5</v>
      </c>
      <c r="K420" t="str">
        <f>"-9 15"</f>
        <v>-9 15</v>
      </c>
      <c r="M420">
        <v>20.3</v>
      </c>
      <c r="N420">
        <v>-3.3</v>
      </c>
      <c r="O420">
        <v>477.9</v>
      </c>
    </row>
    <row r="421" spans="1:16" x14ac:dyDescent="0.25">
      <c r="A421">
        <v>127</v>
      </c>
      <c r="B421">
        <v>128</v>
      </c>
      <c r="C421">
        <v>1.5</v>
      </c>
      <c r="D421">
        <v>0.2</v>
      </c>
      <c r="E421">
        <v>3</v>
      </c>
      <c r="F421">
        <v>1</v>
      </c>
      <c r="G421" s="7" t="str">
        <f t="shared" ref="G421:H428" si="54">"/"</f>
        <v>/</v>
      </c>
      <c r="H421" t="s">
        <v>506</v>
      </c>
      <c r="I421" t="s">
        <v>505</v>
      </c>
      <c r="J421">
        <v>4.3</v>
      </c>
      <c r="K421" t="s">
        <v>735</v>
      </c>
      <c r="M421">
        <v>4.0999999999999996</v>
      </c>
      <c r="N421">
        <v>1.3</v>
      </c>
      <c r="O421">
        <v>474.6</v>
      </c>
    </row>
    <row r="422" spans="1:16" x14ac:dyDescent="0.25">
      <c r="A422">
        <v>128</v>
      </c>
      <c r="B422">
        <v>129</v>
      </c>
      <c r="C422">
        <v>3.5</v>
      </c>
      <c r="D422">
        <v>1</v>
      </c>
      <c r="E422" t="s">
        <v>915</v>
      </c>
      <c r="F422">
        <v>2.5</v>
      </c>
      <c r="G422" t="s">
        <v>939</v>
      </c>
      <c r="H422" s="7" t="str">
        <f t="shared" si="54"/>
        <v>/</v>
      </c>
      <c r="I422" t="s">
        <v>939</v>
      </c>
      <c r="J422">
        <v>10.3</v>
      </c>
      <c r="K422" t="s">
        <v>962</v>
      </c>
      <c r="M422">
        <v>10.199999999999999</v>
      </c>
      <c r="N422">
        <v>1.5</v>
      </c>
      <c r="O422">
        <v>475.9</v>
      </c>
    </row>
    <row r="423" spans="1:16" x14ac:dyDescent="0.25">
      <c r="A423">
        <v>129</v>
      </c>
      <c r="B423">
        <v>130</v>
      </c>
      <c r="C423">
        <v>3.5</v>
      </c>
      <c r="D423">
        <v>2</v>
      </c>
      <c r="E423" s="7" t="str">
        <f t="shared" ref="E423" si="55">"/"</f>
        <v>/</v>
      </c>
      <c r="F423" s="7">
        <v>6</v>
      </c>
      <c r="G423" s="7" t="str">
        <f t="shared" si="54"/>
        <v>/</v>
      </c>
      <c r="H423" t="s">
        <v>940</v>
      </c>
      <c r="I423" t="s">
        <v>955</v>
      </c>
      <c r="J423">
        <v>43.2</v>
      </c>
      <c r="K423" t="str">
        <f>"-10 20"</f>
        <v>-10 20</v>
      </c>
      <c r="M423">
        <v>42.5</v>
      </c>
      <c r="N423">
        <v>-7.7</v>
      </c>
      <c r="O423">
        <v>477.4</v>
      </c>
    </row>
    <row r="424" spans="1:16" x14ac:dyDescent="0.25">
      <c r="A424">
        <v>130</v>
      </c>
      <c r="B424">
        <v>131</v>
      </c>
      <c r="C424">
        <v>1.5</v>
      </c>
      <c r="D424">
        <v>1</v>
      </c>
      <c r="E424">
        <v>5</v>
      </c>
      <c r="F424">
        <v>3</v>
      </c>
      <c r="G424" t="s">
        <v>161</v>
      </c>
      <c r="H424" s="7" t="str">
        <f t="shared" si="54"/>
        <v>/</v>
      </c>
      <c r="I424" t="s">
        <v>161</v>
      </c>
      <c r="J424">
        <v>37.799999999999997</v>
      </c>
      <c r="K424" t="str">
        <f>"-3 00"</f>
        <v>-3 00</v>
      </c>
      <c r="M424">
        <v>37.6</v>
      </c>
      <c r="N424">
        <v>-2</v>
      </c>
      <c r="O424">
        <v>469.7</v>
      </c>
    </row>
    <row r="425" spans="1:16" x14ac:dyDescent="0.25">
      <c r="A425">
        <v>131</v>
      </c>
      <c r="B425">
        <v>132</v>
      </c>
      <c r="C425">
        <v>2</v>
      </c>
      <c r="D425">
        <v>0.5</v>
      </c>
      <c r="E425">
        <v>3</v>
      </c>
      <c r="F425">
        <v>4</v>
      </c>
      <c r="G425" s="7" t="str">
        <f t="shared" si="54"/>
        <v>/</v>
      </c>
      <c r="H425" t="s">
        <v>941</v>
      </c>
      <c r="I425" t="s">
        <v>956</v>
      </c>
      <c r="J425">
        <v>9.3000000000000007</v>
      </c>
      <c r="K425" t="s">
        <v>653</v>
      </c>
      <c r="M425">
        <v>8.6999999999999993</v>
      </c>
      <c r="N425">
        <v>3.3</v>
      </c>
      <c r="O425">
        <v>467.7</v>
      </c>
    </row>
    <row r="426" spans="1:16" x14ac:dyDescent="0.25">
      <c r="A426">
        <v>132</v>
      </c>
      <c r="B426">
        <v>133</v>
      </c>
      <c r="C426">
        <v>1</v>
      </c>
      <c r="D426">
        <v>1.5</v>
      </c>
      <c r="E426">
        <v>10</v>
      </c>
      <c r="F426">
        <v>4</v>
      </c>
      <c r="G426" t="s">
        <v>942</v>
      </c>
      <c r="H426" s="7" t="str">
        <f t="shared" si="54"/>
        <v>/</v>
      </c>
      <c r="I426" t="s">
        <v>942</v>
      </c>
      <c r="J426">
        <v>14.6</v>
      </c>
      <c r="K426" t="str">
        <f>"-11 30"</f>
        <v>-11 30</v>
      </c>
      <c r="M426">
        <v>14.3</v>
      </c>
      <c r="N426">
        <v>-2.9</v>
      </c>
      <c r="O426">
        <v>471</v>
      </c>
    </row>
    <row r="427" spans="1:16" x14ac:dyDescent="0.25">
      <c r="A427">
        <v>133</v>
      </c>
      <c r="B427">
        <v>134</v>
      </c>
      <c r="C427">
        <v>10</v>
      </c>
      <c r="D427">
        <v>0.3</v>
      </c>
      <c r="E427">
        <v>3</v>
      </c>
      <c r="F427">
        <v>1.5</v>
      </c>
      <c r="G427" s="7" t="str">
        <f t="shared" si="54"/>
        <v>/</v>
      </c>
      <c r="H427" t="s">
        <v>242</v>
      </c>
      <c r="I427" t="s">
        <v>234</v>
      </c>
      <c r="J427">
        <v>14.7</v>
      </c>
      <c r="K427" t="s">
        <v>963</v>
      </c>
      <c r="M427">
        <v>13.8</v>
      </c>
      <c r="N427">
        <v>5.2</v>
      </c>
      <c r="O427">
        <v>468.1</v>
      </c>
    </row>
    <row r="428" spans="1:16" x14ac:dyDescent="0.25">
      <c r="A428">
        <v>134</v>
      </c>
      <c r="B428">
        <v>135</v>
      </c>
      <c r="C428">
        <v>15</v>
      </c>
      <c r="D428">
        <v>3</v>
      </c>
      <c r="E428">
        <v>3.5</v>
      </c>
      <c r="F428">
        <v>1.5</v>
      </c>
      <c r="G428" t="s">
        <v>943</v>
      </c>
      <c r="H428" s="7" t="str">
        <f t="shared" si="54"/>
        <v>/</v>
      </c>
      <c r="I428" t="s">
        <v>943</v>
      </c>
      <c r="J428">
        <v>21.5</v>
      </c>
      <c r="K428" t="str">
        <f>"-6 20"</f>
        <v>-6 20</v>
      </c>
      <c r="M428">
        <v>21.3</v>
      </c>
      <c r="N428">
        <v>-2.4</v>
      </c>
      <c r="O428">
        <v>473.3</v>
      </c>
    </row>
    <row r="429" spans="1:16" x14ac:dyDescent="0.25">
      <c r="G429" s="7"/>
      <c r="O429">
        <v>470.9</v>
      </c>
    </row>
    <row r="430" spans="1:16" x14ac:dyDescent="0.25">
      <c r="A430" s="1" t="s">
        <v>973</v>
      </c>
      <c r="B430" s="1" t="s">
        <v>974</v>
      </c>
      <c r="H430" s="7"/>
    </row>
    <row r="431" spans="1:16" x14ac:dyDescent="0.25">
      <c r="A431">
        <v>135</v>
      </c>
      <c r="B431">
        <v>136</v>
      </c>
      <c r="C431">
        <v>3.5</v>
      </c>
      <c r="D431">
        <v>1.2</v>
      </c>
      <c r="E431" s="7" t="str">
        <f t="shared" ref="E431" si="56">"/"</f>
        <v>/</v>
      </c>
      <c r="F431">
        <v>3</v>
      </c>
      <c r="G431" s="7" t="str">
        <f t="shared" ref="G431" si="57">"/"</f>
        <v>/</v>
      </c>
      <c r="H431" t="s">
        <v>977</v>
      </c>
      <c r="I431" t="s">
        <v>984</v>
      </c>
      <c r="J431">
        <v>57.2</v>
      </c>
      <c r="K431" t="str">
        <f>"-13 40"</f>
        <v>-13 40</v>
      </c>
      <c r="M431">
        <v>55.7</v>
      </c>
      <c r="N431">
        <v>-13.5</v>
      </c>
      <c r="O431">
        <v>470.9</v>
      </c>
    </row>
    <row r="432" spans="1:16" x14ac:dyDescent="0.25">
      <c r="A432">
        <v>136</v>
      </c>
      <c r="B432">
        <v>137</v>
      </c>
      <c r="C432">
        <v>2</v>
      </c>
      <c r="D432">
        <v>1</v>
      </c>
      <c r="E432">
        <v>6</v>
      </c>
      <c r="F432" s="7" t="str">
        <f t="shared" ref="F432:G433" si="58">"/"</f>
        <v>/</v>
      </c>
      <c r="G432" t="s">
        <v>978</v>
      </c>
      <c r="H432" s="7" t="str">
        <f t="shared" ref="H432" si="59">"/"</f>
        <v>/</v>
      </c>
      <c r="I432" t="s">
        <v>978</v>
      </c>
      <c r="J432">
        <v>18.399999999999999</v>
      </c>
      <c r="K432" t="str">
        <f>"-6 00"</f>
        <v>-6 00</v>
      </c>
      <c r="M432">
        <v>18.2</v>
      </c>
      <c r="N432">
        <v>-1.9</v>
      </c>
      <c r="O432">
        <v>457.4</v>
      </c>
    </row>
    <row r="433" spans="1:16" x14ac:dyDescent="0.25">
      <c r="A433">
        <v>137</v>
      </c>
      <c r="B433">
        <v>138</v>
      </c>
      <c r="C433">
        <v>5.5</v>
      </c>
      <c r="D433">
        <v>0.3</v>
      </c>
      <c r="E433">
        <v>4</v>
      </c>
      <c r="F433" s="7" t="str">
        <f t="shared" si="58"/>
        <v>/</v>
      </c>
      <c r="G433" s="7" t="str">
        <f t="shared" si="58"/>
        <v>/</v>
      </c>
      <c r="H433" t="s">
        <v>979</v>
      </c>
      <c r="I433" t="s">
        <v>985</v>
      </c>
      <c r="J433">
        <v>24.8</v>
      </c>
      <c r="K433" t="s">
        <v>988</v>
      </c>
      <c r="M433">
        <v>20.7</v>
      </c>
      <c r="N433">
        <v>13.6</v>
      </c>
      <c r="O433">
        <v>455.5</v>
      </c>
    </row>
    <row r="434" spans="1:16" x14ac:dyDescent="0.25">
      <c r="A434">
        <v>138</v>
      </c>
      <c r="B434">
        <v>139</v>
      </c>
      <c r="C434">
        <v>2.5</v>
      </c>
      <c r="D434">
        <v>1.5</v>
      </c>
      <c r="E434">
        <v>5</v>
      </c>
      <c r="F434">
        <v>1</v>
      </c>
      <c r="G434" t="s">
        <v>980</v>
      </c>
      <c r="H434" s="7" t="str">
        <f t="shared" ref="H434" si="60">"/"</f>
        <v>/</v>
      </c>
      <c r="I434" t="s">
        <v>980</v>
      </c>
      <c r="J434">
        <v>19</v>
      </c>
      <c r="K434" t="s">
        <v>311</v>
      </c>
      <c r="M434">
        <v>18.2</v>
      </c>
      <c r="N434">
        <v>5.4</v>
      </c>
      <c r="O434">
        <v>469.1</v>
      </c>
    </row>
    <row r="435" spans="1:16" x14ac:dyDescent="0.25">
      <c r="A435">
        <v>139</v>
      </c>
      <c r="B435">
        <v>140</v>
      </c>
      <c r="C435">
        <v>0.8</v>
      </c>
      <c r="D435">
        <v>0.3</v>
      </c>
      <c r="E435">
        <v>5</v>
      </c>
      <c r="F435">
        <v>2</v>
      </c>
      <c r="G435" s="7" t="str">
        <f t="shared" ref="G435" si="61">"/"</f>
        <v>/</v>
      </c>
      <c r="H435" t="s">
        <v>981</v>
      </c>
      <c r="I435" t="s">
        <v>986</v>
      </c>
      <c r="J435">
        <v>35</v>
      </c>
      <c r="K435" t="str">
        <f>"-19 20"</f>
        <v>-19 20</v>
      </c>
      <c r="M435">
        <v>33</v>
      </c>
      <c r="N435">
        <v>-11.6</v>
      </c>
      <c r="O435">
        <v>474.5</v>
      </c>
    </row>
    <row r="436" spans="1:16" x14ac:dyDescent="0.25">
      <c r="A436">
        <v>140</v>
      </c>
      <c r="B436">
        <v>141</v>
      </c>
      <c r="C436" t="s">
        <v>975</v>
      </c>
      <c r="D436">
        <v>1.5</v>
      </c>
      <c r="E436">
        <v>4</v>
      </c>
      <c r="F436">
        <v>5</v>
      </c>
      <c r="G436" t="s">
        <v>494</v>
      </c>
      <c r="H436" s="7" t="str">
        <f t="shared" ref="H436" si="62">"/"</f>
        <v>/</v>
      </c>
      <c r="I436" t="s">
        <v>494</v>
      </c>
      <c r="J436">
        <v>51.6</v>
      </c>
      <c r="K436" t="str">
        <f>"-19 00"</f>
        <v>-19 00</v>
      </c>
      <c r="M436">
        <v>48.6</v>
      </c>
      <c r="N436">
        <v>-16.8</v>
      </c>
      <c r="O436">
        <v>462.9</v>
      </c>
    </row>
    <row r="437" spans="1:16" x14ac:dyDescent="0.25">
      <c r="A437">
        <v>141</v>
      </c>
      <c r="B437">
        <v>142</v>
      </c>
      <c r="C437">
        <v>2.5</v>
      </c>
      <c r="D437">
        <v>2</v>
      </c>
      <c r="E437">
        <v>15</v>
      </c>
      <c r="F437">
        <v>3</v>
      </c>
      <c r="G437" s="7" t="str">
        <f t="shared" ref="G437" si="63">"/"</f>
        <v>/</v>
      </c>
      <c r="H437" t="s">
        <v>982</v>
      </c>
      <c r="I437" t="s">
        <v>987</v>
      </c>
      <c r="J437">
        <v>21.6</v>
      </c>
      <c r="K437" t="s">
        <v>734</v>
      </c>
      <c r="M437">
        <v>21.2</v>
      </c>
      <c r="N437">
        <v>4.0999999999999996</v>
      </c>
      <c r="O437">
        <v>446.1</v>
      </c>
    </row>
    <row r="438" spans="1:16" x14ac:dyDescent="0.25">
      <c r="A438">
        <v>142</v>
      </c>
      <c r="B438">
        <v>143</v>
      </c>
      <c r="C438">
        <v>3</v>
      </c>
      <c r="D438">
        <v>1.5</v>
      </c>
      <c r="E438">
        <v>11</v>
      </c>
      <c r="F438" s="7" t="str">
        <f t="shared" ref="F438" si="64">"/"</f>
        <v>/</v>
      </c>
      <c r="G438" t="s">
        <v>983</v>
      </c>
      <c r="H438" s="7" t="str">
        <f t="shared" ref="H438" si="65">"/"</f>
        <v>/</v>
      </c>
      <c r="I438" t="s">
        <v>983</v>
      </c>
      <c r="J438">
        <v>22.4</v>
      </c>
      <c r="K438" t="s">
        <v>211</v>
      </c>
      <c r="M438">
        <v>19.600000000000001</v>
      </c>
      <c r="N438">
        <v>10.7</v>
      </c>
      <c r="O438">
        <v>450.2</v>
      </c>
    </row>
    <row r="439" spans="1:16" x14ac:dyDescent="0.25">
      <c r="A439">
        <v>143</v>
      </c>
      <c r="C439">
        <v>0</v>
      </c>
      <c r="D439">
        <v>3.5</v>
      </c>
      <c r="O439">
        <v>460.9</v>
      </c>
      <c r="P439" t="s">
        <v>976</v>
      </c>
    </row>
    <row r="441" spans="1:16" x14ac:dyDescent="0.25">
      <c r="A441" t="s">
        <v>1010</v>
      </c>
    </row>
    <row r="443" spans="1:16" x14ac:dyDescent="0.25">
      <c r="A443" s="1" t="s">
        <v>1075</v>
      </c>
      <c r="B443" s="1" t="s">
        <v>1076</v>
      </c>
    </row>
    <row r="444" spans="1:16" x14ac:dyDescent="0.25">
      <c r="A444" s="1" t="s">
        <v>1011</v>
      </c>
      <c r="B444" s="1" t="s">
        <v>1012</v>
      </c>
      <c r="C444" s="1" t="s">
        <v>1013</v>
      </c>
      <c r="M444" t="s">
        <v>1014</v>
      </c>
    </row>
    <row r="445" spans="1:16" x14ac:dyDescent="0.25">
      <c r="A445">
        <v>143</v>
      </c>
      <c r="B445">
        <v>201</v>
      </c>
      <c r="C445">
        <v>0</v>
      </c>
      <c r="D445">
        <v>3</v>
      </c>
      <c r="E445">
        <v>3</v>
      </c>
      <c r="F445">
        <v>6</v>
      </c>
      <c r="G445" s="7" t="str">
        <f t="shared" ref="F445:H448" si="66">"/"</f>
        <v>/</v>
      </c>
      <c r="H445" t="s">
        <v>1016</v>
      </c>
      <c r="J445">
        <v>38.4</v>
      </c>
      <c r="K445" t="s">
        <v>733</v>
      </c>
      <c r="M445">
        <v>36.4</v>
      </c>
      <c r="N445">
        <v>12.2</v>
      </c>
      <c r="O445">
        <v>460.9</v>
      </c>
      <c r="P445" t="s">
        <v>1046</v>
      </c>
    </row>
    <row r="446" spans="1:16" x14ac:dyDescent="0.25">
      <c r="A446">
        <v>201</v>
      </c>
      <c r="B446">
        <v>202</v>
      </c>
      <c r="C446">
        <v>3</v>
      </c>
      <c r="D446">
        <v>2</v>
      </c>
      <c r="E446" t="s">
        <v>1015</v>
      </c>
      <c r="F446" s="7" t="str">
        <f t="shared" si="66"/>
        <v>/</v>
      </c>
      <c r="G446" t="s">
        <v>1017</v>
      </c>
      <c r="H446" s="7" t="str">
        <f t="shared" si="66"/>
        <v>/</v>
      </c>
      <c r="J446">
        <v>35.700000000000003</v>
      </c>
      <c r="K446" t="s">
        <v>244</v>
      </c>
      <c r="M446">
        <v>32.9</v>
      </c>
      <c r="N446">
        <v>13.9</v>
      </c>
      <c r="O446">
        <v>473.1</v>
      </c>
    </row>
    <row r="447" spans="1:16" x14ac:dyDescent="0.25">
      <c r="A447">
        <v>202</v>
      </c>
      <c r="B447">
        <v>203</v>
      </c>
      <c r="C447">
        <v>3</v>
      </c>
      <c r="D447">
        <v>2</v>
      </c>
      <c r="E447">
        <v>4</v>
      </c>
      <c r="F447">
        <v>0</v>
      </c>
      <c r="G447" s="7" t="str">
        <f t="shared" si="66"/>
        <v>/</v>
      </c>
      <c r="H447" t="s">
        <v>1018</v>
      </c>
      <c r="J447">
        <v>16.8</v>
      </c>
      <c r="K447" t="str">
        <f>"-3 30"</f>
        <v>-3 30</v>
      </c>
      <c r="M447">
        <v>16.7</v>
      </c>
      <c r="N447">
        <v>-1</v>
      </c>
      <c r="O447">
        <v>487</v>
      </c>
    </row>
    <row r="448" spans="1:16" x14ac:dyDescent="0.25">
      <c r="A448">
        <v>203</v>
      </c>
      <c r="B448">
        <v>204</v>
      </c>
      <c r="C448">
        <v>3</v>
      </c>
      <c r="D448">
        <v>4</v>
      </c>
      <c r="E448" s="7" t="str">
        <f t="shared" ref="E448" si="67">"/"</f>
        <v>/</v>
      </c>
      <c r="F448">
        <v>5</v>
      </c>
      <c r="G448" t="s">
        <v>224</v>
      </c>
      <c r="H448" s="7" t="str">
        <f t="shared" si="66"/>
        <v>/</v>
      </c>
      <c r="J448">
        <v>10.8</v>
      </c>
      <c r="K448" t="str">
        <f>"-20 30"</f>
        <v>-20 30</v>
      </c>
      <c r="M448">
        <v>10.1</v>
      </c>
      <c r="N448">
        <v>-3.8</v>
      </c>
      <c r="O448">
        <v>486</v>
      </c>
    </row>
    <row r="449" spans="1:16" x14ac:dyDescent="0.25">
      <c r="A449">
        <v>204</v>
      </c>
      <c r="C449">
        <v>2</v>
      </c>
      <c r="D449">
        <v>1</v>
      </c>
      <c r="O449">
        <v>482.2</v>
      </c>
      <c r="P449" t="s">
        <v>1047</v>
      </c>
    </row>
    <row r="451" spans="1:16" x14ac:dyDescent="0.25">
      <c r="A451">
        <v>124</v>
      </c>
      <c r="B451">
        <v>205</v>
      </c>
      <c r="C451">
        <v>0</v>
      </c>
      <c r="D451">
        <v>3</v>
      </c>
      <c r="E451">
        <v>2</v>
      </c>
      <c r="F451">
        <v>2</v>
      </c>
      <c r="G451" s="7" t="str">
        <f t="shared" ref="G451" si="68">"/"</f>
        <v>/</v>
      </c>
      <c r="H451" t="s">
        <v>1022</v>
      </c>
      <c r="J451">
        <v>28.2</v>
      </c>
      <c r="K451" t="str">
        <f>"-17 30"</f>
        <v>-17 30</v>
      </c>
      <c r="N451">
        <v>-8.5</v>
      </c>
      <c r="O451">
        <v>488.1</v>
      </c>
      <c r="P451" t="s">
        <v>1051</v>
      </c>
    </row>
    <row r="452" spans="1:16" x14ac:dyDescent="0.25">
      <c r="A452">
        <v>205</v>
      </c>
      <c r="B452">
        <v>206</v>
      </c>
      <c r="C452">
        <v>2.5</v>
      </c>
      <c r="D452">
        <v>1</v>
      </c>
      <c r="E452">
        <v>3</v>
      </c>
      <c r="F452">
        <v>3</v>
      </c>
      <c r="G452" t="s">
        <v>221</v>
      </c>
      <c r="H452" s="7" t="str">
        <f t="shared" ref="H452" si="69">"/"</f>
        <v>/</v>
      </c>
      <c r="J452">
        <v>54.7</v>
      </c>
      <c r="K452" t="s">
        <v>451</v>
      </c>
      <c r="N452">
        <v>13.2</v>
      </c>
      <c r="O452">
        <v>479.6</v>
      </c>
    </row>
    <row r="453" spans="1:16" x14ac:dyDescent="0.25">
      <c r="A453">
        <v>206</v>
      </c>
      <c r="B453">
        <v>207</v>
      </c>
      <c r="C453">
        <v>2.5</v>
      </c>
      <c r="D453">
        <v>0.5</v>
      </c>
      <c r="E453">
        <v>4</v>
      </c>
      <c r="F453" t="s">
        <v>1020</v>
      </c>
      <c r="G453" s="7" t="str">
        <f t="shared" ref="G453" si="70">"/"</f>
        <v>/</v>
      </c>
      <c r="H453" t="s">
        <v>929</v>
      </c>
      <c r="J453">
        <v>43.6</v>
      </c>
      <c r="K453" t="s">
        <v>1025</v>
      </c>
      <c r="N453">
        <v>10.6</v>
      </c>
      <c r="O453">
        <v>492.8</v>
      </c>
      <c r="P453" t="s">
        <v>1048</v>
      </c>
    </row>
    <row r="454" spans="1:16" x14ac:dyDescent="0.25">
      <c r="A454">
        <v>205</v>
      </c>
      <c r="B454">
        <v>208</v>
      </c>
      <c r="E454">
        <v>3</v>
      </c>
      <c r="F454">
        <v>3</v>
      </c>
      <c r="G454" t="s">
        <v>633</v>
      </c>
      <c r="H454" s="7" t="str">
        <f t="shared" ref="H454" si="71">"/"</f>
        <v>/</v>
      </c>
      <c r="J454">
        <v>39.700000000000003</v>
      </c>
      <c r="K454" t="str">
        <f>"-16 00"</f>
        <v>-16 00</v>
      </c>
      <c r="N454">
        <v>-10.9</v>
      </c>
      <c r="O454">
        <v>479.6</v>
      </c>
    </row>
    <row r="455" spans="1:16" x14ac:dyDescent="0.25">
      <c r="A455">
        <v>208</v>
      </c>
      <c r="B455">
        <v>209</v>
      </c>
      <c r="C455">
        <v>2.5</v>
      </c>
      <c r="D455">
        <v>2</v>
      </c>
      <c r="E455">
        <v>1</v>
      </c>
      <c r="F455" t="s">
        <v>1021</v>
      </c>
      <c r="G455" s="7" t="str">
        <f t="shared" ref="G455:H456" si="72">"/"</f>
        <v>/</v>
      </c>
      <c r="H455" t="s">
        <v>933</v>
      </c>
      <c r="J455">
        <v>16.7</v>
      </c>
      <c r="K455" t="str">
        <f>"-11 30"</f>
        <v>-11 30</v>
      </c>
      <c r="N455">
        <v>-3.3</v>
      </c>
      <c r="O455">
        <v>468.7</v>
      </c>
    </row>
    <row r="456" spans="1:16" x14ac:dyDescent="0.25">
      <c r="A456">
        <v>209</v>
      </c>
      <c r="B456">
        <v>210</v>
      </c>
      <c r="G456" s="7" t="str">
        <f t="shared" si="72"/>
        <v>/</v>
      </c>
      <c r="H456" s="7" t="str">
        <f t="shared" si="72"/>
        <v>/</v>
      </c>
      <c r="J456">
        <v>2.6</v>
      </c>
      <c r="K456" t="s">
        <v>310</v>
      </c>
      <c r="N456">
        <v>2.6</v>
      </c>
      <c r="O456">
        <v>465.3</v>
      </c>
    </row>
    <row r="457" spans="1:16" x14ac:dyDescent="0.25">
      <c r="A457">
        <v>210</v>
      </c>
      <c r="B457">
        <v>211</v>
      </c>
      <c r="C457">
        <v>5</v>
      </c>
      <c r="D457">
        <v>3</v>
      </c>
      <c r="E457">
        <v>3</v>
      </c>
      <c r="F457">
        <v>3</v>
      </c>
      <c r="G457" s="7" t="str">
        <f t="shared" ref="E457:H459" si="73">"/"</f>
        <v>/</v>
      </c>
      <c r="H457" t="s">
        <v>1023</v>
      </c>
      <c r="J457">
        <v>36.299999999999997</v>
      </c>
      <c r="K457" t="s">
        <v>1026</v>
      </c>
      <c r="N457">
        <v>15.3</v>
      </c>
      <c r="O457">
        <v>467</v>
      </c>
      <c r="P457" t="s">
        <v>1049</v>
      </c>
    </row>
    <row r="458" spans="1:16" x14ac:dyDescent="0.25">
      <c r="A458">
        <v>211</v>
      </c>
      <c r="B458">
        <v>212</v>
      </c>
      <c r="C458">
        <v>12</v>
      </c>
      <c r="D458">
        <v>4</v>
      </c>
      <c r="E458">
        <v>2</v>
      </c>
      <c r="F458">
        <v>2</v>
      </c>
      <c r="G458" t="s">
        <v>235</v>
      </c>
      <c r="H458" s="7" t="str">
        <f t="shared" si="73"/>
        <v>/</v>
      </c>
      <c r="J458">
        <v>26.8</v>
      </c>
      <c r="K458" t="s">
        <v>1027</v>
      </c>
      <c r="N458">
        <v>15.2</v>
      </c>
      <c r="O458">
        <v>482.3</v>
      </c>
    </row>
    <row r="459" spans="1:16" x14ac:dyDescent="0.25">
      <c r="A459">
        <v>212</v>
      </c>
      <c r="B459" t="s">
        <v>1019</v>
      </c>
      <c r="D459">
        <v>4</v>
      </c>
      <c r="E459" s="7" t="str">
        <f t="shared" si="73"/>
        <v>/</v>
      </c>
      <c r="F459" s="7" t="str">
        <f t="shared" si="73"/>
        <v>/</v>
      </c>
      <c r="G459">
        <v>20</v>
      </c>
      <c r="H459" s="7" t="str">
        <f t="shared" si="73"/>
        <v>/</v>
      </c>
      <c r="J459" t="s">
        <v>1024</v>
      </c>
      <c r="K459">
        <v>50</v>
      </c>
      <c r="O459">
        <v>497.5</v>
      </c>
      <c r="P459" t="s">
        <v>1050</v>
      </c>
    </row>
    <row r="461" spans="1:16" s="1" customFormat="1" x14ac:dyDescent="0.25">
      <c r="A461" s="1" t="s">
        <v>1028</v>
      </c>
      <c r="B461" s="1" t="s">
        <v>1029</v>
      </c>
      <c r="C461" s="1" t="s">
        <v>1030</v>
      </c>
      <c r="M461" s="1" t="s">
        <v>1031</v>
      </c>
    </row>
    <row r="462" spans="1:16" x14ac:dyDescent="0.25">
      <c r="A462">
        <v>113</v>
      </c>
      <c r="B462">
        <v>213</v>
      </c>
      <c r="G462" s="7" t="str">
        <f t="shared" ref="G462" si="74">"/"</f>
        <v>/</v>
      </c>
      <c r="H462" t="s">
        <v>1034</v>
      </c>
      <c r="I462" t="s">
        <v>1042</v>
      </c>
      <c r="J462">
        <v>27.5</v>
      </c>
      <c r="K462" t="s">
        <v>777</v>
      </c>
      <c r="M462">
        <v>26.5</v>
      </c>
      <c r="N462">
        <v>7.3</v>
      </c>
      <c r="O462">
        <v>475.3</v>
      </c>
    </row>
    <row r="463" spans="1:16" x14ac:dyDescent="0.25">
      <c r="A463">
        <v>213</v>
      </c>
      <c r="B463">
        <v>214</v>
      </c>
      <c r="G463" t="s">
        <v>762</v>
      </c>
      <c r="H463" s="7" t="str">
        <f t="shared" ref="H463" si="75">"/"</f>
        <v>/</v>
      </c>
      <c r="I463" t="s">
        <v>762</v>
      </c>
      <c r="J463">
        <v>18.3</v>
      </c>
      <c r="K463">
        <v>9</v>
      </c>
      <c r="M463">
        <v>18.100000000000001</v>
      </c>
      <c r="N463">
        <v>2.9</v>
      </c>
      <c r="O463">
        <v>482.6</v>
      </c>
    </row>
    <row r="464" spans="1:16" x14ac:dyDescent="0.25">
      <c r="A464">
        <v>214</v>
      </c>
      <c r="B464">
        <v>215</v>
      </c>
      <c r="G464" s="7" t="str">
        <f t="shared" ref="G464" si="76">"/"</f>
        <v>/</v>
      </c>
      <c r="H464" t="s">
        <v>200</v>
      </c>
      <c r="I464" t="s">
        <v>206</v>
      </c>
      <c r="J464">
        <v>13</v>
      </c>
      <c r="K464" t="str">
        <f>"-25 30"</f>
        <v>-25 30</v>
      </c>
      <c r="M464">
        <v>11.7</v>
      </c>
      <c r="N464">
        <v>-5.6</v>
      </c>
      <c r="O464">
        <v>485.5</v>
      </c>
    </row>
    <row r="465" spans="1:16" x14ac:dyDescent="0.25">
      <c r="A465">
        <v>215</v>
      </c>
      <c r="B465">
        <v>216</v>
      </c>
      <c r="G465" t="s">
        <v>1035</v>
      </c>
      <c r="H465" s="7" t="str">
        <f t="shared" ref="H465" si="77">"/"</f>
        <v>/</v>
      </c>
      <c r="I465" t="s">
        <v>1035</v>
      </c>
      <c r="J465">
        <v>61.4</v>
      </c>
      <c r="K465" t="s">
        <v>731</v>
      </c>
      <c r="M465">
        <v>53.6</v>
      </c>
      <c r="N465">
        <v>30.3</v>
      </c>
      <c r="O465">
        <v>479.9</v>
      </c>
      <c r="P465" t="s">
        <v>1054</v>
      </c>
    </row>
    <row r="466" spans="1:16" x14ac:dyDescent="0.25">
      <c r="A466">
        <v>216</v>
      </c>
      <c r="B466">
        <v>217</v>
      </c>
      <c r="C466">
        <v>10</v>
      </c>
      <c r="D466" t="s">
        <v>1033</v>
      </c>
      <c r="E466">
        <v>4</v>
      </c>
      <c r="F466">
        <v>3</v>
      </c>
      <c r="G466" s="7" t="str">
        <f t="shared" ref="G466" si="78">"/"</f>
        <v>/</v>
      </c>
      <c r="H466" t="s">
        <v>1036</v>
      </c>
      <c r="I466" t="s">
        <v>1043</v>
      </c>
      <c r="J466">
        <v>13.3</v>
      </c>
      <c r="K466" t="s">
        <v>488</v>
      </c>
      <c r="M466">
        <v>13.3</v>
      </c>
      <c r="N466">
        <v>0.3</v>
      </c>
      <c r="O466">
        <v>510.2</v>
      </c>
      <c r="P466" t="s">
        <v>1055</v>
      </c>
    </row>
    <row r="467" spans="1:16" x14ac:dyDescent="0.25">
      <c r="A467">
        <v>217</v>
      </c>
      <c r="B467">
        <v>218</v>
      </c>
      <c r="C467">
        <v>3</v>
      </c>
      <c r="D467">
        <v>1</v>
      </c>
      <c r="E467">
        <v>2</v>
      </c>
      <c r="F467">
        <v>2</v>
      </c>
      <c r="G467" t="s">
        <v>1037</v>
      </c>
      <c r="H467" s="7" t="str">
        <f t="shared" ref="E467:H477" si="79">"/"</f>
        <v>/</v>
      </c>
      <c r="I467" t="s">
        <v>1037</v>
      </c>
      <c r="J467">
        <v>18.3</v>
      </c>
      <c r="K467" t="s">
        <v>215</v>
      </c>
      <c r="M467">
        <v>17.8</v>
      </c>
      <c r="N467">
        <v>4.3</v>
      </c>
      <c r="O467">
        <v>510.5</v>
      </c>
      <c r="P467" t="s">
        <v>1056</v>
      </c>
    </row>
    <row r="468" spans="1:16" x14ac:dyDescent="0.25">
      <c r="A468">
        <v>218</v>
      </c>
      <c r="B468">
        <v>219</v>
      </c>
      <c r="C468">
        <v>3</v>
      </c>
      <c r="D468">
        <v>4</v>
      </c>
      <c r="E468">
        <v>1</v>
      </c>
      <c r="F468">
        <v>3</v>
      </c>
      <c r="G468" s="7" t="str">
        <f t="shared" si="79"/>
        <v>/</v>
      </c>
      <c r="H468" t="s">
        <v>936</v>
      </c>
      <c r="I468" t="s">
        <v>865</v>
      </c>
      <c r="J468">
        <v>22</v>
      </c>
      <c r="K468" t="s">
        <v>732</v>
      </c>
      <c r="M468">
        <v>21.4</v>
      </c>
      <c r="N468">
        <v>4.9000000000000004</v>
      </c>
      <c r="O468">
        <v>514.79999999999995</v>
      </c>
      <c r="P468" t="s">
        <v>1057</v>
      </c>
    </row>
    <row r="469" spans="1:16" x14ac:dyDescent="0.25">
      <c r="A469">
        <v>219</v>
      </c>
      <c r="B469">
        <v>220</v>
      </c>
      <c r="C469">
        <v>5</v>
      </c>
      <c r="D469">
        <v>3</v>
      </c>
      <c r="E469">
        <v>1</v>
      </c>
      <c r="F469">
        <v>1</v>
      </c>
      <c r="G469" t="s">
        <v>1038</v>
      </c>
      <c r="H469" s="7" t="str">
        <f t="shared" si="79"/>
        <v>/</v>
      </c>
      <c r="I469" t="s">
        <v>1038</v>
      </c>
      <c r="J469">
        <v>32.299999999999997</v>
      </c>
      <c r="K469" t="str">
        <f>"-22 30"</f>
        <v>-22 30</v>
      </c>
      <c r="M469">
        <v>29.8</v>
      </c>
      <c r="N469">
        <v>-12.4</v>
      </c>
      <c r="O469">
        <v>519.70000000000005</v>
      </c>
      <c r="P469" t="s">
        <v>1058</v>
      </c>
    </row>
    <row r="470" spans="1:16" x14ac:dyDescent="0.25">
      <c r="A470">
        <v>220</v>
      </c>
      <c r="B470">
        <v>221</v>
      </c>
      <c r="C470">
        <v>20</v>
      </c>
      <c r="D470">
        <v>2</v>
      </c>
      <c r="E470" s="7" t="str">
        <f t="shared" si="79"/>
        <v>/</v>
      </c>
      <c r="F470">
        <v>1</v>
      </c>
      <c r="G470" s="7" t="str">
        <f t="shared" si="79"/>
        <v>/</v>
      </c>
      <c r="H470" t="s">
        <v>1039</v>
      </c>
      <c r="I470" t="s">
        <v>639</v>
      </c>
      <c r="J470">
        <v>19.7</v>
      </c>
      <c r="K470" t="s">
        <v>830</v>
      </c>
      <c r="M470">
        <v>18.5</v>
      </c>
      <c r="N470">
        <v>6.7</v>
      </c>
      <c r="O470">
        <v>507.3</v>
      </c>
      <c r="P470" t="s">
        <v>1059</v>
      </c>
    </row>
    <row r="471" spans="1:16" x14ac:dyDescent="0.25">
      <c r="A471">
        <v>221</v>
      </c>
      <c r="B471">
        <v>222</v>
      </c>
      <c r="C471">
        <v>20</v>
      </c>
      <c r="D471">
        <v>5</v>
      </c>
      <c r="E471" s="7" t="str">
        <f t="shared" si="79"/>
        <v>/</v>
      </c>
      <c r="F471">
        <v>3</v>
      </c>
      <c r="G471" t="s">
        <v>1040</v>
      </c>
      <c r="H471" s="7" t="str">
        <f t="shared" si="79"/>
        <v>/</v>
      </c>
      <c r="I471" t="s">
        <v>1040</v>
      </c>
      <c r="J471">
        <v>20.2</v>
      </c>
      <c r="K471" t="s">
        <v>1044</v>
      </c>
      <c r="M471">
        <v>15</v>
      </c>
      <c r="N471">
        <v>13.5</v>
      </c>
      <c r="O471">
        <v>514</v>
      </c>
      <c r="P471" t="s">
        <v>1060</v>
      </c>
    </row>
    <row r="472" spans="1:16" x14ac:dyDescent="0.25">
      <c r="A472">
        <v>222</v>
      </c>
      <c r="B472">
        <v>223</v>
      </c>
      <c r="C472">
        <v>10</v>
      </c>
      <c r="D472">
        <v>4</v>
      </c>
      <c r="E472">
        <v>4</v>
      </c>
      <c r="F472">
        <v>3</v>
      </c>
      <c r="G472" s="7" t="str">
        <f t="shared" si="79"/>
        <v>/</v>
      </c>
      <c r="H472" t="s">
        <v>1041</v>
      </c>
      <c r="I472" t="s">
        <v>192</v>
      </c>
      <c r="J472">
        <v>32.700000000000003</v>
      </c>
      <c r="K472" t="s">
        <v>214</v>
      </c>
      <c r="M472">
        <v>30</v>
      </c>
      <c r="N472">
        <v>13</v>
      </c>
      <c r="O472">
        <v>527.5</v>
      </c>
    </row>
    <row r="473" spans="1:16" x14ac:dyDescent="0.25">
      <c r="A473">
        <v>223</v>
      </c>
      <c r="B473" t="s">
        <v>1032</v>
      </c>
      <c r="C473">
        <v>2</v>
      </c>
      <c r="D473">
        <v>1.5</v>
      </c>
      <c r="E473">
        <v>2</v>
      </c>
      <c r="F473">
        <v>1</v>
      </c>
      <c r="G473">
        <v>47</v>
      </c>
      <c r="H473" s="7" t="str">
        <f t="shared" si="79"/>
        <v>/</v>
      </c>
      <c r="I473">
        <v>47</v>
      </c>
      <c r="J473">
        <v>10</v>
      </c>
      <c r="K473" t="s">
        <v>1045</v>
      </c>
      <c r="M473">
        <v>10</v>
      </c>
      <c r="O473">
        <v>540.5</v>
      </c>
      <c r="P473" t="s">
        <v>1061</v>
      </c>
    </row>
    <row r="475" spans="1:16" x14ac:dyDescent="0.25">
      <c r="A475">
        <v>221</v>
      </c>
      <c r="B475">
        <v>224</v>
      </c>
      <c r="G475" t="s">
        <v>372</v>
      </c>
      <c r="H475" s="7" t="str">
        <f t="shared" si="79"/>
        <v>/</v>
      </c>
      <c r="I475" t="s">
        <v>372</v>
      </c>
      <c r="J475">
        <v>20.7</v>
      </c>
      <c r="K475" t="s">
        <v>1066</v>
      </c>
      <c r="M475">
        <v>13</v>
      </c>
      <c r="N475">
        <v>16</v>
      </c>
      <c r="O475">
        <v>514</v>
      </c>
      <c r="P475" t="s">
        <v>1060</v>
      </c>
    </row>
    <row r="476" spans="1:16" x14ac:dyDescent="0.25">
      <c r="A476">
        <v>224</v>
      </c>
      <c r="B476">
        <v>225</v>
      </c>
      <c r="C476">
        <v>15</v>
      </c>
      <c r="D476" t="s">
        <v>1062</v>
      </c>
      <c r="E476">
        <v>3</v>
      </c>
      <c r="F476" t="s">
        <v>16</v>
      </c>
      <c r="G476" s="7" t="str">
        <f t="shared" si="79"/>
        <v>/</v>
      </c>
      <c r="H476" t="s">
        <v>1063</v>
      </c>
      <c r="I476" t="s">
        <v>1065</v>
      </c>
      <c r="J476">
        <v>17.5</v>
      </c>
      <c r="K476" t="s">
        <v>1067</v>
      </c>
      <c r="M476">
        <v>13.9</v>
      </c>
      <c r="N476">
        <v>10.6</v>
      </c>
      <c r="O476">
        <v>530</v>
      </c>
    </row>
    <row r="477" spans="1:16" x14ac:dyDescent="0.25">
      <c r="A477">
        <v>225</v>
      </c>
      <c r="B477">
        <v>226</v>
      </c>
      <c r="C477">
        <v>5</v>
      </c>
      <c r="D477">
        <v>6</v>
      </c>
      <c r="E477">
        <v>2</v>
      </c>
      <c r="F477">
        <v>2</v>
      </c>
      <c r="G477" t="s">
        <v>1064</v>
      </c>
      <c r="H477" s="7" t="str">
        <f t="shared" si="79"/>
        <v>/</v>
      </c>
      <c r="I477" t="s">
        <v>1064</v>
      </c>
      <c r="J477">
        <v>36.299999999999997</v>
      </c>
      <c r="K477" t="s">
        <v>732</v>
      </c>
      <c r="M477">
        <v>35.4</v>
      </c>
      <c r="N477">
        <v>8.1999999999999993</v>
      </c>
      <c r="O477">
        <v>540.6</v>
      </c>
      <c r="P477" t="s">
        <v>1068</v>
      </c>
    </row>
    <row r="478" spans="1:16" x14ac:dyDescent="0.25">
      <c r="A478">
        <v>226</v>
      </c>
      <c r="C478" t="s">
        <v>16</v>
      </c>
      <c r="D478">
        <v>4</v>
      </c>
      <c r="E478">
        <v>2</v>
      </c>
      <c r="F478">
        <v>1.5</v>
      </c>
      <c r="G478" t="s">
        <v>1069</v>
      </c>
      <c r="O478">
        <v>548.79999999999995</v>
      </c>
      <c r="P478" t="s">
        <v>1070</v>
      </c>
    </row>
    <row r="480" spans="1:16" s="1" customFormat="1" x14ac:dyDescent="0.25">
      <c r="A480" s="1" t="s">
        <v>1071</v>
      </c>
      <c r="B480" s="1" t="s">
        <v>1072</v>
      </c>
      <c r="C480" s="1" t="s">
        <v>1073</v>
      </c>
      <c r="M480" s="1" t="s">
        <v>1074</v>
      </c>
    </row>
    <row r="481" spans="1:16" x14ac:dyDescent="0.25">
      <c r="A481">
        <v>220</v>
      </c>
      <c r="B481">
        <v>227</v>
      </c>
      <c r="C481">
        <v>20</v>
      </c>
      <c r="D481">
        <v>2</v>
      </c>
      <c r="E481" s="7" t="str">
        <f t="shared" ref="E481:G481" si="80">"/"</f>
        <v>/</v>
      </c>
      <c r="F481" s="7" t="str">
        <f t="shared" si="80"/>
        <v>/</v>
      </c>
      <c r="G481" s="7" t="str">
        <f t="shared" si="80"/>
        <v>/</v>
      </c>
      <c r="H481" t="s">
        <v>1079</v>
      </c>
      <c r="I481" t="s">
        <v>1081</v>
      </c>
      <c r="J481">
        <v>12.3</v>
      </c>
      <c r="K481" t="str">
        <f>"-6 00"</f>
        <v>-6 00</v>
      </c>
      <c r="M481">
        <v>12.2</v>
      </c>
      <c r="N481">
        <v>-1.3</v>
      </c>
      <c r="O481">
        <v>507.3</v>
      </c>
    </row>
    <row r="482" spans="1:16" x14ac:dyDescent="0.25">
      <c r="A482">
        <v>227</v>
      </c>
      <c r="B482">
        <v>228</v>
      </c>
      <c r="C482">
        <v>4</v>
      </c>
      <c r="D482">
        <v>2.5</v>
      </c>
      <c r="E482">
        <v>2</v>
      </c>
      <c r="F482">
        <v>1</v>
      </c>
      <c r="G482" t="s">
        <v>848</v>
      </c>
      <c r="H482" s="7" t="str">
        <f t="shared" ref="H482" si="81">"/"</f>
        <v>/</v>
      </c>
      <c r="I482" t="s">
        <v>848</v>
      </c>
      <c r="J482">
        <v>31.3</v>
      </c>
      <c r="K482" t="str">
        <f>"-42 00"</f>
        <v>-42 00</v>
      </c>
      <c r="M482">
        <v>23.2</v>
      </c>
      <c r="N482">
        <v>-20.9</v>
      </c>
      <c r="O482">
        <v>506</v>
      </c>
      <c r="P482" t="s">
        <v>1082</v>
      </c>
    </row>
    <row r="483" spans="1:16" x14ac:dyDescent="0.25">
      <c r="A483">
        <v>228</v>
      </c>
      <c r="C483">
        <v>20</v>
      </c>
      <c r="D483" t="s">
        <v>16</v>
      </c>
      <c r="E483">
        <v>3.5</v>
      </c>
      <c r="F483">
        <v>1</v>
      </c>
      <c r="G483" t="s">
        <v>1080</v>
      </c>
    </row>
    <row r="484" spans="1:16" x14ac:dyDescent="0.25">
      <c r="A484">
        <v>113</v>
      </c>
      <c r="B484">
        <v>229</v>
      </c>
      <c r="G484" s="7" t="str">
        <f t="shared" ref="G484:H484" si="82">"/"</f>
        <v>/</v>
      </c>
      <c r="H484" t="s">
        <v>1077</v>
      </c>
      <c r="I484" t="s">
        <v>1085</v>
      </c>
      <c r="J484">
        <v>8.5</v>
      </c>
      <c r="K484" t="s">
        <v>1087</v>
      </c>
      <c r="M484">
        <v>6.7</v>
      </c>
      <c r="N484">
        <v>5.2</v>
      </c>
      <c r="O484">
        <v>475.3</v>
      </c>
    </row>
    <row r="485" spans="1:16" x14ac:dyDescent="0.25">
      <c r="A485">
        <v>229</v>
      </c>
      <c r="B485">
        <v>230</v>
      </c>
      <c r="C485">
        <v>4</v>
      </c>
      <c r="D485">
        <v>1.5</v>
      </c>
      <c r="E485">
        <v>7</v>
      </c>
      <c r="F485">
        <v>3</v>
      </c>
      <c r="G485" t="s">
        <v>1078</v>
      </c>
      <c r="H485" s="7" t="str">
        <f t="shared" ref="H485" si="83">"/"</f>
        <v>/</v>
      </c>
      <c r="I485" t="s">
        <v>1078</v>
      </c>
      <c r="J485">
        <v>33.6</v>
      </c>
      <c r="K485" t="s">
        <v>1088</v>
      </c>
      <c r="M485">
        <v>23.1</v>
      </c>
      <c r="N485">
        <v>24.5</v>
      </c>
      <c r="O485">
        <v>480.5</v>
      </c>
    </row>
    <row r="486" spans="1:16" x14ac:dyDescent="0.25">
      <c r="A486">
        <v>230</v>
      </c>
      <c r="B486">
        <v>231</v>
      </c>
      <c r="C486">
        <v>6</v>
      </c>
      <c r="D486" s="7" t="str">
        <f t="shared" ref="D486" si="84">"/"</f>
        <v>/</v>
      </c>
      <c r="E486">
        <v>8</v>
      </c>
      <c r="F486" s="7" t="str">
        <f t="shared" ref="F486:H486" si="85">"/"</f>
        <v>/</v>
      </c>
      <c r="G486" s="7" t="str">
        <f t="shared" si="85"/>
        <v>/</v>
      </c>
      <c r="H486" t="s">
        <v>1083</v>
      </c>
      <c r="I486" t="s">
        <v>1086</v>
      </c>
      <c r="J486">
        <v>9.3000000000000007</v>
      </c>
      <c r="K486" t="s">
        <v>451</v>
      </c>
      <c r="M486">
        <v>9</v>
      </c>
      <c r="N486">
        <v>2.2000000000000002</v>
      </c>
      <c r="O486">
        <v>505</v>
      </c>
    </row>
    <row r="487" spans="1:16" x14ac:dyDescent="0.25">
      <c r="A487">
        <v>231</v>
      </c>
      <c r="B487">
        <v>232</v>
      </c>
      <c r="C487">
        <v>3</v>
      </c>
      <c r="D487">
        <v>2</v>
      </c>
      <c r="E487">
        <v>1.5</v>
      </c>
      <c r="F487">
        <v>2.5</v>
      </c>
      <c r="G487" t="s">
        <v>373</v>
      </c>
      <c r="H487" s="7" t="str">
        <f t="shared" ref="H487" si="86">"/"</f>
        <v>/</v>
      </c>
      <c r="I487" t="s">
        <v>373</v>
      </c>
      <c r="J487">
        <v>18.8</v>
      </c>
      <c r="K487" t="str">
        <f>"-15 00"</f>
        <v>-15 00</v>
      </c>
      <c r="M487">
        <v>18.2</v>
      </c>
      <c r="N487">
        <v>-4.9000000000000004</v>
      </c>
      <c r="O487">
        <v>507.2</v>
      </c>
    </row>
    <row r="488" spans="1:16" x14ac:dyDescent="0.25">
      <c r="A488">
        <v>232</v>
      </c>
      <c r="C488">
        <v>1</v>
      </c>
      <c r="D488" t="s">
        <v>16</v>
      </c>
      <c r="E488">
        <v>0.5</v>
      </c>
      <c r="F488">
        <v>2.5</v>
      </c>
      <c r="G488" s="25" t="s">
        <v>1084</v>
      </c>
      <c r="O488">
        <v>502.3</v>
      </c>
    </row>
    <row r="489" spans="1:16" x14ac:dyDescent="0.25">
      <c r="A489">
        <v>230</v>
      </c>
      <c r="B489">
        <v>233</v>
      </c>
      <c r="C489" s="7" t="str">
        <f t="shared" ref="C489:D489" si="87">"/"</f>
        <v>/</v>
      </c>
      <c r="D489" s="7" t="str">
        <f t="shared" si="87"/>
        <v>/</v>
      </c>
      <c r="E489">
        <v>4</v>
      </c>
      <c r="F489">
        <v>4.5</v>
      </c>
      <c r="G489" s="7" t="str">
        <f t="shared" ref="E489:H499" si="88">"/"</f>
        <v>/</v>
      </c>
      <c r="H489">
        <v>258</v>
      </c>
      <c r="I489">
        <v>78</v>
      </c>
      <c r="J489">
        <v>9.4</v>
      </c>
      <c r="K489" t="s">
        <v>208</v>
      </c>
      <c r="M489">
        <v>8.4</v>
      </c>
      <c r="N489">
        <v>4.0999999999999996</v>
      </c>
      <c r="O489">
        <v>505</v>
      </c>
    </row>
    <row r="490" spans="1:16" x14ac:dyDescent="0.25">
      <c r="A490">
        <v>233</v>
      </c>
      <c r="B490">
        <v>234</v>
      </c>
      <c r="C490">
        <v>1</v>
      </c>
      <c r="D490">
        <v>2.5</v>
      </c>
      <c r="E490">
        <v>1</v>
      </c>
      <c r="F490">
        <v>1</v>
      </c>
      <c r="G490">
        <v>98</v>
      </c>
      <c r="I490">
        <v>98</v>
      </c>
      <c r="J490">
        <v>37.5</v>
      </c>
      <c r="K490" t="s">
        <v>1089</v>
      </c>
      <c r="M490">
        <v>35.799999999999997</v>
      </c>
      <c r="N490">
        <v>11.2</v>
      </c>
      <c r="O490">
        <v>509.1</v>
      </c>
      <c r="P490" t="s">
        <v>1090</v>
      </c>
    </row>
    <row r="491" spans="1:16" x14ac:dyDescent="0.25">
      <c r="A491">
        <v>234</v>
      </c>
      <c r="B491">
        <v>235</v>
      </c>
      <c r="C491">
        <v>0.7</v>
      </c>
      <c r="D491">
        <v>0.7</v>
      </c>
      <c r="E491" t="s">
        <v>1091</v>
      </c>
      <c r="F491">
        <v>2</v>
      </c>
      <c r="G491">
        <v>196</v>
      </c>
      <c r="H491" s="7" t="str">
        <f t="shared" si="88"/>
        <v>/</v>
      </c>
      <c r="I491">
        <v>196</v>
      </c>
      <c r="J491">
        <v>9.9</v>
      </c>
      <c r="K491" t="s">
        <v>44</v>
      </c>
      <c r="M491">
        <v>9.9</v>
      </c>
      <c r="N491" t="s">
        <v>16</v>
      </c>
      <c r="O491">
        <v>520.29999999999995</v>
      </c>
    </row>
    <row r="492" spans="1:16" x14ac:dyDescent="0.25">
      <c r="A492">
        <v>235</v>
      </c>
      <c r="B492">
        <v>236</v>
      </c>
      <c r="C492">
        <v>0.7</v>
      </c>
      <c r="D492">
        <v>0.7</v>
      </c>
      <c r="E492">
        <v>2</v>
      </c>
      <c r="F492">
        <v>3</v>
      </c>
      <c r="G492">
        <v>103</v>
      </c>
      <c r="H492" s="7" t="str">
        <f t="shared" si="88"/>
        <v>/</v>
      </c>
      <c r="I492">
        <v>103</v>
      </c>
      <c r="J492">
        <v>31.1</v>
      </c>
      <c r="K492" t="s">
        <v>455</v>
      </c>
      <c r="M492">
        <v>30</v>
      </c>
      <c r="N492">
        <v>8.1</v>
      </c>
      <c r="O492">
        <v>520.29999999999995</v>
      </c>
      <c r="P492" t="s">
        <v>1092</v>
      </c>
    </row>
    <row r="493" spans="1:16" x14ac:dyDescent="0.25">
      <c r="A493">
        <v>236</v>
      </c>
      <c r="B493">
        <v>237</v>
      </c>
      <c r="C493">
        <v>1</v>
      </c>
      <c r="D493">
        <v>0.8</v>
      </c>
      <c r="E493">
        <v>2</v>
      </c>
      <c r="F493" s="7" t="str">
        <f t="shared" si="88"/>
        <v>/</v>
      </c>
      <c r="G493">
        <v>200</v>
      </c>
      <c r="H493" s="7" t="str">
        <f t="shared" si="88"/>
        <v>/</v>
      </c>
      <c r="I493">
        <v>200</v>
      </c>
      <c r="J493" s="7">
        <v>15</v>
      </c>
      <c r="K493">
        <v>-3</v>
      </c>
      <c r="M493">
        <v>15</v>
      </c>
      <c r="N493">
        <v>-0.8</v>
      </c>
      <c r="O493">
        <v>528.4</v>
      </c>
      <c r="P493" t="s">
        <v>1100</v>
      </c>
    </row>
    <row r="494" spans="1:16" x14ac:dyDescent="0.25">
      <c r="A494">
        <v>237</v>
      </c>
      <c r="B494">
        <v>238</v>
      </c>
      <c r="C494">
        <v>0.5</v>
      </c>
      <c r="D494">
        <v>0.5</v>
      </c>
      <c r="E494" s="7" t="str">
        <f t="shared" si="88"/>
        <v>/</v>
      </c>
      <c r="F494">
        <v>3</v>
      </c>
      <c r="G494">
        <v>100</v>
      </c>
      <c r="H494" s="7" t="str">
        <f t="shared" si="88"/>
        <v>/</v>
      </c>
      <c r="I494">
        <v>100</v>
      </c>
      <c r="J494">
        <v>43</v>
      </c>
      <c r="K494">
        <v>15</v>
      </c>
      <c r="M494">
        <v>43</v>
      </c>
      <c r="N494">
        <v>11.6</v>
      </c>
      <c r="O494">
        <v>527.6</v>
      </c>
      <c r="P494" t="s">
        <v>1093</v>
      </c>
    </row>
    <row r="495" spans="1:16" x14ac:dyDescent="0.25">
      <c r="A495">
        <v>215</v>
      </c>
      <c r="B495">
        <v>239</v>
      </c>
      <c r="G495" t="s">
        <v>1095</v>
      </c>
      <c r="H495" s="7" t="str">
        <f t="shared" si="88"/>
        <v>/</v>
      </c>
      <c r="I495" t="s">
        <v>1095</v>
      </c>
      <c r="J495">
        <v>14</v>
      </c>
      <c r="K495" t="s">
        <v>314</v>
      </c>
      <c r="M495">
        <v>13.8</v>
      </c>
      <c r="N495">
        <v>1.9</v>
      </c>
      <c r="O495">
        <v>479.9</v>
      </c>
      <c r="P495" t="s">
        <v>1098</v>
      </c>
    </row>
    <row r="496" spans="1:16" x14ac:dyDescent="0.25">
      <c r="A496">
        <v>239</v>
      </c>
      <c r="B496">
        <v>240</v>
      </c>
      <c r="C496">
        <v>20</v>
      </c>
      <c r="D496">
        <v>2</v>
      </c>
      <c r="E496">
        <v>5</v>
      </c>
      <c r="F496">
        <v>4</v>
      </c>
      <c r="G496" s="7" t="str">
        <f t="shared" si="88"/>
        <v>/</v>
      </c>
      <c r="H496" t="s">
        <v>369</v>
      </c>
      <c r="I496" t="s">
        <v>1097</v>
      </c>
      <c r="J496">
        <v>64.3</v>
      </c>
      <c r="K496" t="str">
        <f>"-43 15"</f>
        <v>-43 15</v>
      </c>
      <c r="M496">
        <v>46.8</v>
      </c>
      <c r="N496">
        <v>-44.2</v>
      </c>
      <c r="O496">
        <v>481.8</v>
      </c>
      <c r="P496" t="s">
        <v>1099</v>
      </c>
    </row>
    <row r="497" spans="1:15" x14ac:dyDescent="0.25">
      <c r="A497">
        <v>240</v>
      </c>
      <c r="B497">
        <v>241</v>
      </c>
      <c r="C497" t="s">
        <v>1094</v>
      </c>
      <c r="D497">
        <v>1</v>
      </c>
      <c r="E497">
        <v>5</v>
      </c>
      <c r="F497" s="7" t="str">
        <f t="shared" ref="F497" si="89">"/"</f>
        <v>/</v>
      </c>
      <c r="G497" t="s">
        <v>1096</v>
      </c>
      <c r="H497" s="7" t="str">
        <f t="shared" si="88"/>
        <v>/</v>
      </c>
      <c r="I497" t="s">
        <v>1096</v>
      </c>
      <c r="J497">
        <v>25.6</v>
      </c>
      <c r="K497" t="str">
        <f>"-18 45"</f>
        <v>-18 45</v>
      </c>
      <c r="M497">
        <v>24.3</v>
      </c>
      <c r="N497">
        <v>-8.1999999999999993</v>
      </c>
      <c r="O497">
        <v>437.6</v>
      </c>
    </row>
    <row r="498" spans="1:15" x14ac:dyDescent="0.25">
      <c r="A498">
        <v>240</v>
      </c>
      <c r="B498">
        <v>242</v>
      </c>
      <c r="E498">
        <v>9</v>
      </c>
      <c r="F498">
        <v>1</v>
      </c>
      <c r="G498">
        <v>8</v>
      </c>
      <c r="H498" s="7" t="str">
        <f t="shared" si="88"/>
        <v>/</v>
      </c>
      <c r="I498">
        <v>8</v>
      </c>
      <c r="J498">
        <v>20</v>
      </c>
      <c r="K498" t="s">
        <v>519</v>
      </c>
      <c r="M498">
        <v>19.2</v>
      </c>
      <c r="N498">
        <v>5.5</v>
      </c>
      <c r="O498">
        <v>427.6</v>
      </c>
    </row>
    <row r="499" spans="1:15" x14ac:dyDescent="0.25">
      <c r="A499">
        <v>242</v>
      </c>
      <c r="B499">
        <v>243</v>
      </c>
      <c r="C499">
        <v>2</v>
      </c>
      <c r="D499">
        <v>1</v>
      </c>
      <c r="E499">
        <v>4</v>
      </c>
      <c r="F499">
        <v>3</v>
      </c>
      <c r="G499">
        <v>69</v>
      </c>
      <c r="H499" s="7" t="str">
        <f t="shared" si="88"/>
        <v>/</v>
      </c>
      <c r="I499">
        <v>69</v>
      </c>
      <c r="J499">
        <v>20</v>
      </c>
      <c r="K499" t="s">
        <v>830</v>
      </c>
      <c r="M499">
        <v>18.8</v>
      </c>
      <c r="N499">
        <v>6.8</v>
      </c>
      <c r="O499">
        <v>443.1</v>
      </c>
    </row>
    <row r="500" spans="1:15" x14ac:dyDescent="0.25">
      <c r="A500">
        <v>243</v>
      </c>
      <c r="O500">
        <v>449.9</v>
      </c>
    </row>
  </sheetData>
  <mergeCells count="1">
    <mergeCell ref="E3:F3"/>
  </mergeCells>
  <conditionalFormatting sqref="O390">
    <cfRule type="expression" dxfId="21" priority="1">
      <formula>ABS(O390-D390)&gt;0.15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01"/>
  <sheetViews>
    <sheetView zoomScale="85" zoomScaleNormal="85" workbookViewId="0">
      <pane xSplit="2" ySplit="4" topLeftCell="J440" activePane="bottomRight" state="frozen"/>
      <selection pane="topRight" activeCell="C1" sqref="C1"/>
      <selection pane="bottomLeft" activeCell="A5" sqref="A5"/>
      <selection pane="bottomRight" activeCell="T445" sqref="T445"/>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23" t="str">
        <f>IF('Raw Data'!E3="","",'Raw Data'!E3)</f>
        <v>Looking Forward</v>
      </c>
      <c r="F3" s="23"/>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3">
        <f t="shared" ref="U5:U6" si="1">IF(ISERROR(FIND(":",K5)),IF(K5="zero",0,1*K5),1*CONCATENATE(LEFT(K5,FIND(":",K5)-1),".",MID(RIGHT(K5,LEN(K5)-FIND(":",K5))/60,3,8)))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3">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3">
        <f t="shared" ref="U8:U9" si="8">IF(ISERROR(FIND(":",K8)),IF(K8="zero",0,1*K8),1*CONCATENATE(LEFT(K8,FIND(":",K8)-1),".",MID(RIGHT(K8,LEN(K8)-FIND(":",K8))/60,3,8)))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3">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3">
        <f t="shared" ref="U12:U19" si="12">IF(ISERROR(FIND(":",K12)),IF(K12="zero",0,1*K12),1*CONCATENATE(LEFT(K12,FIND(":",K12)-1),".",MID(RIGHT(K12,LEN(K12)-FIND(":",K12))/60,3,8)))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3">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3">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3">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3">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3">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3">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3">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3">
        <f t="shared" ref="U23" si="14">IF(ISERROR(FIND(":",K23)),IF(K23="zero",0,1*K23),1*CONCATENATE(LEFT(K23,FIND(":",K23)-1),".",MID(RIGHT(K23,LEN(K23)-FIND(":",K23))/60,3,8)))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3">
        <f t="shared" ref="U27" si="15">IF(ISERROR(FIND(":",K27)),IF(K27="zero",0,1*K27),1*CONCATENATE(LEFT(K27,FIND(":",K27)-1),".",MID(RIGHT(K27,LEN(K27)-FIND(":",K27))/60,3,8)))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3">
        <f t="shared" ref="U30" si="19">IF(ISERROR(FIND(":",K30)),IF(K30="zero",0,1*K30),1*CONCATENATE(LEFT(K30,FIND(":",K30)-1),".",MID(RIGHT(K30,LEN(K30)-FIND(":",K30))/60,3,8)))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893</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3">
        <f t="shared" ref="U37:U39" si="27">IF(ISERROR(FIND(":",K37)),IF(K37="zero",0,1*K37),1*CONCATENATE(LEFT(K37,FIND(":",K37)-1),".",MID(RIGHT(K37,LEN(K37)-FIND(":",K37))/60,3,8)))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3">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3">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3">
        <f t="shared" ref="U41:U43" si="31">IF(ISERROR(FIND(":",K41)),IF(K41="zero",0,1*K41),1*CONCATENATE(LEFT(K41,FIND(":",K41)-1),".",MID(RIGHT(K41,LEN(K41)-FIND(":",K41))/60,3,8)))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3">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 t="shared" si="31"/>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 t="shared" ref="U45" si="32">IF(ISERROR(FIND(":",K45)),IF(K45="zero",0,1*K45),1*CONCATENATE(LEFT(K45,FIND(":",K45)-1),".",MID(RIGHT(K45,LEN(K45)-FIND(":",K45))/60,3,8)))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 t="shared" ref="U47" si="33">IF(ISERROR(FIND(":",K47)),IF(K47="zero",0,1*K47),1*CONCATENATE(LEFT(K47,FIND(":",K47)-1),".",MID(RIGHT(K47,LEN(K47)-FIND(":",K47))/60,3,8)))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4">IF(ISERROR(FIND(":",K49)),IF(K49="zero",0,1*K49),1*CONCATENATE(LEFT(K49,FIND(":",K49)-1),".",MID(RIGHT(K49,LEN(K49)-FIND(":",K49))/60,3,8)))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4"/>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4"/>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4"/>
        <v>7</v>
      </c>
      <c r="W52" s="4">
        <f t="shared" si="9"/>
        <v>15.880738426261152</v>
      </c>
      <c r="X52" s="4">
        <f t="shared" si="10"/>
        <v>1.9499094944823596</v>
      </c>
      <c r="Y52" s="3">
        <f t="shared" si="7"/>
        <v>122</v>
      </c>
      <c r="Z52" s="4">
        <f>IF('Raw Data'!O52="","",Z51+N51)</f>
        <v>20</v>
      </c>
      <c r="AA52" t="s">
        <v>894</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4"/>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4"/>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4"/>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4"/>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4"/>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4"/>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4"/>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4"/>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5">IF(ISERROR(FIND(":",K62)),IF(K62="zero",0,1*K62),1*CONCATENATE(LEFT(K62,FIND(":",K62)-1),".",MID(RIGHT(K62,LEN(K62)-FIND(":",K62))/60,3,8)))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5"/>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7" si="36">IF(ISERROR(FIND(":",K65)),IF(K65="zero",0,1*K65),1*CONCATENATE(LEFT(K65,FIND(":",K65)-1),".",MID(RIGHT(K65,LEN(K65)-FIND(":",K65))/60,3,8)))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7">" "</f>
        <v xml:space="preserve"> </v>
      </c>
      <c r="R66" s="3">
        <f t="shared" si="28"/>
        <v>22</v>
      </c>
      <c r="S66" s="3" t="str">
        <f t="shared" si="29"/>
        <v>-</v>
      </c>
      <c r="T66" s="3">
        <f t="shared" si="30"/>
        <v>22</v>
      </c>
      <c r="U66" s="3">
        <f t="shared" si="36"/>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7"/>
        <v xml:space="preserve"> </v>
      </c>
      <c r="R67" s="3" t="str">
        <f t="shared" si="28"/>
        <v>-</v>
      </c>
      <c r="S67" s="3" t="str">
        <f t="shared" si="29"/>
        <v>-</v>
      </c>
      <c r="T67" s="3" t="str">
        <f t="shared" si="30"/>
        <v>-</v>
      </c>
      <c r="U67" s="3">
        <f t="shared" si="36"/>
        <v>-90</v>
      </c>
      <c r="W67" s="4">
        <f t="shared" si="9"/>
        <v>6.7383165019974101E-16</v>
      </c>
      <c r="X67" s="4">
        <f t="shared" si="10"/>
        <v>-11</v>
      </c>
      <c r="Y67" s="3" t="e">
        <f t="shared" si="7"/>
        <v>#VALUE!</v>
      </c>
      <c r="Z67" s="4">
        <f>IF('Raw Data'!O67="","",O66+N66)</f>
        <v>76.2</v>
      </c>
      <c r="AA67" t="s">
        <v>895</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7"/>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7"/>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7"/>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7"/>
        <v xml:space="preserve"> </v>
      </c>
      <c r="R71" s="3" t="str">
        <f t="shared" si="28"/>
        <v>-</v>
      </c>
      <c r="S71" s="3">
        <f t="shared" si="29"/>
        <v>293.66666666666669</v>
      </c>
      <c r="T71" s="3">
        <f t="shared" si="30"/>
        <v>113.66666666666667</v>
      </c>
      <c r="U71" s="3">
        <f t="shared" ref="U71:U82" si="38">IF(ISERROR(FIND(":",K71)),IF(K71="zero",0,1*K71),1*CONCATENATE(LEFT(K71,FIND(":",K71)-1),".",MID(RIGHT(K71,LEN(K71)-FIND(":",K71))/60,3,8)))</f>
        <v>9.5</v>
      </c>
      <c r="W71" s="4">
        <f t="shared" si="9"/>
        <v>77.028905480057773</v>
      </c>
      <c r="X71" s="4">
        <f t="shared" si="10"/>
        <v>12.890218017718922</v>
      </c>
      <c r="Y71" s="3">
        <f t="shared" ref="Y71:Y119" si="39">IF(R71="-",IF(S71&gt;180,S71-180,S71+180),R71)</f>
        <v>113.66666666666669</v>
      </c>
      <c r="Z71" s="4">
        <f>IF('Raw Data'!O71="","",O27)</f>
        <v>11</v>
      </c>
      <c r="AA71" t="s">
        <v>897</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7"/>
        <v xml:space="preserve"> </v>
      </c>
      <c r="R72" s="3">
        <f t="shared" ref="R72:R86" si="40">IF(ISERROR(FIND(":",G72)),IF(G72&lt;&gt;"-",1*G72,G72),1*LEFT(G72,FIND(":",G72)-1)+RIGHT(G72,LEN(G72)-FIND(":",G72))/60)</f>
        <v>115.5</v>
      </c>
      <c r="S72" s="3" t="str">
        <f t="shared" ref="S72:S86" si="41">IF(ISERROR(FIND(":",H72)),IF(H72&lt;&gt;"-",1*H72,H72),1*LEFT(H72,FIND(":",H72)-1)+RIGHT(H72,LEN(H72)-FIND(":",H72))/60)</f>
        <v>-</v>
      </c>
      <c r="T72" s="3">
        <f t="shared" ref="T72:T86" si="42">IF(ISERROR(FIND(":",I72)),IF(I72&lt;&gt;"-",1*I72,I72),1*LEFT(I72,FIND(":",I72)-1)+RIGHT(I72,LEN(I72)-FIND(":",I72))/60)</f>
        <v>115.5</v>
      </c>
      <c r="U72" s="3">
        <f t="shared" si="38"/>
        <v>-5.5</v>
      </c>
      <c r="W72" s="4">
        <f t="shared" si="9"/>
        <v>23.989048380649013</v>
      </c>
      <c r="X72" s="4">
        <f t="shared" si="10"/>
        <v>-2.3098826357373983</v>
      </c>
      <c r="Y72" s="3">
        <f t="shared" si="39"/>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7"/>
        <v xml:space="preserve"> </v>
      </c>
      <c r="R73" s="3" t="str">
        <f t="shared" si="40"/>
        <v>-</v>
      </c>
      <c r="S73" s="3">
        <f t="shared" si="41"/>
        <v>277.83333333333331</v>
      </c>
      <c r="T73" s="3">
        <f t="shared" si="42"/>
        <v>97.833333333333329</v>
      </c>
      <c r="U73" s="3">
        <f t="shared" si="38"/>
        <v>0.5</v>
      </c>
      <c r="W73" s="4">
        <f t="shared" ref="W73:W119" si="43">J73*COS(U73*PI()/180)</f>
        <v>29.198888153473803</v>
      </c>
      <c r="X73" s="4">
        <f t="shared" ref="X73:X119" si="44">J73*SIN(U73*PI()/180)</f>
        <v>0.25481483655251891</v>
      </c>
      <c r="Y73" s="3">
        <f t="shared" si="39"/>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7"/>
        <v xml:space="preserve"> </v>
      </c>
      <c r="R74" s="3">
        <f t="shared" si="40"/>
        <v>121</v>
      </c>
      <c r="S74" s="3" t="str">
        <f t="shared" si="41"/>
        <v>-</v>
      </c>
      <c r="T74" s="3">
        <f t="shared" si="42"/>
        <v>121</v>
      </c>
      <c r="U74" s="3">
        <f t="shared" si="38"/>
        <v>22.5</v>
      </c>
      <c r="W74" s="4">
        <f t="shared" si="43"/>
        <v>9.7931230446196391</v>
      </c>
      <c r="X74" s="4">
        <f t="shared" si="44"/>
        <v>4.0564443830699517</v>
      </c>
      <c r="Y74" s="3">
        <f t="shared" si="39"/>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7"/>
        <v xml:space="preserve"> </v>
      </c>
      <c r="R75" s="3" t="str">
        <f t="shared" si="40"/>
        <v>-</v>
      </c>
      <c r="S75" s="3">
        <f t="shared" si="41"/>
        <v>290</v>
      </c>
      <c r="T75" s="3">
        <f t="shared" si="42"/>
        <v>110</v>
      </c>
      <c r="U75" s="3">
        <f t="shared" si="38"/>
        <v>9.6666666600000006</v>
      </c>
      <c r="W75" s="4">
        <f t="shared" si="43"/>
        <v>47.614204018655279</v>
      </c>
      <c r="X75" s="4">
        <f t="shared" si="44"/>
        <v>8.1103375805123683</v>
      </c>
      <c r="Y75" s="3">
        <f t="shared" si="39"/>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7"/>
        <v xml:space="preserve"> </v>
      </c>
      <c r="R76" s="3">
        <f t="shared" si="40"/>
        <v>50.5</v>
      </c>
      <c r="S76" s="3" t="str">
        <f t="shared" si="41"/>
        <v>-</v>
      </c>
      <c r="T76" s="3">
        <f t="shared" si="42"/>
        <v>50.5</v>
      </c>
      <c r="U76" s="3">
        <f t="shared" si="38"/>
        <v>10.33333333</v>
      </c>
      <c r="W76" s="4">
        <f t="shared" si="43"/>
        <v>16.724274425060901</v>
      </c>
      <c r="X76" s="4">
        <f t="shared" si="44"/>
        <v>3.0493679599637966</v>
      </c>
      <c r="Y76" s="3">
        <f t="shared" si="39"/>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7"/>
        <v xml:space="preserve"> </v>
      </c>
      <c r="R77" s="3" t="str">
        <f t="shared" si="40"/>
        <v>-</v>
      </c>
      <c r="S77" s="3">
        <f t="shared" si="41"/>
        <v>313</v>
      </c>
      <c r="T77" s="3">
        <f t="shared" si="42"/>
        <v>133</v>
      </c>
      <c r="U77" s="3">
        <f t="shared" si="38"/>
        <v>3</v>
      </c>
      <c r="W77" s="4">
        <f t="shared" si="43"/>
        <v>20.17231660204239</v>
      </c>
      <c r="X77" s="4">
        <f t="shared" si="44"/>
        <v>1.0571863161074653</v>
      </c>
      <c r="Y77" s="3">
        <f t="shared" si="39"/>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7"/>
        <v xml:space="preserve"> </v>
      </c>
      <c r="R78" s="3">
        <f t="shared" si="40"/>
        <v>195.83333333333334</v>
      </c>
      <c r="S78" s="3" t="str">
        <f t="shared" si="41"/>
        <v>-</v>
      </c>
      <c r="T78" s="3">
        <f t="shared" si="42"/>
        <v>192.83333333333334</v>
      </c>
      <c r="U78" s="3">
        <f t="shared" si="38"/>
        <v>11.33333333</v>
      </c>
      <c r="W78" s="4">
        <f t="shared" si="43"/>
        <v>9.9030550072508632</v>
      </c>
      <c r="X78" s="4">
        <f t="shared" si="44"/>
        <v>1.9848177557054478</v>
      </c>
      <c r="Y78" s="3">
        <f t="shared" si="39"/>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7"/>
        <v xml:space="preserve"> </v>
      </c>
      <c r="R79" s="3" t="str">
        <f t="shared" si="40"/>
        <v>-</v>
      </c>
      <c r="S79" s="3">
        <f t="shared" si="41"/>
        <v>292.16666666666669</v>
      </c>
      <c r="T79" s="3">
        <f t="shared" si="42"/>
        <v>112.16666666666667</v>
      </c>
      <c r="U79" s="3">
        <f t="shared" si="38"/>
        <v>4.8333333300000003</v>
      </c>
      <c r="W79" s="4">
        <f t="shared" si="43"/>
        <v>41.452070767031543</v>
      </c>
      <c r="X79" s="4">
        <f t="shared" si="44"/>
        <v>3.5051147092512509</v>
      </c>
      <c r="Y79" s="3">
        <f t="shared" si="39"/>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7"/>
        <v xml:space="preserve"> </v>
      </c>
      <c r="R80" s="3">
        <f t="shared" si="40"/>
        <v>138.5</v>
      </c>
      <c r="S80" s="3" t="str">
        <f t="shared" si="41"/>
        <v>-</v>
      </c>
      <c r="T80" s="3">
        <f t="shared" si="42"/>
        <v>138.5</v>
      </c>
      <c r="U80" s="3">
        <f t="shared" si="38"/>
        <v>6.5</v>
      </c>
      <c r="W80" s="4">
        <f t="shared" si="43"/>
        <v>33.980157464139296</v>
      </c>
      <c r="X80" s="4">
        <f t="shared" si="44"/>
        <v>3.8715499108624103</v>
      </c>
      <c r="Y80" s="3">
        <f t="shared" si="39"/>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7"/>
        <v xml:space="preserve"> </v>
      </c>
      <c r="R81" s="3" t="str">
        <f t="shared" si="40"/>
        <v>-</v>
      </c>
      <c r="S81" s="3">
        <f t="shared" si="41"/>
        <v>286</v>
      </c>
      <c r="T81" s="3">
        <f t="shared" si="42"/>
        <v>106</v>
      </c>
      <c r="U81" s="3">
        <f t="shared" si="38"/>
        <v>14.5</v>
      </c>
      <c r="W81" s="4">
        <f t="shared" si="43"/>
        <v>30.787094964023826</v>
      </c>
      <c r="X81" s="4">
        <f t="shared" si="44"/>
        <v>7.9620841289312381</v>
      </c>
      <c r="Y81" s="3">
        <f t="shared" si="39"/>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7"/>
        <v xml:space="preserve"> </v>
      </c>
      <c r="R82" s="3">
        <f t="shared" si="40"/>
        <v>44</v>
      </c>
      <c r="S82" s="3" t="str">
        <f t="shared" si="41"/>
        <v>-</v>
      </c>
      <c r="T82" s="3">
        <f t="shared" si="42"/>
        <v>44</v>
      </c>
      <c r="U82" s="3">
        <f t="shared" si="38"/>
        <v>-0.5</v>
      </c>
      <c r="W82" s="4">
        <f t="shared" si="43"/>
        <v>11.299569730625137</v>
      </c>
      <c r="X82" s="4">
        <f t="shared" si="44"/>
        <v>-9.8609851131625473E-2</v>
      </c>
      <c r="Y82" s="3">
        <f t="shared" si="39"/>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7"/>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7"/>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7"/>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7"/>
        <v xml:space="preserve"> </v>
      </c>
      <c r="R86" s="3" t="str">
        <f t="shared" si="40"/>
        <v>-</v>
      </c>
      <c r="S86" s="3">
        <f t="shared" si="41"/>
        <v>126.66666666666667</v>
      </c>
      <c r="T86" s="3">
        <f t="shared" si="42"/>
        <v>306.66666666666669</v>
      </c>
      <c r="U86" s="3">
        <f t="shared" ref="U86:U97" si="45">IF(ISERROR(FIND(":",K86)),IF(K86="zero",0,1*K86),1*CONCATENATE(LEFT(K86,FIND(":",K86)-1),".",MID(RIGHT(K86,LEN(K86)-FIND(":",K86))/60,3,8)))</f>
        <v>-4.5</v>
      </c>
      <c r="W86" s="4">
        <f t="shared" si="43"/>
        <v>12.760541871784039</v>
      </c>
      <c r="X86" s="4">
        <f t="shared" si="44"/>
        <v>-1.0042764253164154</v>
      </c>
      <c r="Y86" s="3">
        <f t="shared" si="39"/>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7"/>
        <v xml:space="preserve"> </v>
      </c>
      <c r="R87" s="3">
        <f t="shared" ref="R87:R101" si="46">IF(ISERROR(FIND(":",G87)),IF(G87&lt;&gt;"-",1*G87,G87),1*LEFT(G87,FIND(":",G87)-1)+RIGHT(G87,LEN(G87)-FIND(":",G87))/60)</f>
        <v>25.333333333333332</v>
      </c>
      <c r="S87" s="3" t="str">
        <f t="shared" ref="S87:S101" si="47">IF(ISERROR(FIND(":",H87)),IF(H87&lt;&gt;"-",1*H87,H87),1*LEFT(H87,FIND(":",H87)-1)+RIGHT(H87,LEN(H87)-FIND(":",H87))/60)</f>
        <v>-</v>
      </c>
      <c r="T87" s="3">
        <f t="shared" ref="T87:T101" si="48">IF(ISERROR(FIND(":",I87)),IF(I87&lt;&gt;"-",1*I87,I87),1*LEFT(I87,FIND(":",I87)-1)+RIGHT(I87,LEN(I87)-FIND(":",I87))/60)</f>
        <v>25.333333333333332</v>
      </c>
      <c r="U87" s="3">
        <f t="shared" si="45"/>
        <v>26</v>
      </c>
      <c r="W87" s="4">
        <f t="shared" si="43"/>
        <v>15.099739977826006</v>
      </c>
      <c r="X87" s="4">
        <f t="shared" si="44"/>
        <v>7.3646352660565011</v>
      </c>
      <c r="Y87" s="3">
        <f t="shared" si="39"/>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7"/>
        <v xml:space="preserve"> </v>
      </c>
      <c r="R88" s="3" t="str">
        <f t="shared" si="46"/>
        <v>-</v>
      </c>
      <c r="S88" s="3">
        <f t="shared" si="47"/>
        <v>243.83333333333334</v>
      </c>
      <c r="T88" s="3">
        <f t="shared" si="48"/>
        <v>63.833333333333336</v>
      </c>
      <c r="U88" s="3">
        <f t="shared" si="45"/>
        <v>12</v>
      </c>
      <c r="W88" s="4">
        <f t="shared" si="43"/>
        <v>27.094688540326416</v>
      </c>
      <c r="X88" s="4">
        <f t="shared" si="44"/>
        <v>5.759153835651933</v>
      </c>
      <c r="Y88" s="3">
        <f t="shared" si="39"/>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7"/>
        <v xml:space="preserve"> </v>
      </c>
      <c r="R89" s="3">
        <f t="shared" si="46"/>
        <v>94</v>
      </c>
      <c r="S89" s="3" t="str">
        <f t="shared" si="47"/>
        <v>-</v>
      </c>
      <c r="T89" s="3">
        <f t="shared" si="48"/>
        <v>94</v>
      </c>
      <c r="U89" s="3">
        <f t="shared" si="45"/>
        <v>10.5</v>
      </c>
      <c r="W89" s="4">
        <f t="shared" si="43"/>
        <v>22.811513855483746</v>
      </c>
      <c r="X89" s="4">
        <f t="shared" si="44"/>
        <v>4.2278641914178214</v>
      </c>
      <c r="Y89" s="3">
        <f t="shared" si="39"/>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7"/>
        <v xml:space="preserve"> </v>
      </c>
      <c r="R90" s="3" t="str">
        <f t="shared" si="46"/>
        <v>-</v>
      </c>
      <c r="S90" s="3">
        <f t="shared" si="47"/>
        <v>316</v>
      </c>
      <c r="T90" s="3">
        <f t="shared" si="48"/>
        <v>136</v>
      </c>
      <c r="U90" s="3">
        <f t="shared" si="45"/>
        <v>-5.5</v>
      </c>
      <c r="W90" s="4">
        <f t="shared" si="43"/>
        <v>10.650739322528812</v>
      </c>
      <c r="X90" s="4">
        <f t="shared" si="44"/>
        <v>-1.0255495519663966</v>
      </c>
      <c r="Y90" s="3">
        <f t="shared" si="39"/>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7"/>
        <v xml:space="preserve"> </v>
      </c>
      <c r="R91" s="3">
        <f t="shared" si="46"/>
        <v>12.333333333333334</v>
      </c>
      <c r="S91" s="3" t="str">
        <f t="shared" si="47"/>
        <v>-</v>
      </c>
      <c r="T91" s="3">
        <f t="shared" si="48"/>
        <v>12.333333333333334</v>
      </c>
      <c r="U91" s="3">
        <f t="shared" si="45"/>
        <v>28.5</v>
      </c>
      <c r="W91" s="4">
        <f t="shared" si="43"/>
        <v>23.288653485542081</v>
      </c>
      <c r="X91" s="4">
        <f t="shared" si="44"/>
        <v>12.644707146879623</v>
      </c>
      <c r="Y91" s="3">
        <f t="shared" si="39"/>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7"/>
        <v xml:space="preserve"> </v>
      </c>
      <c r="R92" s="3" t="str">
        <f t="shared" si="46"/>
        <v>-</v>
      </c>
      <c r="S92" s="3">
        <f t="shared" si="47"/>
        <v>169.5</v>
      </c>
      <c r="T92" s="3">
        <f t="shared" si="48"/>
        <v>349.5</v>
      </c>
      <c r="U92" s="3">
        <f t="shared" si="45"/>
        <v>10.5</v>
      </c>
      <c r="W92" s="4">
        <f t="shared" si="43"/>
        <v>37.953639431968647</v>
      </c>
      <c r="X92" s="4">
        <f t="shared" si="44"/>
        <v>7.0342912839968923</v>
      </c>
      <c r="Y92" s="3">
        <f t="shared" si="39"/>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7"/>
        <v xml:space="preserve"> </v>
      </c>
      <c r="R93" s="3">
        <f t="shared" si="46"/>
        <v>321.66666666666669</v>
      </c>
      <c r="S93" s="3" t="str">
        <f t="shared" si="47"/>
        <v>-</v>
      </c>
      <c r="T93" s="3">
        <f t="shared" si="48"/>
        <v>321.66666666666669</v>
      </c>
      <c r="U93" s="3">
        <f t="shared" si="45"/>
        <v>-4</v>
      </c>
      <c r="W93" s="4">
        <f t="shared" si="43"/>
        <v>23.243242371053906</v>
      </c>
      <c r="X93" s="4">
        <f t="shared" si="44"/>
        <v>-1.6253258382381195</v>
      </c>
      <c r="Y93" s="3">
        <f t="shared" si="39"/>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7"/>
        <v xml:space="preserve"> </v>
      </c>
      <c r="R94" s="3" t="str">
        <f t="shared" si="46"/>
        <v>-</v>
      </c>
      <c r="S94" s="3">
        <f t="shared" si="47"/>
        <v>245.5</v>
      </c>
      <c r="T94" s="3">
        <f t="shared" si="48"/>
        <v>65.5</v>
      </c>
      <c r="U94" s="3">
        <f t="shared" si="45"/>
        <v>9</v>
      </c>
      <c r="W94" s="4">
        <f t="shared" si="43"/>
        <v>23.01313833586671</v>
      </c>
      <c r="X94" s="4">
        <f t="shared" si="44"/>
        <v>3.6449230354373792</v>
      </c>
      <c r="Y94" s="3">
        <f t="shared" si="39"/>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7"/>
        <v xml:space="preserve"> </v>
      </c>
      <c r="R95" s="3">
        <f t="shared" si="46"/>
        <v>108.5</v>
      </c>
      <c r="S95" s="3" t="str">
        <f t="shared" si="47"/>
        <v>-</v>
      </c>
      <c r="T95" s="3">
        <f t="shared" si="48"/>
        <v>108.5</v>
      </c>
      <c r="U95" s="3">
        <f t="shared" si="45"/>
        <v>27.5</v>
      </c>
      <c r="W95" s="4">
        <f t="shared" si="43"/>
        <v>21.376961079595144</v>
      </c>
      <c r="X95" s="4">
        <f t="shared" si="44"/>
        <v>11.128141578964318</v>
      </c>
      <c r="Y95" s="3">
        <f t="shared" si="39"/>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7"/>
        <v xml:space="preserve"> </v>
      </c>
      <c r="R96" s="3" t="str">
        <f t="shared" si="46"/>
        <v>-</v>
      </c>
      <c r="S96" s="3">
        <f t="shared" si="47"/>
        <v>259.66666666666669</v>
      </c>
      <c r="T96" s="3">
        <f t="shared" si="48"/>
        <v>79.666666666666671</v>
      </c>
      <c r="U96" s="3">
        <f t="shared" si="45"/>
        <v>23.5</v>
      </c>
      <c r="W96" s="4">
        <f t="shared" si="43"/>
        <v>13.389077086022811</v>
      </c>
      <c r="X96" s="4">
        <f t="shared" si="44"/>
        <v>5.8217364063085943</v>
      </c>
      <c r="Y96" s="3">
        <f t="shared" si="39"/>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7"/>
        <v xml:space="preserve"> </v>
      </c>
      <c r="R97" s="3">
        <f t="shared" si="46"/>
        <v>128</v>
      </c>
      <c r="S97" s="3" t="str">
        <f t="shared" si="47"/>
        <v>-</v>
      </c>
      <c r="T97" s="3">
        <f t="shared" si="48"/>
        <v>128</v>
      </c>
      <c r="U97" s="3">
        <f t="shared" si="45"/>
        <v>13.5</v>
      </c>
      <c r="W97" s="4">
        <f t="shared" si="43"/>
        <v>14.585548805965148</v>
      </c>
      <c r="X97" s="4">
        <f t="shared" si="44"/>
        <v>3.5016804578385807</v>
      </c>
      <c r="Y97" s="3">
        <f t="shared" si="39"/>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7"/>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7"/>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7"/>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7"/>
        <v xml:space="preserve"> </v>
      </c>
      <c r="R101" s="3" t="str">
        <f t="shared" si="46"/>
        <v>-</v>
      </c>
      <c r="S101" s="3" t="str">
        <f t="shared" si="47"/>
        <v>-</v>
      </c>
      <c r="T101" s="3" t="str">
        <f t="shared" si="48"/>
        <v>-</v>
      </c>
      <c r="U101" s="3">
        <f t="shared" ref="U101:U113" si="49">IF(ISERROR(FIND(":",K101)),IF(K101="zero",0,1*K101),1*CONCATENATE(LEFT(K101,FIND(":",K101)-1),".",MID(RIGHT(K101,LEN(K101)-FIND(":",K101))/60,3,8)))</f>
        <v>-90</v>
      </c>
      <c r="W101" s="4">
        <f t="shared" si="43"/>
        <v>6.1869996972885311E-16</v>
      </c>
      <c r="X101" s="4">
        <f t="shared" si="44"/>
        <v>-10.1</v>
      </c>
      <c r="Y101" s="3" t="e">
        <f t="shared" si="39"/>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7"/>
        <v xml:space="preserve"> </v>
      </c>
      <c r="R102" s="3" t="str">
        <f t="shared" ref="R102:R119" si="50">IF(ISERROR(FIND(":",G102)),IF(G102&lt;&gt;"-",1*G102,G102),1*LEFT(G102,FIND(":",G102)-1)+RIGHT(G102,LEN(G102)-FIND(":",G102))/60)</f>
        <v>-</v>
      </c>
      <c r="S102" s="3">
        <f t="shared" ref="S102:S119" si="51">IF(ISERROR(FIND(":",H102)),IF(H102&lt;&gt;"-",1*H102,H102),1*LEFT(H102,FIND(":",H102)-1)+RIGHT(H102,LEN(H102)-FIND(":",H102))/60)</f>
        <v>355</v>
      </c>
      <c r="T102" s="3">
        <f t="shared" ref="T102:T119" si="52">IF(ISERROR(FIND(":",I102)),IF(I102&lt;&gt;"-",1*I102,I102),1*LEFT(I102,FIND(":",I102)-1)+RIGHT(I102,LEN(I102)-FIND(":",I102))/60)</f>
        <v>175</v>
      </c>
      <c r="U102" s="3">
        <f t="shared" si="49"/>
        <v>1</v>
      </c>
      <c r="W102" s="4">
        <f t="shared" si="43"/>
        <v>7.9987815612511302</v>
      </c>
      <c r="X102" s="4">
        <f t="shared" si="44"/>
        <v>0.13961925149826809</v>
      </c>
      <c r="Y102" s="3">
        <f t="shared" si="39"/>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7"/>
        <v xml:space="preserve"> </v>
      </c>
      <c r="R103" s="3">
        <f t="shared" si="50"/>
        <v>91</v>
      </c>
      <c r="S103" s="3" t="str">
        <f t="shared" si="51"/>
        <v>-</v>
      </c>
      <c r="T103" s="3">
        <f t="shared" si="52"/>
        <v>91</v>
      </c>
      <c r="U103" s="3">
        <f t="shared" si="49"/>
        <v>23</v>
      </c>
      <c r="W103" s="4">
        <f t="shared" si="43"/>
        <v>22.828520365620523</v>
      </c>
      <c r="X103" s="4">
        <f t="shared" si="44"/>
        <v>9.6901319865339879</v>
      </c>
      <c r="Y103" s="3">
        <f t="shared" si="39"/>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7"/>
        <v xml:space="preserve"> </v>
      </c>
      <c r="R104" s="3" t="str">
        <f t="shared" si="50"/>
        <v>-</v>
      </c>
      <c r="S104" s="3">
        <f t="shared" si="51"/>
        <v>302</v>
      </c>
      <c r="T104" s="3">
        <f t="shared" si="52"/>
        <v>122</v>
      </c>
      <c r="U104" s="3">
        <f t="shared" si="49"/>
        <v>10</v>
      </c>
      <c r="W104" s="4">
        <f t="shared" si="43"/>
        <v>11.029846833736729</v>
      </c>
      <c r="X104" s="4">
        <f t="shared" si="44"/>
        <v>1.9448595898696195</v>
      </c>
      <c r="Y104" s="3">
        <f t="shared" si="39"/>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7"/>
        <v xml:space="preserve"> </v>
      </c>
      <c r="R105" s="3">
        <f t="shared" si="50"/>
        <v>172.66666666666666</v>
      </c>
      <c r="S105" s="3" t="str">
        <f t="shared" si="51"/>
        <v>-</v>
      </c>
      <c r="T105" s="3">
        <f t="shared" si="52"/>
        <v>172.66666666666666</v>
      </c>
      <c r="U105" s="3">
        <f t="shared" si="49"/>
        <v>-9</v>
      </c>
      <c r="W105" s="4">
        <f t="shared" si="43"/>
        <v>25.186052685176012</v>
      </c>
      <c r="X105" s="4">
        <f t="shared" si="44"/>
        <v>-3.989078858525887</v>
      </c>
      <c r="Y105" s="3">
        <f t="shared" si="39"/>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7"/>
        <v xml:space="preserve"> </v>
      </c>
      <c r="R106" s="3" t="str">
        <f t="shared" si="50"/>
        <v>-</v>
      </c>
      <c r="S106" s="3">
        <f t="shared" si="51"/>
        <v>248</v>
      </c>
      <c r="T106" s="3">
        <f t="shared" si="52"/>
        <v>68</v>
      </c>
      <c r="U106" s="3">
        <f t="shared" si="49"/>
        <v>18</v>
      </c>
      <c r="W106" s="4">
        <f t="shared" si="43"/>
        <v>48.218565376164285</v>
      </c>
      <c r="X106" s="4">
        <f t="shared" si="44"/>
        <v>15.667161614809833</v>
      </c>
      <c r="Y106" s="3">
        <f t="shared" si="39"/>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7"/>
        <v xml:space="preserve"> </v>
      </c>
      <c r="R107" s="3">
        <f t="shared" si="50"/>
        <v>46</v>
      </c>
      <c r="S107" s="3" t="str">
        <f t="shared" si="51"/>
        <v>-</v>
      </c>
      <c r="T107" s="3">
        <f t="shared" si="52"/>
        <v>46</v>
      </c>
      <c r="U107" s="3">
        <f t="shared" si="49"/>
        <v>-46</v>
      </c>
      <c r="W107" s="4">
        <f t="shared" si="43"/>
        <v>9.7252171864259633</v>
      </c>
      <c r="X107" s="4">
        <f t="shared" si="44"/>
        <v>-10.070757204741115</v>
      </c>
      <c r="Y107" s="3">
        <f t="shared" si="39"/>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7"/>
        <v xml:space="preserve"> </v>
      </c>
      <c r="R108" s="3" t="str">
        <f t="shared" si="50"/>
        <v>-</v>
      </c>
      <c r="S108" s="3">
        <f t="shared" si="51"/>
        <v>293</v>
      </c>
      <c r="T108" s="3">
        <f t="shared" si="52"/>
        <v>113</v>
      </c>
      <c r="U108" s="3">
        <f t="shared" si="49"/>
        <v>-43</v>
      </c>
      <c r="W108" s="4">
        <f t="shared" si="43"/>
        <v>11.18971163477331</v>
      </c>
      <c r="X108" s="4">
        <f t="shared" si="44"/>
        <v>-10.434574908956227</v>
      </c>
      <c r="Y108" s="3">
        <f t="shared" si="39"/>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7"/>
        <v xml:space="preserve"> </v>
      </c>
      <c r="R109" s="3">
        <f t="shared" si="50"/>
        <v>61</v>
      </c>
      <c r="S109" s="3" t="str">
        <f t="shared" si="51"/>
        <v>-</v>
      </c>
      <c r="T109" s="3">
        <f t="shared" si="52"/>
        <v>61</v>
      </c>
      <c r="U109" s="3">
        <f t="shared" si="49"/>
        <v>-55</v>
      </c>
      <c r="W109" s="4">
        <f t="shared" si="43"/>
        <v>13.30697332334427</v>
      </c>
      <c r="X109" s="4">
        <f t="shared" si="44"/>
        <v>-19.004327427504609</v>
      </c>
      <c r="Y109" s="3">
        <f t="shared" si="39"/>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7"/>
        <v xml:space="preserve"> </v>
      </c>
      <c r="R110" s="3" t="str">
        <f t="shared" si="50"/>
        <v>-</v>
      </c>
      <c r="S110" s="3">
        <f t="shared" si="51"/>
        <v>15.5</v>
      </c>
      <c r="T110" s="3">
        <f t="shared" si="52"/>
        <v>195.5</v>
      </c>
      <c r="U110" s="3">
        <f t="shared" si="49"/>
        <v>-24.5</v>
      </c>
      <c r="W110" s="4">
        <f t="shared" si="43"/>
        <v>23.022020153176545</v>
      </c>
      <c r="X110" s="4">
        <f t="shared" si="44"/>
        <v>-10.491739039202848</v>
      </c>
      <c r="Y110" s="3">
        <f t="shared" si="39"/>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7"/>
        <v xml:space="preserve"> </v>
      </c>
      <c r="R111" s="3">
        <f t="shared" si="50"/>
        <v>242</v>
      </c>
      <c r="S111" s="3" t="str">
        <f t="shared" si="51"/>
        <v>-</v>
      </c>
      <c r="T111" s="3">
        <f t="shared" si="52"/>
        <v>242</v>
      </c>
      <c r="U111" s="3">
        <f t="shared" si="49"/>
        <v>-23.5</v>
      </c>
      <c r="W111" s="4">
        <f t="shared" si="43"/>
        <v>46.770063793641327</v>
      </c>
      <c r="X111" s="4">
        <f t="shared" si="44"/>
        <v>-20.336202515187555</v>
      </c>
      <c r="Y111" s="3">
        <f t="shared" si="39"/>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7"/>
        <v xml:space="preserve"> </v>
      </c>
      <c r="R112" s="3" t="str">
        <f t="shared" si="50"/>
        <v>-</v>
      </c>
      <c r="S112" s="3">
        <f t="shared" si="51"/>
        <v>340</v>
      </c>
      <c r="T112" s="3">
        <f t="shared" si="52"/>
        <v>160</v>
      </c>
      <c r="U112" s="3">
        <f t="shared" si="49"/>
        <v>-3</v>
      </c>
      <c r="W112" s="4">
        <f t="shared" si="43"/>
        <v>13.681224626137661</v>
      </c>
      <c r="X112" s="4">
        <f t="shared" si="44"/>
        <v>-0.71700260052833042</v>
      </c>
      <c r="Y112" s="3">
        <f t="shared" si="39"/>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7"/>
        <v xml:space="preserve"> </v>
      </c>
      <c r="R113" s="3">
        <f t="shared" si="50"/>
        <v>239</v>
      </c>
      <c r="S113" s="3" t="str">
        <f t="shared" si="51"/>
        <v>-</v>
      </c>
      <c r="T113" s="3">
        <f t="shared" si="52"/>
        <v>239</v>
      </c>
      <c r="U113" s="3">
        <f t="shared" si="49"/>
        <v>-19</v>
      </c>
      <c r="W113" s="4">
        <f t="shared" si="43"/>
        <v>24.016171820222645</v>
      </c>
      <c r="X113" s="4">
        <f t="shared" si="44"/>
        <v>-8.2694311232117776</v>
      </c>
      <c r="Y113" s="3">
        <f t="shared" si="39"/>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7"/>
        <v xml:space="preserve"> </v>
      </c>
      <c r="R114" s="3" t="str">
        <f t="shared" si="50"/>
        <v>-</v>
      </c>
      <c r="S114" s="3">
        <f t="shared" si="51"/>
        <v>106</v>
      </c>
      <c r="T114" s="3">
        <f t="shared" si="52"/>
        <v>286</v>
      </c>
      <c r="U114" s="9">
        <f>ASIN(N114/J114)*180/PI()</f>
        <v>-5.1225160997809072</v>
      </c>
      <c r="W114" s="4">
        <f t="shared" si="43"/>
        <v>11.155267813907471</v>
      </c>
      <c r="X114" s="4">
        <f t="shared" si="44"/>
        <v>-1</v>
      </c>
      <c r="Y114" s="3">
        <f t="shared" si="39"/>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7"/>
        <v xml:space="preserve"> </v>
      </c>
      <c r="R115" s="3">
        <f t="shared" si="50"/>
        <v>182</v>
      </c>
      <c r="S115" s="3" t="str">
        <f t="shared" si="51"/>
        <v>-</v>
      </c>
      <c r="T115" s="3">
        <f t="shared" si="52"/>
        <v>182</v>
      </c>
      <c r="U115" s="3">
        <f t="shared" ref="U115" si="53">IF(ISERROR(FIND(":",K115)),IF(K115="zero",0,1*K115),1*CONCATENATE(LEFT(K115,FIND(":",K115)-1),".",MID(RIGHT(K115,LEN(K115)-FIND(":",K115))/60,3,8)))</f>
        <v>-9</v>
      </c>
      <c r="W115" s="4">
        <f t="shared" si="43"/>
        <v>13.926405602391442</v>
      </c>
      <c r="X115" s="4">
        <f t="shared" si="44"/>
        <v>-2.2057259570672554</v>
      </c>
      <c r="Y115" s="3">
        <f t="shared" si="39"/>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7"/>
        <v xml:space="preserve"> </v>
      </c>
      <c r="R116" s="3" t="str">
        <f t="shared" si="50"/>
        <v>-</v>
      </c>
      <c r="S116" s="3">
        <f t="shared" si="51"/>
        <v>339</v>
      </c>
      <c r="T116" s="3">
        <f t="shared" si="52"/>
        <v>159</v>
      </c>
      <c r="U116" s="9">
        <f>ASIN(N116/J116)*180/PI()</f>
        <v>3.4064437549947186</v>
      </c>
      <c r="W116" s="4">
        <f t="shared" si="43"/>
        <v>16.8</v>
      </c>
      <c r="X116" s="4">
        <f t="shared" si="44"/>
        <v>0.99999999999999989</v>
      </c>
      <c r="Y116" s="3">
        <f t="shared" si="39"/>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7"/>
        <v xml:space="preserve"> </v>
      </c>
      <c r="R117" s="3" t="str">
        <f t="shared" si="50"/>
        <v>-</v>
      </c>
      <c r="S117" s="3">
        <f t="shared" si="51"/>
        <v>341</v>
      </c>
      <c r="T117" s="3">
        <f t="shared" si="52"/>
        <v>161</v>
      </c>
      <c r="U117" s="3">
        <f t="shared" ref="U117" si="54">IF(ISERROR(FIND(":",K117)),IF(K117="zero",0,1*K117),1*CONCATENATE(LEFT(K117,FIND(":",K117)-1),".",MID(RIGHT(K117,LEN(K117)-FIND(":",K117))/60,3,8)))</f>
        <v>-12.5</v>
      </c>
      <c r="W117" s="4">
        <f t="shared" si="43"/>
        <v>13.570514498967075</v>
      </c>
      <c r="X117" s="4">
        <f t="shared" si="44"/>
        <v>-3.0085106337396299</v>
      </c>
      <c r="Y117" s="3">
        <f t="shared" si="39"/>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7"/>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7"/>
        <v xml:space="preserve"> </v>
      </c>
      <c r="R119" s="3">
        <f t="shared" si="50"/>
        <v>234</v>
      </c>
      <c r="S119" s="3" t="str">
        <f t="shared" si="51"/>
        <v>-</v>
      </c>
      <c r="T119" s="3">
        <f t="shared" si="52"/>
        <v>234</v>
      </c>
      <c r="U119" s="3">
        <f t="shared" ref="U119:U120" si="55">IF(ISERROR(FIND(":",K119)),IF(K119="zero",0,1*K119),1*CONCATENATE(LEFT(K119,FIND(":",K119)-1),".",MID(RIGHT(K119,LEN(K119)-FIND(":",K119))/60,3,8)))</f>
        <v>45</v>
      </c>
      <c r="W119" s="4">
        <f t="shared" si="43"/>
        <v>12.727922061357857</v>
      </c>
      <c r="X119" s="4">
        <f t="shared" si="44"/>
        <v>12.727922061357855</v>
      </c>
      <c r="Y119" s="3">
        <f t="shared" si="39"/>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6">IF(ISERROR(FIND(":",G120)),IF(G120&lt;&gt;"-",1*G120,G120),1*LEFT(G120,FIND(":",G120)-1)+RIGHT(G120,LEN(G120)-FIND(":",G120))/60)</f>
        <v>-</v>
      </c>
      <c r="S120" s="3">
        <f t="shared" ref="S120" si="57">IF(ISERROR(FIND(":",H120)),IF(H120&lt;&gt;"-",1*H120,H120),1*LEFT(H120,FIND(":",H120)-1)+RIGHT(H120,LEN(H120)-FIND(":",H120))/60)</f>
        <v>350</v>
      </c>
      <c r="T120" s="3">
        <f t="shared" ref="T120" si="58">IF(ISERROR(FIND(":",I120)),IF(I120&lt;&gt;"-",1*I120,I120),1*LEFT(I120,FIND(":",I120)-1)+RIGHT(I120,LEN(I120)-FIND(":",I120))/60)</f>
        <v>170</v>
      </c>
      <c r="U120" s="3">
        <f t="shared" si="55"/>
        <v>0</v>
      </c>
      <c r="W120" s="4">
        <f t="shared" ref="W120" si="59">J120*COS(U120*PI()/180)</f>
        <v>10</v>
      </c>
      <c r="X120" s="4">
        <f t="shared" ref="X120" si="60">J120*SIN(U120*PI()/180)</f>
        <v>0</v>
      </c>
      <c r="Y120" s="3">
        <f t="shared" ref="Y120" si="61">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62">IF(ISERROR(FIND(":",G123)),IF(G123&lt;&gt;"-",1*G123,G123),1*LEFT(G123,FIND(":",G123)-1)+RIGHT(G123,LEN(G123)-FIND(":",G123))/60)</f>
        <v>-</v>
      </c>
      <c r="S123" s="3" t="str">
        <f t="shared" ref="S123:S131" si="63">IF(ISERROR(FIND(":",H123)),IF(H123&lt;&gt;"-",1*H123,H123),1*LEFT(H123,FIND(":",H123)-1)+RIGHT(H123,LEN(H123)-FIND(":",H123))/60)</f>
        <v>-</v>
      </c>
      <c r="T123" s="3" t="str">
        <f t="shared" ref="T123:T131" si="64">IF(ISERROR(FIND(":",I123)),IF(I123&lt;&gt;"-",1*I123,I123),1*LEFT(I123,FIND(":",I123)-1)+RIGHT(I123,LEN(I123)-FIND(":",I123))/60)</f>
        <v>-</v>
      </c>
      <c r="U123" s="3">
        <f t="shared" ref="U123:U140" si="65">IF(ISERROR(FIND(":",K123)),IF(K123="zero",0,1*K123),1*CONCATENATE(LEFT(K123,FIND(":",K123)-1),".",MID(RIGHT(K123,LEN(K123)-FIND(":",K123))/60,3,8)))</f>
        <v>90</v>
      </c>
      <c r="W123" s="4">
        <f t="shared" ref="W123:W131" si="66">J123*COS(U123*PI()/180)</f>
        <v>3.67544536472586E-16</v>
      </c>
      <c r="X123" s="4">
        <f t="shared" ref="X123:X131" si="67">J123*SIN(U123*PI()/180)</f>
        <v>6</v>
      </c>
      <c r="Y123" s="3" t="e">
        <f t="shared" ref="Y123:Y131" si="68">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62"/>
        <v>-</v>
      </c>
      <c r="S124" s="3">
        <f t="shared" si="63"/>
        <v>158</v>
      </c>
      <c r="T124" s="3">
        <f t="shared" si="64"/>
        <v>338</v>
      </c>
      <c r="U124" s="3">
        <f t="shared" si="65"/>
        <v>12.5</v>
      </c>
      <c r="W124" s="4">
        <f t="shared" si="66"/>
        <v>28.703102609326038</v>
      </c>
      <c r="X124" s="4">
        <f t="shared" si="67"/>
        <v>6.3633246497802238</v>
      </c>
      <c r="Y124" s="3">
        <f t="shared" si="68"/>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62"/>
        <v>11</v>
      </c>
      <c r="S125" s="3" t="str">
        <f t="shared" si="63"/>
        <v>-</v>
      </c>
      <c r="T125" s="3">
        <f t="shared" si="64"/>
        <v>11</v>
      </c>
      <c r="U125" s="3">
        <f t="shared" si="65"/>
        <v>-38</v>
      </c>
      <c r="W125" s="4">
        <f t="shared" si="66"/>
        <v>9.534930118641336</v>
      </c>
      <c r="X125" s="4">
        <f t="shared" si="67"/>
        <v>-7.4495038514404639</v>
      </c>
      <c r="Y125" s="3">
        <f t="shared" si="68"/>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62"/>
        <v>-</v>
      </c>
      <c r="S126" s="3">
        <f t="shared" si="63"/>
        <v>282</v>
      </c>
      <c r="T126" s="3">
        <f t="shared" si="64"/>
        <v>102</v>
      </c>
      <c r="U126" s="3">
        <f t="shared" si="65"/>
        <v>16.5</v>
      </c>
      <c r="W126" s="4">
        <f t="shared" si="66"/>
        <v>28.956355993019429</v>
      </c>
      <c r="X126" s="4">
        <f t="shared" si="67"/>
        <v>8.5772634100584639</v>
      </c>
      <c r="Y126" s="3">
        <f t="shared" si="68"/>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62"/>
        <v>63.5</v>
      </c>
      <c r="S127" s="3" t="str">
        <f t="shared" si="63"/>
        <v>-</v>
      </c>
      <c r="T127" s="3">
        <f t="shared" si="64"/>
        <v>63.5</v>
      </c>
      <c r="U127" s="3">
        <f t="shared" si="65"/>
        <v>27</v>
      </c>
      <c r="W127" s="4">
        <f t="shared" si="66"/>
        <v>13.365097862825518</v>
      </c>
      <c r="X127" s="4">
        <f t="shared" si="67"/>
        <v>6.8098574960932012</v>
      </c>
      <c r="Y127" s="3">
        <f t="shared" si="68"/>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62"/>
        <v>-</v>
      </c>
      <c r="S128" s="3">
        <f t="shared" si="63"/>
        <v>284</v>
      </c>
      <c r="T128" s="3">
        <f t="shared" si="64"/>
        <v>104</v>
      </c>
      <c r="U128" s="3">
        <f t="shared" si="65"/>
        <v>13.5</v>
      </c>
      <c r="W128" s="4">
        <f t="shared" si="66"/>
        <v>23.725826057703305</v>
      </c>
      <c r="X128" s="4">
        <f t="shared" si="67"/>
        <v>5.6960668780840908</v>
      </c>
      <c r="Y128" s="3">
        <f t="shared" si="68"/>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62"/>
        <v>83</v>
      </c>
      <c r="S129" s="3" t="str">
        <f t="shared" si="63"/>
        <v>-</v>
      </c>
      <c r="T129" s="3">
        <f t="shared" si="64"/>
        <v>83</v>
      </c>
      <c r="U129" s="3">
        <f t="shared" si="65"/>
        <v>10.5</v>
      </c>
      <c r="W129" s="4">
        <f t="shared" si="66"/>
        <v>19.173470697497116</v>
      </c>
      <c r="X129" s="4">
        <f t="shared" si="67"/>
        <v>3.5535927470968756</v>
      </c>
      <c r="Y129" s="3">
        <f t="shared" si="68"/>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62"/>
        <v>-</v>
      </c>
      <c r="S130" s="3">
        <f t="shared" si="63"/>
        <v>296.5</v>
      </c>
      <c r="T130" s="3">
        <f t="shared" si="64"/>
        <v>116.5</v>
      </c>
      <c r="U130" s="3">
        <f t="shared" si="65"/>
        <v>14.5</v>
      </c>
      <c r="W130" s="4">
        <f t="shared" si="66"/>
        <v>14.328585077595996</v>
      </c>
      <c r="X130" s="4">
        <f t="shared" si="67"/>
        <v>3.7056240600057335</v>
      </c>
      <c r="Y130" s="3">
        <f t="shared" si="68"/>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62"/>
        <v>74.5</v>
      </c>
      <c r="S131" s="3" t="str">
        <f t="shared" si="63"/>
        <v>-</v>
      </c>
      <c r="T131" s="3">
        <f t="shared" si="64"/>
        <v>74.5</v>
      </c>
      <c r="U131" s="3">
        <f t="shared" si="65"/>
        <v>23</v>
      </c>
      <c r="W131" s="4">
        <f t="shared" si="66"/>
        <v>45.380889275205305</v>
      </c>
      <c r="X131" s="4">
        <f t="shared" si="67"/>
        <v>19.263044634521194</v>
      </c>
      <c r="Y131" s="3">
        <f t="shared" si="68"/>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9">IF(ISERROR(FIND(":",G132)),IF(G132&lt;&gt;"-",1*G132,G132),1*LEFT(G132,FIND(":",G132)-1)+RIGHT(G132,LEN(G132)-FIND(":",G132))/60)</f>
        <v>-</v>
      </c>
      <c r="S132" s="3">
        <f t="shared" ref="S132:S179" si="70">IF(ISERROR(FIND(":",H132)),IF(H132&lt;&gt;"-",1*H132,H132),1*LEFT(H132,FIND(":",H132)-1)+RIGHT(H132,LEN(H132)-FIND(":",H132))/60)</f>
        <v>337</v>
      </c>
      <c r="T132" s="3">
        <f t="shared" ref="T132:T179" si="71">IF(ISERROR(FIND(":",I132)),IF(I132&lt;&gt;"-",1*I132,I132),1*LEFT(I132,FIND(":",I132)-1)+RIGHT(I132,LEN(I132)-FIND(":",I132))/60)</f>
        <v>157</v>
      </c>
      <c r="U132" s="3">
        <f t="shared" si="65"/>
        <v>5</v>
      </c>
      <c r="W132" s="4">
        <f t="shared" ref="W132:W179" si="72">J132*COS(U132*PI()/180)</f>
        <v>7.2722212960697421</v>
      </c>
      <c r="X132" s="4">
        <f t="shared" ref="X132:X179" si="73">J132*SIN(U132*PI()/180)</f>
        <v>0.63623692205790461</v>
      </c>
      <c r="Y132" s="3">
        <f t="shared" ref="Y132:Y179" si="74">IF(R132="-",IF(S132&gt;180,S132-180,S132+180),R132)</f>
        <v>157</v>
      </c>
      <c r="Z132" s="4">
        <f>IF('Raw Data'!O132="","",O131+N131)</f>
        <v>102.8</v>
      </c>
      <c r="AA132" t="s">
        <v>900</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9"/>
        <v>117</v>
      </c>
      <c r="S133" s="3" t="str">
        <f t="shared" si="70"/>
        <v>-</v>
      </c>
      <c r="T133" s="3">
        <f t="shared" si="71"/>
        <v>117</v>
      </c>
      <c r="U133" s="3">
        <f t="shared" si="65"/>
        <v>-31</v>
      </c>
      <c r="W133" s="4">
        <f t="shared" si="72"/>
        <v>13.886110271374219</v>
      </c>
      <c r="X133" s="4">
        <f t="shared" si="73"/>
        <v>-8.3436168135428765</v>
      </c>
      <c r="Y133" s="3">
        <f t="shared" si="74"/>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9"/>
        <v>-</v>
      </c>
      <c r="S134" s="3" t="str">
        <f t="shared" si="70"/>
        <v>-</v>
      </c>
      <c r="T134" s="3" t="str">
        <f t="shared" si="71"/>
        <v>-</v>
      </c>
      <c r="U134" s="3">
        <f t="shared" si="65"/>
        <v>-90</v>
      </c>
      <c r="W134" s="4">
        <f t="shared" si="72"/>
        <v>2.144009796090085E-15</v>
      </c>
      <c r="X134" s="4">
        <f t="shared" si="73"/>
        <v>-35</v>
      </c>
      <c r="Y134" s="3" t="e">
        <f t="shared" si="74"/>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9"/>
        <v>-</v>
      </c>
      <c r="S135" s="3">
        <f t="shared" si="70"/>
        <v>308</v>
      </c>
      <c r="T135" s="3">
        <f t="shared" si="71"/>
        <v>128</v>
      </c>
      <c r="U135" s="3">
        <f t="shared" si="65"/>
        <v>8</v>
      </c>
      <c r="W135" s="4">
        <f t="shared" si="72"/>
        <v>23.370326422301062</v>
      </c>
      <c r="X135" s="4">
        <f t="shared" si="73"/>
        <v>3.2844851826575447</v>
      </c>
      <c r="Y135" s="3">
        <f t="shared" si="74"/>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9"/>
        <v>163.5</v>
      </c>
      <c r="S136" s="3" t="str">
        <f t="shared" si="70"/>
        <v>-</v>
      </c>
      <c r="T136" s="3">
        <f t="shared" si="71"/>
        <v>163.5</v>
      </c>
      <c r="U136" s="3">
        <f t="shared" si="65"/>
        <v>-34.5</v>
      </c>
      <c r="W136" s="4">
        <f t="shared" si="72"/>
        <v>22.663470187105432</v>
      </c>
      <c r="X136" s="4">
        <f t="shared" si="73"/>
        <v>-15.576171515432902</v>
      </c>
      <c r="Y136" s="3">
        <f t="shared" si="74"/>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9"/>
        <v>-</v>
      </c>
      <c r="S137" s="3">
        <f t="shared" si="70"/>
        <v>20</v>
      </c>
      <c r="T137" s="3">
        <f t="shared" si="71"/>
        <v>200</v>
      </c>
      <c r="U137" s="3">
        <f t="shared" si="65"/>
        <v>-5</v>
      </c>
      <c r="W137" s="4">
        <f t="shared" si="72"/>
        <v>23.41057540515602</v>
      </c>
      <c r="X137" s="4">
        <f t="shared" si="73"/>
        <v>-2.0481599545699667</v>
      </c>
      <c r="Y137" s="3">
        <f t="shared" si="74"/>
        <v>200</v>
      </c>
      <c r="Z137" s="4">
        <f>IF('Raw Data'!O137="","",O136+N136)</f>
        <v>48.4</v>
      </c>
      <c r="AA137" t="s">
        <v>900</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9"/>
        <v>186</v>
      </c>
      <c r="S138" s="3" t="str">
        <f t="shared" si="70"/>
        <v>-</v>
      </c>
      <c r="T138" s="3">
        <f t="shared" si="71"/>
        <v>186</v>
      </c>
      <c r="U138" s="3">
        <f t="shared" si="65"/>
        <v>-17.5</v>
      </c>
      <c r="W138" s="4">
        <f t="shared" si="72"/>
        <v>16.117816467645035</v>
      </c>
      <c r="X138" s="4">
        <f t="shared" si="73"/>
        <v>-5.0819280116222156</v>
      </c>
      <c r="Y138" s="3">
        <f t="shared" si="74"/>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9"/>
        <v>-</v>
      </c>
      <c r="S139" s="3">
        <f t="shared" si="70"/>
        <v>102.5</v>
      </c>
      <c r="T139" s="3">
        <f t="shared" si="71"/>
        <v>282.5</v>
      </c>
      <c r="U139" s="3">
        <f t="shared" si="65"/>
        <v>-20.5</v>
      </c>
      <c r="W139" s="4">
        <f t="shared" si="72"/>
        <v>46.365273367795687</v>
      </c>
      <c r="X139" s="4">
        <f t="shared" si="73"/>
        <v>-17.335265372343635</v>
      </c>
      <c r="Y139" s="3">
        <f t="shared" si="74"/>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9"/>
        <v>264</v>
      </c>
      <c r="S140" s="3" t="str">
        <f t="shared" si="70"/>
        <v>-</v>
      </c>
      <c r="T140" s="3">
        <f t="shared" si="71"/>
        <v>264</v>
      </c>
      <c r="U140" s="3">
        <f t="shared" si="65"/>
        <v>-12.5</v>
      </c>
      <c r="W140" s="4">
        <f t="shared" si="72"/>
        <v>49.986355564540588</v>
      </c>
      <c r="X140" s="4">
        <f t="shared" si="73"/>
        <v>-11.081708233630868</v>
      </c>
      <c r="Y140" s="3">
        <f t="shared" si="74"/>
        <v>264</v>
      </c>
      <c r="Z140" s="4">
        <f>IF('Raw Data'!O140="","",O139+N139)</f>
        <v>23.599999999999998</v>
      </c>
      <c r="AA140" t="s">
        <v>900</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9"/>
        <v>175</v>
      </c>
      <c r="S141" s="3" t="str">
        <f t="shared" si="70"/>
        <v>-</v>
      </c>
      <c r="T141" s="3">
        <f t="shared" si="71"/>
        <v>175</v>
      </c>
      <c r="U141" s="9">
        <f>ASIN(N141/J141)*180/PI()</f>
        <v>-14.743562836470735</v>
      </c>
      <c r="W141" s="4">
        <f t="shared" si="72"/>
        <v>13.3</v>
      </c>
      <c r="X141" s="4">
        <f t="shared" si="73"/>
        <v>-3.4999999999999996</v>
      </c>
      <c r="Y141" s="3">
        <f t="shared" si="74"/>
        <v>175</v>
      </c>
      <c r="Z141" s="4">
        <f>IF('Raw Data'!O141="","",O140+N140)</f>
        <v>12.799999999999999</v>
      </c>
      <c r="AA141" t="s">
        <v>900</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900</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9"/>
        <v>-</v>
      </c>
      <c r="S145" s="3">
        <f t="shared" si="70"/>
        <v>103</v>
      </c>
      <c r="T145" s="3">
        <f t="shared" si="71"/>
        <v>283</v>
      </c>
      <c r="U145" s="3">
        <f t="shared" ref="U145:U161" si="75">IF(ISERROR(FIND(":",K145)),IF(K145="zero",0,1*K145),1*CONCATENATE(LEFT(K145,FIND(":",K145)-1),".",MID(RIGHT(K145,LEN(K145)-FIND(":",K145))/60,3,8)))</f>
        <v>-6</v>
      </c>
      <c r="W145" s="4">
        <f t="shared" si="72"/>
        <v>11.934262744419279</v>
      </c>
      <c r="X145" s="4">
        <f t="shared" si="73"/>
        <v>-1.2543415592118414</v>
      </c>
      <c r="Y145" s="3">
        <f t="shared" si="74"/>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9"/>
        <v>11</v>
      </c>
      <c r="S146" s="3" t="str">
        <f t="shared" si="70"/>
        <v>-</v>
      </c>
      <c r="T146" s="3">
        <f t="shared" si="71"/>
        <v>11</v>
      </c>
      <c r="U146" s="3">
        <f t="shared" si="75"/>
        <v>-6</v>
      </c>
      <c r="W146" s="4">
        <f t="shared" si="72"/>
        <v>2.9835656861048196</v>
      </c>
      <c r="X146" s="4">
        <f t="shared" si="73"/>
        <v>-0.31358538980296036</v>
      </c>
      <c r="Y146" s="3">
        <f t="shared" si="74"/>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9"/>
        <v>-</v>
      </c>
      <c r="S147" s="3" t="str">
        <f t="shared" si="70"/>
        <v>-</v>
      </c>
      <c r="T147" s="3" t="str">
        <f t="shared" si="71"/>
        <v>-</v>
      </c>
      <c r="U147" s="3">
        <f t="shared" si="75"/>
        <v>-90</v>
      </c>
      <c r="W147" s="4">
        <f t="shared" si="72"/>
        <v>3.67544536472586E-16</v>
      </c>
      <c r="X147" s="4">
        <f t="shared" si="73"/>
        <v>-6</v>
      </c>
      <c r="Y147" s="3" t="e">
        <f t="shared" si="74"/>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9"/>
        <v>-</v>
      </c>
      <c r="S148" s="3">
        <f t="shared" si="70"/>
        <v>216</v>
      </c>
      <c r="T148" s="3">
        <f t="shared" si="71"/>
        <v>36</v>
      </c>
      <c r="U148" s="3">
        <f t="shared" si="75"/>
        <v>8</v>
      </c>
      <c r="W148" s="4">
        <f t="shared" si="72"/>
        <v>17.329691202977482</v>
      </c>
      <c r="X148" s="4">
        <f t="shared" si="73"/>
        <v>2.435529266801145</v>
      </c>
      <c r="Y148" s="3">
        <f t="shared" si="74"/>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9"/>
        <v>344.5</v>
      </c>
      <c r="S149" s="3" t="str">
        <f t="shared" si="70"/>
        <v>-</v>
      </c>
      <c r="T149" s="3">
        <f t="shared" si="71"/>
        <v>344.5</v>
      </c>
      <c r="U149" s="3">
        <f t="shared" si="75"/>
        <v>6</v>
      </c>
      <c r="W149" s="4">
        <f t="shared" si="72"/>
        <v>4.8731572873045392</v>
      </c>
      <c r="X149" s="4">
        <f t="shared" si="73"/>
        <v>0.51218947001150195</v>
      </c>
      <c r="Y149" s="3">
        <f t="shared" si="74"/>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9"/>
        <v>-</v>
      </c>
      <c r="S150" s="3">
        <f t="shared" si="70"/>
        <v>162</v>
      </c>
      <c r="T150" s="3">
        <f t="shared" si="71"/>
        <v>342</v>
      </c>
      <c r="U150" s="3">
        <f t="shared" si="75"/>
        <v>-12</v>
      </c>
      <c r="W150" s="4">
        <f t="shared" si="72"/>
        <v>22.986468617244434</v>
      </c>
      <c r="X150" s="4">
        <f t="shared" si="73"/>
        <v>-4.885924734217344</v>
      </c>
      <c r="Y150" s="3">
        <f t="shared" si="74"/>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9"/>
        <v>259</v>
      </c>
      <c r="S151" s="3" t="str">
        <f t="shared" si="70"/>
        <v>-</v>
      </c>
      <c r="T151" s="3">
        <f t="shared" si="71"/>
        <v>259</v>
      </c>
      <c r="U151" s="3">
        <f t="shared" si="75"/>
        <v>-21</v>
      </c>
      <c r="W151" s="4">
        <f t="shared" si="72"/>
        <v>7.655359497277054</v>
      </c>
      <c r="X151" s="4">
        <f t="shared" si="73"/>
        <v>-2.9386171862714621</v>
      </c>
      <c r="Y151" s="3">
        <f t="shared" si="74"/>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9"/>
        <v>-</v>
      </c>
      <c r="S152" s="3">
        <f t="shared" si="70"/>
        <v>119</v>
      </c>
      <c r="T152" s="3">
        <f t="shared" si="71"/>
        <v>299</v>
      </c>
      <c r="U152" s="3">
        <f t="shared" si="75"/>
        <v>-17</v>
      </c>
      <c r="W152" s="4">
        <f t="shared" si="72"/>
        <v>8.6067428036673181</v>
      </c>
      <c r="X152" s="4">
        <f t="shared" si="73"/>
        <v>-2.6313453425046309</v>
      </c>
      <c r="Y152" s="3">
        <f t="shared" si="74"/>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9"/>
        <v>-</v>
      </c>
      <c r="S153" s="3" t="str">
        <f t="shared" si="70"/>
        <v>-</v>
      </c>
      <c r="T153" s="3" t="str">
        <f t="shared" si="71"/>
        <v>-</v>
      </c>
      <c r="U153" s="3">
        <f t="shared" si="75"/>
        <v>-90</v>
      </c>
      <c r="W153" s="4">
        <f t="shared" si="72"/>
        <v>3.06287113727155E-17</v>
      </c>
      <c r="X153" s="4">
        <f t="shared" si="73"/>
        <v>-0.5</v>
      </c>
      <c r="Y153" s="3" t="e">
        <f t="shared" si="74"/>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9"/>
        <v>277</v>
      </c>
      <c r="S154" s="3" t="str">
        <f t="shared" si="70"/>
        <v>-</v>
      </c>
      <c r="T154" s="3">
        <f t="shared" si="71"/>
        <v>227</v>
      </c>
      <c r="U154" s="3">
        <f t="shared" si="75"/>
        <v>-53</v>
      </c>
      <c r="W154" s="4">
        <f t="shared" si="72"/>
        <v>8.9068623426503173</v>
      </c>
      <c r="X154" s="4">
        <f t="shared" si="73"/>
        <v>-11.819805548699934</v>
      </c>
      <c r="Y154" s="3">
        <f t="shared" si="74"/>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9"/>
        <v>-</v>
      </c>
      <c r="S155" s="3">
        <f t="shared" si="70"/>
        <v>261</v>
      </c>
      <c r="T155" s="3">
        <f t="shared" si="71"/>
        <v>81</v>
      </c>
      <c r="U155" s="3">
        <f t="shared" si="75"/>
        <v>-47</v>
      </c>
      <c r="W155" s="4">
        <f t="shared" si="72"/>
        <v>9.0705781888312309</v>
      </c>
      <c r="X155" s="4">
        <f t="shared" si="73"/>
        <v>-9.7270042315349681</v>
      </c>
      <c r="Y155" s="3">
        <f t="shared" si="74"/>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9"/>
        <v>-</v>
      </c>
      <c r="S156" s="3" t="str">
        <f t="shared" si="70"/>
        <v>-</v>
      </c>
      <c r="T156" s="3" t="str">
        <f t="shared" si="71"/>
        <v>-</v>
      </c>
      <c r="U156" s="3">
        <f t="shared" si="75"/>
        <v>90</v>
      </c>
      <c r="W156" s="4">
        <f t="shared" si="72"/>
        <v>3.06287113727155E-17</v>
      </c>
      <c r="X156" s="4">
        <f t="shared" si="73"/>
        <v>0.5</v>
      </c>
      <c r="Y156" s="3" t="e">
        <f t="shared" si="74"/>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9"/>
        <v>348.5</v>
      </c>
      <c r="S157" s="3" t="str">
        <f t="shared" si="70"/>
        <v>-</v>
      </c>
      <c r="T157" s="3">
        <f t="shared" si="71"/>
        <v>348.5</v>
      </c>
      <c r="U157" s="3">
        <f t="shared" si="75"/>
        <v>-6</v>
      </c>
      <c r="W157" s="4">
        <f t="shared" si="72"/>
        <v>14.420567482839962</v>
      </c>
      <c r="X157" s="4">
        <f t="shared" si="73"/>
        <v>-1.5156627173809751</v>
      </c>
      <c r="Y157" s="3">
        <f t="shared" si="74"/>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9"/>
        <v>-</v>
      </c>
      <c r="S158" s="3">
        <f t="shared" si="70"/>
        <v>112</v>
      </c>
      <c r="T158" s="3">
        <f t="shared" si="71"/>
        <v>292</v>
      </c>
      <c r="U158" s="3">
        <f t="shared" si="75"/>
        <v>-20</v>
      </c>
      <c r="W158" s="4">
        <f t="shared" si="72"/>
        <v>16.256682339596217</v>
      </c>
      <c r="X158" s="4">
        <f t="shared" si="73"/>
        <v>-5.916948479534069</v>
      </c>
      <c r="Y158" s="3">
        <f t="shared" si="74"/>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9"/>
        <v>346</v>
      </c>
      <c r="S159" s="3" t="str">
        <f t="shared" si="70"/>
        <v>-</v>
      </c>
      <c r="T159" s="3">
        <f t="shared" si="71"/>
        <v>346</v>
      </c>
      <c r="U159" s="3">
        <f t="shared" si="75"/>
        <v>-22</v>
      </c>
      <c r="W159" s="4">
        <f t="shared" si="72"/>
        <v>15.947562298548743</v>
      </c>
      <c r="X159" s="4">
        <f t="shared" si="73"/>
        <v>-6.4432334067536861</v>
      </c>
      <c r="Y159" s="3">
        <f t="shared" si="74"/>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9"/>
        <v>-</v>
      </c>
      <c r="S160" s="3">
        <f t="shared" si="70"/>
        <v>138</v>
      </c>
      <c r="T160" s="3">
        <f t="shared" si="71"/>
        <v>318</v>
      </c>
      <c r="U160" s="3">
        <f t="shared" si="75"/>
        <v>-13.5</v>
      </c>
      <c r="W160" s="4">
        <f t="shared" si="72"/>
        <v>8.654092291539321</v>
      </c>
      <c r="X160" s="4">
        <f t="shared" si="73"/>
        <v>-2.077663738317558</v>
      </c>
      <c r="Y160" s="3">
        <f t="shared" si="74"/>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9"/>
        <v>304</v>
      </c>
      <c r="S161" s="3" t="str">
        <f t="shared" si="70"/>
        <v>-</v>
      </c>
      <c r="T161" s="3">
        <f t="shared" si="71"/>
        <v>304</v>
      </c>
      <c r="U161" s="3">
        <f t="shared" si="75"/>
        <v>-17</v>
      </c>
      <c r="W161" s="4">
        <f t="shared" si="72"/>
        <v>30.601752190817134</v>
      </c>
      <c r="X161" s="4">
        <f t="shared" si="73"/>
        <v>-9.3558945511275766</v>
      </c>
      <c r="Y161" s="3">
        <f t="shared" si="74"/>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9"/>
        <v>-</v>
      </c>
      <c r="S165" s="3">
        <f t="shared" si="70"/>
        <v>175</v>
      </c>
      <c r="T165" s="3">
        <f t="shared" si="71"/>
        <v>355</v>
      </c>
      <c r="U165" s="3">
        <f t="shared" ref="U165:U182" si="76">IF(ISERROR(FIND(":",K165)),IF(K165="zero",0,1*K165),1*CONCATENATE(LEFT(K165,FIND(":",K165)-1),".",MID(RIGHT(K165,LEN(K165)-FIND(":",K165))/60,3,8)))</f>
        <v>30</v>
      </c>
      <c r="W165" s="4">
        <f t="shared" si="72"/>
        <v>4.8497422611928567</v>
      </c>
      <c r="X165" s="4">
        <f t="shared" si="73"/>
        <v>2.7999999999999994</v>
      </c>
      <c r="Y165" s="3">
        <f t="shared" si="74"/>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9"/>
        <v>317</v>
      </c>
      <c r="S166" s="3" t="str">
        <f t="shared" si="70"/>
        <v>-</v>
      </c>
      <c r="T166" s="3">
        <f t="shared" si="71"/>
        <v>317</v>
      </c>
      <c r="U166" s="3">
        <f t="shared" si="76"/>
        <v>2</v>
      </c>
      <c r="W166" s="4">
        <f t="shared" si="72"/>
        <v>8.6947001950661331</v>
      </c>
      <c r="X166" s="4">
        <f t="shared" si="73"/>
        <v>0.30362562131175841</v>
      </c>
      <c r="Y166" s="3">
        <f t="shared" si="74"/>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9"/>
        <v>-</v>
      </c>
      <c r="S167" s="3">
        <f t="shared" si="70"/>
        <v>87</v>
      </c>
      <c r="T167" s="3">
        <f t="shared" si="71"/>
        <v>267</v>
      </c>
      <c r="U167" s="3">
        <f t="shared" si="76"/>
        <v>21</v>
      </c>
      <c r="W167" s="4">
        <f t="shared" si="72"/>
        <v>2.8940993221413254</v>
      </c>
      <c r="X167" s="4">
        <f t="shared" si="73"/>
        <v>1.1109406435904308</v>
      </c>
      <c r="Y167" s="3">
        <f t="shared" si="74"/>
        <v>267</v>
      </c>
      <c r="Z167" s="4">
        <f>IF('Raw Data'!O167="","",O166+N166)</f>
        <v>308.2</v>
      </c>
      <c r="AA167" t="s">
        <v>900</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9"/>
        <v>299</v>
      </c>
      <c r="S168" s="3" t="str">
        <f t="shared" si="70"/>
        <v>-</v>
      </c>
      <c r="T168" s="3">
        <f t="shared" si="71"/>
        <v>299</v>
      </c>
      <c r="U168" s="3">
        <f t="shared" si="76"/>
        <v>-15</v>
      </c>
      <c r="W168" s="4">
        <f t="shared" si="72"/>
        <v>12.943406072273516</v>
      </c>
      <c r="X168" s="4">
        <f t="shared" si="73"/>
        <v>-3.4681752043737779</v>
      </c>
      <c r="Y168" s="3">
        <f t="shared" si="74"/>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9"/>
        <v>-</v>
      </c>
      <c r="S169" s="3">
        <f t="shared" si="70"/>
        <v>145.5</v>
      </c>
      <c r="T169" s="3">
        <f t="shared" si="71"/>
        <v>325.5</v>
      </c>
      <c r="U169" s="3">
        <f t="shared" si="76"/>
        <v>-2.5</v>
      </c>
      <c r="W169" s="4">
        <f t="shared" si="72"/>
        <v>19.18172585437167</v>
      </c>
      <c r="X169" s="4">
        <f t="shared" si="73"/>
        <v>-0.83749223741445122</v>
      </c>
      <c r="Y169" s="3">
        <f t="shared" si="74"/>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9"/>
        <v>319.5</v>
      </c>
      <c r="S170" s="3" t="str">
        <f t="shared" si="70"/>
        <v>-</v>
      </c>
      <c r="T170" s="3">
        <f t="shared" si="71"/>
        <v>319.5</v>
      </c>
      <c r="U170" s="3">
        <f t="shared" si="76"/>
        <v>-13</v>
      </c>
      <c r="W170" s="4">
        <f t="shared" si="72"/>
        <v>19.584838302183229</v>
      </c>
      <c r="X170" s="4">
        <f t="shared" si="73"/>
        <v>-4.5215161923116867</v>
      </c>
      <c r="Y170" s="3">
        <f t="shared" si="74"/>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9"/>
        <v>-</v>
      </c>
      <c r="S171" s="3">
        <f t="shared" si="70"/>
        <v>89</v>
      </c>
      <c r="T171" s="3">
        <f t="shared" si="71"/>
        <v>269</v>
      </c>
      <c r="U171" s="3">
        <f t="shared" si="76"/>
        <v>-15</v>
      </c>
      <c r="W171" s="4">
        <f t="shared" si="72"/>
        <v>22.409479169906383</v>
      </c>
      <c r="X171" s="4">
        <f t="shared" si="73"/>
        <v>-6.0046018463784812</v>
      </c>
      <c r="Y171" s="3">
        <f t="shared" si="74"/>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9"/>
        <v>202.33333333333334</v>
      </c>
      <c r="S172" s="3" t="str">
        <f t="shared" si="70"/>
        <v>-</v>
      </c>
      <c r="T172" s="3">
        <f t="shared" si="71"/>
        <v>202.33333333333334</v>
      </c>
      <c r="U172" s="3">
        <f t="shared" si="76"/>
        <v>-41.5</v>
      </c>
      <c r="W172" s="4">
        <f t="shared" si="72"/>
        <v>20.89586461001316</v>
      </c>
      <c r="X172" s="4">
        <f t="shared" si="73"/>
        <v>-18.487099345219075</v>
      </c>
      <c r="Y172" s="3">
        <f t="shared" si="74"/>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9"/>
        <v>-</v>
      </c>
      <c r="S173" s="3">
        <f t="shared" si="70"/>
        <v>69</v>
      </c>
      <c r="T173" s="3">
        <f t="shared" si="71"/>
        <v>249</v>
      </c>
      <c r="U173" s="3">
        <f t="shared" si="76"/>
        <v>-17</v>
      </c>
      <c r="W173" s="4">
        <f t="shared" si="72"/>
        <v>21.612487484764603</v>
      </c>
      <c r="X173" s="4">
        <f t="shared" si="73"/>
        <v>-6.6076005267338518</v>
      </c>
      <c r="Y173" s="3">
        <f t="shared" si="74"/>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9"/>
        <v>292</v>
      </c>
      <c r="S174" s="3" t="str">
        <f t="shared" si="70"/>
        <v>-</v>
      </c>
      <c r="T174" s="3">
        <f t="shared" si="71"/>
        <v>292</v>
      </c>
      <c r="U174" s="3">
        <f t="shared" si="76"/>
        <v>-6.6666666599999997</v>
      </c>
      <c r="W174" s="4">
        <f t="shared" si="72"/>
        <v>27.214731002499356</v>
      </c>
      <c r="X174" s="4">
        <f t="shared" si="73"/>
        <v>-3.18094584386473</v>
      </c>
      <c r="Y174" s="3">
        <f t="shared" si="74"/>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9"/>
        <v>-</v>
      </c>
      <c r="S175" s="3">
        <f t="shared" si="70"/>
        <v>30</v>
      </c>
      <c r="T175" s="3">
        <f t="shared" si="71"/>
        <v>210</v>
      </c>
      <c r="U175" s="3">
        <f t="shared" si="76"/>
        <v>-1.66666666</v>
      </c>
      <c r="W175" s="4">
        <f t="shared" si="72"/>
        <v>22.190608291899981</v>
      </c>
      <c r="X175" s="4">
        <f t="shared" si="73"/>
        <v>-0.64568075351507859</v>
      </c>
      <c r="Y175" s="3">
        <f t="shared" si="74"/>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9"/>
        <v>192</v>
      </c>
      <c r="S176" s="3" t="str">
        <f t="shared" si="70"/>
        <v>-</v>
      </c>
      <c r="T176" s="3">
        <f t="shared" si="71"/>
        <v>192</v>
      </c>
      <c r="U176" s="3">
        <f t="shared" si="76"/>
        <v>6.5</v>
      </c>
      <c r="W176" s="4">
        <f t="shared" si="72"/>
        <v>16.195221247528377</v>
      </c>
      <c r="X176" s="4">
        <f t="shared" si="73"/>
        <v>1.8452123844168797</v>
      </c>
      <c r="Y176" s="3">
        <f t="shared" si="74"/>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9"/>
        <v>-</v>
      </c>
      <c r="S177" s="3">
        <f t="shared" si="70"/>
        <v>73</v>
      </c>
      <c r="T177" s="3">
        <f t="shared" si="71"/>
        <v>253</v>
      </c>
      <c r="U177" s="3">
        <f t="shared" si="76"/>
        <v>6</v>
      </c>
      <c r="W177" s="4">
        <f t="shared" si="72"/>
        <v>13.525497777008516</v>
      </c>
      <c r="X177" s="4">
        <f t="shared" si="73"/>
        <v>1.4215871004400871</v>
      </c>
      <c r="Y177" s="3">
        <f t="shared" si="74"/>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9"/>
        <v>259.5</v>
      </c>
      <c r="S178" s="3" t="str">
        <f t="shared" si="70"/>
        <v>-</v>
      </c>
      <c r="T178" s="3">
        <f t="shared" si="71"/>
        <v>259.5</v>
      </c>
      <c r="U178" s="3">
        <f t="shared" si="76"/>
        <v>-28</v>
      </c>
      <c r="W178" s="4">
        <f t="shared" si="72"/>
        <v>17.747246616464434</v>
      </c>
      <c r="X178" s="4">
        <f t="shared" si="73"/>
        <v>-9.4363784119964063</v>
      </c>
      <c r="Y178" s="3">
        <f t="shared" si="74"/>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9"/>
        <v>-</v>
      </c>
      <c r="S179" s="3" t="str">
        <f t="shared" si="70"/>
        <v>-</v>
      </c>
      <c r="T179" s="3" t="str">
        <f t="shared" si="71"/>
        <v>-</v>
      </c>
      <c r="U179" s="3">
        <f t="shared" si="76"/>
        <v>90</v>
      </c>
      <c r="W179" s="4">
        <f t="shared" si="72"/>
        <v>1.102633609417758E-16</v>
      </c>
      <c r="X179" s="4">
        <f t="shared" si="73"/>
        <v>1.8</v>
      </c>
      <c r="Y179" s="3" t="e">
        <f t="shared" si="74"/>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7">IF(ISERROR(FIND(":",G180)),IF(G180&lt;&gt;"-",1*G180,G180),1*LEFT(G180,FIND(":",G180)-1)+RIGHT(G180,LEN(G180)-FIND(":",G180))/60)</f>
        <v>321</v>
      </c>
      <c r="S180" s="3" t="str">
        <f t="shared" ref="S180:S185" si="78">IF(ISERROR(FIND(":",H180)),IF(H180&lt;&gt;"-",1*H180,H180),1*LEFT(H180,FIND(":",H180)-1)+RIGHT(H180,LEN(H180)-FIND(":",H180))/60)</f>
        <v>-</v>
      </c>
      <c r="T180" s="3">
        <f t="shared" ref="T180:T185" si="79">IF(ISERROR(FIND(":",I180)),IF(I180&lt;&gt;"-",1*I180,I180),1*LEFT(I180,FIND(":",I180)-1)+RIGHT(I180,LEN(I180)-FIND(":",I180))/60)</f>
        <v>321</v>
      </c>
      <c r="U180" s="3">
        <f t="shared" si="76"/>
        <v>-1</v>
      </c>
      <c r="W180" s="4">
        <f t="shared" ref="W180:W185" si="80">J180*COS(U180*PI()/180)</f>
        <v>15.797593583470983</v>
      </c>
      <c r="X180" s="4">
        <f t="shared" ref="X180:X185" si="81">J180*SIN(U180*PI()/180)</f>
        <v>-0.27574802170907947</v>
      </c>
      <c r="Y180" s="3">
        <f t="shared" ref="Y180:Y185" si="82">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7"/>
        <v>-</v>
      </c>
      <c r="S181" s="3">
        <f t="shared" si="78"/>
        <v>144</v>
      </c>
      <c r="T181" s="3">
        <f t="shared" si="79"/>
        <v>324</v>
      </c>
      <c r="U181" s="3">
        <f t="shared" si="76"/>
        <v>-5</v>
      </c>
      <c r="W181" s="4">
        <f t="shared" si="80"/>
        <v>16.63645145813215</v>
      </c>
      <c r="X181" s="4">
        <f t="shared" si="81"/>
        <v>-1.4555009038858913</v>
      </c>
      <c r="Y181" s="3">
        <f t="shared" si="82"/>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7"/>
        <v>325.5</v>
      </c>
      <c r="S182" s="3" t="str">
        <f t="shared" si="78"/>
        <v>-</v>
      </c>
      <c r="T182" s="3">
        <f t="shared" si="79"/>
        <v>325.5</v>
      </c>
      <c r="U182" s="3">
        <f t="shared" si="76"/>
        <v>3</v>
      </c>
      <c r="W182" s="4">
        <f t="shared" si="80"/>
        <v>14.48012825394132</v>
      </c>
      <c r="X182" s="4">
        <f t="shared" si="81"/>
        <v>0.75887136552268553</v>
      </c>
      <c r="Y182" s="3">
        <f t="shared" si="82"/>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7"/>
        <v>-</v>
      </c>
      <c r="S183" s="3">
        <f t="shared" si="78"/>
        <v>171</v>
      </c>
      <c r="T183" s="3">
        <f t="shared" si="79"/>
        <v>351</v>
      </c>
      <c r="U183" s="9">
        <f>ASIN(N183/J183)*180/PI()</f>
        <v>0</v>
      </c>
      <c r="W183" s="4">
        <f t="shared" si="80"/>
        <v>4.0999999999999996</v>
      </c>
      <c r="X183" s="4">
        <f t="shared" si="81"/>
        <v>0</v>
      </c>
      <c r="Y183" s="3">
        <f t="shared" si="82"/>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7"/>
        <v>-</v>
      </c>
      <c r="S184" s="3">
        <f t="shared" si="78"/>
        <v>168</v>
      </c>
      <c r="T184" s="3">
        <f t="shared" si="79"/>
        <v>348</v>
      </c>
      <c r="U184" s="3">
        <f t="shared" ref="U184:U185" si="83">IF(ISERROR(FIND(":",K184)),IF(K184="zero",0,1*K184),1*CONCATENATE(LEFT(K184,FIND(":",K184)-1),".",MID(RIGHT(K184,LEN(K184)-FIND(":",K184))/60,3,8)))</f>
        <v>4.5</v>
      </c>
      <c r="W184" s="4">
        <f t="shared" si="80"/>
        <v>9.4707146704647158</v>
      </c>
      <c r="X184" s="4">
        <f t="shared" si="81"/>
        <v>0.745361409414527</v>
      </c>
      <c r="Y184" s="3">
        <f t="shared" si="82"/>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7"/>
        <v>335</v>
      </c>
      <c r="S185" s="3" t="str">
        <f t="shared" si="78"/>
        <v>-</v>
      </c>
      <c r="T185" s="3">
        <f t="shared" si="79"/>
        <v>335</v>
      </c>
      <c r="U185" s="3">
        <f t="shared" si="83"/>
        <v>-21.5</v>
      </c>
      <c r="W185" s="4">
        <f t="shared" si="80"/>
        <v>23.725647983541627</v>
      </c>
      <c r="X185" s="4">
        <f t="shared" si="81"/>
        <v>-9.3457812814695806</v>
      </c>
      <c r="Y185" s="3">
        <f t="shared" si="82"/>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4">IF(ISERROR(FIND(":",G190)),IF(G190&lt;&gt;"-",1*G190,G190),1*LEFT(G190,FIND(":",G190)-1)+RIGHT(G190,LEN(G190)-FIND(":",G190))/60)</f>
        <v>-</v>
      </c>
      <c r="S190" s="3">
        <f t="shared" ref="S190:S203" si="85">IF(ISERROR(FIND(":",H190)),IF(H190&lt;&gt;"-",1*H190,H190),1*LEFT(H190,FIND(":",H190)-1)+RIGHT(H190,LEN(H190)-FIND(":",H190))/60)</f>
        <v>259.33333333333331</v>
      </c>
      <c r="T190" s="3">
        <f t="shared" ref="T190:T203" si="86">IF(ISERROR(FIND(":",I190)),IF(I190&lt;&gt;"-",1*I190,I190),1*LEFT(I190,FIND(":",I190)-1)+RIGHT(I190,LEN(I190)-FIND(":",I190))/60)</f>
        <v>79.333333333333329</v>
      </c>
      <c r="U190" s="3">
        <f t="shared" ref="U190:U209" si="87">IF(ISERROR(FIND(":",K190)),IF(K190="zero",0,1*K190),1*CONCATENATE(LEFT(K190,FIND(":",K190)-1),".",MID(RIGHT(K190,LEN(K190)-FIND(":",K190))/60,3,8)))</f>
        <v>30.5</v>
      </c>
      <c r="W190" s="4">
        <f t="shared" ref="W190:W203" si="88">J190*COS(U190*PI()/180)</f>
        <v>15.164673223770855</v>
      </c>
      <c r="X190" s="4">
        <f t="shared" ref="X190:X203" si="89">J190*SIN(U190*PI()/180)</f>
        <v>8.9326751881083926</v>
      </c>
      <c r="Y190" s="3">
        <f t="shared" ref="Y190:Y203" si="90">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4"/>
        <v>113.5</v>
      </c>
      <c r="S191" s="3" t="str">
        <f t="shared" si="85"/>
        <v>-</v>
      </c>
      <c r="T191" s="3">
        <f t="shared" si="86"/>
        <v>113.5</v>
      </c>
      <c r="U191" s="3">
        <f t="shared" si="87"/>
        <v>21.333333329999999</v>
      </c>
      <c r="W191" s="4">
        <f t="shared" si="88"/>
        <v>34.092158445471433</v>
      </c>
      <c r="X191" s="4">
        <f t="shared" si="89"/>
        <v>13.314831299301943</v>
      </c>
      <c r="Y191" s="3">
        <f t="shared" si="90"/>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4"/>
        <v>-</v>
      </c>
      <c r="S192" s="3">
        <f t="shared" si="85"/>
        <v>179.5</v>
      </c>
      <c r="T192" s="3">
        <f t="shared" si="86"/>
        <v>359.5</v>
      </c>
      <c r="U192" s="3">
        <f t="shared" si="87"/>
        <v>-38.333333330000002</v>
      </c>
      <c r="W192" s="4">
        <f t="shared" si="88"/>
        <v>8.471689181521123</v>
      </c>
      <c r="X192" s="4">
        <f t="shared" si="89"/>
        <v>-6.698543305204347</v>
      </c>
      <c r="Y192" s="3">
        <f t="shared" si="90"/>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4"/>
        <v>11.833333333333334</v>
      </c>
      <c r="S193" s="3" t="str">
        <f t="shared" si="85"/>
        <v>-</v>
      </c>
      <c r="T193" s="3">
        <f t="shared" si="86"/>
        <v>11.833333333333334</v>
      </c>
      <c r="U193" s="3">
        <f t="shared" si="87"/>
        <v>1</v>
      </c>
      <c r="W193" s="4">
        <f t="shared" si="88"/>
        <v>20.39689298119038</v>
      </c>
      <c r="X193" s="4">
        <f t="shared" si="89"/>
        <v>0.35602909132058363</v>
      </c>
      <c r="Y193" s="3">
        <f t="shared" si="90"/>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4"/>
        <v>-</v>
      </c>
      <c r="S194" s="3">
        <f t="shared" si="85"/>
        <v>160</v>
      </c>
      <c r="T194" s="3">
        <f t="shared" si="86"/>
        <v>340</v>
      </c>
      <c r="U194" s="3">
        <f t="shared" si="87"/>
        <v>17.666666660000001</v>
      </c>
      <c r="W194" s="4">
        <f t="shared" si="88"/>
        <v>47.260774686428114</v>
      </c>
      <c r="X194" s="4">
        <f t="shared" si="89"/>
        <v>15.052547161151024</v>
      </c>
      <c r="Y194" s="3">
        <f t="shared" si="90"/>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4"/>
        <v>333</v>
      </c>
      <c r="S195" s="3" t="str">
        <f t="shared" si="85"/>
        <v>-</v>
      </c>
      <c r="T195" s="3">
        <f t="shared" si="86"/>
        <v>333</v>
      </c>
      <c r="U195" s="3">
        <f t="shared" si="87"/>
        <v>-26</v>
      </c>
      <c r="W195" s="4">
        <f t="shared" si="88"/>
        <v>22.200212943589424</v>
      </c>
      <c r="X195" s="4">
        <f t="shared" si="89"/>
        <v>-10.827767325690212</v>
      </c>
      <c r="Y195" s="3">
        <f t="shared" si="90"/>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4"/>
        <v>-</v>
      </c>
      <c r="S196" s="3">
        <f t="shared" si="85"/>
        <v>203.5</v>
      </c>
      <c r="T196" s="3">
        <f t="shared" si="86"/>
        <v>23.5</v>
      </c>
      <c r="U196" s="3">
        <f t="shared" si="87"/>
        <v>14</v>
      </c>
      <c r="W196" s="4">
        <f t="shared" si="88"/>
        <v>12.904933159470755</v>
      </c>
      <c r="X196" s="4">
        <f t="shared" si="89"/>
        <v>3.2175612114755809</v>
      </c>
      <c r="Y196" s="3">
        <f t="shared" si="90"/>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4"/>
        <v>91.833333333333329</v>
      </c>
      <c r="S197" s="3" t="str">
        <f t="shared" si="85"/>
        <v>-</v>
      </c>
      <c r="T197" s="3">
        <f t="shared" si="86"/>
        <v>91.833333333333329</v>
      </c>
      <c r="U197" s="3">
        <f t="shared" si="87"/>
        <v>15</v>
      </c>
      <c r="W197" s="4">
        <f t="shared" si="88"/>
        <v>15.165035472738372</v>
      </c>
      <c r="X197" s="4">
        <f t="shared" si="89"/>
        <v>4.0634590081095752</v>
      </c>
      <c r="Y197" s="3">
        <f t="shared" si="90"/>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4"/>
        <v>-</v>
      </c>
      <c r="S198" s="3">
        <f t="shared" si="85"/>
        <v>324.33333333333331</v>
      </c>
      <c r="T198" s="3">
        <f t="shared" si="86"/>
        <v>144.33333333333334</v>
      </c>
      <c r="U198" s="3">
        <f t="shared" si="87"/>
        <v>11.5</v>
      </c>
      <c r="W198" s="4">
        <f t="shared" si="88"/>
        <v>36.159221600508609</v>
      </c>
      <c r="X198" s="4">
        <f t="shared" si="89"/>
        <v>7.3566767799945749</v>
      </c>
      <c r="Y198" s="3">
        <f t="shared" si="90"/>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4"/>
        <v>104.16666666666667</v>
      </c>
      <c r="S199" s="3" t="str">
        <f t="shared" si="85"/>
        <v>-</v>
      </c>
      <c r="T199" s="3">
        <f t="shared" si="86"/>
        <v>104.16666666666667</v>
      </c>
      <c r="U199" s="3">
        <f t="shared" si="87"/>
        <v>-0.5</v>
      </c>
      <c r="W199" s="4">
        <f t="shared" si="88"/>
        <v>24.199078538152946</v>
      </c>
      <c r="X199" s="4">
        <f t="shared" si="89"/>
        <v>-0.21118215906064922</v>
      </c>
      <c r="Y199" s="3">
        <f t="shared" si="90"/>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4"/>
        <v>-</v>
      </c>
      <c r="S200" s="3">
        <f t="shared" si="85"/>
        <v>212.33333333333334</v>
      </c>
      <c r="T200" s="3">
        <f t="shared" si="86"/>
        <v>32.333333333333336</v>
      </c>
      <c r="U200" s="3">
        <f t="shared" si="87"/>
        <v>39</v>
      </c>
      <c r="W200" s="4">
        <f t="shared" si="88"/>
        <v>13.600054325496991</v>
      </c>
      <c r="X200" s="4">
        <f t="shared" si="89"/>
        <v>11.013106843372155</v>
      </c>
      <c r="Y200" s="3">
        <f t="shared" si="90"/>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4"/>
        <v>121</v>
      </c>
      <c r="S201" s="3" t="str">
        <f t="shared" si="85"/>
        <v>-</v>
      </c>
      <c r="T201" s="3">
        <f t="shared" si="86"/>
        <v>121</v>
      </c>
      <c r="U201" s="3">
        <f t="shared" si="87"/>
        <v>9</v>
      </c>
      <c r="W201" s="4">
        <f t="shared" si="88"/>
        <v>24.494670846759416</v>
      </c>
      <c r="X201" s="4">
        <f t="shared" si="89"/>
        <v>3.8795747329977255</v>
      </c>
      <c r="Y201" s="3">
        <f t="shared" si="90"/>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4"/>
        <v>-</v>
      </c>
      <c r="S202" s="3">
        <f t="shared" si="85"/>
        <v>277.5</v>
      </c>
      <c r="T202" s="3">
        <f t="shared" si="86"/>
        <v>97.5</v>
      </c>
      <c r="U202" s="3">
        <f t="shared" si="87"/>
        <v>-0.5</v>
      </c>
      <c r="W202" s="4">
        <f t="shared" si="88"/>
        <v>22.099158499718186</v>
      </c>
      <c r="X202" s="4">
        <f t="shared" si="89"/>
        <v>-0.19285643451406398</v>
      </c>
      <c r="Y202" s="3">
        <f t="shared" si="90"/>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4"/>
        <v>133</v>
      </c>
      <c r="S203" s="3" t="str">
        <f t="shared" si="85"/>
        <v>-</v>
      </c>
      <c r="T203" s="3">
        <f t="shared" si="86"/>
        <v>133</v>
      </c>
      <c r="U203" s="3">
        <f t="shared" si="87"/>
        <v>7</v>
      </c>
      <c r="W203" s="4">
        <f t="shared" si="88"/>
        <v>35.4338976135952</v>
      </c>
      <c r="X203" s="4">
        <f t="shared" si="89"/>
        <v>4.3507355595637653</v>
      </c>
      <c r="Y203" s="3">
        <f t="shared" si="90"/>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91">IF(ISERROR(FIND(":",G204)),IF(G204&lt;&gt;"-",1*G204,G204),1*LEFT(G204,FIND(":",G204)-1)+RIGHT(G204,LEN(G204)-FIND(":",G204))/60)</f>
        <v>-</v>
      </c>
      <c r="S204" s="3">
        <f t="shared" ref="S204:S238" si="92">IF(ISERROR(FIND(":",H204)),IF(H204&lt;&gt;"-",1*H204,H204),1*LEFT(H204,FIND(":",H204)-1)+RIGHT(H204,LEN(H204)-FIND(":",H204))/60)</f>
        <v>351.33333333333331</v>
      </c>
      <c r="T204" s="3">
        <f t="shared" ref="T204:T238" si="93">IF(ISERROR(FIND(":",I204)),IF(I204&lt;&gt;"-",1*I204,I204),1*LEFT(I204,FIND(":",I204)-1)+RIGHT(I204,LEN(I204)-FIND(":",I204))/60)</f>
        <v>171.33333333333334</v>
      </c>
      <c r="U204" s="3">
        <f t="shared" si="87"/>
        <v>-23.5</v>
      </c>
      <c r="W204" s="4">
        <f t="shared" ref="W204:W238" si="94">J204*COS(U204*PI()/180)</f>
        <v>9.0788947364127282</v>
      </c>
      <c r="X204" s="4">
        <f t="shared" ref="X204:X238" si="95">J204*SIN(U204*PI()/180)</f>
        <v>-3.9476157823599376</v>
      </c>
      <c r="Y204" s="3">
        <f t="shared" ref="Y204:Y238" si="96">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91"/>
        <v>102.33333333333333</v>
      </c>
      <c r="S205" s="3" t="str">
        <f t="shared" si="92"/>
        <v>-</v>
      </c>
      <c r="T205" s="3">
        <f t="shared" si="93"/>
        <v>102.33333333333333</v>
      </c>
      <c r="U205" s="3">
        <f t="shared" si="87"/>
        <v>15</v>
      </c>
      <c r="W205" s="4">
        <f t="shared" si="94"/>
        <v>7.437628862425826</v>
      </c>
      <c r="X205" s="4">
        <f t="shared" si="95"/>
        <v>1.9929066472894097</v>
      </c>
      <c r="Y205" s="3">
        <f t="shared" si="96"/>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91"/>
        <v>-</v>
      </c>
      <c r="S206" s="3">
        <f t="shared" si="92"/>
        <v>317</v>
      </c>
      <c r="T206" s="3">
        <f t="shared" si="93"/>
        <v>137</v>
      </c>
      <c r="U206" s="3">
        <f t="shared" si="87"/>
        <v>6.8333333300000003</v>
      </c>
      <c r="W206" s="4">
        <f t="shared" si="94"/>
        <v>21.049404855315935</v>
      </c>
      <c r="X206" s="4">
        <f t="shared" si="95"/>
        <v>2.522410600398334</v>
      </c>
      <c r="Y206" s="3">
        <f t="shared" si="96"/>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91"/>
        <v>152.5</v>
      </c>
      <c r="S207" s="3" t="str">
        <f t="shared" si="92"/>
        <v>-</v>
      </c>
      <c r="T207" s="3">
        <f t="shared" si="93"/>
        <v>152.5</v>
      </c>
      <c r="U207" s="3">
        <f t="shared" si="87"/>
        <v>9.6666666600000006</v>
      </c>
      <c r="W207" s="4">
        <f t="shared" si="94"/>
        <v>28.09533777498293</v>
      </c>
      <c r="X207" s="4">
        <f t="shared" si="95"/>
        <v>4.7856029201781061</v>
      </c>
      <c r="Y207" s="3">
        <f t="shared" si="96"/>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91"/>
        <v>-</v>
      </c>
      <c r="S208" s="3">
        <f t="shared" si="92"/>
        <v>313.16666666666669</v>
      </c>
      <c r="T208" s="3">
        <f t="shared" si="93"/>
        <v>133.16666666666666</v>
      </c>
      <c r="U208" s="3">
        <f t="shared" si="87"/>
        <v>1.5</v>
      </c>
      <c r="W208" s="4">
        <f t="shared" si="94"/>
        <v>29.589856819276495</v>
      </c>
      <c r="X208" s="4">
        <f t="shared" si="95"/>
        <v>0.77483766991304526</v>
      </c>
      <c r="Y208" s="3">
        <f t="shared" si="96"/>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91"/>
        <v>137.5</v>
      </c>
      <c r="S209" s="3" t="str">
        <f t="shared" si="92"/>
        <v>-</v>
      </c>
      <c r="T209" s="3">
        <f t="shared" si="93"/>
        <v>137.5</v>
      </c>
      <c r="U209" s="3">
        <f t="shared" si="87"/>
        <v>-4.5</v>
      </c>
      <c r="W209" s="4">
        <f t="shared" si="94"/>
        <v>20.337113608155811</v>
      </c>
      <c r="X209" s="4">
        <f t="shared" si="95"/>
        <v>-1.6005655528480367</v>
      </c>
      <c r="Y209" s="3">
        <f t="shared" si="96"/>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91"/>
        <v>149</v>
      </c>
      <c r="S210" s="3" t="str">
        <f t="shared" si="92"/>
        <v>-</v>
      </c>
      <c r="T210" s="3">
        <f t="shared" si="93"/>
        <v>149</v>
      </c>
      <c r="U210" s="9">
        <f>ASIN(N210/J210)*180/PI()</f>
        <v>-3.8225537292743446</v>
      </c>
      <c r="W210" s="4">
        <f t="shared" si="94"/>
        <v>1.4966629547095767</v>
      </c>
      <c r="X210" s="4">
        <f t="shared" si="95"/>
        <v>-0.1</v>
      </c>
      <c r="Y210" s="3">
        <f t="shared" si="96"/>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91"/>
        <v>-</v>
      </c>
      <c r="S211" s="3">
        <f t="shared" si="92"/>
        <v>265.83333333333331</v>
      </c>
      <c r="T211" s="3">
        <f t="shared" si="93"/>
        <v>85.833333333333329</v>
      </c>
      <c r="U211" s="3">
        <f t="shared" ref="U211:U226" si="97">IF(ISERROR(FIND(":",K211)),IF(K211="zero",0,1*K211),1*CONCATENATE(LEFT(K211,FIND(":",K211)-1),".",MID(RIGHT(K211,LEN(K211)-FIND(":",K211))/60,3,8)))</f>
        <v>14.33333333</v>
      </c>
      <c r="W211" s="4">
        <f t="shared" si="94"/>
        <v>20.927632375590552</v>
      </c>
      <c r="X211" s="4">
        <f t="shared" si="95"/>
        <v>5.3473547808364188</v>
      </c>
      <c r="Y211" s="3">
        <f t="shared" si="96"/>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91"/>
        <v>116</v>
      </c>
      <c r="S212" s="3" t="str">
        <f t="shared" si="92"/>
        <v>-</v>
      </c>
      <c r="T212" s="3">
        <f t="shared" si="93"/>
        <v>116</v>
      </c>
      <c r="U212" s="3">
        <f t="shared" si="97"/>
        <v>-6.5</v>
      </c>
      <c r="W212" s="4">
        <f t="shared" si="94"/>
        <v>8.445360773250993</v>
      </c>
      <c r="X212" s="4">
        <f t="shared" si="95"/>
        <v>-0.9622273170272071</v>
      </c>
      <c r="Y212" s="3">
        <f t="shared" si="96"/>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91"/>
        <v>-</v>
      </c>
      <c r="S213" s="3">
        <f t="shared" si="92"/>
        <v>266.33333333333331</v>
      </c>
      <c r="T213" s="3">
        <f t="shared" si="93"/>
        <v>86.333333333333329</v>
      </c>
      <c r="U213" s="3">
        <f t="shared" si="97"/>
        <v>11.5</v>
      </c>
      <c r="W213" s="4">
        <f t="shared" si="94"/>
        <v>15.384817862547024</v>
      </c>
      <c r="X213" s="4">
        <f t="shared" si="95"/>
        <v>3.1300765703499951</v>
      </c>
      <c r="Y213" s="3">
        <f t="shared" si="96"/>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91"/>
        <v>117</v>
      </c>
      <c r="S214" s="3" t="str">
        <f t="shared" si="92"/>
        <v>-</v>
      </c>
      <c r="T214" s="3">
        <f t="shared" si="93"/>
        <v>117</v>
      </c>
      <c r="U214" s="3">
        <f t="shared" si="97"/>
        <v>32.5</v>
      </c>
      <c r="W214" s="4">
        <f t="shared" si="94"/>
        <v>24.036656205667242</v>
      </c>
      <c r="X214" s="4">
        <f t="shared" si="95"/>
        <v>15.313038837884481</v>
      </c>
      <c r="Y214" s="3">
        <f t="shared" si="96"/>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91"/>
        <v>-</v>
      </c>
      <c r="S215" s="3">
        <f t="shared" si="92"/>
        <v>326</v>
      </c>
      <c r="T215" s="3">
        <f t="shared" si="93"/>
        <v>146</v>
      </c>
      <c r="U215" s="3">
        <f t="shared" si="97"/>
        <v>24.5</v>
      </c>
      <c r="W215" s="4">
        <f t="shared" si="94"/>
        <v>6.2787327690481485</v>
      </c>
      <c r="X215" s="4">
        <f t="shared" si="95"/>
        <v>2.8613833743280495</v>
      </c>
      <c r="Y215" s="3">
        <f t="shared" si="96"/>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91"/>
        <v>125.33333333333333</v>
      </c>
      <c r="S216" s="3" t="str">
        <f t="shared" si="92"/>
        <v>-</v>
      </c>
      <c r="T216" s="3">
        <f t="shared" si="93"/>
        <v>125.33333333333333</v>
      </c>
      <c r="U216" s="3">
        <f t="shared" si="97"/>
        <v>-4.5</v>
      </c>
      <c r="W216" s="4">
        <f t="shared" si="94"/>
        <v>13.757459205517167</v>
      </c>
      <c r="X216" s="4">
        <f t="shared" si="95"/>
        <v>-1.0827355210442602</v>
      </c>
      <c r="Y216" s="3">
        <f t="shared" si="96"/>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91"/>
        <v>-</v>
      </c>
      <c r="S217" s="3">
        <f t="shared" si="92"/>
        <v>352</v>
      </c>
      <c r="T217" s="3">
        <f t="shared" si="93"/>
        <v>172</v>
      </c>
      <c r="U217" s="3">
        <f t="shared" si="97"/>
        <v>2.25</v>
      </c>
      <c r="W217" s="4">
        <f t="shared" si="94"/>
        <v>18.485737170453373</v>
      </c>
      <c r="X217" s="4">
        <f t="shared" si="95"/>
        <v>0.72630659154276933</v>
      </c>
      <c r="Y217" s="3">
        <f t="shared" si="96"/>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91"/>
        <v>125</v>
      </c>
      <c r="S218" s="3" t="str">
        <f t="shared" si="92"/>
        <v>-</v>
      </c>
      <c r="T218" s="3">
        <f t="shared" si="93"/>
        <v>125</v>
      </c>
      <c r="U218" s="3">
        <f t="shared" si="97"/>
        <v>4</v>
      </c>
      <c r="W218" s="4">
        <f t="shared" si="94"/>
        <v>7.9805124020785936</v>
      </c>
      <c r="X218" s="4">
        <f t="shared" si="95"/>
        <v>0.55805178995300242</v>
      </c>
      <c r="Y218" s="3">
        <f t="shared" si="96"/>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91"/>
        <v>-</v>
      </c>
      <c r="S219" s="3">
        <f t="shared" si="92"/>
        <v>284.16666666666669</v>
      </c>
      <c r="T219" s="3">
        <f t="shared" si="93"/>
        <v>104.16666666666667</v>
      </c>
      <c r="U219" s="3">
        <f t="shared" si="97"/>
        <v>16</v>
      </c>
      <c r="W219" s="4">
        <f t="shared" si="94"/>
        <v>16.725953509326747</v>
      </c>
      <c r="X219" s="4">
        <f t="shared" si="95"/>
        <v>4.7960899912157853</v>
      </c>
      <c r="Y219" s="3">
        <f t="shared" si="96"/>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91"/>
        <v>137.16666666666666</v>
      </c>
      <c r="S220" s="3" t="str">
        <f t="shared" si="92"/>
        <v>-</v>
      </c>
      <c r="T220" s="3">
        <f t="shared" si="93"/>
        <v>137.16666666666666</v>
      </c>
      <c r="U220" s="3">
        <f t="shared" si="97"/>
        <v>7.1666666599999997</v>
      </c>
      <c r="W220" s="4">
        <f t="shared" si="94"/>
        <v>74.017183721288077</v>
      </c>
      <c r="X220" s="4">
        <f t="shared" si="95"/>
        <v>9.3067993407555161</v>
      </c>
      <c r="Y220" s="3">
        <f t="shared" si="96"/>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91"/>
        <v>-</v>
      </c>
      <c r="S221" s="3">
        <f t="shared" si="92"/>
        <v>304</v>
      </c>
      <c r="T221" s="3">
        <f t="shared" si="93"/>
        <v>124</v>
      </c>
      <c r="U221" s="3">
        <f t="shared" si="97"/>
        <v>19</v>
      </c>
      <c r="W221" s="4">
        <f t="shared" si="94"/>
        <v>33.09315014597609</v>
      </c>
      <c r="X221" s="4">
        <f t="shared" si="95"/>
        <v>11.394885406000483</v>
      </c>
      <c r="Y221" s="3">
        <f t="shared" si="96"/>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91"/>
        <v>91.666666666666671</v>
      </c>
      <c r="S222" s="3" t="str">
        <f t="shared" si="92"/>
        <v>-</v>
      </c>
      <c r="T222" s="3">
        <f t="shared" si="93"/>
        <v>91.666666666666671</v>
      </c>
      <c r="U222" s="3">
        <f t="shared" si="97"/>
        <v>-13.5</v>
      </c>
      <c r="W222" s="4">
        <f t="shared" si="94"/>
        <v>27.518068747254247</v>
      </c>
      <c r="X222" s="4">
        <f t="shared" si="95"/>
        <v>-6.606503797122123</v>
      </c>
      <c r="Y222" s="3">
        <f t="shared" si="96"/>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91"/>
        <v>-</v>
      </c>
      <c r="S223" s="3">
        <f t="shared" si="92"/>
        <v>294.5</v>
      </c>
      <c r="T223" s="3">
        <f t="shared" si="93"/>
        <v>114.5</v>
      </c>
      <c r="U223" s="3">
        <f t="shared" si="97"/>
        <v>16.5</v>
      </c>
      <c r="W223" s="4">
        <f t="shared" si="94"/>
        <v>10.163489189602846</v>
      </c>
      <c r="X223" s="4">
        <f t="shared" si="95"/>
        <v>3.0105626538615797</v>
      </c>
      <c r="Y223" s="3">
        <f t="shared" si="96"/>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91"/>
        <v>14.333333333333334</v>
      </c>
      <c r="S224" s="3" t="str">
        <f t="shared" si="92"/>
        <v>-</v>
      </c>
      <c r="T224" s="3">
        <f t="shared" si="93"/>
        <v>14.333333333333334</v>
      </c>
      <c r="U224" s="3">
        <f t="shared" si="97"/>
        <v>-3.5</v>
      </c>
      <c r="W224" s="4">
        <f t="shared" si="94"/>
        <v>31.341432670446618</v>
      </c>
      <c r="X224" s="4">
        <f t="shared" si="95"/>
        <v>-1.9169241413945057</v>
      </c>
      <c r="Y224" s="3">
        <f t="shared" si="96"/>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91"/>
        <v>-</v>
      </c>
      <c r="S225" s="3">
        <f t="shared" si="92"/>
        <v>169</v>
      </c>
      <c r="T225" s="3">
        <f t="shared" si="93"/>
        <v>349</v>
      </c>
      <c r="U225" s="3">
        <f t="shared" si="97"/>
        <v>4.5</v>
      </c>
      <c r="W225" s="4">
        <f t="shared" si="94"/>
        <v>15.850985606356735</v>
      </c>
      <c r="X225" s="4">
        <f t="shared" si="95"/>
        <v>1.2474996220727346</v>
      </c>
      <c r="Y225" s="3">
        <f t="shared" si="96"/>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91"/>
        <v>23</v>
      </c>
      <c r="S226" s="3" t="str">
        <f t="shared" si="92"/>
        <v>-</v>
      </c>
      <c r="T226" s="3">
        <f t="shared" si="93"/>
        <v>23</v>
      </c>
      <c r="U226" s="3">
        <f t="shared" si="97"/>
        <v>-3.8333333299999999</v>
      </c>
      <c r="W226" s="4">
        <f t="shared" si="94"/>
        <v>35.121248548177221</v>
      </c>
      <c r="X226" s="4">
        <f t="shared" si="95"/>
        <v>-2.3532744032856843</v>
      </c>
      <c r="Y226" s="3">
        <f t="shared" si="96"/>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91"/>
        <v>328</v>
      </c>
      <c r="S227" s="3" t="str">
        <f t="shared" si="92"/>
        <v>-</v>
      </c>
      <c r="T227" s="3">
        <f t="shared" si="93"/>
        <v>328</v>
      </c>
      <c r="U227" s="9">
        <f>ASIN(N227/J227)*180/PI()</f>
        <v>-4.6633404187377394</v>
      </c>
      <c r="W227" s="4">
        <f t="shared" si="94"/>
        <v>12.259282197584001</v>
      </c>
      <c r="X227" s="4">
        <f t="shared" si="95"/>
        <v>-1</v>
      </c>
      <c r="Y227" s="3">
        <f t="shared" si="96"/>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91"/>
        <v>-</v>
      </c>
      <c r="S228" s="3">
        <f t="shared" si="92"/>
        <v>272</v>
      </c>
      <c r="T228" s="3">
        <f t="shared" si="93"/>
        <v>92</v>
      </c>
      <c r="U228" s="3">
        <f t="shared" ref="U228" si="98">IF(ISERROR(FIND(":",K228)),IF(K228="zero",0,1*K228),1*CONCATENATE(LEFT(K228,FIND(":",K228)-1),".",MID(RIGHT(K228,LEN(K228)-FIND(":",K228))/60,3,8)))</f>
        <v>71</v>
      </c>
      <c r="W228" s="4">
        <f t="shared" si="94"/>
        <v>11.622783114120496</v>
      </c>
      <c r="X228" s="4">
        <f t="shared" si="95"/>
        <v>33.755013148895607</v>
      </c>
      <c r="Y228" s="3">
        <f t="shared" si="96"/>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91"/>
        <v>100</v>
      </c>
      <c r="S229" s="3" t="str">
        <f t="shared" si="92"/>
        <v>-</v>
      </c>
      <c r="T229" s="3">
        <f t="shared" si="93"/>
        <v>100</v>
      </c>
      <c r="U229" s="9">
        <f>ASIN(N229/J229)*180/PI()</f>
        <v>38.659808254090095</v>
      </c>
      <c r="W229" s="4">
        <f t="shared" si="94"/>
        <v>2.5</v>
      </c>
      <c r="X229" s="4">
        <f t="shared" si="95"/>
        <v>2</v>
      </c>
      <c r="Y229" s="3">
        <f t="shared" si="96"/>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91"/>
        <v>-</v>
      </c>
      <c r="S232" s="3">
        <f t="shared" si="92"/>
        <v>48</v>
      </c>
      <c r="T232" s="3">
        <f t="shared" si="93"/>
        <v>228</v>
      </c>
      <c r="U232" s="9">
        <f>ASIN(N232/J232)*180/PI()</f>
        <v>-17.104635176643804</v>
      </c>
      <c r="W232" s="4">
        <f t="shared" si="94"/>
        <v>3.2496153618543842</v>
      </c>
      <c r="X232" s="4">
        <f t="shared" si="95"/>
        <v>-1.0000000000000002</v>
      </c>
      <c r="Y232" s="3">
        <f t="shared" si="96"/>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91"/>
        <v>184</v>
      </c>
      <c r="S233" s="3" t="str">
        <f t="shared" si="92"/>
        <v>-</v>
      </c>
      <c r="T233" s="3">
        <f t="shared" si="93"/>
        <v>184</v>
      </c>
      <c r="U233" s="3">
        <f t="shared" ref="U233:U238" si="99">IF(ISERROR(FIND(":",K233)),IF(K233="zero",0,1*K233),1*CONCATENATE(LEFT(K233,FIND(":",K233)-1),".",MID(RIGHT(K233,LEN(K233)-FIND(":",K233))/60,3,8)))</f>
        <v>56.5</v>
      </c>
      <c r="W233" s="4">
        <f t="shared" si="94"/>
        <v>10.707577515053929</v>
      </c>
      <c r="X233" s="4">
        <f t="shared" si="95"/>
        <v>16.177384948103061</v>
      </c>
      <c r="Y233" s="3">
        <f t="shared" si="96"/>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91"/>
        <v>-</v>
      </c>
      <c r="S234" s="3">
        <f t="shared" si="92"/>
        <v>229.66666666666666</v>
      </c>
      <c r="T234" s="3">
        <f t="shared" si="93"/>
        <v>49.666666666666664</v>
      </c>
      <c r="U234" s="3">
        <f t="shared" si="99"/>
        <v>30.25</v>
      </c>
      <c r="W234" s="4">
        <f t="shared" si="94"/>
        <v>9.3294234562074738</v>
      </c>
      <c r="X234" s="4">
        <f t="shared" si="95"/>
        <v>5.4407589520916844</v>
      </c>
      <c r="Y234" s="3">
        <f t="shared" si="96"/>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91"/>
        <v>203.66666666666666</v>
      </c>
      <c r="S235" s="3" t="str">
        <f t="shared" si="92"/>
        <v>-</v>
      </c>
      <c r="T235" s="3">
        <f t="shared" si="93"/>
        <v>203.66666666666666</v>
      </c>
      <c r="U235" s="3">
        <f t="shared" si="99"/>
        <v>19.666666660000001</v>
      </c>
      <c r="W235" s="4">
        <f t="shared" si="94"/>
        <v>22.411662690123819</v>
      </c>
      <c r="X235" s="4">
        <f t="shared" si="95"/>
        <v>8.0098299272900935</v>
      </c>
      <c r="Y235" s="3">
        <f t="shared" si="96"/>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91"/>
        <v>-</v>
      </c>
      <c r="S236" s="3">
        <f t="shared" si="92"/>
        <v>305.16666666666669</v>
      </c>
      <c r="T236" s="3">
        <f t="shared" si="93"/>
        <v>125.16666666666667</v>
      </c>
      <c r="U236" s="3">
        <f t="shared" si="99"/>
        <v>2.5</v>
      </c>
      <c r="W236" s="4">
        <f t="shared" si="94"/>
        <v>51.950507522256608</v>
      </c>
      <c r="X236" s="4">
        <f t="shared" si="95"/>
        <v>2.2682081429974721</v>
      </c>
      <c r="Y236" s="3">
        <f t="shared" si="96"/>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91"/>
        <v>125</v>
      </c>
      <c r="S237" s="3" t="str">
        <f t="shared" si="92"/>
        <v>-</v>
      </c>
      <c r="T237" s="3" t="str">
        <f t="shared" si="93"/>
        <v>-</v>
      </c>
      <c r="U237" s="3">
        <f t="shared" si="99"/>
        <v>8.75</v>
      </c>
      <c r="W237" s="4">
        <f t="shared" si="94"/>
        <v>23.226495495992374</v>
      </c>
      <c r="X237" s="4">
        <f t="shared" si="95"/>
        <v>3.5748995754630424</v>
      </c>
      <c r="Y237" s="3">
        <f t="shared" si="96"/>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91"/>
        <v>-</v>
      </c>
      <c r="S238" s="3">
        <f t="shared" si="92"/>
        <v>342</v>
      </c>
      <c r="T238" s="3" t="str">
        <f t="shared" si="93"/>
        <v>-</v>
      </c>
      <c r="U238" s="3">
        <f t="shared" si="99"/>
        <v>-5</v>
      </c>
      <c r="W238" s="4">
        <f t="shared" si="94"/>
        <v>16.835690397750497</v>
      </c>
      <c r="X238" s="4">
        <f t="shared" si="95"/>
        <v>-1.4729320524354228</v>
      </c>
      <c r="Y238" s="3">
        <f t="shared" si="96"/>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100">IF(ISERROR(FIND(":",G239)),IF(G239&lt;&gt;"-",1*G239,G239),1*LEFT(G239,FIND(":",G239)-1)+RIGHT(G239,LEN(G239)-FIND(":",G239))/60)</f>
        <v>-</v>
      </c>
      <c r="S239" s="3">
        <f t="shared" ref="S239:S280" si="101">IF(ISERROR(FIND(":",H239)),IF(H239&lt;&gt;"-",1*H239,H239),1*LEFT(H239,FIND(":",H239)-1)+RIGHT(H239,LEN(H239)-FIND(":",H239))/60)</f>
        <v>13</v>
      </c>
      <c r="T239" s="3" t="str">
        <f t="shared" ref="T239:T280" si="102">IF(ISERROR(FIND(":",I239)),IF(I239&lt;&gt;"-",1*I239,I239),1*LEFT(I239,FIND(":",I239)-1)+RIGHT(I239,LEN(I239)-FIND(":",I239))/60)</f>
        <v>-</v>
      </c>
      <c r="U239" s="9">
        <f>ASIN(N239/J239)*180/PI()</f>
        <v>3.7721836850570951</v>
      </c>
      <c r="W239" s="4">
        <f t="shared" ref="W239:W280" si="103">J239*COS(U239*PI()/180)</f>
        <v>7.5835347958587223</v>
      </c>
      <c r="X239" s="4">
        <f t="shared" ref="X239:X280" si="104">J239*SIN(U239*PI()/180)</f>
        <v>0.49999999999999994</v>
      </c>
      <c r="Y239" s="3">
        <f t="shared" ref="Y239:Y280" si="105">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100"/>
        <v>-</v>
      </c>
      <c r="S240" s="3">
        <f t="shared" si="101"/>
        <v>2</v>
      </c>
      <c r="T240" s="3" t="str">
        <f t="shared" si="102"/>
        <v>-</v>
      </c>
      <c r="U240" s="3">
        <f t="shared" ref="U240:U246" si="106">IF(ISERROR(FIND(":",K240)),IF(K240="zero",0,1*K240),1*CONCATENATE(LEFT(K240,FIND(":",K240)-1),".",MID(RIGHT(K240,LEN(K240)-FIND(":",K240))/60,3,8)))</f>
        <v>5.5</v>
      </c>
      <c r="W240" s="4">
        <f t="shared" si="103"/>
        <v>18.116210810282656</v>
      </c>
      <c r="X240" s="4">
        <f t="shared" si="104"/>
        <v>1.7443926958680764</v>
      </c>
      <c r="Y240" s="3">
        <f t="shared" si="105"/>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100"/>
        <v>-</v>
      </c>
      <c r="S241" s="3">
        <f t="shared" si="101"/>
        <v>7</v>
      </c>
      <c r="T241" s="3" t="str">
        <f t="shared" si="102"/>
        <v>-</v>
      </c>
      <c r="U241" s="3">
        <f t="shared" si="106"/>
        <v>-7</v>
      </c>
      <c r="W241" s="4">
        <f t="shared" si="103"/>
        <v>7.7418599828023114</v>
      </c>
      <c r="X241" s="4">
        <f t="shared" si="104"/>
        <v>-0.95058087856015028</v>
      </c>
      <c r="Y241" s="3">
        <f t="shared" si="105"/>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100"/>
        <v>194</v>
      </c>
      <c r="S242" s="3" t="str">
        <f t="shared" si="101"/>
        <v>-</v>
      </c>
      <c r="T242" s="3" t="str">
        <f t="shared" si="102"/>
        <v>-</v>
      </c>
      <c r="U242" s="3">
        <f t="shared" si="106"/>
        <v>-17.5</v>
      </c>
      <c r="W242" s="4">
        <f t="shared" si="103"/>
        <v>27.562419876623757</v>
      </c>
      <c r="X242" s="4">
        <f t="shared" si="104"/>
        <v>-8.6903976056734926</v>
      </c>
      <c r="Y242" s="3">
        <f t="shared" si="105"/>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100"/>
        <v>-</v>
      </c>
      <c r="S243" s="3">
        <f t="shared" si="101"/>
        <v>27.5</v>
      </c>
      <c r="T243" s="3" t="str">
        <f t="shared" si="102"/>
        <v>-</v>
      </c>
      <c r="U243" s="3">
        <f t="shared" si="106"/>
        <v>4</v>
      </c>
      <c r="W243" s="4">
        <f t="shared" si="103"/>
        <v>22.245678320794081</v>
      </c>
      <c r="X243" s="4">
        <f t="shared" si="104"/>
        <v>1.5555693644939943</v>
      </c>
      <c r="Y243" s="3">
        <f t="shared" si="105"/>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100"/>
        <v>187</v>
      </c>
      <c r="S244" s="3" t="str">
        <f t="shared" si="101"/>
        <v>-</v>
      </c>
      <c r="T244" s="3" t="str">
        <f t="shared" si="102"/>
        <v>-</v>
      </c>
      <c r="U244" s="3">
        <f t="shared" si="106"/>
        <v>0.66666665999999997</v>
      </c>
      <c r="W244" s="4">
        <f t="shared" si="103"/>
        <v>22.898449853317157</v>
      </c>
      <c r="X244" s="4">
        <f t="shared" si="104"/>
        <v>0.26644758418763598</v>
      </c>
      <c r="Y244" s="3">
        <f t="shared" si="105"/>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100"/>
        <v>-</v>
      </c>
      <c r="S245" s="3">
        <f t="shared" si="101"/>
        <v>44</v>
      </c>
      <c r="T245" s="3" t="str">
        <f t="shared" si="102"/>
        <v>-</v>
      </c>
      <c r="U245" s="3">
        <f t="shared" si="106"/>
        <v>-5.5</v>
      </c>
      <c r="W245" s="4">
        <f t="shared" si="103"/>
        <v>18.713448529302962</v>
      </c>
      <c r="X245" s="4">
        <f t="shared" si="104"/>
        <v>-1.801900147380211</v>
      </c>
      <c r="Y245" s="3">
        <f t="shared" si="105"/>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100"/>
        <v>251</v>
      </c>
      <c r="S246" s="3" t="str">
        <f t="shared" si="101"/>
        <v>-</v>
      </c>
      <c r="T246" s="3" t="str">
        <f t="shared" si="102"/>
        <v>-</v>
      </c>
      <c r="U246" s="3">
        <f t="shared" si="106"/>
        <v>-11.5</v>
      </c>
      <c r="W246" s="4">
        <f t="shared" si="103"/>
        <v>46.154453587641072</v>
      </c>
      <c r="X246" s="4">
        <f t="shared" si="104"/>
        <v>-9.3902297110499866</v>
      </c>
      <c r="Y246" s="3">
        <f t="shared" si="105"/>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100"/>
        <v>-</v>
      </c>
      <c r="S249" s="3">
        <f t="shared" si="101"/>
        <v>102</v>
      </c>
      <c r="T249" s="3" t="str">
        <f t="shared" si="102"/>
        <v>-</v>
      </c>
      <c r="U249" s="3">
        <f t="shared" ref="U249:U250" si="107">IF(ISERROR(FIND(":",K249)),IF(K249="zero",0,1*K249),1*CONCATENATE(LEFT(K249,FIND(":",K249)-1),".",MID(RIGHT(K249,LEN(K249)-FIND(":",K249))/60,3,8)))</f>
        <v>-9.25</v>
      </c>
      <c r="W249" s="4">
        <f t="shared" si="103"/>
        <v>23.687912797445566</v>
      </c>
      <c r="X249" s="4">
        <f t="shared" si="104"/>
        <v>-3.8578215744918265</v>
      </c>
      <c r="Y249" s="3">
        <f t="shared" si="105"/>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100"/>
        <v>250</v>
      </c>
      <c r="S250" s="3" t="str">
        <f t="shared" si="101"/>
        <v>-</v>
      </c>
      <c r="T250" s="3" t="str">
        <f t="shared" si="102"/>
        <v>-</v>
      </c>
      <c r="U250" s="3">
        <f t="shared" si="107"/>
        <v>-14.5</v>
      </c>
      <c r="W250" s="4">
        <f t="shared" si="103"/>
        <v>33.304278829006904</v>
      </c>
      <c r="X250" s="4">
        <f t="shared" si="104"/>
        <v>-8.613072139472786</v>
      </c>
      <c r="Y250" s="3">
        <f t="shared" si="105"/>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100"/>
        <v>320</v>
      </c>
      <c r="S251" s="3" t="str">
        <f t="shared" si="101"/>
        <v>-</v>
      </c>
      <c r="T251" s="3" t="str">
        <f t="shared" si="102"/>
        <v>-</v>
      </c>
      <c r="U251" s="9">
        <f>ASIN(N251/J251)*180/PI()</f>
        <v>-8.841814560191672</v>
      </c>
      <c r="W251" s="4">
        <f t="shared" si="103"/>
        <v>22.5</v>
      </c>
      <c r="X251" s="4">
        <f t="shared" si="104"/>
        <v>-3.5</v>
      </c>
      <c r="Y251" s="3">
        <f t="shared" si="105"/>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100"/>
        <v>-</v>
      </c>
      <c r="S252" s="3">
        <f t="shared" si="101"/>
        <v>330</v>
      </c>
      <c r="T252" s="3" t="str">
        <f t="shared" si="102"/>
        <v>-</v>
      </c>
      <c r="U252" s="3">
        <f t="shared" ref="U252:U253" si="108">IF(ISERROR(FIND(":",K252)),IF(K252="zero",0,1*K252),1*CONCATENATE(LEFT(K252,FIND(":",K252)-1),".",MID(RIGHT(K252,LEN(K252)-FIND(":",K252))/60,3,8)))</f>
        <v>20.5</v>
      </c>
      <c r="W252" s="4">
        <f t="shared" si="103"/>
        <v>20.232119287765393</v>
      </c>
      <c r="X252" s="4">
        <f t="shared" si="104"/>
        <v>7.5644794352044959</v>
      </c>
      <c r="Y252" s="3">
        <f t="shared" si="105"/>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100"/>
        <v>246</v>
      </c>
      <c r="S253" s="3" t="str">
        <f t="shared" si="101"/>
        <v>-</v>
      </c>
      <c r="T253" s="3" t="str">
        <f t="shared" si="102"/>
        <v>-</v>
      </c>
      <c r="U253" s="3">
        <f t="shared" si="108"/>
        <v>-7.5</v>
      </c>
      <c r="W253" s="4">
        <f t="shared" si="103"/>
        <v>17.251140587904299</v>
      </c>
      <c r="X253" s="4">
        <f t="shared" si="104"/>
        <v>-2.271155744628897</v>
      </c>
      <c r="Y253" s="3">
        <f t="shared" si="105"/>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100"/>
        <v>255</v>
      </c>
      <c r="S254" s="3" t="str">
        <f t="shared" si="101"/>
        <v>-</v>
      </c>
      <c r="T254" s="3" t="str">
        <f t="shared" si="102"/>
        <v>-</v>
      </c>
      <c r="U254" s="9">
        <f>ASIN(N254/J254)*180/PI()</f>
        <v>-12.696124577303539</v>
      </c>
      <c r="W254" s="4">
        <f t="shared" si="103"/>
        <v>17.754999295972951</v>
      </c>
      <c r="X254" s="4">
        <f t="shared" si="104"/>
        <v>-4</v>
      </c>
      <c r="Y254" s="3">
        <f t="shared" si="105"/>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100"/>
        <v>-</v>
      </c>
      <c r="S255" s="3">
        <f t="shared" si="101"/>
        <v>346</v>
      </c>
      <c r="T255" s="3" t="str">
        <f t="shared" si="102"/>
        <v>-</v>
      </c>
      <c r="U255" s="3">
        <f t="shared" ref="U255:U271" si="109">IF(ISERROR(FIND(":",K255)),IF(K255="zero",0,1*K255),1*CONCATENATE(LEFT(K255,FIND(":",K255)-1),".",MID(RIGHT(K255,LEN(K255)-FIND(":",K255))/60,3,8)))</f>
        <v>20.5</v>
      </c>
      <c r="W255" s="4">
        <f t="shared" si="103"/>
        <v>16.20442887399728</v>
      </c>
      <c r="X255" s="4">
        <f t="shared" si="104"/>
        <v>6.0585876957887859</v>
      </c>
      <c r="Y255" s="3">
        <f t="shared" si="105"/>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100"/>
        <v>165.66666666666666</v>
      </c>
      <c r="S256" s="3" t="str">
        <f t="shared" si="101"/>
        <v>-</v>
      </c>
      <c r="T256" s="3" t="str">
        <f t="shared" si="102"/>
        <v>-</v>
      </c>
      <c r="U256" s="3">
        <f t="shared" si="109"/>
        <v>-2.75</v>
      </c>
      <c r="W256" s="4">
        <f t="shared" si="103"/>
        <v>16.181343861056199</v>
      </c>
      <c r="X256" s="4">
        <f t="shared" si="104"/>
        <v>-0.77724568204577182</v>
      </c>
      <c r="Y256" s="3">
        <f t="shared" si="105"/>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100"/>
        <v>-</v>
      </c>
      <c r="S257" s="3">
        <f t="shared" si="101"/>
        <v>272.5</v>
      </c>
      <c r="T257" s="3" t="str">
        <f t="shared" si="102"/>
        <v>-</v>
      </c>
      <c r="U257" s="3">
        <f t="shared" si="109"/>
        <v>19.666666660000001</v>
      </c>
      <c r="W257" s="4">
        <f t="shared" si="103"/>
        <v>16.761663692613613</v>
      </c>
      <c r="X257" s="4">
        <f t="shared" si="104"/>
        <v>5.9905450716707422</v>
      </c>
      <c r="Y257" s="3">
        <f t="shared" si="105"/>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100"/>
        <v>147</v>
      </c>
      <c r="S258" s="3" t="str">
        <f t="shared" si="101"/>
        <v>-</v>
      </c>
      <c r="T258" s="3" t="str">
        <f t="shared" si="102"/>
        <v>-</v>
      </c>
      <c r="U258" s="3">
        <f t="shared" si="109"/>
        <v>10</v>
      </c>
      <c r="W258" s="4">
        <f t="shared" si="103"/>
        <v>23.930828398196656</v>
      </c>
      <c r="X258" s="4">
        <f t="shared" si="104"/>
        <v>4.2196507173064068</v>
      </c>
      <c r="Y258" s="3">
        <f t="shared" si="105"/>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100"/>
        <v>-</v>
      </c>
      <c r="S259" s="3" t="str">
        <f t="shared" si="101"/>
        <v>-</v>
      </c>
      <c r="T259" s="3" t="str">
        <f t="shared" si="102"/>
        <v>-</v>
      </c>
      <c r="U259" s="3">
        <f t="shared" si="109"/>
        <v>-90</v>
      </c>
      <c r="W259" s="4">
        <f t="shared" si="103"/>
        <v>3.67544536472586E-16</v>
      </c>
      <c r="X259" s="4">
        <f t="shared" si="104"/>
        <v>-6</v>
      </c>
      <c r="Y259" s="3" t="e">
        <f t="shared" si="105"/>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100"/>
        <v>-</v>
      </c>
      <c r="S260" s="3">
        <f t="shared" si="101"/>
        <v>327</v>
      </c>
      <c r="T260" s="3" t="str">
        <f t="shared" si="102"/>
        <v>-</v>
      </c>
      <c r="U260" s="3">
        <f t="shared" si="109"/>
        <v>-2.6666666600000002</v>
      </c>
      <c r="W260" s="4">
        <f t="shared" si="103"/>
        <v>12.486463891799225</v>
      </c>
      <c r="X260" s="4">
        <f t="shared" si="104"/>
        <v>-0.58156640101896706</v>
      </c>
      <c r="Y260" s="3">
        <f t="shared" si="105"/>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100"/>
        <v>212.5</v>
      </c>
      <c r="S261" s="3" t="str">
        <f t="shared" si="101"/>
        <v>-</v>
      </c>
      <c r="T261" s="3" t="str">
        <f t="shared" si="102"/>
        <v>-</v>
      </c>
      <c r="U261" s="3">
        <f t="shared" si="109"/>
        <v>-22.5</v>
      </c>
      <c r="W261" s="4">
        <f t="shared" si="103"/>
        <v>10.34745076412641</v>
      </c>
      <c r="X261" s="4">
        <f t="shared" si="104"/>
        <v>-4.2860544424890055</v>
      </c>
      <c r="Y261" s="3">
        <f t="shared" si="105"/>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100"/>
        <v>-</v>
      </c>
      <c r="S262" s="3">
        <f t="shared" si="101"/>
        <v>353</v>
      </c>
      <c r="T262" s="3" t="str">
        <f t="shared" si="102"/>
        <v>-</v>
      </c>
      <c r="U262" s="3">
        <f t="shared" si="109"/>
        <v>11.5</v>
      </c>
      <c r="W262" s="4">
        <f t="shared" si="103"/>
        <v>7.8393976369666367</v>
      </c>
      <c r="X262" s="4">
        <f t="shared" si="104"/>
        <v>1.5949434753375773</v>
      </c>
      <c r="Y262" s="3">
        <f t="shared" si="105"/>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100"/>
        <v>202</v>
      </c>
      <c r="S263" s="3" t="str">
        <f t="shared" si="101"/>
        <v>-</v>
      </c>
      <c r="T263" s="3" t="str">
        <f t="shared" si="102"/>
        <v>-</v>
      </c>
      <c r="U263" s="3">
        <f t="shared" si="109"/>
        <v>-12</v>
      </c>
      <c r="W263" s="4">
        <f t="shared" si="103"/>
        <v>13.987510690493423</v>
      </c>
      <c r="X263" s="4">
        <f t="shared" si="104"/>
        <v>-2.9731371786939582</v>
      </c>
      <c r="Y263" s="3">
        <f t="shared" si="105"/>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100"/>
        <v>-</v>
      </c>
      <c r="S264" s="3">
        <f t="shared" si="101"/>
        <v>26</v>
      </c>
      <c r="T264" s="3" t="str">
        <f t="shared" si="102"/>
        <v>-</v>
      </c>
      <c r="U264" s="3">
        <f t="shared" si="109"/>
        <v>6</v>
      </c>
      <c r="W264" s="4">
        <f t="shared" si="103"/>
        <v>12.63042807117707</v>
      </c>
      <c r="X264" s="4">
        <f t="shared" si="104"/>
        <v>1.3275114834991988</v>
      </c>
      <c r="Y264" s="3">
        <f t="shared" si="105"/>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100"/>
        <v>263</v>
      </c>
      <c r="S265" s="3" t="str">
        <f t="shared" si="101"/>
        <v>-</v>
      </c>
      <c r="T265" s="3" t="str">
        <f t="shared" si="102"/>
        <v>-</v>
      </c>
      <c r="U265" s="3">
        <f t="shared" si="109"/>
        <v>-8.6666666600000006</v>
      </c>
      <c r="W265" s="4">
        <f t="shared" si="103"/>
        <v>30.151742445196668</v>
      </c>
      <c r="X265" s="4">
        <f t="shared" si="104"/>
        <v>-4.5959142201009211</v>
      </c>
      <c r="Y265" s="3">
        <f t="shared" si="105"/>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100"/>
        <v>-</v>
      </c>
      <c r="S266" s="3">
        <f t="shared" si="101"/>
        <v>112.25</v>
      </c>
      <c r="T266" s="3" t="str">
        <f t="shared" si="102"/>
        <v>-</v>
      </c>
      <c r="U266" s="3">
        <f t="shared" si="109"/>
        <v>0.25</v>
      </c>
      <c r="W266" s="4">
        <f t="shared" si="103"/>
        <v>27.399739171748124</v>
      </c>
      <c r="X266" s="4">
        <f t="shared" si="104"/>
        <v>0.11955467440205604</v>
      </c>
      <c r="Y266" s="3">
        <f t="shared" si="105"/>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100"/>
        <v>253.5</v>
      </c>
      <c r="S267" s="3" t="str">
        <f t="shared" si="101"/>
        <v>-</v>
      </c>
      <c r="T267" s="3" t="str">
        <f t="shared" si="102"/>
        <v>-</v>
      </c>
      <c r="U267" s="3">
        <f t="shared" si="109"/>
        <v>-20.333333329999999</v>
      </c>
      <c r="W267" s="4">
        <f t="shared" si="103"/>
        <v>12.846311036110338</v>
      </c>
      <c r="X267" s="4">
        <f t="shared" si="104"/>
        <v>-4.7604929118222312</v>
      </c>
      <c r="Y267" s="3">
        <f t="shared" si="105"/>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100"/>
        <v>-</v>
      </c>
      <c r="S268" s="3">
        <f t="shared" si="101"/>
        <v>322</v>
      </c>
      <c r="T268" s="3" t="str">
        <f t="shared" si="102"/>
        <v>-</v>
      </c>
      <c r="U268" s="3">
        <f t="shared" si="109"/>
        <v>22</v>
      </c>
      <c r="W268" s="4">
        <f t="shared" si="103"/>
        <v>17.801930007682319</v>
      </c>
      <c r="X268" s="4">
        <f t="shared" si="104"/>
        <v>7.1924465935855109</v>
      </c>
      <c r="Y268" s="3">
        <f t="shared" si="105"/>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100"/>
        <v>97</v>
      </c>
      <c r="S269" s="3" t="str">
        <f t="shared" si="101"/>
        <v>-</v>
      </c>
      <c r="T269" s="3" t="str">
        <f t="shared" si="102"/>
        <v>-</v>
      </c>
      <c r="U269" s="3">
        <f t="shared" si="109"/>
        <v>55</v>
      </c>
      <c r="W269" s="4">
        <f t="shared" si="103"/>
        <v>4.1297503417275321</v>
      </c>
      <c r="X269" s="4">
        <f t="shared" si="104"/>
        <v>5.8978947188807407</v>
      </c>
      <c r="Y269" s="3">
        <f t="shared" si="105"/>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100"/>
        <v>99</v>
      </c>
      <c r="S270" s="3" t="str">
        <f t="shared" si="101"/>
        <v>-</v>
      </c>
      <c r="T270" s="3" t="str">
        <f t="shared" si="102"/>
        <v>-</v>
      </c>
      <c r="U270" s="3">
        <f t="shared" si="109"/>
        <v>18</v>
      </c>
      <c r="W270" s="4">
        <f t="shared" si="103"/>
        <v>18.735813371014522</v>
      </c>
      <c r="X270" s="4">
        <f t="shared" si="104"/>
        <v>6.0876347891864633</v>
      </c>
      <c r="Y270" s="3">
        <f t="shared" si="105"/>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100"/>
        <v>106</v>
      </c>
      <c r="S271" s="3" t="str">
        <f t="shared" si="101"/>
        <v>-</v>
      </c>
      <c r="T271" s="3" t="str">
        <f t="shared" si="102"/>
        <v>-</v>
      </c>
      <c r="U271" s="3">
        <f t="shared" si="109"/>
        <v>-22</v>
      </c>
      <c r="W271" s="4">
        <f t="shared" si="103"/>
        <v>8.5300914620144432</v>
      </c>
      <c r="X271" s="4">
        <f t="shared" si="104"/>
        <v>-3.4463806594263904</v>
      </c>
      <c r="Y271" s="3">
        <f t="shared" si="105"/>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100"/>
        <v>101</v>
      </c>
      <c r="S272" s="3" t="str">
        <f t="shared" si="101"/>
        <v>-</v>
      </c>
      <c r="T272" s="3" t="str">
        <f t="shared" si="102"/>
        <v>-</v>
      </c>
      <c r="U272" s="9">
        <f>ASIN(N272/J272)*180/PI()</f>
        <v>7.3523793598923577</v>
      </c>
      <c r="W272" s="4">
        <f t="shared" si="103"/>
        <v>15.5</v>
      </c>
      <c r="X272" s="4">
        <f t="shared" si="104"/>
        <v>1.9999999999999998</v>
      </c>
      <c r="Y272" s="3">
        <f t="shared" si="105"/>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100"/>
        <v>80</v>
      </c>
      <c r="S273" s="3" t="str">
        <f t="shared" si="101"/>
        <v>-</v>
      </c>
      <c r="T273" s="3" t="str">
        <f t="shared" si="102"/>
        <v>-</v>
      </c>
      <c r="U273" s="3">
        <f t="shared" ref="U273:U276" si="110">IF(ISERROR(FIND(":",K273)),IF(K273="zero",0,1*K273),1*CONCATENATE(LEFT(K273,FIND(":",K273)-1),".",MID(RIGHT(K273,LEN(K273)-FIND(":",K273))/60,3,8)))</f>
        <v>22</v>
      </c>
      <c r="W273" s="4">
        <f t="shared" si="103"/>
        <v>11.404361411171486</v>
      </c>
      <c r="X273" s="4">
        <f t="shared" si="104"/>
        <v>4.6076610990157176</v>
      </c>
      <c r="Y273" s="3">
        <f t="shared" si="105"/>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100"/>
        <v>114</v>
      </c>
      <c r="S274" s="3" t="str">
        <f t="shared" si="101"/>
        <v>-</v>
      </c>
      <c r="T274" s="3" t="str">
        <f t="shared" si="102"/>
        <v>-</v>
      </c>
      <c r="U274" s="3">
        <f t="shared" si="110"/>
        <v>50</v>
      </c>
      <c r="W274" s="4">
        <f t="shared" si="103"/>
        <v>9.3204203404548203</v>
      </c>
      <c r="X274" s="4">
        <f t="shared" si="104"/>
        <v>11.107644425225182</v>
      </c>
      <c r="Y274" s="3">
        <f t="shared" si="105"/>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100"/>
        <v>103</v>
      </c>
      <c r="S275" s="3" t="str">
        <f t="shared" si="101"/>
        <v>-</v>
      </c>
      <c r="T275" s="3" t="str">
        <f t="shared" si="102"/>
        <v>-</v>
      </c>
      <c r="U275" s="3">
        <f t="shared" si="110"/>
        <v>-6.5</v>
      </c>
      <c r="W275" s="4">
        <f t="shared" si="103"/>
        <v>17.685579031043257</v>
      </c>
      <c r="X275" s="4">
        <f t="shared" si="104"/>
        <v>-2.0150172050687396</v>
      </c>
      <c r="Y275" s="3">
        <f t="shared" si="105"/>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100"/>
        <v>26</v>
      </c>
      <c r="S276" s="3" t="str">
        <f t="shared" si="101"/>
        <v>-</v>
      </c>
      <c r="T276" s="3" t="str">
        <f t="shared" si="102"/>
        <v>-</v>
      </c>
      <c r="U276" s="3">
        <f t="shared" si="110"/>
        <v>-53</v>
      </c>
      <c r="W276" s="4">
        <f t="shared" si="103"/>
        <v>4.6339756782707724</v>
      </c>
      <c r="X276" s="4">
        <f t="shared" si="104"/>
        <v>-6.1494934273641553</v>
      </c>
      <c r="Y276" s="3">
        <f t="shared" si="105"/>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100"/>
        <v>3</v>
      </c>
      <c r="S277" s="3" t="str">
        <f t="shared" si="101"/>
        <v>-</v>
      </c>
      <c r="T277" s="3" t="str">
        <f t="shared" si="102"/>
        <v>-</v>
      </c>
      <c r="U277" s="9">
        <f>ASIN(N277/J277)*180/PI()</f>
        <v>0</v>
      </c>
      <c r="W277" s="4">
        <f t="shared" si="103"/>
        <v>8.5</v>
      </c>
      <c r="X277" s="4">
        <f t="shared" si="104"/>
        <v>0</v>
      </c>
      <c r="Y277" s="3">
        <f t="shared" si="105"/>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100"/>
        <v>22</v>
      </c>
      <c r="S278" s="3" t="str">
        <f t="shared" si="101"/>
        <v>-</v>
      </c>
      <c r="T278" s="3" t="str">
        <f t="shared" si="102"/>
        <v>-</v>
      </c>
      <c r="U278" s="9">
        <f>ASIN(N278/J278)*180/PI()</f>
        <v>0</v>
      </c>
      <c r="W278" s="4">
        <f t="shared" si="103"/>
        <v>10.8</v>
      </c>
      <c r="X278" s="4">
        <f t="shared" si="104"/>
        <v>0</v>
      </c>
      <c r="Y278" s="3">
        <f t="shared" si="105"/>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100"/>
        <v>3</v>
      </c>
      <c r="S279" s="3" t="str">
        <f t="shared" si="101"/>
        <v>-</v>
      </c>
      <c r="T279" s="3" t="str">
        <f t="shared" si="102"/>
        <v>-</v>
      </c>
      <c r="U279" s="9">
        <f>ASIN(N279/J279)*180/PI()</f>
        <v>-7.8089056267920371</v>
      </c>
      <c r="W279" s="4">
        <f t="shared" si="103"/>
        <v>18.229371903606552</v>
      </c>
      <c r="X279" s="4">
        <f t="shared" si="104"/>
        <v>-2.5000000000000009</v>
      </c>
      <c r="Y279" s="3">
        <f t="shared" si="105"/>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100"/>
        <v>355</v>
      </c>
      <c r="S280" s="3" t="str">
        <f t="shared" si="101"/>
        <v>-</v>
      </c>
      <c r="T280" s="3" t="str">
        <f t="shared" si="102"/>
        <v>-</v>
      </c>
      <c r="U280" s="9">
        <f>ASIN(N280/J280)*180/PI()</f>
        <v>0</v>
      </c>
      <c r="W280" s="4">
        <f t="shared" si="103"/>
        <v>10.6</v>
      </c>
      <c r="X280" s="4">
        <f t="shared" si="104"/>
        <v>0</v>
      </c>
      <c r="Y280" s="3">
        <f t="shared" si="105"/>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11">IF(ISERROR(FIND(":",G285)),IF(G285&lt;&gt;"-",1*G285,G285),1*LEFT(G285,FIND(":",G285)-1)+RIGHT(G285,LEN(G285)-FIND(":",G285))/60)</f>
        <v>-</v>
      </c>
      <c r="S285" s="3">
        <f t="shared" ref="S285:S288" si="112">IF(ISERROR(FIND(":",H285)),IF(H285&lt;&gt;"-",1*H285,H285),1*LEFT(H285,FIND(":",H285)-1)+RIGHT(H285,LEN(H285)-FIND(":",H285))/60)</f>
        <v>171.5</v>
      </c>
      <c r="T285" s="3">
        <f t="shared" ref="T285:T288" si="113">IF(ISERROR(FIND(":",I285)),IF(I285&lt;&gt;"-",1*I285,I285),1*LEFT(I285,FIND(":",I285)-1)+RIGHT(I285,LEN(I285)-FIND(":",I285))/60)</f>
        <v>351.5</v>
      </c>
      <c r="U285" s="3">
        <f t="shared" ref="U285:U303" si="114">IF(ISERROR(FIND(":",K285)),IF(K285="zero",0,1*K285),1*CONCATENATE(LEFT(K285,FIND(":",K285)-1),".",MID(RIGHT(K285,LEN(K285)-FIND(":",K285))/60,3,8)))</f>
        <v>-0.5</v>
      </c>
      <c r="W285" s="4">
        <f t="shared" ref="W285:W288" si="115">J285*COS(U285*PI()/180)</f>
        <v>17.499333653622998</v>
      </c>
      <c r="X285" s="4">
        <f t="shared" ref="X285:X288" si="116">J285*SIN(U285*PI()/180)</f>
        <v>-0.15271437122154385</v>
      </c>
      <c r="Y285" s="3">
        <f t="shared" ref="Y285:Y288" si="117">IF(R285="-",IF(S285&gt;180,S285-180,S285+180),R285)</f>
        <v>351.5</v>
      </c>
      <c r="Z285" s="4">
        <f>IF('Raw Data'!O285="","",O154+N154)</f>
        <v>339.59999999999997</v>
      </c>
      <c r="AA285" t="s">
        <v>901</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11"/>
        <v>358.16666666666669</v>
      </c>
      <c r="S286" s="3" t="str">
        <f t="shared" si="112"/>
        <v>-</v>
      </c>
      <c r="T286" s="3">
        <f t="shared" si="113"/>
        <v>358.16666666666669</v>
      </c>
      <c r="U286" s="3">
        <f t="shared" si="114"/>
        <v>-18.5</v>
      </c>
      <c r="W286" s="4">
        <f t="shared" si="115"/>
        <v>4.5519535449897566</v>
      </c>
      <c r="X286" s="4">
        <f t="shared" si="116"/>
        <v>-1.5230623507444423</v>
      </c>
      <c r="Y286" s="3">
        <f t="shared" si="117"/>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11"/>
        <v>-</v>
      </c>
      <c r="S287" s="3">
        <f t="shared" si="112"/>
        <v>144.16666666666666</v>
      </c>
      <c r="T287" s="3">
        <f t="shared" si="113"/>
        <v>324.16666666666669</v>
      </c>
      <c r="U287" s="3">
        <f t="shared" si="114"/>
        <v>29.5</v>
      </c>
      <c r="W287" s="4">
        <f t="shared" si="115"/>
        <v>8.5294858202110184</v>
      </c>
      <c r="X287" s="4">
        <f t="shared" si="116"/>
        <v>4.8257508890139773</v>
      </c>
      <c r="Y287" s="3">
        <f t="shared" si="117"/>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11"/>
        <v>358</v>
      </c>
      <c r="S288" s="3" t="str">
        <f t="shared" si="112"/>
        <v>-</v>
      </c>
      <c r="T288" s="3">
        <f t="shared" si="113"/>
        <v>358</v>
      </c>
      <c r="U288" s="3">
        <f t="shared" si="114"/>
        <v>1.5</v>
      </c>
      <c r="W288" s="4">
        <f t="shared" si="115"/>
        <v>13.295442422174911</v>
      </c>
      <c r="X288" s="4">
        <f t="shared" si="116"/>
        <v>0.34815341249471288</v>
      </c>
      <c r="Y288" s="3">
        <f t="shared" si="117"/>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8">IF(ISERROR(FIND(":",G289)),IF(G289&lt;&gt;"-",1*G289,G289),1*LEFT(G289,FIND(":",G289)-1)+RIGHT(G289,LEN(G289)-FIND(":",G289))/60)</f>
        <v>-</v>
      </c>
      <c r="S289" s="3">
        <f t="shared" ref="S289:S352" si="119">IF(ISERROR(FIND(":",H289)),IF(H289&lt;&gt;"-",1*H289,H289),1*LEFT(H289,FIND(":",H289)-1)+RIGHT(H289,LEN(H289)-FIND(":",H289))/60)</f>
        <v>188</v>
      </c>
      <c r="T289" s="3">
        <f t="shared" ref="T289:T352" si="120">IF(ISERROR(FIND(":",I289)),IF(I289&lt;&gt;"-",1*I289,I289),1*LEFT(I289,FIND(":",I289)-1)+RIGHT(I289,LEN(I289)-FIND(":",I289))/60)</f>
        <v>8</v>
      </c>
      <c r="U289" s="3">
        <f t="shared" si="114"/>
        <v>13.5</v>
      </c>
      <c r="W289" s="4">
        <f t="shared" ref="W289:W352" si="121">J289*COS(U289*PI()/180)</f>
        <v>8.654092291539321</v>
      </c>
      <c r="X289" s="4">
        <f t="shared" ref="X289:X352" si="122">J289*SIN(U289*PI()/180)</f>
        <v>2.077663738317558</v>
      </c>
      <c r="Y289" s="3">
        <f t="shared" ref="Y289:Y352" si="123">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8"/>
        <v>-</v>
      </c>
      <c r="S290" s="3">
        <f t="shared" si="119"/>
        <v>232.16666666666666</v>
      </c>
      <c r="T290" s="3">
        <f t="shared" si="120"/>
        <v>52.166666666666664</v>
      </c>
      <c r="U290" s="3">
        <f t="shared" si="114"/>
        <v>13.5</v>
      </c>
      <c r="W290" s="4">
        <f t="shared" si="121"/>
        <v>13.029756933328866</v>
      </c>
      <c r="X290" s="4">
        <f t="shared" si="122"/>
        <v>3.1281678756691322</v>
      </c>
      <c r="Y290" s="3">
        <f t="shared" si="123"/>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8"/>
        <v>26</v>
      </c>
      <c r="S291" s="3" t="str">
        <f t="shared" si="119"/>
        <v>-</v>
      </c>
      <c r="T291" s="3">
        <f t="shared" si="120"/>
        <v>26</v>
      </c>
      <c r="U291" s="3">
        <f t="shared" si="114"/>
        <v>-22.5</v>
      </c>
      <c r="W291" s="4">
        <f t="shared" si="121"/>
        <v>8.0377519328481934</v>
      </c>
      <c r="X291" s="4">
        <f t="shared" si="122"/>
        <v>-3.329345861576281</v>
      </c>
      <c r="Y291" s="3">
        <f t="shared" si="123"/>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8"/>
        <v>-</v>
      </c>
      <c r="S292" s="3">
        <f t="shared" si="119"/>
        <v>310</v>
      </c>
      <c r="T292" s="3">
        <f t="shared" si="120"/>
        <v>130</v>
      </c>
      <c r="U292" s="3">
        <f t="shared" si="114"/>
        <v>13</v>
      </c>
      <c r="W292" s="4">
        <f t="shared" si="121"/>
        <v>20.75408237992551</v>
      </c>
      <c r="X292" s="4">
        <f t="shared" si="122"/>
        <v>4.7914574575243245</v>
      </c>
      <c r="Y292" s="3">
        <f t="shared" si="123"/>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8"/>
        <v>155.5</v>
      </c>
      <c r="S293" s="3" t="str">
        <f t="shared" si="119"/>
        <v>-</v>
      </c>
      <c r="T293" s="3">
        <f t="shared" si="120"/>
        <v>155.5</v>
      </c>
      <c r="U293" s="3">
        <f t="shared" si="114"/>
        <v>10.5</v>
      </c>
      <c r="W293" s="4">
        <f t="shared" si="121"/>
        <v>12.585662816818619</v>
      </c>
      <c r="X293" s="4">
        <f t="shared" si="122"/>
        <v>2.3326147262994876</v>
      </c>
      <c r="Y293" s="3">
        <f t="shared" si="123"/>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8"/>
        <v>-</v>
      </c>
      <c r="S294" s="3">
        <f t="shared" si="119"/>
        <v>240</v>
      </c>
      <c r="T294" s="3">
        <f t="shared" si="120"/>
        <v>60</v>
      </c>
      <c r="U294" s="3">
        <f t="shared" si="114"/>
        <v>-44</v>
      </c>
      <c r="W294" s="4">
        <f t="shared" si="121"/>
        <v>10.142691184774982</v>
      </c>
      <c r="X294" s="4">
        <f t="shared" si="122"/>
        <v>-9.7946830234718618</v>
      </c>
      <c r="Y294" s="3">
        <f t="shared" si="123"/>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8"/>
        <v>324</v>
      </c>
      <c r="S295" s="3" t="str">
        <f t="shared" si="119"/>
        <v>-</v>
      </c>
      <c r="T295" s="3">
        <f t="shared" si="120"/>
        <v>324</v>
      </c>
      <c r="U295" s="3">
        <f t="shared" si="114"/>
        <v>-18.5</v>
      </c>
      <c r="W295" s="4">
        <f t="shared" si="121"/>
        <v>33.949986856381933</v>
      </c>
      <c r="X295" s="4">
        <f t="shared" si="122"/>
        <v>-11.359506699302298</v>
      </c>
      <c r="Y295" s="3">
        <f t="shared" si="123"/>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8"/>
        <v>-</v>
      </c>
      <c r="S296" s="3">
        <f t="shared" si="119"/>
        <v>238</v>
      </c>
      <c r="T296" s="3">
        <f t="shared" si="120"/>
        <v>58</v>
      </c>
      <c r="U296" s="3">
        <f t="shared" si="114"/>
        <v>-15</v>
      </c>
      <c r="W296" s="4">
        <f t="shared" si="121"/>
        <v>10.818369254437565</v>
      </c>
      <c r="X296" s="4">
        <f t="shared" si="122"/>
        <v>-2.8987733051482323</v>
      </c>
      <c r="Y296" s="3">
        <f t="shared" si="123"/>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8"/>
        <v>287.16666666666669</v>
      </c>
      <c r="S297" s="3" t="str">
        <f t="shared" si="119"/>
        <v>-</v>
      </c>
      <c r="T297" s="3">
        <f t="shared" si="120"/>
        <v>287.16666666666669</v>
      </c>
      <c r="U297" s="3">
        <f t="shared" si="114"/>
        <v>-11</v>
      </c>
      <c r="W297" s="4">
        <f t="shared" si="121"/>
        <v>43.682409663421048</v>
      </c>
      <c r="X297" s="4">
        <f t="shared" si="122"/>
        <v>-8.4910002942562439</v>
      </c>
      <c r="Y297" s="3">
        <f t="shared" si="123"/>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8"/>
        <v>-</v>
      </c>
      <c r="S298" s="3">
        <f t="shared" si="119"/>
        <v>112.25</v>
      </c>
      <c r="T298" s="3">
        <f t="shared" si="120"/>
        <v>292.25</v>
      </c>
      <c r="U298" s="3">
        <f t="shared" si="114"/>
        <v>18.5</v>
      </c>
      <c r="W298" s="4">
        <f t="shared" si="121"/>
        <v>13.56102826944865</v>
      </c>
      <c r="X298" s="4">
        <f t="shared" si="122"/>
        <v>4.5374565865928176</v>
      </c>
      <c r="Y298" s="3">
        <f t="shared" si="123"/>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8"/>
        <v>340.5</v>
      </c>
      <c r="S299" s="3" t="str">
        <f t="shared" si="119"/>
        <v>-</v>
      </c>
      <c r="T299" s="3">
        <f t="shared" si="120"/>
        <v>340.5</v>
      </c>
      <c r="U299" s="3">
        <f t="shared" si="114"/>
        <v>4</v>
      </c>
      <c r="W299" s="4">
        <f t="shared" si="121"/>
        <v>15.961024804157187</v>
      </c>
      <c r="X299" s="4">
        <f t="shared" si="122"/>
        <v>1.1161035799060048</v>
      </c>
      <c r="Y299" s="3">
        <f t="shared" si="123"/>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8"/>
        <v>-</v>
      </c>
      <c r="S300" s="3">
        <f t="shared" si="119"/>
        <v>68</v>
      </c>
      <c r="T300" s="3">
        <f t="shared" si="120"/>
        <v>248</v>
      </c>
      <c r="U300" s="3">
        <f t="shared" si="114"/>
        <v>-58</v>
      </c>
      <c r="W300" s="4">
        <f t="shared" si="121"/>
        <v>8.1607566691913558</v>
      </c>
      <c r="X300" s="4">
        <f t="shared" si="122"/>
        <v>-13.05994068080896</v>
      </c>
      <c r="Y300" s="3">
        <f t="shared" si="123"/>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8"/>
        <v>319</v>
      </c>
      <c r="S301" s="3" t="str">
        <f t="shared" si="119"/>
        <v>-</v>
      </c>
      <c r="T301" s="3">
        <f t="shared" si="120"/>
        <v>319</v>
      </c>
      <c r="U301" s="3">
        <f t="shared" si="114"/>
        <v>-11</v>
      </c>
      <c r="W301" s="4">
        <f t="shared" si="121"/>
        <v>11.779526201371969</v>
      </c>
      <c r="X301" s="4">
        <f t="shared" si="122"/>
        <v>-2.2897079445185375</v>
      </c>
      <c r="Y301" s="3">
        <f t="shared" si="123"/>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8"/>
        <v>-</v>
      </c>
      <c r="S302" s="3">
        <f t="shared" si="119"/>
        <v>88</v>
      </c>
      <c r="T302" s="3">
        <f t="shared" si="120"/>
        <v>268</v>
      </c>
      <c r="U302" s="3">
        <f t="shared" si="114"/>
        <v>-6.5</v>
      </c>
      <c r="W302" s="4">
        <f t="shared" si="121"/>
        <v>38.749302371386911</v>
      </c>
      <c r="X302" s="4">
        <f t="shared" si="122"/>
        <v>-4.4149253369483619</v>
      </c>
      <c r="Y302" s="3">
        <f t="shared" si="123"/>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8"/>
        <v>252.5</v>
      </c>
      <c r="S303" s="3" t="str">
        <f t="shared" si="119"/>
        <v>-</v>
      </c>
      <c r="T303" s="3">
        <f t="shared" si="120"/>
        <v>252</v>
      </c>
      <c r="U303" s="3">
        <f t="shared" si="114"/>
        <v>-24.5</v>
      </c>
      <c r="W303" s="4">
        <f t="shared" si="121"/>
        <v>26.570869109595062</v>
      </c>
      <c r="X303" s="4">
        <f t="shared" si="122"/>
        <v>-12.10904268556218</v>
      </c>
      <c r="Y303" s="3">
        <f t="shared" si="123"/>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8"/>
        <v>-</v>
      </c>
      <c r="S305" s="3">
        <f t="shared" si="119"/>
        <v>271.66666666666669</v>
      </c>
      <c r="T305" s="3">
        <f t="shared" si="120"/>
        <v>91.666666666666671</v>
      </c>
      <c r="U305" s="3">
        <f t="shared" ref="U305:U306" si="124">IF(ISERROR(FIND(":",K305)),IF(K305="zero",0,1*K305),1*CONCATENATE(LEFT(K305,FIND(":",K305)-1),".",MID(RIGHT(K305,LEN(K305)-FIND(":",K305))/60,3,8)))</f>
        <v>11</v>
      </c>
      <c r="W305" s="4">
        <f t="shared" si="121"/>
        <v>30.724930841911885</v>
      </c>
      <c r="X305" s="4">
        <f t="shared" si="122"/>
        <v>5.9723215552858528</v>
      </c>
      <c r="Y305" s="3">
        <f t="shared" si="123"/>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8"/>
        <v>162</v>
      </c>
      <c r="S306" s="3" t="str">
        <f t="shared" si="119"/>
        <v>-</v>
      </c>
      <c r="T306" s="3">
        <f t="shared" si="120"/>
        <v>162</v>
      </c>
      <c r="U306" s="3">
        <f t="shared" si="124"/>
        <v>17</v>
      </c>
      <c r="W306" s="4">
        <f t="shared" si="121"/>
        <v>36.435211202191653</v>
      </c>
      <c r="X306" s="4">
        <f t="shared" si="122"/>
        <v>11.139361949936271</v>
      </c>
      <c r="Y306" s="3">
        <f t="shared" si="123"/>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8"/>
        <v>8</v>
      </c>
      <c r="S307" s="3" t="str">
        <f t="shared" si="119"/>
        <v>-</v>
      </c>
      <c r="T307" s="3">
        <f t="shared" si="120"/>
        <v>8</v>
      </c>
      <c r="U307" s="9">
        <f t="shared" ref="U307:U309" si="125">ASIN(N307/J307)*180/PI()</f>
        <v>21.577817335473043</v>
      </c>
      <c r="W307" s="4">
        <f t="shared" si="121"/>
        <v>17.700000000000003</v>
      </c>
      <c r="X307" s="4">
        <f t="shared" si="122"/>
        <v>7.0000000000000009</v>
      </c>
      <c r="Y307" s="3">
        <f t="shared" si="123"/>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  New Grottoes</v>
      </c>
      <c r="R308" s="3">
        <f t="shared" si="118"/>
        <v>46</v>
      </c>
      <c r="S308" s="3" t="str">
        <f t="shared" si="119"/>
        <v>-</v>
      </c>
      <c r="T308" s="3">
        <f t="shared" si="120"/>
        <v>46</v>
      </c>
      <c r="U308" s="9">
        <f t="shared" si="125"/>
        <v>21.186176440399141</v>
      </c>
      <c r="W308" s="4">
        <f t="shared" si="121"/>
        <v>12.899999999999999</v>
      </c>
      <c r="X308" s="4">
        <f t="shared" si="122"/>
        <v>5</v>
      </c>
      <c r="Y308" s="3">
        <f t="shared" si="123"/>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8"/>
        <v>75</v>
      </c>
      <c r="S309" s="3" t="str">
        <f t="shared" si="119"/>
        <v>-</v>
      </c>
      <c r="T309" s="3">
        <f t="shared" si="120"/>
        <v>75</v>
      </c>
      <c r="U309" s="9">
        <f t="shared" si="125"/>
        <v>8.5408698328699355</v>
      </c>
      <c r="W309" s="4">
        <f t="shared" si="121"/>
        <v>19.975985582694037</v>
      </c>
      <c r="X309" s="4">
        <f t="shared" si="122"/>
        <v>2.9999999999999991</v>
      </c>
      <c r="Y309" s="3">
        <f t="shared" si="123"/>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8"/>
        <v>-</v>
      </c>
      <c r="S313" s="3">
        <f t="shared" si="119"/>
        <v>346</v>
      </c>
      <c r="T313" s="3">
        <f t="shared" si="120"/>
        <v>166</v>
      </c>
      <c r="U313" s="3">
        <f t="shared" ref="U313:U317" si="126">IF(ISERROR(FIND(":",K313)),IF(K313="zero",0,1*K313),1*CONCATENATE(LEFT(K313,FIND(":",K313)-1),".",MID(RIGHT(K313,LEN(K313)-FIND(":",K313))/60,3,8)))</f>
        <v>45.25</v>
      </c>
      <c r="W313" s="4">
        <f t="shared" si="121"/>
        <v>6.8993442996684902</v>
      </c>
      <c r="X313" s="4">
        <f t="shared" si="122"/>
        <v>6.9598166811081965</v>
      </c>
      <c r="Y313" s="3">
        <f t="shared" si="123"/>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8"/>
        <v>-</v>
      </c>
      <c r="S314" s="3">
        <f t="shared" si="119"/>
        <v>42</v>
      </c>
      <c r="T314" s="3">
        <f t="shared" si="120"/>
        <v>222</v>
      </c>
      <c r="U314" s="3">
        <f t="shared" si="126"/>
        <v>19</v>
      </c>
      <c r="W314" s="4">
        <f t="shared" si="121"/>
        <v>36.024257730333971</v>
      </c>
      <c r="X314" s="4">
        <f t="shared" si="122"/>
        <v>12.404146684817668</v>
      </c>
      <c r="Y314" s="3">
        <f t="shared" si="123"/>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8"/>
        <v>190.5</v>
      </c>
      <c r="S315" s="3" t="str">
        <f t="shared" si="119"/>
        <v>-</v>
      </c>
      <c r="T315" s="3">
        <f t="shared" si="120"/>
        <v>190.5</v>
      </c>
      <c r="U315" s="3">
        <f t="shared" si="126"/>
        <v>12.666666660000001</v>
      </c>
      <c r="W315" s="4">
        <f t="shared" si="121"/>
        <v>61.759422337275815</v>
      </c>
      <c r="X315" s="4">
        <f t="shared" si="122"/>
        <v>13.880336903908246</v>
      </c>
      <c r="Y315" s="3">
        <f t="shared" si="123"/>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8"/>
        <v>229.66666666666666</v>
      </c>
      <c r="S316" s="3" t="str">
        <f t="shared" si="119"/>
        <v>-</v>
      </c>
      <c r="T316" s="3">
        <f t="shared" si="120"/>
        <v>229.66666666666666</v>
      </c>
      <c r="U316" s="3">
        <f t="shared" si="126"/>
        <v>10</v>
      </c>
      <c r="W316" s="4">
        <f t="shared" si="121"/>
        <v>56.429484247599518</v>
      </c>
      <c r="X316" s="4">
        <f t="shared" si="122"/>
        <v>9.9500405803151075</v>
      </c>
      <c r="Y316" s="3">
        <f t="shared" si="123"/>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8"/>
        <v>328</v>
      </c>
      <c r="S317" s="3" t="str">
        <f t="shared" si="119"/>
        <v>-</v>
      </c>
      <c r="T317" s="3">
        <f t="shared" si="120"/>
        <v>328</v>
      </c>
      <c r="U317" s="3">
        <f t="shared" si="126"/>
        <v>8</v>
      </c>
      <c r="W317" s="4">
        <f t="shared" si="121"/>
        <v>188.44801348152086</v>
      </c>
      <c r="X317" s="4">
        <f t="shared" si="122"/>
        <v>26.484641112700455</v>
      </c>
      <c r="Y317" s="3">
        <f t="shared" si="123"/>
        <v>328</v>
      </c>
      <c r="Z317" s="4">
        <f>IF('Raw Data'!O317="","",O314+N314+4.5)</f>
        <v>391</v>
      </c>
      <c r="AA317" t="s">
        <v>902</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902</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8"/>
        <v>-</v>
      </c>
      <c r="S321" s="3">
        <f t="shared" si="119"/>
        <v>35</v>
      </c>
      <c r="T321" s="3">
        <f t="shared" si="120"/>
        <v>215</v>
      </c>
      <c r="U321" s="3">
        <f t="shared" ref="U321:U325" si="127">IF(ISERROR(FIND(":",K321)),IF(K321="zero",0,1*K321),1*CONCATENATE(LEFT(K321,FIND(":",K321)-1),".",MID(RIGHT(K321,LEN(K321)-FIND(":",K321))/60,3,8)))</f>
        <v>22</v>
      </c>
      <c r="W321" s="4">
        <f t="shared" si="121"/>
        <v>14.464068131241884</v>
      </c>
      <c r="X321" s="4">
        <f t="shared" si="122"/>
        <v>5.8438628572882276</v>
      </c>
      <c r="Y321" s="3">
        <f t="shared" si="123"/>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8"/>
        <v>173</v>
      </c>
      <c r="S322" s="3" t="str">
        <f t="shared" si="119"/>
        <v>-</v>
      </c>
      <c r="T322" s="3">
        <f t="shared" si="120"/>
        <v>173</v>
      </c>
      <c r="U322" s="3">
        <f t="shared" si="127"/>
        <v>-33.5</v>
      </c>
      <c r="W322" s="4">
        <f t="shared" si="121"/>
        <v>12.591675913214241</v>
      </c>
      <c r="X322" s="4">
        <f t="shared" si="122"/>
        <v>-8.3342484782120785</v>
      </c>
      <c r="Y322" s="3">
        <f t="shared" si="123"/>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8"/>
        <v>-</v>
      </c>
      <c r="S323" s="3">
        <f t="shared" si="119"/>
        <v>79</v>
      </c>
      <c r="T323" s="3">
        <f t="shared" si="120"/>
        <v>259</v>
      </c>
      <c r="U323" s="3">
        <f t="shared" si="127"/>
        <v>-25</v>
      </c>
      <c r="W323" s="4">
        <f t="shared" si="121"/>
        <v>14.863447707401058</v>
      </c>
      <c r="X323" s="4">
        <f t="shared" si="122"/>
        <v>-6.9309394925474699</v>
      </c>
      <c r="Y323" s="3">
        <f t="shared" si="123"/>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8"/>
        <v>-</v>
      </c>
      <c r="S324" s="3">
        <f t="shared" si="119"/>
        <v>24.5</v>
      </c>
      <c r="T324" s="3">
        <f t="shared" si="120"/>
        <v>204.5</v>
      </c>
      <c r="U324" s="3">
        <f t="shared" si="127"/>
        <v>-3</v>
      </c>
      <c r="W324" s="4">
        <f t="shared" si="121"/>
        <v>9.9862953475457381</v>
      </c>
      <c r="X324" s="4">
        <f t="shared" si="122"/>
        <v>-0.52335956242943826</v>
      </c>
      <c r="Y324" s="3">
        <f t="shared" si="123"/>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8"/>
        <v>229.16666666666666</v>
      </c>
      <c r="S325" s="3" t="str">
        <f t="shared" si="119"/>
        <v>-</v>
      </c>
      <c r="T325" s="3">
        <f t="shared" si="120"/>
        <v>229.16666666666666</v>
      </c>
      <c r="U325" s="3">
        <f t="shared" si="127"/>
        <v>-12.25</v>
      </c>
      <c r="W325" s="4">
        <f t="shared" si="121"/>
        <v>11.238157724320807</v>
      </c>
      <c r="X325" s="4">
        <f t="shared" si="122"/>
        <v>-2.4400432297991319</v>
      </c>
      <c r="Y325" s="3">
        <f t="shared" si="123"/>
        <v>229.16666666666666</v>
      </c>
      <c r="Z325" s="4">
        <f>IF('Raw Data'!O325="","",O324+N324)</f>
        <v>328.4</v>
      </c>
      <c r="AA325" t="s">
        <v>900</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8"/>
        <v>162</v>
      </c>
      <c r="S327" s="3" t="str">
        <f t="shared" si="119"/>
        <v>-</v>
      </c>
      <c r="T327" s="3">
        <f t="shared" si="120"/>
        <v>162</v>
      </c>
      <c r="U327" s="3">
        <f t="shared" ref="U327:U332" si="128">IF(ISERROR(FIND(":",K327)),IF(K327="zero",0,1*K327),1*CONCATENATE(LEFT(K327,FIND(":",K327)-1),".",MID(RIGHT(K327,LEN(K327)-FIND(":",K327))/60,3,8)))</f>
        <v>7.6666666599999997</v>
      </c>
      <c r="W327" s="4">
        <f t="shared" si="121"/>
        <v>21.406917211695109</v>
      </c>
      <c r="X327" s="4">
        <f t="shared" si="122"/>
        <v>2.8816480513122658</v>
      </c>
      <c r="Y327" s="3">
        <f t="shared" si="123"/>
        <v>162</v>
      </c>
      <c r="Z327" s="4">
        <f>IF('Raw Data'!O327="","",O324+N324)</f>
        <v>328.4</v>
      </c>
      <c r="AA327" t="s">
        <v>900</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8"/>
        <v>-</v>
      </c>
      <c r="S328" s="3">
        <f t="shared" si="119"/>
        <v>267</v>
      </c>
      <c r="T328" s="3">
        <f t="shared" si="120"/>
        <v>87</v>
      </c>
      <c r="U328" s="3">
        <f t="shared" si="128"/>
        <v>19</v>
      </c>
      <c r="W328" s="4">
        <f t="shared" si="121"/>
        <v>16.830230645667839</v>
      </c>
      <c r="X328" s="4">
        <f t="shared" si="122"/>
        <v>5.7951131493373884</v>
      </c>
      <c r="Y328" s="3">
        <f t="shared" si="123"/>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8"/>
        <v>113</v>
      </c>
      <c r="S329" s="3" t="str">
        <f t="shared" si="119"/>
        <v>-</v>
      </c>
      <c r="T329" s="3">
        <f t="shared" si="120"/>
        <v>113</v>
      </c>
      <c r="U329" s="3">
        <f t="shared" si="128"/>
        <v>18.5</v>
      </c>
      <c r="W329" s="4">
        <f t="shared" si="121"/>
        <v>15.268010848819811</v>
      </c>
      <c r="X329" s="4">
        <f t="shared" si="122"/>
        <v>5.1086049681219841</v>
      </c>
      <c r="Y329" s="3">
        <f t="shared" si="123"/>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8"/>
        <v>-</v>
      </c>
      <c r="S330" s="3">
        <f t="shared" si="119"/>
        <v>324.5</v>
      </c>
      <c r="T330" s="3">
        <f t="shared" si="120"/>
        <v>144.5</v>
      </c>
      <c r="U330" s="3">
        <f t="shared" si="128"/>
        <v>15.5</v>
      </c>
      <c r="W330" s="4">
        <f t="shared" si="121"/>
        <v>14.936272024733656</v>
      </c>
      <c r="X330" s="4">
        <f t="shared" si="122"/>
        <v>4.1421948292129809</v>
      </c>
      <c r="Y330" s="3">
        <f t="shared" si="123"/>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8"/>
        <v>193</v>
      </c>
      <c r="S331" s="3" t="str">
        <f t="shared" si="119"/>
        <v>-</v>
      </c>
      <c r="T331" s="3">
        <f t="shared" si="120"/>
        <v>193</v>
      </c>
      <c r="U331" s="3">
        <f t="shared" si="128"/>
        <v>29.5</v>
      </c>
      <c r="W331" s="4">
        <f t="shared" si="121"/>
        <v>8.0943079722410687</v>
      </c>
      <c r="X331" s="4">
        <f t="shared" si="122"/>
        <v>4.5795391089622441</v>
      </c>
      <c r="Y331" s="3">
        <f t="shared" si="123"/>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8"/>
        <v>-</v>
      </c>
      <c r="S332" s="3">
        <f t="shared" si="119"/>
        <v>156.5</v>
      </c>
      <c r="T332" s="3">
        <f t="shared" si="120"/>
        <v>336.5</v>
      </c>
      <c r="U332" s="3">
        <f t="shared" si="128"/>
        <v>18</v>
      </c>
      <c r="W332" s="4">
        <f t="shared" si="121"/>
        <v>25.202997681821568</v>
      </c>
      <c r="X332" s="4">
        <f t="shared" si="122"/>
        <v>8.1889503509361052</v>
      </c>
      <c r="Y332" s="3">
        <f t="shared" si="123"/>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8"/>
        <v>93.5</v>
      </c>
      <c r="S335" s="3" t="str">
        <f t="shared" si="119"/>
        <v>-</v>
      </c>
      <c r="T335" s="3">
        <f t="shared" si="120"/>
        <v>93</v>
      </c>
      <c r="U335" s="3">
        <f>IF(ISERROR(FIND(":",K335)),IF(K335="zero",0,1*K335),1*CONCATENATE(LEFT(K335,FIND(":",K335)-1),".",MID(RIGHT(K335,LEN(K335)-FIND(":",K335))/60,3,8)))</f>
        <v>25.5</v>
      </c>
      <c r="W335" s="4">
        <f t="shared" si="121"/>
        <v>14.621881606467742</v>
      </c>
      <c r="X335" s="4">
        <f t="shared" si="122"/>
        <v>6.9742797682943802</v>
      </c>
      <c r="Y335" s="3">
        <f t="shared" si="123"/>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8"/>
        <v>111</v>
      </c>
      <c r="S337" s="3" t="str">
        <f t="shared" si="119"/>
        <v>-</v>
      </c>
      <c r="T337" s="3">
        <f t="shared" si="120"/>
        <v>111</v>
      </c>
      <c r="U337" s="3">
        <f t="shared" ref="U337:U365" si="129">IF(ISERROR(FIND(":",K337)),IF(K337="zero",0,1*K337),1*CONCATENATE(LEFT(K337,FIND(":",K337)-1),".",MID(RIGHT(K337,LEN(K337)-FIND(":",K337))/60,3,8)))</f>
        <v>24</v>
      </c>
      <c r="W337" s="4">
        <f t="shared" si="121"/>
        <v>24.208954627528922</v>
      </c>
      <c r="X337" s="4">
        <f t="shared" si="122"/>
        <v>10.778521041508704</v>
      </c>
      <c r="Y337" s="3">
        <f t="shared" si="123"/>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8"/>
        <v>-</v>
      </c>
      <c r="S338" s="3">
        <f t="shared" si="119"/>
        <v>316.5</v>
      </c>
      <c r="T338" s="3">
        <f t="shared" si="120"/>
        <v>136.5</v>
      </c>
      <c r="U338" s="3">
        <f t="shared" si="129"/>
        <v>3.5</v>
      </c>
      <c r="W338" s="4">
        <f t="shared" si="121"/>
        <v>19.962695968437338</v>
      </c>
      <c r="X338" s="4">
        <f t="shared" si="122"/>
        <v>1.2209707906971374</v>
      </c>
      <c r="Y338" s="3">
        <f t="shared" si="123"/>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8"/>
        <v>88.5</v>
      </c>
      <c r="S339" s="3" t="str">
        <f t="shared" si="119"/>
        <v>-</v>
      </c>
      <c r="T339" s="3">
        <f t="shared" si="120"/>
        <v>88.5</v>
      </c>
      <c r="U339" s="3">
        <f t="shared" si="129"/>
        <v>9.5</v>
      </c>
      <c r="W339" s="4">
        <f t="shared" si="121"/>
        <v>52.174508321319543</v>
      </c>
      <c r="X339" s="4">
        <f t="shared" si="122"/>
        <v>8.7310183500298457</v>
      </c>
      <c r="Y339" s="3">
        <f t="shared" si="123"/>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8"/>
        <v>108</v>
      </c>
      <c r="S340" s="3" t="str">
        <f t="shared" si="119"/>
        <v>-</v>
      </c>
      <c r="T340" s="3">
        <f t="shared" si="120"/>
        <v>108</v>
      </c>
      <c r="U340" s="3">
        <f t="shared" si="129"/>
        <v>-53.5</v>
      </c>
      <c r="W340" s="4">
        <f t="shared" si="121"/>
        <v>2.3792911470053655</v>
      </c>
      <c r="X340" s="4">
        <f t="shared" si="122"/>
        <v>-3.2154274424688691</v>
      </c>
      <c r="Y340" s="3">
        <f t="shared" si="123"/>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8"/>
        <v>-</v>
      </c>
      <c r="S341" s="3">
        <f t="shared" si="119"/>
        <v>246</v>
      </c>
      <c r="T341" s="3">
        <f t="shared" si="120"/>
        <v>66</v>
      </c>
      <c r="U341" s="3">
        <f t="shared" si="129"/>
        <v>26</v>
      </c>
      <c r="W341" s="4">
        <f t="shared" si="121"/>
        <v>10.515890341700254</v>
      </c>
      <c r="X341" s="4">
        <f t="shared" si="122"/>
        <v>5.1289424174322056</v>
      </c>
      <c r="Y341" s="3">
        <f t="shared" si="123"/>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8"/>
        <v>79</v>
      </c>
      <c r="S342" s="3" t="str">
        <f t="shared" si="119"/>
        <v>-</v>
      </c>
      <c r="T342" s="3">
        <f t="shared" si="120"/>
        <v>79</v>
      </c>
      <c r="U342" s="3">
        <f t="shared" si="129"/>
        <v>26</v>
      </c>
      <c r="W342" s="4">
        <f t="shared" si="121"/>
        <v>14.20094593152684</v>
      </c>
      <c r="X342" s="4">
        <f t="shared" si="122"/>
        <v>6.9262641192674232</v>
      </c>
      <c r="Y342" s="3">
        <f t="shared" si="123"/>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8"/>
        <v>-</v>
      </c>
      <c r="S343" s="3">
        <f t="shared" si="119"/>
        <v>355.5</v>
      </c>
      <c r="T343" s="3">
        <f t="shared" si="120"/>
        <v>175.5</v>
      </c>
      <c r="U343" s="3">
        <f t="shared" si="129"/>
        <v>26</v>
      </c>
      <c r="W343" s="4">
        <f t="shared" si="121"/>
        <v>11.504563792629339</v>
      </c>
      <c r="X343" s="4">
        <f t="shared" si="122"/>
        <v>5.6111506789001915</v>
      </c>
      <c r="Y343" s="3">
        <f t="shared" si="123"/>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8"/>
        <v>148</v>
      </c>
      <c r="S344" s="3" t="str">
        <f t="shared" si="119"/>
        <v>-</v>
      </c>
      <c r="T344" s="3">
        <f t="shared" si="120"/>
        <v>148</v>
      </c>
      <c r="U344" s="3">
        <f t="shared" si="129"/>
        <v>24.5</v>
      </c>
      <c r="W344" s="4">
        <f t="shared" si="121"/>
        <v>36.307454707974074</v>
      </c>
      <c r="X344" s="4">
        <f t="shared" si="122"/>
        <v>16.546260381983938</v>
      </c>
      <c r="Y344" s="3">
        <f t="shared" si="123"/>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8"/>
        <v>-</v>
      </c>
      <c r="S345" s="3">
        <f t="shared" si="119"/>
        <v>273</v>
      </c>
      <c r="T345" s="3">
        <f t="shared" si="120"/>
        <v>93</v>
      </c>
      <c r="U345" s="3">
        <f t="shared" si="129"/>
        <v>20</v>
      </c>
      <c r="W345" s="4">
        <f t="shared" si="121"/>
        <v>8.3632643249945851</v>
      </c>
      <c r="X345" s="4">
        <f t="shared" si="122"/>
        <v>3.0439792755984518</v>
      </c>
      <c r="Y345" s="3">
        <f t="shared" si="123"/>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8"/>
        <v>121.16666666666667</v>
      </c>
      <c r="S346" s="3" t="str">
        <f t="shared" si="119"/>
        <v>-</v>
      </c>
      <c r="T346" s="3">
        <f t="shared" si="120"/>
        <v>121.16666666666667</v>
      </c>
      <c r="U346" s="3">
        <f t="shared" si="129"/>
        <v>15</v>
      </c>
      <c r="W346" s="4">
        <f t="shared" si="121"/>
        <v>26.756145388207191</v>
      </c>
      <c r="X346" s="4">
        <f t="shared" si="122"/>
        <v>7.169287549339824</v>
      </c>
      <c r="Y346" s="3">
        <f t="shared" si="123"/>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8"/>
        <v>92.5</v>
      </c>
      <c r="S347" s="3" t="str">
        <f t="shared" si="119"/>
        <v>-</v>
      </c>
      <c r="T347" s="3">
        <f t="shared" si="120"/>
        <v>92.5</v>
      </c>
      <c r="U347" s="3">
        <f t="shared" si="129"/>
        <v>19.5</v>
      </c>
      <c r="W347" s="4">
        <f t="shared" si="121"/>
        <v>9.237886612703349</v>
      </c>
      <c r="X347" s="4">
        <f t="shared" si="122"/>
        <v>3.271307220490955</v>
      </c>
      <c r="Y347" s="3">
        <f t="shared" si="123"/>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U348" s="3" t="e">
        <f t="shared" si="129"/>
        <v>#VALUE!</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U349" s="3" t="e">
        <f t="shared" si="129"/>
        <v>#VALUE!</v>
      </c>
      <c r="W349" s="4"/>
      <c r="X349" s="4"/>
      <c r="Y349" s="3"/>
      <c r="Z349" s="4" t="str">
        <f>IF('Raw Data'!O349="","",O348+N348)</f>
        <v/>
      </c>
    </row>
    <row r="350" spans="1:26" x14ac:dyDescent="0.25">
      <c r="A350" t="str">
        <f>IF('Raw Data'!A350="","",'Raw Data'!A350)</f>
        <v>August 30th 1953</v>
      </c>
      <c r="B350" t="str">
        <f>IF('Raw Data'!B350="","",'Raw Data'!B350)</f>
        <v/>
      </c>
      <c r="C350" t="str">
        <f>IF('Raw Data'!C350="","",'Raw Data'!C350)</f>
        <v>Name Too faint to read. 'Black?' hole to 'Paradise?'.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U350" s="3" t="e">
        <f t="shared" si="129"/>
        <v>#VALUE!</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8"/>
        <v>-</v>
      </c>
      <c r="S351" s="3">
        <f t="shared" si="119"/>
        <v>195</v>
      </c>
      <c r="T351" s="3">
        <f t="shared" si="120"/>
        <v>15</v>
      </c>
      <c r="U351" s="3">
        <f t="shared" si="129"/>
        <v>13</v>
      </c>
      <c r="W351" s="4">
        <f t="shared" si="121"/>
        <v>33.420893222133564</v>
      </c>
      <c r="X351" s="4">
        <f t="shared" si="122"/>
        <v>7.7158211639945691</v>
      </c>
      <c r="Y351" s="3">
        <f t="shared" si="123"/>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8"/>
        <v>133.5</v>
      </c>
      <c r="S352" s="3" t="str">
        <f t="shared" si="119"/>
        <v>-</v>
      </c>
      <c r="T352" s="3">
        <f t="shared" si="120"/>
        <v>133.5</v>
      </c>
      <c r="U352" s="3">
        <f t="shared" si="129"/>
        <v>3.5</v>
      </c>
      <c r="W352" s="4">
        <f t="shared" si="121"/>
        <v>41.722034574034033</v>
      </c>
      <c r="X352" s="4">
        <f t="shared" si="122"/>
        <v>2.5518289525570172</v>
      </c>
      <c r="Y352" s="3">
        <f t="shared" si="123"/>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7" si="130">IF(ISERROR(FIND(":",G353)),IF(G353&lt;&gt;"-",1*G353,G353),1*LEFT(G353,FIND(":",G353)-1)+RIGHT(G353,LEN(G353)-FIND(":",G353))/60)</f>
        <v>-</v>
      </c>
      <c r="S353" s="3">
        <f t="shared" ref="S353:S387" si="131">IF(ISERROR(FIND(":",H353)),IF(H353&lt;&gt;"-",1*H353,H353),1*LEFT(H353,FIND(":",H353)-1)+RIGHT(H353,LEN(H353)-FIND(":",H353))/60)</f>
        <v>192.5</v>
      </c>
      <c r="T353" s="3">
        <f t="shared" ref="T353:T387" si="132">IF(ISERROR(FIND(":",I353)),IF(I353&lt;&gt;"-",1*I353,I353),1*LEFT(I353,FIND(":",I353)-1)+RIGHT(I353,LEN(I353)-FIND(":",I353))/60)</f>
        <v>12.5</v>
      </c>
      <c r="U353" s="3">
        <f t="shared" si="129"/>
        <v>6</v>
      </c>
      <c r="W353" s="4">
        <f t="shared" ref="W353:W387" si="133">J353*COS(U353*PI()/180)</f>
        <v>22.774551403933458</v>
      </c>
      <c r="X353" s="4">
        <f t="shared" ref="X353:X387" si="134">J353*SIN(U353*PI()/180)</f>
        <v>2.3937018088292641</v>
      </c>
      <c r="Y353" s="3">
        <f t="shared" ref="Y353:Y387" si="135">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30"/>
        <v>357</v>
      </c>
      <c r="S354" s="3" t="str">
        <f t="shared" si="131"/>
        <v>-</v>
      </c>
      <c r="T354" s="3">
        <f t="shared" si="132"/>
        <v>357</v>
      </c>
      <c r="U354" s="3">
        <f t="shared" si="129"/>
        <v>-5</v>
      </c>
      <c r="W354" s="4">
        <f t="shared" si="133"/>
        <v>30.184699352179891</v>
      </c>
      <c r="X354" s="4">
        <f t="shared" si="134"/>
        <v>-2.6408190052540426</v>
      </c>
      <c r="Y354" s="3">
        <f t="shared" si="135"/>
        <v>357</v>
      </c>
      <c r="Z354" s="4">
        <f>IF('Raw Data'!O354="","",O353+N353)</f>
        <v>108.30000000000001</v>
      </c>
      <c r="AA354" t="s">
        <v>900</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30"/>
        <v>-</v>
      </c>
      <c r="S355" s="3">
        <f t="shared" si="131"/>
        <v>203</v>
      </c>
      <c r="T355" s="3">
        <f t="shared" si="132"/>
        <v>23</v>
      </c>
      <c r="U355" s="3">
        <f t="shared" si="129"/>
        <v>12.5</v>
      </c>
      <c r="W355" s="4">
        <f t="shared" si="133"/>
        <v>12.203700088999167</v>
      </c>
      <c r="X355" s="4">
        <f t="shared" si="134"/>
        <v>2.7054951742262858</v>
      </c>
      <c r="Y355" s="3">
        <f t="shared" si="135"/>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30"/>
        <v>-</v>
      </c>
      <c r="S356" s="3">
        <f t="shared" si="131"/>
        <v>165</v>
      </c>
      <c r="T356" s="3">
        <f t="shared" si="132"/>
        <v>345</v>
      </c>
      <c r="U356" s="3">
        <f t="shared" si="129"/>
        <v>3.5</v>
      </c>
      <c r="W356" s="4">
        <f t="shared" si="133"/>
        <v>15.670716335223309</v>
      </c>
      <c r="X356" s="4">
        <f t="shared" si="134"/>
        <v>0.95846207069725287</v>
      </c>
      <c r="Y356" s="3">
        <f t="shared" si="135"/>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30"/>
        <v>6.5</v>
      </c>
      <c r="S357" s="3" t="str">
        <f t="shared" si="131"/>
        <v>-</v>
      </c>
      <c r="T357" s="3">
        <f t="shared" si="132"/>
        <v>6.5</v>
      </c>
      <c r="U357" s="3">
        <f t="shared" si="129"/>
        <v>13.5</v>
      </c>
      <c r="W357" s="4">
        <f t="shared" si="133"/>
        <v>18.766739463675158</v>
      </c>
      <c r="X357" s="4">
        <f t="shared" si="134"/>
        <v>4.5054955224189746</v>
      </c>
      <c r="Y357" s="3">
        <f t="shared" si="135"/>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30"/>
        <v>-</v>
      </c>
      <c r="S358" s="3">
        <f t="shared" si="131"/>
        <v>180</v>
      </c>
      <c r="T358" s="3">
        <f t="shared" si="132"/>
        <v>0</v>
      </c>
      <c r="U358" s="3">
        <f t="shared" si="129"/>
        <v>-1</v>
      </c>
      <c r="W358" s="4">
        <f t="shared" si="133"/>
        <v>30.195400393723016</v>
      </c>
      <c r="X358" s="4">
        <f t="shared" si="134"/>
        <v>-0.527062674405962</v>
      </c>
      <c r="Y358" s="3">
        <f t="shared" si="135"/>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30"/>
        <v>348</v>
      </c>
      <c r="S359" s="3" t="str">
        <f t="shared" si="131"/>
        <v>-</v>
      </c>
      <c r="T359" s="3">
        <f t="shared" si="132"/>
        <v>348</v>
      </c>
      <c r="U359" s="3">
        <f t="shared" si="129"/>
        <v>-4</v>
      </c>
      <c r="W359" s="4">
        <f t="shared" si="133"/>
        <v>48.780882057705405</v>
      </c>
      <c r="X359" s="4">
        <f t="shared" si="134"/>
        <v>-3.4110915660877272</v>
      </c>
      <c r="Y359" s="3">
        <f t="shared" si="135"/>
        <v>348</v>
      </c>
      <c r="Z359" s="4">
        <f>IF('Raw Data'!O359="","",O358+N358)</f>
        <v>113.4</v>
      </c>
      <c r="AA359" t="s">
        <v>900</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30"/>
        <v>-</v>
      </c>
      <c r="S360" s="3">
        <f t="shared" si="131"/>
        <v>221.5</v>
      </c>
      <c r="T360" s="3">
        <f t="shared" si="132"/>
        <v>41.5</v>
      </c>
      <c r="U360" s="3">
        <f t="shared" si="129"/>
        <v>5.5</v>
      </c>
      <c r="W360" s="4">
        <f t="shared" si="133"/>
        <v>14.731863735834247</v>
      </c>
      <c r="X360" s="4">
        <f t="shared" si="134"/>
        <v>1.4185171372993151</v>
      </c>
      <c r="Y360" s="3">
        <f t="shared" si="135"/>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30"/>
        <v>5</v>
      </c>
      <c r="S361" s="3" t="str">
        <f t="shared" si="131"/>
        <v>-</v>
      </c>
      <c r="T361" s="3">
        <f t="shared" si="132"/>
        <v>5</v>
      </c>
      <c r="U361" s="3">
        <f t="shared" si="129"/>
        <v>-6.5</v>
      </c>
      <c r="W361" s="4">
        <f t="shared" si="133"/>
        <v>20.865008969208336</v>
      </c>
      <c r="X361" s="4">
        <f t="shared" si="134"/>
        <v>-2.3772674891260412</v>
      </c>
      <c r="Y361" s="3">
        <f t="shared" si="135"/>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30"/>
        <v>-</v>
      </c>
      <c r="S362" s="3">
        <f t="shared" si="131"/>
        <v>283</v>
      </c>
      <c r="T362" s="3">
        <f t="shared" si="132"/>
        <v>103</v>
      </c>
      <c r="U362" s="3">
        <f t="shared" si="129"/>
        <v>4.5</v>
      </c>
      <c r="W362" s="4">
        <f t="shared" si="133"/>
        <v>36.686557881379109</v>
      </c>
      <c r="X362" s="4">
        <f t="shared" si="134"/>
        <v>2.8872947227846937</v>
      </c>
      <c r="Y362" s="3">
        <f t="shared" si="135"/>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30"/>
        <v>19</v>
      </c>
      <c r="S363" s="3" t="str">
        <f t="shared" si="131"/>
        <v>-</v>
      </c>
      <c r="T363" s="3">
        <f t="shared" si="132"/>
        <v>19</v>
      </c>
      <c r="U363" s="3">
        <f t="shared" si="129"/>
        <v>5</v>
      </c>
      <c r="W363" s="4">
        <f t="shared" si="133"/>
        <v>38.054637467104683</v>
      </c>
      <c r="X363" s="4">
        <f t="shared" si="134"/>
        <v>3.3293493729605421</v>
      </c>
      <c r="Y363" s="3">
        <f t="shared" si="135"/>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30"/>
        <v>-</v>
      </c>
      <c r="S364" s="3">
        <f t="shared" si="131"/>
        <v>172</v>
      </c>
      <c r="T364" s="3">
        <f t="shared" si="132"/>
        <v>352</v>
      </c>
      <c r="U364" s="3">
        <f t="shared" si="129"/>
        <v>-10</v>
      </c>
      <c r="W364" s="4">
        <f t="shared" si="133"/>
        <v>11.719212260845277</v>
      </c>
      <c r="X364" s="4">
        <f t="shared" si="134"/>
        <v>-2.0664133142364709</v>
      </c>
      <c r="Y364" s="3">
        <f t="shared" si="135"/>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30"/>
        <v>7</v>
      </c>
      <c r="S365" s="3" t="str">
        <f t="shared" si="131"/>
        <v>-</v>
      </c>
      <c r="T365" s="3">
        <f t="shared" si="132"/>
        <v>7</v>
      </c>
      <c r="U365" s="3">
        <f t="shared" si="129"/>
        <v>-1.5</v>
      </c>
      <c r="W365" s="4">
        <f t="shared" si="133"/>
        <v>34.188280514164063</v>
      </c>
      <c r="X365" s="4">
        <f t="shared" si="134"/>
        <v>-0.89525163212926173</v>
      </c>
      <c r="Y365" s="3">
        <f t="shared" si="135"/>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30"/>
        <v>-</v>
      </c>
      <c r="S366" s="3">
        <f t="shared" si="131"/>
        <v>280</v>
      </c>
      <c r="T366" s="3">
        <f t="shared" si="132"/>
        <v>100</v>
      </c>
      <c r="U366" s="9">
        <f t="shared" ref="U366" si="136">ASIN(N366/J366)*180/PI()</f>
        <v>0</v>
      </c>
      <c r="W366" s="4">
        <f t="shared" si="133"/>
        <v>9.1</v>
      </c>
      <c r="X366" s="4">
        <f t="shared" si="134"/>
        <v>0</v>
      </c>
      <c r="Y366" s="3">
        <f t="shared" si="135"/>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30"/>
        <v>-</v>
      </c>
      <c r="S367" s="3">
        <f t="shared" si="131"/>
        <v>310</v>
      </c>
      <c r="T367" s="3">
        <f t="shared" si="132"/>
        <v>130</v>
      </c>
      <c r="U367" s="3">
        <f t="shared" ref="U367:U381" si="137">IF(ISERROR(FIND(":",K367)),IF(K367="zero",0,1*K367),1*CONCATENATE(LEFT(K367,FIND(":",K367)-1),".",MID(RIGHT(K367,LEN(K367)-FIND(":",K367))/60,3,8)))</f>
        <v>6.5</v>
      </c>
      <c r="W367" s="4">
        <f t="shared" si="133"/>
        <v>40.438374526037116</v>
      </c>
      <c r="X367" s="4">
        <f t="shared" si="134"/>
        <v>4.6073708003538041</v>
      </c>
      <c r="Y367" s="3">
        <f t="shared" si="135"/>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30"/>
        <v>161</v>
      </c>
      <c r="S368" s="3" t="str">
        <f t="shared" si="131"/>
        <v>-</v>
      </c>
      <c r="T368" s="3">
        <f t="shared" si="132"/>
        <v>161</v>
      </c>
      <c r="U368" s="3">
        <f t="shared" si="137"/>
        <v>-1.5</v>
      </c>
      <c r="W368" s="4">
        <f t="shared" si="133"/>
        <v>17.494003187072252</v>
      </c>
      <c r="X368" s="4">
        <f t="shared" si="134"/>
        <v>-0.45809659538778014</v>
      </c>
      <c r="Y368" s="3">
        <f t="shared" si="135"/>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30"/>
        <v>-</v>
      </c>
      <c r="S369" s="3">
        <f t="shared" si="131"/>
        <v>338</v>
      </c>
      <c r="T369" s="3">
        <f t="shared" si="132"/>
        <v>158</v>
      </c>
      <c r="U369" s="3">
        <f t="shared" si="137"/>
        <v>25.5</v>
      </c>
      <c r="W369" s="4">
        <f t="shared" si="133"/>
        <v>6.8596481610589404</v>
      </c>
      <c r="X369" s="4">
        <f t="shared" si="134"/>
        <v>3.2718843357430423</v>
      </c>
      <c r="Y369" s="3">
        <f t="shared" si="135"/>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30"/>
        <v>176</v>
      </c>
      <c r="S370" s="3" t="str">
        <f t="shared" si="131"/>
        <v>-</v>
      </c>
      <c r="T370" s="3">
        <f t="shared" si="132"/>
        <v>176</v>
      </c>
      <c r="U370" s="3">
        <f t="shared" si="137"/>
        <v>4</v>
      </c>
      <c r="W370" s="4">
        <f t="shared" si="133"/>
        <v>34.91474175909385</v>
      </c>
      <c r="X370" s="4">
        <f t="shared" si="134"/>
        <v>2.4414765810443857</v>
      </c>
      <c r="Y370" s="3">
        <f t="shared" si="135"/>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30"/>
        <v>-</v>
      </c>
      <c r="S371" s="3">
        <f t="shared" si="131"/>
        <v>325</v>
      </c>
      <c r="T371" s="3">
        <f t="shared" si="132"/>
        <v>145</v>
      </c>
      <c r="U371" s="3">
        <f t="shared" si="137"/>
        <v>0.5</v>
      </c>
      <c r="W371" s="4">
        <f t="shared" si="133"/>
        <v>45.69825988403263</v>
      </c>
      <c r="X371" s="4">
        <f t="shared" si="134"/>
        <v>0.39880267227568883</v>
      </c>
      <c r="Y371" s="3">
        <f t="shared" si="135"/>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30"/>
        <v>157.5</v>
      </c>
      <c r="S372" s="3" t="str">
        <f t="shared" si="131"/>
        <v>-</v>
      </c>
      <c r="T372" s="3">
        <f t="shared" si="132"/>
        <v>157.5</v>
      </c>
      <c r="U372" s="3">
        <f t="shared" si="137"/>
        <v>0.5</v>
      </c>
      <c r="W372" s="4">
        <f t="shared" si="133"/>
        <v>27.198964307345459</v>
      </c>
      <c r="X372" s="4">
        <f t="shared" si="134"/>
        <v>0.23736176555577101</v>
      </c>
      <c r="Y372" s="3">
        <f t="shared" si="135"/>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30"/>
        <v>-</v>
      </c>
      <c r="S373" s="3">
        <f t="shared" si="131"/>
        <v>283.5</v>
      </c>
      <c r="T373" s="3">
        <f t="shared" si="132"/>
        <v>103.5</v>
      </c>
      <c r="U373" s="3">
        <f t="shared" si="137"/>
        <v>7</v>
      </c>
      <c r="W373" s="4">
        <f t="shared" si="133"/>
        <v>18.957631496349251</v>
      </c>
      <c r="X373" s="4">
        <f t="shared" si="134"/>
        <v>2.3277044590383169</v>
      </c>
      <c r="Y373" s="3">
        <f t="shared" si="135"/>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30"/>
        <v>140</v>
      </c>
      <c r="S374" s="3" t="str">
        <f t="shared" si="131"/>
        <v>-</v>
      </c>
      <c r="T374" s="3">
        <f t="shared" si="132"/>
        <v>140</v>
      </c>
      <c r="U374" s="3">
        <f t="shared" si="137"/>
        <v>3</v>
      </c>
      <c r="W374" s="4">
        <f t="shared" si="133"/>
        <v>39.645592529756584</v>
      </c>
      <c r="X374" s="4">
        <f t="shared" si="134"/>
        <v>2.0777374628448699</v>
      </c>
      <c r="Y374" s="3">
        <f t="shared" si="135"/>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30"/>
        <v>-</v>
      </c>
      <c r="S375" s="3">
        <f t="shared" si="131"/>
        <v>319</v>
      </c>
      <c r="T375" s="3">
        <f t="shared" si="132"/>
        <v>139</v>
      </c>
      <c r="U375" s="3">
        <f t="shared" si="137"/>
        <v>5.5</v>
      </c>
      <c r="W375" s="4">
        <f t="shared" si="133"/>
        <v>35.336565042034849</v>
      </c>
      <c r="X375" s="4">
        <f t="shared" si="134"/>
        <v>3.4025242144679515</v>
      </c>
      <c r="Y375" s="3">
        <f t="shared" si="135"/>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30"/>
        <v>74</v>
      </c>
      <c r="S376" s="3" t="str">
        <f t="shared" si="131"/>
        <v>-</v>
      </c>
      <c r="T376" s="3">
        <f t="shared" si="132"/>
        <v>74</v>
      </c>
      <c r="U376" s="3">
        <f t="shared" si="137"/>
        <v>16</v>
      </c>
      <c r="W376" s="4">
        <f t="shared" si="133"/>
        <v>27.972715351805082</v>
      </c>
      <c r="X376" s="4">
        <f t="shared" si="134"/>
        <v>8.0210470542746766</v>
      </c>
      <c r="Y376" s="3">
        <f t="shared" si="135"/>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30"/>
        <v>-</v>
      </c>
      <c r="S377" s="3">
        <f t="shared" si="131"/>
        <v>193</v>
      </c>
      <c r="T377" s="3">
        <f t="shared" si="132"/>
        <v>13</v>
      </c>
      <c r="U377" s="3">
        <f t="shared" si="137"/>
        <v>21</v>
      </c>
      <c r="W377" s="4">
        <f t="shared" si="133"/>
        <v>23.619584790379204</v>
      </c>
      <c r="X377" s="4">
        <f t="shared" si="134"/>
        <v>9.0667091234960964</v>
      </c>
      <c r="Y377" s="3">
        <f t="shared" si="135"/>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30"/>
        <v>353</v>
      </c>
      <c r="S378" s="3" t="str">
        <f t="shared" si="131"/>
        <v>-</v>
      </c>
      <c r="T378" s="3">
        <f t="shared" si="132"/>
        <v>353</v>
      </c>
      <c r="U378" s="3">
        <f t="shared" si="137"/>
        <v>18.5</v>
      </c>
      <c r="W378" s="4">
        <f t="shared" si="133"/>
        <v>21.906276435263205</v>
      </c>
      <c r="X378" s="4">
        <f t="shared" si="134"/>
        <v>7.3297375629576287</v>
      </c>
      <c r="Y378" s="3">
        <f t="shared" si="135"/>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30"/>
        <v>-</v>
      </c>
      <c r="S379" s="3">
        <f t="shared" si="131"/>
        <v>268</v>
      </c>
      <c r="T379" s="3">
        <f t="shared" si="132"/>
        <v>88</v>
      </c>
      <c r="U379" s="3">
        <f t="shared" si="137"/>
        <v>12.5</v>
      </c>
      <c r="W379" s="4">
        <f t="shared" si="133"/>
        <v>50.083985165252578</v>
      </c>
      <c r="X379" s="4">
        <f t="shared" si="134"/>
        <v>11.103352195024677</v>
      </c>
      <c r="Y379" s="3">
        <f t="shared" si="135"/>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30"/>
        <v>61</v>
      </c>
      <c r="S380" s="3" t="str">
        <f t="shared" si="131"/>
        <v>-</v>
      </c>
      <c r="T380" s="3">
        <f t="shared" si="132"/>
        <v>61</v>
      </c>
      <c r="U380" s="3">
        <f t="shared" si="137"/>
        <v>22.5</v>
      </c>
      <c r="W380" s="4">
        <f t="shared" si="133"/>
        <v>15.244012286436231</v>
      </c>
      <c r="X380" s="4">
        <f t="shared" si="134"/>
        <v>6.3142766340239813</v>
      </c>
      <c r="Y380" s="3">
        <f t="shared" si="135"/>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30"/>
        <v>-</v>
      </c>
      <c r="S381" s="3">
        <f t="shared" si="131"/>
        <v>211</v>
      </c>
      <c r="T381" s="3">
        <f t="shared" si="132"/>
        <v>31</v>
      </c>
      <c r="U381" s="3">
        <f t="shared" si="137"/>
        <v>14.5</v>
      </c>
      <c r="W381" s="4">
        <f t="shared" si="133"/>
        <v>25.559097705982044</v>
      </c>
      <c r="X381" s="4">
        <f t="shared" si="134"/>
        <v>6.6100321070372541</v>
      </c>
      <c r="Y381" s="3">
        <f t="shared" si="135"/>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30"/>
        <v>351</v>
      </c>
      <c r="S383" s="3" t="str">
        <f t="shared" si="131"/>
        <v>-</v>
      </c>
      <c r="T383" s="3">
        <f t="shared" si="132"/>
        <v>351</v>
      </c>
      <c r="U383" s="3">
        <f t="shared" ref="U383:U387" si="138">IF(ISERROR(FIND(":",K383)),IF(K383="zero",0,1*K383),1*CONCATENATE(LEFT(K383,FIND(":",K383)-1),".",MID(RIGHT(K383,LEN(K383)-FIND(":",K383))/60,3,8)))</f>
        <v>3.5</v>
      </c>
      <c r="W383" s="4">
        <f t="shared" si="133"/>
        <v>48.908605122671482</v>
      </c>
      <c r="X383" s="4">
        <f t="shared" si="134"/>
        <v>2.9913784372079868</v>
      </c>
      <c r="Y383" s="3">
        <f t="shared" si="135"/>
        <v>351</v>
      </c>
      <c r="Z383" s="4">
        <f>IF('Raw Data'!O383="","",O381+N381)</f>
        <v>178.9</v>
      </c>
      <c r="AA383" t="s">
        <v>900</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30"/>
        <v>-</v>
      </c>
      <c r="S384" s="3">
        <f t="shared" si="131"/>
        <v>215</v>
      </c>
      <c r="T384" s="3">
        <f t="shared" si="132"/>
        <v>35</v>
      </c>
      <c r="U384" s="3">
        <f t="shared" si="138"/>
        <v>26.5</v>
      </c>
      <c r="W384" s="4">
        <f t="shared" si="133"/>
        <v>32.038650145352499</v>
      </c>
      <c r="X384" s="4">
        <f t="shared" si="134"/>
        <v>15.973881709331152</v>
      </c>
      <c r="Y384" s="3">
        <f t="shared" si="135"/>
        <v>35</v>
      </c>
      <c r="Z384" s="4">
        <f>IF('Raw Data'!O384="","",O383+N383)</f>
        <v>181.9</v>
      </c>
    </row>
    <row r="385" spans="1:26"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30"/>
        <v>18</v>
      </c>
      <c r="S385" s="3" t="str">
        <f t="shared" si="131"/>
        <v>-</v>
      </c>
      <c r="T385" s="3">
        <f t="shared" si="132"/>
        <v>18</v>
      </c>
      <c r="U385" s="3">
        <f t="shared" si="138"/>
        <v>8.5</v>
      </c>
      <c r="W385" s="4">
        <f t="shared" si="133"/>
        <v>47.670564614044395</v>
      </c>
      <c r="X385" s="4">
        <f t="shared" si="134"/>
        <v>7.1244136164472325</v>
      </c>
      <c r="Y385" s="3">
        <f t="shared" si="135"/>
        <v>18</v>
      </c>
      <c r="Z385" s="4">
        <f>IF('Raw Data'!O385="","",O384+N384)</f>
        <v>197.9</v>
      </c>
    </row>
    <row r="386" spans="1:26"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30"/>
        <v>-</v>
      </c>
      <c r="S386" s="3">
        <f t="shared" si="131"/>
        <v>211</v>
      </c>
      <c r="T386" s="3">
        <f t="shared" si="132"/>
        <v>31</v>
      </c>
      <c r="U386" s="3">
        <f t="shared" si="138"/>
        <v>-9</v>
      </c>
      <c r="W386" s="4">
        <f t="shared" si="133"/>
        <v>18.272234301010048</v>
      </c>
      <c r="X386" s="4">
        <f t="shared" si="134"/>
        <v>-2.894037603244271</v>
      </c>
      <c r="Y386" s="3">
        <f t="shared" si="135"/>
        <v>31</v>
      </c>
      <c r="Z386" s="4">
        <f>IF('Raw Data'!O386="","",O385+N385)</f>
        <v>205</v>
      </c>
    </row>
    <row r="387" spans="1:26"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30"/>
        <v>3</v>
      </c>
      <c r="S387" s="3" t="str">
        <f t="shared" si="131"/>
        <v>-</v>
      </c>
      <c r="T387" s="3">
        <f t="shared" si="132"/>
        <v>3</v>
      </c>
      <c r="U387" s="3">
        <f t="shared" si="138"/>
        <v>-4.5</v>
      </c>
      <c r="W387" s="4">
        <f t="shared" si="133"/>
        <v>25.919850677061326</v>
      </c>
      <c r="X387" s="4">
        <f t="shared" si="134"/>
        <v>-2.0399364889239684</v>
      </c>
      <c r="Y387" s="3">
        <f t="shared" si="135"/>
        <v>3</v>
      </c>
      <c r="Z387" s="4">
        <f>IF('Raw Data'!O387="","",O386+N386)</f>
        <v>202.1</v>
      </c>
    </row>
    <row r="388" spans="1:26"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W388" s="4"/>
      <c r="X388" s="4"/>
      <c r="Y388" s="3"/>
      <c r="Z388" s="4">
        <f>IF('Raw Data'!O388="","",O387+N387)</f>
        <v>200.1</v>
      </c>
    </row>
    <row r="389" spans="1:26"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W389" s="4"/>
      <c r="X389" s="4"/>
      <c r="Y389" s="3"/>
      <c r="Z389" s="4">
        <f>IF('Raw Data'!O389="","",O388+N388)</f>
        <v>210.1</v>
      </c>
    </row>
    <row r="390" spans="1:26" x14ac:dyDescent="0.25">
      <c r="A390" t="str">
        <f>IF('Raw Data'!A390="","",'Raw Data'!A390)</f>
        <v>21-22nd April 1957</v>
      </c>
      <c r="B390" t="str">
        <f>IF('Raw Data'!B390="","",'Raw Data'!B390)</f>
        <v>Chris Hawkes</v>
      </c>
      <c r="C390" t="str">
        <f>IF('Raw Data'!C390="","",'Raw Data'!C390)</f>
        <v>Paradise Regained, Mud Sump to Blue Pencil Passage</v>
      </c>
      <c r="D390" t="str">
        <f>IF('Raw Data'!D390="","",'Raw Data'!D390)</f>
        <v/>
      </c>
      <c r="E390" t="str">
        <f>IF('Raw Data'!E390="","",'Raw Data'!E390)</f>
        <v/>
      </c>
      <c r="F390" t="str">
        <f>IF('Raw Data'!F390="","",'Raw Data'!F390)</f>
        <v/>
      </c>
      <c r="G390" s="7" t="str">
        <f>IF('Raw Data'!G390="/","-",IF('Raw Data'!G390="","-",SUBSTITUTE('Raw Data'!G390," ",":",1)))</f>
        <v>-</v>
      </c>
      <c r="H390" s="7" t="str">
        <f>IF('Raw Data'!H390="/","-",IF('Raw Data'!H390="","-",SUBSTITUTE('Raw Data'!H390," ",":",1)))</f>
        <v>-</v>
      </c>
      <c r="I390" s="7" t="str">
        <f>IF('Raw Data'!I390="/","-",IF('Raw Data'!I390="","-",SUBSTITUTE('Raw Data'!I390," ",":",1)))</f>
        <v>-</v>
      </c>
      <c r="J390" s="12" t="str">
        <f>IF('Raw Data'!J390="",IF(LEN(K390)&gt;6,SQRT('Raw Data'!M390^2+N390^2),""),'Raw Data'!J390)</f>
        <v/>
      </c>
      <c r="K390" s="7" t="str">
        <f>IF('Raw Data'!K390="","",IF(LEN('Raw Data'!K390)&lt;7,SUBSTITUTE('Raw Data'!K390," ",":",1),'Raw Data'!K390))</f>
        <v/>
      </c>
      <c r="L390" t="str">
        <f>IF('Raw Data'!L390="","",'Raw Data'!L390)</f>
        <v/>
      </c>
      <c r="M390" t="str">
        <f>IF('Raw Data'!M390="","",'Raw Data'!M390)</f>
        <v>Mag Var 10(deg) 35' W</v>
      </c>
      <c r="N390" t="str">
        <f>IF('Raw Data'!N390="","",IF('Raw Data'!N390="-",0,'Raw Data'!N390))</f>
        <v/>
      </c>
      <c r="O390" t="str">
        <f>IF('Raw Data'!O390="",IF('Raw Data'!N390="","",0),'Raw Data'!O390)</f>
        <v>Alt/ OD</v>
      </c>
      <c r="P390" t="str">
        <f>IF('Raw Data'!P390="","",'Raw Data'!P390)</f>
        <v/>
      </c>
      <c r="W390" s="4"/>
      <c r="X390" s="4"/>
      <c r="Y390" s="3"/>
      <c r="Z390" s="4" t="s">
        <v>989</v>
      </c>
    </row>
    <row r="391" spans="1:26" x14ac:dyDescent="0.25">
      <c r="A391" t="str">
        <f>IF('Raw Data'!A391="","",'Raw Data'!A391)</f>
        <v>ag</v>
      </c>
      <c r="B391">
        <f>IF('Raw Data'!B391="","",'Raw Data'!B391)</f>
        <v>98</v>
      </c>
      <c r="C391">
        <f>IF('Raw Data'!C391="","",'Raw Data'!C391)</f>
        <v>2</v>
      </c>
      <c r="D391">
        <f>IF('Raw Data'!D391="","",'Raw Data'!D391)</f>
        <v>1.5</v>
      </c>
      <c r="E391" t="str">
        <f>IF('Raw Data'!E391="","",'Raw Data'!E391)</f>
        <v>/</v>
      </c>
      <c r="F391" t="str">
        <f>IF('Raw Data'!F391="","",'Raw Data'!F391)</f>
        <v>/</v>
      </c>
      <c r="G391" s="7" t="str">
        <f>IF('Raw Data'!G391="/","-",IF('Raw Data'!G391="","-",SUBSTITUTE('Raw Data'!G391," ",":",1)))</f>
        <v>-</v>
      </c>
      <c r="H391" s="7" t="str">
        <f>IF('Raw Data'!H391="/","-",IF('Raw Data'!H391="","-",SUBSTITUTE('Raw Data'!H391," ",":",1)))</f>
        <v>324:00</v>
      </c>
      <c r="I391" s="7" t="str">
        <f>IF('Raw Data'!I391="/","-",IF('Raw Data'!I391="","-",SUBSTITUTE('Raw Data'!I391," ",":",1)))</f>
        <v>144:00</v>
      </c>
      <c r="J391" s="12">
        <f>IF('Raw Data'!J391="",IF(LEN(K391)&gt;6,SQRT('Raw Data'!M391^2+N391^2),""),'Raw Data'!J391)</f>
        <v>3.3</v>
      </c>
      <c r="K391" s="7" t="str">
        <f>IF('Raw Data'!K391="","",IF(LEN('Raw Data'!K391)&lt;7,SUBSTITUTE('Raw Data'!K391," ",":",1),'Raw Data'!K391))</f>
        <v>23:00</v>
      </c>
      <c r="L391" t="str">
        <f>IF('Raw Data'!L391="","",'Raw Data'!L391)</f>
        <v/>
      </c>
      <c r="M391">
        <f>IF('Raw Data'!M391="","",'Raw Data'!M391)</f>
        <v>3</v>
      </c>
      <c r="N391">
        <f>IF('Raw Data'!N391="","",IF('Raw Data'!N391="-",0,'Raw Data'!N391))</f>
        <v>1.3</v>
      </c>
      <c r="O391">
        <f>IF('Raw Data'!O391="",IF('Raw Data'!N391="","",0),'Raw Data'!O391)</f>
        <v>470.1</v>
      </c>
      <c r="P391" t="str">
        <f>IF('Raw Data'!P391="","",'Raw Data'!P391)</f>
        <v>ag on page 65</v>
      </c>
      <c r="R391" s="3" t="str">
        <f t="shared" ref="R391:R392" si="139">IF(ISERROR(FIND(":",G391)),IF(G391&lt;&gt;"-",1*G391,G391),1*LEFT(G391,FIND(":",G391)-1)+RIGHT(G391,LEN(G391)-FIND(":",G391))/60)</f>
        <v>-</v>
      </c>
      <c r="S391" s="3">
        <f t="shared" ref="S391:S392" si="140">IF(ISERROR(FIND(":",H391)),IF(H391&lt;&gt;"-",1*H391,H391),1*LEFT(H391,FIND(":",H391)-1)+RIGHT(H391,LEN(H391)-FIND(":",H391))/60)</f>
        <v>324</v>
      </c>
      <c r="T391" s="3">
        <f t="shared" ref="T391:T392" si="141">IF(ISERROR(FIND(":",I391)),IF(I391&lt;&gt;"-",1*I391,I391),1*LEFT(I391,FIND(":",I391)-1)+RIGHT(I391,LEN(I391)-FIND(":",I391))/60)</f>
        <v>144</v>
      </c>
      <c r="U391" s="3">
        <f t="shared" ref="U391:U392" si="142">IF(ISERROR(FIND(":",K391)),IF(K391="zero",0,1*K391),1*CONCATENATE(LEFT(K391,FIND(":",K391)-1),".",MID(RIGHT(K391,LEN(K391)-FIND(":",K391))/60,3,8)))</f>
        <v>23</v>
      </c>
      <c r="W391" s="4">
        <f t="shared" ref="W391:W438" si="143">J391*COS(U391*PI()/180)</f>
        <v>3.0376660163930529</v>
      </c>
      <c r="X391" s="4">
        <f t="shared" ref="X391:X438" si="144">J391*SIN(U391*PI()/180)</f>
        <v>1.2894127240146032</v>
      </c>
      <c r="Y391" s="3">
        <f t="shared" ref="Y391:Y438" si="145">IF(R391="-",IF(S391&gt;180,S391-180,S391+180),R391)</f>
        <v>144</v>
      </c>
      <c r="Z391" s="4">
        <f>IF('Raw Data'!O391="","",O391)</f>
        <v>470.1</v>
      </c>
    </row>
    <row r="392" spans="1:26" x14ac:dyDescent="0.25">
      <c r="A392">
        <f>IF('Raw Data'!A392="","",'Raw Data'!A392)</f>
        <v>98</v>
      </c>
      <c r="B392">
        <f>IF('Raw Data'!B392="","",'Raw Data'!B392)</f>
        <v>99</v>
      </c>
      <c r="C392" t="str">
        <f>IF('Raw Data'!C392="","",'Raw Data'!C392)</f>
        <v>/</v>
      </c>
      <c r="D392" t="str">
        <f>IF('Raw Data'!D392="","",'Raw Data'!D392)</f>
        <v>/</v>
      </c>
      <c r="E392" t="str">
        <f>IF('Raw Data'!E392="","",'Raw Data'!E392)</f>
        <v>/</v>
      </c>
      <c r="F392" t="str">
        <f>IF('Raw Data'!F392="","",'Raw Data'!F392)</f>
        <v>/</v>
      </c>
      <c r="G392" s="7" t="str">
        <f>IF('Raw Data'!G392="/","-",IF('Raw Data'!G392="","-",SUBSTITUTE('Raw Data'!G392," ",":",1)))</f>
        <v>262:45</v>
      </c>
      <c r="H392" s="7" t="str">
        <f>IF('Raw Data'!H392="/","-",IF('Raw Data'!H392="","-",SUBSTITUTE('Raw Data'!H392," ",":",1)))</f>
        <v>-</v>
      </c>
      <c r="I392" s="7" t="str">
        <f>IF('Raw Data'!I392="/","-",IF('Raw Data'!I392="","-",SUBSTITUTE('Raw Data'!I392," ",":",1)))</f>
        <v>262:45</v>
      </c>
      <c r="J392" s="12">
        <f>IF('Raw Data'!J392="",IF(LEN(K392)&gt;6,SQRT('Raw Data'!M392^2+N392^2),""),'Raw Data'!J392)</f>
        <v>19.5</v>
      </c>
      <c r="K392" s="7" t="str">
        <f>IF('Raw Data'!K392="","",IF(LEN('Raw Data'!K392)&lt;7,SUBSTITUTE('Raw Data'!K392," ",":",1),'Raw Data'!K392))</f>
        <v>-19:30</v>
      </c>
      <c r="L392" t="str">
        <f>IF('Raw Data'!L392="","",'Raw Data'!L392)</f>
        <v/>
      </c>
      <c r="M392">
        <f>IF('Raw Data'!M392="","",'Raw Data'!M392)</f>
        <v>18.399999999999999</v>
      </c>
      <c r="N392">
        <f>IF('Raw Data'!N392="","",IF('Raw Data'!N392="-",0,'Raw Data'!N392))</f>
        <v>-6.5</v>
      </c>
      <c r="O392">
        <f>IF('Raw Data'!O392="",IF('Raw Data'!N392="","",0),'Raw Data'!O392)</f>
        <v>471.4</v>
      </c>
      <c r="P392" t="str">
        <f>IF('Raw Data'!P392="","",'Raw Data'!P392)</f>
        <v/>
      </c>
      <c r="R392" s="3">
        <f t="shared" si="139"/>
        <v>262.75</v>
      </c>
      <c r="S392" s="3" t="str">
        <f t="shared" si="140"/>
        <v>-</v>
      </c>
      <c r="T392" s="3">
        <f t="shared" si="141"/>
        <v>262.75</v>
      </c>
      <c r="U392" s="3">
        <f t="shared" si="142"/>
        <v>-19.5</v>
      </c>
      <c r="W392" s="4">
        <f t="shared" si="143"/>
        <v>18.38150907629748</v>
      </c>
      <c r="X392" s="4">
        <f t="shared" si="144"/>
        <v>-6.5092337550585322</v>
      </c>
      <c r="Y392" s="3">
        <f t="shared" si="145"/>
        <v>262.75</v>
      </c>
      <c r="Z392" s="4">
        <f>IF('Raw Data'!O392="","",O391+N391)</f>
        <v>471.40000000000003</v>
      </c>
    </row>
    <row r="393" spans="1:26" x14ac:dyDescent="0.25">
      <c r="A393">
        <f>IF('Raw Data'!A393="","",'Raw Data'!A393)</f>
        <v>99</v>
      </c>
      <c r="B393">
        <f>IF('Raw Data'!B393="","",'Raw Data'!B393)</f>
        <v>100</v>
      </c>
      <c r="C393">
        <f>IF('Raw Data'!C393="","",'Raw Data'!C393)</f>
        <v>1</v>
      </c>
      <c r="D393">
        <f>IF('Raw Data'!D393="","",'Raw Data'!D393)</f>
        <v>0.3</v>
      </c>
      <c r="E393">
        <f>IF('Raw Data'!E393="","",'Raw Data'!E393)</f>
        <v>1.8</v>
      </c>
      <c r="F393">
        <f>IF('Raw Data'!F393="","",'Raw Data'!F393)</f>
        <v>3</v>
      </c>
      <c r="G393" s="7" t="str">
        <f>IF('Raw Data'!G393="/","-",IF('Raw Data'!G393="","-",SUBSTITUTE('Raw Data'!G393," ",":",1)))</f>
        <v>262:00</v>
      </c>
      <c r="H393" s="7" t="str">
        <f>IF('Raw Data'!H393="/","-",IF('Raw Data'!H393="","-",SUBSTITUTE('Raw Data'!H393," ",":",1)))</f>
        <v>-</v>
      </c>
      <c r="I393" s="7" t="str">
        <f>IF('Raw Data'!I393="/","-",IF('Raw Data'!I393="","-",SUBSTITUTE('Raw Data'!I393," ",":",1)))</f>
        <v>262:00</v>
      </c>
      <c r="J393" s="12">
        <f>IF('Raw Data'!J393="",IF(LEN(K393)&gt;6,SQRT('Raw Data'!M393^2+N393^2),""),'Raw Data'!J393)</f>
        <v>7.3</v>
      </c>
      <c r="K393" s="7" t="str">
        <f>IF('Raw Data'!K393="","",IF(LEN('Raw Data'!K393)&lt;7,SUBSTITUTE('Raw Data'!K393," ",":",1),'Raw Data'!K393))</f>
        <v>+0.2 feet</v>
      </c>
      <c r="L393" t="str">
        <f>IF('Raw Data'!L393="","",'Raw Data'!L393)</f>
        <v/>
      </c>
      <c r="M393">
        <f>IF('Raw Data'!M393="","",'Raw Data'!M393)</f>
        <v>7.3</v>
      </c>
      <c r="N393">
        <f>IF('Raw Data'!N393="","",IF('Raw Data'!N393="-",0,'Raw Data'!N393))</f>
        <v>0.2</v>
      </c>
      <c r="O393">
        <f>IF('Raw Data'!O393="",IF('Raw Data'!N393="","",0),'Raw Data'!O393)</f>
        <v>464.9</v>
      </c>
      <c r="P393" t="str">
        <f>IF('Raw Data'!P393="","",'Raw Data'!P393)</f>
        <v>Near side of pool in Mud sump</v>
      </c>
      <c r="R393" s="3">
        <f t="shared" ref="R393:R428" si="146">IF(ISERROR(FIND(":",G393)),IF(G393&lt;&gt;"-",1*G393,G393),1*LEFT(G393,FIND(":",G393)-1)+RIGHT(G393,LEN(G393)-FIND(":",G393))/60)</f>
        <v>262</v>
      </c>
      <c r="S393" s="3" t="str">
        <f t="shared" ref="S393:S428" si="147">IF(ISERROR(FIND(":",H393)),IF(H393&lt;&gt;"-",1*H393,H393),1*LEFT(H393,FIND(":",H393)-1)+RIGHT(H393,LEN(H393)-FIND(":",H393))/60)</f>
        <v>-</v>
      </c>
      <c r="T393" s="3">
        <f t="shared" ref="T393:T428" si="148">IF(ISERROR(FIND(":",I393)),IF(I393&lt;&gt;"-",1*I393,I393),1*LEFT(I393,FIND(":",I393)-1)+RIGHT(I393,LEN(I393)-FIND(":",I393))/60)</f>
        <v>262</v>
      </c>
      <c r="U393" s="9">
        <f t="shared" ref="U393" si="149">ASIN(N393/J393)*180/PI()</f>
        <v>1.5699438282612768</v>
      </c>
      <c r="W393" s="4">
        <f t="shared" si="143"/>
        <v>7.2972597596632118</v>
      </c>
      <c r="X393" s="4">
        <f t="shared" si="144"/>
        <v>0.2</v>
      </c>
      <c r="Y393" s="3">
        <f t="shared" si="145"/>
        <v>262</v>
      </c>
      <c r="Z393" s="4">
        <f>IF('Raw Data'!O393="","",O392+N392)</f>
        <v>464.9</v>
      </c>
    </row>
    <row r="394" spans="1:26" x14ac:dyDescent="0.25">
      <c r="A394">
        <f>IF('Raw Data'!A394="","",'Raw Data'!A394)</f>
        <v>100</v>
      </c>
      <c r="B394">
        <f>IF('Raw Data'!B394="","",'Raw Data'!B394)</f>
        <v>101</v>
      </c>
      <c r="C394">
        <f>IF('Raw Data'!C394="","",'Raw Data'!C394)</f>
        <v>3</v>
      </c>
      <c r="D394">
        <f>IF('Raw Data'!D394="","",'Raw Data'!D394)</f>
        <v>0.3</v>
      </c>
      <c r="E394">
        <f>IF('Raw Data'!E394="","",'Raw Data'!E394)</f>
        <v>3.5</v>
      </c>
      <c r="F394">
        <f>IF('Raw Data'!F394="","",'Raw Data'!F394)</f>
        <v>1.2</v>
      </c>
      <c r="G394" s="7" t="str">
        <f>IF('Raw Data'!G394="/","-",IF('Raw Data'!G394="","-",SUBSTITUTE('Raw Data'!G394," ",":",1)))</f>
        <v>-</v>
      </c>
      <c r="H394" s="7" t="str">
        <f>IF('Raw Data'!H394="/","-",IF('Raw Data'!H394="","-",SUBSTITUTE('Raw Data'!H394," ",":",1)))</f>
        <v>033:20</v>
      </c>
      <c r="I394" s="7" t="str">
        <f>IF('Raw Data'!I394="/","-",IF('Raw Data'!I394="","-",SUBSTITUTE('Raw Data'!I394," ",":",1)))</f>
        <v>213:20</v>
      </c>
      <c r="J394" s="12">
        <f>IF('Raw Data'!J394="",IF(LEN(K394)&gt;6,SQRT('Raw Data'!M394^2+N394^2),""),'Raw Data'!J394)</f>
        <v>10.5</v>
      </c>
      <c r="K394" s="7" t="str">
        <f>IF('Raw Data'!K394="","",IF(LEN('Raw Data'!K394)&lt;7,SUBSTITUTE('Raw Data'!K394," ",":",1),'Raw Data'!K394))</f>
        <v>38:20</v>
      </c>
      <c r="L394" t="str">
        <f>IF('Raw Data'!L394="","",'Raw Data'!L394)</f>
        <v/>
      </c>
      <c r="M394">
        <f>IF('Raw Data'!M394="","",'Raw Data'!M394)</f>
        <v>8.1999999999999993</v>
      </c>
      <c r="N394">
        <f>IF('Raw Data'!N394="","",IF('Raw Data'!N394="-",0,'Raw Data'!N394))</f>
        <v>6.5</v>
      </c>
      <c r="O394">
        <f>IF('Raw Data'!O394="",IF('Raw Data'!N394="","",0),'Raw Data'!O394)</f>
        <v>465.1</v>
      </c>
      <c r="P394" t="str">
        <f>IF('Raw Data'!P394="","",'Raw Data'!P394)</f>
        <v>Far side of pool in Mud sump</v>
      </c>
      <c r="R394" s="3" t="str">
        <f t="shared" si="146"/>
        <v>-</v>
      </c>
      <c r="S394" s="3">
        <f t="shared" si="147"/>
        <v>33.333333333333336</v>
      </c>
      <c r="T394" s="3">
        <f t="shared" si="148"/>
        <v>213.33333333333334</v>
      </c>
      <c r="U394" s="3">
        <f t="shared" ref="U394:U409" si="150">IF(ISERROR(FIND(":",K394)),IF(K394="zero",0,1*K394),1*CONCATENATE(LEFT(K394,FIND(":",K394)-1),".",MID(RIGHT(K394,LEN(K394)-FIND(":",K394))/60,3,8)))</f>
        <v>38.333333330000002</v>
      </c>
      <c r="W394" s="4">
        <f t="shared" si="143"/>
        <v>8.2363644820344248</v>
      </c>
      <c r="X394" s="4">
        <f t="shared" si="144"/>
        <v>6.5124726578375594</v>
      </c>
      <c r="Y394" s="3">
        <f t="shared" si="145"/>
        <v>213.33333333333334</v>
      </c>
      <c r="Z394" s="4">
        <f>IF('Raw Data'!O394="","",O393+N393)</f>
        <v>465.09999999999997</v>
      </c>
    </row>
    <row r="395" spans="1:26" x14ac:dyDescent="0.25">
      <c r="A395">
        <f>IF('Raw Data'!A395="","",'Raw Data'!A395)</f>
        <v>101</v>
      </c>
      <c r="B395">
        <f>IF('Raw Data'!B395="","",'Raw Data'!B395)</f>
        <v>102</v>
      </c>
      <c r="C395">
        <f>IF('Raw Data'!C395="","",'Raw Data'!C395)</f>
        <v>3</v>
      </c>
      <c r="D395">
        <f>IF('Raw Data'!D395="","",'Raw Data'!D395)</f>
        <v>1</v>
      </c>
      <c r="E395" t="str">
        <f>IF('Raw Data'!E395="","",'Raw Data'!E395)</f>
        <v>14 in passage</v>
      </c>
      <c r="F395">
        <f>IF('Raw Data'!F395="","",'Raw Data'!F395)</f>
        <v>4</v>
      </c>
      <c r="G395" s="7" t="str">
        <f>IF('Raw Data'!G395="/","-",IF('Raw Data'!G395="","-",SUBSTITUTE('Raw Data'!G395," ",":",1)))</f>
        <v>185:10</v>
      </c>
      <c r="H395" s="7" t="str">
        <f>IF('Raw Data'!H395="/","-",IF('Raw Data'!H395="","-",SUBSTITUTE('Raw Data'!H395," ",":",1)))</f>
        <v>-</v>
      </c>
      <c r="I395" s="7" t="str">
        <f>IF('Raw Data'!I395="/","-",IF('Raw Data'!I395="","-",SUBSTITUTE('Raw Data'!I395," ",":",1)))</f>
        <v>185:10</v>
      </c>
      <c r="J395" s="12">
        <f>IF('Raw Data'!J395="",IF(LEN(K395)&gt;6,SQRT('Raw Data'!M395^2+N395^2),""),'Raw Data'!J395)</f>
        <v>15.5</v>
      </c>
      <c r="K395" s="7" t="str">
        <f>IF('Raw Data'!K395="","",IF(LEN('Raw Data'!K395)&lt;7,SUBSTITUTE('Raw Data'!K395," ",":",1),'Raw Data'!K395))</f>
        <v>-7:00</v>
      </c>
      <c r="L395" t="str">
        <f>IF('Raw Data'!L395="","",'Raw Data'!L395)</f>
        <v/>
      </c>
      <c r="M395">
        <f>IF('Raw Data'!M395="","",'Raw Data'!M395)</f>
        <v>15.4</v>
      </c>
      <c r="N395">
        <f>IF('Raw Data'!N395="","",IF('Raw Data'!N395="-",0,'Raw Data'!N395))</f>
        <v>-1.9</v>
      </c>
      <c r="O395">
        <f>IF('Raw Data'!O395="",IF('Raw Data'!N395="","",0),'Raw Data'!O395)</f>
        <v>471.6</v>
      </c>
      <c r="P395" t="str">
        <f>IF('Raw Data'!P395="","",'Raw Data'!P395)</f>
        <v/>
      </c>
      <c r="R395" s="3">
        <f t="shared" si="146"/>
        <v>185.16666666666666</v>
      </c>
      <c r="S395" s="3" t="str">
        <f t="shared" si="147"/>
        <v>-</v>
      </c>
      <c r="T395" s="3">
        <f t="shared" si="148"/>
        <v>185.16666666666666</v>
      </c>
      <c r="U395" s="3">
        <f t="shared" si="150"/>
        <v>-7</v>
      </c>
      <c r="W395" s="4">
        <f t="shared" si="143"/>
        <v>15.384465350440491</v>
      </c>
      <c r="X395" s="4">
        <f t="shared" si="144"/>
        <v>-1.8889748227797858</v>
      </c>
      <c r="Y395" s="3">
        <f t="shared" si="145"/>
        <v>185.16666666666666</v>
      </c>
      <c r="Z395" s="4">
        <f>IF('Raw Data'!O395="","",O394+N394)</f>
        <v>471.6</v>
      </c>
    </row>
    <row r="396" spans="1:26" x14ac:dyDescent="0.25">
      <c r="A396">
        <f>IF('Raw Data'!A396="","",'Raw Data'!A396)</f>
        <v>102</v>
      </c>
      <c r="B396">
        <f>IF('Raw Data'!B396="","",'Raw Data'!B396)</f>
        <v>103</v>
      </c>
      <c r="C396" t="str">
        <f>IF('Raw Data'!C396="","",'Raw Data'!C396)</f>
        <v>15 in aven</v>
      </c>
      <c r="D396">
        <f>IF('Raw Data'!D396="","",'Raw Data'!D396)</f>
        <v>1</v>
      </c>
      <c r="E396">
        <f>IF('Raw Data'!E396="","",'Raw Data'!E396)</f>
        <v>2</v>
      </c>
      <c r="F396" t="str">
        <f>IF('Raw Data'!F396="","",'Raw Data'!F396)</f>
        <v>7 to aven</v>
      </c>
      <c r="G396" s="7" t="str">
        <f>IF('Raw Data'!G396="/","-",IF('Raw Data'!G396="","-",SUBSTITUTE('Raw Data'!G396," ",":",1)))</f>
        <v>-</v>
      </c>
      <c r="H396" s="7" t="str">
        <f>IF('Raw Data'!H396="/","-",IF('Raw Data'!H396="","-",SUBSTITUTE('Raw Data'!H396," ",":",1)))</f>
        <v>323:20</v>
      </c>
      <c r="I396" s="7" t="str">
        <f>IF('Raw Data'!I396="/","-",IF('Raw Data'!I396="","-",SUBSTITUTE('Raw Data'!I396," ",":",1)))</f>
        <v>143:20</v>
      </c>
      <c r="J396" s="12">
        <f>IF('Raw Data'!J396="",IF(LEN(K396)&gt;6,SQRT('Raw Data'!M396^2+N396^2),""),'Raw Data'!J396)</f>
        <v>28.9</v>
      </c>
      <c r="K396" s="7" t="str">
        <f>IF('Raw Data'!K396="","",IF(LEN('Raw Data'!K396)&lt;7,SUBSTITUTE('Raw Data'!K396," ",":",1),'Raw Data'!K396))</f>
        <v>20:30</v>
      </c>
      <c r="L396" t="str">
        <f>IF('Raw Data'!L396="","",'Raw Data'!L396)</f>
        <v/>
      </c>
      <c r="M396">
        <f>IF('Raw Data'!M396="","",'Raw Data'!M396)</f>
        <v>27</v>
      </c>
      <c r="N396">
        <f>IF('Raw Data'!N396="","",IF('Raw Data'!N396="-",0,'Raw Data'!N396))</f>
        <v>10.1</v>
      </c>
      <c r="O396">
        <f>IF('Raw Data'!O396="",IF('Raw Data'!N396="","",0),'Raw Data'!O396)</f>
        <v>469.7</v>
      </c>
      <c r="P396" t="str">
        <f>IF('Raw Data'!P396="","",'Raw Data'!P396)</f>
        <v/>
      </c>
      <c r="R396" s="3" t="str">
        <f t="shared" si="146"/>
        <v>-</v>
      </c>
      <c r="S396" s="3">
        <f t="shared" si="147"/>
        <v>323.33333333333331</v>
      </c>
      <c r="T396" s="3">
        <f t="shared" si="148"/>
        <v>143.33333333333334</v>
      </c>
      <c r="U396" s="3">
        <f t="shared" si="150"/>
        <v>20.5</v>
      </c>
      <c r="W396" s="4">
        <f t="shared" si="143"/>
        <v>27.069826269278693</v>
      </c>
      <c r="X396" s="4">
        <f t="shared" si="144"/>
        <v>10.120993318398607</v>
      </c>
      <c r="Y396" s="3">
        <f t="shared" si="145"/>
        <v>143.33333333333331</v>
      </c>
      <c r="Z396" s="4">
        <f>IF('Raw Data'!O396="","",O395+N395)</f>
        <v>469.70000000000005</v>
      </c>
    </row>
    <row r="397" spans="1:26" x14ac:dyDescent="0.25">
      <c r="A397">
        <f>IF('Raw Data'!A397="","",'Raw Data'!A397)</f>
        <v>103</v>
      </c>
      <c r="B397">
        <f>IF('Raw Data'!B397="","",'Raw Data'!B397)</f>
        <v>104</v>
      </c>
      <c r="C397" t="str">
        <f>IF('Raw Data'!C397="","",'Raw Data'!C397)</f>
        <v>20 in double passage</v>
      </c>
      <c r="D397">
        <f>IF('Raw Data'!D397="","",'Raw Data'!D397)</f>
        <v>6</v>
      </c>
      <c r="E397">
        <f>IF('Raw Data'!E397="","",'Raw Data'!E397)</f>
        <v>1</v>
      </c>
      <c r="F397">
        <f>IF('Raw Data'!F397="","",'Raw Data'!F397)</f>
        <v>3</v>
      </c>
      <c r="G397" s="7" t="str">
        <f>IF('Raw Data'!G397="/","-",IF('Raw Data'!G397="","-",SUBSTITUTE('Raw Data'!G397," ",":",1)))</f>
        <v>161:30</v>
      </c>
      <c r="H397" s="7" t="str">
        <f>IF('Raw Data'!H397="/","-",IF('Raw Data'!H397="","-",SUBSTITUTE('Raw Data'!H397," ",":",1)))</f>
        <v>-</v>
      </c>
      <c r="I397" s="7" t="str">
        <f>IF('Raw Data'!I397="/","-",IF('Raw Data'!I397="","-",SUBSTITUTE('Raw Data'!I397," ",":",1)))</f>
        <v>161:30</v>
      </c>
      <c r="J397" s="12">
        <f>IF('Raw Data'!J397="",IF(LEN(K397)&gt;6,SQRT('Raw Data'!M397^2+N397^2),""),'Raw Data'!J397)</f>
        <v>7.5</v>
      </c>
      <c r="K397" s="7" t="str">
        <f>IF('Raw Data'!K397="","",IF(LEN('Raw Data'!K397)&lt;7,SUBSTITUTE('Raw Data'!K397," ",":",1),'Raw Data'!K397))</f>
        <v>-12:30</v>
      </c>
      <c r="L397" t="str">
        <f>IF('Raw Data'!L397="","",'Raw Data'!L397)</f>
        <v/>
      </c>
      <c r="M397">
        <f>IF('Raw Data'!M397="","",'Raw Data'!M397)</f>
        <v>7.3</v>
      </c>
      <c r="N397">
        <f>IF('Raw Data'!N397="","",IF('Raw Data'!N397="-",0,'Raw Data'!N397))</f>
        <v>-1.6</v>
      </c>
      <c r="O397">
        <f>IF('Raw Data'!O397="",IF('Raw Data'!N397="","",0),'Raw Data'!O397)</f>
        <v>479.8</v>
      </c>
      <c r="P397" t="str">
        <f>IF('Raw Data'!P397="","",'Raw Data'!P397)</f>
        <v/>
      </c>
      <c r="R397" s="3">
        <f t="shared" si="146"/>
        <v>161.5</v>
      </c>
      <c r="S397" s="3" t="str">
        <f t="shared" si="147"/>
        <v>-</v>
      </c>
      <c r="T397" s="3">
        <f t="shared" si="148"/>
        <v>161.5</v>
      </c>
      <c r="U397" s="3">
        <f t="shared" si="150"/>
        <v>-12.5</v>
      </c>
      <c r="W397" s="4">
        <f t="shared" si="143"/>
        <v>7.3222200533995006</v>
      </c>
      <c r="X397" s="4">
        <f t="shared" si="144"/>
        <v>-1.6232971045357716</v>
      </c>
      <c r="Y397" s="3">
        <f t="shared" si="145"/>
        <v>161.5</v>
      </c>
      <c r="Z397" s="4">
        <f>IF('Raw Data'!O397="","",O396+N396)</f>
        <v>479.8</v>
      </c>
    </row>
    <row r="398" spans="1:26" x14ac:dyDescent="0.25">
      <c r="A398">
        <f>IF('Raw Data'!A398="","",'Raw Data'!A398)</f>
        <v>104</v>
      </c>
      <c r="B398">
        <f>IF('Raw Data'!B398="","",'Raw Data'!B398)</f>
        <v>105</v>
      </c>
      <c r="C398">
        <f>IF('Raw Data'!C398="","",'Raw Data'!C398)</f>
        <v>20</v>
      </c>
      <c r="D398">
        <f>IF('Raw Data'!D398="","",'Raw Data'!D398)</f>
        <v>3</v>
      </c>
      <c r="E398">
        <f>IF('Raw Data'!E398="","",'Raw Data'!E398)</f>
        <v>1</v>
      </c>
      <c r="F398" t="str">
        <f>IF('Raw Data'!F398="","",'Raw Data'!F398)</f>
        <v>6 in fault</v>
      </c>
      <c r="G398" s="7" t="str">
        <f>IF('Raw Data'!G398="/","-",IF('Raw Data'!G398="","-",SUBSTITUTE('Raw Data'!G398," ",":",1)))</f>
        <v>-</v>
      </c>
      <c r="H398" s="7" t="str">
        <f>IF('Raw Data'!H398="/","-",IF('Raw Data'!H398="","-",SUBSTITUTE('Raw Data'!H398," ",":",1)))</f>
        <v>296:40</v>
      </c>
      <c r="I398" s="7" t="str">
        <f>IF('Raw Data'!I398="/","-",IF('Raw Data'!I398="","-",SUBSTITUTE('Raw Data'!I398," ",":",1)))</f>
        <v>116:40</v>
      </c>
      <c r="J398" s="12">
        <f>IF('Raw Data'!J398="",IF(LEN(K398)&gt;6,SQRT('Raw Data'!M398^2+N398^2),""),'Raw Data'!J398)</f>
        <v>6.7</v>
      </c>
      <c r="K398" s="7" t="str">
        <f>IF('Raw Data'!K398="","",IF(LEN('Raw Data'!K398)&lt;7,SUBSTITUTE('Raw Data'!K398," ",":",1),'Raw Data'!K398))</f>
        <v>10:30</v>
      </c>
      <c r="L398" t="str">
        <f>IF('Raw Data'!L398="","",'Raw Data'!L398)</f>
        <v/>
      </c>
      <c r="M398">
        <f>IF('Raw Data'!M398="","",'Raw Data'!M398)</f>
        <v>6.6</v>
      </c>
      <c r="N398">
        <f>IF('Raw Data'!N398="","",IF('Raw Data'!N398="-",0,'Raw Data'!N398))</f>
        <v>1.2</v>
      </c>
      <c r="O398">
        <f>IF('Raw Data'!O398="",IF('Raw Data'!N398="","",0),'Raw Data'!O398)</f>
        <v>478.2</v>
      </c>
      <c r="P398" t="str">
        <f>IF('Raw Data'!P398="","",'Raw Data'!P398)</f>
        <v/>
      </c>
      <c r="R398" s="3" t="str">
        <f t="shared" si="146"/>
        <v>-</v>
      </c>
      <c r="S398" s="3">
        <f t="shared" si="147"/>
        <v>296.66666666666669</v>
      </c>
      <c r="T398" s="3">
        <f t="shared" si="148"/>
        <v>116.66666666666667</v>
      </c>
      <c r="U398" s="3">
        <f t="shared" si="150"/>
        <v>10.5</v>
      </c>
      <c r="W398" s="4">
        <f t="shared" si="143"/>
        <v>6.5878078806784961</v>
      </c>
      <c r="X398" s="4">
        <f t="shared" si="144"/>
        <v>1.2209780207973882</v>
      </c>
      <c r="Y398" s="3">
        <f t="shared" si="145"/>
        <v>116.66666666666669</v>
      </c>
      <c r="Z398" s="4">
        <f>IF('Raw Data'!O398="","",O397+N397)</f>
        <v>478.2</v>
      </c>
    </row>
    <row r="399" spans="1:26" x14ac:dyDescent="0.25">
      <c r="A399">
        <f>IF('Raw Data'!A399="","",'Raw Data'!A399)</f>
        <v>105</v>
      </c>
      <c r="B399">
        <f>IF('Raw Data'!B399="","",'Raw Data'!B399)</f>
        <v>106</v>
      </c>
      <c r="C399">
        <f>IF('Raw Data'!C399="","",'Raw Data'!C399)</f>
        <v>20</v>
      </c>
      <c r="D399">
        <f>IF('Raw Data'!D399="","",'Raw Data'!D399)</f>
        <v>2</v>
      </c>
      <c r="E399">
        <f>IF('Raw Data'!E399="","",'Raw Data'!E399)</f>
        <v>2</v>
      </c>
      <c r="F399">
        <f>IF('Raw Data'!F399="","",'Raw Data'!F399)</f>
        <v>1.5</v>
      </c>
      <c r="G399" s="7" t="str">
        <f>IF('Raw Data'!G399="/","-",IF('Raw Data'!G399="","-",SUBSTITUTE('Raw Data'!G399," ",":",1)))</f>
        <v>139:40</v>
      </c>
      <c r="H399" s="7" t="str">
        <f>IF('Raw Data'!H399="/","-",IF('Raw Data'!H399="","-",SUBSTITUTE('Raw Data'!H399," ",":",1)))</f>
        <v>-</v>
      </c>
      <c r="I399" s="7" t="str">
        <f>IF('Raw Data'!I399="/","-",IF('Raw Data'!I399="","-",SUBSTITUTE('Raw Data'!I399," ",":",1)))</f>
        <v>139:40</v>
      </c>
      <c r="J399" s="12">
        <f>IF('Raw Data'!J399="",IF(LEN(K399)&gt;6,SQRT('Raw Data'!M399^2+N399^2),""),'Raw Data'!J399)</f>
        <v>20.2</v>
      </c>
      <c r="K399" s="7" t="str">
        <f>IF('Raw Data'!K399="","",IF(LEN('Raw Data'!K399)&lt;7,SUBSTITUTE('Raw Data'!K399," ",":",1),'Raw Data'!K399))</f>
        <v>8:30</v>
      </c>
      <c r="L399" t="str">
        <f>IF('Raw Data'!L399="","",'Raw Data'!L399)</f>
        <v/>
      </c>
      <c r="M399">
        <f>IF('Raw Data'!M399="","",'Raw Data'!M399)</f>
        <v>20</v>
      </c>
      <c r="N399">
        <f>IF('Raw Data'!N399="","",IF('Raw Data'!N399="-",0,'Raw Data'!N399))</f>
        <v>3</v>
      </c>
      <c r="O399">
        <f>IF('Raw Data'!O399="",IF('Raw Data'!N399="","",0),'Raw Data'!O399)</f>
        <v>479.4</v>
      </c>
      <c r="P399" t="str">
        <f>IF('Raw Data'!P399="","",'Raw Data'!P399)</f>
        <v/>
      </c>
      <c r="R399" s="3">
        <f t="shared" si="146"/>
        <v>139.66666666666666</v>
      </c>
      <c r="S399" s="3" t="str">
        <f t="shared" si="147"/>
        <v>-</v>
      </c>
      <c r="T399" s="3">
        <f t="shared" si="148"/>
        <v>139.66666666666666</v>
      </c>
      <c r="U399" s="3">
        <f t="shared" si="150"/>
        <v>8.5</v>
      </c>
      <c r="W399" s="4">
        <f t="shared" si="143"/>
        <v>19.978120439910718</v>
      </c>
      <c r="X399" s="4">
        <f t="shared" si="144"/>
        <v>2.9857501048181345</v>
      </c>
      <c r="Y399" s="3">
        <f t="shared" si="145"/>
        <v>139.66666666666666</v>
      </c>
      <c r="Z399" s="4">
        <f>IF('Raw Data'!O399="","",O398+N398)</f>
        <v>479.4</v>
      </c>
    </row>
    <row r="400" spans="1:26" x14ac:dyDescent="0.25">
      <c r="A400">
        <f>IF('Raw Data'!A400="","",'Raw Data'!A400)</f>
        <v>106</v>
      </c>
      <c r="B400">
        <f>IF('Raw Data'!B400="","",'Raw Data'!B400)</f>
        <v>107</v>
      </c>
      <c r="C400">
        <f>IF('Raw Data'!C400="","",'Raw Data'!C400)</f>
        <v>18</v>
      </c>
      <c r="D400">
        <f>IF('Raw Data'!D400="","",'Raw Data'!D400)</f>
        <v>2</v>
      </c>
      <c r="E400">
        <f>IF('Raw Data'!E400="","",'Raw Data'!E400)</f>
        <v>2.5</v>
      </c>
      <c r="F400">
        <f>IF('Raw Data'!F400="","",'Raw Data'!F400)</f>
        <v>6</v>
      </c>
      <c r="G400" s="7" t="str">
        <f>IF('Raw Data'!G400="/","-",IF('Raw Data'!G400="","-",SUBSTITUTE('Raw Data'!G400," ",":",1)))</f>
        <v>-</v>
      </c>
      <c r="H400" s="7" t="str">
        <f>IF('Raw Data'!H400="/","-",IF('Raw Data'!H400="","-",SUBSTITUTE('Raw Data'!H400," ",":",1)))</f>
        <v>115:00</v>
      </c>
      <c r="I400" s="7" t="str">
        <f>IF('Raw Data'!I400="/","-",IF('Raw Data'!I400="","-",SUBSTITUTE('Raw Data'!I400," ",":",1)))</f>
        <v>295:00</v>
      </c>
      <c r="J400" s="12">
        <f>IF('Raw Data'!J400="",IF(LEN(K400)&gt;6,SQRT('Raw Data'!M400^2+N400^2),""),'Raw Data'!J400)</f>
        <v>3.3</v>
      </c>
      <c r="K400" s="7" t="str">
        <f>IF('Raw Data'!K400="","",IF(LEN('Raw Data'!K400)&lt;7,SUBSTITUTE('Raw Data'!K400," ",":",1),'Raw Data'!K400))</f>
        <v>6:00</v>
      </c>
      <c r="L400" t="str">
        <f>IF('Raw Data'!L400="","",'Raw Data'!L400)</f>
        <v/>
      </c>
      <c r="M400">
        <f>IF('Raw Data'!M400="","",'Raw Data'!M400)</f>
        <v>3.3</v>
      </c>
      <c r="N400">
        <f>IF('Raw Data'!N400="","",IF('Raw Data'!N400="-",0,'Raw Data'!N400))</f>
        <v>0.3</v>
      </c>
      <c r="O400">
        <f>IF('Raw Data'!O400="",IF('Raw Data'!N400="","",0),'Raw Data'!O400)</f>
        <v>482.4</v>
      </c>
      <c r="P400" t="str">
        <f>IF('Raw Data'!P400="","",'Raw Data'!P400)</f>
        <v/>
      </c>
      <c r="R400" s="3" t="str">
        <f t="shared" si="146"/>
        <v>-</v>
      </c>
      <c r="S400" s="3">
        <f t="shared" si="147"/>
        <v>115</v>
      </c>
      <c r="T400" s="3">
        <f t="shared" si="148"/>
        <v>295</v>
      </c>
      <c r="U400" s="3">
        <f t="shared" si="150"/>
        <v>6</v>
      </c>
      <c r="W400" s="4">
        <f t="shared" si="143"/>
        <v>3.2819222547153015</v>
      </c>
      <c r="X400" s="4">
        <f t="shared" si="144"/>
        <v>0.34494392878325641</v>
      </c>
      <c r="Y400" s="3">
        <f t="shared" si="145"/>
        <v>295</v>
      </c>
      <c r="Z400" s="4">
        <f>IF('Raw Data'!O400="","",O399+N399)</f>
        <v>482.4</v>
      </c>
    </row>
    <row r="401" spans="1:27" x14ac:dyDescent="0.25">
      <c r="A401">
        <f>IF('Raw Data'!A401="","",'Raw Data'!A401)</f>
        <v>107</v>
      </c>
      <c r="B401">
        <f>IF('Raw Data'!B401="","",'Raw Data'!B401)</f>
        <v>108</v>
      </c>
      <c r="C401" t="str">
        <f>IF('Raw Data'!C401="","",'Raw Data'!C401)</f>
        <v>/</v>
      </c>
      <c r="D401" t="str">
        <f>IF('Raw Data'!D401="","",'Raw Data'!D401)</f>
        <v>/</v>
      </c>
      <c r="E401" t="str">
        <f>IF('Raw Data'!E401="","",'Raw Data'!E401)</f>
        <v>/</v>
      </c>
      <c r="F401" t="str">
        <f>IF('Raw Data'!F401="","",'Raw Data'!F401)</f>
        <v>/</v>
      </c>
      <c r="G401" s="7" t="str">
        <f>IF('Raw Data'!G401="/","-",IF('Raw Data'!G401="","-",SUBSTITUTE('Raw Data'!G401," ",":",1)))</f>
        <v>155:00</v>
      </c>
      <c r="H401" s="7" t="str">
        <f>IF('Raw Data'!H401="/","-",IF('Raw Data'!H401="","-",SUBSTITUTE('Raw Data'!H401," ",":",1)))</f>
        <v>-</v>
      </c>
      <c r="I401" s="7" t="str">
        <f>IF('Raw Data'!I401="/","-",IF('Raw Data'!I401="","-",SUBSTITUTE('Raw Data'!I401," ",":",1)))</f>
        <v>155:00</v>
      </c>
      <c r="J401" s="12">
        <f>IF('Raw Data'!J401="",IF(LEN(K401)&gt;6,SQRT('Raw Data'!M401^2+N401^2),""),'Raw Data'!J401)</f>
        <v>15</v>
      </c>
      <c r="K401" s="7" t="str">
        <f>IF('Raw Data'!K401="","",IF(LEN('Raw Data'!K401)&lt;7,SUBSTITUTE('Raw Data'!K401," ",":",1),'Raw Data'!K401))</f>
        <v>-8:50</v>
      </c>
      <c r="L401" t="str">
        <f>IF('Raw Data'!L401="","",'Raw Data'!L401)</f>
        <v/>
      </c>
      <c r="M401">
        <f>IF('Raw Data'!M401="","",'Raw Data'!M401)</f>
        <v>14.8</v>
      </c>
      <c r="N401">
        <f>IF('Raw Data'!N401="","",IF('Raw Data'!N401="-",0,'Raw Data'!N401))</f>
        <v>-2.2999999999999998</v>
      </c>
      <c r="O401">
        <f>IF('Raw Data'!O401="",IF('Raw Data'!N401="","",0),'Raw Data'!O401)</f>
        <v>482.7</v>
      </c>
      <c r="P401" t="str">
        <f>IF('Raw Data'!P401="","",'Raw Data'!P401)</f>
        <v/>
      </c>
      <c r="R401" s="3">
        <f t="shared" si="146"/>
        <v>155</v>
      </c>
      <c r="S401" s="3" t="str">
        <f t="shared" si="147"/>
        <v>-</v>
      </c>
      <c r="T401" s="3">
        <f t="shared" si="148"/>
        <v>155</v>
      </c>
      <c r="U401" s="3">
        <f t="shared" si="150"/>
        <v>-8.8333333300000003</v>
      </c>
      <c r="W401" s="4">
        <f t="shared" si="143"/>
        <v>14.822088160035147</v>
      </c>
      <c r="X401" s="4">
        <f t="shared" si="144"/>
        <v>-2.30341107406948</v>
      </c>
      <c r="Y401" s="3">
        <f t="shared" si="145"/>
        <v>155</v>
      </c>
      <c r="Z401" s="4">
        <f>IF('Raw Data'!O401="","",O400+N400)</f>
        <v>482.7</v>
      </c>
    </row>
    <row r="402" spans="1:27" x14ac:dyDescent="0.25">
      <c r="A402">
        <f>IF('Raw Data'!A402="","",'Raw Data'!A402)</f>
        <v>108</v>
      </c>
      <c r="B402">
        <f>IF('Raw Data'!B402="","",'Raw Data'!B402)</f>
        <v>109</v>
      </c>
      <c r="C402">
        <f>IF('Raw Data'!C402="","",'Raw Data'!C402)</f>
        <v>3</v>
      </c>
      <c r="D402">
        <f>IF('Raw Data'!D402="","",'Raw Data'!D402)</f>
        <v>1.5</v>
      </c>
      <c r="E402">
        <f>IF('Raw Data'!E402="","",'Raw Data'!E402)</f>
        <v>15</v>
      </c>
      <c r="F402" t="str">
        <f>IF('Raw Data'!F402="","",'Raw Data'!F402)</f>
        <v>/</v>
      </c>
      <c r="G402" s="7" t="str">
        <f>IF('Raw Data'!G402="/","-",IF('Raw Data'!G402="","-",SUBSTITUTE('Raw Data'!G402," ",":",1)))</f>
        <v>-</v>
      </c>
      <c r="H402" s="7" t="str">
        <f>IF('Raw Data'!H402="/","-",IF('Raw Data'!H402="","-",SUBSTITUTE('Raw Data'!H402," ",":",1)))</f>
        <v>056:40</v>
      </c>
      <c r="I402" s="7" t="str">
        <f>IF('Raw Data'!I402="/","-",IF('Raw Data'!I402="","-",SUBSTITUTE('Raw Data'!I402," ",":",1)))</f>
        <v>236:40</v>
      </c>
      <c r="J402" s="12">
        <f>IF('Raw Data'!J402="",IF(LEN(K402)&gt;6,SQRT('Raw Data'!M402^2+N402^2),""),'Raw Data'!J402)</f>
        <v>40.200000000000003</v>
      </c>
      <c r="K402" s="7" t="str">
        <f>IF('Raw Data'!K402="","",IF(LEN('Raw Data'!K402)&lt;7,SUBSTITUTE('Raw Data'!K402," ",":",1),'Raw Data'!K402))</f>
        <v>7:30</v>
      </c>
      <c r="L402" t="str">
        <f>IF('Raw Data'!L402="","",'Raw Data'!L402)</f>
        <v/>
      </c>
      <c r="M402">
        <f>IF('Raw Data'!M402="","",'Raw Data'!M402)</f>
        <v>39.9</v>
      </c>
      <c r="N402">
        <f>IF('Raw Data'!N402="","",IF('Raw Data'!N402="-",0,'Raw Data'!N402))</f>
        <v>5.3</v>
      </c>
      <c r="O402">
        <f>IF('Raw Data'!O402="",IF('Raw Data'!N402="","",0),'Raw Data'!O402)</f>
        <v>480.4</v>
      </c>
      <c r="P402" t="str">
        <f>IF('Raw Data'!P402="","",'Raw Data'!P402)</f>
        <v/>
      </c>
      <c r="R402" s="3" t="str">
        <f t="shared" si="146"/>
        <v>-</v>
      </c>
      <c r="S402" s="3">
        <f t="shared" si="147"/>
        <v>56.666666666666664</v>
      </c>
      <c r="T402" s="3">
        <f t="shared" si="148"/>
        <v>236.66666666666666</v>
      </c>
      <c r="U402" s="3">
        <f t="shared" si="150"/>
        <v>7.5</v>
      </c>
      <c r="W402" s="4">
        <f t="shared" si="143"/>
        <v>39.856083427227183</v>
      </c>
      <c r="X402" s="4">
        <f t="shared" si="144"/>
        <v>5.2471529272460735</v>
      </c>
      <c r="Y402" s="3">
        <f t="shared" si="145"/>
        <v>236.66666666666666</v>
      </c>
      <c r="Z402" s="4">
        <f>IF('Raw Data'!O402="","",O401+N401)</f>
        <v>480.4</v>
      </c>
    </row>
    <row r="403" spans="1:27" x14ac:dyDescent="0.25">
      <c r="A403">
        <f>IF('Raw Data'!A403="","",'Raw Data'!A403)</f>
        <v>109</v>
      </c>
      <c r="B403">
        <f>IF('Raw Data'!B403="","",'Raw Data'!B403)</f>
        <v>110</v>
      </c>
      <c r="C403">
        <f>IF('Raw Data'!C403="","",'Raw Data'!C403)</f>
        <v>18</v>
      </c>
      <c r="D403">
        <f>IF('Raw Data'!D403="","",'Raw Data'!D403)</f>
        <v>10</v>
      </c>
      <c r="E403">
        <f>IF('Raw Data'!E403="","",'Raw Data'!E403)</f>
        <v>6</v>
      </c>
      <c r="F403">
        <f>IF('Raw Data'!F403="","",'Raw Data'!F403)</f>
        <v>1.5</v>
      </c>
      <c r="G403" s="7" t="str">
        <f>IF('Raw Data'!G403="/","-",IF('Raw Data'!G403="","-",SUBSTITUTE('Raw Data'!G403," ",":",1)))</f>
        <v>247:00</v>
      </c>
      <c r="H403" s="7" t="str">
        <f>IF('Raw Data'!H403="/","-",IF('Raw Data'!H403="","-",SUBSTITUTE('Raw Data'!H403," ",":",1)))</f>
        <v>-</v>
      </c>
      <c r="I403" s="7" t="str">
        <f>IF('Raw Data'!I403="/","-",IF('Raw Data'!I403="","-",SUBSTITUTE('Raw Data'!I403," ",":",1)))</f>
        <v>247:00</v>
      </c>
      <c r="J403" s="12">
        <f>IF('Raw Data'!J403="",IF(LEN(K403)&gt;6,SQRT('Raw Data'!M403^2+N403^2),""),'Raw Data'!J403)</f>
        <v>20.399999999999999</v>
      </c>
      <c r="K403" s="7" t="str">
        <f>IF('Raw Data'!K403="","",IF(LEN('Raw Data'!K403)&lt;7,SUBSTITUTE('Raw Data'!K403," ",":",1),'Raw Data'!K403))</f>
        <v>-24:30</v>
      </c>
      <c r="L403" t="str">
        <f>IF('Raw Data'!L403="","",'Raw Data'!L403)</f>
        <v/>
      </c>
      <c r="M403">
        <f>IF('Raw Data'!M403="","",'Raw Data'!M403)</f>
        <v>18.5</v>
      </c>
      <c r="N403">
        <f>IF('Raw Data'!N403="","",IF('Raw Data'!N403="-",0,'Raw Data'!N403))</f>
        <v>-8.5</v>
      </c>
      <c r="O403">
        <f>IF('Raw Data'!O403="",IF('Raw Data'!N403="","",0),'Raw Data'!O403)</f>
        <v>485.7</v>
      </c>
      <c r="P403" t="str">
        <f>IF('Raw Data'!P403="","",'Raw Data'!P403)</f>
        <v/>
      </c>
      <c r="R403" s="3">
        <f t="shared" si="146"/>
        <v>247</v>
      </c>
      <c r="S403" s="3" t="str">
        <f t="shared" si="147"/>
        <v>-</v>
      </c>
      <c r="T403" s="3">
        <f t="shared" si="148"/>
        <v>247</v>
      </c>
      <c r="U403" s="3">
        <f t="shared" si="150"/>
        <v>-24.5</v>
      </c>
      <c r="W403" s="4">
        <f t="shared" si="143"/>
        <v>18.56320992588148</v>
      </c>
      <c r="X403" s="4">
        <f t="shared" si="144"/>
        <v>-8.4597421501872763</v>
      </c>
      <c r="Y403" s="3">
        <f t="shared" si="145"/>
        <v>247</v>
      </c>
      <c r="Z403" s="4">
        <f>IF('Raw Data'!O403="","",O402+N402)</f>
        <v>485.7</v>
      </c>
    </row>
    <row r="404" spans="1:27" x14ac:dyDescent="0.25">
      <c r="A404">
        <f>IF('Raw Data'!A404="","",'Raw Data'!A404)</f>
        <v>110</v>
      </c>
      <c r="B404">
        <f>IF('Raw Data'!B404="","",'Raw Data'!B404)</f>
        <v>111</v>
      </c>
      <c r="C404">
        <f>IF('Raw Data'!C404="","",'Raw Data'!C404)</f>
        <v>18</v>
      </c>
      <c r="D404">
        <f>IF('Raw Data'!D404="","",'Raw Data'!D404)</f>
        <v>0.5</v>
      </c>
      <c r="E404" t="str">
        <f>IF('Raw Data'!E404="","",'Raw Data'!E404)</f>
        <v>Drop</v>
      </c>
      <c r="F404">
        <f>IF('Raw Data'!F404="","",'Raw Data'!F404)</f>
        <v>5</v>
      </c>
      <c r="G404" s="7" t="str">
        <f>IF('Raw Data'!G404="/","-",IF('Raw Data'!G404="","-",SUBSTITUTE('Raw Data'!G404," ",":",1)))</f>
        <v>-</v>
      </c>
      <c r="H404" s="7" t="str">
        <f>IF('Raw Data'!H404="/","-",IF('Raw Data'!H404="","-",SUBSTITUTE('Raw Data'!H404," ",":",1)))</f>
        <v>068:30</v>
      </c>
      <c r="I404" s="7" t="str">
        <f>IF('Raw Data'!I404="/","-",IF('Raw Data'!I404="","-",SUBSTITUTE('Raw Data'!I404," ",":",1)))</f>
        <v>248:30</v>
      </c>
      <c r="J404" s="12">
        <f>IF('Raw Data'!J404="",IF(LEN(K404)&gt;6,SQRT('Raw Data'!M404^2+N404^2),""),'Raw Data'!J404)</f>
        <v>26</v>
      </c>
      <c r="K404" s="7" t="str">
        <f>IF('Raw Data'!K404="","",IF(LEN('Raw Data'!K404)&lt;7,SUBSTITUTE('Raw Data'!K404," ",":",1),'Raw Data'!K404))</f>
        <v>20:30</v>
      </c>
      <c r="L404" t="str">
        <f>IF('Raw Data'!L404="","",'Raw Data'!L404)</f>
        <v/>
      </c>
      <c r="M404">
        <f>IF('Raw Data'!M404="","",'Raw Data'!M404)</f>
        <v>24.3</v>
      </c>
      <c r="N404">
        <f>IF('Raw Data'!N404="","",IF('Raw Data'!N404="-",0,'Raw Data'!N404))</f>
        <v>9.1</v>
      </c>
      <c r="O404">
        <f>IF('Raw Data'!O404="",IF('Raw Data'!N404="","",0),'Raw Data'!O404)</f>
        <v>477.2</v>
      </c>
      <c r="P404" t="str">
        <f>IF('Raw Data'!P404="","",'Raw Data'!P404)</f>
        <v/>
      </c>
      <c r="R404" s="3" t="str">
        <f t="shared" si="146"/>
        <v>-</v>
      </c>
      <c r="S404" s="3">
        <f t="shared" si="147"/>
        <v>68.5</v>
      </c>
      <c r="T404" s="3">
        <f t="shared" si="148"/>
        <v>248.5</v>
      </c>
      <c r="U404" s="3">
        <f t="shared" si="150"/>
        <v>20.5</v>
      </c>
      <c r="W404" s="4">
        <f t="shared" si="143"/>
        <v>24.353476920458341</v>
      </c>
      <c r="X404" s="4">
        <f t="shared" si="144"/>
        <v>9.1053919127461516</v>
      </c>
      <c r="Y404" s="3">
        <f t="shared" si="145"/>
        <v>248.5</v>
      </c>
      <c r="Z404" s="4">
        <f>IF('Raw Data'!O404="","",O403+N403)</f>
        <v>477.2</v>
      </c>
    </row>
    <row r="405" spans="1:27" x14ac:dyDescent="0.25">
      <c r="A405">
        <f>IF('Raw Data'!A405="","",'Raw Data'!A405)</f>
        <v>111</v>
      </c>
      <c r="B405">
        <f>IF('Raw Data'!B405="","",'Raw Data'!B405)</f>
        <v>112</v>
      </c>
      <c r="C405">
        <f>IF('Raw Data'!C405="","",'Raw Data'!C405)</f>
        <v>2</v>
      </c>
      <c r="D405">
        <f>IF('Raw Data'!D405="","",'Raw Data'!D405)</f>
        <v>2</v>
      </c>
      <c r="E405">
        <f>IF('Raw Data'!E405="","",'Raw Data'!E405)</f>
        <v>2.5</v>
      </c>
      <c r="F405">
        <f>IF('Raw Data'!F405="","",'Raw Data'!F405)</f>
        <v>2</v>
      </c>
      <c r="G405" s="7" t="str">
        <f>IF('Raw Data'!G405="/","-",IF('Raw Data'!G405="","-",SUBSTITUTE('Raw Data'!G405," ",":",1)))</f>
        <v>259:30</v>
      </c>
      <c r="H405" s="7" t="str">
        <f>IF('Raw Data'!H405="/","-",IF('Raw Data'!H405="","-",SUBSTITUTE('Raw Data'!H405," ",":",1)))</f>
        <v>-</v>
      </c>
      <c r="I405" s="7" t="str">
        <f>IF('Raw Data'!I405="/","-",IF('Raw Data'!I405="","-",SUBSTITUTE('Raw Data'!I405," ",":",1)))</f>
        <v>259:30</v>
      </c>
      <c r="J405" s="12">
        <f>IF('Raw Data'!J405="",IF(LEN(K405)&gt;6,SQRT('Raw Data'!M405^2+N405^2),""),'Raw Data'!J405)</f>
        <v>31.5</v>
      </c>
      <c r="K405" s="7" t="str">
        <f>IF('Raw Data'!K405="","",IF(LEN('Raw Data'!K405)&lt;7,SUBSTITUTE('Raw Data'!K405," ",":",1),'Raw Data'!K405))</f>
        <v>-14:40</v>
      </c>
      <c r="L405" t="str">
        <f>IF('Raw Data'!L405="","",'Raw Data'!L405)</f>
        <v/>
      </c>
      <c r="M405">
        <f>IF('Raw Data'!M405="","",'Raw Data'!M405)</f>
        <v>30.5</v>
      </c>
      <c r="N405">
        <f>IF('Raw Data'!N405="","",IF('Raw Data'!N405="-",0,'Raw Data'!N405))</f>
        <v>-8</v>
      </c>
      <c r="O405">
        <f>IF('Raw Data'!O405="",IF('Raw Data'!N405="","",0),'Raw Data'!O405)</f>
        <v>486.3</v>
      </c>
      <c r="P405" t="str">
        <f>IF('Raw Data'!P405="","",'Raw Data'!P405)</f>
        <v/>
      </c>
      <c r="R405" s="3">
        <f t="shared" si="146"/>
        <v>259.5</v>
      </c>
      <c r="S405" s="3" t="str">
        <f t="shared" si="147"/>
        <v>-</v>
      </c>
      <c r="T405" s="3">
        <f t="shared" si="148"/>
        <v>259.5</v>
      </c>
      <c r="U405" s="3">
        <f t="shared" si="150"/>
        <v>-14.666666660000001</v>
      </c>
      <c r="W405" s="4">
        <f t="shared" si="143"/>
        <v>30.473579414008224</v>
      </c>
      <c r="X405" s="4">
        <f t="shared" si="144"/>
        <v>-7.9756477917554918</v>
      </c>
      <c r="Y405" s="3">
        <f t="shared" si="145"/>
        <v>259.5</v>
      </c>
      <c r="Z405" s="4">
        <f>IF('Raw Data'!O405="","",O404+N404)</f>
        <v>486.3</v>
      </c>
    </row>
    <row r="406" spans="1:27" x14ac:dyDescent="0.25">
      <c r="A406">
        <f>IF('Raw Data'!A406="","",'Raw Data'!A406)</f>
        <v>112</v>
      </c>
      <c r="B406">
        <f>IF('Raw Data'!B406="","",'Raw Data'!B406)</f>
        <v>113</v>
      </c>
      <c r="C406">
        <f>IF('Raw Data'!C406="","",'Raw Data'!C406)</f>
        <v>2</v>
      </c>
      <c r="D406">
        <f>IF('Raw Data'!D406="","",'Raw Data'!D406)</f>
        <v>0.3</v>
      </c>
      <c r="E406">
        <f>IF('Raw Data'!E406="","",'Raw Data'!E406)</f>
        <v>8</v>
      </c>
      <c r="F406">
        <f>IF('Raw Data'!F406="","",'Raw Data'!F406)</f>
        <v>3.5</v>
      </c>
      <c r="G406" s="7" t="str">
        <f>IF('Raw Data'!G406="/","-",IF('Raw Data'!G406="","-",SUBSTITUTE('Raw Data'!G406," ",":",1)))</f>
        <v>231:00</v>
      </c>
      <c r="H406" s="7" t="str">
        <f>IF('Raw Data'!H406="/","-",IF('Raw Data'!H406="","-",SUBSTITUTE('Raw Data'!H406," ",":",1)))</f>
        <v>-</v>
      </c>
      <c r="I406" s="7" t="str">
        <f>IF('Raw Data'!I406="/","-",IF('Raw Data'!I406="","-",SUBSTITUTE('Raw Data'!I406," ",":",1)))</f>
        <v>231:00</v>
      </c>
      <c r="J406" s="12">
        <f>IF('Raw Data'!J406="",IF(LEN(K406)&gt;6,SQRT('Raw Data'!M406^2+N406^2),""),'Raw Data'!J406)</f>
        <v>13.9</v>
      </c>
      <c r="K406" s="7" t="str">
        <f>IF('Raw Data'!K406="","",IF(LEN('Raw Data'!K406)&lt;7,SUBSTITUTE('Raw Data'!K406," ",":",1),'Raw Data'!K406))</f>
        <v>-12:30</v>
      </c>
      <c r="L406" t="str">
        <f>IF('Raw Data'!L406="","",'Raw Data'!L406)</f>
        <v/>
      </c>
      <c r="M406">
        <f>IF('Raw Data'!M406="","",'Raw Data'!M406)</f>
        <v>13.6</v>
      </c>
      <c r="N406">
        <f>IF('Raw Data'!N406="","",IF('Raw Data'!N406="-",0,'Raw Data'!N406))</f>
        <v>-3</v>
      </c>
      <c r="O406">
        <f>IF('Raw Data'!O406="",IF('Raw Data'!N406="","",0),'Raw Data'!O406)</f>
        <v>478.3</v>
      </c>
      <c r="P406" t="str">
        <f>IF('Raw Data'!P406="","",'Raw Data'!P406)</f>
        <v/>
      </c>
      <c r="R406" s="3">
        <f t="shared" si="146"/>
        <v>231</v>
      </c>
      <c r="S406" s="3" t="str">
        <f t="shared" si="147"/>
        <v>-</v>
      </c>
      <c r="T406" s="3">
        <f t="shared" si="148"/>
        <v>231</v>
      </c>
      <c r="U406" s="3">
        <f t="shared" si="150"/>
        <v>-12.5</v>
      </c>
      <c r="W406" s="4">
        <f t="shared" si="143"/>
        <v>13.570514498967075</v>
      </c>
      <c r="X406" s="4">
        <f t="shared" si="144"/>
        <v>-3.0085106337396299</v>
      </c>
      <c r="Y406" s="3">
        <f t="shared" si="145"/>
        <v>231</v>
      </c>
      <c r="Z406" s="4">
        <f>IF('Raw Data'!O406="","",O405+N405)</f>
        <v>478.3</v>
      </c>
    </row>
    <row r="407" spans="1:27" x14ac:dyDescent="0.25">
      <c r="A407">
        <f>IF('Raw Data'!A407="","",'Raw Data'!A407)</f>
        <v>113</v>
      </c>
      <c r="B407">
        <f>IF('Raw Data'!B407="","",'Raw Data'!B407)</f>
        <v>114</v>
      </c>
      <c r="C407">
        <f>IF('Raw Data'!C407="","",'Raw Data'!C407)</f>
        <v>2</v>
      </c>
      <c r="D407">
        <f>IF('Raw Data'!D407="","",'Raw Data'!D407)</f>
        <v>0.5</v>
      </c>
      <c r="E407">
        <f>IF('Raw Data'!E407="","",'Raw Data'!E407)</f>
        <v>0.5</v>
      </c>
      <c r="F407">
        <f>IF('Raw Data'!F407="","",'Raw Data'!F407)</f>
        <v>4</v>
      </c>
      <c r="G407" s="7" t="str">
        <f>IF('Raw Data'!G407="/","-",IF('Raw Data'!G407="","-",SUBSTITUTE('Raw Data'!G407," ",":",1)))</f>
        <v>-</v>
      </c>
      <c r="H407" s="7" t="str">
        <f>IF('Raw Data'!H407="/","-",IF('Raw Data'!H407="","-",SUBSTITUTE('Raw Data'!H407," ",":",1)))</f>
        <v>110:00</v>
      </c>
      <c r="I407" s="7" t="str">
        <f>IF('Raw Data'!I407="/","-",IF('Raw Data'!I407="","-",SUBSTITUTE('Raw Data'!I407," ",":",1)))</f>
        <v>290:00</v>
      </c>
      <c r="J407" s="12">
        <f>IF('Raw Data'!J407="",IF(LEN(K407)&gt;6,SQRT('Raw Data'!M407^2+N407^2),""),'Raw Data'!J407)</f>
        <v>17.7</v>
      </c>
      <c r="K407" s="7" t="str">
        <f>IF('Raw Data'!K407="","",IF(LEN('Raw Data'!K407)&lt;7,SUBSTITUTE('Raw Data'!K407," ",":",1),'Raw Data'!K407))</f>
        <v>49:00</v>
      </c>
      <c r="L407" t="str">
        <f>IF('Raw Data'!L407="","",'Raw Data'!L407)</f>
        <v/>
      </c>
      <c r="M407">
        <f>IF('Raw Data'!M407="","",'Raw Data'!M407)</f>
        <v>11.6</v>
      </c>
      <c r="N407">
        <f>IF('Raw Data'!N407="","",IF('Raw Data'!N407="-",0,'Raw Data'!N407))</f>
        <v>13.4</v>
      </c>
      <c r="O407">
        <f>IF('Raw Data'!O407="",IF('Raw Data'!N407="","",0),'Raw Data'!O407)</f>
        <v>475.3</v>
      </c>
      <c r="P407" t="str">
        <f>IF('Raw Data'!P407="","",'Raw Data'!P407)</f>
        <v>Foot of Mud Shute</v>
      </c>
      <c r="R407" s="3" t="str">
        <f t="shared" si="146"/>
        <v>-</v>
      </c>
      <c r="S407" s="3">
        <f t="shared" si="147"/>
        <v>110</v>
      </c>
      <c r="T407" s="3">
        <f t="shared" si="148"/>
        <v>290</v>
      </c>
      <c r="U407" s="3">
        <f t="shared" si="150"/>
        <v>49</v>
      </c>
      <c r="W407" s="4">
        <f t="shared" si="143"/>
        <v>11.612244813131978</v>
      </c>
      <c r="X407" s="4">
        <f t="shared" si="144"/>
        <v>13.358359569943064</v>
      </c>
      <c r="Y407" s="3">
        <f t="shared" si="145"/>
        <v>290</v>
      </c>
      <c r="Z407" s="4">
        <f>IF('Raw Data'!O407="","",O406+N406)</f>
        <v>475.3</v>
      </c>
    </row>
    <row r="408" spans="1:27" x14ac:dyDescent="0.25">
      <c r="A408">
        <f>IF('Raw Data'!A408="","",'Raw Data'!A408)</f>
        <v>114</v>
      </c>
      <c r="B408">
        <f>IF('Raw Data'!B408="","",'Raw Data'!B408)</f>
        <v>115</v>
      </c>
      <c r="C408">
        <f>IF('Raw Data'!C408="","",'Raw Data'!C408)</f>
        <v>2.5</v>
      </c>
      <c r="D408">
        <f>IF('Raw Data'!D408="","",'Raw Data'!D408)</f>
        <v>4</v>
      </c>
      <c r="E408">
        <f>IF('Raw Data'!E408="","",'Raw Data'!E408)</f>
        <v>0.5</v>
      </c>
      <c r="F408">
        <f>IF('Raw Data'!F408="","",'Raw Data'!F408)</f>
        <v>1</v>
      </c>
      <c r="G408" s="7" t="str">
        <f>IF('Raw Data'!G408="/","-",IF('Raw Data'!G408="","-",SUBSTITUTE('Raw Data'!G408," ",":",1)))</f>
        <v>312:00</v>
      </c>
      <c r="H408" s="7" t="str">
        <f>IF('Raw Data'!H408="/","-",IF('Raw Data'!H408="","-",SUBSTITUTE('Raw Data'!H408," ",":",1)))</f>
        <v>-</v>
      </c>
      <c r="I408" s="7" t="str">
        <f>IF('Raw Data'!I408="/","-",IF('Raw Data'!I408="","-",SUBSTITUTE('Raw Data'!I408," ",":",1)))</f>
        <v>312:00</v>
      </c>
      <c r="J408" s="12">
        <f>IF('Raw Data'!J408="",IF(LEN(K408)&gt;6,SQRT('Raw Data'!M408^2+N408^2),""),'Raw Data'!J408)</f>
        <v>7.6</v>
      </c>
      <c r="K408" s="7" t="str">
        <f>IF('Raw Data'!K408="","",IF(LEN('Raw Data'!K408)&lt;7,SUBSTITUTE('Raw Data'!K408," ",":",1),'Raw Data'!K408))</f>
        <v>1:00</v>
      </c>
      <c r="L408" t="str">
        <f>IF('Raw Data'!L408="","",'Raw Data'!L408)</f>
        <v/>
      </c>
      <c r="M408">
        <f>IF('Raw Data'!M408="","",'Raw Data'!M408)</f>
        <v>7.6</v>
      </c>
      <c r="N408">
        <f>IF('Raw Data'!N408="","",IF('Raw Data'!N408="-",0,'Raw Data'!N408))</f>
        <v>0.1</v>
      </c>
      <c r="O408">
        <f>IF('Raw Data'!O408="",IF('Raw Data'!N408="","",0),'Raw Data'!O408)</f>
        <v>488.7</v>
      </c>
      <c r="P408" t="str">
        <f>IF('Raw Data'!P408="","",'Raw Data'!P408)</f>
        <v/>
      </c>
      <c r="R408" s="3">
        <f t="shared" si="146"/>
        <v>312</v>
      </c>
      <c r="S408" s="3" t="str">
        <f t="shared" si="147"/>
        <v>-</v>
      </c>
      <c r="T408" s="3">
        <f t="shared" si="148"/>
        <v>312</v>
      </c>
      <c r="U408" s="3">
        <f t="shared" si="150"/>
        <v>1</v>
      </c>
      <c r="W408" s="4">
        <f t="shared" si="143"/>
        <v>7.598842483188573</v>
      </c>
      <c r="X408" s="4">
        <f t="shared" si="144"/>
        <v>0.13263828892335469</v>
      </c>
      <c r="Y408" s="3">
        <f t="shared" si="145"/>
        <v>312</v>
      </c>
      <c r="Z408" s="4">
        <f>IF('Raw Data'!O408="","",O407+N407)</f>
        <v>488.7</v>
      </c>
    </row>
    <row r="409" spans="1:27" x14ac:dyDescent="0.25">
      <c r="A409">
        <f>IF('Raw Data'!A409="","",'Raw Data'!A409)</f>
        <v>115</v>
      </c>
      <c r="B409">
        <f>IF('Raw Data'!B409="","",'Raw Data'!B409)</f>
        <v>116</v>
      </c>
      <c r="C409">
        <f>IF('Raw Data'!C409="","",'Raw Data'!C409)</f>
        <v>2</v>
      </c>
      <c r="D409">
        <f>IF('Raw Data'!D409="","",'Raw Data'!D409)</f>
        <v>0.3</v>
      </c>
      <c r="E409">
        <f>IF('Raw Data'!E409="","",'Raw Data'!E409)</f>
        <v>2.5</v>
      </c>
      <c r="F409">
        <f>IF('Raw Data'!F409="","",'Raw Data'!F409)</f>
        <v>1</v>
      </c>
      <c r="G409" s="7" t="str">
        <f>IF('Raw Data'!G409="/","-",IF('Raw Data'!G409="","-",SUBSTITUTE('Raw Data'!G409," ",":",1)))</f>
        <v>-</v>
      </c>
      <c r="H409" s="7" t="str">
        <f>IF('Raw Data'!H409="/","-",IF('Raw Data'!H409="","-",SUBSTITUTE('Raw Data'!H409," ",":",1)))</f>
        <v>076:00</v>
      </c>
      <c r="I409" s="7" t="str">
        <f>IF('Raw Data'!I409="/","-",IF('Raw Data'!I409="","-",SUBSTITUTE('Raw Data'!I409," ",":",1)))</f>
        <v>256:00</v>
      </c>
      <c r="J409" s="12">
        <f>IF('Raw Data'!J409="",IF(LEN(K409)&gt;6,SQRT('Raw Data'!M409^2+N409^2),""),'Raw Data'!J409)</f>
        <v>9.9</v>
      </c>
      <c r="K409" s="7" t="str">
        <f>IF('Raw Data'!K409="","",IF(LEN('Raw Data'!K409)&lt;7,SUBSTITUTE('Raw Data'!K409," ",":",1),'Raw Data'!K409))</f>
        <v>-14:30</v>
      </c>
      <c r="L409" t="str">
        <f>IF('Raw Data'!L409="","",'Raw Data'!L409)</f>
        <v/>
      </c>
      <c r="M409">
        <f>IF('Raw Data'!M409="","",'Raw Data'!M409)</f>
        <v>9.6</v>
      </c>
      <c r="N409">
        <f>IF('Raw Data'!N409="","",IF('Raw Data'!N409="-",0,'Raw Data'!N409))</f>
        <v>-2.5</v>
      </c>
      <c r="O409">
        <f>IF('Raw Data'!O409="",IF('Raw Data'!N409="","",0),'Raw Data'!O409)</f>
        <v>488.8</v>
      </c>
      <c r="P409" t="str">
        <f>IF('Raw Data'!P409="","",'Raw Data'!P409)</f>
        <v/>
      </c>
      <c r="R409" s="3" t="str">
        <f t="shared" si="146"/>
        <v>-</v>
      </c>
      <c r="S409" s="3">
        <f t="shared" si="147"/>
        <v>76</v>
      </c>
      <c r="T409" s="3">
        <f t="shared" si="148"/>
        <v>256</v>
      </c>
      <c r="U409" s="3">
        <f t="shared" si="150"/>
        <v>-14.5</v>
      </c>
      <c r="W409" s="4">
        <f t="shared" si="143"/>
        <v>9.5846616397432669</v>
      </c>
      <c r="X409" s="4">
        <f t="shared" si="144"/>
        <v>-2.4787620401389705</v>
      </c>
      <c r="Y409" s="3">
        <f t="shared" si="145"/>
        <v>256</v>
      </c>
      <c r="Z409" s="4">
        <f>IF('Raw Data'!O409="","",O408+N408)</f>
        <v>488.8</v>
      </c>
    </row>
    <row r="410" spans="1:27" x14ac:dyDescent="0.25">
      <c r="A410">
        <f>IF('Raw Data'!A410="","",'Raw Data'!A410)</f>
        <v>116</v>
      </c>
      <c r="B410">
        <f>IF('Raw Data'!B410="","",'Raw Data'!B410)</f>
        <v>117</v>
      </c>
      <c r="C410">
        <f>IF('Raw Data'!C410="","",'Raw Data'!C410)</f>
        <v>2</v>
      </c>
      <c r="D410">
        <f>IF('Raw Data'!D410="","",'Raw Data'!D410)</f>
        <v>12.9</v>
      </c>
      <c r="E410">
        <f>IF('Raw Data'!E410="","",'Raw Data'!E410)</f>
        <v>2</v>
      </c>
      <c r="F410" t="str">
        <f>IF('Raw Data'!F410="","",'Raw Data'!F410)</f>
        <v>/</v>
      </c>
      <c r="G410" s="7" t="str">
        <f>IF('Raw Data'!G410="/","-",IF('Raw Data'!G410="","-",SUBSTITUTE('Raw Data'!G410," ",":",1)))</f>
        <v>-</v>
      </c>
      <c r="H410" s="7" t="str">
        <f>IF('Raw Data'!H410="/","-",IF('Raw Data'!H410="","-",SUBSTITUTE('Raw Data'!H410," ",":",1)))</f>
        <v>124:40</v>
      </c>
      <c r="I410" s="7" t="str">
        <f>IF('Raw Data'!I410="/","-",IF('Raw Data'!I410="","-",SUBSTITUTE('Raw Data'!I410," ",":",1)))</f>
        <v>304:40</v>
      </c>
      <c r="J410" s="12">
        <f>IF('Raw Data'!J410="",IF(LEN(K410)&gt;6,SQRT('Raw Data'!M410^2+N410^2),""),'Raw Data'!J410)</f>
        <v>19.8</v>
      </c>
      <c r="K410" s="7" t="str">
        <f>IF('Raw Data'!K410="","",IF(LEN('Raw Data'!K410)&lt;7,SUBSTITUTE('Raw Data'!K410," ",":",1),'Raw Data'!K410))</f>
        <v>-3:00</v>
      </c>
      <c r="L410" t="str">
        <f>IF('Raw Data'!L410="","",'Raw Data'!L410)</f>
        <v/>
      </c>
      <c r="M410">
        <f>IF('Raw Data'!M410="","",'Raw Data'!M410)</f>
        <v>19.7</v>
      </c>
      <c r="N410">
        <f>IF('Raw Data'!N410="","",IF('Raw Data'!N410="-",0,'Raw Data'!N410))</f>
        <v>-2.1</v>
      </c>
      <c r="O410">
        <f>IF('Raw Data'!O410="",IF('Raw Data'!N410="","",0),'Raw Data'!O410)</f>
        <v>486.3</v>
      </c>
      <c r="P410" t="str">
        <f>IF('Raw Data'!P410="","",'Raw Data'!P410)</f>
        <v>Over 12' Drop. Candle put 1.1' lower for clino</v>
      </c>
      <c r="R410" s="3" t="str">
        <f t="shared" si="146"/>
        <v>-</v>
      </c>
      <c r="S410" s="3">
        <f t="shared" si="147"/>
        <v>124.66666666666667</v>
      </c>
      <c r="T410" s="3">
        <f t="shared" si="148"/>
        <v>304.66666666666669</v>
      </c>
      <c r="U410" s="9">
        <f t="shared" ref="U410" si="151">ASIN(N410/J410)*180/PI()</f>
        <v>-6.0882760441169816</v>
      </c>
      <c r="W410" s="4">
        <f t="shared" si="143"/>
        <v>19.688321411435766</v>
      </c>
      <c r="X410" s="4">
        <f t="shared" si="144"/>
        <v>-2.0999999999999996</v>
      </c>
      <c r="Y410" s="3">
        <f t="shared" si="145"/>
        <v>304.66666666666669</v>
      </c>
      <c r="Z410" s="4">
        <f>IF('Raw Data'!O410="","",O409+N409)</f>
        <v>486.3</v>
      </c>
      <c r="AA410" t="s">
        <v>990</v>
      </c>
    </row>
    <row r="411" spans="1:27" x14ac:dyDescent="0.25">
      <c r="A411">
        <f>IF('Raw Data'!A411="","",'Raw Data'!A411)</f>
        <v>117</v>
      </c>
      <c r="B411">
        <f>IF('Raw Data'!B411="","",'Raw Data'!B411)</f>
        <v>118</v>
      </c>
      <c r="C411">
        <f>IF('Raw Data'!C411="","",'Raw Data'!C411)</f>
        <v>2.5</v>
      </c>
      <c r="D411">
        <f>IF('Raw Data'!D411="","",'Raw Data'!D411)</f>
        <v>7</v>
      </c>
      <c r="E411">
        <f>IF('Raw Data'!E411="","",'Raw Data'!E411)</f>
        <v>1</v>
      </c>
      <c r="F411">
        <f>IF('Raw Data'!F411="","",'Raw Data'!F411)</f>
        <v>0.5</v>
      </c>
      <c r="G411" s="7" t="str">
        <f>IF('Raw Data'!G411="/","-",IF('Raw Data'!G411="","-",SUBSTITUTE('Raw Data'!G411," ",":",1)))</f>
        <v>294:30</v>
      </c>
      <c r="H411" s="7" t="str">
        <f>IF('Raw Data'!H411="/","-",IF('Raw Data'!H411="","-",SUBSTITUTE('Raw Data'!H411," ",":",1)))</f>
        <v>-</v>
      </c>
      <c r="I411" s="7" t="str">
        <f>IF('Raw Data'!I411="/","-",IF('Raw Data'!I411="","-",SUBSTITUTE('Raw Data'!I411," ",":",1)))</f>
        <v>294:30</v>
      </c>
      <c r="J411" s="12">
        <f>IF('Raw Data'!J411="",IF(LEN(K411)&gt;6,SQRT('Raw Data'!M411^2+N411^2),""),'Raw Data'!J411)</f>
        <v>18.100000000000001</v>
      </c>
      <c r="K411" s="7" t="str">
        <f>IF('Raw Data'!K411="","",IF(LEN('Raw Data'!K411)&lt;7,SUBSTITUTE('Raw Data'!K411," ",":",1),'Raw Data'!K411))</f>
        <v>-11:10</v>
      </c>
      <c r="L411" t="str">
        <f>IF('Raw Data'!L411="","",'Raw Data'!L411)</f>
        <v/>
      </c>
      <c r="M411">
        <f>IF('Raw Data'!M411="","",'Raw Data'!M411)</f>
        <v>17.8</v>
      </c>
      <c r="N411">
        <f>IF('Raw Data'!N411="","",IF('Raw Data'!N411="-",0,'Raw Data'!N411))</f>
        <v>-3.5</v>
      </c>
      <c r="O411">
        <f>IF('Raw Data'!O411="",IF('Raw Data'!N411="","",0),'Raw Data'!O411)</f>
        <v>484.2</v>
      </c>
      <c r="P411" t="str">
        <f>IF('Raw Data'!P411="","",'Raw Data'!P411)</f>
        <v>Double passage 2' on</v>
      </c>
      <c r="R411" s="3">
        <f t="shared" si="146"/>
        <v>294.5</v>
      </c>
      <c r="S411" s="3" t="str">
        <f t="shared" si="147"/>
        <v>-</v>
      </c>
      <c r="T411" s="3">
        <f t="shared" si="148"/>
        <v>294.5</v>
      </c>
      <c r="U411" s="3">
        <f t="shared" ref="U411:U413" si="152">IF(ISERROR(FIND(":",K411)),IF(K411="zero",0,1*K411),1*CONCATENATE(LEFT(K411,FIND(":",K411)-1),".",MID(RIGHT(K411,LEN(K411)-FIND(":",K411))/60,3,8)))</f>
        <v>-11.166666660000001</v>
      </c>
      <c r="W411" s="4">
        <f t="shared" si="143"/>
        <v>17.757330624817818</v>
      </c>
      <c r="X411" s="4">
        <f t="shared" si="144"/>
        <v>-3.5053115526165786</v>
      </c>
      <c r="Y411" s="3">
        <f t="shared" si="145"/>
        <v>294.5</v>
      </c>
      <c r="Z411" s="4">
        <f>IF('Raw Data'!O411="","",O410+N410)</f>
        <v>484.2</v>
      </c>
    </row>
    <row r="412" spans="1:27" x14ac:dyDescent="0.25">
      <c r="A412">
        <f>IF('Raw Data'!A412="","",'Raw Data'!A412)</f>
        <v>118</v>
      </c>
      <c r="B412">
        <f>IF('Raw Data'!B412="","",'Raw Data'!B412)</f>
        <v>119</v>
      </c>
      <c r="C412">
        <f>IF('Raw Data'!C412="","",'Raw Data'!C412)</f>
        <v>7</v>
      </c>
      <c r="D412">
        <f>IF('Raw Data'!D412="","",'Raw Data'!D412)</f>
        <v>1</v>
      </c>
      <c r="E412">
        <f>IF('Raw Data'!E412="","",'Raw Data'!E412)</f>
        <v>1.5</v>
      </c>
      <c r="F412">
        <f>IF('Raw Data'!F412="","",'Raw Data'!F412)</f>
        <v>4</v>
      </c>
      <c r="G412" s="7" t="str">
        <f>IF('Raw Data'!G412="/","-",IF('Raw Data'!G412="","-",SUBSTITUTE('Raw Data'!G412," ",":",1)))</f>
        <v>-</v>
      </c>
      <c r="H412" s="7" t="str">
        <f>IF('Raw Data'!H412="/","-",IF('Raw Data'!H412="","-",SUBSTITUTE('Raw Data'!H412," ",":",1)))</f>
        <v>134:00</v>
      </c>
      <c r="I412" s="7" t="str">
        <f>IF('Raw Data'!I412="/","-",IF('Raw Data'!I412="","-",SUBSTITUTE('Raw Data'!I412," ",":",1)))</f>
        <v>314:00</v>
      </c>
      <c r="J412" s="12">
        <f>IF('Raw Data'!J412="",IF(LEN(K412)&gt;6,SQRT('Raw Data'!M412^2+N412^2),""),'Raw Data'!J412)</f>
        <v>4.3</v>
      </c>
      <c r="K412" s="7" t="str">
        <f>IF('Raw Data'!K412="","",IF(LEN('Raw Data'!K412)&lt;7,SUBSTITUTE('Raw Data'!K412," ",":",1),'Raw Data'!K412))</f>
        <v>41:00</v>
      </c>
      <c r="L412" t="str">
        <f>IF('Raw Data'!L412="","",'Raw Data'!L412)</f>
        <v/>
      </c>
      <c r="M412">
        <f>IF('Raw Data'!M412="","",'Raw Data'!M412)</f>
        <v>3.2</v>
      </c>
      <c r="N412">
        <f>IF('Raw Data'!N412="","",IF('Raw Data'!N412="-",0,'Raw Data'!N412))</f>
        <v>2.8</v>
      </c>
      <c r="O412">
        <f>IF('Raw Data'!O412="",IF('Raw Data'!N412="","",0),'Raw Data'!O412)</f>
        <v>480.7</v>
      </c>
      <c r="P412" t="str">
        <f>IF('Raw Data'!P412="","",'Raw Data'!P412)</f>
        <v/>
      </c>
      <c r="R412" s="3" t="str">
        <f t="shared" si="146"/>
        <v>-</v>
      </c>
      <c r="S412" s="3">
        <f t="shared" si="147"/>
        <v>134</v>
      </c>
      <c r="T412" s="3">
        <f t="shared" si="148"/>
        <v>314</v>
      </c>
      <c r="U412" s="3">
        <f t="shared" si="152"/>
        <v>41</v>
      </c>
      <c r="W412" s="4">
        <f t="shared" si="143"/>
        <v>3.2452511949579201</v>
      </c>
      <c r="X412" s="4">
        <f t="shared" si="144"/>
        <v>2.8210538246591805</v>
      </c>
      <c r="Y412" s="3">
        <f t="shared" si="145"/>
        <v>314</v>
      </c>
      <c r="Z412" s="4">
        <f>IF('Raw Data'!O412="","",O411+N411)</f>
        <v>480.7</v>
      </c>
    </row>
    <row r="413" spans="1:27" x14ac:dyDescent="0.25">
      <c r="A413">
        <f>IF('Raw Data'!A413="","",'Raw Data'!A413)</f>
        <v>119</v>
      </c>
      <c r="B413">
        <f>IF('Raw Data'!B413="","",'Raw Data'!B413)</f>
        <v>120</v>
      </c>
      <c r="C413">
        <f>IF('Raw Data'!C413="","",'Raw Data'!C413)</f>
        <v>5</v>
      </c>
      <c r="D413">
        <f>IF('Raw Data'!D413="","",'Raw Data'!D413)</f>
        <v>4</v>
      </c>
      <c r="E413">
        <f>IF('Raw Data'!E413="","",'Raw Data'!E413)</f>
        <v>4</v>
      </c>
      <c r="F413">
        <f>IF('Raw Data'!F413="","",'Raw Data'!F413)</f>
        <v>6</v>
      </c>
      <c r="G413" s="7" t="str">
        <f>IF('Raw Data'!G413="/","-",IF('Raw Data'!G413="","-",SUBSTITUTE('Raw Data'!G413," ",":",1)))</f>
        <v>254:00</v>
      </c>
      <c r="H413" s="7" t="str">
        <f>IF('Raw Data'!H413="/","-",IF('Raw Data'!H413="","-",SUBSTITUTE('Raw Data'!H413," ",":",1)))</f>
        <v>-</v>
      </c>
      <c r="I413" s="7" t="str">
        <f>IF('Raw Data'!I413="/","-",IF('Raw Data'!I413="","-",SUBSTITUTE('Raw Data'!I413," ",":",1)))</f>
        <v>254:00</v>
      </c>
      <c r="J413" s="12">
        <f>IF('Raw Data'!J413="",IF(LEN(K413)&gt;6,SQRT('Raw Data'!M413^2+N413^2),""),'Raw Data'!J413)</f>
        <v>6.2</v>
      </c>
      <c r="K413" s="7" t="str">
        <f>IF('Raw Data'!K413="","",IF(LEN('Raw Data'!K413)&lt;7,SUBSTITUTE('Raw Data'!K413," ",":",1),'Raw Data'!K413))</f>
        <v>-23:30</v>
      </c>
      <c r="L413" t="str">
        <f>IF('Raw Data'!L413="","",'Raw Data'!L413)</f>
        <v/>
      </c>
      <c r="M413">
        <f>IF('Raw Data'!M413="","",'Raw Data'!M413)</f>
        <v>5.7</v>
      </c>
      <c r="N413">
        <f>IF('Raw Data'!N413="","",IF('Raw Data'!N413="-",0,'Raw Data'!N413))</f>
        <v>-2.5</v>
      </c>
      <c r="O413">
        <f>IF('Raw Data'!O413="",IF('Raw Data'!N413="","",0),'Raw Data'!O413)</f>
        <v>483.5</v>
      </c>
      <c r="P413" t="str">
        <f>IF('Raw Data'!P413="","",'Raw Data'!P413)</f>
        <v>On rock rib</v>
      </c>
      <c r="R413" s="3">
        <f t="shared" si="146"/>
        <v>254</v>
      </c>
      <c r="S413" s="3" t="str">
        <f t="shared" si="147"/>
        <v>-</v>
      </c>
      <c r="T413" s="3">
        <f t="shared" si="148"/>
        <v>254</v>
      </c>
      <c r="U413" s="3">
        <f t="shared" si="152"/>
        <v>-23.5</v>
      </c>
      <c r="W413" s="4">
        <f t="shared" si="143"/>
        <v>5.6857724611877689</v>
      </c>
      <c r="X413" s="4">
        <f t="shared" si="144"/>
        <v>-2.4722442273365264</v>
      </c>
      <c r="Y413" s="3">
        <f t="shared" si="145"/>
        <v>254</v>
      </c>
      <c r="Z413" s="4">
        <f>IF('Raw Data'!O413="","",O412+N412)</f>
        <v>483.5</v>
      </c>
    </row>
    <row r="414" spans="1:27" x14ac:dyDescent="0.25">
      <c r="A414">
        <f>IF('Raw Data'!A414="","",'Raw Data'!A414)</f>
        <v>120</v>
      </c>
      <c r="B414">
        <f>IF('Raw Data'!B414="","",'Raw Data'!B414)</f>
        <v>121</v>
      </c>
      <c r="C414">
        <f>IF('Raw Data'!C414="","",'Raw Data'!C414)</f>
        <v>0.5</v>
      </c>
      <c r="D414">
        <f>IF('Raw Data'!D414="","",'Raw Data'!D414)</f>
        <v>1</v>
      </c>
      <c r="E414">
        <f>IF('Raw Data'!E414="","",'Raw Data'!E414)</f>
        <v>0.5</v>
      </c>
      <c r="F414">
        <f>IF('Raw Data'!F414="","",'Raw Data'!F414)</f>
        <v>2</v>
      </c>
      <c r="G414" s="7" t="str">
        <f>IF('Raw Data'!G414="/","-",IF('Raw Data'!G414="","-",SUBSTITUTE('Raw Data'!G414," ",":",1)))</f>
        <v>222:00</v>
      </c>
      <c r="H414" s="7" t="str">
        <f>IF('Raw Data'!H414="/","-",IF('Raw Data'!H414="","-",SUBSTITUTE('Raw Data'!H414," ",":",1)))</f>
        <v>-</v>
      </c>
      <c r="I414" s="7" t="str">
        <f>IF('Raw Data'!I414="/","-",IF('Raw Data'!I414="","-",SUBSTITUTE('Raw Data'!I414," ",":",1)))</f>
        <v>222:00</v>
      </c>
      <c r="J414" s="12">
        <f>IF('Raw Data'!J414="",IF(LEN(K414)&gt;6,SQRT('Raw Data'!M414^2+N414^2),""),'Raw Data'!J414)</f>
        <v>9.1999999999999993</v>
      </c>
      <c r="K414" s="7" t="str">
        <f>IF('Raw Data'!K414="","",IF(LEN('Raw Data'!K414)&lt;7,SUBSTITUTE('Raw Data'!K414," ",":",1),'Raw Data'!K414))</f>
        <v>zero</v>
      </c>
      <c r="L414" t="str">
        <f>IF('Raw Data'!L414="","",'Raw Data'!L414)</f>
        <v/>
      </c>
      <c r="M414">
        <f>IF('Raw Data'!M414="","",'Raw Data'!M414)</f>
        <v>9.1999999999999993</v>
      </c>
      <c r="N414" t="str">
        <f>IF('Raw Data'!N414="","",IF('Raw Data'!N414="-",0,'Raw Data'!N414))</f>
        <v>/</v>
      </c>
      <c r="O414">
        <f>IF('Raw Data'!O414="",IF('Raw Data'!N414="","",0),'Raw Data'!O414)</f>
        <v>481</v>
      </c>
      <c r="P414" t="str">
        <f>IF('Raw Data'!P414="","",'Raw Data'!P414)</f>
        <v/>
      </c>
      <c r="R414" s="3">
        <f t="shared" si="146"/>
        <v>222</v>
      </c>
      <c r="S414" s="3" t="str">
        <f t="shared" si="147"/>
        <v>-</v>
      </c>
      <c r="T414" s="3">
        <f t="shared" si="148"/>
        <v>222</v>
      </c>
      <c r="U414" s="3">
        <f>IF(ISERROR(FIND(":",K414)),IF(K414="zero",0,1*K414),1*CONCATENATE(LEFT(K414,FIND(":",K414)-1),".",MID(RIGHT(K414,LEN(K414)-FIND(":",K414))/60,3,8)))</f>
        <v>0</v>
      </c>
      <c r="W414" s="4">
        <f t="shared" si="143"/>
        <v>9.1999999999999993</v>
      </c>
      <c r="X414" s="4">
        <f t="shared" si="144"/>
        <v>0</v>
      </c>
      <c r="Y414" s="3">
        <f t="shared" si="145"/>
        <v>222</v>
      </c>
      <c r="Z414" s="4">
        <f>IF('Raw Data'!O414="","",O413+N413)</f>
        <v>481</v>
      </c>
    </row>
    <row r="415" spans="1:27" x14ac:dyDescent="0.25">
      <c r="A415">
        <f>IF('Raw Data'!A415="","",'Raw Data'!A415)</f>
        <v>121</v>
      </c>
      <c r="B415">
        <f>IF('Raw Data'!B415="","",'Raw Data'!B415)</f>
        <v>122</v>
      </c>
      <c r="C415">
        <f>IF('Raw Data'!C415="","",'Raw Data'!C415)</f>
        <v>1.5</v>
      </c>
      <c r="D415">
        <f>IF('Raw Data'!D415="","",'Raw Data'!D415)</f>
        <v>0.5</v>
      </c>
      <c r="E415">
        <f>IF('Raw Data'!E415="","",'Raw Data'!E415)</f>
        <v>1.5</v>
      </c>
      <c r="F415">
        <f>IF('Raw Data'!F415="","",'Raw Data'!F415)</f>
        <v>2</v>
      </c>
      <c r="G415" s="7" t="str">
        <f>IF('Raw Data'!G415="/","-",IF('Raw Data'!G415="","-",SUBSTITUTE('Raw Data'!G415," ",":",1)))</f>
        <v>-</v>
      </c>
      <c r="H415" s="7" t="str">
        <f>IF('Raw Data'!H415="/","-",IF('Raw Data'!H415="","-",SUBSTITUTE('Raw Data'!H415," ",":",1)))</f>
        <v>011:50</v>
      </c>
      <c r="I415" s="7" t="str">
        <f>IF('Raw Data'!I415="/","-",IF('Raw Data'!I415="","-",SUBSTITUTE('Raw Data'!I415," ",":",1)))</f>
        <v>191:50</v>
      </c>
      <c r="J415" s="12">
        <f>IF('Raw Data'!J415="",IF(LEN(K415)&gt;6,SQRT('Raw Data'!M415^2+N415^2),""),'Raw Data'!J415)</f>
        <v>10</v>
      </c>
      <c r="K415" s="7" t="str">
        <f>IF('Raw Data'!K415="","",IF(LEN('Raw Data'!K415)&lt;7,SUBSTITUTE('Raw Data'!K415," ",":",1),'Raw Data'!K415))</f>
        <v>24:00</v>
      </c>
      <c r="L415" t="str">
        <f>IF('Raw Data'!L415="","",'Raw Data'!L415)</f>
        <v/>
      </c>
      <c r="M415">
        <f>IF('Raw Data'!M415="","",'Raw Data'!M415)</f>
        <v>9.1</v>
      </c>
      <c r="N415">
        <f>IF('Raw Data'!N415="","",IF('Raw Data'!N415="-",0,'Raw Data'!N415))</f>
        <v>4.0999999999999996</v>
      </c>
      <c r="O415">
        <f>IF('Raw Data'!O415="",IF('Raw Data'!N415="","",0),'Raw Data'!O415)</f>
        <v>481</v>
      </c>
      <c r="P415" t="str">
        <f>IF('Raw Data'!P415="","",'Raw Data'!P415)</f>
        <v/>
      </c>
      <c r="R415" s="3" t="str">
        <f t="shared" si="146"/>
        <v>-</v>
      </c>
      <c r="S415" s="3">
        <f t="shared" si="147"/>
        <v>11.833333333333334</v>
      </c>
      <c r="T415" s="3">
        <f t="shared" si="148"/>
        <v>191.83333333333334</v>
      </c>
      <c r="U415" s="3">
        <f t="shared" ref="U415:U441" si="153">IF(ISERROR(FIND(":",K415)),IF(K415="zero",0,1*K415),1*CONCATENATE(LEFT(K415,FIND(":",K415)-1),".",MID(RIGHT(K415,LEN(K415)-FIND(":",K415))/60,3,8)))</f>
        <v>24</v>
      </c>
      <c r="W415" s="4">
        <f t="shared" si="143"/>
        <v>9.1354545764260084</v>
      </c>
      <c r="X415" s="4">
        <f t="shared" si="144"/>
        <v>4.0673664307580015</v>
      </c>
      <c r="Y415" s="3">
        <f t="shared" si="145"/>
        <v>191.83333333333334</v>
      </c>
      <c r="Z415" s="4">
        <f>IF('Raw Data'!O415="","",O414)</f>
        <v>481</v>
      </c>
    </row>
    <row r="416" spans="1:27" x14ac:dyDescent="0.25">
      <c r="A416">
        <f>IF('Raw Data'!A416="","",'Raw Data'!A416)</f>
        <v>122</v>
      </c>
      <c r="B416">
        <f>IF('Raw Data'!B416="","",'Raw Data'!B416)</f>
        <v>123</v>
      </c>
      <c r="C416">
        <f>IF('Raw Data'!C416="","",'Raw Data'!C416)</f>
        <v>2</v>
      </c>
      <c r="D416">
        <f>IF('Raw Data'!D416="","",'Raw Data'!D416)</f>
        <v>1</v>
      </c>
      <c r="E416">
        <f>IF('Raw Data'!E416="","",'Raw Data'!E416)</f>
        <v>2.5</v>
      </c>
      <c r="F416">
        <f>IF('Raw Data'!F416="","",'Raw Data'!F416)</f>
        <v>1.5</v>
      </c>
      <c r="G416" s="7" t="str">
        <f>IF('Raw Data'!G416="/","-",IF('Raw Data'!G416="","-",SUBSTITUTE('Raw Data'!G416," ",":",1)))</f>
        <v>252:30</v>
      </c>
      <c r="H416" s="7" t="str">
        <f>IF('Raw Data'!H416="/","-",IF('Raw Data'!H416="","-",SUBSTITUTE('Raw Data'!H416," ",":",1)))</f>
        <v>-</v>
      </c>
      <c r="I416" s="7" t="str">
        <f>IF('Raw Data'!I416="/","-",IF('Raw Data'!I416="","-",SUBSTITUTE('Raw Data'!I416," ",":",1)))</f>
        <v>252:30</v>
      </c>
      <c r="J416" s="12">
        <f>IF('Raw Data'!J416="",IF(LEN(K416)&gt;6,SQRT('Raw Data'!M416^2+N416^2),""),'Raw Data'!J416)</f>
        <v>22</v>
      </c>
      <c r="K416" s="7" t="str">
        <f>IF('Raw Data'!K416="","",IF(LEN('Raw Data'!K416)&lt;7,SUBSTITUTE('Raw Data'!K416," ",":",1),'Raw Data'!K416))</f>
        <v>-10:00</v>
      </c>
      <c r="L416" t="str">
        <f>IF('Raw Data'!L416="","",'Raw Data'!L416)</f>
        <v/>
      </c>
      <c r="M416">
        <f>IF('Raw Data'!M416="","",'Raw Data'!M416)</f>
        <v>21.7</v>
      </c>
      <c r="N416">
        <f>IF('Raw Data'!N416="","",IF('Raw Data'!N416="-",0,'Raw Data'!N416))</f>
        <v>-3.8</v>
      </c>
      <c r="O416">
        <f>IF('Raw Data'!O416="",IF('Raw Data'!N416="","",0),'Raw Data'!O416)</f>
        <v>485.1</v>
      </c>
      <c r="P416" t="str">
        <f>IF('Raw Data'!P416="","",'Raw Data'!P416)</f>
        <v>Passage (small) on left at 6'</v>
      </c>
      <c r="R416" s="3">
        <f t="shared" si="146"/>
        <v>252.5</v>
      </c>
      <c r="S416" s="3" t="str">
        <f t="shared" si="147"/>
        <v>-</v>
      </c>
      <c r="T416" s="3">
        <f t="shared" si="148"/>
        <v>252.5</v>
      </c>
      <c r="U416" s="3">
        <f t="shared" si="153"/>
        <v>-10</v>
      </c>
      <c r="W416" s="4">
        <f t="shared" si="143"/>
        <v>21.665770566268577</v>
      </c>
      <c r="X416" s="4">
        <f t="shared" si="144"/>
        <v>-3.8202599086724671</v>
      </c>
      <c r="Y416" s="3">
        <f t="shared" si="145"/>
        <v>252.5</v>
      </c>
      <c r="Z416" s="4">
        <f>IF('Raw Data'!O416="","",O415+N415)</f>
        <v>485.1</v>
      </c>
    </row>
    <row r="417" spans="1:26" x14ac:dyDescent="0.25">
      <c r="A417">
        <f>IF('Raw Data'!A417="","",'Raw Data'!A417)</f>
        <v>123</v>
      </c>
      <c r="B417">
        <f>IF('Raw Data'!B417="","",'Raw Data'!B417)</f>
        <v>124</v>
      </c>
      <c r="C417">
        <f>IF('Raw Data'!C417="","",'Raw Data'!C417)</f>
        <v>2</v>
      </c>
      <c r="D417">
        <f>IF('Raw Data'!D417="","",'Raw Data'!D417)</f>
        <v>0.3</v>
      </c>
      <c r="E417">
        <f>IF('Raw Data'!E417="","",'Raw Data'!E417)</f>
        <v>2</v>
      </c>
      <c r="F417">
        <f>IF('Raw Data'!F417="","",'Raw Data'!F417)</f>
        <v>1.5</v>
      </c>
      <c r="G417" s="7" t="str">
        <f>IF('Raw Data'!G417="/","-",IF('Raw Data'!G417="","-",SUBSTITUTE('Raw Data'!G417," ",":",1)))</f>
        <v>-</v>
      </c>
      <c r="H417" s="7" t="str">
        <f>IF('Raw Data'!H417="/","-",IF('Raw Data'!H417="","-",SUBSTITUTE('Raw Data'!H417," ",":",1)))</f>
        <v>031:00</v>
      </c>
      <c r="I417" s="7" t="str">
        <f>IF('Raw Data'!I417="/","-",IF('Raw Data'!I417="","-",SUBSTITUTE('Raw Data'!I417," ",":",1)))</f>
        <v>211:00</v>
      </c>
      <c r="J417" s="12">
        <f>IF('Raw Data'!J417="",IF(LEN(K417)&gt;6,SQRT('Raw Data'!M417^2+N417^2),""),'Raw Data'!J417)</f>
        <v>18.7</v>
      </c>
      <c r="K417" s="7" t="str">
        <f>IF('Raw Data'!K417="","",IF(LEN('Raw Data'!K417)&lt;7,SUBSTITUTE('Raw Data'!K417," ",":",1),'Raw Data'!K417))</f>
        <v>16:00</v>
      </c>
      <c r="L417" t="str">
        <f>IF('Raw Data'!L417="","",'Raw Data'!L417)</f>
        <v/>
      </c>
      <c r="M417">
        <f>IF('Raw Data'!M417="","",'Raw Data'!M417)</f>
        <v>18</v>
      </c>
      <c r="N417">
        <f>IF('Raw Data'!N417="","",IF('Raw Data'!N417="-",0,'Raw Data'!N417))</f>
        <v>5.3</v>
      </c>
      <c r="O417">
        <f>IF('Raw Data'!O417="",IF('Raw Data'!N417="","",0),'Raw Data'!O417)</f>
        <v>481.3</v>
      </c>
      <c r="P417" t="str">
        <f>IF('Raw Data'!P417="","",'Raw Data'!P417)</f>
        <v/>
      </c>
      <c r="R417" s="3" t="str">
        <f t="shared" si="146"/>
        <v>-</v>
      </c>
      <c r="S417" s="3">
        <f t="shared" si="147"/>
        <v>31</v>
      </c>
      <c r="T417" s="3">
        <f t="shared" si="148"/>
        <v>211</v>
      </c>
      <c r="U417" s="3">
        <f t="shared" si="153"/>
        <v>16</v>
      </c>
      <c r="W417" s="4">
        <f t="shared" si="143"/>
        <v>17.975593714046564</v>
      </c>
      <c r="X417" s="4">
        <f t="shared" si="144"/>
        <v>5.1544185537778837</v>
      </c>
      <c r="Y417" s="3">
        <f t="shared" si="145"/>
        <v>211</v>
      </c>
      <c r="Z417" s="4">
        <f>IF('Raw Data'!O417="","",O416+N416)</f>
        <v>481.3</v>
      </c>
    </row>
    <row r="418" spans="1:26" x14ac:dyDescent="0.25">
      <c r="A418">
        <f>IF('Raw Data'!A418="","",'Raw Data'!A418)</f>
        <v>124</v>
      </c>
      <c r="B418">
        <f>IF('Raw Data'!B418="","",'Raw Data'!B418)</f>
        <v>125</v>
      </c>
      <c r="C418">
        <f>IF('Raw Data'!C418="","",'Raw Data'!C418)</f>
        <v>1.5</v>
      </c>
      <c r="D418">
        <f>IF('Raw Data'!D418="","",'Raw Data'!D418)</f>
        <v>1.2</v>
      </c>
      <c r="E418">
        <f>IF('Raw Data'!E418="","",'Raw Data'!E418)</f>
        <v>4</v>
      </c>
      <c r="F418">
        <f>IF('Raw Data'!F418="","",'Raw Data'!F418)</f>
        <v>2.5</v>
      </c>
      <c r="G418" s="7" t="str">
        <f>IF('Raw Data'!G418="/","-",IF('Raw Data'!G418="","-",SUBSTITUTE('Raw Data'!G418," ",":",1)))</f>
        <v>281:00</v>
      </c>
      <c r="H418" s="7" t="str">
        <f>IF('Raw Data'!H418="/","-",IF('Raw Data'!H418="","-",SUBSTITUTE('Raw Data'!H418," ",":",1)))</f>
        <v>-</v>
      </c>
      <c r="I418" s="7" t="str">
        <f>IF('Raw Data'!I418="/","-",IF('Raw Data'!I418="","-",SUBSTITUTE('Raw Data'!I418," ",":",1)))</f>
        <v>281:00</v>
      </c>
      <c r="J418" s="12">
        <f>IF('Raw Data'!J418="",IF(LEN(K418)&gt;6,SQRT('Raw Data'!M418^2+N418^2),""),'Raw Data'!J418)</f>
        <v>40.700000000000003</v>
      </c>
      <c r="K418" s="7" t="str">
        <f>IF('Raw Data'!K418="","",IF(LEN('Raw Data'!K418)&lt;7,SUBSTITUTE('Raw Data'!K418," ",":",1),'Raw Data'!K418))</f>
        <v>-14:15</v>
      </c>
      <c r="L418" t="str">
        <f>IF('Raw Data'!L418="","",'Raw Data'!L418)</f>
        <v/>
      </c>
      <c r="M418">
        <f>IF('Raw Data'!M418="","",'Raw Data'!M418)</f>
        <v>39.4</v>
      </c>
      <c r="N418">
        <f>IF('Raw Data'!N418="","",IF('Raw Data'!N418="-",0,'Raw Data'!N418))</f>
        <v>-10</v>
      </c>
      <c r="O418">
        <f>IF('Raw Data'!O418="",IF('Raw Data'!N418="","",0),'Raw Data'!O418)</f>
        <v>486.6</v>
      </c>
      <c r="P418" t="str">
        <f>IF('Raw Data'!P418="","",'Raw Data'!P418)</f>
        <v>Stn 124 marked by double ring on roof</v>
      </c>
      <c r="R418" s="3">
        <f t="shared" si="146"/>
        <v>281</v>
      </c>
      <c r="S418" s="3" t="str">
        <f t="shared" si="147"/>
        <v>-</v>
      </c>
      <c r="T418" s="3">
        <f t="shared" si="148"/>
        <v>281</v>
      </c>
      <c r="U418" s="3">
        <f t="shared" si="153"/>
        <v>-14.25</v>
      </c>
      <c r="W418" s="4">
        <f t="shared" si="143"/>
        <v>39.447698025064909</v>
      </c>
      <c r="X418" s="4">
        <f t="shared" si="144"/>
        <v>-10.018439026280017</v>
      </c>
      <c r="Y418" s="3">
        <f t="shared" si="145"/>
        <v>281</v>
      </c>
      <c r="Z418" s="4">
        <f>IF('Raw Data'!O418="","",O417+N417)</f>
        <v>486.6</v>
      </c>
    </row>
    <row r="419" spans="1:26" x14ac:dyDescent="0.25">
      <c r="A419">
        <f>IF('Raw Data'!A419="","",'Raw Data'!A419)</f>
        <v>125</v>
      </c>
      <c r="B419">
        <f>IF('Raw Data'!B419="","",'Raw Data'!B419)</f>
        <v>126</v>
      </c>
      <c r="C419">
        <f>IF('Raw Data'!C419="","",'Raw Data'!C419)</f>
        <v>2</v>
      </c>
      <c r="D419">
        <f>IF('Raw Data'!D419="","",'Raw Data'!D419)</f>
        <v>0.3</v>
      </c>
      <c r="E419">
        <f>IF('Raw Data'!E419="","",'Raw Data'!E419)</f>
        <v>3</v>
      </c>
      <c r="F419">
        <f>IF('Raw Data'!F419="","",'Raw Data'!F419)</f>
        <v>6</v>
      </c>
      <c r="G419" s="7" t="str">
        <f>IF('Raw Data'!G419="/","-",IF('Raw Data'!G419="","-",SUBSTITUTE('Raw Data'!G419," ",":",1)))</f>
        <v>-</v>
      </c>
      <c r="H419" s="7" t="str">
        <f>IF('Raw Data'!H419="/","-",IF('Raw Data'!H419="","-",SUBSTITUTE('Raw Data'!H419," ",":",1)))</f>
        <v>147:15</v>
      </c>
      <c r="I419" s="7" t="str">
        <f>IF('Raw Data'!I419="/","-",IF('Raw Data'!I419="","-",SUBSTITUTE('Raw Data'!I419," ",":",1)))</f>
        <v>327:15</v>
      </c>
      <c r="J419" s="12">
        <f>IF('Raw Data'!J419="",IF(LEN(K419)&gt;6,SQRT('Raw Data'!M419^2+N419^2),""),'Raw Data'!J419)</f>
        <v>13.8</v>
      </c>
      <c r="K419" s="7" t="str">
        <f>IF('Raw Data'!K419="","",IF(LEN('Raw Data'!K419)&lt;7,SUBSTITUTE('Raw Data'!K419," ",":",1),'Raw Data'!K419))</f>
        <v>5:30</v>
      </c>
      <c r="L419" t="str">
        <f>IF('Raw Data'!L419="","",'Raw Data'!L419)</f>
        <v/>
      </c>
      <c r="M419">
        <f>IF('Raw Data'!M419="","",'Raw Data'!M419)</f>
        <v>13.7</v>
      </c>
      <c r="N419">
        <f>IF('Raw Data'!N419="","",IF('Raw Data'!N419="-",0,'Raw Data'!N419))</f>
        <v>1.3</v>
      </c>
      <c r="O419">
        <f>IF('Raw Data'!O419="",IF('Raw Data'!N419="","",0),'Raw Data'!O419)</f>
        <v>476.6</v>
      </c>
      <c r="P419" t="str">
        <f>IF('Raw Data'!P419="","",'Raw Data'!P419)</f>
        <v/>
      </c>
      <c r="R419" s="3" t="str">
        <f t="shared" si="146"/>
        <v>-</v>
      </c>
      <c r="S419" s="3">
        <f t="shared" si="147"/>
        <v>147.25</v>
      </c>
      <c r="T419" s="3">
        <f t="shared" si="148"/>
        <v>327.25</v>
      </c>
      <c r="U419" s="3">
        <f t="shared" si="153"/>
        <v>5.5</v>
      </c>
      <c r="W419" s="4">
        <f t="shared" si="143"/>
        <v>13.736467537467069</v>
      </c>
      <c r="X419" s="4">
        <f t="shared" si="144"/>
        <v>1.322671384779091</v>
      </c>
      <c r="Y419" s="3">
        <f t="shared" si="145"/>
        <v>327.25</v>
      </c>
      <c r="Z419" s="4">
        <f>IF('Raw Data'!O419="","",O418+N418)</f>
        <v>476.6</v>
      </c>
    </row>
    <row r="420" spans="1:26" x14ac:dyDescent="0.25">
      <c r="A420">
        <f>IF('Raw Data'!A420="","",'Raw Data'!A420)</f>
        <v>126</v>
      </c>
      <c r="B420">
        <f>IF('Raw Data'!B420="","",'Raw Data'!B420)</f>
        <v>127</v>
      </c>
      <c r="C420">
        <f>IF('Raw Data'!C420="","",'Raw Data'!C420)</f>
        <v>2.5</v>
      </c>
      <c r="D420">
        <f>IF('Raw Data'!D420="","",'Raw Data'!D420)</f>
        <v>1.5</v>
      </c>
      <c r="E420" t="str">
        <f>IF('Raw Data'!E420="","",'Raw Data'!E420)</f>
        <v>/</v>
      </c>
      <c r="F420">
        <f>IF('Raw Data'!F420="","",'Raw Data'!F420)</f>
        <v>4</v>
      </c>
      <c r="G420" s="7" t="str">
        <f>IF('Raw Data'!G420="/","-",IF('Raw Data'!G420="","-",SUBSTITUTE('Raw Data'!G420," ",":",1)))</f>
        <v>266:20</v>
      </c>
      <c r="H420" s="7" t="str">
        <f>IF('Raw Data'!H420="/","-",IF('Raw Data'!H420="","-",SUBSTITUTE('Raw Data'!H420," ",":",1)))</f>
        <v>-</v>
      </c>
      <c r="I420" s="7" t="str">
        <f>IF('Raw Data'!I420="/","-",IF('Raw Data'!I420="","-",SUBSTITUTE('Raw Data'!I420," ",":",1)))</f>
        <v>266:20</v>
      </c>
      <c r="J420" s="12">
        <f>IF('Raw Data'!J420="",IF(LEN(K420)&gt;6,SQRT('Raw Data'!M420^2+N420^2),""),'Raw Data'!J420)</f>
        <v>20.5</v>
      </c>
      <c r="K420" s="7" t="str">
        <f>IF('Raw Data'!K420="","",IF(LEN('Raw Data'!K420)&lt;7,SUBSTITUTE('Raw Data'!K420," ",":",1),'Raw Data'!K420))</f>
        <v>-9:15</v>
      </c>
      <c r="L420" t="str">
        <f>IF('Raw Data'!L420="","",'Raw Data'!L420)</f>
        <v/>
      </c>
      <c r="M420">
        <f>IF('Raw Data'!M420="","",'Raw Data'!M420)</f>
        <v>20.3</v>
      </c>
      <c r="N420">
        <f>IF('Raw Data'!N420="","",IF('Raw Data'!N420="-",0,'Raw Data'!N420))</f>
        <v>-3.3</v>
      </c>
      <c r="O420">
        <f>IF('Raw Data'!O420="",IF('Raw Data'!N420="","",0),'Raw Data'!O420)</f>
        <v>477.9</v>
      </c>
      <c r="P420" t="str">
        <f>IF('Raw Data'!P420="","",'Raw Data'!P420)</f>
        <v/>
      </c>
      <c r="R420" s="3">
        <f t="shared" si="146"/>
        <v>266.33333333333331</v>
      </c>
      <c r="S420" s="3" t="str">
        <f t="shared" si="147"/>
        <v>-</v>
      </c>
      <c r="T420" s="3">
        <f t="shared" si="148"/>
        <v>266.33333333333331</v>
      </c>
      <c r="U420" s="3">
        <f t="shared" si="153"/>
        <v>-9.25</v>
      </c>
      <c r="W420" s="4">
        <f t="shared" si="143"/>
        <v>20.233425514484754</v>
      </c>
      <c r="X420" s="4">
        <f t="shared" si="144"/>
        <v>-3.2952225948784353</v>
      </c>
      <c r="Y420" s="3">
        <f t="shared" si="145"/>
        <v>266.33333333333331</v>
      </c>
      <c r="Z420" s="4">
        <f>IF('Raw Data'!O420="","",O419+N419)</f>
        <v>477.90000000000003</v>
      </c>
    </row>
    <row r="421" spans="1:26" x14ac:dyDescent="0.25">
      <c r="A421">
        <f>IF('Raw Data'!A421="","",'Raw Data'!A421)</f>
        <v>127</v>
      </c>
      <c r="B421">
        <f>IF('Raw Data'!B421="","",'Raw Data'!B421)</f>
        <v>128</v>
      </c>
      <c r="C421">
        <f>IF('Raw Data'!C421="","",'Raw Data'!C421)</f>
        <v>1.5</v>
      </c>
      <c r="D421">
        <f>IF('Raw Data'!D421="","",'Raw Data'!D421)</f>
        <v>0.2</v>
      </c>
      <c r="E421">
        <f>IF('Raw Data'!E421="","",'Raw Data'!E421)</f>
        <v>3</v>
      </c>
      <c r="F421">
        <f>IF('Raw Data'!F421="","",'Raw Data'!F421)</f>
        <v>1</v>
      </c>
      <c r="G421" s="7" t="str">
        <f>IF('Raw Data'!G421="/","-",IF('Raw Data'!G421="","-",SUBSTITUTE('Raw Data'!G421," ",":",1)))</f>
        <v>-</v>
      </c>
      <c r="H421" s="7" t="str">
        <f>IF('Raw Data'!H421="/","-",IF('Raw Data'!H421="","-",SUBSTITUTE('Raw Data'!H421," ",":",1)))</f>
        <v>146:00</v>
      </c>
      <c r="I421" s="7" t="str">
        <f>IF('Raw Data'!I421="/","-",IF('Raw Data'!I421="","-",SUBSTITUTE('Raw Data'!I421," ",":",1)))</f>
        <v>326:00</v>
      </c>
      <c r="J421" s="12">
        <f>IF('Raw Data'!J421="",IF(LEN(K421)&gt;6,SQRT('Raw Data'!M421^2+N421^2),""),'Raw Data'!J421)</f>
        <v>4.3</v>
      </c>
      <c r="K421" s="7" t="str">
        <f>IF('Raw Data'!K421="","",IF(LEN('Raw Data'!K421)&lt;7,SUBSTITUTE('Raw Data'!K421," ",":",1),'Raw Data'!K421))</f>
        <v>17:00</v>
      </c>
      <c r="L421" t="str">
        <f>IF('Raw Data'!L421="","",'Raw Data'!L421)</f>
        <v/>
      </c>
      <c r="M421">
        <f>IF('Raw Data'!M421="","",'Raw Data'!M421)</f>
        <v>4.0999999999999996</v>
      </c>
      <c r="N421">
        <f>IF('Raw Data'!N421="","",IF('Raw Data'!N421="-",0,'Raw Data'!N421))</f>
        <v>1.3</v>
      </c>
      <c r="O421">
        <f>IF('Raw Data'!O421="",IF('Raw Data'!N421="","",0),'Raw Data'!O421)</f>
        <v>474.6</v>
      </c>
      <c r="P421" t="str">
        <f>IF('Raw Data'!P421="","",'Raw Data'!P421)</f>
        <v/>
      </c>
      <c r="R421" s="3" t="str">
        <f t="shared" si="146"/>
        <v>-</v>
      </c>
      <c r="S421" s="3">
        <f t="shared" si="147"/>
        <v>146</v>
      </c>
      <c r="T421" s="3">
        <f t="shared" si="148"/>
        <v>326</v>
      </c>
      <c r="U421" s="3">
        <f t="shared" si="153"/>
        <v>17</v>
      </c>
      <c r="W421" s="4">
        <f t="shared" si="143"/>
        <v>4.112110450641052</v>
      </c>
      <c r="X421" s="4">
        <f t="shared" si="144"/>
        <v>1.2571983303077681</v>
      </c>
      <c r="Y421" s="3">
        <f t="shared" si="145"/>
        <v>326</v>
      </c>
      <c r="Z421" s="4">
        <f>IF('Raw Data'!O421="","",O420+N420)</f>
        <v>474.59999999999997</v>
      </c>
    </row>
    <row r="422" spans="1:26" x14ac:dyDescent="0.25">
      <c r="A422">
        <f>IF('Raw Data'!A422="","",'Raw Data'!A422)</f>
        <v>128</v>
      </c>
      <c r="B422">
        <f>IF('Raw Data'!B422="","",'Raw Data'!B422)</f>
        <v>129</v>
      </c>
      <c r="C422">
        <f>IF('Raw Data'!C422="","",'Raw Data'!C422)</f>
        <v>3.5</v>
      </c>
      <c r="D422">
        <f>IF('Raw Data'!D422="","",'Raw Data'!D422)</f>
        <v>1</v>
      </c>
      <c r="E422" t="str">
        <f>IF('Raw Data'!E422="","",'Raw Data'!E422)</f>
        <v>12 to choke</v>
      </c>
      <c r="F422">
        <f>IF('Raw Data'!F422="","",'Raw Data'!F422)</f>
        <v>2.5</v>
      </c>
      <c r="G422" s="7" t="str">
        <f>IF('Raw Data'!G422="/","-",IF('Raw Data'!G422="","-",SUBSTITUTE('Raw Data'!G422," ",":",1)))</f>
        <v>021:30</v>
      </c>
      <c r="H422" s="7" t="str">
        <f>IF('Raw Data'!H422="/","-",IF('Raw Data'!H422="","-",SUBSTITUTE('Raw Data'!H422," ",":",1)))</f>
        <v>-</v>
      </c>
      <c r="I422" s="7" t="str">
        <f>IF('Raw Data'!I422="/","-",IF('Raw Data'!I422="","-",SUBSTITUTE('Raw Data'!I422," ",":",1)))</f>
        <v>021:30</v>
      </c>
      <c r="J422" s="12">
        <f>IF('Raw Data'!J422="",IF(LEN(K422)&gt;6,SQRT('Raw Data'!M422^2+N422^2),""),'Raw Data'!J422)</f>
        <v>10.3</v>
      </c>
      <c r="K422" s="7" t="str">
        <f>IF('Raw Data'!K422="","",IF(LEN('Raw Data'!K422)&lt;7,SUBSTITUTE('Raw Data'!K422," ",":",1),'Raw Data'!K422))</f>
        <v>8:20</v>
      </c>
      <c r="L422" t="str">
        <f>IF('Raw Data'!L422="","",'Raw Data'!L422)</f>
        <v/>
      </c>
      <c r="M422">
        <f>IF('Raw Data'!M422="","",'Raw Data'!M422)</f>
        <v>10.199999999999999</v>
      </c>
      <c r="N422">
        <f>IF('Raw Data'!N422="","",IF('Raw Data'!N422="-",0,'Raw Data'!N422))</f>
        <v>1.5</v>
      </c>
      <c r="O422">
        <f>IF('Raw Data'!O422="",IF('Raw Data'!N422="","",0),'Raw Data'!O422)</f>
        <v>475.9</v>
      </c>
      <c r="P422" t="str">
        <f>IF('Raw Data'!P422="","",'Raw Data'!P422)</f>
        <v/>
      </c>
      <c r="R422" s="3">
        <f t="shared" si="146"/>
        <v>21.5</v>
      </c>
      <c r="S422" s="3" t="str">
        <f t="shared" si="147"/>
        <v>-</v>
      </c>
      <c r="T422" s="3">
        <f t="shared" si="148"/>
        <v>21.5</v>
      </c>
      <c r="U422" s="3">
        <f t="shared" si="153"/>
        <v>8.3333333300000003</v>
      </c>
      <c r="W422" s="4">
        <f t="shared" si="143"/>
        <v>10.191248877470576</v>
      </c>
      <c r="X422" s="4">
        <f t="shared" si="144"/>
        <v>1.4927981502717387</v>
      </c>
      <c r="Y422" s="3">
        <f t="shared" si="145"/>
        <v>21.5</v>
      </c>
      <c r="Z422" s="4">
        <f>IF('Raw Data'!O422="","",O421+N421)</f>
        <v>475.90000000000003</v>
      </c>
    </row>
    <row r="423" spans="1:26" x14ac:dyDescent="0.25">
      <c r="A423">
        <f>IF('Raw Data'!A423="","",'Raw Data'!A423)</f>
        <v>129</v>
      </c>
      <c r="B423">
        <f>IF('Raw Data'!B423="","",'Raw Data'!B423)</f>
        <v>130</v>
      </c>
      <c r="C423">
        <f>IF('Raw Data'!C423="","",'Raw Data'!C423)</f>
        <v>3.5</v>
      </c>
      <c r="D423">
        <f>IF('Raw Data'!D423="","",'Raw Data'!D423)</f>
        <v>2</v>
      </c>
      <c r="E423" t="str">
        <f>IF('Raw Data'!E423="","",'Raw Data'!E423)</f>
        <v>/</v>
      </c>
      <c r="F423">
        <f>IF('Raw Data'!F423="","",'Raw Data'!F423)</f>
        <v>6</v>
      </c>
      <c r="G423" s="7" t="str">
        <f>IF('Raw Data'!G423="/","-",IF('Raw Data'!G423="","-",SUBSTITUTE('Raw Data'!G423," ",":",1)))</f>
        <v>-</v>
      </c>
      <c r="H423" s="7" t="str">
        <f>IF('Raw Data'!H423="/","-",IF('Raw Data'!H423="","-",SUBSTITUTE('Raw Data'!H423," ",":",1)))</f>
        <v>113:10</v>
      </c>
      <c r="I423" s="7" t="str">
        <f>IF('Raw Data'!I423="/","-",IF('Raw Data'!I423="","-",SUBSTITUTE('Raw Data'!I423," ",":",1)))</f>
        <v>293:10</v>
      </c>
      <c r="J423" s="12">
        <f>IF('Raw Data'!J423="",IF(LEN(K423)&gt;6,SQRT('Raw Data'!M423^2+N423^2),""),'Raw Data'!J423)</f>
        <v>43.2</v>
      </c>
      <c r="K423" s="7" t="str">
        <f>IF('Raw Data'!K423="","",IF(LEN('Raw Data'!K423)&lt;7,SUBSTITUTE('Raw Data'!K423," ",":",1),'Raw Data'!K423))</f>
        <v>-10:20</v>
      </c>
      <c r="L423" t="str">
        <f>IF('Raw Data'!L423="","",'Raw Data'!L423)</f>
        <v/>
      </c>
      <c r="M423">
        <f>IF('Raw Data'!M423="","",'Raw Data'!M423)</f>
        <v>42.5</v>
      </c>
      <c r="N423">
        <f>IF('Raw Data'!N423="","",IF('Raw Data'!N423="-",0,'Raw Data'!N423))</f>
        <v>-7.7</v>
      </c>
      <c r="O423">
        <f>IF('Raw Data'!O423="",IF('Raw Data'!N423="","",0),'Raw Data'!O423)</f>
        <v>477.4</v>
      </c>
      <c r="P423" t="str">
        <f>IF('Raw Data'!P423="","",'Raw Data'!P423)</f>
        <v/>
      </c>
      <c r="R423" s="3" t="str">
        <f t="shared" si="146"/>
        <v>-</v>
      </c>
      <c r="S423" s="3">
        <f t="shared" si="147"/>
        <v>113.16666666666667</v>
      </c>
      <c r="T423" s="3">
        <f t="shared" si="148"/>
        <v>293.16666666666669</v>
      </c>
      <c r="U423" s="3">
        <f t="shared" si="153"/>
        <v>-10.33333333</v>
      </c>
      <c r="W423" s="4">
        <f t="shared" si="143"/>
        <v>42.499332656625356</v>
      </c>
      <c r="X423" s="4">
        <f t="shared" si="144"/>
        <v>-7.7489821100256489</v>
      </c>
      <c r="Y423" s="3">
        <f t="shared" si="145"/>
        <v>293.16666666666669</v>
      </c>
      <c r="Z423" s="4">
        <f>IF('Raw Data'!O423="","",O422+N422)</f>
        <v>477.4</v>
      </c>
    </row>
    <row r="424" spans="1:26" x14ac:dyDescent="0.25">
      <c r="A424">
        <f>IF('Raw Data'!A424="","",'Raw Data'!A424)</f>
        <v>130</v>
      </c>
      <c r="B424">
        <f>IF('Raw Data'!B424="","",'Raw Data'!B424)</f>
        <v>131</v>
      </c>
      <c r="C424">
        <f>IF('Raw Data'!C424="","",'Raw Data'!C424)</f>
        <v>1.5</v>
      </c>
      <c r="D424">
        <f>IF('Raw Data'!D424="","",'Raw Data'!D424)</f>
        <v>1</v>
      </c>
      <c r="E424">
        <f>IF('Raw Data'!E424="","",'Raw Data'!E424)</f>
        <v>5</v>
      </c>
      <c r="F424">
        <f>IF('Raw Data'!F424="","",'Raw Data'!F424)</f>
        <v>3</v>
      </c>
      <c r="G424" s="7" t="str">
        <f>IF('Raw Data'!G424="/","-",IF('Raw Data'!G424="","-",SUBSTITUTE('Raw Data'!G424," ",":",1)))</f>
        <v>293:40</v>
      </c>
      <c r="H424" s="7" t="str">
        <f>IF('Raw Data'!H424="/","-",IF('Raw Data'!H424="","-",SUBSTITUTE('Raw Data'!H424," ",":",1)))</f>
        <v>-</v>
      </c>
      <c r="I424" s="7" t="str">
        <f>IF('Raw Data'!I424="/","-",IF('Raw Data'!I424="","-",SUBSTITUTE('Raw Data'!I424," ",":",1)))</f>
        <v>293:40</v>
      </c>
      <c r="J424" s="12">
        <f>IF('Raw Data'!J424="",IF(LEN(K424)&gt;6,SQRT('Raw Data'!M424^2+N424^2),""),'Raw Data'!J424)</f>
        <v>37.799999999999997</v>
      </c>
      <c r="K424" s="7" t="str">
        <f>IF('Raw Data'!K424="","",IF(LEN('Raw Data'!K424)&lt;7,SUBSTITUTE('Raw Data'!K424," ",":",1),'Raw Data'!K424))</f>
        <v>-3:00</v>
      </c>
      <c r="L424" t="str">
        <f>IF('Raw Data'!L424="","",'Raw Data'!L424)</f>
        <v/>
      </c>
      <c r="M424">
        <f>IF('Raw Data'!M424="","",'Raw Data'!M424)</f>
        <v>37.6</v>
      </c>
      <c r="N424">
        <f>IF('Raw Data'!N424="","",IF('Raw Data'!N424="-",0,'Raw Data'!N424))</f>
        <v>-2</v>
      </c>
      <c r="O424">
        <f>IF('Raw Data'!O424="",IF('Raw Data'!N424="","",0),'Raw Data'!O424)</f>
        <v>469.7</v>
      </c>
      <c r="P424" t="str">
        <f>IF('Raw Data'!P424="","",'Raw Data'!P424)</f>
        <v/>
      </c>
      <c r="R424" s="3">
        <f t="shared" si="146"/>
        <v>293.66666666666669</v>
      </c>
      <c r="S424" s="3" t="str">
        <f t="shared" si="147"/>
        <v>-</v>
      </c>
      <c r="T424" s="3">
        <f t="shared" si="148"/>
        <v>293.66666666666669</v>
      </c>
      <c r="U424" s="3">
        <f t="shared" si="153"/>
        <v>-3</v>
      </c>
      <c r="W424" s="4">
        <f t="shared" si="143"/>
        <v>37.748196413722887</v>
      </c>
      <c r="X424" s="4">
        <f t="shared" si="144"/>
        <v>-1.9782991459832766</v>
      </c>
      <c r="Y424" s="3">
        <f t="shared" si="145"/>
        <v>293.66666666666669</v>
      </c>
      <c r="Z424" s="4">
        <f>IF('Raw Data'!O424="","",O423+N423)</f>
        <v>469.7</v>
      </c>
    </row>
    <row r="425" spans="1:26" x14ac:dyDescent="0.25">
      <c r="A425">
        <f>IF('Raw Data'!A425="","",'Raw Data'!A425)</f>
        <v>131</v>
      </c>
      <c r="B425">
        <f>IF('Raw Data'!B425="","",'Raw Data'!B425)</f>
        <v>132</v>
      </c>
      <c r="C425">
        <f>IF('Raw Data'!C425="","",'Raw Data'!C425)</f>
        <v>2</v>
      </c>
      <c r="D425">
        <f>IF('Raw Data'!D425="","",'Raw Data'!D425)</f>
        <v>0.5</v>
      </c>
      <c r="E425">
        <f>IF('Raw Data'!E425="","",'Raw Data'!E425)</f>
        <v>3</v>
      </c>
      <c r="F425">
        <f>IF('Raw Data'!F425="","",'Raw Data'!F425)</f>
        <v>4</v>
      </c>
      <c r="G425" s="7" t="str">
        <f>IF('Raw Data'!G425="/","-",IF('Raw Data'!G425="","-",SUBSTITUTE('Raw Data'!G425," ",":",1)))</f>
        <v>-</v>
      </c>
      <c r="H425" s="7" t="str">
        <f>IF('Raw Data'!H425="/","-",IF('Raw Data'!H425="","-",SUBSTITUTE('Raw Data'!H425," ",":",1)))</f>
        <v>167:00</v>
      </c>
      <c r="I425" s="7" t="str">
        <f>IF('Raw Data'!I425="/","-",IF('Raw Data'!I425="","-",SUBSTITUTE('Raw Data'!I425," ",":",1)))</f>
        <v>347:00</v>
      </c>
      <c r="J425" s="12">
        <f>IF('Raw Data'!J425="",IF(LEN(K425)&gt;6,SQRT('Raw Data'!M425^2+N425^2),""),'Raw Data'!J425)</f>
        <v>9.3000000000000007</v>
      </c>
      <c r="K425" s="7" t="str">
        <f>IF('Raw Data'!K425="","",IF(LEN('Raw Data'!K425)&lt;7,SUBSTITUTE('Raw Data'!K425," ",":",1),'Raw Data'!K425))</f>
        <v>20:30</v>
      </c>
      <c r="L425" t="str">
        <f>IF('Raw Data'!L425="","",'Raw Data'!L425)</f>
        <v/>
      </c>
      <c r="M425">
        <f>IF('Raw Data'!M425="","",'Raw Data'!M425)</f>
        <v>8.6999999999999993</v>
      </c>
      <c r="N425">
        <f>IF('Raw Data'!N425="","",IF('Raw Data'!N425="-",0,'Raw Data'!N425))</f>
        <v>3.3</v>
      </c>
      <c r="O425">
        <f>IF('Raw Data'!O425="",IF('Raw Data'!N425="","",0),'Raw Data'!O425)</f>
        <v>467.7</v>
      </c>
      <c r="P425" t="str">
        <f>IF('Raw Data'!P425="","",'Raw Data'!P425)</f>
        <v/>
      </c>
      <c r="R425" s="3" t="str">
        <f t="shared" si="146"/>
        <v>-</v>
      </c>
      <c r="S425" s="3">
        <f t="shared" si="147"/>
        <v>167</v>
      </c>
      <c r="T425" s="3">
        <f t="shared" si="148"/>
        <v>347</v>
      </c>
      <c r="U425" s="3">
        <f t="shared" si="153"/>
        <v>20.5</v>
      </c>
      <c r="W425" s="4">
        <f t="shared" si="143"/>
        <v>8.7110513600100994</v>
      </c>
      <c r="X425" s="4">
        <f t="shared" si="144"/>
        <v>3.2569286457130469</v>
      </c>
      <c r="Y425" s="3">
        <f t="shared" si="145"/>
        <v>347</v>
      </c>
      <c r="Z425" s="4">
        <f>IF('Raw Data'!O425="","",O424+N424)</f>
        <v>467.7</v>
      </c>
    </row>
    <row r="426" spans="1:26" x14ac:dyDescent="0.25">
      <c r="A426">
        <f>IF('Raw Data'!A426="","",'Raw Data'!A426)</f>
        <v>132</v>
      </c>
      <c r="B426">
        <f>IF('Raw Data'!B426="","",'Raw Data'!B426)</f>
        <v>133</v>
      </c>
      <c r="C426">
        <f>IF('Raw Data'!C426="","",'Raw Data'!C426)</f>
        <v>1</v>
      </c>
      <c r="D426">
        <f>IF('Raw Data'!D426="","",'Raw Data'!D426)</f>
        <v>1.5</v>
      </c>
      <c r="E426">
        <f>IF('Raw Data'!E426="","",'Raw Data'!E426)</f>
        <v>10</v>
      </c>
      <c r="F426">
        <f>IF('Raw Data'!F426="","",'Raw Data'!F426)</f>
        <v>4</v>
      </c>
      <c r="G426" s="7" t="str">
        <f>IF('Raw Data'!G426="/","-",IF('Raw Data'!G426="","-",SUBSTITUTE('Raw Data'!G426," ",":",1)))</f>
        <v>271:30</v>
      </c>
      <c r="H426" s="7" t="str">
        <f>IF('Raw Data'!H426="/","-",IF('Raw Data'!H426="","-",SUBSTITUTE('Raw Data'!H426," ",":",1)))</f>
        <v>-</v>
      </c>
      <c r="I426" s="7" t="str">
        <f>IF('Raw Data'!I426="/","-",IF('Raw Data'!I426="","-",SUBSTITUTE('Raw Data'!I426," ",":",1)))</f>
        <v>271:30</v>
      </c>
      <c r="J426" s="12">
        <f>IF('Raw Data'!J426="",IF(LEN(K426)&gt;6,SQRT('Raw Data'!M426^2+N426^2),""),'Raw Data'!J426)</f>
        <v>14.6</v>
      </c>
      <c r="K426" s="7" t="str">
        <f>IF('Raw Data'!K426="","",IF(LEN('Raw Data'!K426)&lt;7,SUBSTITUTE('Raw Data'!K426," ",":",1),'Raw Data'!K426))</f>
        <v>-11:30</v>
      </c>
      <c r="L426" t="str">
        <f>IF('Raw Data'!L426="","",'Raw Data'!L426)</f>
        <v/>
      </c>
      <c r="M426">
        <f>IF('Raw Data'!M426="","",'Raw Data'!M426)</f>
        <v>14.3</v>
      </c>
      <c r="N426">
        <f>IF('Raw Data'!N426="","",IF('Raw Data'!N426="-",0,'Raw Data'!N426))</f>
        <v>-2.9</v>
      </c>
      <c r="O426">
        <f>IF('Raw Data'!O426="",IF('Raw Data'!N426="","",0),'Raw Data'!O426)</f>
        <v>471</v>
      </c>
      <c r="P426" t="str">
        <f>IF('Raw Data'!P426="","",'Raw Data'!P426)</f>
        <v/>
      </c>
      <c r="R426" s="3">
        <f t="shared" si="146"/>
        <v>271.5</v>
      </c>
      <c r="S426" s="3" t="str">
        <f t="shared" si="147"/>
        <v>-</v>
      </c>
      <c r="T426" s="3">
        <f t="shared" si="148"/>
        <v>271.5</v>
      </c>
      <c r="U426" s="3">
        <f t="shared" si="153"/>
        <v>-11.5</v>
      </c>
      <c r="W426" s="4">
        <f t="shared" si="143"/>
        <v>14.306900687464111</v>
      </c>
      <c r="X426" s="4">
        <f t="shared" si="144"/>
        <v>-2.9107718424910787</v>
      </c>
      <c r="Y426" s="3">
        <f t="shared" si="145"/>
        <v>271.5</v>
      </c>
      <c r="Z426" s="4">
        <f>IF('Raw Data'!O426="","",O425+N425)</f>
        <v>471</v>
      </c>
    </row>
    <row r="427" spans="1:26" x14ac:dyDescent="0.25">
      <c r="A427">
        <f>IF('Raw Data'!A427="","",'Raw Data'!A427)</f>
        <v>133</v>
      </c>
      <c r="B427">
        <f>IF('Raw Data'!B427="","",'Raw Data'!B427)</f>
        <v>134</v>
      </c>
      <c r="C427">
        <f>IF('Raw Data'!C427="","",'Raw Data'!C427)</f>
        <v>10</v>
      </c>
      <c r="D427">
        <f>IF('Raw Data'!D427="","",'Raw Data'!D427)</f>
        <v>0.3</v>
      </c>
      <c r="E427">
        <f>IF('Raw Data'!E427="","",'Raw Data'!E427)</f>
        <v>3</v>
      </c>
      <c r="F427">
        <f>IF('Raw Data'!F427="","",'Raw Data'!F427)</f>
        <v>1.5</v>
      </c>
      <c r="G427" s="7" t="str">
        <f>IF('Raw Data'!G427="/","-",IF('Raw Data'!G427="","-",SUBSTITUTE('Raw Data'!G427," ",":",1)))</f>
        <v>-</v>
      </c>
      <c r="H427" s="7" t="str">
        <f>IF('Raw Data'!H427="/","-",IF('Raw Data'!H427="","-",SUBSTITUTE('Raw Data'!H427," ",":",1)))</f>
        <v>161:00</v>
      </c>
      <c r="I427" s="7" t="str">
        <f>IF('Raw Data'!I427="/","-",IF('Raw Data'!I427="","-",SUBSTITUTE('Raw Data'!I427," ",":",1)))</f>
        <v>341:00</v>
      </c>
      <c r="J427" s="12">
        <f>IF('Raw Data'!J427="",IF(LEN(K427)&gt;6,SQRT('Raw Data'!M427^2+N427^2),""),'Raw Data'!J427)</f>
        <v>14.7</v>
      </c>
      <c r="K427" s="7" t="str">
        <f>IF('Raw Data'!K427="","",IF(LEN('Raw Data'!K427)&lt;7,SUBSTITUTE('Raw Data'!K427," ",":",1),'Raw Data'!K427))</f>
        <v>20:40</v>
      </c>
      <c r="L427" t="str">
        <f>IF('Raw Data'!L427="","",'Raw Data'!L427)</f>
        <v/>
      </c>
      <c r="M427">
        <f>IF('Raw Data'!M427="","",'Raw Data'!M427)</f>
        <v>13.8</v>
      </c>
      <c r="N427">
        <f>IF('Raw Data'!N427="","",IF('Raw Data'!N427="-",0,'Raw Data'!N427))</f>
        <v>5.2</v>
      </c>
      <c r="O427">
        <f>IF('Raw Data'!O427="",IF('Raw Data'!N427="","",0),'Raw Data'!O427)</f>
        <v>468.1</v>
      </c>
      <c r="P427" t="str">
        <f>IF('Raw Data'!P427="","",'Raw Data'!P427)</f>
        <v/>
      </c>
      <c r="R427" s="3" t="str">
        <f t="shared" si="146"/>
        <v>-</v>
      </c>
      <c r="S427" s="3">
        <f t="shared" si="147"/>
        <v>161</v>
      </c>
      <c r="T427" s="3">
        <f t="shared" si="148"/>
        <v>341</v>
      </c>
      <c r="U427" s="3">
        <f t="shared" si="153"/>
        <v>20.666666660000001</v>
      </c>
      <c r="W427" s="4">
        <f t="shared" si="143"/>
        <v>13.754047883444771</v>
      </c>
      <c r="X427" s="4">
        <f t="shared" si="144"/>
        <v>5.1880792996935172</v>
      </c>
      <c r="Y427" s="3">
        <f t="shared" si="145"/>
        <v>341</v>
      </c>
      <c r="Z427" s="4">
        <f>IF('Raw Data'!O427="","",O426+N426)</f>
        <v>468.1</v>
      </c>
    </row>
    <row r="428" spans="1:26" x14ac:dyDescent="0.25">
      <c r="A428">
        <f>IF('Raw Data'!A428="","",'Raw Data'!A428)</f>
        <v>134</v>
      </c>
      <c r="B428">
        <f>IF('Raw Data'!B428="","",'Raw Data'!B428)</f>
        <v>135</v>
      </c>
      <c r="C428">
        <f>IF('Raw Data'!C428="","",'Raw Data'!C428)</f>
        <v>15</v>
      </c>
      <c r="D428">
        <f>IF('Raw Data'!D428="","",'Raw Data'!D428)</f>
        <v>3</v>
      </c>
      <c r="E428">
        <f>IF('Raw Data'!E428="","",'Raw Data'!E428)</f>
        <v>3.5</v>
      </c>
      <c r="F428">
        <f>IF('Raw Data'!F428="","",'Raw Data'!F428)</f>
        <v>1.5</v>
      </c>
      <c r="G428" s="7" t="str">
        <f>IF('Raw Data'!G428="/","-",IF('Raw Data'!G428="","-",SUBSTITUTE('Raw Data'!G428," ",":",1)))</f>
        <v>009:30</v>
      </c>
      <c r="H428" s="7" t="str">
        <f>IF('Raw Data'!H428="/","-",IF('Raw Data'!H428="","-",SUBSTITUTE('Raw Data'!H428," ",":",1)))</f>
        <v>-</v>
      </c>
      <c r="I428" s="7" t="str">
        <f>IF('Raw Data'!I428="/","-",IF('Raw Data'!I428="","-",SUBSTITUTE('Raw Data'!I428," ",":",1)))</f>
        <v>009:30</v>
      </c>
      <c r="J428" s="12">
        <f>IF('Raw Data'!J428="",IF(LEN(K428)&gt;6,SQRT('Raw Data'!M428^2+N428^2),""),'Raw Data'!J428)</f>
        <v>21.5</v>
      </c>
      <c r="K428" s="7" t="str">
        <f>IF('Raw Data'!K428="","",IF(LEN('Raw Data'!K428)&lt;7,SUBSTITUTE('Raw Data'!K428," ",":",1),'Raw Data'!K428))</f>
        <v>-6:20</v>
      </c>
      <c r="L428" t="str">
        <f>IF('Raw Data'!L428="","",'Raw Data'!L428)</f>
        <v/>
      </c>
      <c r="M428">
        <f>IF('Raw Data'!M428="","",'Raw Data'!M428)</f>
        <v>21.3</v>
      </c>
      <c r="N428">
        <f>IF('Raw Data'!N428="","",IF('Raw Data'!N428="-",0,'Raw Data'!N428))</f>
        <v>-2.4</v>
      </c>
      <c r="O428">
        <f>IF('Raw Data'!O428="",IF('Raw Data'!N428="","",0),'Raw Data'!O428)</f>
        <v>473.3</v>
      </c>
      <c r="P428" t="str">
        <f>IF('Raw Data'!P428="","",'Raw Data'!P428)</f>
        <v/>
      </c>
      <c r="R428" s="3">
        <f t="shared" si="146"/>
        <v>9.5</v>
      </c>
      <c r="S428" s="3" t="str">
        <f t="shared" si="147"/>
        <v>-</v>
      </c>
      <c r="T428" s="3">
        <f t="shared" si="148"/>
        <v>9.5</v>
      </c>
      <c r="U428" s="3">
        <f t="shared" si="153"/>
        <v>-6.3333333300000003</v>
      </c>
      <c r="W428" s="4">
        <f t="shared" si="143"/>
        <v>21.368784348050159</v>
      </c>
      <c r="X428" s="4">
        <f t="shared" si="144"/>
        <v>-2.3717199426843165</v>
      </c>
      <c r="Y428" s="3">
        <f t="shared" si="145"/>
        <v>9.5</v>
      </c>
      <c r="Z428" s="4">
        <f>IF('Raw Data'!O428="","",O427+N427)</f>
        <v>473.3</v>
      </c>
    </row>
    <row r="429" spans="1:26" x14ac:dyDescent="0.25">
      <c r="A429" t="str">
        <f>IF('Raw Data'!A429="","",'Raw Data'!A429)</f>
        <v/>
      </c>
      <c r="B429" t="str">
        <f>IF('Raw Data'!B429="","",'Raw Data'!B429)</f>
        <v/>
      </c>
      <c r="C429" t="str">
        <f>IF('Raw Data'!C429="","",'Raw Data'!C429)</f>
        <v/>
      </c>
      <c r="D429" t="str">
        <f>IF('Raw Data'!D429="","",'Raw Data'!D429)</f>
        <v/>
      </c>
      <c r="E429" t="str">
        <f>IF('Raw Data'!E429="","",'Raw Data'!E429)</f>
        <v/>
      </c>
      <c r="F429" t="str">
        <f>IF('Raw Data'!F429="","",'Raw Data'!F429)</f>
        <v/>
      </c>
      <c r="G429" s="7" t="str">
        <f>IF('Raw Data'!G429="/","-",IF('Raw Data'!G429="","-",SUBSTITUTE('Raw Data'!G429," ",":",1)))</f>
        <v>-</v>
      </c>
      <c r="H429" s="7" t="str">
        <f>IF('Raw Data'!H429="/","-",IF('Raw Data'!H429="","-",SUBSTITUTE('Raw Data'!H429," ",":",1)))</f>
        <v>-</v>
      </c>
      <c r="I429" s="7" t="str">
        <f>IF('Raw Data'!I429="/","-",IF('Raw Data'!I429="","-",SUBSTITUTE('Raw Data'!I429," ",":",1)))</f>
        <v>-</v>
      </c>
      <c r="J429" s="12" t="str">
        <f>IF('Raw Data'!J429="",IF(LEN(K429)&gt;6,SQRT('Raw Data'!M429^2+N429^2),""),'Raw Data'!J429)</f>
        <v/>
      </c>
      <c r="K429" s="7" t="str">
        <f>IF('Raw Data'!K429="","",IF(LEN('Raw Data'!K429)&lt;7,SUBSTITUTE('Raw Data'!K429," ",":",1),'Raw Data'!K429))</f>
        <v/>
      </c>
      <c r="L429" t="str">
        <f>IF('Raw Data'!L429="","",'Raw Data'!L429)</f>
        <v/>
      </c>
      <c r="M429" t="str">
        <f>IF('Raw Data'!M429="","",'Raw Data'!M429)</f>
        <v/>
      </c>
      <c r="N429" t="str">
        <f>IF('Raw Data'!N429="","",IF('Raw Data'!N429="-",0,'Raw Data'!N429))</f>
        <v/>
      </c>
      <c r="O429">
        <f>IF('Raw Data'!O429="",IF('Raw Data'!N429="","",0),'Raw Data'!O429)</f>
        <v>470.9</v>
      </c>
      <c r="P429" t="str">
        <f>IF('Raw Data'!P429="","",'Raw Data'!P429)</f>
        <v/>
      </c>
      <c r="W429" s="4"/>
      <c r="X429" s="4"/>
      <c r="Y429" s="3"/>
      <c r="Z429" s="4">
        <f>IF('Raw Data'!O429="","",O428+N428)</f>
        <v>470.90000000000003</v>
      </c>
    </row>
    <row r="430" spans="1:26" x14ac:dyDescent="0.25">
      <c r="A430" t="str">
        <f>IF('Raw Data'!A430="","",'Raw Data'!A430)</f>
        <v>p. 73-74</v>
      </c>
      <c r="B430" t="str">
        <f>IF('Raw Data'!B430="","",'Raw Data'!B430)</f>
        <v>(=PDF p.75-76)</v>
      </c>
      <c r="C430" t="str">
        <f>IF('Raw Data'!C430="","",'Raw Data'!C430)</f>
        <v/>
      </c>
      <c r="D430" t="str">
        <f>IF('Raw Data'!D430="","",'Raw Data'!D430)</f>
        <v/>
      </c>
      <c r="E430" t="str">
        <f>IF('Raw Data'!E430="","",'Raw Data'!E430)</f>
        <v/>
      </c>
      <c r="F430" t="str">
        <f>IF('Raw Data'!F430="","",'Raw Data'!F430)</f>
        <v/>
      </c>
      <c r="G430" s="7" t="str">
        <f>IF('Raw Data'!G430="/","-",IF('Raw Data'!G430="","-",SUBSTITUTE('Raw Data'!G430," ",":",1)))</f>
        <v>-</v>
      </c>
      <c r="H430" s="7" t="str">
        <f>IF('Raw Data'!H430="/","-",IF('Raw Data'!H430="","-",SUBSTITUTE('Raw Data'!H430," ",":",1)))</f>
        <v>-</v>
      </c>
      <c r="I430" s="7" t="str">
        <f>IF('Raw Data'!I430="/","-",IF('Raw Data'!I430="","-",SUBSTITUTE('Raw Data'!I430," ",":",1)))</f>
        <v>-</v>
      </c>
      <c r="J430" s="12" t="str">
        <f>IF('Raw Data'!J430="",IF(LEN(K430)&gt;6,SQRT('Raw Data'!M430^2+N430^2),""),'Raw Data'!J430)</f>
        <v/>
      </c>
      <c r="K430" s="7" t="str">
        <f>IF('Raw Data'!K430="","",IF(LEN('Raw Data'!K430)&lt;7,SUBSTITUTE('Raw Data'!K430," ",":",1),'Raw Data'!K430))</f>
        <v/>
      </c>
      <c r="L430" t="str">
        <f>IF('Raw Data'!L430="","",'Raw Data'!L430)</f>
        <v/>
      </c>
      <c r="M430" t="str">
        <f>IF('Raw Data'!M430="","",'Raw Data'!M430)</f>
        <v/>
      </c>
      <c r="N430" t="str">
        <f>IF('Raw Data'!N430="","",IF('Raw Data'!N430="-",0,'Raw Data'!N430))</f>
        <v/>
      </c>
      <c r="O430" t="str">
        <f>IF('Raw Data'!O430="",IF('Raw Data'!N430="","",0),'Raw Data'!O430)</f>
        <v/>
      </c>
      <c r="P430" t="str">
        <f>IF('Raw Data'!P430="","",'Raw Data'!P430)</f>
        <v/>
      </c>
      <c r="W430" s="4"/>
      <c r="X430" s="4"/>
      <c r="Y430" s="3"/>
      <c r="Z430" s="4" t="str">
        <f>IF('Raw Data'!O430="","",O429+N429)</f>
        <v/>
      </c>
    </row>
    <row r="431" spans="1:26" x14ac:dyDescent="0.25">
      <c r="A431">
        <f>IF('Raw Data'!A431="","",'Raw Data'!A431)</f>
        <v>135</v>
      </c>
      <c r="B431">
        <f>IF('Raw Data'!B431="","",'Raw Data'!B431)</f>
        <v>136</v>
      </c>
      <c r="C431">
        <f>IF('Raw Data'!C431="","",'Raw Data'!C431)</f>
        <v>3.5</v>
      </c>
      <c r="D431">
        <f>IF('Raw Data'!D431="","",'Raw Data'!D431)</f>
        <v>1.2</v>
      </c>
      <c r="E431" t="str">
        <f>IF('Raw Data'!E431="","",'Raw Data'!E431)</f>
        <v>/</v>
      </c>
      <c r="F431">
        <f>IF('Raw Data'!F431="","",'Raw Data'!F431)</f>
        <v>3</v>
      </c>
      <c r="G431" s="7" t="str">
        <f>IF('Raw Data'!G431="/","-",IF('Raw Data'!G431="","-",SUBSTITUTE('Raw Data'!G431," ",":",1)))</f>
        <v>-</v>
      </c>
      <c r="H431" s="7" t="str">
        <f>IF('Raw Data'!H431="/","-",IF('Raw Data'!H431="","-",SUBSTITUTE('Raw Data'!H431," ",":",1)))</f>
        <v>084:20</v>
      </c>
      <c r="I431" s="7" t="str">
        <f>IF('Raw Data'!I431="/","-",IF('Raw Data'!I431="","-",SUBSTITUTE('Raw Data'!I431," ",":",1)))</f>
        <v>264:20</v>
      </c>
      <c r="J431" s="12">
        <f>IF('Raw Data'!J431="",IF(LEN(K431)&gt;6,SQRT('Raw Data'!M431^2+N431^2),""),'Raw Data'!J431)</f>
        <v>57.2</v>
      </c>
      <c r="K431" s="7" t="str">
        <f>IF('Raw Data'!K431="","",IF(LEN('Raw Data'!K431)&lt;7,SUBSTITUTE('Raw Data'!K431," ",":",1),'Raw Data'!K431))</f>
        <v>-13:40</v>
      </c>
      <c r="L431" t="str">
        <f>IF('Raw Data'!L431="","",'Raw Data'!L431)</f>
        <v/>
      </c>
      <c r="M431">
        <f>IF('Raw Data'!M431="","",'Raw Data'!M431)</f>
        <v>55.7</v>
      </c>
      <c r="N431">
        <f>IF('Raw Data'!N431="","",IF('Raw Data'!N431="-",0,'Raw Data'!N431))</f>
        <v>-13.5</v>
      </c>
      <c r="O431">
        <f>IF('Raw Data'!O431="",IF('Raw Data'!N431="","",0),'Raw Data'!O431)</f>
        <v>470.9</v>
      </c>
      <c r="P431" t="str">
        <f>IF('Raw Data'!P431="","",'Raw Data'!P431)</f>
        <v/>
      </c>
      <c r="R431" s="3" t="str">
        <f t="shared" ref="R431:R441" si="154">IF(ISERROR(FIND(":",G431)),IF(G431&lt;&gt;"-",1*G431,G431),1*LEFT(G431,FIND(":",G431)-1)+RIGHT(G431,LEN(G431)-FIND(":",G431))/60)</f>
        <v>-</v>
      </c>
      <c r="S431" s="3">
        <f t="shared" ref="S431:S441" si="155">IF(ISERROR(FIND(":",H431)),IF(H431&lt;&gt;"-",1*H431,H431),1*LEFT(H431,FIND(":",H431)-1)+RIGHT(H431,LEN(H431)-FIND(":",H431))/60)</f>
        <v>84.333333333333329</v>
      </c>
      <c r="T431" s="3">
        <f t="shared" ref="T431:T441" si="156">IF(ISERROR(FIND(":",I431)),IF(I431&lt;&gt;"-",1*I431,I431),1*LEFT(I431,FIND(":",I431)-1)+RIGHT(I431,LEN(I431)-FIND(":",I431))/60)</f>
        <v>264.33333333333331</v>
      </c>
      <c r="U431" s="3">
        <f t="shared" si="153"/>
        <v>-13.666666660000001</v>
      </c>
      <c r="W431" s="4">
        <f t="shared" si="143"/>
        <v>55.580481668046872</v>
      </c>
      <c r="X431" s="4">
        <f t="shared" si="144"/>
        <v>-13.514808823949602</v>
      </c>
      <c r="Y431" s="3">
        <f t="shared" si="145"/>
        <v>264.33333333333331</v>
      </c>
      <c r="Z431" s="4">
        <f>IF('Raw Data'!O431="","",O428+N428)</f>
        <v>470.90000000000003</v>
      </c>
    </row>
    <row r="432" spans="1:26" x14ac:dyDescent="0.25">
      <c r="A432">
        <f>IF('Raw Data'!A432="","",'Raw Data'!A432)</f>
        <v>136</v>
      </c>
      <c r="B432">
        <f>IF('Raw Data'!B432="","",'Raw Data'!B432)</f>
        <v>137</v>
      </c>
      <c r="C432">
        <f>IF('Raw Data'!C432="","",'Raw Data'!C432)</f>
        <v>2</v>
      </c>
      <c r="D432">
        <f>IF('Raw Data'!D432="","",'Raw Data'!D432)</f>
        <v>1</v>
      </c>
      <c r="E432">
        <f>IF('Raw Data'!E432="","",'Raw Data'!E432)</f>
        <v>6</v>
      </c>
      <c r="F432" t="str">
        <f>IF('Raw Data'!F432="","",'Raw Data'!F432)</f>
        <v>/</v>
      </c>
      <c r="G432" s="7" t="str">
        <f>IF('Raw Data'!G432="/","-",IF('Raw Data'!G432="","-",SUBSTITUTE('Raw Data'!G432," ",":",1)))</f>
        <v>007:30</v>
      </c>
      <c r="H432" s="7" t="str">
        <f>IF('Raw Data'!H432="/","-",IF('Raw Data'!H432="","-",SUBSTITUTE('Raw Data'!H432," ",":",1)))</f>
        <v>-</v>
      </c>
      <c r="I432" s="7" t="str">
        <f>IF('Raw Data'!I432="/","-",IF('Raw Data'!I432="","-",SUBSTITUTE('Raw Data'!I432," ",":",1)))</f>
        <v>007:30</v>
      </c>
      <c r="J432" s="12">
        <f>IF('Raw Data'!J432="",IF(LEN(K432)&gt;6,SQRT('Raw Data'!M432^2+N432^2),""),'Raw Data'!J432)</f>
        <v>18.399999999999999</v>
      </c>
      <c r="K432" s="7" t="str">
        <f>IF('Raw Data'!K432="","",IF(LEN('Raw Data'!K432)&lt;7,SUBSTITUTE('Raw Data'!K432," ",":",1),'Raw Data'!K432))</f>
        <v>-6:00</v>
      </c>
      <c r="L432" t="str">
        <f>IF('Raw Data'!L432="","",'Raw Data'!L432)</f>
        <v/>
      </c>
      <c r="M432">
        <f>IF('Raw Data'!M432="","",'Raw Data'!M432)</f>
        <v>18.2</v>
      </c>
      <c r="N432">
        <f>IF('Raw Data'!N432="","",IF('Raw Data'!N432="-",0,'Raw Data'!N432))</f>
        <v>-1.9</v>
      </c>
      <c r="O432">
        <f>IF('Raw Data'!O432="",IF('Raw Data'!N432="","",0),'Raw Data'!O432)</f>
        <v>457.4</v>
      </c>
      <c r="P432" t="str">
        <f>IF('Raw Data'!P432="","",'Raw Data'!P432)</f>
        <v/>
      </c>
      <c r="R432" s="3">
        <f t="shared" si="154"/>
        <v>7.5</v>
      </c>
      <c r="S432" s="3" t="str">
        <f t="shared" si="155"/>
        <v>-</v>
      </c>
      <c r="T432" s="3">
        <f t="shared" si="156"/>
        <v>7.5</v>
      </c>
      <c r="U432" s="3">
        <f t="shared" si="153"/>
        <v>-6</v>
      </c>
      <c r="W432" s="4">
        <f t="shared" si="143"/>
        <v>18.299202874776228</v>
      </c>
      <c r="X432" s="4">
        <f t="shared" si="144"/>
        <v>-1.9233237241248236</v>
      </c>
      <c r="Y432" s="3">
        <f t="shared" si="145"/>
        <v>7.5</v>
      </c>
      <c r="Z432" s="4">
        <f>IF('Raw Data'!O432="","",O431+N431)</f>
        <v>457.4</v>
      </c>
    </row>
    <row r="433" spans="1:27" x14ac:dyDescent="0.25">
      <c r="A433">
        <f>IF('Raw Data'!A433="","",'Raw Data'!A433)</f>
        <v>137</v>
      </c>
      <c r="B433">
        <f>IF('Raw Data'!B433="","",'Raw Data'!B433)</f>
        <v>138</v>
      </c>
      <c r="C433">
        <f>IF('Raw Data'!C433="","",'Raw Data'!C433)</f>
        <v>5.5</v>
      </c>
      <c r="D433">
        <f>IF('Raw Data'!D433="","",'Raw Data'!D433)</f>
        <v>0.3</v>
      </c>
      <c r="E433">
        <f>IF('Raw Data'!E433="","",'Raw Data'!E433)</f>
        <v>4</v>
      </c>
      <c r="F433" t="str">
        <f>IF('Raw Data'!F433="","",'Raw Data'!F433)</f>
        <v>/</v>
      </c>
      <c r="G433" s="7" t="str">
        <f>IF('Raw Data'!G433="/","-",IF('Raw Data'!G433="","-",SUBSTITUTE('Raw Data'!G433," ",":",1)))</f>
        <v>-</v>
      </c>
      <c r="H433" s="7" t="str">
        <f>IF('Raw Data'!H433="/","-",IF('Raw Data'!H433="","-",SUBSTITUTE('Raw Data'!H433," ",":",1)))</f>
        <v>252:15</v>
      </c>
      <c r="I433" s="7" t="str">
        <f>IF('Raw Data'!I433="/","-",IF('Raw Data'!I433="","-",SUBSTITUTE('Raw Data'!I433," ",":",1)))</f>
        <v>072:15</v>
      </c>
      <c r="J433" s="12">
        <f>IF('Raw Data'!J433="",IF(LEN(K433)&gt;6,SQRT('Raw Data'!M433^2+N433^2),""),'Raw Data'!J433)</f>
        <v>24.8</v>
      </c>
      <c r="K433" s="7" t="str">
        <f>IF('Raw Data'!K433="","",IF(LEN('Raw Data'!K433)&lt;7,SUBSTITUTE('Raw Data'!K433," ",":",1),'Raw Data'!K433))</f>
        <v>33:20</v>
      </c>
      <c r="L433" t="str">
        <f>IF('Raw Data'!L433="","",'Raw Data'!L433)</f>
        <v/>
      </c>
      <c r="M433">
        <f>IF('Raw Data'!M433="","",'Raw Data'!M433)</f>
        <v>20.7</v>
      </c>
      <c r="N433">
        <f>IF('Raw Data'!N433="","",IF('Raw Data'!N433="-",0,'Raw Data'!N433))</f>
        <v>13.6</v>
      </c>
      <c r="O433">
        <f>IF('Raw Data'!O433="",IF('Raw Data'!N433="","",0),'Raw Data'!O433)</f>
        <v>455.5</v>
      </c>
      <c r="P433" t="str">
        <f>IF('Raw Data'!P433="","",'Raw Data'!P433)</f>
        <v/>
      </c>
      <c r="R433" s="3" t="str">
        <f t="shared" si="154"/>
        <v>-</v>
      </c>
      <c r="S433" s="3">
        <f t="shared" si="155"/>
        <v>252.25</v>
      </c>
      <c r="T433" s="3">
        <f t="shared" si="156"/>
        <v>72.25</v>
      </c>
      <c r="U433" s="3">
        <f t="shared" si="153"/>
        <v>33.333333330000002</v>
      </c>
      <c r="W433" s="4">
        <f t="shared" si="143"/>
        <v>20.720097723833661</v>
      </c>
      <c r="X433" s="4">
        <f t="shared" si="144"/>
        <v>13.627822654950544</v>
      </c>
      <c r="Y433" s="3">
        <f t="shared" si="145"/>
        <v>72.25</v>
      </c>
      <c r="Z433" s="4">
        <f>IF('Raw Data'!O433="","",O432+N432)</f>
        <v>455.5</v>
      </c>
    </row>
    <row r="434" spans="1:27" x14ac:dyDescent="0.25">
      <c r="A434">
        <f>IF('Raw Data'!A434="","",'Raw Data'!A434)</f>
        <v>138</v>
      </c>
      <c r="B434">
        <f>IF('Raw Data'!B434="","",'Raw Data'!B434)</f>
        <v>139</v>
      </c>
      <c r="C434">
        <f>IF('Raw Data'!C434="","",'Raw Data'!C434)</f>
        <v>2.5</v>
      </c>
      <c r="D434">
        <f>IF('Raw Data'!D434="","",'Raw Data'!D434)</f>
        <v>1.5</v>
      </c>
      <c r="E434">
        <f>IF('Raw Data'!E434="","",'Raw Data'!E434)</f>
        <v>5</v>
      </c>
      <c r="F434">
        <f>IF('Raw Data'!F434="","",'Raw Data'!F434)</f>
        <v>1</v>
      </c>
      <c r="G434" s="7" t="str">
        <f>IF('Raw Data'!G434="/","-",IF('Raw Data'!G434="","-",SUBSTITUTE('Raw Data'!G434," ",":",1)))</f>
        <v>052:00</v>
      </c>
      <c r="H434" s="7" t="str">
        <f>IF('Raw Data'!H434="/","-",IF('Raw Data'!H434="","-",SUBSTITUTE('Raw Data'!H434," ",":",1)))</f>
        <v>-</v>
      </c>
      <c r="I434" s="7" t="str">
        <f>IF('Raw Data'!I434="/","-",IF('Raw Data'!I434="","-",SUBSTITUTE('Raw Data'!I434," ",":",1)))</f>
        <v>052:00</v>
      </c>
      <c r="J434" s="12">
        <f>IF('Raw Data'!J434="",IF(LEN(K434)&gt;6,SQRT('Raw Data'!M434^2+N434^2),""),'Raw Data'!J434)</f>
        <v>19</v>
      </c>
      <c r="K434" s="7" t="str">
        <f>IF('Raw Data'!K434="","",IF(LEN('Raw Data'!K434)&lt;7,SUBSTITUTE('Raw Data'!K434," ",":",1),'Raw Data'!K434))</f>
        <v>16:30</v>
      </c>
      <c r="L434" t="str">
        <f>IF('Raw Data'!L434="","",'Raw Data'!L434)</f>
        <v/>
      </c>
      <c r="M434">
        <f>IF('Raw Data'!M434="","",'Raw Data'!M434)</f>
        <v>18.2</v>
      </c>
      <c r="N434">
        <f>IF('Raw Data'!N434="","",IF('Raw Data'!N434="-",0,'Raw Data'!N434))</f>
        <v>5.4</v>
      </c>
      <c r="O434">
        <f>IF('Raw Data'!O434="",IF('Raw Data'!N434="","",0),'Raw Data'!O434)</f>
        <v>469.1</v>
      </c>
      <c r="P434" t="str">
        <f>IF('Raw Data'!P434="","",'Raw Data'!P434)</f>
        <v/>
      </c>
      <c r="R434" s="3">
        <f t="shared" si="154"/>
        <v>52</v>
      </c>
      <c r="S434" s="3" t="str">
        <f t="shared" si="155"/>
        <v>-</v>
      </c>
      <c r="T434" s="3">
        <f t="shared" si="156"/>
        <v>52</v>
      </c>
      <c r="U434" s="3">
        <f t="shared" si="153"/>
        <v>16.5</v>
      </c>
      <c r="W434" s="4">
        <f t="shared" si="143"/>
        <v>18.217574962495668</v>
      </c>
      <c r="X434" s="4">
        <f t="shared" si="144"/>
        <v>5.3962915493745305</v>
      </c>
      <c r="Y434" s="3">
        <f t="shared" si="145"/>
        <v>52</v>
      </c>
      <c r="Z434" s="4">
        <f>IF('Raw Data'!O434="","",O433+N433)</f>
        <v>469.1</v>
      </c>
    </row>
    <row r="435" spans="1:27" x14ac:dyDescent="0.25">
      <c r="A435">
        <f>IF('Raw Data'!A435="","",'Raw Data'!A435)</f>
        <v>139</v>
      </c>
      <c r="B435">
        <f>IF('Raw Data'!B435="","",'Raw Data'!B435)</f>
        <v>140</v>
      </c>
      <c r="C435">
        <f>IF('Raw Data'!C435="","",'Raw Data'!C435)</f>
        <v>0.8</v>
      </c>
      <c r="D435">
        <f>IF('Raw Data'!D435="","",'Raw Data'!D435)</f>
        <v>0.3</v>
      </c>
      <c r="E435">
        <f>IF('Raw Data'!E435="","",'Raw Data'!E435)</f>
        <v>5</v>
      </c>
      <c r="F435">
        <f>IF('Raw Data'!F435="","",'Raw Data'!F435)</f>
        <v>2</v>
      </c>
      <c r="G435" s="7" t="str">
        <f>IF('Raw Data'!G435="/","-",IF('Raw Data'!G435="","-",SUBSTITUTE('Raw Data'!G435," ",":",1)))</f>
        <v>-</v>
      </c>
      <c r="H435" s="7" t="str">
        <f>IF('Raw Data'!H435="/","-",IF('Raw Data'!H435="","-",SUBSTITUTE('Raw Data'!H435," ",":",1)))</f>
        <v>094:10</v>
      </c>
      <c r="I435" s="7" t="str">
        <f>IF('Raw Data'!I435="/","-",IF('Raw Data'!I435="","-",SUBSTITUTE('Raw Data'!I435," ",":",1)))</f>
        <v>274:10</v>
      </c>
      <c r="J435" s="12">
        <f>IF('Raw Data'!J435="",IF(LEN(K435)&gt;6,SQRT('Raw Data'!M435^2+N435^2),""),'Raw Data'!J435)</f>
        <v>35</v>
      </c>
      <c r="K435" s="7" t="str">
        <f>IF('Raw Data'!K435="","",IF(LEN('Raw Data'!K435)&lt;7,SUBSTITUTE('Raw Data'!K435," ",":",1),'Raw Data'!K435))</f>
        <v>-19:20</v>
      </c>
      <c r="L435" t="str">
        <f>IF('Raw Data'!L435="","",'Raw Data'!L435)</f>
        <v/>
      </c>
      <c r="M435">
        <f>IF('Raw Data'!M435="","",'Raw Data'!M435)</f>
        <v>33</v>
      </c>
      <c r="N435">
        <f>IF('Raw Data'!N435="","",IF('Raw Data'!N435="-",0,'Raw Data'!N435))</f>
        <v>-11.6</v>
      </c>
      <c r="O435">
        <f>IF('Raw Data'!O435="",IF('Raw Data'!N435="","",0),'Raw Data'!O435)</f>
        <v>474.5</v>
      </c>
      <c r="P435" t="str">
        <f>IF('Raw Data'!P435="","",'Raw Data'!P435)</f>
        <v/>
      </c>
      <c r="R435" s="3" t="str">
        <f t="shared" si="154"/>
        <v>-</v>
      </c>
      <c r="S435" s="3">
        <f t="shared" si="155"/>
        <v>94.166666666666671</v>
      </c>
      <c r="T435" s="3">
        <f t="shared" si="156"/>
        <v>274.16666666666669</v>
      </c>
      <c r="U435" s="3">
        <f t="shared" si="153"/>
        <v>-19.333333329999999</v>
      </c>
      <c r="W435" s="4">
        <f t="shared" si="143"/>
        <v>33.026297724449542</v>
      </c>
      <c r="X435" s="4">
        <f t="shared" si="144"/>
        <v>-11.587219624052139</v>
      </c>
      <c r="Y435" s="3">
        <f t="shared" si="145"/>
        <v>274.16666666666669</v>
      </c>
      <c r="Z435" s="4">
        <f>IF('Raw Data'!O435="","",O434+N434)</f>
        <v>474.5</v>
      </c>
    </row>
    <row r="436" spans="1:27" x14ac:dyDescent="0.25">
      <c r="A436">
        <f>IF('Raw Data'!A436="","",'Raw Data'!A436)</f>
        <v>140</v>
      </c>
      <c r="B436">
        <f>IF('Raw Data'!B436="","",'Raw Data'!B436)</f>
        <v>141</v>
      </c>
      <c r="C436" t="str">
        <f>IF('Raw Data'!C436="","",'Raw Data'!C436)</f>
        <v>10 (22 in aven)</v>
      </c>
      <c r="D436">
        <f>IF('Raw Data'!D436="","",'Raw Data'!D436)</f>
        <v>1.5</v>
      </c>
      <c r="E436">
        <f>IF('Raw Data'!E436="","",'Raw Data'!E436)</f>
        <v>4</v>
      </c>
      <c r="F436">
        <f>IF('Raw Data'!F436="","",'Raw Data'!F436)</f>
        <v>5</v>
      </c>
      <c r="G436" s="7" t="str">
        <f>IF('Raw Data'!G436="/","-",IF('Raw Data'!G436="","-",SUBSTITUTE('Raw Data'!G436," ",":",1)))</f>
        <v>265:50</v>
      </c>
      <c r="H436" s="7" t="str">
        <f>IF('Raw Data'!H436="/","-",IF('Raw Data'!H436="","-",SUBSTITUTE('Raw Data'!H436," ",":",1)))</f>
        <v>-</v>
      </c>
      <c r="I436" s="7" t="str">
        <f>IF('Raw Data'!I436="/","-",IF('Raw Data'!I436="","-",SUBSTITUTE('Raw Data'!I436," ",":",1)))</f>
        <v>265:50</v>
      </c>
      <c r="J436" s="12">
        <f>IF('Raw Data'!J436="",IF(LEN(K436)&gt;6,SQRT('Raw Data'!M436^2+N436^2),""),'Raw Data'!J436)</f>
        <v>51.6</v>
      </c>
      <c r="K436" s="7" t="str">
        <f>IF('Raw Data'!K436="","",IF(LEN('Raw Data'!K436)&lt;7,SUBSTITUTE('Raw Data'!K436," ",":",1),'Raw Data'!K436))</f>
        <v>-19:00</v>
      </c>
      <c r="L436" t="str">
        <f>IF('Raw Data'!L436="","",'Raw Data'!L436)</f>
        <v/>
      </c>
      <c r="M436">
        <f>IF('Raw Data'!M436="","",'Raw Data'!M436)</f>
        <v>48.6</v>
      </c>
      <c r="N436">
        <f>IF('Raw Data'!N436="","",IF('Raw Data'!N436="-",0,'Raw Data'!N436))</f>
        <v>-16.8</v>
      </c>
      <c r="O436">
        <f>IF('Raw Data'!O436="",IF('Raw Data'!N436="","",0),'Raw Data'!O436)</f>
        <v>462.9</v>
      </c>
      <c r="P436" t="str">
        <f>IF('Raw Data'!P436="","",'Raw Data'!P436)</f>
        <v/>
      </c>
      <c r="R436" s="3">
        <f t="shared" si="154"/>
        <v>265.83333333333331</v>
      </c>
      <c r="S436" s="3" t="str">
        <f t="shared" si="155"/>
        <v>-</v>
      </c>
      <c r="T436" s="3">
        <f t="shared" si="156"/>
        <v>265.83333333333331</v>
      </c>
      <c r="U436" s="3">
        <f t="shared" si="153"/>
        <v>-19</v>
      </c>
      <c r="W436" s="4">
        <f t="shared" si="143"/>
        <v>48.78875850092475</v>
      </c>
      <c r="X436" s="4">
        <f t="shared" si="144"/>
        <v>-16.799316769989282</v>
      </c>
      <c r="Y436" s="3">
        <f t="shared" si="145"/>
        <v>265.83333333333331</v>
      </c>
      <c r="Z436" s="4">
        <f>IF('Raw Data'!O436="","",O435+N435)</f>
        <v>462.9</v>
      </c>
      <c r="AA436" t="s">
        <v>900</v>
      </c>
    </row>
    <row r="437" spans="1:27" x14ac:dyDescent="0.25">
      <c r="A437">
        <f>IF('Raw Data'!A437="","",'Raw Data'!A437)</f>
        <v>141</v>
      </c>
      <c r="B437">
        <f>IF('Raw Data'!B437="","",'Raw Data'!B437)</f>
        <v>142</v>
      </c>
      <c r="C437">
        <f>IF('Raw Data'!C437="","",'Raw Data'!C437)</f>
        <v>2.5</v>
      </c>
      <c r="D437">
        <f>IF('Raw Data'!D437="","",'Raw Data'!D437)</f>
        <v>2</v>
      </c>
      <c r="E437">
        <f>IF('Raw Data'!E437="","",'Raw Data'!E437)</f>
        <v>15</v>
      </c>
      <c r="F437">
        <f>IF('Raw Data'!F437="","",'Raw Data'!F437)</f>
        <v>3</v>
      </c>
      <c r="G437" s="7" t="str">
        <f>IF('Raw Data'!G437="/","-",IF('Raw Data'!G437="","-",SUBSTITUTE('Raw Data'!G437," ",":",1)))</f>
        <v>-</v>
      </c>
      <c r="H437" s="7" t="str">
        <f>IF('Raw Data'!H437="/","-",IF('Raw Data'!H437="","-",SUBSTITUTE('Raw Data'!H437," ",":",1)))</f>
        <v>149:15</v>
      </c>
      <c r="I437" s="7" t="str">
        <f>IF('Raw Data'!I437="/","-",IF('Raw Data'!I437="","-",SUBSTITUTE('Raw Data'!I437," ",":",1)))</f>
        <v>329:15</v>
      </c>
      <c r="J437" s="12">
        <f>IF('Raw Data'!J437="",IF(LEN(K437)&gt;6,SQRT('Raw Data'!M437^2+N437^2),""),'Raw Data'!J437)</f>
        <v>21.6</v>
      </c>
      <c r="K437" s="7" t="str">
        <f>IF('Raw Data'!K437="","",IF(LEN('Raw Data'!K437)&lt;7,SUBSTITUTE('Raw Data'!K437," ",":",1),'Raw Data'!K437))</f>
        <v>11:00</v>
      </c>
      <c r="L437" t="str">
        <f>IF('Raw Data'!L437="","",'Raw Data'!L437)</f>
        <v/>
      </c>
      <c r="M437">
        <f>IF('Raw Data'!M437="","",'Raw Data'!M437)</f>
        <v>21.2</v>
      </c>
      <c r="N437">
        <f>IF('Raw Data'!N437="","",IF('Raw Data'!N437="-",0,'Raw Data'!N437))</f>
        <v>4.0999999999999996</v>
      </c>
      <c r="O437">
        <f>IF('Raw Data'!O437="",IF('Raw Data'!N437="","",0),'Raw Data'!O437)</f>
        <v>446.1</v>
      </c>
      <c r="P437" t="str">
        <f>IF('Raw Data'!P437="","",'Raw Data'!P437)</f>
        <v/>
      </c>
      <c r="R437" s="3" t="str">
        <f t="shared" si="154"/>
        <v>-</v>
      </c>
      <c r="S437" s="3">
        <f t="shared" si="155"/>
        <v>149.25</v>
      </c>
      <c r="T437" s="3">
        <f t="shared" si="156"/>
        <v>329.25</v>
      </c>
      <c r="U437" s="3">
        <f t="shared" si="153"/>
        <v>11</v>
      </c>
      <c r="W437" s="4">
        <f t="shared" si="143"/>
        <v>21.203147162469545</v>
      </c>
      <c r="X437" s="4">
        <f t="shared" si="144"/>
        <v>4.121474300133368</v>
      </c>
      <c r="Y437" s="3">
        <f t="shared" si="145"/>
        <v>329.25</v>
      </c>
      <c r="Z437" s="4">
        <f>IF('Raw Data'!O437="","",O436+N436)</f>
        <v>446.09999999999997</v>
      </c>
    </row>
    <row r="438" spans="1:27" x14ac:dyDescent="0.25">
      <c r="A438">
        <f>IF('Raw Data'!A438="","",'Raw Data'!A438)</f>
        <v>142</v>
      </c>
      <c r="B438">
        <f>IF('Raw Data'!B438="","",'Raw Data'!B438)</f>
        <v>143</v>
      </c>
      <c r="C438">
        <f>IF('Raw Data'!C438="","",'Raw Data'!C438)</f>
        <v>3</v>
      </c>
      <c r="D438">
        <f>IF('Raw Data'!D438="","",'Raw Data'!D438)</f>
        <v>1.5</v>
      </c>
      <c r="E438">
        <f>IF('Raw Data'!E438="","",'Raw Data'!E438)</f>
        <v>11</v>
      </c>
      <c r="F438" t="str">
        <f>IF('Raw Data'!F438="","",'Raw Data'!F438)</f>
        <v>/</v>
      </c>
      <c r="G438" s="7" t="str">
        <f>IF('Raw Data'!G438="/","-",IF('Raw Data'!G438="","-",SUBSTITUTE('Raw Data'!G438," ",":",1)))</f>
        <v>042:20</v>
      </c>
      <c r="H438" s="7" t="str">
        <f>IF('Raw Data'!H438="/","-",IF('Raw Data'!H438="","-",SUBSTITUTE('Raw Data'!H438," ",":",1)))</f>
        <v>-</v>
      </c>
      <c r="I438" s="7" t="str">
        <f>IF('Raw Data'!I438="/","-",IF('Raw Data'!I438="","-",SUBSTITUTE('Raw Data'!I438," ",":",1)))</f>
        <v>042:20</v>
      </c>
      <c r="J438" s="12">
        <f>IF('Raw Data'!J438="",IF(LEN(K438)&gt;6,SQRT('Raw Data'!M438^2+N438^2),""),'Raw Data'!J438)</f>
        <v>22.4</v>
      </c>
      <c r="K438" s="7" t="str">
        <f>IF('Raw Data'!K438="","",IF(LEN('Raw Data'!K438)&lt;7,SUBSTITUTE('Raw Data'!K438," ",":",1),'Raw Data'!K438))</f>
        <v>28:30</v>
      </c>
      <c r="L438" t="str">
        <f>IF('Raw Data'!L438="","",'Raw Data'!L438)</f>
        <v/>
      </c>
      <c r="M438">
        <f>IF('Raw Data'!M438="","",'Raw Data'!M438)</f>
        <v>19.600000000000001</v>
      </c>
      <c r="N438">
        <f>IF('Raw Data'!N438="","",IF('Raw Data'!N438="-",0,'Raw Data'!N438))</f>
        <v>10.7</v>
      </c>
      <c r="O438">
        <f>IF('Raw Data'!O438="",IF('Raw Data'!N438="","",0),'Raw Data'!O438)</f>
        <v>450.2</v>
      </c>
      <c r="P438" t="str">
        <f>IF('Raw Data'!P438="","",'Raw Data'!P438)</f>
        <v/>
      </c>
      <c r="R438" s="3">
        <f t="shared" si="154"/>
        <v>42.333333333333336</v>
      </c>
      <c r="S438" s="3" t="str">
        <f t="shared" si="155"/>
        <v>-</v>
      </c>
      <c r="T438" s="3">
        <f t="shared" si="156"/>
        <v>42.333333333333336</v>
      </c>
      <c r="U438" s="3">
        <f t="shared" si="153"/>
        <v>28.5</v>
      </c>
      <c r="W438" s="4">
        <f t="shared" si="143"/>
        <v>19.685503323628023</v>
      </c>
      <c r="X438" s="4">
        <f t="shared" si="144"/>
        <v>10.688356229815227</v>
      </c>
      <c r="Y438" s="3">
        <f t="shared" si="145"/>
        <v>42.333333333333336</v>
      </c>
      <c r="Z438" s="4">
        <f>IF('Raw Data'!O438="","",O437+N437)</f>
        <v>450.20000000000005</v>
      </c>
    </row>
    <row r="439" spans="1:27" x14ac:dyDescent="0.25">
      <c r="A439">
        <f>IF('Raw Data'!A439="","",'Raw Data'!A439)</f>
        <v>143</v>
      </c>
      <c r="B439" t="str">
        <f>IF('Raw Data'!B439="","",'Raw Data'!B439)</f>
        <v/>
      </c>
      <c r="C439">
        <f>IF('Raw Data'!C439="","",'Raw Data'!C439)</f>
        <v>0</v>
      </c>
      <c r="D439">
        <f>IF('Raw Data'!D439="","",'Raw Data'!D439)</f>
        <v>3.5</v>
      </c>
      <c r="E439" t="str">
        <f>IF('Raw Data'!E439="","",'Raw Data'!E439)</f>
        <v/>
      </c>
      <c r="F439" t="str">
        <f>IF('Raw Data'!F439="","",'Raw Data'!F439)</f>
        <v/>
      </c>
      <c r="G439" s="7" t="str">
        <f>IF('Raw Data'!G439="/","-",IF('Raw Data'!G439="","-",SUBSTITUTE('Raw Data'!G439," ",":",1)))</f>
        <v>-</v>
      </c>
      <c r="H439" s="7" t="str">
        <f>IF('Raw Data'!H439="/","-",IF('Raw Data'!H439="","-",SUBSTITUTE('Raw Data'!H439," ",":",1)))</f>
        <v>-</v>
      </c>
      <c r="I439" s="7" t="str">
        <f>IF('Raw Data'!I439="/","-",IF('Raw Data'!I439="","-",SUBSTITUTE('Raw Data'!I439," ",":",1)))</f>
        <v>-</v>
      </c>
      <c r="J439" s="12" t="str">
        <f>IF('Raw Data'!J439="",IF(LEN(K439)&gt;6,SQRT('Raw Data'!M439^2+N439^2),""),'Raw Data'!J439)</f>
        <v/>
      </c>
      <c r="K439" s="7" t="str">
        <f>IF('Raw Data'!K439="","",IF(LEN('Raw Data'!K439)&lt;7,SUBSTITUTE('Raw Data'!K439," ",":",1),'Raw Data'!K439))</f>
        <v/>
      </c>
      <c r="L439" t="str">
        <f>IF('Raw Data'!L439="","",'Raw Data'!L439)</f>
        <v/>
      </c>
      <c r="M439" t="str">
        <f>IF('Raw Data'!M439="","",'Raw Data'!M439)</f>
        <v/>
      </c>
      <c r="N439" t="str">
        <f>IF('Raw Data'!N439="","",IF('Raw Data'!N439="-",0,'Raw Data'!N439))</f>
        <v/>
      </c>
      <c r="O439">
        <f>IF('Raw Data'!O439="",IF('Raw Data'!N439="","",0),'Raw Data'!O439)</f>
        <v>460.9</v>
      </c>
      <c r="P439" t="str">
        <f>IF('Raw Data'!P439="","",'Raw Data'!P439)</f>
        <v>knob on roof 4 feet from entrance pit of Blue Pencil Passage</v>
      </c>
      <c r="W439" s="4"/>
      <c r="X439" s="4"/>
      <c r="Y439" s="3"/>
      <c r="Z439" s="4">
        <f>IF('Raw Data'!O439="","",O438+N438)</f>
        <v>460.9</v>
      </c>
    </row>
    <row r="440" spans="1:27" x14ac:dyDescent="0.25">
      <c r="A440" t="str">
        <f>IF('Raw Data'!A440="","",'Raw Data'!A440)</f>
        <v/>
      </c>
      <c r="B440" t="str">
        <f>IF('Raw Data'!B440="","",'Raw Data'!B440)</f>
        <v/>
      </c>
      <c r="C440" t="str">
        <f>IF('Raw Data'!C440="","",'Raw Data'!C440)</f>
        <v/>
      </c>
      <c r="D440" t="str">
        <f>IF('Raw Data'!D440="","",'Raw Data'!D440)</f>
        <v/>
      </c>
      <c r="E440" t="str">
        <f>IF('Raw Data'!E440="","",'Raw Data'!E440)</f>
        <v/>
      </c>
      <c r="F440" t="str">
        <f>IF('Raw Data'!F440="","",'Raw Data'!F440)</f>
        <v/>
      </c>
      <c r="G440" s="7" t="str">
        <f>IF('Raw Data'!G440="/","-",IF('Raw Data'!G440="","-",SUBSTITUTE('Raw Data'!G440," ",":",1)))</f>
        <v>-</v>
      </c>
      <c r="H440" s="7" t="str">
        <f>IF('Raw Data'!H440="/","-",IF('Raw Data'!H440="","-",SUBSTITUTE('Raw Data'!H440," ",":",1)))</f>
        <v>-</v>
      </c>
      <c r="I440" s="7" t="str">
        <f>IF('Raw Data'!I440="/","-",IF('Raw Data'!I440="","-",SUBSTITUTE('Raw Data'!I440," ",":",1)))</f>
        <v>-</v>
      </c>
      <c r="J440" s="12" t="str">
        <f>IF('Raw Data'!J440="",IF(LEN(K440)&gt;6,SQRT('Raw Data'!M440^2+N440^2),""),'Raw Data'!J440)</f>
        <v/>
      </c>
      <c r="K440" s="7" t="str">
        <f>IF('Raw Data'!K440="","",IF(LEN('Raw Data'!K440)&lt;7,SUBSTITUTE('Raw Data'!K440," ",":",1),'Raw Data'!K440))</f>
        <v/>
      </c>
      <c r="L440" t="str">
        <f>IF('Raw Data'!L440="","",'Raw Data'!L440)</f>
        <v/>
      </c>
      <c r="M440" t="str">
        <f>IF('Raw Data'!M440="","",'Raw Data'!M440)</f>
        <v/>
      </c>
      <c r="N440" t="str">
        <f>IF('Raw Data'!N440="","",IF('Raw Data'!N440="-",0,'Raw Data'!N440))</f>
        <v/>
      </c>
      <c r="O440" t="str">
        <f>IF('Raw Data'!O440="",IF('Raw Data'!N440="","",0),'Raw Data'!O440)</f>
        <v/>
      </c>
      <c r="P440" t="str">
        <f>IF('Raw Data'!P440="","",'Raw Data'!P440)</f>
        <v/>
      </c>
      <c r="W440" s="4"/>
      <c r="X440" s="4"/>
      <c r="Y440" s="3"/>
      <c r="Z440" s="4" t="str">
        <f>IF('Raw Data'!O440="","",O439+N439)</f>
        <v/>
      </c>
    </row>
    <row r="441" spans="1:27" x14ac:dyDescent="0.25">
      <c r="A441" t="str">
        <f>IF('Raw Data'!A441="","",'Raw Data'!A441)</f>
        <v>(skipped surface survey to Priddy Green dig and back)</v>
      </c>
      <c r="B441" t="str">
        <f>IF('Raw Data'!B441="","",'Raw Data'!B441)</f>
        <v/>
      </c>
      <c r="C441" t="str">
        <f>IF('Raw Data'!C441="","",'Raw Data'!C441)</f>
        <v/>
      </c>
      <c r="D441" t="str">
        <f>IF('Raw Data'!D441="","",'Raw Data'!D441)</f>
        <v/>
      </c>
      <c r="E441" t="str">
        <f>IF('Raw Data'!E441="","",'Raw Data'!E441)</f>
        <v/>
      </c>
      <c r="F441" t="str">
        <f>IF('Raw Data'!F441="","",'Raw Data'!F441)</f>
        <v/>
      </c>
      <c r="G441" s="7" t="str">
        <f>IF('Raw Data'!G441="/","-",IF('Raw Data'!G441="","-",SUBSTITUTE('Raw Data'!G441," ",":",1)))</f>
        <v>-</v>
      </c>
      <c r="H441" s="7" t="str">
        <f>IF('Raw Data'!H441="/","-",IF('Raw Data'!H441="","-",SUBSTITUTE('Raw Data'!H441," ",":",1)))</f>
        <v>-</v>
      </c>
      <c r="I441" s="7" t="str">
        <f>IF('Raw Data'!I441="/","-",IF('Raw Data'!I441="","-",SUBSTITUTE('Raw Data'!I441," ",":",1)))</f>
        <v>-</v>
      </c>
      <c r="J441" s="12" t="str">
        <f>IF('Raw Data'!J441="",IF(LEN(K441)&gt;6,SQRT('Raw Data'!M441^2+N441^2),""),'Raw Data'!J441)</f>
        <v/>
      </c>
      <c r="K441" s="7" t="str">
        <f>IF('Raw Data'!K441="","",IF(LEN('Raw Data'!K441)&lt;7,SUBSTITUTE('Raw Data'!K441," ",":",1),'Raw Data'!K441))</f>
        <v/>
      </c>
      <c r="L441" t="str">
        <f>IF('Raw Data'!L441="","",'Raw Data'!L441)</f>
        <v/>
      </c>
      <c r="M441" t="str">
        <f>IF('Raw Data'!M441="","",'Raw Data'!M441)</f>
        <v/>
      </c>
      <c r="N441" t="str">
        <f>IF('Raw Data'!N441="","",IF('Raw Data'!N441="-",0,'Raw Data'!N441))</f>
        <v/>
      </c>
      <c r="O441" t="str">
        <f>IF('Raw Data'!O441="",IF('Raw Data'!N441="","",0),'Raw Data'!O441)</f>
        <v/>
      </c>
      <c r="P441" t="str">
        <f>IF('Raw Data'!P441="","",'Raw Data'!P441)</f>
        <v/>
      </c>
      <c r="W441" s="4"/>
      <c r="X441" s="4"/>
      <c r="Y441" s="3"/>
      <c r="Z441" s="4"/>
    </row>
    <row r="442" spans="1:27" x14ac:dyDescent="0.25">
      <c r="A442" t="str">
        <f>IF('Raw Data'!A442="","",'Raw Data'!A442)</f>
        <v/>
      </c>
      <c r="B442" t="str">
        <f>IF('Raw Data'!B442="","",'Raw Data'!B442)</f>
        <v/>
      </c>
      <c r="C442" t="str">
        <f>IF('Raw Data'!C442="","",'Raw Data'!C442)</f>
        <v/>
      </c>
      <c r="D442" t="str">
        <f>IF('Raw Data'!D442="","",'Raw Data'!D442)</f>
        <v/>
      </c>
      <c r="E442" t="str">
        <f>IF('Raw Data'!E442="","",'Raw Data'!E442)</f>
        <v/>
      </c>
      <c r="F442" t="str">
        <f>IF('Raw Data'!F442="","",'Raw Data'!F442)</f>
        <v/>
      </c>
      <c r="G442" s="7" t="str">
        <f>IF('Raw Data'!G442="/","-",IF('Raw Data'!G442="","-",SUBSTITUTE('Raw Data'!G442," ",":",1)))</f>
        <v>-</v>
      </c>
      <c r="H442" s="7" t="str">
        <f>IF('Raw Data'!H442="/","-",IF('Raw Data'!H442="","-",SUBSTITUTE('Raw Data'!H442," ",":",1)))</f>
        <v>-</v>
      </c>
      <c r="I442" s="7" t="str">
        <f>IF('Raw Data'!I442="/","-",IF('Raw Data'!I442="","-",SUBSTITUTE('Raw Data'!I442," ",":",1)))</f>
        <v>-</v>
      </c>
      <c r="J442" s="12" t="str">
        <f>IF('Raw Data'!J442="",IF(LEN(K442)&gt;6,SQRT('Raw Data'!M442^2+N442^2),""),'Raw Data'!J442)</f>
        <v/>
      </c>
      <c r="K442" s="7" t="str">
        <f>IF('Raw Data'!K442="","",IF(LEN('Raw Data'!K442)&lt;7,SUBSTITUTE('Raw Data'!K442," ",":",1),'Raw Data'!K442))</f>
        <v/>
      </c>
      <c r="L442" t="str">
        <f>IF('Raw Data'!L442="","",'Raw Data'!L442)</f>
        <v/>
      </c>
      <c r="M442" t="str">
        <f>IF('Raw Data'!M442="","",'Raw Data'!M442)</f>
        <v/>
      </c>
      <c r="N442" t="str">
        <f>IF('Raw Data'!N442="","",IF('Raw Data'!N442="-",0,'Raw Data'!N442))</f>
        <v/>
      </c>
      <c r="O442" t="str">
        <f>IF('Raw Data'!O442="",IF('Raw Data'!N442="","",0),'Raw Data'!O442)</f>
        <v/>
      </c>
      <c r="P442" t="str">
        <f>IF('Raw Data'!P442="","",'Raw Data'!P442)</f>
        <v/>
      </c>
      <c r="W442" s="4"/>
      <c r="X442" s="4"/>
      <c r="Y442" s="3"/>
      <c r="Z442" s="4"/>
    </row>
    <row r="443" spans="1:27" x14ac:dyDescent="0.25">
      <c r="A443" t="str">
        <f>IF('Raw Data'!A443="","",'Raw Data'!A443)</f>
        <v>p. 75-78</v>
      </c>
      <c r="B443" t="str">
        <f>IF('Raw Data'!B443="","",'Raw Data'!B443)</f>
        <v>(=PDF p.77-80)</v>
      </c>
      <c r="C443" t="str">
        <f>IF('Raw Data'!C443="","",'Raw Data'!C443)</f>
        <v/>
      </c>
      <c r="D443" t="str">
        <f>IF('Raw Data'!D443="","",'Raw Data'!D443)</f>
        <v/>
      </c>
      <c r="E443" t="str">
        <f>IF('Raw Data'!E443="","",'Raw Data'!E443)</f>
        <v/>
      </c>
      <c r="F443" t="str">
        <f>IF('Raw Data'!F443="","",'Raw Data'!F443)</f>
        <v/>
      </c>
      <c r="G443" s="7" t="str">
        <f>IF('Raw Data'!G443="/","-",IF('Raw Data'!G443="","-",SUBSTITUTE('Raw Data'!G443," ",":",1)))</f>
        <v>-</v>
      </c>
      <c r="H443" s="7" t="str">
        <f>IF('Raw Data'!H443="/","-",IF('Raw Data'!H443="","-",SUBSTITUTE('Raw Data'!H443," ",":",1)))</f>
        <v>-</v>
      </c>
      <c r="I443" s="7" t="str">
        <f>IF('Raw Data'!I443="/","-",IF('Raw Data'!I443="","-",SUBSTITUTE('Raw Data'!I443," ",":",1)))</f>
        <v>-</v>
      </c>
      <c r="J443" s="12" t="str">
        <f>IF('Raw Data'!J443="",IF(LEN(K443)&gt;6,SQRT('Raw Data'!M443^2+N443^2),""),'Raw Data'!J443)</f>
        <v/>
      </c>
      <c r="K443" s="7" t="str">
        <f>IF('Raw Data'!K443="","",IF(LEN('Raw Data'!K443)&lt;7,SUBSTITUTE('Raw Data'!K443," ",":",1),'Raw Data'!K443))</f>
        <v/>
      </c>
      <c r="L443" t="str">
        <f>IF('Raw Data'!L443="","",'Raw Data'!L443)</f>
        <v/>
      </c>
      <c r="M443" t="str">
        <f>IF('Raw Data'!M443="","",'Raw Data'!M443)</f>
        <v/>
      </c>
      <c r="N443" t="str">
        <f>IF('Raw Data'!N443="","",IF('Raw Data'!N443="-",0,'Raw Data'!N443))</f>
        <v/>
      </c>
      <c r="O443" t="str">
        <f>IF('Raw Data'!O443="",IF('Raw Data'!N443="","",0),'Raw Data'!O443)</f>
        <v/>
      </c>
      <c r="P443" t="str">
        <f>IF('Raw Data'!P443="","",'Raw Data'!P443)</f>
        <v/>
      </c>
      <c r="W443" s="4"/>
      <c r="X443" s="4"/>
      <c r="Y443" s="3"/>
      <c r="Z443" s="4"/>
    </row>
    <row r="444" spans="1:27" x14ac:dyDescent="0.25">
      <c r="A444" t="str">
        <f>IF('Raw Data'!A444="","",'Raw Data'!A444)</f>
        <v>May 22 1960</v>
      </c>
      <c r="B444" t="str">
        <f>IF('Raw Data'!B444="","",'Raw Data'!B444)</f>
        <v>Howard, Chris Hawkes, Derek Ford</v>
      </c>
      <c r="C444" t="str">
        <f>IF('Raw Data'!C444="","",'Raw Data'!C444)</f>
        <v>Side Passages in Paradise Regained</v>
      </c>
      <c r="D444" t="str">
        <f>IF('Raw Data'!D444="","",'Raw Data'!D444)</f>
        <v/>
      </c>
      <c r="E444" t="str">
        <f>IF('Raw Data'!E444="","",'Raw Data'!E444)</f>
        <v/>
      </c>
      <c r="F444" t="str">
        <f>IF('Raw Data'!F444="","",'Raw Data'!F444)</f>
        <v/>
      </c>
      <c r="G444" s="7" t="str">
        <f>IF('Raw Data'!G444="/","-",IF('Raw Data'!G444="","-",SUBSTITUTE('Raw Data'!G444," ",":",1)))</f>
        <v>-</v>
      </c>
      <c r="H444" s="7" t="str">
        <f>IF('Raw Data'!H444="/","-",IF('Raw Data'!H444="","-",SUBSTITUTE('Raw Data'!H444," ",":",1)))</f>
        <v>-</v>
      </c>
      <c r="I444" s="7" t="str">
        <f>IF('Raw Data'!I444="/","-",IF('Raw Data'!I444="","-",SUBSTITUTE('Raw Data'!I444," ",":",1)))</f>
        <v>-</v>
      </c>
      <c r="J444" s="12" t="str">
        <f>IF('Raw Data'!J444="",IF(LEN(K444)&gt;6,SQRT('Raw Data'!M444^2+N444^2),""),'Raw Data'!J444)</f>
        <v/>
      </c>
      <c r="K444" s="7" t="str">
        <f>IF('Raw Data'!K444="","",IF(LEN('Raw Data'!K444)&lt;7,SUBSTITUTE('Raw Data'!K444," ",":",1),'Raw Data'!K444))</f>
        <v/>
      </c>
      <c r="L444" t="str">
        <f>IF('Raw Data'!L444="","",'Raw Data'!L444)</f>
        <v/>
      </c>
      <c r="M444" t="str">
        <f>IF('Raw Data'!M444="","",'Raw Data'!M444)</f>
        <v>Readings mag. 11(deg) W</v>
      </c>
      <c r="N444" t="str">
        <f>IF('Raw Data'!N444="","",IF('Raw Data'!N444="-",0,'Raw Data'!N444))</f>
        <v/>
      </c>
      <c r="O444" t="str">
        <f>IF('Raw Data'!O444="",IF('Raw Data'!N444="","",0),'Raw Data'!O444)</f>
        <v/>
      </c>
      <c r="P444" t="str">
        <f>IF('Raw Data'!P444="","",'Raw Data'!P444)</f>
        <v/>
      </c>
      <c r="W444" s="4"/>
      <c r="X444" s="4"/>
      <c r="Y444" s="3"/>
      <c r="Z444" s="4"/>
    </row>
    <row r="445" spans="1:27" x14ac:dyDescent="0.25">
      <c r="A445">
        <f>IF('Raw Data'!A445="","",'Raw Data'!A445)</f>
        <v>143</v>
      </c>
      <c r="B445">
        <f>IF('Raw Data'!B445="","",'Raw Data'!B445)</f>
        <v>201</v>
      </c>
      <c r="C445">
        <f>IF('Raw Data'!C445="","",'Raw Data'!C445)</f>
        <v>0</v>
      </c>
      <c r="D445">
        <f>IF('Raw Data'!D445="","",'Raw Data'!D445)</f>
        <v>3</v>
      </c>
      <c r="E445">
        <f>IF('Raw Data'!E445="","",'Raw Data'!E445)</f>
        <v>3</v>
      </c>
      <c r="F445">
        <f>IF('Raw Data'!F445="","",'Raw Data'!F445)</f>
        <v>6</v>
      </c>
      <c r="G445" s="7" t="str">
        <f>IF('Raw Data'!G445="/","-",IF('Raw Data'!G445="","-",SUBSTITUTE('Raw Data'!G445," ",":",1)))</f>
        <v>-</v>
      </c>
      <c r="H445" s="7" t="str">
        <f>IF('Raw Data'!H445="/","-",IF('Raw Data'!H445="","-",SUBSTITUTE('Raw Data'!H445," ",":",1)))</f>
        <v>165:30</v>
      </c>
      <c r="I445" s="7" t="str">
        <f>IF('Raw Data'!I445="/","-",IF('Raw Data'!I445="","-",SUBSTITUTE('Raw Data'!I445," ",":",1)))</f>
        <v>-</v>
      </c>
      <c r="J445" s="12">
        <f>IF('Raw Data'!J445="",IF(LEN(K445)&gt;6,SQRT('Raw Data'!M445^2+N445^2),""),'Raw Data'!J445)</f>
        <v>38.4</v>
      </c>
      <c r="K445" s="7" t="str">
        <f>IF('Raw Data'!K445="","",IF(LEN('Raw Data'!K445)&lt;7,SUBSTITUTE('Raw Data'!K445," ",":",1),'Raw Data'!K445))</f>
        <v>18:30</v>
      </c>
      <c r="L445" t="str">
        <f>IF('Raw Data'!L445="","",'Raw Data'!L445)</f>
        <v/>
      </c>
      <c r="M445">
        <f>IF('Raw Data'!M445="","",'Raw Data'!M445)</f>
        <v>36.4</v>
      </c>
      <c r="N445">
        <f>IF('Raw Data'!N445="","",IF('Raw Data'!N445="-",0,'Raw Data'!N445))</f>
        <v>12.2</v>
      </c>
      <c r="O445">
        <f>IF('Raw Data'!O445="",IF('Raw Data'!N445="","",0),'Raw Data'!O445)</f>
        <v>460.9</v>
      </c>
      <c r="P445" t="str">
        <f>IF('Raw Data'!P445="","",'Raw Data'!P445)</f>
        <v>143 - see p.73</v>
      </c>
      <c r="R445" s="3" t="str">
        <f t="shared" ref="R442:R446" si="157">IF(ISERROR(FIND(":",G445)),IF(G445&lt;&gt;"-",1*G445,G445),1*LEFT(G445,FIND(":",G445)-1)+RIGHT(G445,LEN(G445)-FIND(":",G445))/60)</f>
        <v>-</v>
      </c>
      <c r="S445" s="3">
        <f t="shared" ref="S442:S446" si="158">IF(ISERROR(FIND(":",H445)),IF(H445&lt;&gt;"-",1*H445,H445),1*LEFT(H445,FIND(":",H445)-1)+RIGHT(H445,LEN(H445)-FIND(":",H445))/60)</f>
        <v>165.5</v>
      </c>
      <c r="T445" s="3" t="str">
        <f t="shared" ref="T442:T446" si="159">IF(ISERROR(FIND(":",I445)),IF(I445&lt;&gt;"-",1*I445,I445),1*LEFT(I445,FIND(":",I445)-1)+RIGHT(I445,LEN(I445)-FIND(":",I445))/60)</f>
        <v>-</v>
      </c>
      <c r="U445" s="3">
        <f t="shared" ref="U442:U446" si="160">IF(ISERROR(FIND(":",K445)),IF(K445="zero",0,1*K445),1*CONCATENATE(LEFT(K445,FIND(":",K445)-1),".",MID(RIGHT(K445,LEN(K445)-FIND(":",K445))/60,3,8)))</f>
        <v>18.5</v>
      </c>
      <c r="W445" s="4">
        <f t="shared" ref="W445" si="161">J445*COS(U445*PI()/180)</f>
        <v>36.415628359918053</v>
      </c>
      <c r="X445" s="4">
        <f t="shared" ref="X445" si="162">J445*SIN(U445*PI()/180)</f>
        <v>12.184498805955538</v>
      </c>
      <c r="Y445" s="3">
        <f t="shared" ref="Y445" si="163">IF(R445="-",IF(S445&gt;180,S445-180,S445+180),R445)</f>
        <v>345.5</v>
      </c>
      <c r="Z445" s="4">
        <f>IF('Raw Data'!O445="","",O438+N438)</f>
        <v>460.9</v>
      </c>
    </row>
    <row r="446" spans="1:27" x14ac:dyDescent="0.25">
      <c r="A446">
        <f>IF('Raw Data'!A446="","",'Raw Data'!A446)</f>
        <v>201</v>
      </c>
      <c r="B446">
        <f>IF('Raw Data'!B446="","",'Raw Data'!B446)</f>
        <v>202</v>
      </c>
      <c r="C446">
        <f>IF('Raw Data'!C446="","",'Raw Data'!C446)</f>
        <v>3</v>
      </c>
      <c r="D446">
        <f>IF('Raw Data'!D446="","",'Raw Data'!D446)</f>
        <v>2</v>
      </c>
      <c r="E446" t="str">
        <f>IF('Raw Data'!E446="","",'Raw Data'!E446)</f>
        <v>6 to mousehole</v>
      </c>
      <c r="F446" t="str">
        <f>IF('Raw Data'!F446="","",'Raw Data'!F446)</f>
        <v>/</v>
      </c>
      <c r="G446" s="7" t="str">
        <f>IF('Raw Data'!G446="/","-",IF('Raw Data'!G446="","-",SUBSTITUTE('Raw Data'!G446," ",":",1)))</f>
        <v>061:30</v>
      </c>
      <c r="H446" s="7" t="str">
        <f>IF('Raw Data'!H446="/","-",IF('Raw Data'!H446="","-",SUBSTITUTE('Raw Data'!H446," ",":",1)))</f>
        <v>-</v>
      </c>
      <c r="I446" s="7" t="str">
        <f>IF('Raw Data'!I446="/","-",IF('Raw Data'!I446="","-",SUBSTITUTE('Raw Data'!I446," ",":",1)))</f>
        <v>-</v>
      </c>
      <c r="J446" s="12">
        <f>IF('Raw Data'!J446="",IF(LEN(K446)&gt;6,SQRT('Raw Data'!M446^2+N446^2),""),'Raw Data'!J446)</f>
        <v>35.700000000000003</v>
      </c>
      <c r="K446" s="7" t="str">
        <f>IF('Raw Data'!K446="","",IF(LEN('Raw Data'!K446)&lt;7,SUBSTITUTE('Raw Data'!K446," ",":",1),'Raw Data'!K446))</f>
        <v>23:00</v>
      </c>
      <c r="L446" t="str">
        <f>IF('Raw Data'!L446="","",'Raw Data'!L446)</f>
        <v/>
      </c>
      <c r="M446">
        <f>IF('Raw Data'!M446="","",'Raw Data'!M446)</f>
        <v>32.9</v>
      </c>
      <c r="N446">
        <f>IF('Raw Data'!N446="","",IF('Raw Data'!N446="-",0,'Raw Data'!N446))</f>
        <v>13.9</v>
      </c>
      <c r="O446">
        <f>IF('Raw Data'!O446="",IF('Raw Data'!N446="","",0),'Raw Data'!O446)</f>
        <v>473.1</v>
      </c>
      <c r="P446" t="str">
        <f>IF('Raw Data'!P446="","",'Raw Data'!P446)</f>
        <v/>
      </c>
      <c r="R446" s="3">
        <f t="shared" si="157"/>
        <v>61.5</v>
      </c>
      <c r="S446" s="3" t="str">
        <f t="shared" si="158"/>
        <v>-</v>
      </c>
      <c r="T446" s="3" t="str">
        <f t="shared" si="159"/>
        <v>-</v>
      </c>
      <c r="U446" s="3">
        <f t="shared" si="160"/>
        <v>23</v>
      </c>
      <c r="W446" s="4">
        <f t="shared" ref="W446" si="164">J446*COS(U446*PI()/180)</f>
        <v>32.862023268252123</v>
      </c>
      <c r="X446" s="4">
        <f t="shared" ref="X446" si="165">J446*SIN(U446*PI()/180)</f>
        <v>13.949101287067073</v>
      </c>
      <c r="Y446" s="3">
        <f t="shared" ref="Y446" si="166">IF(R446="-",IF(S446&gt;180,S446-180,S446+180),R446)</f>
        <v>61.5</v>
      </c>
      <c r="Z446" s="4">
        <f>IF('Raw Data'!O446="","",O445+N445)</f>
        <v>473.09999999999997</v>
      </c>
    </row>
    <row r="447" spans="1:27" x14ac:dyDescent="0.25">
      <c r="A447">
        <f>IF('Raw Data'!A447="","",'Raw Data'!A447)</f>
        <v>202</v>
      </c>
      <c r="B447">
        <f>IF('Raw Data'!B447="","",'Raw Data'!B447)</f>
        <v>203</v>
      </c>
      <c r="C447">
        <f>IF('Raw Data'!C447="","",'Raw Data'!C447)</f>
        <v>3</v>
      </c>
      <c r="D447">
        <f>IF('Raw Data'!D447="","",'Raw Data'!D447)</f>
        <v>2</v>
      </c>
      <c r="E447">
        <f>IF('Raw Data'!E447="","",'Raw Data'!E447)</f>
        <v>4</v>
      </c>
      <c r="F447">
        <f>IF('Raw Data'!F447="","",'Raw Data'!F447)</f>
        <v>0</v>
      </c>
      <c r="G447" s="7" t="str">
        <f>IF('Raw Data'!G447="/","-",IF('Raw Data'!G447="","-",SUBSTITUTE('Raw Data'!G447," ",":",1)))</f>
        <v>-</v>
      </c>
      <c r="H447" s="7" t="str">
        <f>IF('Raw Data'!H447="/","-",IF('Raw Data'!H447="","-",SUBSTITUTE('Raw Data'!H447," ",":",1)))</f>
        <v>142:00</v>
      </c>
      <c r="I447" s="7" t="str">
        <f>IF('Raw Data'!I447="/","-",IF('Raw Data'!I447="","-",SUBSTITUTE('Raw Data'!I447," ",":",1)))</f>
        <v>-</v>
      </c>
      <c r="J447" s="12">
        <f>IF('Raw Data'!J447="",IF(LEN(K447)&gt;6,SQRT('Raw Data'!M447^2+N447^2),""),'Raw Data'!J447)</f>
        <v>16.8</v>
      </c>
      <c r="K447" s="7" t="str">
        <f>IF('Raw Data'!K447="","",IF(LEN('Raw Data'!K447)&lt;7,SUBSTITUTE('Raw Data'!K447," ",":",1),'Raw Data'!K447))</f>
        <v>-3:30</v>
      </c>
      <c r="L447" t="str">
        <f>IF('Raw Data'!L447="","",'Raw Data'!L447)</f>
        <v/>
      </c>
      <c r="M447">
        <f>IF('Raw Data'!M447="","",'Raw Data'!M447)</f>
        <v>16.7</v>
      </c>
      <c r="N447">
        <f>IF('Raw Data'!N447="","",IF('Raw Data'!N447="-",0,'Raw Data'!N447))</f>
        <v>-1</v>
      </c>
      <c r="O447">
        <f>IF('Raw Data'!O447="",IF('Raw Data'!N447="","",0),'Raw Data'!O447)</f>
        <v>487</v>
      </c>
      <c r="P447" t="str">
        <f>IF('Raw Data'!P447="","",'Raw Data'!P447)</f>
        <v/>
      </c>
      <c r="R447" s="3" t="str">
        <f t="shared" ref="R447:R461" si="167">IF(ISERROR(FIND(":",G447)),IF(G447&lt;&gt;"-",1*G447,G447),1*LEFT(G447,FIND(":",G447)-1)+RIGHT(G447,LEN(G447)-FIND(":",G447))/60)</f>
        <v>-</v>
      </c>
      <c r="S447" s="3">
        <f t="shared" ref="S447:S461" si="168">IF(ISERROR(FIND(":",H447)),IF(H447&lt;&gt;"-",1*H447,H447),1*LEFT(H447,FIND(":",H447)-1)+RIGHT(H447,LEN(H447)-FIND(":",H447))/60)</f>
        <v>142</v>
      </c>
      <c r="T447" s="3" t="str">
        <f t="shared" ref="T447:T461" si="169">IF(ISERROR(FIND(":",I447)),IF(I447&lt;&gt;"-",1*I447,I447),1*LEFT(I447,FIND(":",I447)-1)+RIGHT(I447,LEN(I447)-FIND(":",I447))/60)</f>
        <v>-</v>
      </c>
      <c r="U447" s="3">
        <f t="shared" ref="U447:U461" si="170">IF(ISERROR(FIND(":",K447)),IF(K447="zero",0,1*K447),1*CONCATENATE(LEFT(K447,FIND(":",K447)-1),".",MID(RIGHT(K447,LEN(K447)-FIND(":",K447))/60,3,8)))</f>
        <v>-3.5</v>
      </c>
      <c r="W447" s="4">
        <f t="shared" ref="W447:W461" si="171">J447*COS(U447*PI()/180)</f>
        <v>16.768664613487363</v>
      </c>
      <c r="X447" s="4">
        <f t="shared" ref="X447:X461" si="172">J447*SIN(U447*PI()/180)</f>
        <v>-1.0256154641855955</v>
      </c>
      <c r="Y447" s="3">
        <f t="shared" ref="Y447:Y461" si="173">IF(R447="-",IF(S447&gt;180,S447-180,S447+180),R447)</f>
        <v>322</v>
      </c>
      <c r="Z447" s="4">
        <f>IF('Raw Data'!O447="","",O446+N446)</f>
        <v>487</v>
      </c>
    </row>
    <row r="448" spans="1:27" x14ac:dyDescent="0.25">
      <c r="A448">
        <f>IF('Raw Data'!A448="","",'Raw Data'!A448)</f>
        <v>203</v>
      </c>
      <c r="B448">
        <f>IF('Raw Data'!B448="","",'Raw Data'!B448)</f>
        <v>204</v>
      </c>
      <c r="C448">
        <f>IF('Raw Data'!C448="","",'Raw Data'!C448)</f>
        <v>3</v>
      </c>
      <c r="D448">
        <f>IF('Raw Data'!D448="","",'Raw Data'!D448)</f>
        <v>4</v>
      </c>
      <c r="E448" t="str">
        <f>IF('Raw Data'!E448="","",'Raw Data'!E448)</f>
        <v>/</v>
      </c>
      <c r="F448">
        <f>IF('Raw Data'!F448="","",'Raw Data'!F448)</f>
        <v>5</v>
      </c>
      <c r="G448" s="7" t="str">
        <f>IF('Raw Data'!G448="/","-",IF('Raw Data'!G448="","-",SUBSTITUTE('Raw Data'!G448," ",":",1)))</f>
        <v>248:00</v>
      </c>
      <c r="H448" s="7" t="str">
        <f>IF('Raw Data'!H448="/","-",IF('Raw Data'!H448="","-",SUBSTITUTE('Raw Data'!H448," ",":",1)))</f>
        <v>-</v>
      </c>
      <c r="I448" s="7" t="str">
        <f>IF('Raw Data'!I448="/","-",IF('Raw Data'!I448="","-",SUBSTITUTE('Raw Data'!I448," ",":",1)))</f>
        <v>-</v>
      </c>
      <c r="J448" s="12">
        <f>IF('Raw Data'!J448="",IF(LEN(K448)&gt;6,SQRT('Raw Data'!M448^2+N448^2),""),'Raw Data'!J448)</f>
        <v>10.8</v>
      </c>
      <c r="K448" s="7" t="str">
        <f>IF('Raw Data'!K448="","",IF(LEN('Raw Data'!K448)&lt;7,SUBSTITUTE('Raw Data'!K448," ",":",1),'Raw Data'!K448))</f>
        <v>-20:30</v>
      </c>
      <c r="L448" t="str">
        <f>IF('Raw Data'!L448="","",'Raw Data'!L448)</f>
        <v/>
      </c>
      <c r="M448">
        <f>IF('Raw Data'!M448="","",'Raw Data'!M448)</f>
        <v>10.1</v>
      </c>
      <c r="N448">
        <f>IF('Raw Data'!N448="","",IF('Raw Data'!N448="-",0,'Raw Data'!N448))</f>
        <v>-3.8</v>
      </c>
      <c r="O448">
        <f>IF('Raw Data'!O448="",IF('Raw Data'!N448="","",0),'Raw Data'!O448)</f>
        <v>486</v>
      </c>
      <c r="P448" t="str">
        <f>IF('Raw Data'!P448="","",'Raw Data'!P448)</f>
        <v/>
      </c>
      <c r="R448" s="3">
        <f t="shared" si="167"/>
        <v>248</v>
      </c>
      <c r="S448" s="3" t="str">
        <f t="shared" si="168"/>
        <v>-</v>
      </c>
      <c r="T448" s="3" t="str">
        <f t="shared" si="169"/>
        <v>-</v>
      </c>
      <c r="U448" s="3">
        <f t="shared" si="170"/>
        <v>-20.5</v>
      </c>
      <c r="W448" s="4">
        <f t="shared" si="171"/>
        <v>10.116059643882696</v>
      </c>
      <c r="X448" s="4">
        <f t="shared" si="172"/>
        <v>-3.782239717602248</v>
      </c>
      <c r="Y448" s="3">
        <f t="shared" si="173"/>
        <v>248</v>
      </c>
      <c r="Z448" s="4">
        <f>IF('Raw Data'!O448="","",O447+N447)</f>
        <v>486</v>
      </c>
    </row>
    <row r="449" spans="1:27" x14ac:dyDescent="0.25">
      <c r="A449">
        <f>IF('Raw Data'!A449="","",'Raw Data'!A449)</f>
        <v>204</v>
      </c>
      <c r="B449" t="str">
        <f>IF('Raw Data'!B449="","",'Raw Data'!B449)</f>
        <v/>
      </c>
      <c r="C449">
        <f>IF('Raw Data'!C449="","",'Raw Data'!C449)</f>
        <v>2</v>
      </c>
      <c r="D449">
        <f>IF('Raw Data'!D449="","",'Raw Data'!D449)</f>
        <v>1</v>
      </c>
      <c r="E449" t="str">
        <f>IF('Raw Data'!E449="","",'Raw Data'!E449)</f>
        <v/>
      </c>
      <c r="F449" t="str">
        <f>IF('Raw Data'!F449="","",'Raw Data'!F449)</f>
        <v/>
      </c>
      <c r="G449" s="7" t="str">
        <f>IF('Raw Data'!G449="/","-",IF('Raw Data'!G449="","-",SUBSTITUTE('Raw Data'!G449," ",":",1)))</f>
        <v>-</v>
      </c>
      <c r="H449" s="7" t="str">
        <f>IF('Raw Data'!H449="/","-",IF('Raw Data'!H449="","-",SUBSTITUTE('Raw Data'!H449," ",":",1)))</f>
        <v>-</v>
      </c>
      <c r="I449" s="7" t="str">
        <f>IF('Raw Data'!I449="/","-",IF('Raw Data'!I449="","-",SUBSTITUTE('Raw Data'!I449," ",":",1)))</f>
        <v>-</v>
      </c>
      <c r="J449" s="12" t="str">
        <f>IF('Raw Data'!J449="",IF(LEN(K449)&gt;6,SQRT('Raw Data'!M449^2+N449^2),""),'Raw Data'!J449)</f>
        <v/>
      </c>
      <c r="K449" s="7" t="str">
        <f>IF('Raw Data'!K449="","",IF(LEN('Raw Data'!K449)&lt;7,SUBSTITUTE('Raw Data'!K449," ",":",1),'Raw Data'!K449))</f>
        <v/>
      </c>
      <c r="L449" t="str">
        <f>IF('Raw Data'!L449="","",'Raw Data'!L449)</f>
        <v/>
      </c>
      <c r="M449" t="str">
        <f>IF('Raw Data'!M449="","",'Raw Data'!M449)</f>
        <v/>
      </c>
      <c r="N449" t="str">
        <f>IF('Raw Data'!N449="","",IF('Raw Data'!N449="-",0,'Raw Data'!N449))</f>
        <v/>
      </c>
      <c r="O449">
        <f>IF('Raw Data'!O449="",IF('Raw Data'!N449="","",0),'Raw Data'!O449)</f>
        <v>482.2</v>
      </c>
      <c r="P449" t="str">
        <f>IF('Raw Data'!P449="","",'Raw Data'!P449)</f>
        <v>204 is on knob low on wall, circle and dot on wall above</v>
      </c>
      <c r="W449" s="4"/>
      <c r="X449" s="4"/>
      <c r="Y449" s="3"/>
      <c r="Z449" s="4">
        <f>IF('Raw Data'!O449="","",O448+N448)</f>
        <v>482.2</v>
      </c>
    </row>
    <row r="450" spans="1:27" x14ac:dyDescent="0.25">
      <c r="A450">
        <f>'Raw Data'!A451</f>
        <v>124</v>
      </c>
      <c r="B450" t="str">
        <f>CONCATENATE(A450,"a")</f>
        <v>124a</v>
      </c>
      <c r="C450" t="str">
        <f>IF('Raw Data'!C450="","",'Raw Data'!C450)</f>
        <v/>
      </c>
      <c r="D450" t="str">
        <f>IF('Raw Data'!D450="","",'Raw Data'!D450)</f>
        <v/>
      </c>
      <c r="E450" t="str">
        <f>IF('Raw Data'!E450="","",'Raw Data'!E450)</f>
        <v/>
      </c>
      <c r="F450" t="str">
        <f>IF('Raw Data'!F450="","",'Raw Data'!F450)</f>
        <v/>
      </c>
      <c r="G450" s="7" t="str">
        <f>IF('Raw Data'!G450="/","-",IF('Raw Data'!G450="","-",SUBSTITUTE('Raw Data'!G450," ",":",1)))</f>
        <v>-</v>
      </c>
      <c r="H450" s="7" t="str">
        <f>IF('Raw Data'!H450="/","-",IF('Raw Data'!H450="","-",SUBSTITUTE('Raw Data'!H450," ",":",1)))</f>
        <v>-</v>
      </c>
      <c r="I450" s="7" t="str">
        <f>IF('Raw Data'!I450="/","-",IF('Raw Data'!I450="","-",SUBSTITUTE('Raw Data'!I450," ",":",1)))</f>
        <v>-</v>
      </c>
      <c r="J450" s="12">
        <v>1.5</v>
      </c>
      <c r="K450" s="7" t="str">
        <f>"90:00"</f>
        <v>90:00</v>
      </c>
      <c r="L450" t="str">
        <f>IF('Raw Data'!L450="","",'Raw Data'!L450)</f>
        <v/>
      </c>
      <c r="M450" t="str">
        <f>IF('Raw Data'!M450="","",'Raw Data'!M450)</f>
        <v/>
      </c>
      <c r="N450" t="str">
        <f>IF('Raw Data'!N450="","",IF('Raw Data'!N450="-",0,'Raw Data'!N450))</f>
        <v/>
      </c>
      <c r="O450" t="str">
        <f>IF('Raw Data'!O450="",IF('Raw Data'!N450="","",0),'Raw Data'!O450)</f>
        <v/>
      </c>
      <c r="P450" t="str">
        <f>IF('Raw Data'!P450="","",'Raw Data'!P450)</f>
        <v/>
      </c>
      <c r="R450" s="3" t="str">
        <f t="shared" ref="R450" si="174">IF(ISERROR(FIND(":",G450)),IF(G450&lt;&gt;"-",1*G450,G450),1*LEFT(G450,FIND(":",G450)-1)+RIGHT(G450,LEN(G450)-FIND(":",G450))/60)</f>
        <v>-</v>
      </c>
      <c r="S450" s="3" t="str">
        <f t="shared" ref="S450" si="175">IF(ISERROR(FIND(":",H450)),IF(H450&lt;&gt;"-",1*H450,H450),1*LEFT(H450,FIND(":",H450)-1)+RIGHT(H450,LEN(H450)-FIND(":",H450))/60)</f>
        <v>-</v>
      </c>
      <c r="T450" s="3" t="str">
        <f t="shared" ref="T450" si="176">IF(ISERROR(FIND(":",I450)),IF(I450&lt;&gt;"-",1*I450,I450),1*LEFT(I450,FIND(":",I450)-1)+RIGHT(I450,LEN(I450)-FIND(":",I450))/60)</f>
        <v>-</v>
      </c>
      <c r="U450" s="3">
        <f t="shared" ref="U450" si="177">IF(ISERROR(FIND(":",K450)),IF(K450="zero",0,1*K450),1*CONCATENATE(LEFT(K450,FIND(":",K450)-1),".",MID(RIGHT(K450,LEN(K450)-FIND(":",K450))/60,3,8)))</f>
        <v>90</v>
      </c>
      <c r="W450" s="4">
        <f t="shared" ref="W450:W451" si="178">J450*COS(U450*PI()/180)</f>
        <v>9.1886134118146501E-17</v>
      </c>
      <c r="X450" s="4">
        <f t="shared" ref="X450:X451" si="179">J450*SIN(U450*PI()/180)</f>
        <v>1.5</v>
      </c>
      <c r="Y450" s="3" t="s">
        <v>16</v>
      </c>
      <c r="Z450" s="4">
        <f>Z418+X450</f>
        <v>488.1</v>
      </c>
    </row>
    <row r="451" spans="1:27" x14ac:dyDescent="0.25">
      <c r="A451" t="str">
        <f>B450</f>
        <v>124a</v>
      </c>
      <c r="B451">
        <f>IF('Raw Data'!B451="","",'Raw Data'!B451)</f>
        <v>205</v>
      </c>
      <c r="C451">
        <f>IF('Raw Data'!C451="","",'Raw Data'!C451)</f>
        <v>0</v>
      </c>
      <c r="D451">
        <f>IF('Raw Data'!D451="","",'Raw Data'!D451)</f>
        <v>3</v>
      </c>
      <c r="E451">
        <f>IF('Raw Data'!E451="","",'Raw Data'!E451)</f>
        <v>2</v>
      </c>
      <c r="F451">
        <f>IF('Raw Data'!F451="","",'Raw Data'!F451)</f>
        <v>2</v>
      </c>
      <c r="G451" s="7" t="str">
        <f>IF('Raw Data'!G451="/","-",IF('Raw Data'!G451="","-",SUBSTITUTE('Raw Data'!G451," ",":",1)))</f>
        <v>-</v>
      </c>
      <c r="H451" s="7" t="str">
        <f>IF('Raw Data'!H451="/","-",IF('Raw Data'!H451="","-",SUBSTITUTE('Raw Data'!H451," ",":",1)))</f>
        <v>054:30</v>
      </c>
      <c r="I451" s="7" t="str">
        <f>IF('Raw Data'!I451="/","-",IF('Raw Data'!I451="","-",SUBSTITUTE('Raw Data'!I451," ",":",1)))</f>
        <v>-</v>
      </c>
      <c r="J451" s="12">
        <f>IF('Raw Data'!J451="",IF(LEN(K451)&gt;6,SQRT('Raw Data'!M451^2+N451^2),""),'Raw Data'!J451)</f>
        <v>28.2</v>
      </c>
      <c r="K451" s="7" t="str">
        <f>IF('Raw Data'!K451="","",IF(LEN('Raw Data'!K451)&lt;7,SUBSTITUTE('Raw Data'!K451," ",":",1),'Raw Data'!K451))</f>
        <v>-17:30</v>
      </c>
      <c r="L451" t="str">
        <f>IF('Raw Data'!L451="","",'Raw Data'!L451)</f>
        <v/>
      </c>
      <c r="M451" t="str">
        <f>IF('Raw Data'!M451="","",'Raw Data'!M451)</f>
        <v/>
      </c>
      <c r="N451">
        <f>IF('Raw Data'!N451="","",IF('Raw Data'!N451="-",0,'Raw Data'!N451))</f>
        <v>-8.5</v>
      </c>
      <c r="O451">
        <f>IF('Raw Data'!O451="",IF('Raw Data'!N451="","",0),'Raw Data'!O451)</f>
        <v>488.1</v>
      </c>
      <c r="P451" t="str">
        <f>IF('Raw Data'!P451="","",'Raw Data'!P451)</f>
        <v>124 is 1.5' above 124 of p.71</v>
      </c>
      <c r="R451" s="3" t="str">
        <f t="shared" si="167"/>
        <v>-</v>
      </c>
      <c r="S451" s="3">
        <f t="shared" si="168"/>
        <v>54.5</v>
      </c>
      <c r="T451" s="3" t="str">
        <f t="shared" si="169"/>
        <v>-</v>
      </c>
      <c r="U451" s="3">
        <f t="shared" si="170"/>
        <v>-17.5</v>
      </c>
      <c r="W451" s="4">
        <f t="shared" si="178"/>
        <v>26.8948180111</v>
      </c>
      <c r="X451" s="4">
        <f t="shared" si="179"/>
        <v>-8.4799035460205019</v>
      </c>
      <c r="Y451" s="3">
        <f t="shared" ref="Y450:Y451" si="180">IF(R451="-",IF(S451&gt;180,S451-180,S451+180),R451)</f>
        <v>234.5</v>
      </c>
      <c r="Z451" s="4">
        <f>IF('Raw Data'!O451="","",O451)</f>
        <v>488.1</v>
      </c>
    </row>
    <row r="452" spans="1:27" x14ac:dyDescent="0.25">
      <c r="A452">
        <f>IF('Raw Data'!A452="","",'Raw Data'!A452)</f>
        <v>205</v>
      </c>
      <c r="B452">
        <f>IF('Raw Data'!B452="","",'Raw Data'!B452)</f>
        <v>206</v>
      </c>
      <c r="C452">
        <f>IF('Raw Data'!C452="","",'Raw Data'!C452)</f>
        <v>2.5</v>
      </c>
      <c r="D452">
        <f>IF('Raw Data'!D452="","",'Raw Data'!D452)</f>
        <v>1</v>
      </c>
      <c r="E452">
        <f>IF('Raw Data'!E452="","",'Raw Data'!E452)</f>
        <v>3</v>
      </c>
      <c r="F452">
        <f>IF('Raw Data'!F452="","",'Raw Data'!F452)</f>
        <v>3</v>
      </c>
      <c r="G452" s="7" t="str">
        <f>IF('Raw Data'!G452="/","-",IF('Raw Data'!G452="","-",SUBSTITUTE('Raw Data'!G452," ",":",1)))</f>
        <v>091:00</v>
      </c>
      <c r="H452" s="7" t="str">
        <f>IF('Raw Data'!H452="/","-",IF('Raw Data'!H452="","-",SUBSTITUTE('Raw Data'!H452," ",":",1)))</f>
        <v>-</v>
      </c>
      <c r="I452" s="7" t="str">
        <f>IF('Raw Data'!I452="/","-",IF('Raw Data'!I452="","-",SUBSTITUTE('Raw Data'!I452," ",":",1)))</f>
        <v>-</v>
      </c>
      <c r="J452" s="12">
        <f>IF('Raw Data'!J452="",IF(LEN(K452)&gt;6,SQRT('Raw Data'!M452^2+N452^2),""),'Raw Data'!J452)</f>
        <v>54.7</v>
      </c>
      <c r="K452" s="7" t="str">
        <f>IF('Raw Data'!K452="","",IF(LEN('Raw Data'!K452)&lt;7,SUBSTITUTE('Raw Data'!K452," ",":",1),'Raw Data'!K452))</f>
        <v>14:00</v>
      </c>
      <c r="L452" t="str">
        <f>IF('Raw Data'!L452="","",'Raw Data'!L452)</f>
        <v/>
      </c>
      <c r="M452" t="str">
        <f>IF('Raw Data'!M452="","",'Raw Data'!M452)</f>
        <v/>
      </c>
      <c r="N452">
        <f>IF('Raw Data'!N452="","",IF('Raw Data'!N452="-",0,'Raw Data'!N452))</f>
        <v>13.2</v>
      </c>
      <c r="O452">
        <f>IF('Raw Data'!O452="",IF('Raw Data'!N452="","",0),'Raw Data'!O452)</f>
        <v>479.6</v>
      </c>
      <c r="P452" t="str">
        <f>IF('Raw Data'!P452="","",'Raw Data'!P452)</f>
        <v/>
      </c>
      <c r="R452" s="3">
        <f t="shared" si="167"/>
        <v>91</v>
      </c>
      <c r="S452" s="3" t="str">
        <f t="shared" si="168"/>
        <v>-</v>
      </c>
      <c r="T452" s="3" t="str">
        <f t="shared" si="169"/>
        <v>-</v>
      </c>
      <c r="U452" s="3">
        <f t="shared" si="170"/>
        <v>14</v>
      </c>
      <c r="W452" s="4">
        <f t="shared" si="171"/>
        <v>53.075176227297007</v>
      </c>
      <c r="X452" s="4">
        <f t="shared" si="172"/>
        <v>13.233127689301826</v>
      </c>
      <c r="Y452" s="3">
        <f t="shared" si="173"/>
        <v>91</v>
      </c>
      <c r="Z452" s="4">
        <f>IF('Raw Data'!O452="","",O451+N451)</f>
        <v>479.6</v>
      </c>
    </row>
    <row r="453" spans="1:27" x14ac:dyDescent="0.25">
      <c r="A453">
        <f>IF('Raw Data'!A453="","",'Raw Data'!A453)</f>
        <v>206</v>
      </c>
      <c r="B453">
        <f>IF('Raw Data'!B453="","",'Raw Data'!B453)</f>
        <v>207</v>
      </c>
      <c r="C453">
        <f>IF('Raw Data'!C453="","",'Raw Data'!C453)</f>
        <v>2.5</v>
      </c>
      <c r="D453">
        <f>IF('Raw Data'!D453="","",'Raw Data'!D453)</f>
        <v>0.5</v>
      </c>
      <c r="E453">
        <f>IF('Raw Data'!E453="","",'Raw Data'!E453)</f>
        <v>4</v>
      </c>
      <c r="F453" t="str">
        <f>IF('Raw Data'!F453="","",'Raw Data'!F453)</f>
        <v>Passage 20' at 127 deg</v>
      </c>
      <c r="G453" s="7" t="str">
        <f>IF('Raw Data'!G453="/","-",IF('Raw Data'!G453="","-",SUBSTITUTE('Raw Data'!G453," ",":",1)))</f>
        <v>-</v>
      </c>
      <c r="H453" s="7" t="str">
        <f>IF('Raw Data'!H453="/","-",IF('Raw Data'!H453="","-",SUBSTITUTE('Raw Data'!H453," ",":",1)))</f>
        <v>247:00</v>
      </c>
      <c r="I453" s="7" t="str">
        <f>IF('Raw Data'!I453="/","-",IF('Raw Data'!I453="","-",SUBSTITUTE('Raw Data'!I453," ",":",1)))</f>
        <v>-</v>
      </c>
      <c r="J453" s="12">
        <f>IF('Raw Data'!J453="",IF(LEN(K453)&gt;6,SQRT('Raw Data'!M453^2+N453^2),""),'Raw Data'!J453)</f>
        <v>43.6</v>
      </c>
      <c r="K453" s="24">
        <v>0.58333333333333337</v>
      </c>
      <c r="L453" t="str">
        <f>'Raw Data'!K453</f>
        <v>14 ? (estimate)</v>
      </c>
      <c r="M453" t="str">
        <f>IF('Raw Data'!M453="","",'Raw Data'!M453)</f>
        <v/>
      </c>
      <c r="N453">
        <f>IF('Raw Data'!N453="","",IF('Raw Data'!N453="-",0,'Raw Data'!N453))</f>
        <v>10.6</v>
      </c>
      <c r="O453">
        <f>IF('Raw Data'!O453="",IF('Raw Data'!N453="","",0),'Raw Data'!O453)</f>
        <v>492.8</v>
      </c>
      <c r="P453" t="str">
        <f>IF('Raw Data'!P453="","",'Raw Data'!P453)</f>
        <v>207 marked on roof, alt 503.4</v>
      </c>
      <c r="R453" s="3" t="str">
        <f t="shared" si="167"/>
        <v>-</v>
      </c>
      <c r="S453" s="3">
        <f t="shared" si="168"/>
        <v>247</v>
      </c>
      <c r="T453" s="3" t="str">
        <f t="shared" si="169"/>
        <v>-</v>
      </c>
      <c r="U453" s="3">
        <f t="shared" si="170"/>
        <v>0.58333333333333337</v>
      </c>
      <c r="W453" s="4">
        <f t="shared" si="171"/>
        <v>43.597740350575513</v>
      </c>
      <c r="X453" s="4">
        <f t="shared" si="172"/>
        <v>0.44388773783470653</v>
      </c>
      <c r="Y453" s="3">
        <f t="shared" si="173"/>
        <v>67</v>
      </c>
      <c r="Z453" s="4">
        <f>IF('Raw Data'!O453="","",O452+N452)</f>
        <v>492.8</v>
      </c>
      <c r="AA453" t="s">
        <v>1053</v>
      </c>
    </row>
    <row r="454" spans="1:27" x14ac:dyDescent="0.25">
      <c r="A454">
        <f>IF('Raw Data'!A454="","",'Raw Data'!A454)</f>
        <v>205</v>
      </c>
      <c r="B454">
        <f>IF('Raw Data'!B454="","",'Raw Data'!B454)</f>
        <v>208</v>
      </c>
      <c r="C454" t="str">
        <f>IF('Raw Data'!C454="","",'Raw Data'!C454)</f>
        <v/>
      </c>
      <c r="D454" t="str">
        <f>IF('Raw Data'!D454="","",'Raw Data'!D454)</f>
        <v/>
      </c>
      <c r="E454">
        <f>IF('Raw Data'!E454="","",'Raw Data'!E454)</f>
        <v>3</v>
      </c>
      <c r="F454">
        <f>IF('Raw Data'!F454="","",'Raw Data'!F454)</f>
        <v>3</v>
      </c>
      <c r="G454" s="7" t="str">
        <f>IF('Raw Data'!G454="/","-",IF('Raw Data'!G454="","-",SUBSTITUTE('Raw Data'!G454," ",":",1)))</f>
        <v>263:00</v>
      </c>
      <c r="H454" s="7" t="str">
        <f>IF('Raw Data'!H454="/","-",IF('Raw Data'!H454="","-",SUBSTITUTE('Raw Data'!H454," ",":",1)))</f>
        <v>-</v>
      </c>
      <c r="I454" s="7" t="str">
        <f>IF('Raw Data'!I454="/","-",IF('Raw Data'!I454="","-",SUBSTITUTE('Raw Data'!I454," ",":",1)))</f>
        <v>-</v>
      </c>
      <c r="J454" s="12">
        <f>IF('Raw Data'!J454="",IF(LEN(K454)&gt;6,SQRT('Raw Data'!M454^2+N454^2),""),'Raw Data'!J454)</f>
        <v>39.700000000000003</v>
      </c>
      <c r="K454" s="7" t="str">
        <f>IF('Raw Data'!K454="","",IF(LEN('Raw Data'!K454)&lt;7,SUBSTITUTE('Raw Data'!K454," ",":",1),'Raw Data'!K454))</f>
        <v>-16:00</v>
      </c>
      <c r="L454" t="str">
        <f>IF('Raw Data'!L454="","",'Raw Data'!L454)</f>
        <v/>
      </c>
      <c r="M454" t="str">
        <f>IF('Raw Data'!M454="","",'Raw Data'!M454)</f>
        <v/>
      </c>
      <c r="N454">
        <f>IF('Raw Data'!N454="","",IF('Raw Data'!N454="-",0,'Raw Data'!N454))</f>
        <v>-10.9</v>
      </c>
      <c r="O454">
        <f>IF('Raw Data'!O454="",IF('Raw Data'!N454="","",0),'Raw Data'!O454)</f>
        <v>479.6</v>
      </c>
      <c r="P454" t="str">
        <f>IF('Raw Data'!P454="","",'Raw Data'!P454)</f>
        <v/>
      </c>
      <c r="R454" s="3">
        <f t="shared" si="167"/>
        <v>263</v>
      </c>
      <c r="S454" s="3" t="str">
        <f t="shared" si="168"/>
        <v>-</v>
      </c>
      <c r="T454" s="3" t="str">
        <f t="shared" si="169"/>
        <v>-</v>
      </c>
      <c r="U454" s="3">
        <f t="shared" si="170"/>
        <v>-16</v>
      </c>
      <c r="W454" s="4">
        <f t="shared" si="171"/>
        <v>38.162089328751264</v>
      </c>
      <c r="X454" s="4">
        <f t="shared" si="172"/>
        <v>-10.942803025934868</v>
      </c>
      <c r="Y454" s="3">
        <f t="shared" si="173"/>
        <v>263</v>
      </c>
      <c r="Z454" s="4">
        <f>IF('Raw Data'!O454="","",O451+N451)</f>
        <v>479.6</v>
      </c>
    </row>
    <row r="455" spans="1:27" x14ac:dyDescent="0.25">
      <c r="A455">
        <f>IF('Raw Data'!A455="","",'Raw Data'!A455)</f>
        <v>208</v>
      </c>
      <c r="B455">
        <f>IF('Raw Data'!B455="","",'Raw Data'!B455)</f>
        <v>209</v>
      </c>
      <c r="C455">
        <f>IF('Raw Data'!C455="","",'Raw Data'!C455)</f>
        <v>2.5</v>
      </c>
      <c r="D455">
        <f>IF('Raw Data'!D455="","",'Raw Data'!D455)</f>
        <v>2</v>
      </c>
      <c r="E455">
        <f>IF('Raw Data'!E455="","",'Raw Data'!E455)</f>
        <v>1</v>
      </c>
      <c r="F455" t="str">
        <f>IF('Raw Data'!F455="","",'Raw Data'!F455)</f>
        <v>4' to dig</v>
      </c>
      <c r="G455" s="7" t="str">
        <f>IF('Raw Data'!G455="/","-",IF('Raw Data'!G455="","-",SUBSTITUTE('Raw Data'!G455," ",":",1)))</f>
        <v>-</v>
      </c>
      <c r="H455" s="7" t="str">
        <f>IF('Raw Data'!H455="/","-",IF('Raw Data'!H455="","-",SUBSTITUTE('Raw Data'!H455," ",":",1)))</f>
        <v>076:00</v>
      </c>
      <c r="I455" s="7" t="str">
        <f>IF('Raw Data'!I455="/","-",IF('Raw Data'!I455="","-",SUBSTITUTE('Raw Data'!I455," ",":",1)))</f>
        <v>-</v>
      </c>
      <c r="J455" s="12">
        <f>IF('Raw Data'!J455="",IF(LEN(K455)&gt;6,SQRT('Raw Data'!M455^2+N455^2),""),'Raw Data'!J455)</f>
        <v>16.7</v>
      </c>
      <c r="K455" s="7" t="str">
        <f>IF('Raw Data'!K455="","",IF(LEN('Raw Data'!K455)&lt;7,SUBSTITUTE('Raw Data'!K455," ",":",1),'Raw Data'!K455))</f>
        <v>-11:30</v>
      </c>
      <c r="L455" t="str">
        <f>IF('Raw Data'!L455="","",'Raw Data'!L455)</f>
        <v/>
      </c>
      <c r="M455" t="str">
        <f>IF('Raw Data'!M455="","",'Raw Data'!M455)</f>
        <v/>
      </c>
      <c r="N455">
        <f>IF('Raw Data'!N455="","",IF('Raw Data'!N455="-",0,'Raw Data'!N455))</f>
        <v>-3.3</v>
      </c>
      <c r="O455">
        <f>IF('Raw Data'!O455="",IF('Raw Data'!N455="","",0),'Raw Data'!O455)</f>
        <v>468.7</v>
      </c>
      <c r="P455" t="str">
        <f>IF('Raw Data'!P455="","",'Raw Data'!P455)</f>
        <v/>
      </c>
      <c r="R455" s="3" t="str">
        <f t="shared" si="167"/>
        <v>-</v>
      </c>
      <c r="S455" s="3">
        <f t="shared" si="168"/>
        <v>76</v>
      </c>
      <c r="T455" s="3" t="str">
        <f t="shared" si="169"/>
        <v>-</v>
      </c>
      <c r="U455" s="3">
        <f t="shared" si="170"/>
        <v>-11.5</v>
      </c>
      <c r="W455" s="4">
        <f t="shared" si="171"/>
        <v>16.364742567167852</v>
      </c>
      <c r="X455" s="4">
        <f t="shared" si="172"/>
        <v>-3.3294445047671926</v>
      </c>
      <c r="Y455" s="3">
        <f t="shared" si="173"/>
        <v>256</v>
      </c>
      <c r="Z455" s="4">
        <f>IF('Raw Data'!O455="","",O454+N454)</f>
        <v>468.70000000000005</v>
      </c>
    </row>
    <row r="456" spans="1:27" x14ac:dyDescent="0.25">
      <c r="A456">
        <f>IF('Raw Data'!A456="","",'Raw Data'!A456)</f>
        <v>209</v>
      </c>
      <c r="B456">
        <f>IF('Raw Data'!B456="","",'Raw Data'!B456)</f>
        <v>210</v>
      </c>
      <c r="C456" t="str">
        <f>IF('Raw Data'!C456="","",'Raw Data'!C456)</f>
        <v/>
      </c>
      <c r="D456" t="str">
        <f>IF('Raw Data'!D456="","",'Raw Data'!D456)</f>
        <v/>
      </c>
      <c r="E456" t="str">
        <f>IF('Raw Data'!E456="","",'Raw Data'!E456)</f>
        <v/>
      </c>
      <c r="F456" t="str">
        <f>IF('Raw Data'!F456="","",'Raw Data'!F456)</f>
        <v/>
      </c>
      <c r="G456" s="7" t="str">
        <f>IF('Raw Data'!G456="/","-",IF('Raw Data'!G456="","-",SUBSTITUTE('Raw Data'!G456," ",":",1)))</f>
        <v>-</v>
      </c>
      <c r="H456" s="7" t="str">
        <f>IF('Raw Data'!H456="/","-",IF('Raw Data'!H456="","-",SUBSTITUTE('Raw Data'!H456," ",":",1)))</f>
        <v>-</v>
      </c>
      <c r="I456" s="7" t="str">
        <f>IF('Raw Data'!I456="/","-",IF('Raw Data'!I456="","-",SUBSTITUTE('Raw Data'!I456," ",":",1)))</f>
        <v>-</v>
      </c>
      <c r="J456" s="12">
        <f>IF('Raw Data'!J456="",IF(LEN(K456)&gt;6,SQRT('Raw Data'!M456^2+N456^2),""),'Raw Data'!J456)</f>
        <v>2.6</v>
      </c>
      <c r="K456" s="7" t="str">
        <f>IF('Raw Data'!K456="","",IF(LEN('Raw Data'!K456)&lt;7,SUBSTITUTE('Raw Data'!K456," ",":",1),'Raw Data'!K456))</f>
        <v>90:00</v>
      </c>
      <c r="L456" t="str">
        <f>IF('Raw Data'!L456="","",'Raw Data'!L456)</f>
        <v/>
      </c>
      <c r="M456" t="str">
        <f>IF('Raw Data'!M456="","",'Raw Data'!M456)</f>
        <v/>
      </c>
      <c r="N456">
        <f>IF('Raw Data'!N456="","",IF('Raw Data'!N456="-",0,'Raw Data'!N456))</f>
        <v>2.6</v>
      </c>
      <c r="O456">
        <f>IF('Raw Data'!O456="",IF('Raw Data'!N456="","",0),'Raw Data'!O456)</f>
        <v>465.3</v>
      </c>
      <c r="P456" t="str">
        <f>IF('Raw Data'!P456="","",'Raw Data'!P456)</f>
        <v/>
      </c>
      <c r="R456" s="3" t="str">
        <f t="shared" si="167"/>
        <v>-</v>
      </c>
      <c r="S456" s="3" t="str">
        <f t="shared" si="168"/>
        <v>-</v>
      </c>
      <c r="T456" s="3" t="str">
        <f t="shared" si="169"/>
        <v>-</v>
      </c>
      <c r="U456" s="3">
        <f t="shared" si="170"/>
        <v>90</v>
      </c>
      <c r="W456" s="4">
        <f t="shared" si="171"/>
        <v>1.592692991381206E-16</v>
      </c>
      <c r="X456" s="4">
        <f t="shared" si="172"/>
        <v>2.6</v>
      </c>
      <c r="Y456" s="3" t="s">
        <v>16</v>
      </c>
      <c r="Z456" s="4">
        <f>IF('Raw Data'!O456="","",O455+N455)</f>
        <v>465.4</v>
      </c>
    </row>
    <row r="457" spans="1:27" x14ac:dyDescent="0.25">
      <c r="A457">
        <f>IF('Raw Data'!A457="","",'Raw Data'!A457)</f>
        <v>210</v>
      </c>
      <c r="B457">
        <f>IF('Raw Data'!B457="","",'Raw Data'!B457)</f>
        <v>211</v>
      </c>
      <c r="C457">
        <f>IF('Raw Data'!C457="","",'Raw Data'!C457)</f>
        <v>5</v>
      </c>
      <c r="D457">
        <f>IF('Raw Data'!D457="","",'Raw Data'!D457)</f>
        <v>3</v>
      </c>
      <c r="E457">
        <f>IF('Raw Data'!E457="","",'Raw Data'!E457)</f>
        <v>3</v>
      </c>
      <c r="F457">
        <f>IF('Raw Data'!F457="","",'Raw Data'!F457)</f>
        <v>3</v>
      </c>
      <c r="G457" s="7" t="str">
        <f>IF('Raw Data'!G457="/","-",IF('Raw Data'!G457="","-",SUBSTITUTE('Raw Data'!G457," ",":",1)))</f>
        <v>-</v>
      </c>
      <c r="H457" s="7" t="str">
        <f>IF('Raw Data'!H457="/","-",IF('Raw Data'!H457="","-",SUBSTITUTE('Raw Data'!H457," ",":",1)))</f>
        <v>041:00</v>
      </c>
      <c r="I457" s="7" t="str">
        <f>IF('Raw Data'!I457="/","-",IF('Raw Data'!I457="","-",SUBSTITUTE('Raw Data'!I457," ",":",1)))</f>
        <v>-</v>
      </c>
      <c r="J457" s="12">
        <f>IF('Raw Data'!J457="",IF(LEN(K457)&gt;6,SQRT('Raw Data'!M457^2+N457^2),""),'Raw Data'!J457)</f>
        <v>36.299999999999997</v>
      </c>
      <c r="K457" s="7" t="str">
        <f>IF('Raw Data'!K457="","",IF(LEN('Raw Data'!K457)&lt;7,SUBSTITUTE('Raw Data'!K457," ",":",1),'Raw Data'!K457))</f>
        <v>25:00</v>
      </c>
      <c r="L457" t="str">
        <f>IF('Raw Data'!L457="","",'Raw Data'!L457)</f>
        <v/>
      </c>
      <c r="M457" t="str">
        <f>IF('Raw Data'!M457="","",'Raw Data'!M457)</f>
        <v/>
      </c>
      <c r="N457">
        <f>IF('Raw Data'!N457="","",IF('Raw Data'!N457="-",0,'Raw Data'!N457))</f>
        <v>15.3</v>
      </c>
      <c r="O457">
        <f>IF('Raw Data'!O457="",IF('Raw Data'!N457="","",0),'Raw Data'!O457)</f>
        <v>467</v>
      </c>
      <c r="P457" t="str">
        <f>IF('Raw Data'!P457="","",'Raw Data'!P457)</f>
        <v>Kenneys Belly!</v>
      </c>
      <c r="R457" s="3" t="str">
        <f t="shared" si="167"/>
        <v>-</v>
      </c>
      <c r="S457" s="3">
        <f t="shared" si="168"/>
        <v>41</v>
      </c>
      <c r="T457" s="3" t="str">
        <f t="shared" si="169"/>
        <v>-</v>
      </c>
      <c r="U457" s="3">
        <f t="shared" si="170"/>
        <v>25</v>
      </c>
      <c r="W457" s="4">
        <f t="shared" si="171"/>
        <v>32.898972669430393</v>
      </c>
      <c r="X457" s="4">
        <f t="shared" si="172"/>
        <v>15.341042901187388</v>
      </c>
      <c r="Y457" s="3">
        <f t="shared" si="173"/>
        <v>221</v>
      </c>
      <c r="Z457" s="4">
        <f>IF('Raw Data'!O457="","",O456+N456)</f>
        <v>467.90000000000003</v>
      </c>
      <c r="AA457" t="s">
        <v>1052</v>
      </c>
    </row>
    <row r="458" spans="1:27" x14ac:dyDescent="0.25">
      <c r="A458">
        <f>IF('Raw Data'!A458="","",'Raw Data'!A458)</f>
        <v>211</v>
      </c>
      <c r="B458">
        <f>IF('Raw Data'!B458="","",'Raw Data'!B458)</f>
        <v>212</v>
      </c>
      <c r="C458">
        <f>IF('Raw Data'!C458="","",'Raw Data'!C458)</f>
        <v>12</v>
      </c>
      <c r="D458">
        <f>IF('Raw Data'!D458="","",'Raw Data'!D458)</f>
        <v>4</v>
      </c>
      <c r="E458">
        <f>IF('Raw Data'!E458="","",'Raw Data'!E458)</f>
        <v>2</v>
      </c>
      <c r="F458">
        <f>IF('Raw Data'!F458="","",'Raw Data'!F458)</f>
        <v>2</v>
      </c>
      <c r="G458" s="7" t="str">
        <f>IF('Raw Data'!G458="/","-",IF('Raw Data'!G458="","-",SUBSTITUTE('Raw Data'!G458," ",":",1)))</f>
        <v>175:00</v>
      </c>
      <c r="H458" s="7" t="str">
        <f>IF('Raw Data'!H458="/","-",IF('Raw Data'!H458="","-",SUBSTITUTE('Raw Data'!H458," ",":",1)))</f>
        <v>-</v>
      </c>
      <c r="I458" s="7" t="str">
        <f>IF('Raw Data'!I458="/","-",IF('Raw Data'!I458="","-",SUBSTITUTE('Raw Data'!I458," ",":",1)))</f>
        <v>-</v>
      </c>
      <c r="J458" s="12">
        <f>IF('Raw Data'!J458="",IF(LEN(K458)&gt;6,SQRT('Raw Data'!M458^2+N458^2),""),'Raw Data'!J458)</f>
        <v>26.8</v>
      </c>
      <c r="K458" s="7" t="str">
        <f>IF('Raw Data'!K458="","",IF(LEN('Raw Data'!K458)&lt;7,SUBSTITUTE('Raw Data'!K458," ",":",1),'Raw Data'!K458))</f>
        <v>34:30</v>
      </c>
      <c r="L458" t="str">
        <f>IF('Raw Data'!L458="","",'Raw Data'!L458)</f>
        <v/>
      </c>
      <c r="M458" t="str">
        <f>IF('Raw Data'!M458="","",'Raw Data'!M458)</f>
        <v/>
      </c>
      <c r="N458">
        <f>IF('Raw Data'!N458="","",IF('Raw Data'!N458="-",0,'Raw Data'!N458))</f>
        <v>15.2</v>
      </c>
      <c r="O458">
        <f>IF('Raw Data'!O458="",IF('Raw Data'!N458="","",0),'Raw Data'!O458)</f>
        <v>482.3</v>
      </c>
      <c r="P458" t="str">
        <f>IF('Raw Data'!P458="","",'Raw Data'!P458)</f>
        <v/>
      </c>
      <c r="R458" s="3">
        <f t="shared" si="167"/>
        <v>175</v>
      </c>
      <c r="S458" s="3" t="str">
        <f t="shared" si="168"/>
        <v>-</v>
      </c>
      <c r="T458" s="3" t="str">
        <f t="shared" si="169"/>
        <v>-</v>
      </c>
      <c r="U458" s="3">
        <f t="shared" si="170"/>
        <v>34.5</v>
      </c>
      <c r="W458" s="4">
        <f t="shared" si="171"/>
        <v>22.086581855070023</v>
      </c>
      <c r="X458" s="4">
        <f t="shared" si="172"/>
        <v>15.17968714958552</v>
      </c>
      <c r="Y458" s="3">
        <f t="shared" si="173"/>
        <v>175</v>
      </c>
      <c r="Z458" s="4">
        <f>IF('Raw Data'!O458="","",O457+N457)</f>
        <v>482.3</v>
      </c>
    </row>
    <row r="459" spans="1:27" x14ac:dyDescent="0.25">
      <c r="A459">
        <f>IF('Raw Data'!A459="","",'Raw Data'!A459)</f>
        <v>212</v>
      </c>
      <c r="B459" t="str">
        <f>IF('Raw Data'!B459="","",'Raw Data'!B459)</f>
        <v>up Olivers 'ole</v>
      </c>
      <c r="C459" t="str">
        <f>IF('Raw Data'!C459="","",'Raw Data'!C459)</f>
        <v/>
      </c>
      <c r="D459">
        <f>IF('Raw Data'!D459="","",'Raw Data'!D459)</f>
        <v>4</v>
      </c>
      <c r="E459" t="str">
        <f>IF('Raw Data'!E459="","",'Raw Data'!E459)</f>
        <v>/</v>
      </c>
      <c r="F459" t="str">
        <f>IF('Raw Data'!F459="","",'Raw Data'!F459)</f>
        <v>/</v>
      </c>
      <c r="G459" s="7" t="str">
        <f>IF('Raw Data'!G459="/","-",IF('Raw Data'!G459="","-",SUBSTITUTE('Raw Data'!G459," ",":",1)))</f>
        <v>20</v>
      </c>
      <c r="H459" s="7" t="str">
        <f>IF('Raw Data'!H459="/","-",IF('Raw Data'!H459="","-",SUBSTITUTE('Raw Data'!H459," ",":",1)))</f>
        <v>-</v>
      </c>
      <c r="I459" s="7" t="str">
        <f>IF('Raw Data'!I459="/","-",IF('Raw Data'!I459="","-",SUBSTITUTE('Raw Data'!I459," ",":",1)))</f>
        <v>-</v>
      </c>
      <c r="J459" s="12" t="str">
        <f>IF('Raw Data'!J459="",IF(LEN(K459)&gt;6,SQRT('Raw Data'!M459^2+N459^2),""),'Raw Data'!J459)</f>
        <v>90?</v>
      </c>
      <c r="K459" s="7" t="str">
        <f>IF('Raw Data'!K459="","",IF(LEN('Raw Data'!K459)&lt;7,SUBSTITUTE('Raw Data'!K459," ",":",1),'Raw Data'!K459))</f>
        <v>50</v>
      </c>
      <c r="L459" t="str">
        <f>IF('Raw Data'!L459="","",'Raw Data'!L459)</f>
        <v/>
      </c>
      <c r="M459" t="str">
        <f>IF('Raw Data'!M459="","",'Raw Data'!M459)</f>
        <v/>
      </c>
      <c r="N459" t="str">
        <f>IF('Raw Data'!N459="","",IF('Raw Data'!N459="-",0,'Raw Data'!N459))</f>
        <v/>
      </c>
      <c r="O459">
        <f>IF('Raw Data'!O459="",IF('Raw Data'!N459="","",0),'Raw Data'!O459)</f>
        <v>497.5</v>
      </c>
      <c r="P459" t="str">
        <f>IF('Raw Data'!P459="","",'Raw Data'!P459)</f>
        <v>212 marked by arrow on dripstone wall in Fault Ch.</v>
      </c>
      <c r="R459" s="3">
        <f t="shared" si="167"/>
        <v>20</v>
      </c>
      <c r="S459" s="3" t="str">
        <f t="shared" si="168"/>
        <v>-</v>
      </c>
      <c r="T459" s="3" t="str">
        <f t="shared" si="169"/>
        <v>-</v>
      </c>
      <c r="U459" s="3">
        <f t="shared" si="170"/>
        <v>50</v>
      </c>
      <c r="W459" s="4"/>
      <c r="X459" s="4"/>
      <c r="Y459" s="3">
        <f t="shared" si="173"/>
        <v>20</v>
      </c>
      <c r="Z459" s="4">
        <f>IF('Raw Data'!O459="","",O458+N458)</f>
        <v>497.5</v>
      </c>
    </row>
    <row r="460" spans="1:27" x14ac:dyDescent="0.25">
      <c r="G460" s="7"/>
      <c r="H460" s="7"/>
      <c r="I460" s="7"/>
      <c r="J460" s="12"/>
      <c r="K460" s="7"/>
      <c r="W460" s="4"/>
      <c r="X460" s="4"/>
      <c r="Y460" s="3"/>
      <c r="Z460" s="4"/>
    </row>
    <row r="461" spans="1:27" x14ac:dyDescent="0.25">
      <c r="A461" t="str">
        <f>IF('Raw Data'!A461="","",'Raw Data'!A461)</f>
        <v>July 12th 1960</v>
      </c>
      <c r="B461" t="str">
        <f>IF('Raw Data'!B461="","",'Raw Data'!B461)</f>
        <v>Derek Ford</v>
      </c>
      <c r="C461" t="str">
        <f>IF('Raw Data'!C461="","",'Raw Data'!C461)</f>
        <v>Side Passages in Paradise Regained - Maypole Series</v>
      </c>
      <c r="D461" t="str">
        <f>IF('Raw Data'!D461="","",'Raw Data'!D461)</f>
        <v/>
      </c>
      <c r="E461" t="str">
        <f>IF('Raw Data'!E461="","",'Raw Data'!E461)</f>
        <v/>
      </c>
      <c r="F461" t="str">
        <f>IF('Raw Data'!F461="","",'Raw Data'!F461)</f>
        <v/>
      </c>
      <c r="G461" s="7" t="str">
        <f>IF('Raw Data'!G461="/","-",IF('Raw Data'!G461="","-",SUBSTITUTE('Raw Data'!G461," ",":",1)))</f>
        <v>-</v>
      </c>
      <c r="H461" s="7" t="str">
        <f>IF('Raw Data'!H461="/","-",IF('Raw Data'!H461="","-",SUBSTITUTE('Raw Data'!H461," ",":",1)))</f>
        <v>-</v>
      </c>
      <c r="I461" s="7" t="str">
        <f>IF('Raw Data'!I461="/","-",IF('Raw Data'!I461="","-",SUBSTITUTE('Raw Data'!I461," ",":",1)))</f>
        <v>-</v>
      </c>
      <c r="J461" s="12" t="str">
        <f>IF('Raw Data'!J461="",IF(LEN(K461)&gt;6,SQRT('Raw Data'!M461^2+N461^2),""),'Raw Data'!J461)</f>
        <v/>
      </c>
      <c r="K461" s="7" t="str">
        <f>IF('Raw Data'!K461="","",IF(LEN('Raw Data'!K461)&lt;7,SUBSTITUTE('Raw Data'!K461," ",":",1),'Raw Data'!K461))</f>
        <v/>
      </c>
      <c r="L461" t="str">
        <f>IF('Raw Data'!L461="","",'Raw Data'!L461)</f>
        <v/>
      </c>
      <c r="M461" t="str">
        <f>IF('Raw Data'!M461="","",'Raw Data'!M461)</f>
        <v>var 11(deg) W</v>
      </c>
      <c r="W461" s="4"/>
      <c r="X461" s="4"/>
      <c r="Y461" s="3"/>
      <c r="Z461" s="4"/>
    </row>
    <row r="462" spans="1:27" x14ac:dyDescent="0.25">
      <c r="A462">
        <f>IF('Raw Data'!A462="","",'Raw Data'!A462)</f>
        <v>113</v>
      </c>
      <c r="B462">
        <f>IF('Raw Data'!B462="","",'Raw Data'!B462)</f>
        <v>213</v>
      </c>
      <c r="C462" t="str">
        <f>IF('Raw Data'!C462="","",'Raw Data'!C462)</f>
        <v/>
      </c>
      <c r="D462" t="str">
        <f>IF('Raw Data'!D462="","",'Raw Data'!D462)</f>
        <v/>
      </c>
      <c r="E462" t="str">
        <f>IF('Raw Data'!E462="","",'Raw Data'!E462)</f>
        <v/>
      </c>
      <c r="F462" t="str">
        <f>IF('Raw Data'!F462="","",'Raw Data'!F462)</f>
        <v/>
      </c>
      <c r="G462" s="7" t="str">
        <f>IF('Raw Data'!G462="/","-",IF('Raw Data'!G462="","-",SUBSTITUTE('Raw Data'!G462," ",":",1)))</f>
        <v>-</v>
      </c>
      <c r="H462" s="7" t="str">
        <f>IF('Raw Data'!H462="/","-",IF('Raw Data'!H462="","-",SUBSTITUTE('Raw Data'!H462," ",":",1)))</f>
        <v>243:00</v>
      </c>
      <c r="I462" s="7" t="str">
        <f>IF('Raw Data'!I462="/","-",IF('Raw Data'!I462="","-",SUBSTITUTE('Raw Data'!I462," ",":",1)))</f>
        <v>063:00</v>
      </c>
      <c r="J462" s="12">
        <f>IF('Raw Data'!J462="",IF(LEN(K462)&gt;6,SQRT('Raw Data'!M462^2+N462^2),""),'Raw Data'!J462)</f>
        <v>27.5</v>
      </c>
      <c r="K462" s="7" t="str">
        <f>IF('Raw Data'!K462="","",IF(LEN('Raw Data'!K462)&lt;7,SUBSTITUTE('Raw Data'!K462," ",":",1),'Raw Data'!K462))</f>
        <v>15:30</v>
      </c>
      <c r="L462" t="str">
        <f>IF('Raw Data'!L462="","",'Raw Data'!L462)</f>
        <v/>
      </c>
      <c r="M462">
        <f>IF('Raw Data'!M462="","",'Raw Data'!M462)</f>
        <v>26.5</v>
      </c>
      <c r="N462">
        <f>IF('Raw Data'!N462="","",IF('Raw Data'!N462="-",0,'Raw Data'!N462))</f>
        <v>7.3</v>
      </c>
      <c r="O462">
        <f>IF('Raw Data'!O462="",IF('Raw Data'!N462="","",0),'Raw Data'!O462)</f>
        <v>475.3</v>
      </c>
      <c r="P462" t="str">
        <f>IF('Raw Data'!P462="","",'Raw Data'!P462)</f>
        <v/>
      </c>
      <c r="R462" s="3" t="str">
        <f t="shared" ref="R462:R464" si="181">IF(ISERROR(FIND(":",G462)),IF(G462&lt;&gt;"-",1*G462,G462),1*LEFT(G462,FIND(":",G462)-1)+RIGHT(G462,LEN(G462)-FIND(":",G462))/60)</f>
        <v>-</v>
      </c>
      <c r="S462" s="3">
        <f t="shared" ref="S462:S464" si="182">IF(ISERROR(FIND(":",H462)),IF(H462&lt;&gt;"-",1*H462,H462),1*LEFT(H462,FIND(":",H462)-1)+RIGHT(H462,LEN(H462)-FIND(":",H462))/60)</f>
        <v>243</v>
      </c>
      <c r="T462" s="3">
        <f t="shared" ref="T462:T464" si="183">IF(ISERROR(FIND(":",I462)),IF(I462&lt;&gt;"-",1*I462,I462),1*LEFT(I462,FIND(":",I462)-1)+RIGHT(I462,LEN(I462)-FIND(":",I462))/60)</f>
        <v>63</v>
      </c>
      <c r="U462" s="3">
        <f t="shared" ref="U462:U464" si="184">IF(ISERROR(FIND(":",K462)),IF(K462="zero",0,1*K462),1*CONCATENATE(LEFT(K462,FIND(":",K462)-1),".",MID(RIGHT(K462,LEN(K462)-FIND(":",K462))/60,3,8)))</f>
        <v>15.5</v>
      </c>
      <c r="W462" s="4">
        <f t="shared" ref="W462:W464" si="185">J462*COS(U462*PI()/180)</f>
        <v>26.499837463237132</v>
      </c>
      <c r="X462" s="4">
        <f t="shared" ref="X462:X464" si="186">J462*SIN(U462*PI()/180)</f>
        <v>7.349055342152063</v>
      </c>
      <c r="Y462" s="3">
        <f t="shared" ref="Y462:Y464" si="187">IF(R462="-",IF(S462&gt;180,S462-180,S462+180),R462)</f>
        <v>63</v>
      </c>
      <c r="Z462" s="4">
        <f>IF('Raw Data'!O462="","",O406+N406)</f>
        <v>475.3</v>
      </c>
    </row>
    <row r="463" spans="1:27" x14ac:dyDescent="0.25">
      <c r="A463">
        <f>IF('Raw Data'!A463="","",'Raw Data'!A463)</f>
        <v>213</v>
      </c>
      <c r="B463">
        <f>IF('Raw Data'!B463="","",'Raw Data'!B463)</f>
        <v>214</v>
      </c>
      <c r="C463" t="str">
        <f>IF('Raw Data'!C463="","",'Raw Data'!C463)</f>
        <v/>
      </c>
      <c r="D463" t="str">
        <f>IF('Raw Data'!D463="","",'Raw Data'!D463)</f>
        <v/>
      </c>
      <c r="E463" t="str">
        <f>IF('Raw Data'!E463="","",'Raw Data'!E463)</f>
        <v/>
      </c>
      <c r="F463" t="str">
        <f>IF('Raw Data'!F463="","",'Raw Data'!F463)</f>
        <v/>
      </c>
      <c r="G463" s="7" t="str">
        <f>IF('Raw Data'!G463="/","-",IF('Raw Data'!G463="","-",SUBSTITUTE('Raw Data'!G463," ",":",1)))</f>
        <v>079:00</v>
      </c>
      <c r="H463" s="7" t="str">
        <f>IF('Raw Data'!H463="/","-",IF('Raw Data'!H463="","-",SUBSTITUTE('Raw Data'!H463," ",":",1)))</f>
        <v>-</v>
      </c>
      <c r="I463" s="7" t="str">
        <f>IF('Raw Data'!I463="/","-",IF('Raw Data'!I463="","-",SUBSTITUTE('Raw Data'!I463," ",":",1)))</f>
        <v>079:00</v>
      </c>
      <c r="J463" s="12">
        <f>IF('Raw Data'!J463="",IF(LEN(K463)&gt;6,SQRT('Raw Data'!M463^2+N463^2),""),'Raw Data'!J463)</f>
        <v>18.3</v>
      </c>
      <c r="K463" s="7" t="str">
        <f>IF('Raw Data'!K463="","",IF(LEN('Raw Data'!K463)&lt;7,SUBSTITUTE('Raw Data'!K463," ",":",1),'Raw Data'!K463))</f>
        <v>9</v>
      </c>
      <c r="L463" t="str">
        <f>IF('Raw Data'!L463="","",'Raw Data'!L463)</f>
        <v/>
      </c>
      <c r="M463">
        <f>IF('Raw Data'!M463="","",'Raw Data'!M463)</f>
        <v>18.100000000000001</v>
      </c>
      <c r="N463">
        <f>IF('Raw Data'!N463="","",IF('Raw Data'!N463="-",0,'Raw Data'!N463))</f>
        <v>2.9</v>
      </c>
      <c r="O463">
        <f>IF('Raw Data'!O463="",IF('Raw Data'!N463="","",0),'Raw Data'!O463)</f>
        <v>482.6</v>
      </c>
      <c r="P463" t="str">
        <f>IF('Raw Data'!P463="","",'Raw Data'!P463)</f>
        <v/>
      </c>
      <c r="R463" s="3">
        <f t="shared" si="181"/>
        <v>79</v>
      </c>
      <c r="S463" s="3" t="str">
        <f t="shared" si="182"/>
        <v>-</v>
      </c>
      <c r="T463" s="3">
        <f t="shared" si="183"/>
        <v>79</v>
      </c>
      <c r="U463" s="3">
        <f t="shared" si="184"/>
        <v>9</v>
      </c>
      <c r="W463" s="4">
        <f t="shared" si="185"/>
        <v>18.074696632891023</v>
      </c>
      <c r="X463" s="4">
        <f t="shared" si="186"/>
        <v>2.8627507102362251</v>
      </c>
      <c r="Y463" s="3">
        <f t="shared" si="187"/>
        <v>79</v>
      </c>
      <c r="Z463" s="4">
        <f>IF('Raw Data'!O463="","",O462+N462)</f>
        <v>482.6</v>
      </c>
    </row>
    <row r="464" spans="1:27" x14ac:dyDescent="0.25">
      <c r="A464">
        <f>IF('Raw Data'!A464="","",'Raw Data'!A464)</f>
        <v>214</v>
      </c>
      <c r="B464">
        <f>IF('Raw Data'!B464="","",'Raw Data'!B464)</f>
        <v>215</v>
      </c>
      <c r="C464" t="str">
        <f>IF('Raw Data'!C464="","",'Raw Data'!C464)</f>
        <v/>
      </c>
      <c r="D464" t="str">
        <f>IF('Raw Data'!D464="","",'Raw Data'!D464)</f>
        <v/>
      </c>
      <c r="E464" t="str">
        <f>IF('Raw Data'!E464="","",'Raw Data'!E464)</f>
        <v/>
      </c>
      <c r="F464" t="str">
        <f>IF('Raw Data'!F464="","",'Raw Data'!F464)</f>
        <v/>
      </c>
      <c r="G464" s="7" t="str">
        <f>IF('Raw Data'!G464="/","-",IF('Raw Data'!G464="","-",SUBSTITUTE('Raw Data'!G464," ",":",1)))</f>
        <v>-</v>
      </c>
      <c r="H464" s="7" t="str">
        <f>IF('Raw Data'!H464="/","-",IF('Raw Data'!H464="","-",SUBSTITUTE('Raw Data'!H464," ",":",1)))</f>
        <v>245:30</v>
      </c>
      <c r="I464" s="7" t="str">
        <f>IF('Raw Data'!I464="/","-",IF('Raw Data'!I464="","-",SUBSTITUTE('Raw Data'!I464," ",":",1)))</f>
        <v>065:30</v>
      </c>
      <c r="J464" s="12">
        <f>IF('Raw Data'!J464="",IF(LEN(K464)&gt;6,SQRT('Raw Data'!M464^2+N464^2),""),'Raw Data'!J464)</f>
        <v>13</v>
      </c>
      <c r="K464" s="7" t="str">
        <f>IF('Raw Data'!K464="","",IF(LEN('Raw Data'!K464)&lt;7,SUBSTITUTE('Raw Data'!K464," ",":",1),'Raw Data'!K464))</f>
        <v>-25:30</v>
      </c>
      <c r="L464" t="str">
        <f>IF('Raw Data'!L464="","",'Raw Data'!L464)</f>
        <v/>
      </c>
      <c r="M464">
        <f>IF('Raw Data'!M464="","",'Raw Data'!M464)</f>
        <v>11.7</v>
      </c>
      <c r="N464">
        <f>IF('Raw Data'!N464="","",IF('Raw Data'!N464="-",0,'Raw Data'!N464))</f>
        <v>-5.6</v>
      </c>
      <c r="O464">
        <f>IF('Raw Data'!O464="",IF('Raw Data'!N464="","",0),'Raw Data'!O464)</f>
        <v>485.5</v>
      </c>
      <c r="P464" t="str">
        <f>IF('Raw Data'!P464="","",'Raw Data'!P464)</f>
        <v/>
      </c>
      <c r="R464" s="3" t="str">
        <f t="shared" si="181"/>
        <v>-</v>
      </c>
      <c r="S464" s="3">
        <f t="shared" si="182"/>
        <v>245.5</v>
      </c>
      <c r="T464" s="3">
        <f t="shared" si="183"/>
        <v>65.5</v>
      </c>
      <c r="U464" s="3">
        <f t="shared" si="184"/>
        <v>-25.5</v>
      </c>
      <c r="W464" s="4">
        <f t="shared" si="185"/>
        <v>11.733608696548188</v>
      </c>
      <c r="X464" s="4">
        <f t="shared" si="186"/>
        <v>-5.596644258507836</v>
      </c>
      <c r="Y464" s="3">
        <f t="shared" si="187"/>
        <v>65.5</v>
      </c>
      <c r="Z464" s="4">
        <f>IF('Raw Data'!O464="","",O463+N463)</f>
        <v>485.5</v>
      </c>
    </row>
    <row r="465" spans="1:27" x14ac:dyDescent="0.25">
      <c r="A465">
        <f>IF('Raw Data'!A465="","",'Raw Data'!A465)</f>
        <v>215</v>
      </c>
      <c r="B465">
        <f>IF('Raw Data'!B465="","",'Raw Data'!B465)</f>
        <v>216</v>
      </c>
      <c r="C465" t="str">
        <f>IF('Raw Data'!C465="","",'Raw Data'!C465)</f>
        <v/>
      </c>
      <c r="D465" t="str">
        <f>IF('Raw Data'!D465="","",'Raw Data'!D465)</f>
        <v/>
      </c>
      <c r="E465" t="str">
        <f>IF('Raw Data'!E465="","",'Raw Data'!E465)</f>
        <v/>
      </c>
      <c r="F465" t="str">
        <f>IF('Raw Data'!F465="","",'Raw Data'!F465)</f>
        <v/>
      </c>
      <c r="G465" s="7" t="str">
        <f>IF('Raw Data'!G465="/","-",IF('Raw Data'!G465="","-",SUBSTITUTE('Raw Data'!G465," ",":",1)))</f>
        <v>076:30</v>
      </c>
      <c r="H465" s="7" t="str">
        <f>IF('Raw Data'!H465="/","-",IF('Raw Data'!H465="","-",SUBSTITUTE('Raw Data'!H465," ",":",1)))</f>
        <v>-</v>
      </c>
      <c r="I465" s="7" t="str">
        <f>IF('Raw Data'!I465="/","-",IF('Raw Data'!I465="","-",SUBSTITUTE('Raw Data'!I465," ",":",1)))</f>
        <v>076:30</v>
      </c>
      <c r="J465" s="12">
        <f>IF('Raw Data'!J465="",IF(LEN(K465)&gt;6,SQRT('Raw Data'!M465^2+N465^2),""),'Raw Data'!J465)</f>
        <v>61.4</v>
      </c>
      <c r="K465" s="7" t="str">
        <f>IF('Raw Data'!K465="","",IF(LEN('Raw Data'!K465)&lt;7,SUBSTITUTE('Raw Data'!K465," ",":",1),'Raw Data'!K465))</f>
        <v>29:30</v>
      </c>
      <c r="L465" t="str">
        <f>IF('Raw Data'!L465="","",'Raw Data'!L465)</f>
        <v/>
      </c>
      <c r="M465">
        <f>IF('Raw Data'!M465="","",'Raw Data'!M465)</f>
        <v>53.6</v>
      </c>
      <c r="N465">
        <f>IF('Raw Data'!N465="","",IF('Raw Data'!N465="-",0,'Raw Data'!N465))</f>
        <v>30.3</v>
      </c>
      <c r="O465">
        <f>IF('Raw Data'!O465="",IF('Raw Data'!N465="","",0),'Raw Data'!O465)</f>
        <v>479.9</v>
      </c>
      <c r="P465" t="str">
        <f>IF('Raw Data'!P465="","",'Raw Data'!P465)</f>
        <v>215 marked … in Pitch Chamber. Maypole Series starts about 30' along</v>
      </c>
      <c r="R465" s="3">
        <f t="shared" ref="R465:R474" si="188">IF(ISERROR(FIND(":",G465)),IF(G465&lt;&gt;"-",1*G465,G465),1*LEFT(G465,FIND(":",G465)-1)+RIGHT(G465,LEN(G465)-FIND(":",G465))/60)</f>
        <v>76.5</v>
      </c>
      <c r="S465" s="3" t="str">
        <f t="shared" ref="S465:S474" si="189">IF(ISERROR(FIND(":",H465)),IF(H465&lt;&gt;"-",1*H465,H465),1*LEFT(H465,FIND(":",H465)-1)+RIGHT(H465,LEN(H465)-FIND(":",H465))/60)</f>
        <v>-</v>
      </c>
      <c r="T465" s="3">
        <f t="shared" ref="T465:T474" si="190">IF(ISERROR(FIND(":",I465)),IF(I465&lt;&gt;"-",1*I465,I465),1*LEFT(I465,FIND(":",I465)-1)+RIGHT(I465,LEN(I465)-FIND(":",I465))/60)</f>
        <v>76.5</v>
      </c>
      <c r="U465" s="3">
        <f t="shared" ref="U465:U474" si="191">IF(ISERROR(FIND(":",K465)),IF(K465="zero",0,1*K465),1*CONCATENATE(LEFT(K465,FIND(":",K465)-1),".",MID(RIGHT(K465,LEN(K465)-FIND(":",K465))/60,3,8)))</f>
        <v>29.5</v>
      </c>
      <c r="W465" s="4">
        <f t="shared" ref="W465:W474" si="192">J465*COS(U465*PI()/180)</f>
        <v>53.439839730709842</v>
      </c>
      <c r="X465" s="4">
        <f t="shared" ref="X465:X474" si="193">J465*SIN(U465*PI()/180)</f>
        <v>30.234806590352875</v>
      </c>
      <c r="Y465" s="3">
        <f t="shared" ref="Y465:Y474" si="194">IF(R465="-",IF(S465&gt;180,S465-180,S465+180),R465)</f>
        <v>76.5</v>
      </c>
      <c r="Z465" s="4">
        <f>IF('Raw Data'!O465="","",O464+N464)</f>
        <v>479.9</v>
      </c>
      <c r="AA465" t="s">
        <v>900</v>
      </c>
    </row>
    <row r="466" spans="1:27" x14ac:dyDescent="0.25">
      <c r="A466">
        <f>IF('Raw Data'!A466="","",'Raw Data'!A466)</f>
        <v>216</v>
      </c>
      <c r="B466">
        <f>IF('Raw Data'!B466="","",'Raw Data'!B466)</f>
        <v>217</v>
      </c>
      <c r="C466">
        <f>IF('Raw Data'!C466="","",'Raw Data'!C466)</f>
        <v>10</v>
      </c>
      <c r="D466" t="str">
        <f>IF('Raw Data'!D466="","",'Raw Data'!D466)</f>
        <v>3(20)</v>
      </c>
      <c r="E466">
        <f>IF('Raw Data'!E466="","",'Raw Data'!E466)</f>
        <v>4</v>
      </c>
      <c r="F466">
        <f>IF('Raw Data'!F466="","",'Raw Data'!F466)</f>
        <v>3</v>
      </c>
      <c r="G466" s="7" t="str">
        <f>IF('Raw Data'!G466="/","-",IF('Raw Data'!G466="","-",SUBSTITUTE('Raw Data'!G466," ",":",1)))</f>
        <v>-</v>
      </c>
      <c r="H466" s="7" t="str">
        <f>IF('Raw Data'!H466="/","-",IF('Raw Data'!H466="","-",SUBSTITUTE('Raw Data'!H466," ",":",1)))</f>
        <v>251:40</v>
      </c>
      <c r="I466" s="7" t="str">
        <f>IF('Raw Data'!I466="/","-",IF('Raw Data'!I466="","-",SUBSTITUTE('Raw Data'!I466," ",":",1)))</f>
        <v>071:40</v>
      </c>
      <c r="J466" s="12">
        <f>IF('Raw Data'!J466="",IF(LEN(K466)&gt;6,SQRT('Raw Data'!M466^2+N466^2),""),'Raw Data'!J466)</f>
        <v>13.3</v>
      </c>
      <c r="K466" s="7" t="str">
        <f>IF('Raw Data'!K466="","",IF(LEN('Raw Data'!K466)&lt;7,SUBSTITUTE('Raw Data'!K466," ",":",1),'Raw Data'!K466))</f>
        <v>1:30</v>
      </c>
      <c r="L466" t="str">
        <f>IF('Raw Data'!L466="","",'Raw Data'!L466)</f>
        <v/>
      </c>
      <c r="M466">
        <f>IF('Raw Data'!M466="","",'Raw Data'!M466)</f>
        <v>13.3</v>
      </c>
      <c r="N466">
        <f>IF('Raw Data'!N466="","",IF('Raw Data'!N466="-",0,'Raw Data'!N466))</f>
        <v>0.3</v>
      </c>
      <c r="O466">
        <f>IF('Raw Data'!O466="",IF('Raw Data'!N466="","",0),'Raw Data'!O466)</f>
        <v>510.2</v>
      </c>
      <c r="P466" t="str">
        <f>IF('Raw Data'!P466="","",'Raw Data'!P466)</f>
        <v>between 2 holes in floor</v>
      </c>
      <c r="R466" s="3" t="str">
        <f t="shared" si="188"/>
        <v>-</v>
      </c>
      <c r="S466" s="3">
        <f t="shared" si="189"/>
        <v>251.66666666666666</v>
      </c>
      <c r="T466" s="3">
        <f t="shared" si="190"/>
        <v>71.666666666666671</v>
      </c>
      <c r="U466" s="3">
        <f t="shared" si="191"/>
        <v>1.5</v>
      </c>
      <c r="W466" s="4">
        <f t="shared" si="192"/>
        <v>13.295442422174911</v>
      </c>
      <c r="X466" s="4">
        <f t="shared" si="193"/>
        <v>0.34815341249471288</v>
      </c>
      <c r="Y466" s="3">
        <f t="shared" si="194"/>
        <v>71.666666666666657</v>
      </c>
      <c r="Z466" s="4">
        <f>IF('Raw Data'!O466="","",O465+N465)</f>
        <v>510.2</v>
      </c>
    </row>
    <row r="467" spans="1:27" x14ac:dyDescent="0.25">
      <c r="A467">
        <f>IF('Raw Data'!A467="","",'Raw Data'!A467)</f>
        <v>217</v>
      </c>
      <c r="B467">
        <f>IF('Raw Data'!B467="","",'Raw Data'!B467)</f>
        <v>218</v>
      </c>
      <c r="C467">
        <f>IF('Raw Data'!C467="","",'Raw Data'!C467)</f>
        <v>3</v>
      </c>
      <c r="D467">
        <f>IF('Raw Data'!D467="","",'Raw Data'!D467)</f>
        <v>1</v>
      </c>
      <c r="E467">
        <f>IF('Raw Data'!E467="","",'Raw Data'!E467)</f>
        <v>2</v>
      </c>
      <c r="F467">
        <f>IF('Raw Data'!F467="","",'Raw Data'!F467)</f>
        <v>2</v>
      </c>
      <c r="G467" s="7" t="str">
        <f>IF('Raw Data'!G467="/","-",IF('Raw Data'!G467="","-",SUBSTITUTE('Raw Data'!G467," ",":",1)))</f>
        <v>048:30</v>
      </c>
      <c r="H467" s="7" t="str">
        <f>IF('Raw Data'!H467="/","-",IF('Raw Data'!H467="","-",SUBSTITUTE('Raw Data'!H467," ",":",1)))</f>
        <v>-</v>
      </c>
      <c r="I467" s="7" t="str">
        <f>IF('Raw Data'!I467="/","-",IF('Raw Data'!I467="","-",SUBSTITUTE('Raw Data'!I467," ",":",1)))</f>
        <v>048:30</v>
      </c>
      <c r="J467" s="12">
        <f>IF('Raw Data'!J467="",IF(LEN(K467)&gt;6,SQRT('Raw Data'!M467^2+N467^2),""),'Raw Data'!J467)</f>
        <v>18.3</v>
      </c>
      <c r="K467" s="7" t="str">
        <f>IF('Raw Data'!K467="","",IF(LEN('Raw Data'!K467)&lt;7,SUBSTITUTE('Raw Data'!K467," ",":",1),'Raw Data'!K467))</f>
        <v>13:30</v>
      </c>
      <c r="L467" t="str">
        <f>IF('Raw Data'!L467="","",'Raw Data'!L467)</f>
        <v/>
      </c>
      <c r="M467">
        <f>IF('Raw Data'!M467="","",'Raw Data'!M467)</f>
        <v>17.8</v>
      </c>
      <c r="N467">
        <f>IF('Raw Data'!N467="","",IF('Raw Data'!N467="-",0,'Raw Data'!N467))</f>
        <v>4.3</v>
      </c>
      <c r="O467">
        <f>IF('Raw Data'!O467="",IF('Raw Data'!N467="","",0),'Raw Data'!O467)</f>
        <v>510.5</v>
      </c>
      <c r="P467" t="str">
        <f>IF('Raw Data'!P467="","",'Raw Data'!P467)</f>
        <v>Hole in floor 6' on, 4' diam</v>
      </c>
      <c r="R467" s="3">
        <f t="shared" si="188"/>
        <v>48.5</v>
      </c>
      <c r="S467" s="3" t="str">
        <f t="shared" si="189"/>
        <v>-</v>
      </c>
      <c r="T467" s="3">
        <f t="shared" si="190"/>
        <v>48.5</v>
      </c>
      <c r="U467" s="3">
        <f t="shared" si="191"/>
        <v>13.5</v>
      </c>
      <c r="W467" s="4">
        <f t="shared" si="192"/>
        <v>17.794369543277483</v>
      </c>
      <c r="X467" s="4">
        <f t="shared" si="193"/>
        <v>4.2720501585630686</v>
      </c>
      <c r="Y467" s="3">
        <f t="shared" si="194"/>
        <v>48.5</v>
      </c>
      <c r="Z467" s="4">
        <f>IF('Raw Data'!O467="","",O466+N466)</f>
        <v>510.5</v>
      </c>
    </row>
    <row r="468" spans="1:27" x14ac:dyDescent="0.25">
      <c r="A468">
        <f>IF('Raw Data'!A468="","",'Raw Data'!A468)</f>
        <v>218</v>
      </c>
      <c r="B468">
        <f>IF('Raw Data'!B468="","",'Raw Data'!B468)</f>
        <v>219</v>
      </c>
      <c r="C468">
        <f>IF('Raw Data'!C468="","",'Raw Data'!C468)</f>
        <v>3</v>
      </c>
      <c r="D468">
        <f>IF('Raw Data'!D468="","",'Raw Data'!D468)</f>
        <v>4</v>
      </c>
      <c r="E468">
        <f>IF('Raw Data'!E468="","",'Raw Data'!E468)</f>
        <v>1</v>
      </c>
      <c r="F468">
        <f>IF('Raw Data'!F468="","",'Raw Data'!F468)</f>
        <v>3</v>
      </c>
      <c r="G468" s="7" t="str">
        <f>IF('Raw Data'!G468="/","-",IF('Raw Data'!G468="","-",SUBSTITUTE('Raw Data'!G468," ",":",1)))</f>
        <v>-</v>
      </c>
      <c r="H468" s="7" t="str">
        <f>IF('Raw Data'!H468="/","-",IF('Raw Data'!H468="","-",SUBSTITUTE('Raw Data'!H468," ",":",1)))</f>
        <v>254:00</v>
      </c>
      <c r="I468" s="7" t="str">
        <f>IF('Raw Data'!I468="/","-",IF('Raw Data'!I468="","-",SUBSTITUTE('Raw Data'!I468," ",":",1)))</f>
        <v>074:00</v>
      </c>
      <c r="J468" s="12">
        <f>IF('Raw Data'!J468="",IF(LEN(K468)&gt;6,SQRT('Raw Data'!M468^2+N468^2),""),'Raw Data'!J468)</f>
        <v>22</v>
      </c>
      <c r="K468" s="7" t="str">
        <f>IF('Raw Data'!K468="","",IF(LEN('Raw Data'!K468)&lt;7,SUBSTITUTE('Raw Data'!K468," ",":",1),'Raw Data'!K468))</f>
        <v>13:00</v>
      </c>
      <c r="L468" t="str">
        <f>IF('Raw Data'!L468="","",'Raw Data'!L468)</f>
        <v/>
      </c>
      <c r="M468">
        <f>IF('Raw Data'!M468="","",'Raw Data'!M468)</f>
        <v>21.4</v>
      </c>
      <c r="N468">
        <f>IF('Raw Data'!N468="","",IF('Raw Data'!N468="-",0,'Raw Data'!N468))</f>
        <v>4.9000000000000004</v>
      </c>
      <c r="O468">
        <f>IF('Raw Data'!O468="",IF('Raw Data'!N468="","",0),'Raw Data'!O468)</f>
        <v>514.79999999999995</v>
      </c>
      <c r="P468" t="str">
        <f>IF('Raw Data'!P468="","",'Raw Data'!P468)</f>
        <v>Highish rift</v>
      </c>
      <c r="R468" s="3" t="str">
        <f t="shared" si="188"/>
        <v>-</v>
      </c>
      <c r="S468" s="3">
        <f t="shared" si="189"/>
        <v>254</v>
      </c>
      <c r="T468" s="3">
        <f t="shared" si="190"/>
        <v>74</v>
      </c>
      <c r="U468" s="3">
        <f t="shared" si="191"/>
        <v>13</v>
      </c>
      <c r="W468" s="4">
        <f t="shared" si="192"/>
        <v>21.436141425275174</v>
      </c>
      <c r="X468" s="4">
        <f t="shared" si="193"/>
        <v>4.9489231955650297</v>
      </c>
      <c r="Y468" s="3">
        <f t="shared" si="194"/>
        <v>74</v>
      </c>
      <c r="Z468" s="4">
        <f>IF('Raw Data'!O468="","",O467+N467)</f>
        <v>514.79999999999995</v>
      </c>
    </row>
    <row r="469" spans="1:27" x14ac:dyDescent="0.25">
      <c r="A469">
        <f>IF('Raw Data'!A469="","",'Raw Data'!A469)</f>
        <v>219</v>
      </c>
      <c r="B469">
        <f>IF('Raw Data'!B469="","",'Raw Data'!B469)</f>
        <v>220</v>
      </c>
      <c r="C469">
        <f>IF('Raw Data'!C469="","",'Raw Data'!C469)</f>
        <v>5</v>
      </c>
      <c r="D469">
        <f>IF('Raw Data'!D469="","",'Raw Data'!D469)</f>
        <v>3</v>
      </c>
      <c r="E469">
        <f>IF('Raw Data'!E469="","",'Raw Data'!E469)</f>
        <v>1</v>
      </c>
      <c r="F469">
        <f>IF('Raw Data'!F469="","",'Raw Data'!F469)</f>
        <v>1</v>
      </c>
      <c r="G469" s="7" t="str">
        <f>IF('Raw Data'!G469="/","-",IF('Raw Data'!G469="","-",SUBSTITUTE('Raw Data'!G469," ",":",1)))</f>
        <v>104:30</v>
      </c>
      <c r="H469" s="7" t="str">
        <f>IF('Raw Data'!H469="/","-",IF('Raw Data'!H469="","-",SUBSTITUTE('Raw Data'!H469," ",":",1)))</f>
        <v>-</v>
      </c>
      <c r="I469" s="7" t="str">
        <f>IF('Raw Data'!I469="/","-",IF('Raw Data'!I469="","-",SUBSTITUTE('Raw Data'!I469," ",":",1)))</f>
        <v>104:30</v>
      </c>
      <c r="J469" s="12">
        <f>IF('Raw Data'!J469="",IF(LEN(K469)&gt;6,SQRT('Raw Data'!M469^2+N469^2),""),'Raw Data'!J469)</f>
        <v>32.299999999999997</v>
      </c>
      <c r="K469" s="7" t="str">
        <f>IF('Raw Data'!K469="","",IF(LEN('Raw Data'!K469)&lt;7,SUBSTITUTE('Raw Data'!K469," ",":",1),'Raw Data'!K469))</f>
        <v>-22:30</v>
      </c>
      <c r="L469" t="str">
        <f>IF('Raw Data'!L469="","",'Raw Data'!L469)</f>
        <v/>
      </c>
      <c r="M469">
        <f>IF('Raw Data'!M469="","",'Raw Data'!M469)</f>
        <v>29.8</v>
      </c>
      <c r="N469">
        <f>IF('Raw Data'!N469="","",IF('Raw Data'!N469="-",0,'Raw Data'!N469))</f>
        <v>-12.4</v>
      </c>
      <c r="O469">
        <f>IF('Raw Data'!O469="",IF('Raw Data'!N469="","",0),'Raw Data'!O469)</f>
        <v>519.70000000000005</v>
      </c>
      <c r="P469" t="str">
        <f>IF('Raw Data'!P469="","",'Raw Data'!P469)</f>
        <v>Oxbow on left at 12'</v>
      </c>
      <c r="R469" s="3">
        <f t="shared" si="188"/>
        <v>104.5</v>
      </c>
      <c r="S469" s="3" t="str">
        <f t="shared" si="189"/>
        <v>-</v>
      </c>
      <c r="T469" s="3">
        <f t="shared" si="190"/>
        <v>104.5</v>
      </c>
      <c r="U469" s="3">
        <f t="shared" si="191"/>
        <v>-22.5</v>
      </c>
      <c r="W469" s="4">
        <f t="shared" si="192"/>
        <v>29.841308900114559</v>
      </c>
      <c r="X469" s="4">
        <f t="shared" si="193"/>
        <v>-12.360674865392399</v>
      </c>
      <c r="Y469" s="3">
        <f t="shared" si="194"/>
        <v>104.5</v>
      </c>
      <c r="Z469" s="4">
        <f>IF('Raw Data'!O469="","",O468+N468)</f>
        <v>519.69999999999993</v>
      </c>
    </row>
    <row r="470" spans="1:27" x14ac:dyDescent="0.25">
      <c r="A470">
        <f>IF('Raw Data'!A470="","",'Raw Data'!A470)</f>
        <v>220</v>
      </c>
      <c r="B470">
        <f>IF('Raw Data'!B470="","",'Raw Data'!B470)</f>
        <v>221</v>
      </c>
      <c r="C470">
        <f>IF('Raw Data'!C470="","",'Raw Data'!C470)</f>
        <v>20</v>
      </c>
      <c r="D470">
        <f>IF('Raw Data'!D470="","",'Raw Data'!D470)</f>
        <v>2</v>
      </c>
      <c r="E470" t="str">
        <f>IF('Raw Data'!E470="","",'Raw Data'!E470)</f>
        <v>/</v>
      </c>
      <c r="F470">
        <f>IF('Raw Data'!F470="","",'Raw Data'!F470)</f>
        <v>1</v>
      </c>
      <c r="G470" s="7" t="str">
        <f>IF('Raw Data'!G470="/","-",IF('Raw Data'!G470="","-",SUBSTITUTE('Raw Data'!G470," ",":",1)))</f>
        <v>-</v>
      </c>
      <c r="H470" s="7" t="str">
        <f>IF('Raw Data'!H470="/","-",IF('Raw Data'!H470="","-",SUBSTITUTE('Raw Data'!H470," ",":",1)))</f>
        <v>294:00</v>
      </c>
      <c r="I470" s="7" t="str">
        <f>IF('Raw Data'!I470="/","-",IF('Raw Data'!I470="","-",SUBSTITUTE('Raw Data'!I470," ",":",1)))</f>
        <v>114:00</v>
      </c>
      <c r="J470" s="12">
        <f>IF('Raw Data'!J470="",IF(LEN(K470)&gt;6,SQRT('Raw Data'!M470^2+N470^2),""),'Raw Data'!J470)</f>
        <v>19.7</v>
      </c>
      <c r="K470" s="7" t="str">
        <f>IF('Raw Data'!K470="","",IF(LEN('Raw Data'!K470)&lt;7,SUBSTITUTE('Raw Data'!K470," ",":",1),'Raw Data'!K470))</f>
        <v>20:00</v>
      </c>
      <c r="L470" t="str">
        <f>IF('Raw Data'!L470="","",'Raw Data'!L470)</f>
        <v/>
      </c>
      <c r="M470">
        <f>IF('Raw Data'!M470="","",'Raw Data'!M470)</f>
        <v>18.5</v>
      </c>
      <c r="N470">
        <f>IF('Raw Data'!N470="","",IF('Raw Data'!N470="-",0,'Raw Data'!N470))</f>
        <v>6.7</v>
      </c>
      <c r="O470">
        <f>IF('Raw Data'!O470="",IF('Raw Data'!N470="","",0),'Raw Data'!O470)</f>
        <v>507.3</v>
      </c>
      <c r="P470" t="str">
        <f>IF('Raw Data'!P470="","",'Raw Data'!P470)</f>
        <v>Passage on left</v>
      </c>
      <c r="R470" s="3" t="str">
        <f t="shared" si="188"/>
        <v>-</v>
      </c>
      <c r="S470" s="3">
        <f t="shared" si="189"/>
        <v>294</v>
      </c>
      <c r="T470" s="3">
        <f t="shared" si="190"/>
        <v>114</v>
      </c>
      <c r="U470" s="3">
        <f t="shared" si="191"/>
        <v>20</v>
      </c>
      <c r="W470" s="4">
        <f t="shared" si="192"/>
        <v>18.511944629482397</v>
      </c>
      <c r="X470" s="4">
        <f t="shared" si="193"/>
        <v>6.7377968235156738</v>
      </c>
      <c r="Y470" s="3">
        <f t="shared" si="194"/>
        <v>114</v>
      </c>
      <c r="Z470" s="4">
        <f>IF('Raw Data'!O470="","",O469+N469)</f>
        <v>507.30000000000007</v>
      </c>
    </row>
    <row r="471" spans="1:27" x14ac:dyDescent="0.25">
      <c r="A471">
        <f>IF('Raw Data'!A471="","",'Raw Data'!A471)</f>
        <v>221</v>
      </c>
      <c r="B471">
        <f>IF('Raw Data'!B471="","",'Raw Data'!B471)</f>
        <v>222</v>
      </c>
      <c r="C471">
        <f>IF('Raw Data'!C471="","",'Raw Data'!C471)</f>
        <v>20</v>
      </c>
      <c r="D471">
        <f>IF('Raw Data'!D471="","",'Raw Data'!D471)</f>
        <v>5</v>
      </c>
      <c r="E471" t="str">
        <f>IF('Raw Data'!E471="","",'Raw Data'!E471)</f>
        <v>/</v>
      </c>
      <c r="F471">
        <f>IF('Raw Data'!F471="","",'Raw Data'!F471)</f>
        <v>3</v>
      </c>
      <c r="G471" s="7" t="str">
        <f>IF('Raw Data'!G471="/","-",IF('Raw Data'!G471="","-",SUBSTITUTE('Raw Data'!G471," ",":",1)))</f>
        <v>162:30</v>
      </c>
      <c r="H471" s="7" t="str">
        <f>IF('Raw Data'!H471="/","-",IF('Raw Data'!H471="","-",SUBSTITUTE('Raw Data'!H471," ",":",1)))</f>
        <v>-</v>
      </c>
      <c r="I471" s="7" t="str">
        <f>IF('Raw Data'!I471="/","-",IF('Raw Data'!I471="","-",SUBSTITUTE('Raw Data'!I471," ",":",1)))</f>
        <v>162:30</v>
      </c>
      <c r="J471" s="12">
        <f>IF('Raw Data'!J471="",IF(LEN(K471)&gt;6,SQRT('Raw Data'!M471^2+N471^2),""),'Raw Data'!J471)</f>
        <v>20.2</v>
      </c>
      <c r="K471" s="7" t="str">
        <f>IF('Raw Data'!K471="","",IF(LEN('Raw Data'!K471)&lt;7,SUBSTITUTE('Raw Data'!K471," ",":",1),'Raw Data'!K471))</f>
        <v>42:00</v>
      </c>
      <c r="L471" t="str">
        <f>IF('Raw Data'!L471="","",'Raw Data'!L471)</f>
        <v/>
      </c>
      <c r="M471">
        <f>IF('Raw Data'!M471="","",'Raw Data'!M471)</f>
        <v>15</v>
      </c>
      <c r="N471">
        <f>IF('Raw Data'!N471="","",IF('Raw Data'!N471="-",0,'Raw Data'!N471))</f>
        <v>13.5</v>
      </c>
      <c r="O471">
        <f>IF('Raw Data'!O471="",IF('Raw Data'!N471="","",0),'Raw Data'!O471)</f>
        <v>514</v>
      </c>
      <c r="P471" t="str">
        <f>IF('Raw Data'!P471="","",'Raw Data'!P471)</f>
        <v>Maypole Junction</v>
      </c>
      <c r="R471" s="3">
        <f t="shared" si="188"/>
        <v>162.5</v>
      </c>
      <c r="S471" s="3" t="str">
        <f t="shared" si="189"/>
        <v>-</v>
      </c>
      <c r="T471" s="3">
        <f t="shared" si="190"/>
        <v>162.5</v>
      </c>
      <c r="U471" s="3">
        <f t="shared" si="191"/>
        <v>42</v>
      </c>
      <c r="W471" s="4">
        <f t="shared" si="192"/>
        <v>15.011525474643364</v>
      </c>
      <c r="X471" s="4">
        <f t="shared" si="193"/>
        <v>13.516438248448935</v>
      </c>
      <c r="Y471" s="3">
        <f t="shared" si="194"/>
        <v>162.5</v>
      </c>
      <c r="Z471" s="4">
        <f>IF('Raw Data'!O471="","",O470+N470)</f>
        <v>514</v>
      </c>
    </row>
    <row r="472" spans="1:27" x14ac:dyDescent="0.25">
      <c r="A472">
        <f>IF('Raw Data'!A472="","",'Raw Data'!A472)</f>
        <v>222</v>
      </c>
      <c r="B472">
        <f>IF('Raw Data'!B472="","",'Raw Data'!B472)</f>
        <v>223</v>
      </c>
      <c r="C472">
        <f>IF('Raw Data'!C472="","",'Raw Data'!C472)</f>
        <v>10</v>
      </c>
      <c r="D472">
        <f>IF('Raw Data'!D472="","",'Raw Data'!D472)</f>
        <v>4</v>
      </c>
      <c r="E472">
        <f>IF('Raw Data'!E472="","",'Raw Data'!E472)</f>
        <v>4</v>
      </c>
      <c r="F472">
        <f>IF('Raw Data'!F472="","",'Raw Data'!F472)</f>
        <v>3</v>
      </c>
      <c r="G472" s="7" t="str">
        <f>IF('Raw Data'!G472="/","-",IF('Raw Data'!G472="","-",SUBSTITUTE('Raw Data'!G472," ",":",1)))</f>
        <v>-</v>
      </c>
      <c r="H472" s="7" t="str">
        <f>IF('Raw Data'!H472="/","-",IF('Raw Data'!H472="","-",SUBSTITUTE('Raw Data'!H472," ",":",1)))</f>
        <v>274:00</v>
      </c>
      <c r="I472" s="7" t="str">
        <f>IF('Raw Data'!I472="/","-",IF('Raw Data'!I472="","-",SUBSTITUTE('Raw Data'!I472," ",":",1)))</f>
        <v>094:00</v>
      </c>
      <c r="J472" s="12">
        <f>IF('Raw Data'!J472="",IF(LEN(K472)&gt;6,SQRT('Raw Data'!M472^2+N472^2),""),'Raw Data'!J472)</f>
        <v>32.700000000000003</v>
      </c>
      <c r="K472" s="7" t="str">
        <f>IF('Raw Data'!K472="","",IF(LEN('Raw Data'!K472)&lt;7,SUBSTITUTE('Raw Data'!K472," ",":",1),'Raw Data'!K472))</f>
        <v>23:30</v>
      </c>
      <c r="L472" t="str">
        <f>IF('Raw Data'!L472="","",'Raw Data'!L472)</f>
        <v/>
      </c>
      <c r="M472">
        <f>IF('Raw Data'!M472="","",'Raw Data'!M472)</f>
        <v>30</v>
      </c>
      <c r="N472">
        <f>IF('Raw Data'!N472="","",IF('Raw Data'!N472="-",0,'Raw Data'!N472))</f>
        <v>13</v>
      </c>
      <c r="O472">
        <f>IF('Raw Data'!O472="",IF('Raw Data'!N472="","",0),'Raw Data'!O472)</f>
        <v>527.5</v>
      </c>
      <c r="P472" t="str">
        <f>IF('Raw Data'!P472="","",'Raw Data'!P472)</f>
        <v/>
      </c>
      <c r="R472" s="3" t="str">
        <f t="shared" si="188"/>
        <v>-</v>
      </c>
      <c r="S472" s="3">
        <f t="shared" si="189"/>
        <v>274</v>
      </c>
      <c r="T472" s="3">
        <f t="shared" si="190"/>
        <v>94</v>
      </c>
      <c r="U472" s="3">
        <f t="shared" si="191"/>
        <v>23.5</v>
      </c>
      <c r="W472" s="4">
        <f t="shared" si="192"/>
        <v>29.987864432393557</v>
      </c>
      <c r="X472" s="4">
        <f t="shared" si="193"/>
        <v>13.039094553855552</v>
      </c>
      <c r="Y472" s="3">
        <f t="shared" si="194"/>
        <v>94</v>
      </c>
      <c r="Z472" s="4">
        <f>IF('Raw Data'!O472="","",O471+N471)</f>
        <v>527.5</v>
      </c>
    </row>
    <row r="473" spans="1:27" x14ac:dyDescent="0.25">
      <c r="A473">
        <f>IF('Raw Data'!A473="","",'Raw Data'!A473)</f>
        <v>223</v>
      </c>
      <c r="B473" t="str">
        <f>IF('Raw Data'!B473="","",'Raw Data'!B473)</f>
        <v>choke</v>
      </c>
      <c r="C473">
        <f>IF('Raw Data'!C473="","",'Raw Data'!C473)</f>
        <v>2</v>
      </c>
      <c r="D473">
        <f>IF('Raw Data'!D473="","",'Raw Data'!D473)</f>
        <v>1.5</v>
      </c>
      <c r="E473">
        <f>IF('Raw Data'!E473="","",'Raw Data'!E473)</f>
        <v>2</v>
      </c>
      <c r="F473">
        <f>IF('Raw Data'!F473="","",'Raw Data'!F473)</f>
        <v>1</v>
      </c>
      <c r="G473" s="7" t="str">
        <f>IF('Raw Data'!G473="/","-",IF('Raw Data'!G473="","-",SUBSTITUTE('Raw Data'!G473," ",":",1)))</f>
        <v>47</v>
      </c>
      <c r="H473" s="7" t="str">
        <f>IF('Raw Data'!H473="/","-",IF('Raw Data'!H473="","-",SUBSTITUTE('Raw Data'!H473," ",":",1)))</f>
        <v>-</v>
      </c>
      <c r="I473" s="7" t="str">
        <f>IF('Raw Data'!I473="/","-",IF('Raw Data'!I473="","-",SUBSTITUTE('Raw Data'!I473," ",":",1)))</f>
        <v>47</v>
      </c>
      <c r="J473" s="12">
        <f>IF('Raw Data'!J473="",IF(LEN(K473)&gt;6,SQRT('Raw Data'!M473^2+N473^2),""),'Raw Data'!J473)</f>
        <v>10</v>
      </c>
      <c r="K473" s="7" t="str">
        <f>IF('Raw Data'!K473="","",IF(LEN('Raw Data'!K473)&lt;7,SUBSTITUTE('Raw Data'!K473," ",":",1),'Raw Data'!K473))</f>
        <v>gravel choke</v>
      </c>
      <c r="L473" t="str">
        <f>IF('Raw Data'!L473="","",'Raw Data'!L473)</f>
        <v/>
      </c>
      <c r="M473">
        <f>IF('Raw Data'!M473="","",'Raw Data'!M473)</f>
        <v>10</v>
      </c>
      <c r="N473" t="str">
        <f>IF('Raw Data'!N473="","",IF('Raw Data'!N473="-",0,'Raw Data'!N473))</f>
        <v/>
      </c>
      <c r="O473">
        <f>IF('Raw Data'!O473="",IF('Raw Data'!N473="","",0),'Raw Data'!O473)</f>
        <v>540.5</v>
      </c>
      <c r="P473" t="str">
        <f>IF('Raw Data'!P473="","",'Raw Data'!P473)</f>
        <v>… on roof</v>
      </c>
      <c r="R473" s="3">
        <f t="shared" si="188"/>
        <v>47</v>
      </c>
      <c r="S473" s="3" t="str">
        <f t="shared" si="189"/>
        <v>-</v>
      </c>
      <c r="T473" s="3">
        <f t="shared" si="190"/>
        <v>47</v>
      </c>
      <c r="U473" s="3">
        <v>0</v>
      </c>
      <c r="W473" s="4">
        <f t="shared" si="192"/>
        <v>10</v>
      </c>
      <c r="X473" s="4">
        <f t="shared" si="193"/>
        <v>0</v>
      </c>
      <c r="Y473" s="3">
        <f t="shared" si="194"/>
        <v>47</v>
      </c>
      <c r="Z473" s="4">
        <f>IF('Raw Data'!O473="","",O472+N472)</f>
        <v>540.5</v>
      </c>
    </row>
    <row r="474" spans="1:27" x14ac:dyDescent="0.25">
      <c r="A474" t="str">
        <f>IF('Raw Data'!A474="","",'Raw Data'!A474)</f>
        <v/>
      </c>
      <c r="B474" t="str">
        <f>IF('Raw Data'!B474="","",'Raw Data'!B474)</f>
        <v/>
      </c>
      <c r="C474" t="str">
        <f>IF('Raw Data'!C474="","",'Raw Data'!C474)</f>
        <v/>
      </c>
      <c r="D474" t="str">
        <f>IF('Raw Data'!D474="","",'Raw Data'!D474)</f>
        <v/>
      </c>
      <c r="E474" t="str">
        <f>IF('Raw Data'!E474="","",'Raw Data'!E474)</f>
        <v/>
      </c>
      <c r="F474" t="str">
        <f>IF('Raw Data'!F474="","",'Raw Data'!F474)</f>
        <v/>
      </c>
      <c r="G474" s="7" t="str">
        <f>IF('Raw Data'!G474="/","-",IF('Raw Data'!G474="","-",SUBSTITUTE('Raw Data'!G474," ",":",1)))</f>
        <v>-</v>
      </c>
      <c r="H474" s="7" t="str">
        <f>IF('Raw Data'!H474="/","-",IF('Raw Data'!H474="","-",SUBSTITUTE('Raw Data'!H474," ",":",1)))</f>
        <v>-</v>
      </c>
      <c r="I474" s="7" t="str">
        <f>IF('Raw Data'!I474="/","-",IF('Raw Data'!I474="","-",SUBSTITUTE('Raw Data'!I474," ",":",1)))</f>
        <v>-</v>
      </c>
      <c r="J474" s="12" t="str">
        <f>IF('Raw Data'!J474="",IF(LEN(K474)&gt;6,SQRT('Raw Data'!M474^2+N474^2),""),'Raw Data'!J474)</f>
        <v/>
      </c>
      <c r="K474" s="7" t="str">
        <f>IF('Raw Data'!K474="","",IF(LEN('Raw Data'!K474)&lt;7,SUBSTITUTE('Raw Data'!K474," ",":",1),'Raw Data'!K474))</f>
        <v/>
      </c>
      <c r="L474" t="str">
        <f>IF('Raw Data'!L474="","",'Raw Data'!L474)</f>
        <v/>
      </c>
      <c r="M474" t="str">
        <f>IF('Raw Data'!M474="","",'Raw Data'!M474)</f>
        <v/>
      </c>
      <c r="N474" t="str">
        <f>IF('Raw Data'!N474="","",IF('Raw Data'!N474="-",0,'Raw Data'!N474))</f>
        <v/>
      </c>
      <c r="O474" t="str">
        <f>IF('Raw Data'!O474="",IF('Raw Data'!N474="","",0),'Raw Data'!O474)</f>
        <v/>
      </c>
      <c r="P474" t="str">
        <f>IF('Raw Data'!P474="","",'Raw Data'!P474)</f>
        <v/>
      </c>
      <c r="W474" s="4"/>
      <c r="X474" s="4"/>
      <c r="Y474" s="3"/>
      <c r="Z474" s="4"/>
    </row>
    <row r="475" spans="1:27" x14ac:dyDescent="0.25">
      <c r="A475">
        <f>IF('Raw Data'!A475="","",'Raw Data'!A475)</f>
        <v>221</v>
      </c>
      <c r="B475">
        <f>IF('Raw Data'!B475="","",'Raw Data'!B475)</f>
        <v>224</v>
      </c>
      <c r="C475" t="str">
        <f>IF('Raw Data'!C475="","",'Raw Data'!C475)</f>
        <v/>
      </c>
      <c r="D475" t="str">
        <f>IF('Raw Data'!D475="","",'Raw Data'!D475)</f>
        <v/>
      </c>
      <c r="E475" t="str">
        <f>IF('Raw Data'!E475="","",'Raw Data'!E475)</f>
        <v/>
      </c>
      <c r="F475" t="str">
        <f>IF('Raw Data'!F475="","",'Raw Data'!F475)</f>
        <v/>
      </c>
      <c r="G475" s="7" t="str">
        <f>IF('Raw Data'!G475="/","-",IF('Raw Data'!G475="","-",SUBSTITUTE('Raw Data'!G475," ",":",1)))</f>
        <v>089:00</v>
      </c>
      <c r="H475" s="7" t="str">
        <f>IF('Raw Data'!H475="/","-",IF('Raw Data'!H475="","-",SUBSTITUTE('Raw Data'!H475," ",":",1)))</f>
        <v>-</v>
      </c>
      <c r="I475" s="7" t="str">
        <f>IF('Raw Data'!I475="/","-",IF('Raw Data'!I475="","-",SUBSTITUTE('Raw Data'!I475," ",":",1)))</f>
        <v>089:00</v>
      </c>
      <c r="J475" s="12">
        <f>IF('Raw Data'!J475="",IF(LEN(K475)&gt;6,SQRT('Raw Data'!M475^2+N475^2),""),'Raw Data'!J475)</f>
        <v>20.7</v>
      </c>
      <c r="K475" s="7" t="str">
        <f>IF('Raw Data'!K475="","",IF(LEN('Raw Data'!K475)&lt;7,SUBSTITUTE('Raw Data'!K475," ",":",1),'Raw Data'!K475))</f>
        <v>51:00</v>
      </c>
      <c r="L475" t="str">
        <f>IF('Raw Data'!L475="","",'Raw Data'!L475)</f>
        <v/>
      </c>
      <c r="M475">
        <f>IF('Raw Data'!M475="","",'Raw Data'!M475)</f>
        <v>13</v>
      </c>
      <c r="N475">
        <f>IF('Raw Data'!N475="","",IF('Raw Data'!N475="-",0,'Raw Data'!N475))</f>
        <v>16</v>
      </c>
      <c r="O475">
        <f>IF('Raw Data'!O475="",IF('Raw Data'!N475="","",0),'Raw Data'!O475)</f>
        <v>514</v>
      </c>
      <c r="P475" t="str">
        <f>IF('Raw Data'!P475="","",'Raw Data'!P475)</f>
        <v>Maypole Junction</v>
      </c>
      <c r="R475" s="3">
        <f t="shared" ref="R475:R479" si="195">IF(ISERROR(FIND(":",G475)),IF(G475&lt;&gt;"-",1*G475,G475),1*LEFT(G475,FIND(":",G475)-1)+RIGHT(G475,LEN(G475)-FIND(":",G475))/60)</f>
        <v>89</v>
      </c>
      <c r="S475" s="3" t="str">
        <f t="shared" ref="S475:S479" si="196">IF(ISERROR(FIND(":",H475)),IF(H475&lt;&gt;"-",1*H475,H475),1*LEFT(H475,FIND(":",H475)-1)+RIGHT(H475,LEN(H475)-FIND(":",H475))/60)</f>
        <v>-</v>
      </c>
      <c r="T475" s="3">
        <f t="shared" ref="T475:T479" si="197">IF(ISERROR(FIND(":",I475)),IF(I475&lt;&gt;"-",1*I475,I475),1*LEFT(I475,FIND(":",I475)-1)+RIGHT(I475,LEN(I475)-FIND(":",I475))/60)</f>
        <v>89</v>
      </c>
      <c r="U475" s="3">
        <f t="shared" ref="U475:U479" si="198">IF(ISERROR(FIND(":",K475)),IF(K475="zero",0,1*K475),1*CONCATENATE(LEFT(K475,FIND(":",K475)-1),".",MID(RIGHT(K475,LEN(K475)-FIND(":",K475))/60,3,8)))</f>
        <v>51</v>
      </c>
      <c r="W475" s="4">
        <f t="shared" ref="W475:W479" si="199">J475*COS(U475*PI()/180)</f>
        <v>13.026932094731636</v>
      </c>
      <c r="X475" s="4">
        <f t="shared" ref="X475:X479" si="200">J475*SIN(U475*PI()/180)</f>
        <v>16.086921402159295</v>
      </c>
      <c r="Y475" s="3">
        <f t="shared" ref="Y475:Y479" si="201">IF(R475="-",IF(S475&gt;180,S475-180,S475+180),R475)</f>
        <v>89</v>
      </c>
      <c r="Z475" s="4">
        <f>IF('Raw Data'!O475="","",O470+N470)</f>
        <v>514</v>
      </c>
    </row>
    <row r="476" spans="1:27" x14ac:dyDescent="0.25">
      <c r="A476">
        <f>IF('Raw Data'!A476="","",'Raw Data'!A476)</f>
        <v>224</v>
      </c>
      <c r="B476">
        <f>IF('Raw Data'!B476="","",'Raw Data'!B476)</f>
        <v>225</v>
      </c>
      <c r="C476">
        <f>IF('Raw Data'!C476="","",'Raw Data'!C476)</f>
        <v>15</v>
      </c>
      <c r="D476" t="str">
        <f>IF('Raw Data'!D476="","",'Raw Data'!D476)</f>
        <v>11' over drop</v>
      </c>
      <c r="E476">
        <f>IF('Raw Data'!E476="","",'Raw Data'!E476)</f>
        <v>3</v>
      </c>
      <c r="F476" t="str">
        <f>IF('Raw Data'!F476="","",'Raw Data'!F476)</f>
        <v>-</v>
      </c>
      <c r="G476" s="7" t="str">
        <f>IF('Raw Data'!G476="/","-",IF('Raw Data'!G476="","-",SUBSTITUTE('Raw Data'!G476," ",":",1)))</f>
        <v>-</v>
      </c>
      <c r="H476" s="7" t="str">
        <f>IF('Raw Data'!H476="/","-",IF('Raw Data'!H476="","-",SUBSTITUTE('Raw Data'!H476," ",":",1)))</f>
        <v>244:30</v>
      </c>
      <c r="I476" s="7" t="str">
        <f>IF('Raw Data'!I476="/","-",IF('Raw Data'!I476="","-",SUBSTITUTE('Raw Data'!I476," ",":",1)))</f>
        <v>064:30</v>
      </c>
      <c r="J476" s="12">
        <f>IF('Raw Data'!J476="",IF(LEN(K476)&gt;6,SQRT('Raw Data'!M476^2+N476^2),""),'Raw Data'!J476)</f>
        <v>17.5</v>
      </c>
      <c r="K476" s="7" t="str">
        <f>IF('Raw Data'!K476="","",IF(LEN('Raw Data'!K476)&lt;7,SUBSTITUTE('Raw Data'!K476," ",":",1),'Raw Data'!K476))</f>
        <v>37:30</v>
      </c>
      <c r="L476" t="str">
        <f>IF('Raw Data'!L476="","",'Raw Data'!L476)</f>
        <v/>
      </c>
      <c r="M476">
        <f>IF('Raw Data'!M476="","",'Raw Data'!M476)</f>
        <v>13.9</v>
      </c>
      <c r="N476">
        <f>IF('Raw Data'!N476="","",IF('Raw Data'!N476="-",0,'Raw Data'!N476))</f>
        <v>10.6</v>
      </c>
      <c r="O476">
        <f>IF('Raw Data'!O476="",IF('Raw Data'!N476="","",0),'Raw Data'!O476)</f>
        <v>530</v>
      </c>
      <c r="P476" t="str">
        <f>IF('Raw Data'!P476="","",'Raw Data'!P476)</f>
        <v/>
      </c>
      <c r="R476" s="3" t="str">
        <f t="shared" si="195"/>
        <v>-</v>
      </c>
      <c r="S476" s="3">
        <f t="shared" si="196"/>
        <v>244.5</v>
      </c>
      <c r="T476" s="3">
        <f t="shared" si="197"/>
        <v>64.5</v>
      </c>
      <c r="U476" s="3">
        <f t="shared" si="198"/>
        <v>37.5</v>
      </c>
      <c r="W476" s="4">
        <f t="shared" si="199"/>
        <v>13.883683455096616</v>
      </c>
      <c r="X476" s="4">
        <f t="shared" si="200"/>
        <v>10.653325007652612</v>
      </c>
      <c r="Y476" s="3">
        <f t="shared" si="201"/>
        <v>64.5</v>
      </c>
      <c r="Z476" s="4">
        <f>IF('Raw Data'!O476="","",O475+N475)</f>
        <v>530</v>
      </c>
    </row>
    <row r="477" spans="1:27" x14ac:dyDescent="0.25">
      <c r="A477">
        <f>IF('Raw Data'!A477="","",'Raw Data'!A477)</f>
        <v>225</v>
      </c>
      <c r="B477">
        <f>IF('Raw Data'!B477="","",'Raw Data'!B477)</f>
        <v>226</v>
      </c>
      <c r="C477">
        <f>IF('Raw Data'!C477="","",'Raw Data'!C477)</f>
        <v>5</v>
      </c>
      <c r="D477">
        <f>IF('Raw Data'!D477="","",'Raw Data'!D477)</f>
        <v>6</v>
      </c>
      <c r="E477">
        <f>IF('Raw Data'!E477="","",'Raw Data'!E477)</f>
        <v>2</v>
      </c>
      <c r="F477">
        <f>IF('Raw Data'!F477="","",'Raw Data'!F477)</f>
        <v>2</v>
      </c>
      <c r="G477" s="7" t="str">
        <f>IF('Raw Data'!G477="/","-",IF('Raw Data'!G477="","-",SUBSTITUTE('Raw Data'!G477," ",":",1)))</f>
        <v>104:40</v>
      </c>
      <c r="H477" s="7" t="str">
        <f>IF('Raw Data'!H477="/","-",IF('Raw Data'!H477="","-",SUBSTITUTE('Raw Data'!H477," ",":",1)))</f>
        <v>-</v>
      </c>
      <c r="I477" s="7" t="str">
        <f>IF('Raw Data'!I477="/","-",IF('Raw Data'!I477="","-",SUBSTITUTE('Raw Data'!I477," ",":",1)))</f>
        <v>104:40</v>
      </c>
      <c r="J477" s="12">
        <f>IF('Raw Data'!J477="",IF(LEN(K477)&gt;6,SQRT('Raw Data'!M477^2+N477^2),""),'Raw Data'!J477)</f>
        <v>36.299999999999997</v>
      </c>
      <c r="K477" s="7" t="str">
        <f>IF('Raw Data'!K477="","",IF(LEN('Raw Data'!K477)&lt;7,SUBSTITUTE('Raw Data'!K477," ",":",1),'Raw Data'!K477))</f>
        <v>13:00</v>
      </c>
      <c r="L477" t="str">
        <f>IF('Raw Data'!L477="","",'Raw Data'!L477)</f>
        <v/>
      </c>
      <c r="M477">
        <f>IF('Raw Data'!M477="","",'Raw Data'!M477)</f>
        <v>35.4</v>
      </c>
      <c r="N477">
        <f>IF('Raw Data'!N477="","",IF('Raw Data'!N477="-",0,'Raw Data'!N477))</f>
        <v>8.1999999999999993</v>
      </c>
      <c r="O477">
        <f>IF('Raw Data'!O477="",IF('Raw Data'!N477="","",0),'Raw Data'!O477)</f>
        <v>540.6</v>
      </c>
      <c r="P477" t="str">
        <f>IF('Raw Data'!P477="","",'Raw Data'!P477)</f>
        <v>cross joints at 27' &amp; 34'</v>
      </c>
      <c r="R477" s="3">
        <f t="shared" si="195"/>
        <v>104.66666666666667</v>
      </c>
      <c r="S477" s="3" t="str">
        <f t="shared" si="196"/>
        <v>-</v>
      </c>
      <c r="T477" s="3">
        <f t="shared" si="197"/>
        <v>104.66666666666667</v>
      </c>
      <c r="U477" s="3">
        <f t="shared" si="198"/>
        <v>13</v>
      </c>
      <c r="W477" s="4">
        <f t="shared" si="199"/>
        <v>35.369633351704039</v>
      </c>
      <c r="X477" s="4">
        <f t="shared" si="200"/>
        <v>8.1657232726822997</v>
      </c>
      <c r="Y477" s="3">
        <f t="shared" si="201"/>
        <v>104.66666666666667</v>
      </c>
      <c r="Z477" s="4">
        <f>IF('Raw Data'!O477="","",O476+N476)</f>
        <v>540.6</v>
      </c>
    </row>
    <row r="478" spans="1:27" x14ac:dyDescent="0.25">
      <c r="A478">
        <f>IF('Raw Data'!A478="","",'Raw Data'!A478)</f>
        <v>226</v>
      </c>
      <c r="B478" t="str">
        <f>IF('Raw Data'!B478="","",'Raw Data'!B478)</f>
        <v/>
      </c>
      <c r="C478" t="str">
        <f>IF('Raw Data'!C478="","",'Raw Data'!C478)</f>
        <v>-</v>
      </c>
      <c r="D478">
        <f>IF('Raw Data'!D478="","",'Raw Data'!D478)</f>
        <v>4</v>
      </c>
      <c r="E478">
        <f>IF('Raw Data'!E478="","",'Raw Data'!E478)</f>
        <v>2</v>
      </c>
      <c r="F478">
        <f>IF('Raw Data'!F478="","",'Raw Data'!F478)</f>
        <v>1.5</v>
      </c>
      <c r="G478" s="7" t="str">
        <f>IF('Raw Data'!G478="/","-",IF('Raw Data'!G478="","-",SUBSTITUTE('Raw Data'!G478," ",":",1)))</f>
        <v>Dig:10' on at 040, choke 10' further at 060</v>
      </c>
      <c r="H478" s="7" t="str">
        <f>IF('Raw Data'!H478="/","-",IF('Raw Data'!H478="","-",SUBSTITUTE('Raw Data'!H478," ",":",1)))</f>
        <v>-</v>
      </c>
      <c r="I478" s="7" t="str">
        <f>IF('Raw Data'!I478="/","-",IF('Raw Data'!I478="","-",SUBSTITUTE('Raw Data'!I478," ",":",1)))</f>
        <v>-</v>
      </c>
      <c r="J478" s="12" t="str">
        <f>IF('Raw Data'!J478="",IF(LEN(K478)&gt;6,SQRT('Raw Data'!M478^2+N478^2),""),'Raw Data'!J478)</f>
        <v/>
      </c>
      <c r="K478" s="7" t="str">
        <f>IF('Raw Data'!K478="","",IF(LEN('Raw Data'!K478)&lt;7,SUBSTITUTE('Raw Data'!K478," ",":",1),'Raw Data'!K478))</f>
        <v/>
      </c>
      <c r="L478" t="str">
        <f>IF('Raw Data'!L478="","",'Raw Data'!L478)</f>
        <v/>
      </c>
      <c r="M478" t="str">
        <f>IF('Raw Data'!M478="","",'Raw Data'!M478)</f>
        <v/>
      </c>
      <c r="N478" t="str">
        <f>IF('Raw Data'!N478="","",IF('Raw Data'!N478="-",0,'Raw Data'!N478))</f>
        <v/>
      </c>
      <c r="O478">
        <f>IF('Raw Data'!O478="",IF('Raw Data'!N478="","",0),'Raw Data'!O478)</f>
        <v>548.79999999999995</v>
      </c>
      <c r="P478" t="str">
        <f>IF('Raw Data'!P478="","",'Raw Data'!P478)</f>
        <v>Smoke mark .stal. on roof also candle + mud</v>
      </c>
      <c r="W478" s="4"/>
      <c r="X478" s="4"/>
      <c r="Y478" s="3"/>
      <c r="Z478" s="4">
        <f>IF('Raw Data'!O478="","",O477+N477)</f>
        <v>548.80000000000007</v>
      </c>
    </row>
    <row r="479" spans="1:27" x14ac:dyDescent="0.25">
      <c r="A479" t="str">
        <f>IF('Raw Data'!A479="","",'Raw Data'!A479)</f>
        <v/>
      </c>
      <c r="B479" t="str">
        <f>IF('Raw Data'!B479="","",'Raw Data'!B479)</f>
        <v/>
      </c>
      <c r="C479" t="str">
        <f>IF('Raw Data'!C479="","",'Raw Data'!C479)</f>
        <v/>
      </c>
      <c r="D479" t="str">
        <f>IF('Raw Data'!D479="","",'Raw Data'!D479)</f>
        <v/>
      </c>
      <c r="E479" t="str">
        <f>IF('Raw Data'!E479="","",'Raw Data'!E479)</f>
        <v/>
      </c>
      <c r="F479" t="str">
        <f>IF('Raw Data'!F479="","",'Raw Data'!F479)</f>
        <v/>
      </c>
      <c r="G479" s="7" t="str">
        <f>IF('Raw Data'!G479="/","-",IF('Raw Data'!G479="","-",SUBSTITUTE('Raw Data'!G479," ",":",1)))</f>
        <v>-</v>
      </c>
      <c r="H479" s="7" t="str">
        <f>IF('Raw Data'!H479="/","-",IF('Raw Data'!H479="","-",SUBSTITUTE('Raw Data'!H479," ",":",1)))</f>
        <v>-</v>
      </c>
      <c r="I479" s="7" t="str">
        <f>IF('Raw Data'!I479="/","-",IF('Raw Data'!I479="","-",SUBSTITUTE('Raw Data'!I479," ",":",1)))</f>
        <v>-</v>
      </c>
      <c r="J479" s="12" t="str">
        <f>IF('Raw Data'!J479="",IF(LEN(K479)&gt;6,SQRT('Raw Data'!M479^2+N479^2),""),'Raw Data'!J479)</f>
        <v/>
      </c>
      <c r="K479" s="7" t="str">
        <f>IF('Raw Data'!K479="","",IF(LEN('Raw Data'!K479)&lt;7,SUBSTITUTE('Raw Data'!K479," ",":",1),'Raw Data'!K479))</f>
        <v/>
      </c>
      <c r="L479" t="str">
        <f>IF('Raw Data'!L479="","",'Raw Data'!L479)</f>
        <v/>
      </c>
      <c r="M479" t="str">
        <f>IF('Raw Data'!M479="","",'Raw Data'!M479)</f>
        <v/>
      </c>
      <c r="N479" t="str">
        <f>IF('Raw Data'!N479="","",IF('Raw Data'!N479="-",0,'Raw Data'!N479))</f>
        <v/>
      </c>
      <c r="O479" t="str">
        <f>IF('Raw Data'!O479="",IF('Raw Data'!N479="","",0),'Raw Data'!O479)</f>
        <v/>
      </c>
      <c r="P479" t="str">
        <f>IF('Raw Data'!P479="","",'Raw Data'!P479)</f>
        <v/>
      </c>
      <c r="W479" s="4"/>
      <c r="X479" s="4"/>
      <c r="Y479" s="3"/>
      <c r="Z479" s="4"/>
    </row>
    <row r="480" spans="1:27" x14ac:dyDescent="0.25">
      <c r="A480" t="str">
        <f>IF('Raw Data'!A480="","",'Raw Data'!A480)</f>
        <v>July 14th 1960</v>
      </c>
      <c r="B480" t="str">
        <f>IF('Raw Data'!B480="","",'Raw Data'!B480)</f>
        <v>Joe Candy</v>
      </c>
      <c r="C480" t="str">
        <f>IF('Raw Data'!C480="","",'Raw Data'!C480)</f>
        <v>Side Passages in Paradise Regained - Maypole Series, Candys Calamity, Shatter Pot.</v>
      </c>
      <c r="D480" t="str">
        <f>IF('Raw Data'!D480="","",'Raw Data'!D480)</f>
        <v/>
      </c>
      <c r="E480" t="str">
        <f>IF('Raw Data'!E480="","",'Raw Data'!E480)</f>
        <v/>
      </c>
      <c r="F480" t="str">
        <f>IF('Raw Data'!F480="","",'Raw Data'!F480)</f>
        <v/>
      </c>
      <c r="G480" s="7" t="str">
        <f>IF('Raw Data'!G480="/","-",IF('Raw Data'!G480="","-",SUBSTITUTE('Raw Data'!G480," ",":",1)))</f>
        <v>-</v>
      </c>
      <c r="H480" s="7" t="str">
        <f>IF('Raw Data'!H480="/","-",IF('Raw Data'!H480="","-",SUBSTITUTE('Raw Data'!H480," ",":",1)))</f>
        <v>-</v>
      </c>
      <c r="I480" s="7" t="str">
        <f>IF('Raw Data'!I480="/","-",IF('Raw Data'!I480="","-",SUBSTITUTE('Raw Data'!I480," ",":",1)))</f>
        <v>-</v>
      </c>
      <c r="J480" s="12" t="str">
        <f>IF('Raw Data'!J480="",IF(LEN(K480)&gt;6,SQRT('Raw Data'!M480^2+N480^2),""),'Raw Data'!J480)</f>
        <v/>
      </c>
      <c r="K480" s="7" t="str">
        <f>IF('Raw Data'!K480="","",IF(LEN('Raw Data'!K480)&lt;7,SUBSTITUTE('Raw Data'!K480," ",":",1),'Raw Data'!K480))</f>
        <v/>
      </c>
      <c r="L480" t="str">
        <f>IF('Raw Data'!L480="","",'Raw Data'!L480)</f>
        <v/>
      </c>
      <c r="M480" t="str">
        <f>IF('Raw Data'!M480="","",'Raw Data'!M480)</f>
        <v>Var 11(deg) W</v>
      </c>
      <c r="N480" t="str">
        <f>IF('Raw Data'!N480="","",IF('Raw Data'!N480="-",0,'Raw Data'!N480))</f>
        <v/>
      </c>
      <c r="O480" t="str">
        <f>IF('Raw Data'!O480="",IF('Raw Data'!N480="","",0),'Raw Data'!O480)</f>
        <v/>
      </c>
      <c r="P480" t="str">
        <f>IF('Raw Data'!P480="","",'Raw Data'!P480)</f>
        <v/>
      </c>
      <c r="W480" s="4"/>
      <c r="X480" s="4"/>
      <c r="Y480" s="3"/>
      <c r="Z480" s="4"/>
    </row>
    <row r="481" spans="1:27" x14ac:dyDescent="0.25">
      <c r="A481">
        <f>IF('Raw Data'!A481="","",'Raw Data'!A481)</f>
        <v>220</v>
      </c>
      <c r="B481">
        <f>IF('Raw Data'!B481="","",'Raw Data'!B481)</f>
        <v>227</v>
      </c>
      <c r="C481">
        <f>IF('Raw Data'!C481="","",'Raw Data'!C481)</f>
        <v>20</v>
      </c>
      <c r="D481">
        <f>IF('Raw Data'!D481="","",'Raw Data'!D481)</f>
        <v>2</v>
      </c>
      <c r="E481" t="str">
        <f>IF('Raw Data'!E481="","",'Raw Data'!E481)</f>
        <v>/</v>
      </c>
      <c r="F481" t="str">
        <f>IF('Raw Data'!F481="","",'Raw Data'!F481)</f>
        <v>/</v>
      </c>
      <c r="G481" s="7" t="str">
        <f>IF('Raw Data'!G481="/","-",IF('Raw Data'!G481="","-",SUBSTITUTE('Raw Data'!G481," ",":",1)))</f>
        <v>-</v>
      </c>
      <c r="H481" s="7" t="str">
        <f>IF('Raw Data'!H481="/","-",IF('Raw Data'!H481="","-",SUBSTITUTE('Raw Data'!H481," ",":",1)))</f>
        <v>208:00</v>
      </c>
      <c r="I481" s="7" t="str">
        <f>IF('Raw Data'!I481="/","-",IF('Raw Data'!I481="","-",SUBSTITUTE('Raw Data'!I481," ",":",1)))</f>
        <v>028:00</v>
      </c>
      <c r="J481" s="12">
        <f>IF('Raw Data'!J481="",IF(LEN(K481)&gt;6,SQRT('Raw Data'!M481^2+N481^2),""),'Raw Data'!J481)</f>
        <v>12.3</v>
      </c>
      <c r="K481" s="7" t="str">
        <f>IF('Raw Data'!K481="","",IF(LEN('Raw Data'!K481)&lt;7,SUBSTITUTE('Raw Data'!K481," ",":",1),'Raw Data'!K481))</f>
        <v>-6:00</v>
      </c>
      <c r="L481" t="str">
        <f>IF('Raw Data'!L481="","",'Raw Data'!L481)</f>
        <v/>
      </c>
      <c r="M481">
        <f>IF('Raw Data'!M481="","",'Raw Data'!M481)</f>
        <v>12.2</v>
      </c>
      <c r="N481">
        <f>IF('Raw Data'!N481="","",IF('Raw Data'!N481="-",0,'Raw Data'!N481))</f>
        <v>-1.3</v>
      </c>
      <c r="O481">
        <f>IF('Raw Data'!O481="",IF('Raw Data'!N481="","",0),'Raw Data'!O481)</f>
        <v>507.3</v>
      </c>
      <c r="P481" t="str">
        <f>IF('Raw Data'!P481="","",'Raw Data'!P481)</f>
        <v/>
      </c>
      <c r="R481" s="3" t="str">
        <f t="shared" ref="R480:R497" si="202">IF(ISERROR(FIND(":",G481)),IF(G481&lt;&gt;"-",1*G481,G481),1*LEFT(G481,FIND(":",G481)-1)+RIGHT(G481,LEN(G481)-FIND(":",G481))/60)</f>
        <v>-</v>
      </c>
      <c r="S481" s="3">
        <f t="shared" ref="S480:S497" si="203">IF(ISERROR(FIND(":",H481)),IF(H481&lt;&gt;"-",1*H481,H481),1*LEFT(H481,FIND(":",H481)-1)+RIGHT(H481,LEN(H481)-FIND(":",H481))/60)</f>
        <v>208</v>
      </c>
      <c r="T481" s="3">
        <f t="shared" ref="T480:T497" si="204">IF(ISERROR(FIND(":",I481)),IF(I481&lt;&gt;"-",1*I481,I481),1*LEFT(I481,FIND(":",I481)-1)+RIGHT(I481,LEN(I481)-FIND(":",I481))/60)</f>
        <v>28</v>
      </c>
      <c r="U481" s="3">
        <f t="shared" ref="U480:U497" si="205">IF(ISERROR(FIND(":",K481)),IF(K481="zero",0,1*K481),1*CONCATENATE(LEFT(K481,FIND(":",K481)-1),".",MID(RIGHT(K481,LEN(K481)-FIND(":",K481))/60,3,8)))</f>
        <v>-6</v>
      </c>
      <c r="W481" s="4">
        <f t="shared" ref="W480:W497" si="206">J481*COS(U481*PI()/180)</f>
        <v>12.232619313029762</v>
      </c>
      <c r="X481" s="4">
        <f t="shared" ref="X480:X497" si="207">J481*SIN(U481*PI()/180)</f>
        <v>-1.2857000981921376</v>
      </c>
      <c r="Y481" s="3">
        <f t="shared" ref="Y480:Y497" si="208">IF(R481="-",IF(S481&gt;180,S481-180,S481+180),R481)</f>
        <v>28</v>
      </c>
      <c r="Z481" s="4">
        <f>IF('Raw Data'!O481="","",O469+N469)</f>
        <v>507.30000000000007</v>
      </c>
    </row>
    <row r="482" spans="1:27" x14ac:dyDescent="0.25">
      <c r="A482">
        <f>IF('Raw Data'!A482="","",'Raw Data'!A482)</f>
        <v>227</v>
      </c>
      <c r="B482">
        <f>IF('Raw Data'!B482="","",'Raw Data'!B482)</f>
        <v>228</v>
      </c>
      <c r="C482">
        <f>IF('Raw Data'!C482="","",'Raw Data'!C482)</f>
        <v>4</v>
      </c>
      <c r="D482">
        <f>IF('Raw Data'!D482="","",'Raw Data'!D482)</f>
        <v>2.5</v>
      </c>
      <c r="E482">
        <f>IF('Raw Data'!E482="","",'Raw Data'!E482)</f>
        <v>2</v>
      </c>
      <c r="F482">
        <f>IF('Raw Data'!F482="","",'Raw Data'!F482)</f>
        <v>1</v>
      </c>
      <c r="G482" s="7" t="str">
        <f>IF('Raw Data'!G482="/","-",IF('Raw Data'!G482="","-",SUBSTITUTE('Raw Data'!G482," ",":",1)))</f>
        <v>006:30</v>
      </c>
      <c r="H482" s="7" t="str">
        <f>IF('Raw Data'!H482="/","-",IF('Raw Data'!H482="","-",SUBSTITUTE('Raw Data'!H482," ",":",1)))</f>
        <v>-</v>
      </c>
      <c r="I482" s="7" t="str">
        <f>IF('Raw Data'!I482="/","-",IF('Raw Data'!I482="","-",SUBSTITUTE('Raw Data'!I482," ",":",1)))</f>
        <v>006:30</v>
      </c>
      <c r="J482" s="12">
        <f>IF('Raw Data'!J482="",IF(LEN(K482)&gt;6,SQRT('Raw Data'!M482^2+N482^2),""),'Raw Data'!J482)</f>
        <v>31.3</v>
      </c>
      <c r="K482" s="7" t="str">
        <f>IF('Raw Data'!K482="","",IF(LEN('Raw Data'!K482)&lt;7,SUBSTITUTE('Raw Data'!K482," ",":",1),'Raw Data'!K482))</f>
        <v>-42:00</v>
      </c>
      <c r="L482" t="str">
        <f>IF('Raw Data'!L482="","",'Raw Data'!L482)</f>
        <v/>
      </c>
      <c r="M482">
        <f>IF('Raw Data'!M482="","",'Raw Data'!M482)</f>
        <v>23.2</v>
      </c>
      <c r="N482">
        <f>IF('Raw Data'!N482="","",IF('Raw Data'!N482="-",0,'Raw Data'!N482))</f>
        <v>-20.9</v>
      </c>
      <c r="O482">
        <f>IF('Raw Data'!O482="",IF('Raw Data'!N482="","",0),'Raw Data'!O482)</f>
        <v>506</v>
      </c>
      <c r="P482" t="str">
        <f>IF('Raw Data'!P482="","",'Raw Data'!P482)</f>
        <v>Lip of 8' drop</v>
      </c>
      <c r="R482" s="3">
        <f t="shared" si="202"/>
        <v>6.5</v>
      </c>
      <c r="S482" s="3" t="str">
        <f t="shared" si="203"/>
        <v>-</v>
      </c>
      <c r="T482" s="3">
        <f t="shared" si="204"/>
        <v>6.5</v>
      </c>
      <c r="U482" s="3">
        <f t="shared" si="205"/>
        <v>-42</v>
      </c>
      <c r="W482" s="4">
        <f t="shared" si="206"/>
        <v>23.260433037442439</v>
      </c>
      <c r="X482" s="4">
        <f t="shared" si="207"/>
        <v>-20.943787979032262</v>
      </c>
      <c r="Y482" s="3">
        <f t="shared" si="208"/>
        <v>6.5</v>
      </c>
      <c r="Z482" s="4">
        <f>IF('Raw Data'!O482="","",O481+N481)</f>
        <v>506</v>
      </c>
    </row>
    <row r="483" spans="1:27" x14ac:dyDescent="0.25">
      <c r="A483">
        <f>IF('Raw Data'!A483="","",'Raw Data'!A483)</f>
        <v>228</v>
      </c>
      <c r="B483" t="str">
        <f>IF('Raw Data'!B483="","",'Raw Data'!B483)</f>
        <v/>
      </c>
      <c r="C483">
        <f>IF('Raw Data'!C483="","",'Raw Data'!C483)</f>
        <v>20</v>
      </c>
      <c r="D483" t="str">
        <f>IF('Raw Data'!D483="","",'Raw Data'!D483)</f>
        <v>-</v>
      </c>
      <c r="E483">
        <f>IF('Raw Data'!E483="","",'Raw Data'!E483)</f>
        <v>3.5</v>
      </c>
      <c r="F483">
        <f>IF('Raw Data'!F483="","",'Raw Data'!F483)</f>
        <v>1</v>
      </c>
      <c r="G483" s="7" t="str">
        <f>IF('Raw Data'!G483="/","-",IF('Raw Data'!G483="","-",SUBSTITUTE('Raw Data'!G483," ",":",1)))</f>
        <v>Passage:continues 15' at 350deg Corner of Airless Oxbow 18' at 307deg. Bottom of A.O. 3' lower than 228</v>
      </c>
      <c r="H483" s="7" t="str">
        <f>IF('Raw Data'!H483="/","-",IF('Raw Data'!H483="","-",SUBSTITUTE('Raw Data'!H483," ",":",1)))</f>
        <v>-</v>
      </c>
      <c r="I483" s="7" t="str">
        <f>IF('Raw Data'!I483="/","-",IF('Raw Data'!I483="","-",SUBSTITUTE('Raw Data'!I483," ",":",1)))</f>
        <v>-</v>
      </c>
      <c r="J483" s="12" t="str">
        <f>IF('Raw Data'!J483="",IF(LEN(K483)&gt;6,SQRT('Raw Data'!M483^2+N483^2),""),'Raw Data'!J483)</f>
        <v/>
      </c>
      <c r="K483" s="7" t="str">
        <f>IF('Raw Data'!K483="","",IF(LEN('Raw Data'!K483)&lt;7,SUBSTITUTE('Raw Data'!K483," ",":",1),'Raw Data'!K483))</f>
        <v/>
      </c>
      <c r="L483" t="str">
        <f>IF('Raw Data'!L483="","",'Raw Data'!L483)</f>
        <v/>
      </c>
      <c r="M483" t="str">
        <f>IF('Raw Data'!M483="","",'Raw Data'!M483)</f>
        <v/>
      </c>
      <c r="N483" t="str">
        <f>IF('Raw Data'!N483="","",IF('Raw Data'!N483="-",0,'Raw Data'!N483))</f>
        <v/>
      </c>
      <c r="O483" t="str">
        <f>IF('Raw Data'!O483="",IF('Raw Data'!N483="","",0),'Raw Data'!O483)</f>
        <v/>
      </c>
      <c r="P483" t="str">
        <f>IF('Raw Data'!P483="","",'Raw Data'!P483)</f>
        <v/>
      </c>
      <c r="W483" s="4"/>
      <c r="X483" s="4"/>
      <c r="Y483" s="3"/>
      <c r="Z483" s="4"/>
    </row>
    <row r="484" spans="1:27" x14ac:dyDescent="0.25">
      <c r="A484">
        <f>IF('Raw Data'!A484="","",'Raw Data'!A484)</f>
        <v>113</v>
      </c>
      <c r="B484">
        <f>IF('Raw Data'!B484="","",'Raw Data'!B484)</f>
        <v>229</v>
      </c>
      <c r="C484" t="str">
        <f>IF('Raw Data'!C484="","",'Raw Data'!C484)</f>
        <v/>
      </c>
      <c r="D484" t="str">
        <f>IF('Raw Data'!D484="","",'Raw Data'!D484)</f>
        <v/>
      </c>
      <c r="E484" t="str">
        <f>IF('Raw Data'!E484="","",'Raw Data'!E484)</f>
        <v/>
      </c>
      <c r="F484" t="str">
        <f>IF('Raw Data'!F484="","",'Raw Data'!F484)</f>
        <v/>
      </c>
      <c r="G484" s="7" t="str">
        <f>IF('Raw Data'!G484="/","-",IF('Raw Data'!G484="","-",SUBSTITUTE('Raw Data'!G484," ",":",1)))</f>
        <v>-</v>
      </c>
      <c r="H484" s="7" t="str">
        <f>IF('Raw Data'!H484="/","-",IF('Raw Data'!H484="","-",SUBSTITUTE('Raw Data'!H484," ",":",1)))</f>
        <v>276:30</v>
      </c>
      <c r="I484" s="7" t="str">
        <f>IF('Raw Data'!I484="/","-",IF('Raw Data'!I484="","-",SUBSTITUTE('Raw Data'!I484," ",":",1)))</f>
        <v>096:30</v>
      </c>
      <c r="J484" s="12">
        <f>IF('Raw Data'!J484="",IF(LEN(K484)&gt;6,SQRT('Raw Data'!M484^2+N484^2),""),'Raw Data'!J484)</f>
        <v>8.5</v>
      </c>
      <c r="K484" s="7" t="str">
        <f>IF('Raw Data'!K484="","",IF(LEN('Raw Data'!K484)&lt;7,SUBSTITUTE('Raw Data'!K484," ",":",1),'Raw Data'!K484))</f>
        <v>38:00</v>
      </c>
      <c r="L484" t="str">
        <f>IF('Raw Data'!L484="","",'Raw Data'!L484)</f>
        <v/>
      </c>
      <c r="M484">
        <f>IF('Raw Data'!M484="","",'Raw Data'!M484)</f>
        <v>6.7</v>
      </c>
      <c r="N484">
        <f>IF('Raw Data'!N484="","",IF('Raw Data'!N484="-",0,'Raw Data'!N484))</f>
        <v>5.2</v>
      </c>
      <c r="O484">
        <f>IF('Raw Data'!O484="",IF('Raw Data'!N484="","",0),'Raw Data'!O484)</f>
        <v>475.3</v>
      </c>
      <c r="P484" t="str">
        <f>IF('Raw Data'!P484="","",'Raw Data'!P484)</f>
        <v/>
      </c>
      <c r="R484" s="3" t="str">
        <f t="shared" si="202"/>
        <v>-</v>
      </c>
      <c r="S484" s="3">
        <f t="shared" si="203"/>
        <v>276.5</v>
      </c>
      <c r="T484" s="3">
        <f t="shared" si="204"/>
        <v>96.5</v>
      </c>
      <c r="U484" s="3">
        <f t="shared" si="205"/>
        <v>38</v>
      </c>
      <c r="W484" s="4">
        <f t="shared" si="206"/>
        <v>6.698091405657137</v>
      </c>
      <c r="X484" s="4">
        <f t="shared" si="207"/>
        <v>5.233122540268095</v>
      </c>
      <c r="Y484" s="3">
        <f t="shared" si="208"/>
        <v>96.5</v>
      </c>
      <c r="Z484" s="4">
        <f>IF('Raw Data'!O484="","",O406+N406)</f>
        <v>475.3</v>
      </c>
    </row>
    <row r="485" spans="1:27" x14ac:dyDescent="0.25">
      <c r="A485">
        <f>IF('Raw Data'!A485="","",'Raw Data'!A485)</f>
        <v>229</v>
      </c>
      <c r="B485">
        <f>IF('Raw Data'!B485="","",'Raw Data'!B485)</f>
        <v>230</v>
      </c>
      <c r="C485">
        <f>IF('Raw Data'!C485="","",'Raw Data'!C485)</f>
        <v>4</v>
      </c>
      <c r="D485">
        <f>IF('Raw Data'!D485="","",'Raw Data'!D485)</f>
        <v>1.5</v>
      </c>
      <c r="E485">
        <f>IF('Raw Data'!E485="","",'Raw Data'!E485)</f>
        <v>7</v>
      </c>
      <c r="F485">
        <f>IF('Raw Data'!F485="","",'Raw Data'!F485)</f>
        <v>3</v>
      </c>
      <c r="G485" s="7" t="str">
        <f>IF('Raw Data'!G485="/","-",IF('Raw Data'!G485="","-",SUBSTITUTE('Raw Data'!G485," ",":",1)))</f>
        <v>189:15</v>
      </c>
      <c r="H485" s="7" t="str">
        <f>IF('Raw Data'!H485="/","-",IF('Raw Data'!H485="","-",SUBSTITUTE('Raw Data'!H485," ",":",1)))</f>
        <v>-</v>
      </c>
      <c r="I485" s="7" t="str">
        <f>IF('Raw Data'!I485="/","-",IF('Raw Data'!I485="","-",SUBSTITUTE('Raw Data'!I485," ",":",1)))</f>
        <v>189:15</v>
      </c>
      <c r="J485" s="12">
        <f>IF('Raw Data'!J485="",IF(LEN(K485)&gt;6,SQRT('Raw Data'!M485^2+N485^2),""),'Raw Data'!J485)</f>
        <v>33.6</v>
      </c>
      <c r="K485" s="7" t="str">
        <f>IF('Raw Data'!K485="","",IF(LEN('Raw Data'!K485)&lt;7,SUBSTITUTE('Raw Data'!K485," ",":",1),'Raw Data'!K485))</f>
        <v>46:30</v>
      </c>
      <c r="L485" t="str">
        <f>IF('Raw Data'!L485="","",'Raw Data'!L485)</f>
        <v/>
      </c>
      <c r="M485">
        <f>IF('Raw Data'!M485="","",'Raw Data'!M485)</f>
        <v>23.1</v>
      </c>
      <c r="N485">
        <f>IF('Raw Data'!N485="","",IF('Raw Data'!N485="-",0,'Raw Data'!N485))</f>
        <v>24.5</v>
      </c>
      <c r="O485">
        <f>IF('Raw Data'!O485="",IF('Raw Data'!N485="","",0),'Raw Data'!O485)</f>
        <v>480.5</v>
      </c>
      <c r="P485" t="str">
        <f>IF('Raw Data'!P485="","",'Raw Data'!P485)</f>
        <v/>
      </c>
      <c r="R485" s="3">
        <f t="shared" si="202"/>
        <v>189.25</v>
      </c>
      <c r="S485" s="3" t="str">
        <f t="shared" si="203"/>
        <v>-</v>
      </c>
      <c r="T485" s="3">
        <f t="shared" si="204"/>
        <v>189.25</v>
      </c>
      <c r="U485" s="3">
        <f t="shared" si="205"/>
        <v>46.5</v>
      </c>
      <c r="W485" s="4">
        <f t="shared" si="206"/>
        <v>23.128713743310136</v>
      </c>
      <c r="X485" s="4">
        <f t="shared" si="207"/>
        <v>24.372578866012862</v>
      </c>
      <c r="Y485" s="3">
        <f t="shared" si="208"/>
        <v>189.25</v>
      </c>
      <c r="Z485" s="4">
        <f>IF('Raw Data'!O485="","",O484+N484)</f>
        <v>480.5</v>
      </c>
    </row>
    <row r="486" spans="1:27" x14ac:dyDescent="0.25">
      <c r="A486">
        <f>IF('Raw Data'!A486="","",'Raw Data'!A486)</f>
        <v>230</v>
      </c>
      <c r="B486">
        <f>IF('Raw Data'!B486="","",'Raw Data'!B486)</f>
        <v>231</v>
      </c>
      <c r="C486">
        <f>IF('Raw Data'!C486="","",'Raw Data'!C486)</f>
        <v>6</v>
      </c>
      <c r="D486" t="str">
        <f>IF('Raw Data'!D486="","",'Raw Data'!D486)</f>
        <v>/</v>
      </c>
      <c r="E486">
        <f>IF('Raw Data'!E486="","",'Raw Data'!E486)</f>
        <v>8</v>
      </c>
      <c r="F486" t="str">
        <f>IF('Raw Data'!F486="","",'Raw Data'!F486)</f>
        <v>/</v>
      </c>
      <c r="G486" s="7" t="str">
        <f>IF('Raw Data'!G486="/","-",IF('Raw Data'!G486="","-",SUBSTITUTE('Raw Data'!G486," ",":",1)))</f>
        <v>-</v>
      </c>
      <c r="H486" s="7" t="str">
        <f>IF('Raw Data'!H486="/","-",IF('Raw Data'!H486="","-",SUBSTITUTE('Raw Data'!H486," ",":",1)))</f>
        <v>131:30</v>
      </c>
      <c r="I486" s="7" t="str">
        <f>IF('Raw Data'!I486="/","-",IF('Raw Data'!I486="","-",SUBSTITUTE('Raw Data'!I486," ",":",1)))</f>
        <v>311:30</v>
      </c>
      <c r="J486" s="12">
        <f>IF('Raw Data'!J486="",IF(LEN(K486)&gt;6,SQRT('Raw Data'!M486^2+N486^2),""),'Raw Data'!J486)</f>
        <v>9.3000000000000007</v>
      </c>
      <c r="K486" s="7" t="str">
        <f>IF('Raw Data'!K486="","",IF(LEN('Raw Data'!K486)&lt;7,SUBSTITUTE('Raw Data'!K486," ",":",1),'Raw Data'!K486))</f>
        <v>14:00</v>
      </c>
      <c r="L486" t="str">
        <f>IF('Raw Data'!L486="","",'Raw Data'!L486)</f>
        <v/>
      </c>
      <c r="M486">
        <f>IF('Raw Data'!M486="","",'Raw Data'!M486)</f>
        <v>9</v>
      </c>
      <c r="N486">
        <f>IF('Raw Data'!N486="","",IF('Raw Data'!N486="-",0,'Raw Data'!N486))</f>
        <v>2.2000000000000002</v>
      </c>
      <c r="O486">
        <f>IF('Raw Data'!O486="",IF('Raw Data'!N486="","",0),'Raw Data'!O486)</f>
        <v>505</v>
      </c>
      <c r="P486" t="str">
        <f>IF('Raw Data'!P486="","",'Raw Data'!P486)</f>
        <v/>
      </c>
      <c r="R486" s="3" t="str">
        <f t="shared" si="202"/>
        <v>-</v>
      </c>
      <c r="S486" s="3">
        <f t="shared" si="203"/>
        <v>131.5</v>
      </c>
      <c r="T486" s="3">
        <f t="shared" si="204"/>
        <v>311.5</v>
      </c>
      <c r="U486" s="3">
        <f t="shared" si="205"/>
        <v>14</v>
      </c>
      <c r="W486" s="4">
        <f t="shared" si="206"/>
        <v>9.0237502543667674</v>
      </c>
      <c r="X486" s="4">
        <f t="shared" si="207"/>
        <v>2.2498736290769101</v>
      </c>
      <c r="Y486" s="3">
        <f t="shared" si="208"/>
        <v>311.5</v>
      </c>
      <c r="Z486" s="4">
        <f>IF('Raw Data'!O486="","",O485+N485)</f>
        <v>505</v>
      </c>
    </row>
    <row r="487" spans="1:27" x14ac:dyDescent="0.25">
      <c r="A487">
        <f>IF('Raw Data'!A487="","",'Raw Data'!A487)</f>
        <v>231</v>
      </c>
      <c r="B487">
        <f>IF('Raw Data'!B487="","",'Raw Data'!B487)</f>
        <v>232</v>
      </c>
      <c r="C487">
        <f>IF('Raw Data'!C487="","",'Raw Data'!C487)</f>
        <v>3</v>
      </c>
      <c r="D487">
        <f>IF('Raw Data'!D487="","",'Raw Data'!D487)</f>
        <v>2</v>
      </c>
      <c r="E487">
        <f>IF('Raw Data'!E487="","",'Raw Data'!E487)</f>
        <v>1.5</v>
      </c>
      <c r="F487">
        <f>IF('Raw Data'!F487="","",'Raw Data'!F487)</f>
        <v>2.5</v>
      </c>
      <c r="G487" s="7" t="str">
        <f>IF('Raw Data'!G487="/","-",IF('Raw Data'!G487="","-",SUBSTITUTE('Raw Data'!G487," ",":",1)))</f>
        <v>267:00</v>
      </c>
      <c r="H487" s="7" t="str">
        <f>IF('Raw Data'!H487="/","-",IF('Raw Data'!H487="","-",SUBSTITUTE('Raw Data'!H487," ",":",1)))</f>
        <v>-</v>
      </c>
      <c r="I487" s="7" t="str">
        <f>IF('Raw Data'!I487="/","-",IF('Raw Data'!I487="","-",SUBSTITUTE('Raw Data'!I487," ",":",1)))</f>
        <v>267:00</v>
      </c>
      <c r="J487" s="12">
        <f>IF('Raw Data'!J487="",IF(LEN(K487)&gt;6,SQRT('Raw Data'!M487^2+N487^2),""),'Raw Data'!J487)</f>
        <v>18.8</v>
      </c>
      <c r="K487" s="7" t="str">
        <f>IF('Raw Data'!K487="","",IF(LEN('Raw Data'!K487)&lt;7,SUBSTITUTE('Raw Data'!K487," ",":",1),'Raw Data'!K487))</f>
        <v>-15:00</v>
      </c>
      <c r="L487" t="str">
        <f>IF('Raw Data'!L487="","",'Raw Data'!L487)</f>
        <v/>
      </c>
      <c r="M487">
        <f>IF('Raw Data'!M487="","",'Raw Data'!M487)</f>
        <v>18.2</v>
      </c>
      <c r="N487">
        <f>IF('Raw Data'!N487="","",IF('Raw Data'!N487="-",0,'Raw Data'!N487))</f>
        <v>-4.9000000000000004</v>
      </c>
      <c r="O487">
        <f>IF('Raw Data'!O487="",IF('Raw Data'!N487="","",0),'Raw Data'!O487)</f>
        <v>507.2</v>
      </c>
      <c r="P487" t="str">
        <f>IF('Raw Data'!P487="","",'Raw Data'!P487)</f>
        <v/>
      </c>
      <c r="R487" s="3">
        <f t="shared" si="202"/>
        <v>267</v>
      </c>
      <c r="S487" s="3" t="str">
        <f t="shared" si="203"/>
        <v>-</v>
      </c>
      <c r="T487" s="3">
        <f t="shared" si="204"/>
        <v>267</v>
      </c>
      <c r="U487" s="3">
        <f t="shared" si="205"/>
        <v>-15</v>
      </c>
      <c r="W487" s="4">
        <f t="shared" si="206"/>
        <v>18.159405534234484</v>
      </c>
      <c r="X487" s="4">
        <f t="shared" si="207"/>
        <v>-4.8657980479273899</v>
      </c>
      <c r="Y487" s="3">
        <f t="shared" si="208"/>
        <v>267</v>
      </c>
      <c r="Z487" s="4">
        <f>IF('Raw Data'!O487="","",O486+N486)</f>
        <v>507.2</v>
      </c>
    </row>
    <row r="488" spans="1:27" x14ac:dyDescent="0.25">
      <c r="A488">
        <f>IF('Raw Data'!A488="","",'Raw Data'!A488)</f>
        <v>232</v>
      </c>
      <c r="B488" t="str">
        <f>IF('Raw Data'!B488="","",'Raw Data'!B488)</f>
        <v/>
      </c>
      <c r="C488">
        <f>IF('Raw Data'!C488="","",'Raw Data'!C488)</f>
        <v>1</v>
      </c>
      <c r="D488" t="str">
        <f>IF('Raw Data'!D488="","",'Raw Data'!D488)</f>
        <v>-</v>
      </c>
      <c r="E488">
        <f>IF('Raw Data'!E488="","",'Raw Data'!E488)</f>
        <v>0.5</v>
      </c>
      <c r="F488">
        <f>IF('Raw Data'!F488="","",'Raw Data'!F488)</f>
        <v>2.5</v>
      </c>
      <c r="G488" s="7" t="str">
        <f>IF('Raw Data'!G488="/","-",IF('Raw Data'!G488="","-",SUBSTITUTE('Raw Data'!G488," ",":",1)))</f>
        <v>Choke:1' on in same line</v>
      </c>
      <c r="H488" s="7" t="str">
        <f>IF('Raw Data'!H488="/","-",IF('Raw Data'!H488="","-",SUBSTITUTE('Raw Data'!H488," ",":",1)))</f>
        <v>-</v>
      </c>
      <c r="I488" s="7" t="str">
        <f>IF('Raw Data'!I488="/","-",IF('Raw Data'!I488="","-",SUBSTITUTE('Raw Data'!I488," ",":",1)))</f>
        <v>-</v>
      </c>
      <c r="J488" s="12" t="str">
        <f>IF('Raw Data'!J488="",IF(LEN(K488)&gt;6,SQRT('Raw Data'!M488^2+N488^2),""),'Raw Data'!J488)</f>
        <v/>
      </c>
      <c r="K488" s="7" t="str">
        <f>IF('Raw Data'!K488="","",IF(LEN('Raw Data'!K488)&lt;7,SUBSTITUTE('Raw Data'!K488," ",":",1),'Raw Data'!K488))</f>
        <v/>
      </c>
      <c r="L488" t="str">
        <f>IF('Raw Data'!L488="","",'Raw Data'!L488)</f>
        <v/>
      </c>
      <c r="M488" t="str">
        <f>IF('Raw Data'!M488="","",'Raw Data'!M488)</f>
        <v/>
      </c>
      <c r="N488" t="str">
        <f>IF('Raw Data'!N488="","",IF('Raw Data'!N488="-",0,'Raw Data'!N488))</f>
        <v/>
      </c>
      <c r="O488">
        <f>IF('Raw Data'!O488="",IF('Raw Data'!N488="","",0),'Raw Data'!O488)</f>
        <v>502.3</v>
      </c>
      <c r="P488" t="str">
        <f>IF('Raw Data'!P488="","",'Raw Data'!P488)</f>
        <v/>
      </c>
      <c r="W488" s="4"/>
      <c r="X488" s="4"/>
      <c r="Y488" s="3"/>
      <c r="Z488" s="4">
        <f>IF('Raw Data'!O488="","",O487+N487)</f>
        <v>502.3</v>
      </c>
    </row>
    <row r="489" spans="1:27" x14ac:dyDescent="0.25">
      <c r="A489">
        <f>IF('Raw Data'!A489="","",'Raw Data'!A489)</f>
        <v>230</v>
      </c>
      <c r="B489">
        <f>IF('Raw Data'!B489="","",'Raw Data'!B489)</f>
        <v>233</v>
      </c>
      <c r="C489" t="str">
        <f>IF('Raw Data'!C489="","",'Raw Data'!C489)</f>
        <v>/</v>
      </c>
      <c r="D489" t="str">
        <f>IF('Raw Data'!D489="","",'Raw Data'!D489)</f>
        <v>/</v>
      </c>
      <c r="E489">
        <f>IF('Raw Data'!E489="","",'Raw Data'!E489)</f>
        <v>4</v>
      </c>
      <c r="F489">
        <f>IF('Raw Data'!F489="","",'Raw Data'!F489)</f>
        <v>4.5</v>
      </c>
      <c r="G489" s="7" t="str">
        <f>IF('Raw Data'!G489="/","-",IF('Raw Data'!G489="","-",SUBSTITUTE('Raw Data'!G489," ",":",1)))</f>
        <v>-</v>
      </c>
      <c r="H489" s="7" t="str">
        <f>IF('Raw Data'!H489="/","-",IF('Raw Data'!H489="","-",SUBSTITUTE('Raw Data'!H489," ",":",1)))</f>
        <v>258</v>
      </c>
      <c r="I489" s="7" t="str">
        <f>IF('Raw Data'!I489="/","-",IF('Raw Data'!I489="","-",SUBSTITUTE('Raw Data'!I489," ",":",1)))</f>
        <v>78</v>
      </c>
      <c r="J489" s="12">
        <f>IF('Raw Data'!J489="",IF(LEN(K489)&gt;6,SQRT('Raw Data'!M489^2+N489^2),""),'Raw Data'!J489)</f>
        <v>9.4</v>
      </c>
      <c r="K489" s="7" t="str">
        <f>IF('Raw Data'!K489="","",IF(LEN('Raw Data'!K489)&lt;7,SUBSTITUTE('Raw Data'!K489," ",":",1),'Raw Data'!K489))</f>
        <v>26:00</v>
      </c>
      <c r="L489" t="str">
        <f>IF('Raw Data'!L489="","",'Raw Data'!L489)</f>
        <v/>
      </c>
      <c r="M489">
        <f>IF('Raw Data'!M489="","",'Raw Data'!M489)</f>
        <v>8.4</v>
      </c>
      <c r="N489">
        <f>IF('Raw Data'!N489="","",IF('Raw Data'!N489="-",0,'Raw Data'!N489))</f>
        <v>4.0999999999999996</v>
      </c>
      <c r="O489">
        <f>IF('Raw Data'!O489="",IF('Raw Data'!N489="","",0),'Raw Data'!O489)</f>
        <v>505</v>
      </c>
      <c r="P489" t="str">
        <f>IF('Raw Data'!P489="","",'Raw Data'!P489)</f>
        <v/>
      </c>
      <c r="R489" s="3" t="str">
        <f t="shared" si="202"/>
        <v>-</v>
      </c>
      <c r="S489" s="3">
        <f t="shared" si="203"/>
        <v>258</v>
      </c>
      <c r="T489" s="3">
        <f t="shared" si="204"/>
        <v>78</v>
      </c>
      <c r="U489" s="3">
        <f t="shared" si="205"/>
        <v>26</v>
      </c>
      <c r="W489" s="4">
        <f t="shared" si="206"/>
        <v>8.44866403521217</v>
      </c>
      <c r="X489" s="4">
        <f t="shared" si="207"/>
        <v>4.1206887798173275</v>
      </c>
      <c r="Y489" s="3">
        <f t="shared" si="208"/>
        <v>78</v>
      </c>
      <c r="Z489" s="4">
        <f>IF('Raw Data'!O489="","",O485+N485)</f>
        <v>505</v>
      </c>
    </row>
    <row r="490" spans="1:27" x14ac:dyDescent="0.25">
      <c r="A490">
        <f>IF('Raw Data'!A490="","",'Raw Data'!A490)</f>
        <v>233</v>
      </c>
      <c r="B490">
        <f>IF('Raw Data'!B490="","",'Raw Data'!B490)</f>
        <v>234</v>
      </c>
      <c r="C490">
        <f>IF('Raw Data'!C490="","",'Raw Data'!C490)</f>
        <v>1</v>
      </c>
      <c r="D490">
        <f>IF('Raw Data'!D490="","",'Raw Data'!D490)</f>
        <v>2.5</v>
      </c>
      <c r="E490">
        <f>IF('Raw Data'!E490="","",'Raw Data'!E490)</f>
        <v>1</v>
      </c>
      <c r="F490">
        <f>IF('Raw Data'!F490="","",'Raw Data'!F490)</f>
        <v>1</v>
      </c>
      <c r="G490" s="7" t="str">
        <f>IF('Raw Data'!G490="/","-",IF('Raw Data'!G490="","-",SUBSTITUTE('Raw Data'!G490," ",":",1)))</f>
        <v>98</v>
      </c>
      <c r="H490" s="7" t="str">
        <f>IF('Raw Data'!H490="/","-",IF('Raw Data'!H490="","-",SUBSTITUTE('Raw Data'!H490," ",":",1)))</f>
        <v>-</v>
      </c>
      <c r="I490" s="7" t="str">
        <f>IF('Raw Data'!I490="/","-",IF('Raw Data'!I490="","-",SUBSTITUTE('Raw Data'!I490," ",":",1)))</f>
        <v>98</v>
      </c>
      <c r="J490" s="12">
        <f>IF('Raw Data'!J490="",IF(LEN(K490)&gt;6,SQRT('Raw Data'!M490^2+N490^2),""),'Raw Data'!J490)</f>
        <v>37.5</v>
      </c>
      <c r="K490" s="7" t="str">
        <f>IF('Raw Data'!K490="","",IF(LEN('Raw Data'!K490)&lt;7,SUBSTITUTE('Raw Data'!K490," ",":",1),'Raw Data'!K490))</f>
        <v>17:30</v>
      </c>
      <c r="L490" t="str">
        <f>IF('Raw Data'!L490="","",'Raw Data'!L490)</f>
        <v/>
      </c>
      <c r="M490">
        <f>IF('Raw Data'!M490="","",'Raw Data'!M490)</f>
        <v>35.799999999999997</v>
      </c>
      <c r="N490">
        <f>IF('Raw Data'!N490="","",IF('Raw Data'!N490="-",0,'Raw Data'!N490))</f>
        <v>11.2</v>
      </c>
      <c r="O490">
        <f>IF('Raw Data'!O490="",IF('Raw Data'!N490="","",0),'Raw Data'!O490)</f>
        <v>509.1</v>
      </c>
      <c r="P490" t="str">
        <f>IF('Raw Data'!P490="","",'Raw Data'!P490)</f>
        <v>6' passage on left at 15'</v>
      </c>
      <c r="R490" s="3">
        <f t="shared" si="202"/>
        <v>98</v>
      </c>
      <c r="S490" s="3" t="str">
        <f t="shared" si="203"/>
        <v>-</v>
      </c>
      <c r="T490" s="3">
        <f t="shared" si="204"/>
        <v>98</v>
      </c>
      <c r="U490" s="3">
        <f t="shared" si="205"/>
        <v>17.5</v>
      </c>
      <c r="W490" s="4">
        <f t="shared" si="206"/>
        <v>35.764385653058511</v>
      </c>
      <c r="X490" s="4">
        <f t="shared" si="207"/>
        <v>11.276467481410242</v>
      </c>
      <c r="Y490" s="3">
        <f t="shared" si="208"/>
        <v>98</v>
      </c>
      <c r="Z490" s="4">
        <f>IF('Raw Data'!O490="","",O489+N489)</f>
        <v>509.1</v>
      </c>
    </row>
    <row r="491" spans="1:27" x14ac:dyDescent="0.25">
      <c r="A491">
        <f>IF('Raw Data'!A491="","",'Raw Data'!A491)</f>
        <v>234</v>
      </c>
      <c r="B491">
        <f>IF('Raw Data'!B491="","",'Raw Data'!B491)</f>
        <v>235</v>
      </c>
      <c r="C491">
        <f>IF('Raw Data'!C491="","",'Raw Data'!C491)</f>
        <v>0.7</v>
      </c>
      <c r="D491">
        <f>IF('Raw Data'!D491="","",'Raw Data'!D491)</f>
        <v>0.7</v>
      </c>
      <c r="E491" t="str">
        <f>IF('Raw Data'!E491="","",'Raw Data'!E491)</f>
        <v>12' up small passage</v>
      </c>
      <c r="F491">
        <f>IF('Raw Data'!F491="","",'Raw Data'!F491)</f>
        <v>2</v>
      </c>
      <c r="G491" s="7" t="str">
        <f>IF('Raw Data'!G491="/","-",IF('Raw Data'!G491="","-",SUBSTITUTE('Raw Data'!G491," ",":",1)))</f>
        <v>196</v>
      </c>
      <c r="H491" s="7" t="str">
        <f>IF('Raw Data'!H491="/","-",IF('Raw Data'!H491="","-",SUBSTITUTE('Raw Data'!H491," ",":",1)))</f>
        <v>-</v>
      </c>
      <c r="I491" s="7" t="str">
        <f>IF('Raw Data'!I491="/","-",IF('Raw Data'!I491="","-",SUBSTITUTE('Raw Data'!I491," ",":",1)))</f>
        <v>196</v>
      </c>
      <c r="J491" s="12">
        <f>IF('Raw Data'!J491="",IF(LEN(K491)&gt;6,SQRT('Raw Data'!M491^2+N491^2),""),'Raw Data'!J491)</f>
        <v>9.9</v>
      </c>
      <c r="K491" s="7" t="str">
        <f>IF('Raw Data'!K491="","",IF(LEN('Raw Data'!K491)&lt;7,SUBSTITUTE('Raw Data'!K491," ",":",1),'Raw Data'!K491))</f>
        <v>level</v>
      </c>
      <c r="L491" t="str">
        <f>IF('Raw Data'!L491="","",'Raw Data'!L491)</f>
        <v/>
      </c>
      <c r="M491">
        <f>IF('Raw Data'!M491="","",'Raw Data'!M491)</f>
        <v>9.9</v>
      </c>
      <c r="N491">
        <f>IF('Raw Data'!N491="","",IF('Raw Data'!N491="-",0,'Raw Data'!N491))</f>
        <v>0</v>
      </c>
      <c r="O491">
        <f>IF('Raw Data'!O491="",IF('Raw Data'!N491="","",0),'Raw Data'!O491)</f>
        <v>520.29999999999995</v>
      </c>
      <c r="P491" t="str">
        <f>IF('Raw Data'!P491="","",'Raw Data'!P491)</f>
        <v/>
      </c>
      <c r="R491" s="3">
        <f t="shared" si="202"/>
        <v>196</v>
      </c>
      <c r="S491" s="3" t="str">
        <f t="shared" si="203"/>
        <v>-</v>
      </c>
      <c r="T491" s="3">
        <f t="shared" si="204"/>
        <v>196</v>
      </c>
      <c r="U491" s="9">
        <f t="shared" ref="U491" si="209">ASIN(N491/J491)*180/PI()</f>
        <v>0</v>
      </c>
      <c r="W491" s="4">
        <f t="shared" si="206"/>
        <v>9.9</v>
      </c>
      <c r="X491" s="4">
        <f t="shared" si="207"/>
        <v>0</v>
      </c>
      <c r="Y491" s="3">
        <f t="shared" si="208"/>
        <v>196</v>
      </c>
      <c r="Z491" s="4">
        <f>IF('Raw Data'!O491="","",O490+N490)</f>
        <v>520.30000000000007</v>
      </c>
    </row>
    <row r="492" spans="1:27" x14ac:dyDescent="0.25">
      <c r="A492">
        <f>IF('Raw Data'!A492="","",'Raw Data'!A492)</f>
        <v>235</v>
      </c>
      <c r="B492">
        <f>IF('Raw Data'!B492="","",'Raw Data'!B492)</f>
        <v>236</v>
      </c>
      <c r="C492">
        <f>IF('Raw Data'!C492="","",'Raw Data'!C492)</f>
        <v>0.7</v>
      </c>
      <c r="D492">
        <f>IF('Raw Data'!D492="","",'Raw Data'!D492)</f>
        <v>0.7</v>
      </c>
      <c r="E492">
        <f>IF('Raw Data'!E492="","",'Raw Data'!E492)</f>
        <v>2</v>
      </c>
      <c r="F492">
        <f>IF('Raw Data'!F492="","",'Raw Data'!F492)</f>
        <v>3</v>
      </c>
      <c r="G492" s="7" t="str">
        <f>IF('Raw Data'!G492="/","-",IF('Raw Data'!G492="","-",SUBSTITUTE('Raw Data'!G492," ",":",1)))</f>
        <v>103</v>
      </c>
      <c r="H492" s="7" t="str">
        <f>IF('Raw Data'!H492="/","-",IF('Raw Data'!H492="","-",SUBSTITUTE('Raw Data'!H492," ",":",1)))</f>
        <v>-</v>
      </c>
      <c r="I492" s="7" t="str">
        <f>IF('Raw Data'!I492="/","-",IF('Raw Data'!I492="","-",SUBSTITUTE('Raw Data'!I492," ",":",1)))</f>
        <v>103</v>
      </c>
      <c r="J492" s="12">
        <f>IF('Raw Data'!J492="",IF(LEN(K492)&gt;6,SQRT('Raw Data'!M492^2+N492^2),""),'Raw Data'!J492)</f>
        <v>31.1</v>
      </c>
      <c r="K492" s="7" t="str">
        <f>IF('Raw Data'!K492="","",IF(LEN('Raw Data'!K492)&lt;7,SUBSTITUTE('Raw Data'!K492," ",":",1),'Raw Data'!K492))</f>
        <v>15:00</v>
      </c>
      <c r="L492" t="str">
        <f>IF('Raw Data'!L492="","",'Raw Data'!L492)</f>
        <v/>
      </c>
      <c r="M492">
        <f>IF('Raw Data'!M492="","",'Raw Data'!M492)</f>
        <v>30</v>
      </c>
      <c r="N492">
        <f>IF('Raw Data'!N492="","",IF('Raw Data'!N492="-",0,'Raw Data'!N492))</f>
        <v>8.1</v>
      </c>
      <c r="O492">
        <f>IF('Raw Data'!O492="",IF('Raw Data'!N492="","",0),'Raw Data'!O492)</f>
        <v>520.29999999999995</v>
      </c>
      <c r="P492" t="str">
        <f>IF('Raw Data'!P492="","",'Raw Data'!P492)</f>
        <v>Wide low passage diverges on right at 8'</v>
      </c>
      <c r="R492" s="3">
        <f t="shared" si="202"/>
        <v>103</v>
      </c>
      <c r="S492" s="3" t="str">
        <f t="shared" si="203"/>
        <v>-</v>
      </c>
      <c r="T492" s="3">
        <f t="shared" si="204"/>
        <v>103</v>
      </c>
      <c r="U492" s="3">
        <f t="shared" si="205"/>
        <v>15</v>
      </c>
      <c r="W492" s="4">
        <f t="shared" si="206"/>
        <v>30.040293197590024</v>
      </c>
      <c r="X492" s="4">
        <f t="shared" si="207"/>
        <v>8.0492723026883954</v>
      </c>
      <c r="Y492" s="3">
        <f t="shared" si="208"/>
        <v>103</v>
      </c>
      <c r="Z492" s="4">
        <f>IF('Raw Data'!O492="","",O491+N491)</f>
        <v>520.29999999999995</v>
      </c>
    </row>
    <row r="493" spans="1:27" x14ac:dyDescent="0.25">
      <c r="A493">
        <f>IF('Raw Data'!A493="","",'Raw Data'!A493)</f>
        <v>236</v>
      </c>
      <c r="B493">
        <f>IF('Raw Data'!B493="","",'Raw Data'!B493)</f>
        <v>237</v>
      </c>
      <c r="C493">
        <f>IF('Raw Data'!C493="","",'Raw Data'!C493)</f>
        <v>1</v>
      </c>
      <c r="D493">
        <f>IF('Raw Data'!D493="","",'Raw Data'!D493)</f>
        <v>0.8</v>
      </c>
      <c r="E493">
        <f>IF('Raw Data'!E493="","",'Raw Data'!E493)</f>
        <v>2</v>
      </c>
      <c r="F493" t="str">
        <f>IF('Raw Data'!F493="","",'Raw Data'!F493)</f>
        <v>/</v>
      </c>
      <c r="G493" s="7" t="str">
        <f>IF('Raw Data'!G493="/","-",IF('Raw Data'!G493="","-",SUBSTITUTE('Raw Data'!G493," ",":",1)))</f>
        <v>200</v>
      </c>
      <c r="H493" s="7" t="str">
        <f>IF('Raw Data'!H493="/","-",IF('Raw Data'!H493="","-",SUBSTITUTE('Raw Data'!H493," ",":",1)))</f>
        <v>-</v>
      </c>
      <c r="I493" s="7" t="str">
        <f>IF('Raw Data'!I493="/","-",IF('Raw Data'!I493="","-",SUBSTITUTE('Raw Data'!I493," ",":",1)))</f>
        <v>200</v>
      </c>
      <c r="J493" s="12">
        <f>IF('Raw Data'!J493="",IF(LEN(K493)&gt;6,SQRT('Raw Data'!M493^2+N493^2),""),'Raw Data'!J493)</f>
        <v>15</v>
      </c>
      <c r="K493" s="7" t="str">
        <f>IF('Raw Data'!K493="","",IF(LEN('Raw Data'!K493)&lt;7,SUBSTITUTE('Raw Data'!K493," ",":",1),'Raw Data'!K493))</f>
        <v>-3</v>
      </c>
      <c r="L493" t="str">
        <f>IF('Raw Data'!L493="","",'Raw Data'!L493)</f>
        <v/>
      </c>
      <c r="M493">
        <f>IF('Raw Data'!M493="","",'Raw Data'!M493)</f>
        <v>15</v>
      </c>
      <c r="N493">
        <f>IF('Raw Data'!N493="","",IF('Raw Data'!N493="-",0,'Raw Data'!N493))</f>
        <v>-0.8</v>
      </c>
      <c r="O493">
        <f>IF('Raw Data'!O493="",IF('Raw Data'!N493="","",0),'Raw Data'!O493)</f>
        <v>528.4</v>
      </c>
      <c r="P493" t="str">
        <f>IF('Raw Data'!P493="","",'Raw Data'!P493)</f>
        <v>Approx. bearing for this and following legs</v>
      </c>
      <c r="R493" s="3">
        <f t="shared" si="202"/>
        <v>200</v>
      </c>
      <c r="S493" s="3" t="str">
        <f t="shared" si="203"/>
        <v>-</v>
      </c>
      <c r="T493" s="3">
        <f t="shared" si="204"/>
        <v>200</v>
      </c>
      <c r="U493" s="3">
        <f t="shared" si="205"/>
        <v>-3</v>
      </c>
      <c r="W493" s="4">
        <f t="shared" si="206"/>
        <v>14.979443021318607</v>
      </c>
      <c r="X493" s="4">
        <f t="shared" si="207"/>
        <v>-0.78503934364415739</v>
      </c>
      <c r="Y493" s="3">
        <f t="shared" si="208"/>
        <v>200</v>
      </c>
      <c r="Z493" s="4">
        <f>IF('Raw Data'!O493="","",O492+N492)</f>
        <v>528.4</v>
      </c>
    </row>
    <row r="494" spans="1:27" x14ac:dyDescent="0.25">
      <c r="A494">
        <f>IF('Raw Data'!A494="","",'Raw Data'!A494)</f>
        <v>237</v>
      </c>
      <c r="B494">
        <f>IF('Raw Data'!B494="","",'Raw Data'!B494)</f>
        <v>238</v>
      </c>
      <c r="C494">
        <f>IF('Raw Data'!C494="","",'Raw Data'!C494)</f>
        <v>0.5</v>
      </c>
      <c r="D494">
        <f>IF('Raw Data'!D494="","",'Raw Data'!D494)</f>
        <v>0.5</v>
      </c>
      <c r="E494" t="str">
        <f>IF('Raw Data'!E494="","",'Raw Data'!E494)</f>
        <v>/</v>
      </c>
      <c r="F494">
        <f>IF('Raw Data'!F494="","",'Raw Data'!F494)</f>
        <v>3</v>
      </c>
      <c r="G494" s="7" t="str">
        <f>IF('Raw Data'!G494="/","-",IF('Raw Data'!G494="","-",SUBSTITUTE('Raw Data'!G494," ",":",1)))</f>
        <v>100</v>
      </c>
      <c r="H494" s="7" t="str">
        <f>IF('Raw Data'!H494="/","-",IF('Raw Data'!H494="","-",SUBSTITUTE('Raw Data'!H494," ",":",1)))</f>
        <v>-</v>
      </c>
      <c r="I494" s="7" t="str">
        <f>IF('Raw Data'!I494="/","-",IF('Raw Data'!I494="","-",SUBSTITUTE('Raw Data'!I494," ",":",1)))</f>
        <v>100</v>
      </c>
      <c r="J494" s="12">
        <f>IF('Raw Data'!J494="",IF(LEN(K494)&gt;6,SQRT('Raw Data'!M494^2+N494^2),""),'Raw Data'!J494)</f>
        <v>43</v>
      </c>
      <c r="K494" s="7" t="str">
        <f>IF('Raw Data'!K494="","",IF(LEN('Raw Data'!K494)&lt;7,SUBSTITUTE('Raw Data'!K494," ",":",1),'Raw Data'!K494))</f>
        <v>15</v>
      </c>
      <c r="L494" t="str">
        <f>IF('Raw Data'!L494="","",'Raw Data'!L494)</f>
        <v/>
      </c>
      <c r="M494">
        <f>IF('Raw Data'!M494="","",'Raw Data'!M494)</f>
        <v>43</v>
      </c>
      <c r="N494">
        <f>IF('Raw Data'!N494="","",IF('Raw Data'!N494="-",0,'Raw Data'!N494))</f>
        <v>11.6</v>
      </c>
      <c r="O494">
        <f>IF('Raw Data'!O494="",IF('Raw Data'!N494="","",0),'Raw Data'!O494)</f>
        <v>527.6</v>
      </c>
      <c r="P494" t="str">
        <f>IF('Raw Data'!P494="","",'Raw Data'!P494)</f>
        <v>Candys Calamity</v>
      </c>
      <c r="R494" s="3">
        <f t="shared" si="202"/>
        <v>100</v>
      </c>
      <c r="S494" s="3" t="str">
        <f t="shared" si="203"/>
        <v>-</v>
      </c>
      <c r="T494" s="3">
        <f t="shared" si="204"/>
        <v>100</v>
      </c>
      <c r="U494" s="3">
        <f t="shared" si="205"/>
        <v>15</v>
      </c>
      <c r="W494" s="4">
        <f t="shared" si="206"/>
        <v>41.534810530429937</v>
      </c>
      <c r="X494" s="4">
        <f t="shared" si="207"/>
        <v>11.129218939408393</v>
      </c>
      <c r="Y494" s="3">
        <f t="shared" si="208"/>
        <v>100</v>
      </c>
      <c r="Z494" s="4">
        <f>IF('Raw Data'!O494="","",O493+N493)</f>
        <v>527.6</v>
      </c>
      <c r="AA494" t="s">
        <v>1101</v>
      </c>
    </row>
    <row r="495" spans="1:27" x14ac:dyDescent="0.25">
      <c r="A495">
        <f>IF('Raw Data'!A495="","",'Raw Data'!A495)</f>
        <v>215</v>
      </c>
      <c r="B495">
        <f>IF('Raw Data'!B495="","",'Raw Data'!B495)</f>
        <v>239</v>
      </c>
      <c r="C495" t="str">
        <f>IF('Raw Data'!C495="","",'Raw Data'!C495)</f>
        <v/>
      </c>
      <c r="D495" t="str">
        <f>IF('Raw Data'!D495="","",'Raw Data'!D495)</f>
        <v/>
      </c>
      <c r="E495" t="str">
        <f>IF('Raw Data'!E495="","",'Raw Data'!E495)</f>
        <v/>
      </c>
      <c r="F495" t="str">
        <f>IF('Raw Data'!F495="","",'Raw Data'!F495)</f>
        <v/>
      </c>
      <c r="G495" s="7" t="str">
        <f>IF('Raw Data'!G495="/","-",IF('Raw Data'!G495="","-",SUBSTITUTE('Raw Data'!G495," ",":",1)))</f>
        <v>123:30</v>
      </c>
      <c r="H495" s="7" t="str">
        <f>IF('Raw Data'!H495="/","-",IF('Raw Data'!H495="","-",SUBSTITUTE('Raw Data'!H495," ",":",1)))</f>
        <v>-</v>
      </c>
      <c r="I495" s="7" t="str">
        <f>IF('Raw Data'!I495="/","-",IF('Raw Data'!I495="","-",SUBSTITUTE('Raw Data'!I495," ",":",1)))</f>
        <v>123:30</v>
      </c>
      <c r="J495" s="12">
        <f>IF('Raw Data'!J495="",IF(LEN(K495)&gt;6,SQRT('Raw Data'!M495^2+N495^2),""),'Raw Data'!J495)</f>
        <v>14</v>
      </c>
      <c r="K495" s="7" t="str">
        <f>IF('Raw Data'!K495="","",IF(LEN('Raw Data'!K495)&lt;7,SUBSTITUTE('Raw Data'!K495," ",":",1),'Raw Data'!K495))</f>
        <v>8:00</v>
      </c>
      <c r="L495" t="str">
        <f>IF('Raw Data'!L495="","",'Raw Data'!L495)</f>
        <v/>
      </c>
      <c r="M495">
        <f>IF('Raw Data'!M495="","",'Raw Data'!M495)</f>
        <v>13.8</v>
      </c>
      <c r="N495">
        <f>IF('Raw Data'!N495="","",IF('Raw Data'!N495="-",0,'Raw Data'!N495))</f>
        <v>1.9</v>
      </c>
      <c r="O495">
        <f>IF('Raw Data'!O495="",IF('Raw Data'!N495="","",0),'Raw Data'!O495)</f>
        <v>479.9</v>
      </c>
      <c r="P495" t="str">
        <f>IF('Raw Data'!P495="","",'Raw Data'!P495)</f>
        <v>In pitch chamber</v>
      </c>
      <c r="R495" s="3">
        <f t="shared" si="202"/>
        <v>123.5</v>
      </c>
      <c r="S495" s="3" t="str">
        <f t="shared" si="203"/>
        <v>-</v>
      </c>
      <c r="T495" s="3">
        <f t="shared" si="204"/>
        <v>123.5</v>
      </c>
      <c r="U495" s="3">
        <f t="shared" si="205"/>
        <v>8</v>
      </c>
      <c r="W495" s="4">
        <f t="shared" si="206"/>
        <v>13.863752962381986</v>
      </c>
      <c r="X495" s="4">
        <f t="shared" si="207"/>
        <v>1.9484234134409162</v>
      </c>
      <c r="Y495" s="3">
        <f t="shared" si="208"/>
        <v>123.5</v>
      </c>
      <c r="Z495" s="4">
        <f>IF('Raw Data'!O495="","",O464+N464)</f>
        <v>479.9</v>
      </c>
    </row>
    <row r="496" spans="1:27" x14ac:dyDescent="0.25">
      <c r="A496">
        <f>IF('Raw Data'!A496="","",'Raw Data'!A496)</f>
        <v>239</v>
      </c>
      <c r="B496">
        <f>IF('Raw Data'!B496="","",'Raw Data'!B496)</f>
        <v>240</v>
      </c>
      <c r="C496">
        <f>IF('Raw Data'!C496="","",'Raw Data'!C496)</f>
        <v>20</v>
      </c>
      <c r="D496">
        <f>IF('Raw Data'!D496="","",'Raw Data'!D496)</f>
        <v>2</v>
      </c>
      <c r="E496">
        <f>IF('Raw Data'!E496="","",'Raw Data'!E496)</f>
        <v>5</v>
      </c>
      <c r="F496">
        <f>IF('Raw Data'!F496="","",'Raw Data'!F496)</f>
        <v>4</v>
      </c>
      <c r="G496" s="7" t="str">
        <f>IF('Raw Data'!G496="/","-",IF('Raw Data'!G496="","-",SUBSTITUTE('Raw Data'!G496," ",":",1)))</f>
        <v>-</v>
      </c>
      <c r="H496" s="7" t="str">
        <f>IF('Raw Data'!H496="/","-",IF('Raw Data'!H496="","-",SUBSTITUTE('Raw Data'!H496," ",":",1)))</f>
        <v>319:30</v>
      </c>
      <c r="I496" s="7" t="str">
        <f>IF('Raw Data'!I496="/","-",IF('Raw Data'!I496="","-",SUBSTITUTE('Raw Data'!I496," ",":",1)))</f>
        <v>139:30</v>
      </c>
      <c r="J496" s="12">
        <f>IF('Raw Data'!J496="",IF(LEN(K496)&gt;6,SQRT('Raw Data'!M496^2+N496^2),""),'Raw Data'!J496)</f>
        <v>64.3</v>
      </c>
      <c r="K496" s="7" t="str">
        <f>IF('Raw Data'!K496="","",IF(LEN('Raw Data'!K496)&lt;7,SUBSTITUTE('Raw Data'!K496," ",":",1),'Raw Data'!K496))</f>
        <v>-43:15</v>
      </c>
      <c r="L496" t="str">
        <f>IF('Raw Data'!L496="","",'Raw Data'!L496)</f>
        <v/>
      </c>
      <c r="M496">
        <f>IF('Raw Data'!M496="","",'Raw Data'!M496)</f>
        <v>46.8</v>
      </c>
      <c r="N496">
        <f>IF('Raw Data'!N496="","",IF('Raw Data'!N496="-",0,'Raw Data'!N496))</f>
        <v>-44.2</v>
      </c>
      <c r="O496">
        <f>IF('Raw Data'!O496="",IF('Raw Data'!N496="","",0),'Raw Data'!O496)</f>
        <v>481.8</v>
      </c>
      <c r="P496" t="str">
        <f>IF('Raw Data'!P496="","",'Raw Data'!P496)</f>
        <v>Lip of pitch 8' on</v>
      </c>
      <c r="R496" s="3" t="str">
        <f t="shared" si="202"/>
        <v>-</v>
      </c>
      <c r="S496" s="3">
        <f t="shared" si="203"/>
        <v>319.5</v>
      </c>
      <c r="T496" s="3">
        <f t="shared" si="204"/>
        <v>139.5</v>
      </c>
      <c r="U496" s="3">
        <f t="shared" si="205"/>
        <v>-43.25</v>
      </c>
      <c r="W496" s="4">
        <f t="shared" si="206"/>
        <v>46.834253363438336</v>
      </c>
      <c r="X496" s="4">
        <f t="shared" si="207"/>
        <v>-44.057266277984887</v>
      </c>
      <c r="Y496" s="3">
        <f t="shared" si="208"/>
        <v>139.5</v>
      </c>
      <c r="Z496" s="4">
        <f>IF('Raw Data'!O496="","",O495+N495)</f>
        <v>481.79999999999995</v>
      </c>
    </row>
    <row r="497" spans="1:27" x14ac:dyDescent="0.25">
      <c r="A497">
        <f>IF('Raw Data'!A497="","",'Raw Data'!A497)</f>
        <v>240</v>
      </c>
      <c r="B497">
        <f>IF('Raw Data'!B497="","",'Raw Data'!B497)</f>
        <v>241</v>
      </c>
      <c r="C497" t="str">
        <f>IF('Raw Data'!C497="","",'Raw Data'!C497)</f>
        <v>30?</v>
      </c>
      <c r="D497">
        <f>IF('Raw Data'!D497="","",'Raw Data'!D497)</f>
        <v>1</v>
      </c>
      <c r="E497">
        <f>IF('Raw Data'!E497="","",'Raw Data'!E497)</f>
        <v>5</v>
      </c>
      <c r="F497" t="str">
        <f>IF('Raw Data'!F497="","",'Raw Data'!F497)</f>
        <v>/</v>
      </c>
      <c r="G497" s="7" t="str">
        <f>IF('Raw Data'!G497="/","-",IF('Raw Data'!G497="","-",SUBSTITUTE('Raw Data'!G497," ",":",1)))</f>
        <v>235:00</v>
      </c>
      <c r="H497" s="7" t="str">
        <f>IF('Raw Data'!H497="/","-",IF('Raw Data'!H497="","-",SUBSTITUTE('Raw Data'!H497," ",":",1)))</f>
        <v>-</v>
      </c>
      <c r="I497" s="7" t="str">
        <f>IF('Raw Data'!I497="/","-",IF('Raw Data'!I497="","-",SUBSTITUTE('Raw Data'!I497," ",":",1)))</f>
        <v>235:00</v>
      </c>
      <c r="J497" s="12">
        <f>IF('Raw Data'!J497="",IF(LEN(K497)&gt;6,SQRT('Raw Data'!M497^2+N497^2),""),'Raw Data'!J497)</f>
        <v>25.6</v>
      </c>
      <c r="K497" s="7" t="str">
        <f>IF('Raw Data'!K497="","",IF(LEN('Raw Data'!K497)&lt;7,SUBSTITUTE('Raw Data'!K497," ",":",1),'Raw Data'!K497))</f>
        <v>-18:45</v>
      </c>
      <c r="L497" t="str">
        <f>IF('Raw Data'!L497="","",'Raw Data'!L497)</f>
        <v/>
      </c>
      <c r="M497">
        <f>IF('Raw Data'!M497="","",'Raw Data'!M497)</f>
        <v>24.3</v>
      </c>
      <c r="N497">
        <f>IF('Raw Data'!N497="","",IF('Raw Data'!N497="-",0,'Raw Data'!N497))</f>
        <v>-8.1999999999999993</v>
      </c>
      <c r="O497">
        <f>IF('Raw Data'!O497="",IF('Raw Data'!N497="","",0),'Raw Data'!O497)</f>
        <v>437.6</v>
      </c>
      <c r="P497" t="str">
        <f>IF('Raw Data'!P497="","",'Raw Data'!P497)</f>
        <v/>
      </c>
      <c r="R497" s="3">
        <f t="shared" si="202"/>
        <v>235</v>
      </c>
      <c r="S497" s="3" t="str">
        <f t="shared" si="203"/>
        <v>-</v>
      </c>
      <c r="T497" s="3">
        <f t="shared" si="204"/>
        <v>235</v>
      </c>
      <c r="U497" s="3">
        <f t="shared" si="205"/>
        <v>-18.75</v>
      </c>
      <c r="W497" s="4">
        <f t="shared" si="206"/>
        <v>24.241411315074707</v>
      </c>
      <c r="X497" s="4">
        <f t="shared" si="207"/>
        <v>-8.2288503117609366</v>
      </c>
      <c r="Y497" s="3">
        <f t="shared" si="208"/>
        <v>235</v>
      </c>
      <c r="Z497" s="4">
        <f>IF('Raw Data'!O497="","",O496+N496)</f>
        <v>437.6</v>
      </c>
    </row>
    <row r="498" spans="1:27" x14ac:dyDescent="0.25">
      <c r="A498">
        <f>IF('Raw Data'!A498="","",'Raw Data'!A498)</f>
        <v>240</v>
      </c>
      <c r="B498">
        <f>IF('Raw Data'!B498="","",'Raw Data'!B498)</f>
        <v>242</v>
      </c>
      <c r="C498" t="str">
        <f>IF('Raw Data'!C498="","",'Raw Data'!C498)</f>
        <v/>
      </c>
      <c r="D498" t="str">
        <f>IF('Raw Data'!D498="","",'Raw Data'!D498)</f>
        <v/>
      </c>
      <c r="E498">
        <f>IF('Raw Data'!E498="","",'Raw Data'!E498)</f>
        <v>9</v>
      </c>
      <c r="F498">
        <f>IF('Raw Data'!F498="","",'Raw Data'!F498)</f>
        <v>1</v>
      </c>
      <c r="G498" s="7" t="str">
        <f>IF('Raw Data'!G498="/","-",IF('Raw Data'!G498="","-",SUBSTITUTE('Raw Data'!G498," ",":",1)))</f>
        <v>8</v>
      </c>
      <c r="H498" s="7" t="str">
        <f>IF('Raw Data'!H498="/","-",IF('Raw Data'!H498="","-",SUBSTITUTE('Raw Data'!H498," ",":",1)))</f>
        <v>-</v>
      </c>
      <c r="I498" s="7" t="str">
        <f>IF('Raw Data'!I498="/","-",IF('Raw Data'!I498="","-",SUBSTITUTE('Raw Data'!I498," ",":",1)))</f>
        <v>8</v>
      </c>
      <c r="J498" s="12">
        <f>IF('Raw Data'!J498="",IF(LEN(K498)&gt;6,SQRT('Raw Data'!M498^2+N498^2),""),'Raw Data'!J498)</f>
        <v>20</v>
      </c>
      <c r="K498" s="7" t="str">
        <f>IF('Raw Data'!K498="","",IF(LEN('Raw Data'!K498)&lt;7,SUBSTITUTE('Raw Data'!K498," ",":",1),'Raw Data'!K498))</f>
        <v>16:00</v>
      </c>
      <c r="L498" t="str">
        <f>IF('Raw Data'!L498="","",'Raw Data'!L498)</f>
        <v/>
      </c>
      <c r="M498">
        <f>IF('Raw Data'!M498="","",'Raw Data'!M498)</f>
        <v>19.2</v>
      </c>
      <c r="N498">
        <f>IF('Raw Data'!N498="","",IF('Raw Data'!N498="-",0,'Raw Data'!N498))</f>
        <v>5.5</v>
      </c>
      <c r="O498">
        <f>IF('Raw Data'!O498="",IF('Raw Data'!N498="","",0),'Raw Data'!O498)</f>
        <v>427.6</v>
      </c>
      <c r="P498" t="str">
        <f>IF('Raw Data'!P498="","",'Raw Data'!P498)</f>
        <v/>
      </c>
      <c r="R498" s="3">
        <f t="shared" ref="R498:R501" si="210">IF(ISERROR(FIND(":",G498)),IF(G498&lt;&gt;"-",1*G498,G498),1*LEFT(G498,FIND(":",G498)-1)+RIGHT(G498,LEN(G498)-FIND(":",G498))/60)</f>
        <v>8</v>
      </c>
      <c r="S498" s="3" t="str">
        <f t="shared" ref="S498:S501" si="211">IF(ISERROR(FIND(":",H498)),IF(H498&lt;&gt;"-",1*H498,H498),1*LEFT(H498,FIND(":",H498)-1)+RIGHT(H498,LEN(H498)-FIND(":",H498))/60)</f>
        <v>-</v>
      </c>
      <c r="T498" s="3">
        <f t="shared" ref="T498:T501" si="212">IF(ISERROR(FIND(":",I498)),IF(I498&lt;&gt;"-",1*I498,I498),1*LEFT(I498,FIND(":",I498)-1)+RIGHT(I498,LEN(I498)-FIND(":",I498))/60)</f>
        <v>8</v>
      </c>
      <c r="U498" s="3">
        <f t="shared" ref="U498:U501" si="213">IF(ISERROR(FIND(":",K498)),IF(K498="zero",0,1*K498),1*CONCATENATE(LEFT(K498,FIND(":",K498)-1),".",MID(RIGHT(K498,LEN(K498)-FIND(":",K498))/60,3,8)))</f>
        <v>16</v>
      </c>
      <c r="W498" s="4">
        <f t="shared" ref="W498:W501" si="214">J498*COS(U498*PI()/180)</f>
        <v>19.225233918766378</v>
      </c>
      <c r="X498" s="4">
        <f t="shared" ref="X498:X501" si="215">J498*SIN(U498*PI()/180)</f>
        <v>5.512747116339983</v>
      </c>
      <c r="Y498" s="3">
        <f t="shared" ref="Y498:Y501" si="216">IF(R498="-",IF(S498&gt;180,S498-180,S498+180),R498)</f>
        <v>8</v>
      </c>
      <c r="Z498" s="4">
        <f>IF('Raw Data'!O498="","",O497+N497)</f>
        <v>429.40000000000003</v>
      </c>
      <c r="AA498" t="s">
        <v>1102</v>
      </c>
    </row>
    <row r="499" spans="1:27" x14ac:dyDescent="0.25">
      <c r="A499">
        <f>IF('Raw Data'!A499="","",'Raw Data'!A499)</f>
        <v>242</v>
      </c>
      <c r="B499">
        <f>IF('Raw Data'!B499="","",'Raw Data'!B499)</f>
        <v>243</v>
      </c>
      <c r="C499">
        <f>IF('Raw Data'!C499="","",'Raw Data'!C499)</f>
        <v>2</v>
      </c>
      <c r="D499">
        <f>IF('Raw Data'!D499="","",'Raw Data'!D499)</f>
        <v>1</v>
      </c>
      <c r="E499">
        <f>IF('Raw Data'!E499="","",'Raw Data'!E499)</f>
        <v>4</v>
      </c>
      <c r="F499">
        <f>IF('Raw Data'!F499="","",'Raw Data'!F499)</f>
        <v>3</v>
      </c>
      <c r="G499" s="7" t="str">
        <f>IF('Raw Data'!G499="/","-",IF('Raw Data'!G499="","-",SUBSTITUTE('Raw Data'!G499," ",":",1)))</f>
        <v>69</v>
      </c>
      <c r="H499" s="7" t="str">
        <f>IF('Raw Data'!H499="/","-",IF('Raw Data'!H499="","-",SUBSTITUTE('Raw Data'!H499," ",":",1)))</f>
        <v>-</v>
      </c>
      <c r="I499" s="7" t="str">
        <f>IF('Raw Data'!I499="/","-",IF('Raw Data'!I499="","-",SUBSTITUTE('Raw Data'!I499," ",":",1)))</f>
        <v>69</v>
      </c>
      <c r="J499" s="12">
        <f>IF('Raw Data'!J499="",IF(LEN(K499)&gt;6,SQRT('Raw Data'!M499^2+N499^2),""),'Raw Data'!J499)</f>
        <v>20</v>
      </c>
      <c r="K499" s="7" t="str">
        <f>IF('Raw Data'!K499="","",IF(LEN('Raw Data'!K499)&lt;7,SUBSTITUTE('Raw Data'!K499," ",":",1),'Raw Data'!K499))</f>
        <v>20:00</v>
      </c>
      <c r="L499" t="str">
        <f>IF('Raw Data'!L499="","",'Raw Data'!L499)</f>
        <v/>
      </c>
      <c r="M499">
        <f>IF('Raw Data'!M499="","",'Raw Data'!M499)</f>
        <v>18.8</v>
      </c>
      <c r="N499">
        <f>IF('Raw Data'!N499="","",IF('Raw Data'!N499="-",0,'Raw Data'!N499))</f>
        <v>6.8</v>
      </c>
      <c r="O499">
        <f>IF('Raw Data'!O499="",IF('Raw Data'!N499="","",0),'Raw Data'!O499)</f>
        <v>443.1</v>
      </c>
      <c r="P499" t="str">
        <f>IF('Raw Data'!P499="","",'Raw Data'!P499)</f>
        <v/>
      </c>
      <c r="R499" s="3">
        <f t="shared" si="210"/>
        <v>69</v>
      </c>
      <c r="S499" s="3" t="str">
        <f t="shared" si="211"/>
        <v>-</v>
      </c>
      <c r="T499" s="3">
        <f t="shared" si="212"/>
        <v>69</v>
      </c>
      <c r="U499" s="3">
        <f t="shared" si="213"/>
        <v>20</v>
      </c>
      <c r="W499" s="4">
        <f t="shared" si="214"/>
        <v>18.79385241571817</v>
      </c>
      <c r="X499" s="4">
        <f t="shared" si="215"/>
        <v>6.840402866513374</v>
      </c>
      <c r="Y499" s="3">
        <f t="shared" si="216"/>
        <v>69</v>
      </c>
      <c r="Z499" s="4">
        <f>IF('Raw Data'!O499="","",O498+N498)</f>
        <v>433.1</v>
      </c>
      <c r="AA499" t="s">
        <v>1102</v>
      </c>
    </row>
    <row r="500" spans="1:27" x14ac:dyDescent="0.25">
      <c r="A500">
        <f>IF('Raw Data'!A500="","",'Raw Data'!A500)</f>
        <v>243</v>
      </c>
      <c r="B500" t="str">
        <f>IF('Raw Data'!B500="","",'Raw Data'!B500)</f>
        <v/>
      </c>
      <c r="C500" t="str">
        <f>IF('Raw Data'!C500="","",'Raw Data'!C500)</f>
        <v/>
      </c>
      <c r="D500" t="str">
        <f>IF('Raw Data'!D500="","",'Raw Data'!D500)</f>
        <v/>
      </c>
      <c r="E500" t="str">
        <f>IF('Raw Data'!E500="","",'Raw Data'!E500)</f>
        <v/>
      </c>
      <c r="F500" t="str">
        <f>IF('Raw Data'!F500="","",'Raw Data'!F500)</f>
        <v/>
      </c>
      <c r="G500" s="7" t="str">
        <f>IF('Raw Data'!G500="/","-",IF('Raw Data'!G500="","-",SUBSTITUTE('Raw Data'!G500," ",":",1)))</f>
        <v>-</v>
      </c>
      <c r="H500" s="7" t="str">
        <f>IF('Raw Data'!H500="/","-",IF('Raw Data'!H500="","-",SUBSTITUTE('Raw Data'!H500," ",":",1)))</f>
        <v>-</v>
      </c>
      <c r="I500" s="7" t="str">
        <f>IF('Raw Data'!I500="/","-",IF('Raw Data'!I500="","-",SUBSTITUTE('Raw Data'!I500," ",":",1)))</f>
        <v>-</v>
      </c>
      <c r="J500" s="12" t="str">
        <f>IF('Raw Data'!J500="",IF(LEN(K500)&gt;6,SQRT('Raw Data'!M500^2+N500^2),""),'Raw Data'!J500)</f>
        <v/>
      </c>
      <c r="K500" s="7" t="str">
        <f>IF('Raw Data'!K500="","",IF(LEN('Raw Data'!K500)&lt;7,SUBSTITUTE('Raw Data'!K500," ",":",1),'Raw Data'!K500))</f>
        <v/>
      </c>
      <c r="L500" t="str">
        <f>IF('Raw Data'!L500="","",'Raw Data'!L500)</f>
        <v/>
      </c>
      <c r="M500" t="str">
        <f>IF('Raw Data'!M500="","",'Raw Data'!M500)</f>
        <v/>
      </c>
      <c r="N500" t="str">
        <f>IF('Raw Data'!N500="","",IF('Raw Data'!N500="-",0,'Raw Data'!N500))</f>
        <v/>
      </c>
      <c r="O500">
        <f>IF('Raw Data'!O500="",IF('Raw Data'!N500="","",0),'Raw Data'!O500)</f>
        <v>449.9</v>
      </c>
      <c r="P500" t="str">
        <f>IF('Raw Data'!P500="","",'Raw Data'!P500)</f>
        <v/>
      </c>
      <c r="W500" s="4"/>
      <c r="X500" s="4"/>
      <c r="Y500" s="3"/>
      <c r="Z500" s="4">
        <f>IF('Raw Data'!O500="","",O499+N499)</f>
        <v>449.90000000000003</v>
      </c>
      <c r="AA500" s="8" t="s">
        <v>892</v>
      </c>
    </row>
    <row r="501" spans="1:27" x14ac:dyDescent="0.25">
      <c r="A501" t="str">
        <f>IF('Raw Data'!A501="","",'Raw Data'!A501)</f>
        <v/>
      </c>
      <c r="B501" t="str">
        <f>IF('Raw Data'!B501="","",'Raw Data'!B501)</f>
        <v/>
      </c>
      <c r="C501" t="str">
        <f>IF('Raw Data'!C501="","",'Raw Data'!C501)</f>
        <v/>
      </c>
      <c r="D501" t="str">
        <f>IF('Raw Data'!D501="","",'Raw Data'!D501)</f>
        <v/>
      </c>
      <c r="E501" t="str">
        <f>IF('Raw Data'!E501="","",'Raw Data'!E501)</f>
        <v/>
      </c>
      <c r="F501" t="str">
        <f>IF('Raw Data'!F501="","",'Raw Data'!F501)</f>
        <v/>
      </c>
      <c r="G501" s="7" t="str">
        <f>IF('Raw Data'!G501="/","-",IF('Raw Data'!G501="","-",SUBSTITUTE('Raw Data'!G501," ",":",1)))</f>
        <v>-</v>
      </c>
      <c r="H501" s="7" t="str">
        <f>IF('Raw Data'!H501="/","-",IF('Raw Data'!H501="","-",SUBSTITUTE('Raw Data'!H501," ",":",1)))</f>
        <v>-</v>
      </c>
      <c r="I501" s="7" t="str">
        <f>IF('Raw Data'!I501="/","-",IF('Raw Data'!I501="","-",SUBSTITUTE('Raw Data'!I501," ",":",1)))</f>
        <v>-</v>
      </c>
      <c r="J501" s="12" t="str">
        <f>IF('Raw Data'!J501="",IF(LEN(K501)&gt;6,SQRT('Raw Data'!M501^2+N501^2),""),'Raw Data'!J501)</f>
        <v/>
      </c>
      <c r="K501" s="7" t="str">
        <f>IF('Raw Data'!K501="","",IF(LEN('Raw Data'!K501)&lt;7,SUBSTITUTE('Raw Data'!K501," ",":",1),'Raw Data'!K501))</f>
        <v/>
      </c>
      <c r="L501" t="str">
        <f>IF('Raw Data'!L501="","",'Raw Data'!L501)</f>
        <v/>
      </c>
      <c r="M501" t="str">
        <f>IF('Raw Data'!M501="","",'Raw Data'!M501)</f>
        <v/>
      </c>
      <c r="N501" t="str">
        <f>IF('Raw Data'!N501="","",IF('Raw Data'!N501="-",0,'Raw Data'!N501))</f>
        <v/>
      </c>
      <c r="O501" t="str">
        <f>IF('Raw Data'!O501="",IF('Raw Data'!N501="","",0),'Raw Data'!O501)</f>
        <v/>
      </c>
      <c r="P501" t="str">
        <f>IF('Raw Data'!P501="","",'Raw Data'!P501)</f>
        <v/>
      </c>
      <c r="R501" s="3" t="str">
        <f t="shared" si="210"/>
        <v>-</v>
      </c>
      <c r="S501" s="3" t="str">
        <f t="shared" si="211"/>
        <v>-</v>
      </c>
      <c r="T501" s="3" t="str">
        <f t="shared" si="212"/>
        <v>-</v>
      </c>
      <c r="U501" s="3" t="e">
        <f t="shared" si="213"/>
        <v>#VALUE!</v>
      </c>
      <c r="W501" s="4" t="e">
        <f t="shared" si="214"/>
        <v>#VALUE!</v>
      </c>
      <c r="X501" s="4" t="e">
        <f t="shared" si="215"/>
        <v>#VALUE!</v>
      </c>
      <c r="Y501" s="3" t="e">
        <f t="shared" si="216"/>
        <v>#VALUE!</v>
      </c>
      <c r="Z501" s="4" t="str">
        <f>IF('Raw Data'!O501="","",O500+N500)</f>
        <v/>
      </c>
    </row>
  </sheetData>
  <mergeCells count="1">
    <mergeCell ref="E3:F3"/>
  </mergeCells>
  <conditionalFormatting sqref="X5:X281">
    <cfRule type="expression" dxfId="20" priority="26">
      <formula>ABS(X5-N5)&gt;0.15</formula>
    </cfRule>
  </conditionalFormatting>
  <conditionalFormatting sqref="W5:W281">
    <cfRule type="expression" dxfId="19" priority="23">
      <formula>ABS(W5-M5)&gt;0.15</formula>
    </cfRule>
  </conditionalFormatting>
  <conditionalFormatting sqref="Y5:Y281">
    <cfRule type="expression" dxfId="18" priority="22">
      <formula>T5-Y5&gt;0.001</formula>
    </cfRule>
  </conditionalFormatting>
  <conditionalFormatting sqref="X282:X389">
    <cfRule type="expression" dxfId="17" priority="18">
      <formula>ABS(X282-N282)&gt;0.15</formula>
    </cfRule>
  </conditionalFormatting>
  <conditionalFormatting sqref="W282:W389">
    <cfRule type="expression" dxfId="16" priority="17">
      <formula>ABS(W282-M282)&gt;0.15</formula>
    </cfRule>
  </conditionalFormatting>
  <conditionalFormatting sqref="Y282:Y389">
    <cfRule type="expression" dxfId="15" priority="16">
      <formula>T282-Y282&gt;0.001</formula>
    </cfRule>
  </conditionalFormatting>
  <conditionalFormatting sqref="Z6:Z389">
    <cfRule type="expression" dxfId="14" priority="15">
      <formula>ABS(Z6-O6)&gt;0.15</formula>
    </cfRule>
  </conditionalFormatting>
  <conditionalFormatting sqref="X440:X444">
    <cfRule type="expression" dxfId="13" priority="14">
      <formula>ABS(X440-N440)&gt;0.15</formula>
    </cfRule>
  </conditionalFormatting>
  <conditionalFormatting sqref="W440:W444">
    <cfRule type="expression" dxfId="12" priority="13">
      <formula>ABS(W440-M440)&gt;0.15</formula>
    </cfRule>
  </conditionalFormatting>
  <conditionalFormatting sqref="Y440:Y444">
    <cfRule type="expression" dxfId="11" priority="12">
      <formula>T440-Y440&gt;0.001</formula>
    </cfRule>
  </conditionalFormatting>
  <conditionalFormatting sqref="Z390:Z444">
    <cfRule type="expression" dxfId="10" priority="11">
      <formula>ABS(Z390-O390)&gt;0.15</formula>
    </cfRule>
  </conditionalFormatting>
  <conditionalFormatting sqref="X390:X439">
    <cfRule type="expression" dxfId="9" priority="10">
      <formula>ABS(X390-N390)&gt;0.15</formula>
    </cfRule>
  </conditionalFormatting>
  <conditionalFormatting sqref="W390:W439">
    <cfRule type="expression" dxfId="8" priority="9">
      <formula>ABS(W390-M390)&gt;0.15</formula>
    </cfRule>
  </conditionalFormatting>
  <conditionalFormatting sqref="Y390:Y439">
    <cfRule type="expression" dxfId="7" priority="8">
      <formula>T390-Y390&gt;0.001</formula>
    </cfRule>
  </conditionalFormatting>
  <conditionalFormatting sqref="Z445:Z501">
    <cfRule type="expression" dxfId="6" priority="7">
      <formula>ABS(Z445-O445)&gt;0.15</formula>
    </cfRule>
  </conditionalFormatting>
  <conditionalFormatting sqref="X445:X501">
    <cfRule type="expression" dxfId="5" priority="6">
      <formula>ABS(X445-N445)&gt;0.15</formula>
    </cfRule>
  </conditionalFormatting>
  <conditionalFormatting sqref="W445:W501">
    <cfRule type="expression" dxfId="4" priority="5">
      <formula>ABS(W445-M445)&gt;0.15</formula>
    </cfRule>
  </conditionalFormatting>
  <conditionalFormatting sqref="Y445:Y501">
    <cfRule type="expression" dxfId="3" priority="4">
      <formula>T445-Y445&gt;0.001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1"/>
  <sheetViews>
    <sheetView zoomScaleNormal="100" workbookViewId="0">
      <pane ySplit="4" topLeftCell="A482" activePane="bottomLeft" state="frozen"/>
      <selection pane="bottomLeft" activeCell="A501" sqref="A501"/>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23" t="s">
        <v>255</v>
      </c>
      <c r="E3" s="23"/>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c r="F5" s="18" t="str">
        <f>IF('Interpreted Data'!P5="","",CONCATENATE(";",'Interpreted Data'!P5))</f>
        <v>;A is at the base of the cable spike on the downstream side of Sump I</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c r="F6" s="18" t="str">
        <f>IF('Interpreted Data'!P6="","",CONCATENATE(";",'Interpreted Data'!P6))</f>
        <v>;B is on a rock at upstream end of pool</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c r="F7" s="18" t="str">
        <f>IF('Interpreted Data'!P7="","",CONCATENATE(";",'Interpreted Data'!P7))</f>
        <v>;C is on edge of pool 10' before Duck I</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c r="F8" s="18" t="str">
        <f>IF('Interpreted Data'!P8="","",CONCATENATE(";",'Interpreted Data'!P8))</f>
        <v>;D is in stream. Big rock (start of New Series survey) 10' away at 350 (deg). Big passage starts as continuation of Howards Dig.</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c r="F9" s="18" t="str">
        <f>IF('Interpreted Data'!P9="","",CONCATENATE(";",'Interpreted Data'!P9))</f>
        <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c r="F10" s="18" t="str">
        <f>IF('Interpreted Data'!P10="","",CONCATENATE(";",'Interpreted Data'!P10))</f>
        <v>;At 40' the roof lowers suddenly to Creep I. The big Bedding Plane passage comes in on the right, from -5' to 40'</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c r="F11" s="18" t="str">
        <f>IF('Interpreted Data'!P11="","",CONCATENATE(";",'Interpreted Data'!P11))</f>
        <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c r="F12" s="18" t="str">
        <f>IF('Interpreted Data'!P12="","",CONCATENATE(";",'Interpreted Data'!P12))</f>
        <v/>
      </c>
    </row>
    <row r="13" spans="1:7" x14ac:dyDescent="0.25">
      <c r="A13" t="str">
        <f>'Interpreted Data'!A13</f>
        <v>I</v>
      </c>
      <c r="B13" t="str">
        <f>'Interpreted Data'!B13</f>
        <v>J</v>
      </c>
      <c r="C13" s="2">
        <f>'Interpreted Data'!J13/$G$1</f>
        <v>7.9268292682926838</v>
      </c>
      <c r="D13" s="10">
        <f>'Interpreted Data'!T13</f>
        <v>275</v>
      </c>
      <c r="E13" s="11">
        <f>IF(D13="-",IF('Interpreted Data'!U13=-90,"-V",IF('Interpreted Data'!U13=90,"+V",'Interpreted Data'!U13)),'Interpreted Data'!U13)</f>
        <v>2</v>
      </c>
      <c r="F13" s="18" t="str">
        <f>IF('Interpreted Data'!P13="","",CONCATENATE(";",'Interpreted Data'!P13))</f>
        <v/>
      </c>
    </row>
    <row r="14" spans="1:7" x14ac:dyDescent="0.25">
      <c r="A14" t="str">
        <f>'Interpreted Data'!A14</f>
        <v>J</v>
      </c>
      <c r="B14" t="str">
        <f>'Interpreted Data'!B14</f>
        <v>K</v>
      </c>
      <c r="C14" s="2">
        <f>'Interpreted Data'!J14/$G$1</f>
        <v>8.0792682926829276</v>
      </c>
      <c r="D14" s="10">
        <f>'Interpreted Data'!T14</f>
        <v>320</v>
      </c>
      <c r="E14" s="11">
        <f>IF(D14="-",IF('Interpreted Data'!U14=-90,"-V",IF('Interpreted Data'!U14=90,"+V",'Interpreted Data'!U14)),'Interpreted Data'!U14)</f>
        <v>1</v>
      </c>
      <c r="F14" s="18" t="str">
        <f>IF('Interpreted Data'!P14="","",CONCATENATE(";",'Interpreted Data'!P14))</f>
        <v>;Pots</v>
      </c>
    </row>
    <row r="15" spans="1:7" x14ac:dyDescent="0.25">
      <c r="A15" t="str">
        <f>'Interpreted Data'!A15</f>
        <v>K</v>
      </c>
      <c r="B15" t="str">
        <f>'Interpreted Data'!B15</f>
        <v>L</v>
      </c>
      <c r="C15" s="2">
        <f>'Interpreted Data'!J15/$G$1</f>
        <v>5.3353658536585371</v>
      </c>
      <c r="D15" s="10">
        <f>'Interpreted Data'!T15</f>
        <v>13</v>
      </c>
      <c r="E15" s="11">
        <f>IF(D15="-",IF('Interpreted Data'!U15=-90,"-V",IF('Interpreted Data'!U15=90,"+V",'Interpreted Data'!U15)),'Interpreted Data'!U15)</f>
        <v>-9</v>
      </c>
      <c r="F15" s="18" t="str">
        <f>IF('Interpreted Data'!P15="","",CONCATENATE(";",'Interpreted Data'!P15))</f>
        <v>;Pots</v>
      </c>
    </row>
    <row r="16" spans="1:7" x14ac:dyDescent="0.25">
      <c r="A16" t="str">
        <f>'Interpreted Data'!A16</f>
        <v>L</v>
      </c>
      <c r="B16" t="str">
        <f>'Interpreted Data'!B16</f>
        <v>M</v>
      </c>
      <c r="C16" s="2">
        <f>'Interpreted Data'!J16/$G$1</f>
        <v>10.060975609756099</v>
      </c>
      <c r="D16" s="10">
        <f>'Interpreted Data'!T16</f>
        <v>299</v>
      </c>
      <c r="E16" s="11">
        <f>IF(D16="-",IF('Interpreted Data'!U16=-90,"-V",IF('Interpreted Data'!U16=90,"+V",'Interpreted Data'!U16)),'Interpreted Data'!U16)</f>
        <v>-3</v>
      </c>
      <c r="F16" s="18" t="str">
        <f>IF('Interpreted Data'!P16="","",CONCATENATE(";",'Interpreted Data'!P16))</f>
        <v>;L is at foot of climb to Approach passage. Clay fill remains 6' up on left wall.</v>
      </c>
    </row>
    <row r="17" spans="1:6" x14ac:dyDescent="0.25">
      <c r="A17" t="str">
        <f>'Interpreted Data'!A17</f>
        <v>M</v>
      </c>
      <c r="B17" t="str">
        <f>'Interpreted Data'!B17</f>
        <v>N</v>
      </c>
      <c r="C17" s="2">
        <f>'Interpreted Data'!J17/$G$1</f>
        <v>13.109756097560977</v>
      </c>
      <c r="D17" s="10">
        <f>'Interpreted Data'!T17</f>
        <v>322</v>
      </c>
      <c r="E17" s="11">
        <f>IF(D17="-",IF('Interpreted Data'!U17=-90,"-V",IF('Interpreted Data'!U17=90,"+V",'Interpreted Data'!U17)),'Interpreted Data'!U17)</f>
        <v>-7.3</v>
      </c>
      <c r="F17" s="18" t="str">
        <f>IF('Interpreted Data'!P17="","",CONCATENATE(";",'Interpreted Data'!P17))</f>
        <v>;Pots</v>
      </c>
    </row>
    <row r="18" spans="1:6" x14ac:dyDescent="0.25">
      <c r="A18" t="str">
        <f>'Interpreted Data'!A18</f>
        <v>N</v>
      </c>
      <c r="B18" t="str">
        <f>'Interpreted Data'!B18</f>
        <v>O</v>
      </c>
      <c r="C18" s="2">
        <f>'Interpreted Data'!J18/$G$1</f>
        <v>4.725609756097561</v>
      </c>
      <c r="D18" s="10">
        <f>'Interpreted Data'!T18</f>
        <v>281</v>
      </c>
      <c r="E18" s="11">
        <f>IF(D18="-",IF('Interpreted Data'!U18=-90,"-V",IF('Interpreted Data'!U18=90,"+V",'Interpreted Data'!U18)),'Interpreted Data'!U18)</f>
        <v>-2</v>
      </c>
      <c r="F18" s="18" t="str">
        <f>IF('Interpreted Data'!P18="","",CONCATENATE(";",'Interpreted Data'!P18))</f>
        <v>;Pots</v>
      </c>
    </row>
    <row r="19" spans="1:6" x14ac:dyDescent="0.25">
      <c r="A19" t="str">
        <f>'Interpreted Data'!A19</f>
        <v>O</v>
      </c>
      <c r="B19" t="str">
        <f>'Interpreted Data'!B19</f>
        <v>P</v>
      </c>
      <c r="C19" s="2">
        <f>'Interpreted Data'!J19/$G$1</f>
        <v>17.073170731707318</v>
      </c>
      <c r="D19" s="10">
        <f>'Interpreted Data'!T19</f>
        <v>307</v>
      </c>
      <c r="E19" s="11">
        <f>IF(D19="-",IF('Interpreted Data'!U19=-90,"-V",IF('Interpreted Data'!U19=90,"+V",'Interpreted Data'!U19)),'Interpreted Data'!U19)</f>
        <v>-5</v>
      </c>
      <c r="F19" s="18" t="str">
        <f>IF('Interpreted Data'!P19="","",CONCATENATE(";",'Interpreted Data'!P19))</f>
        <v>;Pots. Very pretty coral on left wall</v>
      </c>
    </row>
    <row r="20" spans="1:6"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c r="F20" s="18" t="str">
        <f>IF('Interpreted Data'!P20="","",CONCATENATE(";",'Interpreted Data'!P20))</f>
        <v/>
      </c>
    </row>
    <row r="21" spans="1:6"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c r="F21" s="18" t="str">
        <f>IF('Interpreted Data'!P21="","",CONCATENATE(";",'Interpreted Data'!P21))</f>
        <v>;1.5 foot deep pool starts at P.</v>
      </c>
    </row>
    <row r="22" spans="1:6"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c r="F22" s="18" t="str">
        <f>IF('Interpreted Data'!P22="","",CONCATENATE(";",'Interpreted Data'!P22))</f>
        <v>;Pool 2.5' deep at R, ends 15' on. Scalloping as in Goughs 1st Sandy Chamber.</v>
      </c>
    </row>
    <row r="23" spans="1:6"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c r="F23" s="18" t="str">
        <f>IF('Interpreted Data'!P23="","",CONCATENATE(";",'Interpreted Data'!P23))</f>
        <v>;S is marked on wall. At 20' there is a muddy chamber overhead.</v>
      </c>
    </row>
    <row r="24" spans="1:6"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c r="F24" s="18" t="str">
        <f>IF('Interpreted Data'!P24="","",CONCATENATE(";",'Interpreted Data'!P24))</f>
        <v/>
      </c>
    </row>
    <row r="25" spans="1:6" x14ac:dyDescent="0.25">
      <c r="A25" s="18" t="str">
        <f>CONCATENATE(";",'Interpreted Data'!A25)</f>
        <v>;U</v>
      </c>
      <c r="B25" t="str">
        <f>'Interpreted Data'!B25</f>
        <v/>
      </c>
      <c r="C25" s="2"/>
      <c r="D25" s="10"/>
      <c r="E25" s="11"/>
      <c r="F25" s="18" t="str">
        <f>IF('Interpreted Data'!P25="","",CONCATENATE(";",'Interpreted Data'!P25))</f>
        <v>;Beasts (or Pearls? Not clear in scan) seen here.    Total = 650'</v>
      </c>
    </row>
    <row r="26" spans="1:6"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c r="F26" s="18" t="str">
        <f>IF('Interpreted Data'!P26="","",CONCATENATE(";",'Interpreted Data'!P26))</f>
        <v>;A1 is far end of "Priddy Green" passage. At choke</v>
      </c>
    </row>
    <row r="27" spans="1:6"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c r="F27" s="18" t="str">
        <f>IF('Interpreted Data'!P27="","",CONCATENATE(";",'Interpreted Data'!P27))</f>
        <v>;B1 is ent to P.G. pass, above stalagmite keloid (sp.?)</v>
      </c>
    </row>
    <row r="28" spans="1:6" x14ac:dyDescent="0.25">
      <c r="A28" s="18" t="str">
        <f>CONCATENATE(";",'Interpreted Data'!A28)</f>
        <v>;p. 47-50</v>
      </c>
      <c r="B28" t="str">
        <f>'Interpreted Data'!B28</f>
        <v>(=PDF p.51-54)</v>
      </c>
      <c r="C28" s="2"/>
      <c r="D28" s="10"/>
      <c r="E28" s="11"/>
      <c r="F28" s="18" t="str">
        <f>IF('Interpreted Data'!P28="","",CONCATENATE(";",'Interpreted Data'!P28))</f>
        <v/>
      </c>
    </row>
    <row r="29" spans="1:6" x14ac:dyDescent="0.25">
      <c r="A29" s="18" t="str">
        <f>CONCATENATE(";",'Interpreted Data'!A29)</f>
        <v>;5th August 1951</v>
      </c>
      <c r="B29" t="str">
        <f>'Interpreted Data'!B29</f>
        <v>SWILDONS HOLE SURVEY</v>
      </c>
      <c r="C29" s="2"/>
      <c r="D29" s="10"/>
      <c r="E29" s="11"/>
      <c r="F29" s="18" t="str">
        <f>IF('Interpreted Data'!P29="","",CONCATENATE(";",'Interpreted Data'!P29))</f>
        <v/>
      </c>
    </row>
    <row r="30" spans="1:6" x14ac:dyDescent="0.25">
      <c r="A30" t="str">
        <f>'Interpreted Data'!A30</f>
        <v>C1</v>
      </c>
      <c r="B30" t="str">
        <f>'Interpreted Data'!B30</f>
        <v>D1</v>
      </c>
      <c r="C30" s="2">
        <f>'Interpreted Data'!J30/$G$1</f>
        <v>3.5975609756097566</v>
      </c>
      <c r="D30" s="10">
        <f>'Interpreted Data'!T30</f>
        <v>265</v>
      </c>
      <c r="E30" s="11">
        <f>IF(D30="-",IF('Interpreted Data'!U30=-90,"-V",IF('Interpreted Data'!U30=90,"+V",'Interpreted Data'!U30)),'Interpreted Data'!U30)</f>
        <v>-24</v>
      </c>
      <c r="F30" s="18" t="str">
        <f>IF('Interpreted Data'!P30="","",CONCATENATE(";",'Interpreted Data'!P30))</f>
        <v>;On rocky bank.</v>
      </c>
    </row>
    <row r="31" spans="1:6"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c r="F31" s="18" t="str">
        <f>IF('Interpreted Data'!P31="","",CONCATENATE(";",'Interpreted Data'!P31))</f>
        <v>;D1 to near side of Sump I 11.8'. D1 to far side of Sump I 18'. D1 is in pool at stake for cable.</v>
      </c>
    </row>
    <row r="32" spans="1:6"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c r="F32" s="18" t="str">
        <f>IF('Interpreted Data'!P32="","",CONCATENATE(";",'Interpreted Data'!P32))</f>
        <v>;Lake begins as 10'. (Little sketch)</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c r="F33" s="18" t="str">
        <f>IF('Interpreted Data'!P33="","",CONCATENATE(";",'Interpreted Data'!P33))</f>
        <v>;Lake</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c r="F34" s="18" t="str">
        <f>IF('Interpreted Data'!P34="","",CONCATENATE(";",'Interpreted Data'!P34))</f>
        <v>;Bearing from 2' to right. W to near side Duck II = 3.5. W to far side Duck II = 20.4</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c r="F35" s="18" t="str">
        <f>IF('Interpreted Data'!P35="","",CONCATENATE(";",'Interpreted Data'!P35))</f>
        <v>;Y at lip of Sump II, 3" air space goes on 10 more</v>
      </c>
    </row>
    <row r="36" spans="1:6" x14ac:dyDescent="0.25">
      <c r="A36" s="18" t="str">
        <f>CONCATENATE(";",'Interpreted Data'!A36)</f>
        <v>;Y</v>
      </c>
      <c r="B36" t="str">
        <f>'Interpreted Data'!B36</f>
        <v/>
      </c>
      <c r="C36" s="2"/>
      <c r="D36" s="10"/>
      <c r="E36" s="11"/>
      <c r="F36" s="18" t="str">
        <f>IF('Interpreted Data'!P36="","",CONCATENATE(";",'Interpreted Data'!P36))</f>
        <v>;(Little sketch). Total 1010'</v>
      </c>
    </row>
    <row r="37" spans="1:6" x14ac:dyDescent="0.25">
      <c r="A37" t="str">
        <f>'Interpreted Data'!A37</f>
        <v>T</v>
      </c>
      <c r="B37" t="str">
        <f>'Interpreted Data'!B37</f>
        <v>Ri</v>
      </c>
      <c r="C37" s="2">
        <f>'Interpreted Data'!J37/$G$1</f>
        <v>6.7378048780487809</v>
      </c>
      <c r="D37" s="10">
        <f>'Interpreted Data'!T37</f>
        <v>19</v>
      </c>
      <c r="E37" s="11">
        <f>IF(D37="-",IF('Interpreted Data'!U37=-90,"-V",IF('Interpreted Data'!U37=90,"+V",'Interpreted Data'!U37)),'Interpreted Data'!U37)</f>
        <v>20</v>
      </c>
      <c r="F37" s="18" t="str">
        <f>IF('Interpreted Data'!P37="","",CONCATENATE(";",'Interpreted Data'!P37))</f>
        <v/>
      </c>
    </row>
    <row r="38" spans="1:6" x14ac:dyDescent="0.25">
      <c r="A38" t="str">
        <f>'Interpreted Data'!A38</f>
        <v>Ri</v>
      </c>
      <c r="B38" t="str">
        <f>'Interpreted Data'!B38</f>
        <v>Rii</v>
      </c>
      <c r="C38" s="2">
        <f>'Interpreted Data'!J38/$G$1</f>
        <v>14.02439024390244</v>
      </c>
      <c r="D38" s="10">
        <f>'Interpreted Data'!T38</f>
        <v>315</v>
      </c>
      <c r="E38" s="11">
        <f>IF(D38="-",IF('Interpreted Data'!U38=-90,"-V",IF('Interpreted Data'!U38=90,"+V",'Interpreted Data'!U38)),'Interpreted Data'!U38)</f>
        <v>-3</v>
      </c>
      <c r="F38" s="18" t="str">
        <f>IF('Interpreted Data'!P38="","",CONCATENATE(";",'Interpreted Data'!P38))</f>
        <v>;Sump on left at 41' feet</v>
      </c>
    </row>
    <row r="39" spans="1:6" x14ac:dyDescent="0.25">
      <c r="A39" t="str">
        <f>'Interpreted Data'!A39</f>
        <v>Rii</v>
      </c>
      <c r="B39" t="str">
        <f>'Interpreted Data'!B39</f>
        <v>Riii</v>
      </c>
      <c r="C39" s="2">
        <f>'Interpreted Data'!J39/$G$1</f>
        <v>9.7560975609756095</v>
      </c>
      <c r="D39" s="10">
        <f>'Interpreted Data'!T39</f>
        <v>348</v>
      </c>
      <c r="E39" s="11">
        <f>IF(D39="-",IF('Interpreted Data'!U39=-90,"-V",IF('Interpreted Data'!U39=90,"+V",'Interpreted Data'!U39)),'Interpreted Data'!U39)</f>
        <v>2</v>
      </c>
      <c r="F39" s="18" t="str">
        <f>IF('Interpreted Data'!P39="","",CONCATENATE(";",'Interpreted Data'!P39))</f>
        <v>;Bearing from 3 feet to left</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c r="F40" s="18" t="str">
        <f>IF('Interpreted Data'!P40="","",CONCATENATE(";",'Interpreted Data'!P40))</f>
        <v>;Bearing from 2' to left. Iv is Muddy Sump. Dp below Sump I is 20.6 feet. Total 1127'</v>
      </c>
    </row>
    <row r="41" spans="1:6" x14ac:dyDescent="0.25">
      <c r="A41" t="str">
        <f>CONCATENATE('Interpreted Data'!A41,"2")</f>
        <v>a2</v>
      </c>
      <c r="B41" t="str">
        <f>CONCATENATE('Interpreted Data'!B41,"2")</f>
        <v>b2</v>
      </c>
      <c r="C41" s="2">
        <f>'Interpreted Data'!J41/$G$1</f>
        <v>13.109756097560977</v>
      </c>
      <c r="D41" s="10">
        <f>'Interpreted Data'!T41</f>
        <v>83</v>
      </c>
      <c r="E41" s="11">
        <f>IF(D41="-",IF('Interpreted Data'!U41=-90,"-V",IF('Interpreted Data'!U41=90,"+V",'Interpreted Data'!U41)),'Interpreted Data'!U41)</f>
        <v>15</v>
      </c>
      <c r="F41" s="18" t="str">
        <f>IF('Interpreted Data'!P41="","",CONCATENATE(";",'Interpreted Data'!P41))</f>
        <v>;a is on N.Side of passage just before Creep I -&gt; (sketch)</v>
      </c>
    </row>
    <row r="42" spans="1:6" x14ac:dyDescent="0.25">
      <c r="A42" t="str">
        <f>CONCATENATE('Interpreted Data'!A42,"2")</f>
        <v>b2</v>
      </c>
      <c r="B42" t="str">
        <f>CONCATENATE('Interpreted Data'!B42,"2")</f>
        <v>c2</v>
      </c>
      <c r="C42" s="2">
        <f>'Interpreted Data'!J42/$G$1</f>
        <v>6.3109756097560981</v>
      </c>
      <c r="D42" s="10">
        <f>'Interpreted Data'!T42</f>
        <v>6</v>
      </c>
      <c r="E42" s="11">
        <f>IF(D42="-",IF('Interpreted Data'!U42=-90,"-V",IF('Interpreted Data'!U42=90,"+V",'Interpreted Data'!U42)),'Interpreted Data'!U42)</f>
        <v>8</v>
      </c>
      <c r="F42" s="18" t="str">
        <f>IF('Interpreted Data'!P42="","",CONCATENATE(";",'Interpreted Data'!P42))</f>
        <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c r="F43" s="18" t="str">
        <f>IF('Interpreted Data'!P43="","",CONCATENATE(";",'Interpreted Data'!P43))</f>
        <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c r="F44" s="18" t="str">
        <f>IF('Interpreted Data'!P44="","",CONCATENATE(";",'Interpreted Data'!P44))</f>
        <v>;(e) is where passage rejoins streamway. Stn 35 (p.52)-(e) is F.S. 234 (TRUE), Dist 18', Clino +45 (deg), HD 12.7, VD +12.7</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c r="F45" s="18" t="str">
        <f>IF('Interpreted Data'!P45="","",CONCATENATE(";",'Interpreted Data'!P45))</f>
        <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c r="F46" s="18" t="str">
        <f>IF('Interpreted Data'!P46="","",CONCATENATE(";",'Interpreted Data'!P46))</f>
        <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c r="F47" s="18" t="str">
        <f>IF('Interpreted Data'!P47="","",CONCATENATE(";",'Interpreted Data'!P47))</f>
        <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c r="F48" s="18" t="str">
        <f>IF('Interpreted Data'!P48="","",CONCATENATE(";",'Interpreted Data'!P48))</f>
        <v>;(i) is where passage gets too low. (some indistinct numbers follow. Too faint to read on logbook scan). Total 1207' (?)</v>
      </c>
    </row>
    <row r="49" spans="1:6"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c r="F49" s="18" t="str">
        <f>IF('Interpreted Data'!P49="","",CONCATENATE(";",'Interpreted Data'!P49))</f>
        <v/>
      </c>
    </row>
    <row r="50" spans="1:6"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c r="F50" s="18" t="str">
        <f>IF('Interpreted Data'!P50="","",CONCATENATE(";",'Interpreted Data'!P50))</f>
        <v/>
      </c>
    </row>
    <row r="51" spans="1:6"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c r="F51" s="18" t="str">
        <f>IF('Interpreted Data'!P51="","",CONCATENATE(";",'Interpreted Data'!P51))</f>
        <v>;2 is on lip of Approach passage. Little passage starts 15 back.</v>
      </c>
    </row>
    <row r="52" spans="1:6"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c r="F52" s="18" t="str">
        <f>IF('Interpreted Data'!P52="","",CONCATENATE(";",'Interpreted Data'!P52))</f>
        <v>;3 - 12 Trench up to 2 feet deep in floor of this passage</v>
      </c>
    </row>
    <row r="53" spans="1:6"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c r="F53" s="18" t="str">
        <f>IF('Interpreted Data'!P53="","",CONCATENATE(";",'Interpreted Data'!P53))</f>
        <v>;Little passage off to South from 4</v>
      </c>
    </row>
    <row r="54" spans="1:6"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c r="F54" s="18" t="str">
        <f>IF('Interpreted Data'!P54="","",CONCATENATE(";",'Interpreted Data'!P54))</f>
        <v/>
      </c>
    </row>
    <row r="55" spans="1:6"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c r="F55" s="18" t="str">
        <f>IF('Interpreted Data'!P55="","",CONCATENATE(";",'Interpreted Data'!P55))</f>
        <v/>
      </c>
    </row>
    <row r="56" spans="1:6"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c r="F56" s="18" t="str">
        <f>IF('Interpreted Data'!P56="","",CONCATENATE(";",'Interpreted Data'!P56))</f>
        <v/>
      </c>
    </row>
    <row r="57" spans="1:6"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c r="F57" s="18" t="str">
        <f>IF('Interpreted Data'!P57="","",CONCATENATE(";",'Interpreted Data'!P57))</f>
        <v/>
      </c>
    </row>
    <row r="58" spans="1:6"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c r="F58" s="18" t="str">
        <f>IF('Interpreted Data'!P58="","",CONCATENATE(";",'Interpreted Data'!P58))</f>
        <v/>
      </c>
    </row>
    <row r="59" spans="1:6"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c r="F59" s="18" t="str">
        <f>IF('Interpreted Data'!P59="","",CONCATENATE(";",'Interpreted Data'!P59))</f>
        <v/>
      </c>
    </row>
    <row r="60" spans="1:6"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c r="F60" s="18" t="str">
        <f>IF('Interpreted Data'!P60="","",CONCATENATE(";",'Interpreted Data'!P60))</f>
        <v/>
      </c>
    </row>
    <row r="61" spans="1:6"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c r="F61" s="18" t="str">
        <f>IF('Interpreted Data'!P61="","",CONCATENATE(";",'Interpreted Data'!P61))</f>
        <v>;Little passage goes uphill straight on</v>
      </c>
    </row>
    <row r="62" spans="1:6"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c r="F62" s="18" t="str">
        <f>IF('Interpreted Data'!P62="","",CONCATENATE(";",'Interpreted Data'!P62))</f>
        <v/>
      </c>
    </row>
    <row r="63" spans="1:6"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c r="F63" s="18" t="str">
        <f>IF('Interpreted Data'!P63="","",CONCATENATE(";",'Interpreted Data'!P63))</f>
        <v/>
      </c>
    </row>
    <row r="64" spans="1:6"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c r="F64" s="18" t="str">
        <f>IF('Interpreted Data'!P64="","",CONCATENATE(";",'Interpreted Data'!P64))</f>
        <v>;Low creep at 4-10 feet. Chamber goes 15' in same line</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c r="F65" s="18" t="str">
        <f>IF('Interpreted Data'!P65="","",CONCATENATE(";",'Interpreted Data'!P65))</f>
        <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c r="F66" s="18" t="str">
        <f>IF('Interpreted Data'!P66="","",CONCATENATE(";",'Interpreted Data'!P66))</f>
        <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s="18" t="str">
        <f>IF('Interpreted Data'!P67="","",CONCATENATE(";",'Interpreted Data'!P67))</f>
        <v>;18 is in crack at top of "11 foot drop"</v>
      </c>
    </row>
    <row r="68" spans="1:6" x14ac:dyDescent="0.25">
      <c r="A68" t="str">
        <f>'Interpreted Data'!A68</f>
        <v/>
      </c>
      <c r="B68" t="str">
        <f>'Interpreted Data'!B68</f>
        <v/>
      </c>
      <c r="C68" s="2"/>
      <c r="D68" s="10"/>
      <c r="E68" s="11"/>
      <c r="F68" s="18" t="str">
        <f>IF('Interpreted Data'!P68="","",CONCATENATE(";",'Interpreted Data'!P68))</f>
        <v>;Total = 1562'</v>
      </c>
    </row>
    <row r="69" spans="1:6" x14ac:dyDescent="0.25">
      <c r="A69" s="18" t="str">
        <f>CONCATENATE(";",'Interpreted Data'!A69)</f>
        <v>;p. 51-52</v>
      </c>
      <c r="B69" t="str">
        <f>'Interpreted Data'!B69</f>
        <v>(=PDF p.55-56)</v>
      </c>
      <c r="C69" s="2"/>
      <c r="D69" s="10"/>
      <c r="E69" s="11"/>
      <c r="F69" s="18" t="str">
        <f>IF('Interpreted Data'!P69="","",CONCATENATE(";",'Interpreted Data'!P69))</f>
        <v/>
      </c>
    </row>
    <row r="70" spans="1:6" x14ac:dyDescent="0.25">
      <c r="A70" s="18" t="str">
        <f>CONCATENATE(";",'Interpreted Data'!A70)</f>
        <v>;30th March 1952</v>
      </c>
      <c r="B70" t="str">
        <f>'Interpreted Data'!B70</f>
        <v/>
      </c>
      <c r="C70" s="2"/>
      <c r="D70" s="10"/>
      <c r="E70" s="11"/>
      <c r="F70" s="18" t="str">
        <f>IF('Interpreted Data'!P70="","",CONCATENATE(";",'Interpreted Data'!P70))</f>
        <v/>
      </c>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c r="F71" s="18" t="str">
        <f>IF('Interpreted Data'!P71="","",CONCATENATE(";",'Interpreted Data'!P71))</f>
        <v>;B1 ('beta' in original notes) is station B1 of page 45, at entrance to "P.G." passage</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c r="F72" s="18" t="str">
        <f>IF('Interpreted Data'!P72="","",CONCATENATE(";",'Interpreted Data'!P72))</f>
        <v>;AA on a big high rock</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c r="F73" s="18" t="str">
        <f>IF('Interpreted Data'!P73="","",CONCATENATE(";",'Interpreted Data'!P73))</f>
        <v>;AB on big rock. Stream sinks below boulders.</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c r="F74" s="18" t="str">
        <f>IF('Interpreted Data'!P74="","",CONCATENATE(";",'Interpreted Data'!P74))</f>
        <v>;AC on dirty great big rock.</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c r="F75" s="18" t="str">
        <f>IF('Interpreted Data'!P75="","",CONCATENATE(";",'Interpreted Data'!P75))</f>
        <v>;Stream rises from boulders.</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c r="F76" s="18" t="str">
        <f>IF('Interpreted Data'!P76="","",CONCATENATE(";",'Interpreted Data'!P76))</f>
        <v>;Stream sinks below boulders.</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c r="F77" s="18" t="str">
        <f>IF('Interpreted Data'!P77="","",CONCATENATE(";",'Interpreted Data'!P77))</f>
        <v>;AF above waterfall.</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c r="F78" s="18" t="str">
        <f>IF('Interpreted Data'!P78="","",CONCATENATE(";",'Interpreted Data'!P78))</f>
        <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c r="F79" s="18" t="str">
        <f>IF('Interpreted Data'!P79="","",CONCATENATE(";",'Interpreted Data'!P79))</f>
        <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c r="F80" s="18" t="str">
        <f>IF('Interpreted Data'!P80="","",CONCATENATE(";",'Interpreted Data'!P80))</f>
        <v/>
      </c>
    </row>
    <row r="81" spans="1:6"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c r="F81" s="18" t="str">
        <f>IF('Interpreted Data'!P81="","",CONCATENATE(";",'Interpreted Data'!P81))</f>
        <v/>
      </c>
    </row>
    <row r="82" spans="1:6"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c r="F82" s="18" t="str">
        <f>IF('Interpreted Data'!P82="","",CONCATENATE(";",'Interpreted Data'!P82))</f>
        <v>;AK is below hole into Upper Grottos. Asellus (sp?) present.</v>
      </c>
    </row>
    <row r="83" spans="1:6" x14ac:dyDescent="0.25">
      <c r="A83" s="18" t="str">
        <f>CONCATENATE(";",'Interpreted Data'!A83)</f>
        <v>;AL</v>
      </c>
      <c r="B83" t="str">
        <f>'Interpreted Data'!B83</f>
        <v/>
      </c>
      <c r="C83" s="2"/>
      <c r="D83" s="10"/>
      <c r="E83" s="11"/>
      <c r="F83" s="18" t="str">
        <f>IF('Interpreted Data'!P83="","",CONCATENATE(";",'Interpreted Data'!P83))</f>
        <v>;Total = 1,918'</v>
      </c>
    </row>
    <row r="84" spans="1:6" x14ac:dyDescent="0.25">
      <c r="A84" t="str">
        <f>'Interpreted Data'!A84</f>
        <v/>
      </c>
      <c r="B84" t="str">
        <f>'Interpreted Data'!B84</f>
        <v/>
      </c>
      <c r="C84" s="2"/>
      <c r="D84" s="10"/>
      <c r="E84" s="11"/>
      <c r="F84" s="18" t="str">
        <f>IF('Interpreted Data'!P84="","",CONCATENATE(";",'Interpreted Data'!P84))</f>
        <v/>
      </c>
    </row>
    <row r="85" spans="1:6" x14ac:dyDescent="0.25">
      <c r="A85" s="18" t="str">
        <f>CONCATENATE(";",'Interpreted Data'!A85)</f>
        <v>;2nd April 1952</v>
      </c>
      <c r="B85" t="str">
        <f>'Interpreted Data'!B85</f>
        <v>Cono &amp; Roy Blewett</v>
      </c>
      <c r="C85" s="2"/>
      <c r="D85" s="10"/>
      <c r="E85" s="11"/>
      <c r="F85" s="18" t="str">
        <f>IF('Interpreted Data'!P85="","",CONCATENATE(";",'Interpreted Data'!P85))</f>
        <v/>
      </c>
    </row>
    <row r="86" spans="1:6"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c r="F86" s="18" t="str">
        <f>IF('Interpreted Data'!P86="","",CONCATENATE(";",'Interpreted Data'!P86))</f>
        <v>;AL is start of St. Pauls survey</v>
      </c>
    </row>
    <row r="87" spans="1:6"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c r="F87" s="18" t="str">
        <f>IF('Interpreted Data'!P87="","",CONCATENATE(";",'Interpreted Data'!P87))</f>
        <v>;AN is at S. end of lower big pot.</v>
      </c>
    </row>
    <row r="88" spans="1:6"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c r="F88" s="18" t="str">
        <f>IF('Interpreted Data'!P88="","",CONCATENATE(";",'Interpreted Data'!P88))</f>
        <v/>
      </c>
    </row>
    <row r="89" spans="1:6"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c r="F89" s="18" t="str">
        <f>IF('Interpreted Data'!P89="","",CONCATENATE(";",'Interpreted Data'!P89))</f>
        <v/>
      </c>
    </row>
    <row r="90" spans="1:6"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c r="F90" s="18" t="str">
        <f>IF('Interpreted Data'!P90="","",CONCATENATE(";",'Interpreted Data'!P90))</f>
        <v/>
      </c>
    </row>
    <row r="91" spans="1:6"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c r="F91" s="18" t="str">
        <f>IF('Interpreted Data'!P91="","",CONCATENATE(";",'Interpreted Data'!P91))</f>
        <v/>
      </c>
    </row>
    <row r="92" spans="1:6"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c r="F92" s="18" t="str">
        <f>IF('Interpreted Data'!P92="","",CONCATENATE(";",'Interpreted Data'!P92))</f>
        <v/>
      </c>
    </row>
    <row r="93" spans="1:6"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c r="F93" s="18" t="str">
        <f>IF('Interpreted Data'!P93="","",CONCATENATE(";",'Interpreted Data'!P93))</f>
        <v/>
      </c>
    </row>
    <row r="94" spans="1:6"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c r="F94" s="18" t="str">
        <f>IF('Interpreted Data'!P94="","",CONCATENATE(";",'Interpreted Data'!P94))</f>
        <v/>
      </c>
    </row>
    <row r="95" spans="1:6"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c r="F95" s="18" t="str">
        <f>IF('Interpreted Data'!P95="","",CONCATENATE(";",'Interpreted Data'!P95))</f>
        <v>;AV is in middle of upper big pot.</v>
      </c>
    </row>
    <row r="96" spans="1:6"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c r="F96" s="18" t="str">
        <f>IF('Interpreted Data'!P96="","",CONCATENATE(";",'Interpreted Data'!P96))</f>
        <v/>
      </c>
    </row>
    <row r="97" spans="1:6"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c r="F97" s="18" t="str">
        <f>IF('Interpreted Data'!P97="","",CONCATENATE(";",'Interpreted Data'!P97))</f>
        <v>;AY is on stumpy stalagmite on cascade on E side of passage.</v>
      </c>
    </row>
    <row r="98" spans="1:6" x14ac:dyDescent="0.25">
      <c r="A98" s="18" t="str">
        <f>CONCATENATE(";",'Interpreted Data'!A98)</f>
        <v>;AY</v>
      </c>
      <c r="B98" t="str">
        <f>'Interpreted Data'!B98</f>
        <v/>
      </c>
      <c r="C98" s="2"/>
      <c r="D98" s="10"/>
      <c r="E98" s="11"/>
      <c r="F98" s="18" t="str">
        <f>IF('Interpreted Data'!P98="","",CONCATENATE(";",'Interpreted Data'!P98))</f>
        <v>;Total = 2,188'</v>
      </c>
    </row>
    <row r="99" spans="1:6" x14ac:dyDescent="0.25">
      <c r="A99" t="str">
        <f>'Interpreted Data'!A99</f>
        <v/>
      </c>
      <c r="B99" t="str">
        <f>'Interpreted Data'!B99</f>
        <v/>
      </c>
      <c r="C99" s="2"/>
      <c r="D99" s="10"/>
      <c r="E99" s="11"/>
      <c r="F99" s="18" t="str">
        <f>IF('Interpreted Data'!P99="","",CONCATENATE(";",'Interpreted Data'!P99))</f>
        <v/>
      </c>
    </row>
    <row r="100" spans="1:6" x14ac:dyDescent="0.25">
      <c r="A100" s="18" t="str">
        <f>CONCATENATE(";",'Interpreted Data'!A100)</f>
        <v>;14th August '52</v>
      </c>
      <c r="B100" t="str">
        <f>'Interpreted Data'!B100</f>
        <v>Colin</v>
      </c>
      <c r="C100" s="2"/>
      <c r="D100" s="10"/>
      <c r="E100" s="11"/>
      <c r="F100" s="18" t="str">
        <f>IF('Interpreted Data'!P100="","",CONCATENATE(";",'Interpreted Data'!P100))</f>
        <v/>
      </c>
    </row>
    <row r="101" spans="1:6"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c r="F101" s="18" t="str">
        <f>IF('Interpreted Data'!P101="","",CONCATENATE(";",'Interpreted Data'!P101))</f>
        <v>;18 is in crack at top of 11 Foot Drop.</v>
      </c>
    </row>
    <row r="102" spans="1:6"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c r="F102" s="18" t="str">
        <f>IF('Interpreted Data'!P102="","",CONCATENATE(";",'Interpreted Data'!P102))</f>
        <v>;(sketch of 18 - 24)</v>
      </c>
    </row>
    <row r="103" spans="1:6"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c r="F103" s="18" t="str">
        <f>IF('Interpreted Data'!P103="","",CONCATENATE(";",'Interpreted Data'!P103))</f>
        <v/>
      </c>
    </row>
    <row r="104" spans="1:6"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c r="F104" s="18" t="str">
        <f>IF('Interpreted Data'!P104="","",CONCATENATE(";",'Interpreted Data'!P104))</f>
        <v/>
      </c>
    </row>
    <row r="105" spans="1:6"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c r="F105" s="18" t="str">
        <f>IF('Interpreted Data'!P105="","",CONCATENATE(";",'Interpreted Data'!P105))</f>
        <v/>
      </c>
    </row>
    <row r="106" spans="1:6"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c r="F106" s="18" t="str">
        <f>IF('Interpreted Data'!P106="","",CONCATENATE(";",'Interpreted Data'!P106))</f>
        <v/>
      </c>
    </row>
    <row r="107" spans="1:6"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c r="F107" s="18" t="str">
        <f>IF('Interpreted Data'!P107="","",CONCATENATE(";",'Interpreted Data'!P107))</f>
        <v>;(sketch of 24 - 35)</v>
      </c>
    </row>
    <row r="108" spans="1:6"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c r="F108" s="18" t="str">
        <f>IF('Interpreted Data'!P108="","",CONCATENATE(";",'Interpreted Data'!P108))</f>
        <v/>
      </c>
    </row>
    <row r="109" spans="1:6"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c r="F109" s="18" t="str">
        <f>IF('Interpreted Data'!P109="","",CONCATENATE(";",'Interpreted Data'!P109))</f>
        <v/>
      </c>
    </row>
    <row r="110" spans="1:6"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c r="F110" s="18" t="str">
        <f>IF('Interpreted Data'!P110="","",CONCATENATE(";",'Interpreted Data'!P110))</f>
        <v/>
      </c>
    </row>
    <row r="111" spans="1:6"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c r="F111" s="18" t="str">
        <f>IF('Interpreted Data'!P111="","",CONCATENATE(";",'Interpreted Data'!P111))</f>
        <v/>
      </c>
    </row>
    <row r="112" spans="1:6"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c r="F112" s="18" t="str">
        <f>IF('Interpreted Data'!P112="","",CONCATENATE(";",'Interpreted Data'!P112))</f>
        <v/>
      </c>
    </row>
    <row r="113" spans="1:6"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c r="F113" s="18" t="str">
        <f>IF('Interpreted Data'!P113="","",CONCATENATE(";",'Interpreted Data'!P113))</f>
        <v/>
      </c>
    </row>
    <row r="114" spans="1:6"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c r="F114" s="18" t="str">
        <f>IF('Interpreted Data'!P114="","",CONCATENATE(";",'Interpreted Data'!P114))</f>
        <v/>
      </c>
    </row>
    <row r="115" spans="1:6"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c r="F115" s="18" t="str">
        <f>IF('Interpreted Data'!P115="","",CONCATENATE(";",'Interpreted Data'!P115))</f>
        <v/>
      </c>
    </row>
    <row r="116" spans="1:6"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c r="F116" s="18" t="str">
        <f>IF('Interpreted Data'!P116="","",CONCATENATE(";",'Interpreted Data'!P116))</f>
        <v/>
      </c>
    </row>
    <row r="117" spans="1:6"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c r="F117" s="18" t="str">
        <f>IF('Interpreted Data'!P117="","",CONCATENATE(";",'Interpreted Data'!P117))</f>
        <v>;35 = A on p.25 = Big rock by D on p.46 (Top of)</v>
      </c>
    </row>
    <row r="118" spans="1:6" x14ac:dyDescent="0.25">
      <c r="A118" s="18" t="str">
        <f>CONCATENATE(";",'Interpreted Data'!A118)</f>
        <v>;35</v>
      </c>
      <c r="C118" s="2"/>
      <c r="D118" s="10"/>
      <c r="E118" s="11"/>
      <c r="F118" s="18" t="str">
        <f>IF('Interpreted Data'!P118="","",CONCATENATE(";",'Interpreted Data'!P118))</f>
        <v>;Total = 2,642'</v>
      </c>
    </row>
    <row r="119" spans="1:6"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c r="F119" s="18" t="str">
        <f>IF('Interpreted Data'!P119="","",CONCATENATE(";",'Interpreted Data'!P119))</f>
        <v>;(e) is where passage rejoins streamway. Stn 35 (p.52)-(e) is F.S. 234 (TRUE), Dist 18', Clino +45 (deg), HD 12.7, VD +12.7</v>
      </c>
    </row>
    <row r="120" spans="1:6"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c r="F120" s="18" t="str">
        <f>IF('Interpreted Data'!P120="","",CONCATENATE(";",'Interpreted Data'!P120))</f>
        <v>;D is in stream. Big rock (start of New Series survey) 10' away at 350 (deg). Big passage starts as continuation of Howards Dig.</v>
      </c>
    </row>
    <row r="121" spans="1:6" x14ac:dyDescent="0.25">
      <c r="A121" t="str">
        <f>'Interpreted Data'!A121</f>
        <v/>
      </c>
      <c r="B121" t="str">
        <f>'Interpreted Data'!B121</f>
        <v/>
      </c>
      <c r="C121" s="2"/>
      <c r="D121" s="10"/>
      <c r="E121" s="11"/>
      <c r="F121" s="18" t="str">
        <f>IF('Interpreted Data'!P121="","",CONCATENATE(";",'Interpreted Data'!P121))</f>
        <v/>
      </c>
    </row>
    <row r="122" spans="1:6" x14ac:dyDescent="0.25">
      <c r="A122" s="18" t="str">
        <f>CONCATENATE(";",'Interpreted Data'!A122)</f>
        <v>;p. 53-56</v>
      </c>
      <c r="B122" t="str">
        <f>'Interpreted Data'!B122</f>
        <v>(=PDF p.57-60)</v>
      </c>
      <c r="C122" s="2"/>
      <c r="D122" s="10"/>
      <c r="E122" s="11"/>
      <c r="F122" s="18" t="str">
        <f>IF('Interpreted Data'!P122="","",CONCATENATE(";",'Interpreted Data'!P122))</f>
        <v/>
      </c>
    </row>
    <row r="123" spans="1:6"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c r="F123" s="18" t="str">
        <f>IF('Interpreted Data'!P123="","",CONCATENATE(";",'Interpreted Data'!P123))</f>
        <v>;27 = 27 of p.52</v>
      </c>
    </row>
    <row r="124" spans="1:6"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c r="F124" s="18" t="str">
        <f>IF('Interpreted Data'!P124="","",CONCATENATE(";",'Interpreted Data'!P124))</f>
        <v/>
      </c>
    </row>
    <row r="125" spans="1:6"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c r="F125" s="18" t="str">
        <f>IF('Interpreted Data'!P125="","",CONCATENATE(";",'Interpreted Data'!P125))</f>
        <v>;(sketch of 36-54)</v>
      </c>
    </row>
    <row r="126" spans="1:6"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c r="F126" s="18" t="str">
        <f>IF('Interpreted Data'!P126="","",CONCATENATE(";",'Interpreted Data'!P126))</f>
        <v/>
      </c>
    </row>
    <row r="127" spans="1:6"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c r="F127" s="18" t="str">
        <f>IF('Interpreted Data'!P127="","",CONCATENATE(";",'Interpreted Data'!P127))</f>
        <v/>
      </c>
    </row>
    <row r="128" spans="1:6"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c r="F128" s="18" t="str">
        <f>IF('Interpreted Data'!P128="","",CONCATENATE(";",'Interpreted Data'!P128))</f>
        <v/>
      </c>
    </row>
    <row r="129" spans="1:6"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c r="F129" s="18" t="str">
        <f>IF('Interpreted Data'!P129="","",CONCATENATE(";",'Interpreted Data'!P129))</f>
        <v/>
      </c>
    </row>
    <row r="130" spans="1:6"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c r="F130" s="18" t="str">
        <f>IF('Interpreted Data'!P130="","",CONCATENATE(";",'Interpreted Data'!P130))</f>
        <v/>
      </c>
    </row>
    <row r="131" spans="1:6"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c r="F131" s="18" t="str">
        <f>IF('Interpreted Data'!P131="","",CONCATENATE(";",'Interpreted Data'!P131))</f>
        <v/>
      </c>
    </row>
    <row r="132" spans="1:6"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c r="F132" s="18" t="str">
        <f>IF('Interpreted Data'!P132="","",CONCATENATE(";",'Interpreted Data'!P132))</f>
        <v/>
      </c>
    </row>
    <row r="133" spans="1:6"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c r="F133" s="18" t="str">
        <f>IF('Interpreted Data'!P133="","",CONCATENATE(";",'Interpreted Data'!P133))</f>
        <v/>
      </c>
    </row>
    <row r="134" spans="1:6"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c r="F134" s="18" t="str">
        <f>IF('Interpreted Data'!P134="","",CONCATENATE(";",'Interpreted Data'!P134))</f>
        <v>;46 marked by candle 4' beyond lip of Black Hole</v>
      </c>
    </row>
    <row r="135" spans="1:6"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c r="F135" s="18" t="str">
        <f>IF('Interpreted Data'!P135="","",CONCATENATE(";",'Interpreted Data'!P135))</f>
        <v/>
      </c>
    </row>
    <row r="136" spans="1:6"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c r="F136" s="18" t="str">
        <f>IF('Interpreted Data'!P136="","",CONCATENATE(";",'Interpreted Data'!P136))</f>
        <v/>
      </c>
    </row>
    <row r="137" spans="1:6"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c r="F137" s="18" t="str">
        <f>IF('Interpreted Data'!P137="","",CONCATENATE(";",'Interpreted Data'!P137))</f>
        <v/>
      </c>
    </row>
    <row r="138" spans="1:6"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c r="F138" s="18" t="str">
        <f>IF('Interpreted Data'!P138="","",CONCATENATE(";",'Interpreted Data'!P138))</f>
        <v>;"Dry" passage starts 3' back.</v>
      </c>
    </row>
    <row r="139" spans="1:6"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c r="F139" s="18" t="str">
        <f>IF('Interpreted Data'!P139="","",CONCATENATE(";",'Interpreted Data'!P139))</f>
        <v/>
      </c>
    </row>
    <row r="140" spans="1:6"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c r="F140" s="18" t="str">
        <f>IF('Interpreted Data'!P140="","",CONCATENATE(";",'Interpreted Data'!P140))</f>
        <v/>
      </c>
    </row>
    <row r="141" spans="1:6"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c r="F141" s="18" t="str">
        <f>IF('Interpreted Data'!P141="","",CONCATENATE(";",'Interpreted Data'!P141))</f>
        <v>;Dry passage enters 2' on North. 53 is marked by a candle 1' below (.) on roof. 54 is H2O level in sump.</v>
      </c>
    </row>
    <row r="142" spans="1:6" x14ac:dyDescent="0.25">
      <c r="A142" s="18" t="str">
        <f>CONCATENATE(";",'Interpreted Data'!A142)</f>
        <v>;54</v>
      </c>
      <c r="B142" t="str">
        <f>'Interpreted Data'!B142</f>
        <v/>
      </c>
      <c r="C142" s="2"/>
      <c r="D142" s="10"/>
      <c r="E142" s="11"/>
      <c r="F142" s="18" t="str">
        <f>IF('Interpreted Data'!P142="","",CONCATENATE(";",'Interpreted Data'!P142))</f>
        <v>;Closed on levels to 1.9 feet.  Not bad! Total 2,208 (? faint)</v>
      </c>
    </row>
    <row r="143" spans="1:6" x14ac:dyDescent="0.25">
      <c r="A143" t="str">
        <f>'Interpreted Data'!A143</f>
        <v/>
      </c>
      <c r="B143" t="str">
        <f>'Interpreted Data'!B143</f>
        <v/>
      </c>
      <c r="C143" s="2"/>
      <c r="D143" s="10"/>
      <c r="E143" s="11"/>
      <c r="F143" s="18" t="str">
        <f>IF('Interpreted Data'!P143="","",CONCATENATE(";",'Interpreted Data'!P143))</f>
        <v/>
      </c>
    </row>
    <row r="144" spans="1:6" x14ac:dyDescent="0.25">
      <c r="A144" s="18" t="str">
        <f>CONCATENATE(";",'Interpreted Data'!A144)</f>
        <v>;Nov. 23rd '52</v>
      </c>
      <c r="B144" t="str">
        <f>'Interpreted Data'!B144</f>
        <v>Jack Broadley</v>
      </c>
      <c r="C144" s="2"/>
      <c r="D144" s="10"/>
      <c r="E144" s="11"/>
      <c r="F144" s="18" t="str">
        <f>IF('Interpreted Data'!P144="","",CONCATENATE(";",'Interpreted Data'!P144))</f>
        <v/>
      </c>
    </row>
    <row r="145" spans="1:6"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c r="F145" s="18" t="str">
        <f>IF('Interpreted Data'!P145="","",CONCATENATE(";",'Interpreted Data'!P145))</f>
        <v>;EC is on dimple in projecting rock 10' below entrance on E.</v>
      </c>
    </row>
    <row r="146" spans="1:6"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c r="F146" s="18" t="str">
        <f>IF('Interpreted Data'!P146="","",CONCATENATE(";",'Interpreted Data'!P146))</f>
        <v/>
      </c>
    </row>
    <row r="147" spans="1:6"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c r="F147" s="18" t="str">
        <f>IF('Interpreted Data'!P147="","",CONCATENATE(";",'Interpreted Data'!P147))</f>
        <v>;(sketch from Ent. EC-DO)</v>
      </c>
    </row>
    <row r="148" spans="1:6"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c r="F148" s="18" t="str">
        <f>IF('Interpreted Data'!P148="","",CONCATENATE(";",'Interpreted Data'!P148))</f>
        <v/>
      </c>
    </row>
    <row r="149" spans="1:6"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c r="F149" s="18" t="str">
        <f>IF('Interpreted Data'!P149="","",CONCATENATE(";",'Interpreted Data'!P149))</f>
        <v/>
      </c>
    </row>
    <row r="150" spans="1:6"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c r="F150" s="18" t="str">
        <f>IF('Interpreted Data'!P150="","",CONCATENATE(";",'Interpreted Data'!P150))</f>
        <v/>
      </c>
    </row>
    <row r="151" spans="1:6"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c r="F151" s="18" t="str">
        <f>IF('Interpreted Data'!P151="","",CONCATENATE(";",'Interpreted Data'!P151))</f>
        <v/>
      </c>
    </row>
    <row r="152" spans="1:6"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c r="F152" s="18" t="str">
        <f>IF('Interpreted Data'!P152="","",CONCATENATE(";",'Interpreted Data'!P152))</f>
        <v>;(sketch of Short Dry Way DN-DH)</v>
      </c>
    </row>
    <row r="153" spans="1:6"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c r="F153" s="18" t="str">
        <f>IF('Interpreted Data'!P153="","",CONCATENATE(";",'Interpreted Data'!P153))</f>
        <v/>
      </c>
    </row>
    <row r="154" spans="1:6"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c r="F154" s="18" t="str">
        <f>IF('Interpreted Data'!P154="","",CONCATENATE(";",'Interpreted Data'!P154))</f>
        <v/>
      </c>
    </row>
    <row r="155" spans="1:6"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c r="F155" s="18" t="str">
        <f>IF('Interpreted Data'!P155="","",CONCATENATE(";",'Interpreted Data'!P155))</f>
        <v/>
      </c>
    </row>
    <row r="156" spans="1:6"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c r="F156" s="18" t="str">
        <f>IF('Interpreted Data'!P156="","",CONCATENATE(";",'Interpreted Data'!P156))</f>
        <v/>
      </c>
    </row>
    <row r="157" spans="1:6"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c r="F157" s="18" t="str">
        <f>IF('Interpreted Data'!P157="","",CONCATENATE(";",'Interpreted Data'!P157))</f>
        <v/>
      </c>
    </row>
    <row r="158" spans="1:6"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c r="F158" s="18" t="str">
        <f>IF('Interpreted Data'!P158="","",CONCATENATE(";",'Interpreted Data'!P158))</f>
        <v/>
      </c>
    </row>
    <row r="159" spans="1:6"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c r="F159" s="18" t="str">
        <f>IF('Interpreted Data'!P159="","",CONCATENATE(";",'Interpreted Data'!P159))</f>
        <v/>
      </c>
    </row>
    <row r="160" spans="1:6"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c r="F160" s="18" t="str">
        <f>IF('Interpreted Data'!P160="","",CONCATENATE(";",'Interpreted Data'!P160))</f>
        <v/>
      </c>
    </row>
    <row r="161" spans="1:6"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c r="F161" s="18" t="str">
        <f>IF('Interpreted Data'!P161="","",CONCATENATE(";",'Interpreted Data'!P161))</f>
        <v/>
      </c>
    </row>
    <row r="162" spans="1:6" x14ac:dyDescent="0.25">
      <c r="A162" s="18" t="str">
        <f>CONCATENATE(";",'Interpreted Data'!A162)</f>
        <v>;DH</v>
      </c>
      <c r="B162" t="str">
        <f>'Interpreted Data'!B162</f>
        <v/>
      </c>
      <c r="C162" s="2"/>
      <c r="D162" s="10"/>
      <c r="E162" s="11"/>
      <c r="F162" s="18" t="str">
        <f>IF('Interpreted Data'!P162="","",CONCATENATE(";",'Interpreted Data'!P162))</f>
        <v>;is 2" candle on smoke BM below smoke (.)</v>
      </c>
    </row>
    <row r="163" spans="1:6" x14ac:dyDescent="0.25">
      <c r="A163" t="str">
        <f>'Interpreted Data'!A163</f>
        <v/>
      </c>
      <c r="B163" t="str">
        <f>'Interpreted Data'!B163</f>
        <v/>
      </c>
      <c r="C163" s="2"/>
      <c r="D163" s="10"/>
      <c r="E163" s="11"/>
      <c r="F163" s="18" t="str">
        <f>IF('Interpreted Data'!P163="","",CONCATENATE(";",'Interpreted Data'!P163))</f>
        <v/>
      </c>
    </row>
    <row r="164" spans="1:6" x14ac:dyDescent="0.25">
      <c r="A164" s="18" t="str">
        <f>CONCATENATE(";",'Interpreted Data'!A164)</f>
        <v>;21st Dec '52</v>
      </c>
      <c r="B164" t="str">
        <f>'Interpreted Data'!B164</f>
        <v>Howard &amp; Jock.</v>
      </c>
      <c r="C164" s="2"/>
      <c r="D164" s="10"/>
      <c r="E164" s="11"/>
      <c r="F164" s="18" t="str">
        <f>IF('Interpreted Data'!P164="","",CONCATENATE(";",'Interpreted Data'!P164))</f>
        <v/>
      </c>
    </row>
    <row r="165" spans="1:6"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c r="F165" s="18" t="str">
        <f>IF('Interpreted Data'!P165="","",CONCATENATE(";",'Interpreted Data'!P165))</f>
        <v/>
      </c>
    </row>
    <row r="166" spans="1:6"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c r="F166" s="18" t="str">
        <f>IF('Interpreted Data'!P166="","",CONCATENATE(";",'Interpreted Data'!P166))</f>
        <v/>
      </c>
    </row>
    <row r="167" spans="1:6"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c r="F167" s="18" t="str">
        <f>IF('Interpreted Data'!P167="","",CONCATENATE(";",'Interpreted Data'!P167))</f>
        <v/>
      </c>
    </row>
    <row r="168" spans="1:6"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c r="F168" s="18" t="str">
        <f>IF('Interpreted Data'!P168="","",CONCATENATE(";",'Interpreted Data'!P168))</f>
        <v/>
      </c>
    </row>
    <row r="169" spans="1:6"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c r="F169" s="18" t="str">
        <f>IF('Interpreted Data'!P169="","",CONCATENATE(";",'Interpreted Data'!P169))</f>
        <v/>
      </c>
    </row>
    <row r="170" spans="1:6"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c r="F170" s="18" t="str">
        <f>IF('Interpreted Data'!P170="","",CONCATENATE(";",'Interpreted Data'!P170))</f>
        <v/>
      </c>
    </row>
    <row r="171" spans="1:6"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c r="F171" s="18" t="str">
        <f>IF('Interpreted Data'!P171="","",CONCATENATE(";",'Interpreted Data'!P171))</f>
        <v>;Entrance to Old Grotto.</v>
      </c>
    </row>
    <row r="172" spans="1:6"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c r="F172" s="18" t="str">
        <f>IF('Interpreted Data'!P172="","",CONCATENATE(";",'Interpreted Data'!P172))</f>
        <v/>
      </c>
    </row>
    <row r="173" spans="1:6"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c r="F173" s="18" t="str">
        <f>IF('Interpreted Data'!P173="","",CONCATENATE(";",'Interpreted Data'!P173))</f>
        <v/>
      </c>
    </row>
    <row r="174" spans="1:6"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c r="F174" s="18" t="str">
        <f>IF('Interpreted Data'!P174="","",CONCATENATE(";",'Interpreted Data'!P174))</f>
        <v/>
      </c>
    </row>
    <row r="175" spans="1:6"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c r="F175" s="18" t="str">
        <f>IF('Interpreted Data'!P175="","",CONCATENATE(";",'Interpreted Data'!P175))</f>
        <v/>
      </c>
    </row>
    <row r="176" spans="1:6"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c r="F176" s="18" t="str">
        <f>IF('Interpreted Data'!P176="","",CONCATENATE(";",'Interpreted Data'!P176))</f>
        <v/>
      </c>
    </row>
    <row r="177" spans="1:6"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c r="F177" s="18" t="str">
        <f>IF('Interpreted Data'!P177="","",CONCATENATE(";",'Interpreted Data'!P177))</f>
        <v/>
      </c>
    </row>
    <row r="178" spans="1:6"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c r="F178" s="18" t="str">
        <f>IF('Interpreted Data'!P178="","",CONCATENATE(";",'Interpreted Data'!P178))</f>
        <v/>
      </c>
    </row>
    <row r="179" spans="1:6"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c r="F179" s="18" t="str">
        <f>IF('Interpreted Data'!P179="","",CONCATENATE(";",'Interpreted Data'!P179))</f>
        <v>;(sketch of CR-CZ-DA-DH)</v>
      </c>
    </row>
    <row r="180" spans="1:6"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c r="F180" s="18" t="str">
        <f>IF('Interpreted Data'!P180="","",CONCATENATE(";",'Interpreted Data'!P180))</f>
        <v/>
      </c>
    </row>
    <row r="181" spans="1:6"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c r="F181" s="18" t="str">
        <f>IF('Interpreted Data'!P181="","",CONCATENATE(";",'Interpreted Data'!P181))</f>
        <v/>
      </c>
    </row>
    <row r="182" spans="1:6"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c r="F182" s="18" t="str">
        <f>IF('Interpreted Data'!P182="","",CONCATENATE(";",'Interpreted Data'!P182))</f>
        <v/>
      </c>
    </row>
    <row r="183" spans="1:6"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c r="F183" s="18" t="str">
        <f>IF('Interpreted Data'!P183="","",CONCATENATE(";",'Interpreted Data'!P183))</f>
        <v/>
      </c>
    </row>
    <row r="184" spans="1:6"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c r="F184" s="18" t="str">
        <f>IF('Interpreted Data'!P184="","",CONCATENATE(";",'Interpreted Data'!P184))</f>
        <v/>
      </c>
    </row>
    <row r="185" spans="1:6"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c r="F185" s="18" t="str">
        <f>IF('Interpreted Data'!P185="","",CONCATENATE(";",'Interpreted Data'!P185))</f>
        <v>;CM = On stalagmite projection over 40 ft pt.</v>
      </c>
    </row>
    <row r="186" spans="1:6" x14ac:dyDescent="0.25">
      <c r="A186" s="18" t="str">
        <f>CONCATENATE(";",'Interpreted Data'!A186)</f>
        <v>;CM</v>
      </c>
      <c r="B186" t="str">
        <f>'Interpreted Data'!B186</f>
        <v/>
      </c>
      <c r="C186" s="2"/>
      <c r="D186" s="10"/>
      <c r="E186" s="11"/>
      <c r="F186" s="18" t="str">
        <f>IF('Interpreted Data'!P186="","",CONCATENATE(";",'Interpreted Data'!P186))</f>
        <v/>
      </c>
    </row>
    <row r="187" spans="1:6" x14ac:dyDescent="0.25">
      <c r="A187" t="str">
        <f>'Interpreted Data'!A187</f>
        <v/>
      </c>
      <c r="B187" t="str">
        <f>'Interpreted Data'!B187</f>
        <v/>
      </c>
      <c r="C187" s="2"/>
      <c r="D187" s="10"/>
      <c r="E187" s="11"/>
      <c r="F187" s="18" t="str">
        <f>IF('Interpreted Data'!P187="","",CONCATENATE(";",'Interpreted Data'!P187))</f>
        <v/>
      </c>
    </row>
    <row r="188" spans="1:6" x14ac:dyDescent="0.25">
      <c r="A188" s="18" t="str">
        <f>CONCATENATE(";",'Interpreted Data'!A188)</f>
        <v>;p. 61-64</v>
      </c>
      <c r="B188" t="str">
        <f>'Interpreted Data'!B188</f>
        <v>(=PDF p.65-68)</v>
      </c>
      <c r="C188" s="2"/>
      <c r="D188" s="10"/>
      <c r="E188" s="11"/>
      <c r="F188" s="18" t="str">
        <f>IF('Interpreted Data'!P188="","",CONCATENATE(";",'Interpreted Data'!P188))</f>
        <v/>
      </c>
    </row>
    <row r="189" spans="1:6" x14ac:dyDescent="0.25">
      <c r="A189" s="18" t="str">
        <f>CONCATENATE(";",'Interpreted Data'!A189)</f>
        <v>;8th Feb '53</v>
      </c>
      <c r="B189" t="str">
        <f>'Interpreted Data'!B189</f>
        <v/>
      </c>
      <c r="C189" s="2"/>
      <c r="D189" s="10"/>
      <c r="E189" s="11"/>
      <c r="F189" s="18" t="str">
        <f>IF('Interpreted Data'!P189="","",CONCATENATE(";",'Interpreted Data'!P189))</f>
        <v/>
      </c>
    </row>
    <row r="190" spans="1:6"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c r="F190" s="18" t="str">
        <f>IF('Interpreted Data'!P190="","",CONCATENATE(";",'Interpreted Data'!P190))</f>
        <v/>
      </c>
    </row>
    <row r="191" spans="1:6"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c r="F191" s="18" t="str">
        <f>IF('Interpreted Data'!P191="","",CONCATENATE(";",'Interpreted Data'!P191))</f>
        <v/>
      </c>
    </row>
    <row r="192" spans="1:6"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c r="F192" s="18" t="str">
        <f>IF('Interpreted Data'!P192="","",CONCATENATE(";",'Interpreted Data'!P192))</f>
        <v/>
      </c>
    </row>
    <row r="193" spans="1:6"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c r="F193" s="18" t="str">
        <f>IF('Interpreted Data'!P193="","",CONCATENATE(";",'Interpreted Data'!P193))</f>
        <v>;3' before little portal</v>
      </c>
    </row>
    <row r="194" spans="1:6"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c r="F194" s="18" t="str">
        <f>IF('Interpreted Data'!P194="","",CONCATENATE(";",'Interpreted Data'!P194))</f>
        <v/>
      </c>
    </row>
    <row r="195" spans="1:6"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c r="F195" s="18" t="str">
        <f>IF('Interpreted Data'!P195="","",CONCATENATE(";",'Interpreted Data'!P195))</f>
        <v>;6' before junction with rift</v>
      </c>
    </row>
    <row r="196" spans="1:6"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c r="F196" s="18" t="str">
        <f>IF('Interpreted Data'!P196="","",CONCATENATE(";",'Interpreted Data'!P196))</f>
        <v>;over dark rift</v>
      </c>
    </row>
    <row r="197" spans="1:6"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c r="F197" s="18" t="str">
        <f>IF('Interpreted Data'!P197="","",CONCATENATE(";",'Interpreted Data'!P197))</f>
        <v>;corner</v>
      </c>
    </row>
    <row r="198" spans="1:6"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c r="F198" s="18" t="str">
        <f>IF('Interpreted Data'!P198="","",CONCATENATE(";",'Interpreted Data'!P198))</f>
        <v/>
      </c>
    </row>
    <row r="199" spans="1:6"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c r="F199" s="18" t="str">
        <f>IF('Interpreted Data'!P199="","",CONCATENATE(";",'Interpreted Data'!P199))</f>
        <v/>
      </c>
    </row>
    <row r="200" spans="1:6"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c r="F200" s="18" t="str">
        <f>IF('Interpreted Data'!P200="","",CONCATENATE(";",'Interpreted Data'!P200))</f>
        <v>;W.R. At stream level nil(?)</v>
      </c>
    </row>
    <row r="201" spans="1:6"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c r="F201" s="18" t="str">
        <f>IF('Interpreted Data'!P201="","",CONCATENATE(";",'Interpreted Data'!P201))</f>
        <v>;above lower double pot</v>
      </c>
    </row>
    <row r="202" spans="1:6"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c r="F202" s="18" t="str">
        <f>IF('Interpreted Data'!P202="","",CONCATENATE(";",'Interpreted Data'!P202))</f>
        <v>;low height due to stalagmite choke in high aven</v>
      </c>
    </row>
    <row r="203" spans="1:6"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c r="F203" s="18" t="str">
        <f>IF('Interpreted Data'!P203="","",CONCATENATE(";",'Interpreted Data'!P203))</f>
        <v/>
      </c>
    </row>
    <row r="204" spans="1:6"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c r="F204" s="18" t="str">
        <f>IF('Interpreted Data'!P204="","",CONCATENATE(";",'Interpreted Data'!P204))</f>
        <v/>
      </c>
    </row>
    <row r="205" spans="1:6"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c r="F205" s="18" t="str">
        <f>IF('Interpreted Data'!P205="","",CONCATENATE(";",'Interpreted Data'!P205))</f>
        <v/>
      </c>
    </row>
    <row r="206" spans="1:6"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c r="F206" s="18" t="str">
        <f>IF('Interpreted Data'!P206="","",CONCATENATE(";",'Interpreted Data'!P206))</f>
        <v/>
      </c>
    </row>
    <row r="207" spans="1:6"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c r="F207" s="18" t="str">
        <f>IF('Interpreted Data'!P207="","",CONCATENATE(";",'Interpreted Data'!P207))</f>
        <v/>
      </c>
    </row>
    <row r="208" spans="1:6"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c r="F208" s="18" t="str">
        <f>IF('Interpreted Data'!P208="","",CONCATENATE(";",'Interpreted Data'!P208))</f>
        <v/>
      </c>
    </row>
    <row r="209" spans="1:6"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c r="F209" s="18" t="str">
        <f>IF('Interpreted Data'!P209="","",CONCATENATE(";",'Interpreted Data'!P209))</f>
        <v>;below boss in Shrine</v>
      </c>
    </row>
    <row r="210" spans="1:6"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c r="F210" s="18" t="str">
        <f>IF('Interpreted Data'!P210="","",CONCATENATE(";",'Interpreted Data'!P210))</f>
        <v>;bloody horrible</v>
      </c>
    </row>
    <row r="211" spans="1:6"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c r="F211" s="18" t="str">
        <f>IF('Interpreted Data'!P211="","",CONCATENATE(";",'Interpreted Data'!P211))</f>
        <v/>
      </c>
    </row>
    <row r="212" spans="1:6"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c r="F212" s="18" t="str">
        <f>IF('Interpreted Data'!P212="","",CONCATENATE(";",'Interpreted Data'!P212))</f>
        <v/>
      </c>
    </row>
    <row r="213" spans="1:6"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c r="F213" s="18" t="str">
        <f>IF('Interpreted Data'!P213="","",CONCATENATE(";",'Interpreted Data'!P213))</f>
        <v/>
      </c>
    </row>
    <row r="214" spans="1:6"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c r="F214" s="18" t="str">
        <f>IF('Interpreted Data'!P214="","",CONCATENATE(";",'Interpreted Data'!P214))</f>
        <v/>
      </c>
    </row>
    <row r="215" spans="1:6"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c r="F215" s="18" t="str">
        <f>IF('Interpreted Data'!P215="","",CONCATENATE(";",'Interpreted Data'!P215))</f>
        <v>;beside hook at top of 20' Drop. W.L. as sta 1'</v>
      </c>
    </row>
    <row r="216" spans="1:6"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c r="F216" s="18" t="str">
        <f>IF('Interpreted Data'!P216="","",CONCATENATE(";",'Interpreted Data'!P216))</f>
        <v/>
      </c>
    </row>
    <row r="217" spans="1:6"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c r="F217" s="18" t="str">
        <f>IF('Interpreted Data'!P217="","",CONCATENATE(";",'Interpreted Data'!P217))</f>
        <v/>
      </c>
    </row>
    <row r="218" spans="1:6"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c r="F218" s="18" t="str">
        <f>IF('Interpreted Data'!P218="","",CONCATENATE(";",'Interpreted Data'!P218))</f>
        <v>;W.L. at sta 1'</v>
      </c>
    </row>
    <row r="219" spans="1:6"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c r="F219" s="18" t="str">
        <f>IF('Interpreted Data'!P219="","",CONCATENATE(";",'Interpreted Data'!P219))</f>
        <v/>
      </c>
    </row>
    <row r="220" spans="1:6"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c r="F220" s="18" t="str">
        <f>IF('Interpreted Data'!P220="","",CONCATENATE(";",'Interpreted Data'!P220))</f>
        <v/>
      </c>
    </row>
    <row r="221" spans="1:6"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c r="F221" s="18" t="str">
        <f>IF('Interpreted Data'!P221="","",CONCATENATE(";",'Interpreted Data'!P221))</f>
        <v/>
      </c>
    </row>
    <row r="222" spans="1:6"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c r="F222" s="18" t="str">
        <f>IF('Interpreted Data'!P222="","",CONCATENATE(";",'Interpreted Data'!P222))</f>
        <v/>
      </c>
    </row>
    <row r="223" spans="1:6"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c r="F223" s="18" t="str">
        <f>IF('Interpreted Data'!P223="","",CONCATENATE(";",'Interpreted Data'!P223))</f>
        <v/>
      </c>
    </row>
    <row r="224" spans="1:6"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c r="F224" s="18" t="str">
        <f>IF('Interpreted Data'!P224="","",CONCATENATE(";",'Interpreted Data'!P224))</f>
        <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c r="F225" s="18" t="str">
        <f>IF('Interpreted Data'!P225="","",CONCATENATE(";",'Interpreted Data'!P225))</f>
        <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c r="F226" s="18" t="str">
        <f>IF('Interpreted Data'!P226="","",CONCATENATE(";",'Interpreted Data'!P226))</f>
        <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c r="F227" s="18" t="str">
        <f>IF('Interpreted Data'!P227="","",CONCATENATE(";",'Interpreted Data'!P227))</f>
        <v>;side of pot at entrance of passage</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c r="F228" s="18" t="str">
        <f>IF('Interpreted Data'!P228="","",CONCATENATE(";",'Interpreted Data'!P228))</f>
        <v>;side of pot</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c r="F229" s="18" t="str">
        <f>IF('Interpreted Data'!P229="","",CONCATENATE(";",'Interpreted Data'!P229))</f>
        <v>;lip of pot</v>
      </c>
    </row>
    <row r="230" spans="1:6" x14ac:dyDescent="0.25">
      <c r="A230" s="18" t="str">
        <f>CONCATENATE(";",'Interpreted Data'!A230)</f>
        <v>;CN</v>
      </c>
      <c r="B230" t="str">
        <f>'Interpreted Data'!B230</f>
        <v/>
      </c>
      <c r="C230" s="2"/>
      <c r="D230" s="10"/>
      <c r="E230" s="11"/>
      <c r="F230" s="18" t="str">
        <f>IF('Interpreted Data'!P230="","",CONCATENATE(";",'Interpreted Data'!P230))</f>
        <v>;see p.55</v>
      </c>
    </row>
    <row r="231" spans="1:6" x14ac:dyDescent="0.25">
      <c r="A231" s="18" t="str">
        <f>CONCATENATE(";",'Interpreted Data'!A231)</f>
        <v>;1st March 1953</v>
      </c>
      <c r="B231" t="str">
        <f>'Interpreted Data'!B231</f>
        <v>Phil, Don, Oliver, Colin</v>
      </c>
      <c r="C231" s="2"/>
      <c r="D231" s="10"/>
      <c r="E231" s="11"/>
      <c r="F231" s="18" t="str">
        <f>IF('Interpreted Data'!P231="","",CONCATENATE(";",'Interpreted Data'!P231))</f>
        <v/>
      </c>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s="18" t="str">
        <f>IF('Interpreted Data'!P232="","",CONCATENATE(";",'Interpreted Data'!P232))</f>
        <v>;See p.51 Below Trats Grotto</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c r="F233" s="18" t="str">
        <f>IF('Interpreted Data'!P233="","",CONCATENATE(";",'Interpreted Data'!P233))</f>
        <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c r="F234" s="18" t="str">
        <f>IF('Interpreted Data'!P234="","",CONCATENATE(";",'Interpreted Data'!P234))</f>
        <v>;Top of pit</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c r="F235" s="18" t="str">
        <f>IF('Interpreted Data'!P235="","",CONCATENATE(";",'Interpreted Data'!P235))</f>
        <v>;Foot of cascade</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c r="F236" s="18" t="str">
        <f>IF('Interpreted Data'!P236="","",CONCATENATE(";",'Interpreted Data'!P236))</f>
        <v>;(small sketch a-e)</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c r="F237" s="18" t="str">
        <f>IF('Interpreted Data'!P237="","",CONCATENATE(";",'Interpreted Data'!P237))</f>
        <v>;(sketch e-i)</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c r="F238" s="18" t="str">
        <f>IF('Interpreted Data'!P238="","",CONCATENATE(";",'Interpreted Data'!P238))</f>
        <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c r="F239" s="18" t="str">
        <f>IF('Interpreted Data'!P239="","",CONCATENATE(";",'Interpreted Data'!P239))</f>
        <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c r="F240" s="18" t="str">
        <f>IF('Interpreted Data'!P240="","",CONCATENATE(";",'Interpreted Data'!P240))</f>
        <v/>
      </c>
    </row>
    <row r="241" spans="1:6"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c r="F241" s="18" t="str">
        <f>IF('Interpreted Data'!P241="","",CONCATENATE(";",'Interpreted Data'!P241))</f>
        <v>;(sketch j-o)</v>
      </c>
    </row>
    <row r="242" spans="1:6"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c r="F242" s="18" t="str">
        <f>IF('Interpreted Data'!P242="","",CONCATENATE(";",'Interpreted Data'!P242))</f>
        <v/>
      </c>
    </row>
    <row r="243" spans="1:6"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c r="F243" s="18" t="str">
        <f>IF('Interpreted Data'!P243="","",CONCATENATE(";",'Interpreted Data'!P243))</f>
        <v/>
      </c>
    </row>
    <row r="244" spans="1:6"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c r="F244" s="18" t="str">
        <f>IF('Interpreted Data'!P244="","",CONCATENATE(";",'Interpreted Data'!P244))</f>
        <v/>
      </c>
    </row>
    <row r="245" spans="1:6"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c r="F245" s="18" t="str">
        <f>IF('Interpreted Data'!P245="","",CONCATENATE(";",'Interpreted Data'!P245))</f>
        <v/>
      </c>
    </row>
    <row r="246" spans="1:6"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c r="F246" s="18" t="str">
        <f>IF('Interpreted Data'!P246="","",CONCATENATE(";",'Interpreted Data'!P246))</f>
        <v>;On Olivers boulder</v>
      </c>
    </row>
    <row r="247" spans="1:6" x14ac:dyDescent="0.25">
      <c r="A247" s="18" t="str">
        <f>CONCATENATE(";",'Interpreted Data'!A247,3)</f>
        <v>;o3</v>
      </c>
      <c r="B247" t="str">
        <f>'Interpreted Data'!B247</f>
        <v/>
      </c>
      <c r="C247" s="2"/>
      <c r="D247" s="20"/>
      <c r="E247" s="11"/>
      <c r="F247" s="18" t="str">
        <f>IF('Interpreted Data'!P247="","",CONCATENATE(";",'Interpreted Data'!P247))</f>
        <v/>
      </c>
    </row>
    <row r="248" spans="1:6" x14ac:dyDescent="0.25">
      <c r="A248" s="18" t="str">
        <f>CONCATENATE(";",'Interpreted Data'!A248)</f>
        <v>;14th March 1953</v>
      </c>
      <c r="B248" t="str">
        <f>'Interpreted Data'!B248</f>
        <v>Howard</v>
      </c>
      <c r="C248" s="2"/>
      <c r="D248" s="20"/>
      <c r="E248" s="11"/>
      <c r="F248" s="18" t="str">
        <f>IF('Interpreted Data'!P248="","",CONCATENATE(";",'Interpreted Data'!P248))</f>
        <v/>
      </c>
    </row>
    <row r="249" spans="1:6"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c r="F249" s="18" t="str">
        <f>IF('Interpreted Data'!P249="","",CONCATENATE(";",'Interpreted Data'!P249))</f>
        <v>;(sketch o-t)</v>
      </c>
    </row>
    <row r="250" spans="1:6"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c r="F250" s="18" t="str">
        <f>IF('Interpreted Data'!P250="","",CONCATENATE(";",'Interpreted Data'!P250))</f>
        <v/>
      </c>
    </row>
    <row r="251" spans="1:6"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c r="F251" s="18" t="str">
        <f>IF('Interpreted Data'!P251="","",CONCATENATE(";",'Interpreted Data'!P251))</f>
        <v>;Sump 15' on at 280deg true WL 5 WR 4</v>
      </c>
    </row>
    <row r="252" spans="1:6"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c r="F252" s="18" t="str">
        <f>IF('Interpreted Data'!P252="","",CONCATENATE(";",'Interpreted Data'!P252))</f>
        <v/>
      </c>
    </row>
    <row r="253" spans="1:6"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c r="F253" s="18" t="str">
        <f>IF('Interpreted Data'!P253="","",CONCATENATE(";",'Interpreted Data'!P253))</f>
        <v/>
      </c>
    </row>
    <row r="254" spans="1:6"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c r="F254" s="18" t="str">
        <f>IF('Interpreted Data'!P254="","",CONCATENATE(";",'Interpreted Data'!P254))</f>
        <v>;(sketch t-u) u-&gt; Howards Loop</v>
      </c>
    </row>
    <row r="255" spans="1:6"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c r="F255" s="18" t="str">
        <f>IF('Interpreted Data'!P255="","",CONCATENATE(";",'Interpreted Data'!P255))</f>
        <v>;v in a cross rift 4' from Pearly Gate</v>
      </c>
    </row>
    <row r="256" spans="1:6"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c r="F256" s="18" t="str">
        <f>IF('Interpreted Data'!P256="","",CONCATENATE(";",'Interpreted Data'!P256))</f>
        <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c r="F257" s="18" t="str">
        <f>IF('Interpreted Data'!P257="","",CONCATENATE(";",'Interpreted Data'!P257))</f>
        <v>;(sketch w-x)</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c r="F258" s="18" t="str">
        <f>IF('Interpreted Data'!P258="","",CONCATENATE(";",'Interpreted Data'!P258))</f>
        <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c r="F259" s="18" t="str">
        <f>IF('Interpreted Data'!P259="","",CONCATENATE(";",'Interpreted Data'!P259))</f>
        <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s="18" t="str">
        <f>IF('Interpreted Data'!P260="","",CONCATENATE(";",'Interpreted Data'!P260))</f>
        <v>;Bottom of drop. View into Damascus</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c r="F261" s="18" t="str">
        <f>IF('Interpreted Data'!P261="","",CONCATENATE(";",'Interpreted Data'!P261))</f>
        <v>;Above pool</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c r="F262" s="18" t="str">
        <f>IF('Interpreted Data'!P262="","",CONCATENATE(";",'Interpreted Data'!P262))</f>
        <v>;Bearing 238 true into Howards Loop</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c r="F263" s="18" t="str">
        <f>IF('Interpreted Data'!P263="","",CONCATENATE(";",'Interpreted Data'!P263))</f>
        <v>;(sketch ab-ac)</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c r="F264" s="18" t="str">
        <f>IF('Interpreted Data'!P264="","",CONCATENATE(";",'Interpreted Data'!P264))</f>
        <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c r="F265" s="18" t="str">
        <f>IF('Interpreted Data'!P265="","",CONCATENATE(";",'Interpreted Data'!P265))</f>
        <v>;15' aven explored by Oliver just before station</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c r="F266" s="18" t="str">
        <f>IF('Interpreted Data'!P266="","",CONCATENATE(";",'Interpreted Data'!P266))</f>
        <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c r="F267" s="18" t="str">
        <f>IF('Interpreted Data'!P267="","",CONCATENATE(";",'Interpreted Data'!P267))</f>
        <v>;(sketch ag) 6" above water. Sump level 60.1</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c r="F268" s="18" t="str">
        <f>IF('Interpreted Data'!P268="","",CONCATENATE(";",'Interpreted Data'!P268))</f>
        <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c r="F269" s="18" t="str">
        <f>IF('Interpreted Data'!P269="","",CONCATENATE(";",'Interpreted Data'!P269))</f>
        <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c r="F270" s="18" t="str">
        <f>IF('Interpreted Data'!P270="","",CONCATENATE(";",'Interpreted Data'!P270))</f>
        <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c r="F271" s="18" t="str">
        <f>IF('Interpreted Data'!P271="","",CONCATENATE(";",'Interpreted Data'!P271))</f>
        <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c r="F272" s="18" t="str">
        <f>IF('Interpreted Data'!P272="","",CONCATENATE(";",'Interpreted Data'!P272))</f>
        <v>;Near side of duck (in dry weather)</v>
      </c>
    </row>
    <row r="273" spans="1:6"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c r="F273" s="18" t="str">
        <f>IF('Interpreted Data'!P273="","",CONCATENATE(";",'Interpreted Data'!P273))</f>
        <v>;Far side of duck (in dry weather)</v>
      </c>
    </row>
    <row r="274" spans="1:6"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c r="F274" s="18" t="str">
        <f>IF('Interpreted Data'!P274="","",CONCATENATE(";",'Interpreted Data'!P274))</f>
        <v/>
      </c>
    </row>
    <row r="275" spans="1:6"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c r="F275" s="18" t="str">
        <f>IF('Interpreted Data'!P275="","",CONCATENATE(";",'Interpreted Data'!P275))</f>
        <v/>
      </c>
    </row>
    <row r="276" spans="1:6"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c r="F276" s="18" t="str">
        <f>IF('Interpreted Data'!P276="","",CONCATENATE(";",'Interpreted Data'!P276))</f>
        <v/>
      </c>
    </row>
    <row r="277" spans="1:6"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c r="F277" s="18" t="str">
        <f>IF('Interpreted Data'!P277="","",CONCATENATE(";",'Interpreted Data'!P277))</f>
        <v/>
      </c>
    </row>
    <row r="278" spans="1:6"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c r="F278" s="18" t="str">
        <f>IF('Interpreted Data'!P278="","",CONCATENATE(";",'Interpreted Data'!P278))</f>
        <v>;(sketch at-au) descends at 15 or 20 degrees. i.e. -9 feet vertical. Sump?</v>
      </c>
    </row>
    <row r="279" spans="1:6"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c r="F279" s="18" t="str">
        <f>IF('Interpreted Data'!P279="","",CONCATENATE(";",'Interpreted Data'!P279))</f>
        <v/>
      </c>
    </row>
    <row r="280" spans="1:6"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c r="F280" s="18" t="str">
        <f>IF('Interpreted Data'!P280="","",CONCATENATE(";",'Interpreted Data'!P280))</f>
        <v/>
      </c>
    </row>
    <row r="281" spans="1:6" x14ac:dyDescent="0.25">
      <c r="A281" t="str">
        <f>'Interpreted Data'!A281</f>
        <v/>
      </c>
      <c r="B281" t="str">
        <f>'Interpreted Data'!B281</f>
        <v/>
      </c>
      <c r="C281" s="2"/>
      <c r="D281" s="10"/>
      <c r="E281" s="11"/>
      <c r="F281" s="18" t="str">
        <f>IF('Interpreted Data'!P281="","",CONCATENATE(";",'Interpreted Data'!P281))</f>
        <v/>
      </c>
    </row>
    <row r="282" spans="1:6" x14ac:dyDescent="0.25">
      <c r="A282" t="str">
        <f>'Interpreted Data'!A282</f>
        <v/>
      </c>
      <c r="B282" t="str">
        <f>'Interpreted Data'!B282</f>
        <v/>
      </c>
      <c r="C282" s="2"/>
      <c r="D282" s="10"/>
      <c r="E282" s="11"/>
      <c r="F282" s="18" t="str">
        <f>IF('Interpreted Data'!P282="","",CONCATENATE(";",'Interpreted Data'!P282))</f>
        <v/>
      </c>
    </row>
    <row r="283" spans="1:6" x14ac:dyDescent="0.25">
      <c r="A283" s="18" t="str">
        <f>CONCATENATE(";",'Interpreted Data'!A283)</f>
        <v>;p. 65-69</v>
      </c>
      <c r="B283" t="str">
        <f>'Interpreted Data'!B283</f>
        <v>(=PDF p.69-72)</v>
      </c>
      <c r="C283" s="2"/>
      <c r="D283" s="10"/>
      <c r="E283" s="11"/>
      <c r="F283" s="18" t="str">
        <f>IF('Interpreted Data'!P283="","",CONCATENATE(";",'Interpreted Data'!P283))</f>
        <v/>
      </c>
    </row>
    <row r="284" spans="1:6" x14ac:dyDescent="0.25">
      <c r="A284" s="18" t="str">
        <f>CONCATENATE(";",'Interpreted Data'!A284)</f>
        <v>;2nd May 1953</v>
      </c>
      <c r="B284" t="str">
        <f>'Interpreted Data'!B284</f>
        <v>Oliver</v>
      </c>
      <c r="C284" s="2"/>
      <c r="D284" s="10"/>
      <c r="E284" s="11"/>
      <c r="F284" s="18" t="str">
        <f>IF('Interpreted Data'!P284="","",CONCATENATE(";",'Interpreted Data'!P284))</f>
        <v/>
      </c>
    </row>
    <row r="285" spans="1:6"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c r="F285" s="18" t="str">
        <f>IF('Interpreted Data'!P285="","",CONCATENATE(";",'Interpreted Data'!P285))</f>
        <v>;DO within one foot of DO on p.53</v>
      </c>
    </row>
    <row r="286" spans="1:6"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c r="F286" s="18" t="str">
        <f>IF('Interpreted Data'!P286="","",CONCATENATE(";",'Interpreted Data'!P286))</f>
        <v>;Corner of Kenneys dig passage 0 - 0.7</v>
      </c>
    </row>
    <row r="287" spans="1:6"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c r="F287" s="18" t="str">
        <f>IF('Interpreted Data'!P287="","",CONCATENATE(";",'Interpreted Data'!P287))</f>
        <v>;3" candle on wee stalagmite</v>
      </c>
    </row>
    <row r="288" spans="1:6"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c r="F288" s="18" t="str">
        <f>IF('Interpreted Data'!P288="","",CONCATENATE(";",'Interpreted Data'!P288))</f>
        <v/>
      </c>
    </row>
    <row r="289" spans="1:6"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c r="F289" s="18" t="str">
        <f>IF('Interpreted Data'!P289="","",CONCATENATE(";",'Interpreted Data'!P289))</f>
        <v>;Under chock stones on angular rock</v>
      </c>
    </row>
    <row r="290" spans="1:6"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c r="F290" s="18" t="str">
        <f>IF('Interpreted Data'!P290="","",CONCATENATE(";",'Interpreted Data'!P290))</f>
        <v>;On 8" stalagmite at corner</v>
      </c>
    </row>
    <row r="291" spans="1:6"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c r="F291" s="18" t="str">
        <f>IF('Interpreted Data'!P291="","",CONCATENATE(";",'Interpreted Data'!P291))</f>
        <v>;On top of bloody great rock</v>
      </c>
    </row>
    <row r="292" spans="1:6"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c r="F292" s="18" t="str">
        <f>IF('Interpreted Data'!P292="","",CONCATENATE(";",'Interpreted Data'!P292))</f>
        <v/>
      </c>
    </row>
    <row r="293" spans="1:6"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c r="F293" s="18" t="str">
        <f>IF('Interpreted Data'!P293="","",CONCATENATE(";",'Interpreted Data'!P293))</f>
        <v/>
      </c>
    </row>
    <row r="294" spans="1:6"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c r="F294" s="18" t="str">
        <f>IF('Interpreted Data'!P294="","",CONCATENATE(";",'Interpreted Data'!P294))</f>
        <v>;Entrance to 2nd Boulder Ch. (sketch of FI-FK)</v>
      </c>
    </row>
    <row r="295" spans="1:6"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c r="F295" s="18" t="str">
        <f>IF('Interpreted Data'!P295="","",CONCATENATE(";",'Interpreted Data'!P295))</f>
        <v>;Side pass at 20', enters BC 12' from FK</v>
      </c>
    </row>
    <row r="296" spans="1:6"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c r="F296" s="18" t="str">
        <f>IF('Interpreted Data'!P296="","",CONCATENATE(";",'Interpreted Data'!P296))</f>
        <v>;On wee stalagmite in S. corner 1st BC</v>
      </c>
    </row>
    <row r="297" spans="1:6"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c r="F297" s="18" t="str">
        <f>IF('Interpreted Data'!P297="","",CONCATENATE(";",'Interpreted Data'!P297))</f>
        <v>;In BC. Side passage (wet) at 39'. 20' long at 155deg. Passage splits at 24'</v>
      </c>
    </row>
    <row r="298" spans="1:6"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c r="F298" s="18" t="str">
        <f>IF('Interpreted Data'!P298="","",CONCATENATE(";",'Interpreted Data'!P298))</f>
        <v>;On stal boss in roof passage</v>
      </c>
    </row>
    <row r="299" spans="1:6"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c r="F299" s="18" t="str">
        <f>IF('Interpreted Data'!P299="","",CONCATENATE(";",'Interpreted Data'!P299))</f>
        <v/>
      </c>
    </row>
    <row r="300" spans="1:6"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c r="F300" s="18" t="str">
        <f>IF('Interpreted Data'!P300="","",CONCATENATE(";",'Interpreted Data'!P300))</f>
        <v>;Mousehole passage 33' at 087deg from FO</v>
      </c>
    </row>
    <row r="301" spans="1:6"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c r="F301" s="18" t="str">
        <f>IF('Interpreted Data'!P301="","",CONCATENATE(";",'Interpreted Data'!P301))</f>
        <v/>
      </c>
    </row>
    <row r="302" spans="1:6"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c r="F302" s="18" t="str">
        <f>IF('Interpreted Data'!P302="","",CONCATENATE(";",'Interpreted Data'!P302))</f>
        <v/>
      </c>
    </row>
    <row r="303" spans="1:6"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c r="F303" s="18" t="str">
        <f>IF('Interpreted Data'!P303="","",CONCATENATE(";",'Interpreted Data'!P303))</f>
        <v>;Ent to Old Grot on bridge</v>
      </c>
    </row>
    <row r="304" spans="1:6" x14ac:dyDescent="0.25">
      <c r="A304" s="18" t="str">
        <f>CONCATENATE(";",'Interpreted Data'!A304)</f>
        <v>;DA</v>
      </c>
      <c r="B304" t="str">
        <f>'Interpreted Data'!B304</f>
        <v/>
      </c>
      <c r="C304" s="2"/>
      <c r="D304" s="10"/>
      <c r="E304" s="11"/>
      <c r="F304" s="18" t="str">
        <f>IF('Interpreted Data'!P304="","",CONCATENATE(";",'Interpreted Data'!P304))</f>
        <v>;1' further on at 45deg to right of last sta. (sketch of this DA relative to "DA boss")</v>
      </c>
    </row>
    <row r="305" spans="1:6"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c r="F305" s="18" t="str">
        <f>IF('Interpreted Data'!P305="","",CONCATENATE(";",'Interpreted Data'!P305))</f>
        <v/>
      </c>
    </row>
    <row r="306" spans="1:6"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c r="F306" s="18" t="str">
        <f>IF('Interpreted Data'!P306="","",CONCATENATE(";",'Interpreted Data'!P306))</f>
        <v/>
      </c>
    </row>
    <row r="307" spans="1:6"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c r="F307" s="18" t="str">
        <f>IF('Interpreted Data'!P307="","",CONCATENATE(";",'Interpreted Data'!P307))</f>
        <v>;Boss opposite squeeze. Passage to choke 15' at 160deg</v>
      </c>
    </row>
    <row r="308" spans="1:6"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c r="F308" s="18" t="str">
        <f>IF('Interpreted Data'!P308="","",CONCATENATE(";",'Interpreted Data'!P308))</f>
        <v>;(sketch T-U-V-W)  New Grottoes</v>
      </c>
    </row>
    <row r="309" spans="1:6"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c r="F309" s="18" t="str">
        <f>IF('Interpreted Data'!P309="","",CONCATENATE(";",'Interpreted Data'!P309))</f>
        <v/>
      </c>
    </row>
    <row r="310" spans="1:6" x14ac:dyDescent="0.25">
      <c r="A310" s="18" t="str">
        <f>CONCATENATE(";",'Interpreted Data'!A310)</f>
        <v>;FW</v>
      </c>
      <c r="B310" t="str">
        <f>'Interpreted Data'!B310</f>
        <v/>
      </c>
      <c r="C310" s="2"/>
      <c r="D310" s="10"/>
      <c r="E310" s="11"/>
      <c r="F310" s="18" t="str">
        <f>IF('Interpreted Data'!P310="","",CONCATENATE(";",'Interpreted Data'!P310))</f>
        <v>;Total = 6,448'</v>
      </c>
    </row>
    <row r="311" spans="1:6" x14ac:dyDescent="0.25">
      <c r="A311" t="str">
        <f>'Interpreted Data'!A311</f>
        <v/>
      </c>
      <c r="B311" t="str">
        <f>'Interpreted Data'!B311</f>
        <v/>
      </c>
      <c r="C311" s="2"/>
      <c r="D311" s="10"/>
      <c r="E311" s="11"/>
      <c r="F311" s="18" t="str">
        <f>IF('Interpreted Data'!P311="","",CONCATENATE(";",'Interpreted Data'!P311))</f>
        <v/>
      </c>
    </row>
    <row r="312" spans="1:6" x14ac:dyDescent="0.25">
      <c r="A312" s="18" t="str">
        <f>CONCATENATE("*flags surface","  ;",'Interpreted Data'!A312)</f>
        <v>*flags surface  ;16th May '53</v>
      </c>
      <c r="B312" t="str">
        <f>'Interpreted Data'!B312</f>
        <v xml:space="preserve">Luke </v>
      </c>
      <c r="C312" t="str">
        <f>'Interpreted Data'!C312</f>
        <v>(a little surface tie up)</v>
      </c>
      <c r="D312" s="10"/>
      <c r="E312" s="11"/>
      <c r="F312" s="18" t="str">
        <f>IF('Interpreted Data'!P312="","",CONCATENATE(";",'Interpreted Data'!P312))</f>
        <v/>
      </c>
    </row>
    <row r="313" spans="1:6"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c r="F313" s="18" t="str">
        <f>IF('Interpreted Data'!P313="","",CONCATENATE(";",'Interpreted Data'!P313))</f>
        <v>;ED is the obtuse angle in the grating (sketch of grating marking ED)</v>
      </c>
    </row>
    <row r="314" spans="1:6"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c r="F314" s="18" t="str">
        <f>IF('Interpreted Data'!P314="","",CONCATENATE(";",'Interpreted Data'!P314))</f>
        <v>;Depth Sump II = 400.9' = 378' O.D.</v>
      </c>
    </row>
    <row r="315" spans="1:6"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c r="F315" s="18" t="str">
        <f>IF('Interpreted Data'!P315="","",CONCATENATE(";",'Interpreted Data'!P315))</f>
        <v>;Alt entrance = 778.8 O.D. = 289' to fall to Cheddar (sketch of EE-EH with some surface features lines?)</v>
      </c>
    </row>
    <row r="316" spans="1:6"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c r="F316" s="18" t="str">
        <f>IF('Interpreted Data'!P316="","",CONCATENATE(";",'Interpreted Data'!P316))</f>
        <v>;EF is 5' above ground level</v>
      </c>
    </row>
    <row r="317" spans="1:6"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c r="F317" s="18" t="str">
        <f>IF('Interpreted Data'!P317="","",CONCATENATE(";",'Interpreted Data'!P317))</f>
        <v>;EG is 4.5' up; EH is 4' up.</v>
      </c>
    </row>
    <row r="318" spans="1:6" x14ac:dyDescent="0.25">
      <c r="A318" s="18" t="str">
        <f>CONCATENATE(";",'Interpreted Data'!A318)</f>
        <v>;EH</v>
      </c>
      <c r="B318" t="str">
        <f>'Interpreted Data'!B318</f>
        <v/>
      </c>
      <c r="C318" s="2"/>
      <c r="D318" s="10"/>
      <c r="E318" s="11"/>
      <c r="F318" s="18" t="str">
        <f>IF('Interpreted Data'!P318="","",CONCATENATE(";",'Interpreted Data'!P318))</f>
        <v/>
      </c>
    </row>
    <row r="319" spans="1:6" x14ac:dyDescent="0.25">
      <c r="A319" s="18" t="str">
        <f>CONCATENATE("*flags not surface"," ;",'Interpreted Data'!A319)</f>
        <v>*flags not surface ;</v>
      </c>
      <c r="B319" t="str">
        <f>'Interpreted Data'!B319</f>
        <v/>
      </c>
      <c r="C319" s="2"/>
      <c r="D319" s="10"/>
      <c r="E319" s="11"/>
      <c r="F319" s="18" t="str">
        <f>IF('Interpreted Data'!P319="","",CONCATENATE(";",'Interpreted Data'!P319))</f>
        <v/>
      </c>
    </row>
    <row r="320" spans="1:6" x14ac:dyDescent="0.25">
      <c r="A320" s="18" t="str">
        <f>CONCATENATE(";",'Interpreted Data'!A320)</f>
        <v>;24th May '53</v>
      </c>
      <c r="B320" t="str">
        <f>'Interpreted Data'!B320</f>
        <v>Oliver (+ Richard)</v>
      </c>
      <c r="C320" s="2"/>
      <c r="D320" s="10"/>
      <c r="E320" s="11"/>
      <c r="F320" s="18" t="str">
        <f>IF('Interpreted Data'!P320="","",CONCATENATE(";",'Interpreted Data'!P320))</f>
        <v/>
      </c>
    </row>
    <row r="321" spans="1:6"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c r="F321" s="18" t="str">
        <f>IF('Interpreted Data'!P321="","",CONCATENATE(";",'Interpreted Data'!P321))</f>
        <v>;See p.67 above</v>
      </c>
    </row>
    <row r="322" spans="1:6"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c r="F322" s="18" t="str">
        <f>IF('Interpreted Data'!P322="","",CONCATENATE(";",'Interpreted Data'!P322))</f>
        <v>;(sketch FB,FX,FY,FZ,GA,GR,GB,GC,GD)</v>
      </c>
    </row>
    <row r="323" spans="1:6"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c r="F323" s="18" t="str">
        <f>IF('Interpreted Data'!P323="","",CONCATENATE(";",'Interpreted Data'!P323))</f>
        <v/>
      </c>
    </row>
    <row r="324" spans="1:6"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c r="F324" s="18" t="str">
        <f>IF('Interpreted Data'!P324="","",CONCATENATE(";",'Interpreted Data'!P324))</f>
        <v/>
      </c>
    </row>
    <row r="325" spans="1:6"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c r="F325" s="18" t="str">
        <f>IF('Interpreted Data'!P325="","",CONCATENATE(";",'Interpreted Data'!P325))</f>
        <v/>
      </c>
    </row>
    <row r="326" spans="1:6" x14ac:dyDescent="0.25">
      <c r="A326" s="18" t="str">
        <f>CONCATENATE(";",'Interpreted Data'!A326)</f>
        <v>;GR</v>
      </c>
      <c r="B326" t="str">
        <f>'Interpreted Data'!B326</f>
        <v/>
      </c>
      <c r="C326" s="2"/>
      <c r="D326" s="10"/>
      <c r="E326" s="11"/>
      <c r="F326" s="18" t="str">
        <f>IF('Interpreted Data'!P326="","",CONCATENATE(";",'Interpreted Data'!P326))</f>
        <v/>
      </c>
    </row>
    <row r="327" spans="1:6"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c r="F327" s="18" t="str">
        <f>IF('Interpreted Data'!P327="","",CONCATENATE(";",'Interpreted Data'!P327))</f>
        <v/>
      </c>
    </row>
    <row r="328" spans="1:6"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c r="F328" s="18" t="str">
        <f>IF('Interpreted Data'!P328="","",CONCATENATE(";",'Interpreted Data'!P328))</f>
        <v/>
      </c>
    </row>
    <row r="329" spans="1:6"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c r="F329" s="18" t="str">
        <f>IF('Interpreted Data'!P329="","",CONCATENATE(";",'Interpreted Data'!P329))</f>
        <v/>
      </c>
    </row>
    <row r="330" spans="1:6"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c r="F330" s="18" t="str">
        <f>IF('Interpreted Data'!P330="","",CONCATENATE(";",'Interpreted Data'!P330))</f>
        <v>;(sketches of  GD-GG and GG-GF-EA))</v>
      </c>
    </row>
    <row r="331" spans="1:6"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c r="F331" s="18" t="str">
        <f>IF('Interpreted Data'!P331="","",CONCATENATE(";",'Interpreted Data'!P331))</f>
        <v/>
      </c>
    </row>
    <row r="332" spans="1:6"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c r="F332" s="18" t="str">
        <f>IF('Interpreted Data'!P332="","",CONCATENATE(";",'Interpreted Data'!P332))</f>
        <v/>
      </c>
    </row>
    <row r="333" spans="1:6" x14ac:dyDescent="0.25">
      <c r="A333" s="18" t="str">
        <f>CONCATENATE(";",'Interpreted Data'!A333)</f>
        <v>;GG</v>
      </c>
      <c r="B333" t="str">
        <f>'Interpreted Data'!B333</f>
        <v/>
      </c>
      <c r="C333" s="2"/>
      <c r="D333" s="10"/>
      <c r="E333" s="11"/>
      <c r="F333" s="18" t="str">
        <f>IF('Interpreted Data'!P333="","",CONCATENATE(";",'Interpreted Data'!P333))</f>
        <v/>
      </c>
    </row>
    <row r="334" spans="1:6" x14ac:dyDescent="0.25">
      <c r="A334" s="18" t="str">
        <f>CONCATENATE(";",'Interpreted Data'!A334)</f>
        <v>;p. 69-70</v>
      </c>
      <c r="B334" t="str">
        <f>'Interpreted Data'!B334</f>
        <v>(=PDF p.71-72)</v>
      </c>
      <c r="C334" s="2"/>
      <c r="D334" s="10"/>
      <c r="E334" s="11"/>
      <c r="F334" s="18" t="str">
        <f>IF('Interpreted Data'!P334="","",CONCATENATE(";",'Interpreted Data'!P334))</f>
        <v/>
      </c>
    </row>
    <row r="335" spans="1:6"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c r="F335" s="18" t="str">
        <f>IF('Interpreted Data'!P335="","",CONCATENATE(";",'Interpreted Data'!P335))</f>
        <v/>
      </c>
    </row>
    <row r="336" spans="1:6" x14ac:dyDescent="0.25">
      <c r="A336" s="18" t="str">
        <f>CONCATENATE(";",'Interpreted Data'!A336)</f>
        <v>;EA</v>
      </c>
      <c r="B336" t="str">
        <f>'Interpreted Data'!B336</f>
        <v/>
      </c>
      <c r="C336" s="2"/>
      <c r="D336" s="10"/>
      <c r="E336" s="11"/>
      <c r="F336" s="18" t="str">
        <f>IF('Interpreted Data'!P336="","",CONCATENATE(";",'Interpreted Data'!P336))</f>
        <v>;Vert error 0.7' in 298' = 0.23%</v>
      </c>
    </row>
    <row r="337" spans="1:6"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c r="F337" s="18" t="str">
        <f>IF('Interpreted Data'!P337="","",CONCATENATE(";",'Interpreted Data'!P337))</f>
        <v>;See p.56</v>
      </c>
    </row>
    <row r="338" spans="1:6"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c r="F338" s="18" t="str">
        <f>IF('Interpreted Data'!P338="","",CONCATENATE(";",'Interpreted Data'!P338))</f>
        <v/>
      </c>
    </row>
    <row r="339" spans="1:6"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c r="F339" s="18" t="str">
        <f>IF('Interpreted Data'!P339="","",CONCATENATE(";",'Interpreted Data'!P339))</f>
        <v/>
      </c>
    </row>
    <row r="340" spans="1:6"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c r="F340" s="18" t="str">
        <f>IF('Interpreted Data'!P340="","",CONCATENATE(";",'Interpreted Data'!P340))</f>
        <v/>
      </c>
    </row>
    <row r="341" spans="1:6"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c r="F341" s="18" t="str">
        <f>IF('Interpreted Data'!P341="","",CONCATENATE(";",'Interpreted Data'!P341))</f>
        <v/>
      </c>
    </row>
    <row r="342" spans="1:6"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c r="F342" s="18" t="str">
        <f>IF('Interpreted Data'!P342="","",CONCATENATE(";",'Interpreted Data'!P342))</f>
        <v/>
      </c>
    </row>
    <row r="343" spans="1:6"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c r="F343" s="18" t="str">
        <f>IF('Interpreted Data'!P343="","",CONCATENATE(";",'Interpreted Data'!P343))</f>
        <v/>
      </c>
    </row>
    <row r="344" spans="1:6"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c r="F344" s="18" t="str">
        <f>IF('Interpreted Data'!P344="","",CONCATENATE(";",'Interpreted Data'!P344))</f>
        <v/>
      </c>
    </row>
    <row r="345" spans="1:6"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c r="F345" s="18" t="str">
        <f>IF('Interpreted Data'!P345="","",CONCATENATE(";",'Interpreted Data'!P345))</f>
        <v>;Sketch marks GP as 'stream on stalagmite'</v>
      </c>
    </row>
    <row r="346" spans="1:6"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c r="F346" s="18" t="str">
        <f>IF('Interpreted Data'!P346="","",CONCATENATE(";",'Interpreted Data'!P346))</f>
        <v>;Sketch marks GQ as 'on boss'</v>
      </c>
    </row>
    <row r="347" spans="1:6"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c r="F347" s="18" t="str">
        <f>IF('Interpreted Data'!P347="","",CONCATENATE(";",'Interpreted Data'!P347))</f>
        <v/>
      </c>
    </row>
    <row r="348" spans="1:6" x14ac:dyDescent="0.25">
      <c r="A348" s="18" t="str">
        <f>CONCATENATE(";",'Interpreted Data'!A348)</f>
        <v>;GR</v>
      </c>
      <c r="B348" t="str">
        <f>'Interpreted Data'!B348</f>
        <v/>
      </c>
      <c r="C348" s="2"/>
      <c r="D348" s="10"/>
      <c r="E348" s="11"/>
      <c r="F348" s="18" t="str">
        <f>IF('Interpreted Data'!P348="","",CONCATENATE(";",'Interpreted Data'!P348))</f>
        <v>;Vert error 0.1' in 670' = 0.015%!</v>
      </c>
    </row>
    <row r="349" spans="1:6" x14ac:dyDescent="0.25">
      <c r="A349" t="str">
        <f>'Interpreted Data'!A349</f>
        <v/>
      </c>
      <c r="B349" t="str">
        <f>'Interpreted Data'!B349</f>
        <v/>
      </c>
      <c r="C349" s="2"/>
      <c r="D349" s="10"/>
      <c r="E349" s="11"/>
      <c r="F349" s="18" t="str">
        <f>IF('Interpreted Data'!P349="","",CONCATENATE(";",'Interpreted Data'!P349))</f>
        <v>;Totals (unclear in scan)(7,005'?) then (7445'?)</v>
      </c>
    </row>
    <row r="350" spans="1:6" x14ac:dyDescent="0.25">
      <c r="A350" s="18" t="str">
        <f>CONCATENATE(";",'Interpreted Data'!A350)</f>
        <v>;August 30th 1953</v>
      </c>
      <c r="B350" t="str">
        <f>'Interpreted Data'!B350</f>
        <v/>
      </c>
      <c r="C350" s="2"/>
      <c r="D350" s="10"/>
      <c r="E350" s="11"/>
      <c r="F350" s="18" t="str">
        <f>IF('Interpreted Data'!P350="","",CONCATENATE(";",'Interpreted Data'!P350))</f>
        <v/>
      </c>
    </row>
    <row r="351" spans="1:6"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c r="F351" s="18" t="str">
        <f>IF('Interpreted Data'!P351="","",CONCATENATE(";",'Interpreted Data'!P351))</f>
        <v/>
      </c>
    </row>
    <row r="352" spans="1:6"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c r="F352" s="18" t="str">
        <f>IF('Interpreted Data'!P352="","",CONCATENATE(";",'Interpreted Data'!P352))</f>
        <v/>
      </c>
    </row>
    <row r="353" spans="1:6"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c r="F353" s="18" t="str">
        <f>IF('Interpreted Data'!P353="","",CONCATENATE(";",'Interpreted Data'!P353))</f>
        <v/>
      </c>
    </row>
    <row r="354" spans="1:6"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c r="F354" s="18" t="str">
        <f>IF('Interpreted Data'!P354="","",CONCATENATE(";",'Interpreted Data'!P354))</f>
        <v/>
      </c>
    </row>
    <row r="355" spans="1:6"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c r="F355" s="18" t="str">
        <f>IF('Interpreted Data'!P355="","",CONCATENATE(";",'Interpreted Data'!P355))</f>
        <v/>
      </c>
    </row>
    <row r="356" spans="1:6"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c r="F356" s="18" t="str">
        <f>IF('Interpreted Data'!P356="","",CONCATENATE(";",'Interpreted Data'!P356))</f>
        <v/>
      </c>
    </row>
    <row r="357" spans="1:6"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c r="F357" s="18" t="str">
        <f>IF('Interpreted Data'!P357="","",CONCATENATE(";",'Interpreted Data'!P357))</f>
        <v/>
      </c>
    </row>
    <row r="358" spans="1:6"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c r="F358" s="18" t="str">
        <f>IF('Interpreted Data'!P358="","",CONCATENATE(";",'Interpreted Data'!P358))</f>
        <v/>
      </c>
    </row>
    <row r="359" spans="1:6"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c r="F359" s="18" t="str">
        <f>IF('Interpreted Data'!P359="","",CONCATENATE(";",'Interpreted Data'!P359))</f>
        <v/>
      </c>
    </row>
    <row r="360" spans="1:6"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c r="F360" s="18" t="str">
        <f>IF('Interpreted Data'!P360="","",CONCATENATE(";",'Interpreted Data'!P360))</f>
        <v/>
      </c>
    </row>
    <row r="361" spans="1:6"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c r="F361" s="18" t="str">
        <f>IF('Interpreted Data'!P361="","",CONCATENATE(";",'Interpreted Data'!P361))</f>
        <v/>
      </c>
    </row>
    <row r="362" spans="1:6"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c r="F362" s="18" t="str">
        <f>IF('Interpreted Data'!P362="","",CONCATENATE(";",'Interpreted Data'!P362))</f>
        <v/>
      </c>
    </row>
    <row r="363" spans="1:6"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c r="F363" s="18" t="str">
        <f>IF('Interpreted Data'!P363="","",CONCATENATE(";",'Interpreted Data'!P363))</f>
        <v/>
      </c>
    </row>
    <row r="364" spans="1:6"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c r="F364" s="18" t="str">
        <f>IF('Interpreted Data'!P364="","",CONCATENATE(";",'Interpreted Data'!P364))</f>
        <v/>
      </c>
    </row>
    <row r="365" spans="1:6"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c r="F365" s="18" t="str">
        <f>IF('Interpreted Data'!P365="","",CONCATENATE(";",'Interpreted Data'!P365))</f>
        <v/>
      </c>
    </row>
    <row r="366" spans="1:6"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c r="F366" s="18" t="str">
        <f>IF('Interpreted Data'!P366="","",CONCATENATE(";",'Interpreted Data'!P366))</f>
        <v/>
      </c>
    </row>
    <row r="367" spans="1:6"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c r="F367" s="18" t="str">
        <f>IF('Interpreted Data'!P367="","",CONCATENATE(";",'Interpreted Data'!P367))</f>
        <v/>
      </c>
    </row>
    <row r="368" spans="1:6"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c r="F368" s="18" t="str">
        <f>IF('Interpreted Data'!P368="","",CONCATENATE(";",'Interpreted Data'!P368))</f>
        <v/>
      </c>
    </row>
    <row r="369" spans="1:6"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c r="F369" s="18" t="str">
        <f>IF('Interpreted Data'!P369="","",CONCATENATE(";",'Interpreted Data'!P369))</f>
        <v/>
      </c>
    </row>
    <row r="370" spans="1:6"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c r="F370" s="18" t="str">
        <f>IF('Interpreted Data'!P370="","",CONCATENATE(";",'Interpreted Data'!P370))</f>
        <v/>
      </c>
    </row>
    <row r="371" spans="1:6"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c r="F371" s="18" t="str">
        <f>IF('Interpreted Data'!P371="","",CONCATENATE(";",'Interpreted Data'!P371))</f>
        <v/>
      </c>
    </row>
    <row r="372" spans="1:6"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c r="F372" s="18" t="str">
        <f>IF('Interpreted Data'!P372="","",CONCATENATE(";",'Interpreted Data'!P372))</f>
        <v/>
      </c>
    </row>
    <row r="373" spans="1:6"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c r="F373" s="18" t="str">
        <f>IF('Interpreted Data'!P373="","",CONCATENATE(";",'Interpreted Data'!P373))</f>
        <v/>
      </c>
    </row>
    <row r="374" spans="1:6"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c r="F374" s="18" t="str">
        <f>IF('Interpreted Data'!P374="","",CONCATENATE(";",'Interpreted Data'!P374))</f>
        <v/>
      </c>
    </row>
    <row r="375" spans="1:6"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c r="F375" s="18" t="str">
        <f>IF('Interpreted Data'!P375="","",CONCATENATE(";",'Interpreted Data'!P375))</f>
        <v/>
      </c>
    </row>
    <row r="376" spans="1:6"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c r="F376" s="18" t="str">
        <f>IF('Interpreted Data'!P376="","",CONCATENATE(";",'Interpreted Data'!P376))</f>
        <v/>
      </c>
    </row>
    <row r="377" spans="1:6"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c r="F377" s="18" t="str">
        <f>IF('Interpreted Data'!P377="","",CONCATENATE(";",'Interpreted Data'!P377))</f>
        <v/>
      </c>
    </row>
    <row r="378" spans="1:6"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c r="F378" s="18" t="str">
        <f>IF('Interpreted Data'!P378="","",CONCATENATE(";",'Interpreted Data'!P378))</f>
        <v/>
      </c>
    </row>
    <row r="379" spans="1:6"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c r="F379" s="18" t="str">
        <f>IF('Interpreted Data'!P379="","",CONCATENATE(";",'Interpreted Data'!P379))</f>
        <v/>
      </c>
    </row>
    <row r="380" spans="1:6"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c r="F380" s="18" t="str">
        <f>IF('Interpreted Data'!P380="","",CONCATENATE(";",'Interpreted Data'!P380))</f>
        <v/>
      </c>
    </row>
    <row r="381" spans="1:6"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c r="F381" s="18" t="str">
        <f>IF('Interpreted Data'!P381="","",CONCATENATE(";",'Interpreted Data'!P381))</f>
        <v/>
      </c>
    </row>
    <row r="382" spans="1:6" x14ac:dyDescent="0.25">
      <c r="A382" s="18" t="str">
        <f>CONCATENATE(";",'Interpreted Data'!A382)</f>
        <v>;p. 71-72</v>
      </c>
      <c r="B382" t="str">
        <f>'Interpreted Data'!B382</f>
        <v>(=PDF p.73-74)</v>
      </c>
      <c r="C382" s="2"/>
      <c r="D382" s="10"/>
      <c r="E382" s="11"/>
      <c r="F382" s="18" t="str">
        <f>IF('Interpreted Data'!P382="","",CONCATENATE(";",'Interpreted Data'!P382))</f>
        <v/>
      </c>
    </row>
    <row r="383" spans="1:6"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c r="F383" s="18" t="str">
        <f>IF('Interpreted Data'!P383="","",CONCATENATE(";",'Interpreted Data'!P383))</f>
        <v/>
      </c>
    </row>
    <row r="384" spans="1:6"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c r="F384" s="18" t="str">
        <f>IF('Interpreted Data'!P384="","",CONCATENATE(";",'Interpreted Data'!P384))</f>
        <v/>
      </c>
    </row>
    <row r="385" spans="1:6"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c r="F385" s="18" t="str">
        <f>IF('Interpreted Data'!P385="","",CONCATENATE(";",'Interpreted Data'!P385))</f>
        <v/>
      </c>
    </row>
    <row r="386" spans="1:6"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c r="F386" s="18" t="str">
        <f>IF('Interpreted Data'!P386="","",CONCATENATE(";",'Interpreted Data'!P386))</f>
        <v/>
      </c>
    </row>
    <row r="387" spans="1:6"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c r="F387" s="18" t="str">
        <f>IF('Interpreted Data'!P387="","",CONCATENATE(";",'Interpreted Data'!P387))</f>
        <v/>
      </c>
    </row>
    <row r="388" spans="1:6" x14ac:dyDescent="0.25">
      <c r="A388" s="18" t="str">
        <f>CONCATENATE(";",'Interpreted Data'!A388)</f>
        <v>;95</v>
      </c>
      <c r="B388" t="str">
        <f>'Interpreted Data'!B388</f>
        <v/>
      </c>
      <c r="C388" s="2"/>
      <c r="D388" s="10"/>
      <c r="E388" s="11"/>
      <c r="F388" s="18" t="str">
        <f>IF('Interpreted Data'!P388="","",CONCATENATE(";",'Interpreted Data'!P388))</f>
        <v/>
      </c>
    </row>
    <row r="389" spans="1:6" x14ac:dyDescent="0.25">
      <c r="C389" s="2"/>
      <c r="D389" s="10"/>
      <c r="E389" s="11"/>
      <c r="F389" s="18" t="str">
        <f>IF('Interpreted Data'!P389="","",CONCATENATE(";",'Interpreted Data'!P389))</f>
        <v/>
      </c>
    </row>
    <row r="390" spans="1:6" x14ac:dyDescent="0.25">
      <c r="A390" s="18" t="str">
        <f>CONCATENATE(";",'Interpreted Data'!A390)</f>
        <v>;21-22nd April 1957</v>
      </c>
      <c r="B390" t="str">
        <f>'Interpreted Data'!B390</f>
        <v>Chris Hawkes</v>
      </c>
      <c r="C390" t="str">
        <f>'Interpreted Data'!C390</f>
        <v>Paradise Regained, Mud Sump to Blue Pencil Passage</v>
      </c>
      <c r="F390" s="18" t="str">
        <f>IF('Interpreted Data'!P390="","",CONCATENATE(";",'Interpreted Data'!P390))</f>
        <v/>
      </c>
    </row>
    <row r="391" spans="1:6" x14ac:dyDescent="0.25">
      <c r="A391" t="str">
        <f>CONCATENATE('Interpreted Data'!A391,"3")</f>
        <v>ag3</v>
      </c>
      <c r="B391">
        <f>'Interpreted Data'!B391</f>
        <v>98</v>
      </c>
      <c r="C391" s="2">
        <f>'Interpreted Data'!J391/$G$1</f>
        <v>1.0060975609756098</v>
      </c>
      <c r="D391" s="10">
        <f>'Interpreted Data'!T391</f>
        <v>144</v>
      </c>
      <c r="E391" s="11">
        <f>IF(D391="-",IF('Interpreted Data'!U391=-90,"-V",IF('Interpreted Data'!U391=90,"+V",'Interpreted Data'!U391)),'Interpreted Data'!U391)</f>
        <v>23</v>
      </c>
      <c r="F391" s="18" t="str">
        <f>IF('Interpreted Data'!P391="","",CONCATENATE(";",'Interpreted Data'!P391))</f>
        <v>;ag on page 65</v>
      </c>
    </row>
    <row r="392" spans="1:6" x14ac:dyDescent="0.25">
      <c r="A392">
        <f>'Interpreted Data'!A392</f>
        <v>98</v>
      </c>
      <c r="B392">
        <f>'Interpreted Data'!B392</f>
        <v>99</v>
      </c>
      <c r="C392" s="2">
        <f>'Interpreted Data'!J392/$G$1</f>
        <v>5.9451219512195124</v>
      </c>
      <c r="D392" s="10">
        <f>'Interpreted Data'!T392</f>
        <v>262.75</v>
      </c>
      <c r="E392" s="11">
        <f>IF(D392="-",IF('Interpreted Data'!U392=-90,"-V",IF('Interpreted Data'!U392=90,"+V",'Interpreted Data'!U392)),'Interpreted Data'!U392)</f>
        <v>-19.5</v>
      </c>
      <c r="F392" s="18" t="str">
        <f>IF('Interpreted Data'!P392="","",CONCATENATE(";",'Interpreted Data'!P392))</f>
        <v/>
      </c>
    </row>
    <row r="393" spans="1:6" x14ac:dyDescent="0.25">
      <c r="A393">
        <f>'Interpreted Data'!A393</f>
        <v>99</v>
      </c>
      <c r="B393">
        <f>'Interpreted Data'!B393</f>
        <v>100</v>
      </c>
      <c r="C393" s="2">
        <f>'Interpreted Data'!J393/$G$1</f>
        <v>2.225609756097561</v>
      </c>
      <c r="D393" s="10">
        <f>'Interpreted Data'!T393</f>
        <v>262</v>
      </c>
      <c r="E393" s="11">
        <f>IF(D393="-",IF('Interpreted Data'!U393=-90,"-V",IF('Interpreted Data'!U393=90,"+V",'Interpreted Data'!U393)),'Interpreted Data'!U393)</f>
        <v>1.5699438282612768</v>
      </c>
      <c r="F393" s="18" t="str">
        <f>IF('Interpreted Data'!P393="","",CONCATENATE(";",'Interpreted Data'!P393))</f>
        <v>;Near side of pool in Mud sump</v>
      </c>
    </row>
    <row r="394" spans="1:6" x14ac:dyDescent="0.25">
      <c r="A394">
        <f>'Interpreted Data'!A394</f>
        <v>100</v>
      </c>
      <c r="B394">
        <f>'Interpreted Data'!B394</f>
        <v>101</v>
      </c>
      <c r="C394" s="2">
        <f>'Interpreted Data'!J394/$G$1</f>
        <v>3.2012195121951224</v>
      </c>
      <c r="D394" s="10">
        <f>'Interpreted Data'!T394</f>
        <v>213.33333333333334</v>
      </c>
      <c r="E394" s="11">
        <f>IF(D394="-",IF('Interpreted Data'!U394=-90,"-V",IF('Interpreted Data'!U394=90,"+V",'Interpreted Data'!U394)),'Interpreted Data'!U394)</f>
        <v>38.333333330000002</v>
      </c>
      <c r="F394" s="18" t="str">
        <f>IF('Interpreted Data'!P394="","",CONCATENATE(";",'Interpreted Data'!P394))</f>
        <v>;Far side of pool in Mud sump</v>
      </c>
    </row>
    <row r="395" spans="1:6" x14ac:dyDescent="0.25">
      <c r="A395">
        <f>'Interpreted Data'!A395</f>
        <v>101</v>
      </c>
      <c r="B395">
        <f>'Interpreted Data'!B395</f>
        <v>102</v>
      </c>
      <c r="C395" s="2">
        <f>'Interpreted Data'!J395/$G$1</f>
        <v>4.725609756097561</v>
      </c>
      <c r="D395" s="10">
        <f>'Interpreted Data'!T395</f>
        <v>185.16666666666666</v>
      </c>
      <c r="E395" s="11">
        <f>IF(D395="-",IF('Interpreted Data'!U395=-90,"-V",IF('Interpreted Data'!U395=90,"+V",'Interpreted Data'!U395)),'Interpreted Data'!U395)</f>
        <v>-7</v>
      </c>
      <c r="F395" s="18" t="str">
        <f>IF('Interpreted Data'!P395="","",CONCATENATE(";",'Interpreted Data'!P395))</f>
        <v/>
      </c>
    </row>
    <row r="396" spans="1:6" x14ac:dyDescent="0.25">
      <c r="A396">
        <f>'Interpreted Data'!A396</f>
        <v>102</v>
      </c>
      <c r="B396">
        <f>'Interpreted Data'!B396</f>
        <v>103</v>
      </c>
      <c r="C396" s="2">
        <f>'Interpreted Data'!J396/$G$1</f>
        <v>8.8109756097560972</v>
      </c>
      <c r="D396" s="10">
        <f>'Interpreted Data'!T396</f>
        <v>143.33333333333334</v>
      </c>
      <c r="E396" s="11">
        <f>IF(D396="-",IF('Interpreted Data'!U396=-90,"-V",IF('Interpreted Data'!U396=90,"+V",'Interpreted Data'!U396)),'Interpreted Data'!U396)</f>
        <v>20.5</v>
      </c>
      <c r="F396" s="18" t="str">
        <f>IF('Interpreted Data'!P396="","",CONCATENATE(";",'Interpreted Data'!P396))</f>
        <v/>
      </c>
    </row>
    <row r="397" spans="1:6" x14ac:dyDescent="0.25">
      <c r="A397">
        <f>'Interpreted Data'!A397</f>
        <v>103</v>
      </c>
      <c r="B397">
        <f>'Interpreted Data'!B397</f>
        <v>104</v>
      </c>
      <c r="C397" s="2">
        <f>'Interpreted Data'!J397/$G$1</f>
        <v>2.2865853658536586</v>
      </c>
      <c r="D397" s="10">
        <f>'Interpreted Data'!T397</f>
        <v>161.5</v>
      </c>
      <c r="E397" s="11">
        <f>IF(D397="-",IF('Interpreted Data'!U397=-90,"-V",IF('Interpreted Data'!U397=90,"+V",'Interpreted Data'!U397)),'Interpreted Data'!U397)</f>
        <v>-12.5</v>
      </c>
      <c r="F397" s="18" t="str">
        <f>IF('Interpreted Data'!P397="","",CONCATENATE(";",'Interpreted Data'!P397))</f>
        <v/>
      </c>
    </row>
    <row r="398" spans="1:6" x14ac:dyDescent="0.25">
      <c r="A398">
        <f>'Interpreted Data'!A398</f>
        <v>104</v>
      </c>
      <c r="B398">
        <f>'Interpreted Data'!B398</f>
        <v>105</v>
      </c>
      <c r="C398" s="2">
        <f>'Interpreted Data'!J398/$G$1</f>
        <v>2.0426829268292686</v>
      </c>
      <c r="D398" s="10">
        <f>'Interpreted Data'!T398</f>
        <v>116.66666666666667</v>
      </c>
      <c r="E398" s="11">
        <f>IF(D398="-",IF('Interpreted Data'!U398=-90,"-V",IF('Interpreted Data'!U398=90,"+V",'Interpreted Data'!U398)),'Interpreted Data'!U398)</f>
        <v>10.5</v>
      </c>
      <c r="F398" s="18" t="str">
        <f>IF('Interpreted Data'!P398="","",CONCATENATE(";",'Interpreted Data'!P398))</f>
        <v/>
      </c>
    </row>
    <row r="399" spans="1:6" x14ac:dyDescent="0.25">
      <c r="A399">
        <f>'Interpreted Data'!A399</f>
        <v>105</v>
      </c>
      <c r="B399">
        <f>'Interpreted Data'!B399</f>
        <v>106</v>
      </c>
      <c r="C399" s="2">
        <f>'Interpreted Data'!J399/$G$1</f>
        <v>6.1585365853658542</v>
      </c>
      <c r="D399" s="10">
        <f>'Interpreted Data'!T399</f>
        <v>139.66666666666666</v>
      </c>
      <c r="E399" s="11">
        <f>IF(D399="-",IF('Interpreted Data'!U399=-90,"-V",IF('Interpreted Data'!U399=90,"+V",'Interpreted Data'!U399)),'Interpreted Data'!U399)</f>
        <v>8.5</v>
      </c>
      <c r="F399" s="18" t="str">
        <f>IF('Interpreted Data'!P399="","",CONCATENATE(";",'Interpreted Data'!P399))</f>
        <v/>
      </c>
    </row>
    <row r="400" spans="1:6" x14ac:dyDescent="0.25">
      <c r="A400">
        <f>'Interpreted Data'!A400</f>
        <v>106</v>
      </c>
      <c r="B400">
        <f>'Interpreted Data'!B400</f>
        <v>107</v>
      </c>
      <c r="C400" s="2">
        <f>'Interpreted Data'!J400/$G$1</f>
        <v>1.0060975609756098</v>
      </c>
      <c r="D400" s="10">
        <f>'Interpreted Data'!T400</f>
        <v>295</v>
      </c>
      <c r="E400" s="11">
        <f>IF(D400="-",IF('Interpreted Data'!U400=-90,"-V",IF('Interpreted Data'!U400=90,"+V",'Interpreted Data'!U400)),'Interpreted Data'!U400)</f>
        <v>6</v>
      </c>
      <c r="F400" s="18" t="str">
        <f>IF('Interpreted Data'!P400="","",CONCATENATE(";",'Interpreted Data'!P400))</f>
        <v/>
      </c>
    </row>
    <row r="401" spans="1:6" x14ac:dyDescent="0.25">
      <c r="A401">
        <f>'Interpreted Data'!A401</f>
        <v>107</v>
      </c>
      <c r="B401">
        <f>'Interpreted Data'!B401</f>
        <v>108</v>
      </c>
      <c r="C401" s="2">
        <f>'Interpreted Data'!J401/$G$1</f>
        <v>4.5731707317073171</v>
      </c>
      <c r="D401" s="10">
        <f>'Interpreted Data'!T401</f>
        <v>155</v>
      </c>
      <c r="E401" s="11">
        <f>IF(D401="-",IF('Interpreted Data'!U401=-90,"-V",IF('Interpreted Data'!U401=90,"+V",'Interpreted Data'!U401)),'Interpreted Data'!U401)</f>
        <v>-8.8333333300000003</v>
      </c>
      <c r="F401" s="18" t="str">
        <f>IF('Interpreted Data'!P401="","",CONCATENATE(";",'Interpreted Data'!P401))</f>
        <v/>
      </c>
    </row>
    <row r="402" spans="1:6" x14ac:dyDescent="0.25">
      <c r="A402">
        <f>'Interpreted Data'!A402</f>
        <v>108</v>
      </c>
      <c r="B402">
        <f>'Interpreted Data'!B402</f>
        <v>109</v>
      </c>
      <c r="C402" s="2">
        <f>'Interpreted Data'!J402/$G$1</f>
        <v>12.256097560975611</v>
      </c>
      <c r="D402" s="10">
        <f>'Interpreted Data'!T402</f>
        <v>236.66666666666666</v>
      </c>
      <c r="E402" s="11">
        <f>IF(D402="-",IF('Interpreted Data'!U402=-90,"-V",IF('Interpreted Data'!U402=90,"+V",'Interpreted Data'!U402)),'Interpreted Data'!U402)</f>
        <v>7.5</v>
      </c>
      <c r="F402" s="18" t="str">
        <f>IF('Interpreted Data'!P402="","",CONCATENATE(";",'Interpreted Data'!P402))</f>
        <v/>
      </c>
    </row>
    <row r="403" spans="1:6" x14ac:dyDescent="0.25">
      <c r="A403">
        <f>'Interpreted Data'!A403</f>
        <v>109</v>
      </c>
      <c r="B403">
        <f>'Interpreted Data'!B403</f>
        <v>110</v>
      </c>
      <c r="C403" s="2">
        <f>'Interpreted Data'!J403/$G$1</f>
        <v>6.2195121951219514</v>
      </c>
      <c r="D403" s="10">
        <f>'Interpreted Data'!T403</f>
        <v>247</v>
      </c>
      <c r="E403" s="11">
        <f>IF(D403="-",IF('Interpreted Data'!U403=-90,"-V",IF('Interpreted Data'!U403=90,"+V",'Interpreted Data'!U403)),'Interpreted Data'!U403)</f>
        <v>-24.5</v>
      </c>
      <c r="F403" s="18" t="str">
        <f>IF('Interpreted Data'!P403="","",CONCATENATE(";",'Interpreted Data'!P403))</f>
        <v/>
      </c>
    </row>
    <row r="404" spans="1:6" x14ac:dyDescent="0.25">
      <c r="A404">
        <f>'Interpreted Data'!A404</f>
        <v>110</v>
      </c>
      <c r="B404">
        <f>'Interpreted Data'!B404</f>
        <v>111</v>
      </c>
      <c r="C404" s="2">
        <f>'Interpreted Data'!J404/$G$1</f>
        <v>7.9268292682926838</v>
      </c>
      <c r="D404" s="10">
        <f>'Interpreted Data'!T404</f>
        <v>248.5</v>
      </c>
      <c r="E404" s="11">
        <f>IF(D404="-",IF('Interpreted Data'!U404=-90,"-V",IF('Interpreted Data'!U404=90,"+V",'Interpreted Data'!U404)),'Interpreted Data'!U404)</f>
        <v>20.5</v>
      </c>
      <c r="F404" s="18" t="str">
        <f>IF('Interpreted Data'!P404="","",CONCATENATE(";",'Interpreted Data'!P404))</f>
        <v/>
      </c>
    </row>
    <row r="405" spans="1:6" x14ac:dyDescent="0.25">
      <c r="A405">
        <f>'Interpreted Data'!A405</f>
        <v>111</v>
      </c>
      <c r="B405">
        <f>'Interpreted Data'!B405</f>
        <v>112</v>
      </c>
      <c r="C405" s="2">
        <f>'Interpreted Data'!J405/$G$1</f>
        <v>9.6036585365853657</v>
      </c>
      <c r="D405" s="10">
        <f>'Interpreted Data'!T405</f>
        <v>259.5</v>
      </c>
      <c r="E405" s="11">
        <f>IF(D405="-",IF('Interpreted Data'!U405=-90,"-V",IF('Interpreted Data'!U405=90,"+V",'Interpreted Data'!U405)),'Interpreted Data'!U405)</f>
        <v>-14.666666660000001</v>
      </c>
      <c r="F405" s="18" t="str">
        <f>IF('Interpreted Data'!P405="","",CONCATENATE(";",'Interpreted Data'!P405))</f>
        <v/>
      </c>
    </row>
    <row r="406" spans="1:6" x14ac:dyDescent="0.25">
      <c r="A406">
        <f>'Interpreted Data'!A406</f>
        <v>112</v>
      </c>
      <c r="B406">
        <f>'Interpreted Data'!B406</f>
        <v>113</v>
      </c>
      <c r="C406" s="2">
        <f>'Interpreted Data'!J406/$G$1</f>
        <v>4.2378048780487809</v>
      </c>
      <c r="D406" s="10">
        <f>'Interpreted Data'!T406</f>
        <v>231</v>
      </c>
      <c r="E406" s="11">
        <f>IF(D406="-",IF('Interpreted Data'!U406=-90,"-V",IF('Interpreted Data'!U406=90,"+V",'Interpreted Data'!U406)),'Interpreted Data'!U406)</f>
        <v>-12.5</v>
      </c>
      <c r="F406" s="18" t="str">
        <f>IF('Interpreted Data'!P406="","",CONCATENATE(";",'Interpreted Data'!P406))</f>
        <v/>
      </c>
    </row>
    <row r="407" spans="1:6" x14ac:dyDescent="0.25">
      <c r="A407">
        <f>'Interpreted Data'!A407</f>
        <v>113</v>
      </c>
      <c r="B407">
        <f>'Interpreted Data'!B407</f>
        <v>114</v>
      </c>
      <c r="C407" s="2">
        <f>'Interpreted Data'!J407/$G$1</f>
        <v>5.3963414634146343</v>
      </c>
      <c r="D407" s="10">
        <f>'Interpreted Data'!T407</f>
        <v>290</v>
      </c>
      <c r="E407" s="11">
        <f>IF(D407="-",IF('Interpreted Data'!U407=-90,"-V",IF('Interpreted Data'!U407=90,"+V",'Interpreted Data'!U407)),'Interpreted Data'!U407)</f>
        <v>49</v>
      </c>
      <c r="F407" s="18" t="str">
        <f>IF('Interpreted Data'!P407="","",CONCATENATE(";",'Interpreted Data'!P407))</f>
        <v>;Foot of Mud Shute</v>
      </c>
    </row>
    <row r="408" spans="1:6" x14ac:dyDescent="0.25">
      <c r="A408">
        <f>'Interpreted Data'!A408</f>
        <v>114</v>
      </c>
      <c r="B408">
        <f>'Interpreted Data'!B408</f>
        <v>115</v>
      </c>
      <c r="C408" s="2">
        <f>'Interpreted Data'!J408/$G$1</f>
        <v>2.3170731707317072</v>
      </c>
      <c r="D408" s="10">
        <f>'Interpreted Data'!T408</f>
        <v>312</v>
      </c>
      <c r="E408" s="11">
        <f>IF(D408="-",IF('Interpreted Data'!U408=-90,"-V",IF('Interpreted Data'!U408=90,"+V",'Interpreted Data'!U408)),'Interpreted Data'!U408)</f>
        <v>1</v>
      </c>
      <c r="F408" s="18" t="str">
        <f>IF('Interpreted Data'!P408="","",CONCATENATE(";",'Interpreted Data'!P408))</f>
        <v/>
      </c>
    </row>
    <row r="409" spans="1:6" x14ac:dyDescent="0.25">
      <c r="A409">
        <f>'Interpreted Data'!A409</f>
        <v>115</v>
      </c>
      <c r="B409">
        <f>'Interpreted Data'!B409</f>
        <v>116</v>
      </c>
      <c r="C409" s="2">
        <f>'Interpreted Data'!J409/$G$1</f>
        <v>3.0182926829268295</v>
      </c>
      <c r="D409" s="10">
        <f>'Interpreted Data'!T409</f>
        <v>256</v>
      </c>
      <c r="E409" s="11">
        <f>IF(D409="-",IF('Interpreted Data'!U409=-90,"-V",IF('Interpreted Data'!U409=90,"+V",'Interpreted Data'!U409)),'Interpreted Data'!U409)</f>
        <v>-14.5</v>
      </c>
      <c r="F409" s="18" t="str">
        <f>IF('Interpreted Data'!P409="","",CONCATENATE(";",'Interpreted Data'!P409))</f>
        <v/>
      </c>
    </row>
    <row r="410" spans="1:6" x14ac:dyDescent="0.25">
      <c r="A410">
        <f>'Interpreted Data'!A410</f>
        <v>116</v>
      </c>
      <c r="B410">
        <f>'Interpreted Data'!B410</f>
        <v>117</v>
      </c>
      <c r="C410" s="2">
        <f>'Interpreted Data'!J410/$G$1</f>
        <v>6.036585365853659</v>
      </c>
      <c r="D410" s="10">
        <f>'Interpreted Data'!T410</f>
        <v>304.66666666666669</v>
      </c>
      <c r="E410" s="11">
        <f>IF(D410="-",IF('Interpreted Data'!U410=-90,"-V",IF('Interpreted Data'!U410=90,"+V",'Interpreted Data'!U410)),'Interpreted Data'!U410)</f>
        <v>-6.0882760441169816</v>
      </c>
      <c r="F410" s="18" t="str">
        <f>IF('Interpreted Data'!P410="","",CONCATENATE(";",'Interpreted Data'!P410))</f>
        <v>;Over 12' Drop. Candle put 1.1' lower for clino</v>
      </c>
    </row>
    <row r="411" spans="1:6" x14ac:dyDescent="0.25">
      <c r="A411">
        <f>'Interpreted Data'!A411</f>
        <v>117</v>
      </c>
      <c r="B411">
        <f>'Interpreted Data'!B411</f>
        <v>118</v>
      </c>
      <c r="C411" s="2">
        <f>'Interpreted Data'!J411/$G$1</f>
        <v>5.5182926829268304</v>
      </c>
      <c r="D411" s="10">
        <f>'Interpreted Data'!T411</f>
        <v>294.5</v>
      </c>
      <c r="E411" s="11">
        <f>IF(D411="-",IF('Interpreted Data'!U411=-90,"-V",IF('Interpreted Data'!U411=90,"+V",'Interpreted Data'!U411)),'Interpreted Data'!U411)</f>
        <v>-11.166666660000001</v>
      </c>
      <c r="F411" s="18" t="str">
        <f>IF('Interpreted Data'!P411="","",CONCATENATE(";",'Interpreted Data'!P411))</f>
        <v>;Double passage 2' on</v>
      </c>
    </row>
    <row r="412" spans="1:6" x14ac:dyDescent="0.25">
      <c r="A412">
        <f>'Interpreted Data'!A412</f>
        <v>118</v>
      </c>
      <c r="B412">
        <f>'Interpreted Data'!B412</f>
        <v>119</v>
      </c>
      <c r="C412" s="2">
        <f>'Interpreted Data'!J412/$G$1</f>
        <v>1.3109756097560976</v>
      </c>
      <c r="D412" s="10">
        <f>'Interpreted Data'!T412</f>
        <v>314</v>
      </c>
      <c r="E412" s="11">
        <f>IF(D412="-",IF('Interpreted Data'!U412=-90,"-V",IF('Interpreted Data'!U412=90,"+V",'Interpreted Data'!U412)),'Interpreted Data'!U412)</f>
        <v>41</v>
      </c>
      <c r="F412" s="18" t="str">
        <f>IF('Interpreted Data'!P412="","",CONCATENATE(";",'Interpreted Data'!P412))</f>
        <v/>
      </c>
    </row>
    <row r="413" spans="1:6" x14ac:dyDescent="0.25">
      <c r="A413">
        <f>'Interpreted Data'!A413</f>
        <v>119</v>
      </c>
      <c r="B413">
        <f>'Interpreted Data'!B413</f>
        <v>120</v>
      </c>
      <c r="C413" s="2">
        <f>'Interpreted Data'!J413/$G$1</f>
        <v>1.8902439024390245</v>
      </c>
      <c r="D413" s="10">
        <f>'Interpreted Data'!T413</f>
        <v>254</v>
      </c>
      <c r="E413" s="11">
        <f>IF(D413="-",IF('Interpreted Data'!U413=-90,"-V",IF('Interpreted Data'!U413=90,"+V",'Interpreted Data'!U413)),'Interpreted Data'!U413)</f>
        <v>-23.5</v>
      </c>
      <c r="F413" s="18" t="str">
        <f>IF('Interpreted Data'!P413="","",CONCATENATE(";",'Interpreted Data'!P413))</f>
        <v>;On rock rib</v>
      </c>
    </row>
    <row r="414" spans="1:6" x14ac:dyDescent="0.25">
      <c r="A414">
        <f>'Interpreted Data'!A414</f>
        <v>120</v>
      </c>
      <c r="B414">
        <f>'Interpreted Data'!B414</f>
        <v>121</v>
      </c>
      <c r="C414" s="2">
        <f>'Interpreted Data'!J414/$G$1</f>
        <v>2.8048780487804876</v>
      </c>
      <c r="D414" s="10">
        <f>'Interpreted Data'!T414</f>
        <v>222</v>
      </c>
      <c r="E414" s="11">
        <f>IF(D414="-",IF('Interpreted Data'!U414=-90,"-V",IF('Interpreted Data'!U414=90,"+V",'Interpreted Data'!U414)),'Interpreted Data'!U414)</f>
        <v>0</v>
      </c>
      <c r="F414" s="18" t="str">
        <f>IF('Interpreted Data'!P414="","",CONCATENATE(";",'Interpreted Data'!P414))</f>
        <v/>
      </c>
    </row>
    <row r="415" spans="1:6" x14ac:dyDescent="0.25">
      <c r="A415">
        <f>'Interpreted Data'!A415</f>
        <v>121</v>
      </c>
      <c r="B415">
        <f>'Interpreted Data'!B415</f>
        <v>122</v>
      </c>
      <c r="C415" s="2">
        <f>'Interpreted Data'!J415/$G$1</f>
        <v>3.0487804878048781</v>
      </c>
      <c r="D415" s="10">
        <f>'Interpreted Data'!T415</f>
        <v>191.83333333333334</v>
      </c>
      <c r="E415" s="11">
        <f>IF(D415="-",IF('Interpreted Data'!U415=-90,"-V",IF('Interpreted Data'!U415=90,"+V",'Interpreted Data'!U415)),'Interpreted Data'!U415)</f>
        <v>24</v>
      </c>
      <c r="F415" s="18" t="str">
        <f>IF('Interpreted Data'!P415="","",CONCATENATE(";",'Interpreted Data'!P415))</f>
        <v/>
      </c>
    </row>
    <row r="416" spans="1:6" x14ac:dyDescent="0.25">
      <c r="A416">
        <f>'Interpreted Data'!A416</f>
        <v>122</v>
      </c>
      <c r="B416">
        <f>'Interpreted Data'!B416</f>
        <v>123</v>
      </c>
      <c r="C416" s="2">
        <f>'Interpreted Data'!J416/$G$1</f>
        <v>6.7073170731707323</v>
      </c>
      <c r="D416" s="10">
        <f>'Interpreted Data'!T416</f>
        <v>252.5</v>
      </c>
      <c r="E416" s="11">
        <f>IF(D416="-",IF('Interpreted Data'!U416=-90,"-V",IF('Interpreted Data'!U416=90,"+V",'Interpreted Data'!U416)),'Interpreted Data'!U416)</f>
        <v>-10</v>
      </c>
      <c r="F416" s="18" t="str">
        <f>IF('Interpreted Data'!P416="","",CONCATENATE(";",'Interpreted Data'!P416))</f>
        <v>;Passage (small) on left at 6'</v>
      </c>
    </row>
    <row r="417" spans="1:6" x14ac:dyDescent="0.25">
      <c r="A417">
        <f>'Interpreted Data'!A417</f>
        <v>123</v>
      </c>
      <c r="B417">
        <f>'Interpreted Data'!B417</f>
        <v>124</v>
      </c>
      <c r="C417" s="2">
        <f>'Interpreted Data'!J417/$G$1</f>
        <v>5.7012195121951219</v>
      </c>
      <c r="D417" s="10">
        <f>'Interpreted Data'!T417</f>
        <v>211</v>
      </c>
      <c r="E417" s="11">
        <f>IF(D417="-",IF('Interpreted Data'!U417=-90,"-V",IF('Interpreted Data'!U417=90,"+V",'Interpreted Data'!U417)),'Interpreted Data'!U417)</f>
        <v>16</v>
      </c>
      <c r="F417" s="18" t="str">
        <f>IF('Interpreted Data'!P417="","",CONCATENATE(";",'Interpreted Data'!P417))</f>
        <v/>
      </c>
    </row>
    <row r="418" spans="1:6" x14ac:dyDescent="0.25">
      <c r="A418">
        <f>'Interpreted Data'!A418</f>
        <v>124</v>
      </c>
      <c r="B418">
        <f>'Interpreted Data'!B418</f>
        <v>125</v>
      </c>
      <c r="C418" s="2">
        <f>'Interpreted Data'!J418/$G$1</f>
        <v>12.408536585365855</v>
      </c>
      <c r="D418" s="10">
        <f>'Interpreted Data'!T418</f>
        <v>281</v>
      </c>
      <c r="E418" s="11">
        <f>IF(D418="-",IF('Interpreted Data'!U418=-90,"-V",IF('Interpreted Data'!U418=90,"+V",'Interpreted Data'!U418)),'Interpreted Data'!U418)</f>
        <v>-14.25</v>
      </c>
      <c r="F418" s="18" t="str">
        <f>IF('Interpreted Data'!P418="","",CONCATENATE(";",'Interpreted Data'!P418))</f>
        <v>;Stn 124 marked by double ring on roof</v>
      </c>
    </row>
    <row r="419" spans="1:6" x14ac:dyDescent="0.25">
      <c r="A419">
        <f>'Interpreted Data'!A419</f>
        <v>125</v>
      </c>
      <c r="B419">
        <f>'Interpreted Data'!B419</f>
        <v>126</v>
      </c>
      <c r="C419" s="2">
        <f>'Interpreted Data'!J419/$G$1</f>
        <v>4.2073170731707323</v>
      </c>
      <c r="D419" s="10">
        <f>'Interpreted Data'!T419</f>
        <v>327.25</v>
      </c>
      <c r="E419" s="11">
        <f>IF(D419="-",IF('Interpreted Data'!U419=-90,"-V",IF('Interpreted Data'!U419=90,"+V",'Interpreted Data'!U419)),'Interpreted Data'!U419)</f>
        <v>5.5</v>
      </c>
      <c r="F419" s="18" t="str">
        <f>IF('Interpreted Data'!P419="","",CONCATENATE(";",'Interpreted Data'!P419))</f>
        <v/>
      </c>
    </row>
    <row r="420" spans="1:6" x14ac:dyDescent="0.25">
      <c r="A420">
        <f>'Interpreted Data'!A420</f>
        <v>126</v>
      </c>
      <c r="B420">
        <f>'Interpreted Data'!B420</f>
        <v>127</v>
      </c>
      <c r="C420" s="2">
        <f>'Interpreted Data'!J420/$G$1</f>
        <v>6.25</v>
      </c>
      <c r="D420" s="10">
        <f>'Interpreted Data'!T420</f>
        <v>266.33333333333331</v>
      </c>
      <c r="E420" s="11">
        <f>IF(D420="-",IF('Interpreted Data'!U420=-90,"-V",IF('Interpreted Data'!U420=90,"+V",'Interpreted Data'!U420)),'Interpreted Data'!U420)</f>
        <v>-9.25</v>
      </c>
      <c r="F420" s="18" t="str">
        <f>IF('Interpreted Data'!P420="","",CONCATENATE(";",'Interpreted Data'!P420))</f>
        <v/>
      </c>
    </row>
    <row r="421" spans="1:6" x14ac:dyDescent="0.25">
      <c r="A421">
        <f>'Interpreted Data'!A421</f>
        <v>127</v>
      </c>
      <c r="B421">
        <f>'Interpreted Data'!B421</f>
        <v>128</v>
      </c>
      <c r="C421" s="2">
        <f>'Interpreted Data'!J421/$G$1</f>
        <v>1.3109756097560976</v>
      </c>
      <c r="D421" s="10">
        <f>'Interpreted Data'!T421</f>
        <v>326</v>
      </c>
      <c r="E421" s="11">
        <f>IF(D421="-",IF('Interpreted Data'!U421=-90,"-V",IF('Interpreted Data'!U421=90,"+V",'Interpreted Data'!U421)),'Interpreted Data'!U421)</f>
        <v>17</v>
      </c>
      <c r="F421" s="18" t="str">
        <f>IF('Interpreted Data'!P421="","",CONCATENATE(";",'Interpreted Data'!P421))</f>
        <v/>
      </c>
    </row>
    <row r="422" spans="1:6" x14ac:dyDescent="0.25">
      <c r="A422">
        <f>'Interpreted Data'!A422</f>
        <v>128</v>
      </c>
      <c r="B422">
        <f>'Interpreted Data'!B422</f>
        <v>129</v>
      </c>
      <c r="C422" s="2">
        <f>'Interpreted Data'!J422/$G$1</f>
        <v>3.1402439024390247</v>
      </c>
      <c r="D422" s="10">
        <f>'Interpreted Data'!T422</f>
        <v>21.5</v>
      </c>
      <c r="E422" s="11">
        <f>IF(D422="-",IF('Interpreted Data'!U422=-90,"-V",IF('Interpreted Data'!U422=90,"+V",'Interpreted Data'!U422)),'Interpreted Data'!U422)</f>
        <v>8.3333333300000003</v>
      </c>
      <c r="F422" s="18" t="str">
        <f>IF('Interpreted Data'!P422="","",CONCATENATE(";",'Interpreted Data'!P422))</f>
        <v/>
      </c>
    </row>
    <row r="423" spans="1:6" x14ac:dyDescent="0.25">
      <c r="A423">
        <f>'Interpreted Data'!A423</f>
        <v>129</v>
      </c>
      <c r="B423">
        <f>'Interpreted Data'!B423</f>
        <v>130</v>
      </c>
      <c r="C423" s="2">
        <f>'Interpreted Data'!J423/$G$1</f>
        <v>13.170731707317074</v>
      </c>
      <c r="D423" s="10">
        <f>'Interpreted Data'!T423</f>
        <v>293.16666666666669</v>
      </c>
      <c r="E423" s="11">
        <f>IF(D423="-",IF('Interpreted Data'!U423=-90,"-V",IF('Interpreted Data'!U423=90,"+V",'Interpreted Data'!U423)),'Interpreted Data'!U423)</f>
        <v>-10.33333333</v>
      </c>
      <c r="F423" s="18" t="str">
        <f>IF('Interpreted Data'!P423="","",CONCATENATE(";",'Interpreted Data'!P423))</f>
        <v/>
      </c>
    </row>
    <row r="424" spans="1:6" x14ac:dyDescent="0.25">
      <c r="A424">
        <f>'Interpreted Data'!A424</f>
        <v>130</v>
      </c>
      <c r="B424">
        <f>'Interpreted Data'!B424</f>
        <v>131</v>
      </c>
      <c r="C424" s="2">
        <f>'Interpreted Data'!J424/$G$1</f>
        <v>11.524390243902438</v>
      </c>
      <c r="D424" s="10">
        <f>'Interpreted Data'!T424</f>
        <v>293.66666666666669</v>
      </c>
      <c r="E424" s="11">
        <f>IF(D424="-",IF('Interpreted Data'!U424=-90,"-V",IF('Interpreted Data'!U424=90,"+V",'Interpreted Data'!U424)),'Interpreted Data'!U424)</f>
        <v>-3</v>
      </c>
      <c r="F424" s="18" t="str">
        <f>IF('Interpreted Data'!P424="","",CONCATENATE(";",'Interpreted Data'!P424))</f>
        <v/>
      </c>
    </row>
    <row r="425" spans="1:6" x14ac:dyDescent="0.25">
      <c r="A425">
        <f>'Interpreted Data'!A425</f>
        <v>131</v>
      </c>
      <c r="B425">
        <f>'Interpreted Data'!B425</f>
        <v>132</v>
      </c>
      <c r="C425" s="2">
        <f>'Interpreted Data'!J425/$G$1</f>
        <v>2.8353658536585371</v>
      </c>
      <c r="D425" s="10">
        <f>'Interpreted Data'!T425</f>
        <v>347</v>
      </c>
      <c r="E425" s="11">
        <f>IF(D425="-",IF('Interpreted Data'!U425=-90,"-V",IF('Interpreted Data'!U425=90,"+V",'Interpreted Data'!U425)),'Interpreted Data'!U425)</f>
        <v>20.5</v>
      </c>
      <c r="F425" s="18" t="str">
        <f>IF('Interpreted Data'!P425="","",CONCATENATE(";",'Interpreted Data'!P425))</f>
        <v/>
      </c>
    </row>
    <row r="426" spans="1:6" x14ac:dyDescent="0.25">
      <c r="A426">
        <f>'Interpreted Data'!A426</f>
        <v>132</v>
      </c>
      <c r="B426">
        <f>'Interpreted Data'!B426</f>
        <v>133</v>
      </c>
      <c r="C426" s="2">
        <f>'Interpreted Data'!J426/$G$1</f>
        <v>4.4512195121951219</v>
      </c>
      <c r="D426" s="10">
        <f>'Interpreted Data'!T426</f>
        <v>271.5</v>
      </c>
      <c r="E426" s="11">
        <f>IF(D426="-",IF('Interpreted Data'!U426=-90,"-V",IF('Interpreted Data'!U426=90,"+V",'Interpreted Data'!U426)),'Interpreted Data'!U426)</f>
        <v>-11.5</v>
      </c>
      <c r="F426" s="18" t="str">
        <f>IF('Interpreted Data'!P426="","",CONCATENATE(";",'Interpreted Data'!P426))</f>
        <v/>
      </c>
    </row>
    <row r="427" spans="1:6" x14ac:dyDescent="0.25">
      <c r="A427">
        <f>'Interpreted Data'!A427</f>
        <v>133</v>
      </c>
      <c r="B427">
        <f>'Interpreted Data'!B427</f>
        <v>134</v>
      </c>
      <c r="C427" s="2">
        <f>'Interpreted Data'!J427/$G$1</f>
        <v>4.4817073170731705</v>
      </c>
      <c r="D427" s="10">
        <f>'Interpreted Data'!T427</f>
        <v>341</v>
      </c>
      <c r="E427" s="11">
        <f>IF(D427="-",IF('Interpreted Data'!U427=-90,"-V",IF('Interpreted Data'!U427=90,"+V",'Interpreted Data'!U427)),'Interpreted Data'!U427)</f>
        <v>20.666666660000001</v>
      </c>
      <c r="F427" s="18" t="str">
        <f>IF('Interpreted Data'!P427="","",CONCATENATE(";",'Interpreted Data'!P427))</f>
        <v/>
      </c>
    </row>
    <row r="428" spans="1:6" x14ac:dyDescent="0.25">
      <c r="A428">
        <f>'Interpreted Data'!A428</f>
        <v>134</v>
      </c>
      <c r="B428">
        <f>'Interpreted Data'!B428</f>
        <v>135</v>
      </c>
      <c r="C428" s="2">
        <f>'Interpreted Data'!J428/$G$1</f>
        <v>6.5548780487804885</v>
      </c>
      <c r="D428" s="10">
        <f>'Interpreted Data'!T428</f>
        <v>9.5</v>
      </c>
      <c r="E428" s="11">
        <f>IF(D428="-",IF('Interpreted Data'!U428=-90,"-V",IF('Interpreted Data'!U428=90,"+V",'Interpreted Data'!U428)),'Interpreted Data'!U428)</f>
        <v>-6.3333333300000003</v>
      </c>
      <c r="F428" s="18" t="str">
        <f>IF('Interpreted Data'!P428="","",CONCATENATE(";",'Interpreted Data'!P428))</f>
        <v/>
      </c>
    </row>
    <row r="429" spans="1:6" x14ac:dyDescent="0.25">
      <c r="A429" t="str">
        <f>'Interpreted Data'!A429</f>
        <v/>
      </c>
      <c r="B429" t="str">
        <f>'Interpreted Data'!B429</f>
        <v/>
      </c>
      <c r="C429" s="2"/>
      <c r="D429" s="10"/>
      <c r="E429" s="11"/>
      <c r="F429" s="18" t="str">
        <f>IF('Interpreted Data'!P429="","",CONCATENATE(";",'Interpreted Data'!P429))</f>
        <v/>
      </c>
    </row>
    <row r="430" spans="1:6" x14ac:dyDescent="0.25">
      <c r="A430" s="18" t="str">
        <f>CONCATENATE(";",'Interpreted Data'!A430)</f>
        <v>;p. 73-74</v>
      </c>
      <c r="B430" t="str">
        <f>'Interpreted Data'!B430</f>
        <v>(=PDF p.75-76)</v>
      </c>
      <c r="C430" s="2"/>
      <c r="D430" s="10"/>
      <c r="E430" s="11"/>
      <c r="F430" s="18" t="str">
        <f>IF('Interpreted Data'!P430="","",CONCATENATE(";",'Interpreted Data'!P430))</f>
        <v/>
      </c>
    </row>
    <row r="431" spans="1:6" x14ac:dyDescent="0.25">
      <c r="A431">
        <f>'Interpreted Data'!A431</f>
        <v>135</v>
      </c>
      <c r="B431">
        <f>'Interpreted Data'!B431</f>
        <v>136</v>
      </c>
      <c r="C431" s="2">
        <f>'Interpreted Data'!J431/$G$1</f>
        <v>17.439024390243905</v>
      </c>
      <c r="D431" s="10">
        <f>'Interpreted Data'!T431</f>
        <v>264.33333333333331</v>
      </c>
      <c r="E431" s="11">
        <f>IF(D431="-",IF('Interpreted Data'!U431=-90,"-V",IF('Interpreted Data'!U431=90,"+V",'Interpreted Data'!U431)),'Interpreted Data'!U431)</f>
        <v>-13.666666660000001</v>
      </c>
      <c r="F431" s="18" t="str">
        <f>IF('Interpreted Data'!P431="","",CONCATENATE(";",'Interpreted Data'!P431))</f>
        <v/>
      </c>
    </row>
    <row r="432" spans="1:6" x14ac:dyDescent="0.25">
      <c r="A432">
        <f>'Interpreted Data'!A432</f>
        <v>136</v>
      </c>
      <c r="B432">
        <f>'Interpreted Data'!B432</f>
        <v>137</v>
      </c>
      <c r="C432" s="2">
        <f>'Interpreted Data'!J432/$G$1</f>
        <v>5.6097560975609753</v>
      </c>
      <c r="D432" s="10">
        <f>'Interpreted Data'!T432</f>
        <v>7.5</v>
      </c>
      <c r="E432" s="11">
        <f>IF(D432="-",IF('Interpreted Data'!U432=-90,"-V",IF('Interpreted Data'!U432=90,"+V",'Interpreted Data'!U432)),'Interpreted Data'!U432)</f>
        <v>-6</v>
      </c>
      <c r="F432" s="18" t="str">
        <f>IF('Interpreted Data'!P432="","",CONCATENATE(";",'Interpreted Data'!P432))</f>
        <v/>
      </c>
    </row>
    <row r="433" spans="1:6" x14ac:dyDescent="0.25">
      <c r="A433">
        <f>'Interpreted Data'!A433</f>
        <v>137</v>
      </c>
      <c r="B433">
        <f>'Interpreted Data'!B433</f>
        <v>138</v>
      </c>
      <c r="C433" s="2">
        <f>'Interpreted Data'!J433/$G$1</f>
        <v>7.5609756097560981</v>
      </c>
      <c r="D433" s="10">
        <f>'Interpreted Data'!T433</f>
        <v>72.25</v>
      </c>
      <c r="E433" s="11">
        <f>IF(D433="-",IF('Interpreted Data'!U433=-90,"-V",IF('Interpreted Data'!U433=90,"+V",'Interpreted Data'!U433)),'Interpreted Data'!U433)</f>
        <v>33.333333330000002</v>
      </c>
      <c r="F433" s="18" t="str">
        <f>IF('Interpreted Data'!P433="","",CONCATENATE(";",'Interpreted Data'!P433))</f>
        <v/>
      </c>
    </row>
    <row r="434" spans="1:6" x14ac:dyDescent="0.25">
      <c r="A434">
        <f>'Interpreted Data'!A434</f>
        <v>138</v>
      </c>
      <c r="B434">
        <f>'Interpreted Data'!B434</f>
        <v>139</v>
      </c>
      <c r="C434" s="2">
        <f>'Interpreted Data'!J434/$G$1</f>
        <v>5.7926829268292686</v>
      </c>
      <c r="D434" s="10">
        <f>'Interpreted Data'!T434</f>
        <v>52</v>
      </c>
      <c r="E434" s="11">
        <f>IF(D434="-",IF('Interpreted Data'!U434=-90,"-V",IF('Interpreted Data'!U434=90,"+V",'Interpreted Data'!U434)),'Interpreted Data'!U434)</f>
        <v>16.5</v>
      </c>
      <c r="F434" s="18" t="str">
        <f>IF('Interpreted Data'!P434="","",CONCATENATE(";",'Interpreted Data'!P434))</f>
        <v/>
      </c>
    </row>
    <row r="435" spans="1:6" x14ac:dyDescent="0.25">
      <c r="A435">
        <f>'Interpreted Data'!A435</f>
        <v>139</v>
      </c>
      <c r="B435">
        <f>'Interpreted Data'!B435</f>
        <v>140</v>
      </c>
      <c r="C435" s="2">
        <f>'Interpreted Data'!J435/$G$1</f>
        <v>10.670731707317074</v>
      </c>
      <c r="D435" s="10">
        <f>'Interpreted Data'!T435</f>
        <v>274.16666666666669</v>
      </c>
      <c r="E435" s="11">
        <f>IF(D435="-",IF('Interpreted Data'!U435=-90,"-V",IF('Interpreted Data'!U435=90,"+V",'Interpreted Data'!U435)),'Interpreted Data'!U435)</f>
        <v>-19.333333329999999</v>
      </c>
      <c r="F435" s="18" t="str">
        <f>IF('Interpreted Data'!P435="","",CONCATENATE(";",'Interpreted Data'!P435))</f>
        <v/>
      </c>
    </row>
    <row r="436" spans="1:6" x14ac:dyDescent="0.25">
      <c r="A436">
        <f>'Interpreted Data'!A436</f>
        <v>140</v>
      </c>
      <c r="B436">
        <f>'Interpreted Data'!B436</f>
        <v>141</v>
      </c>
      <c r="C436" s="2">
        <f>'Interpreted Data'!J436/$G$1</f>
        <v>15.731707317073171</v>
      </c>
      <c r="D436" s="10">
        <f>'Interpreted Data'!T436</f>
        <v>265.83333333333331</v>
      </c>
      <c r="E436" s="11">
        <f>IF(D436="-",IF('Interpreted Data'!U436=-90,"-V",IF('Interpreted Data'!U436=90,"+V",'Interpreted Data'!U436)),'Interpreted Data'!U436)</f>
        <v>-19</v>
      </c>
      <c r="F436" s="18" t="str">
        <f>IF('Interpreted Data'!P436="","",CONCATENATE(";",'Interpreted Data'!P436))</f>
        <v/>
      </c>
    </row>
    <row r="437" spans="1:6" x14ac:dyDescent="0.25">
      <c r="A437">
        <f>'Interpreted Data'!A437</f>
        <v>141</v>
      </c>
      <c r="B437">
        <f>'Interpreted Data'!B437</f>
        <v>142</v>
      </c>
      <c r="C437" s="2">
        <f>'Interpreted Data'!J437/$G$1</f>
        <v>6.5853658536585371</v>
      </c>
      <c r="D437" s="10">
        <f>'Interpreted Data'!T437</f>
        <v>329.25</v>
      </c>
      <c r="E437" s="11">
        <f>IF(D437="-",IF('Interpreted Data'!U437=-90,"-V",IF('Interpreted Data'!U437=90,"+V",'Interpreted Data'!U437)),'Interpreted Data'!U437)</f>
        <v>11</v>
      </c>
      <c r="F437" s="18" t="str">
        <f>IF('Interpreted Data'!P437="","",CONCATENATE(";",'Interpreted Data'!P437))</f>
        <v/>
      </c>
    </row>
    <row r="438" spans="1:6" x14ac:dyDescent="0.25">
      <c r="A438">
        <f>'Interpreted Data'!A438</f>
        <v>142</v>
      </c>
      <c r="B438">
        <f>'Interpreted Data'!B438</f>
        <v>143</v>
      </c>
      <c r="C438" s="2">
        <f>'Interpreted Data'!J438/$G$1</f>
        <v>6.8292682926829267</v>
      </c>
      <c r="D438" s="10">
        <f>'Interpreted Data'!T438</f>
        <v>42.333333333333336</v>
      </c>
      <c r="E438" s="11">
        <f>IF(D438="-",IF('Interpreted Data'!U438=-90,"-V",IF('Interpreted Data'!U438=90,"+V",'Interpreted Data'!U438)),'Interpreted Data'!U438)</f>
        <v>28.5</v>
      </c>
      <c r="F438" s="18" t="str">
        <f>IF('Interpreted Data'!P438="","",CONCATENATE(";",'Interpreted Data'!P438))</f>
        <v/>
      </c>
    </row>
    <row r="439" spans="1:6" x14ac:dyDescent="0.25">
      <c r="A439" s="18" t="str">
        <f>CONCATENATE(";",'Interpreted Data'!A439)</f>
        <v>;143</v>
      </c>
      <c r="B439" t="str">
        <f>'Interpreted Data'!B439</f>
        <v/>
      </c>
      <c r="C439" s="2"/>
      <c r="D439" s="10"/>
      <c r="E439" s="11"/>
      <c r="F439" s="18" t="str">
        <f>IF('Interpreted Data'!P439="","",CONCATENATE(";",'Interpreted Data'!P439))</f>
        <v>;knob on roof 4 feet from entrance pit of Blue Pencil Passage</v>
      </c>
    </row>
    <row r="440" spans="1:6" x14ac:dyDescent="0.25">
      <c r="C440" s="2"/>
      <c r="D440" s="10"/>
      <c r="E440" s="11"/>
      <c r="F440" s="18"/>
    </row>
    <row r="441" spans="1:6" x14ac:dyDescent="0.25">
      <c r="A441" s="18" t="str">
        <f>CONCATENATE(";",'Interpreted Data'!A441)</f>
        <v>;(skipped surface survey to Priddy Green dig and back)</v>
      </c>
      <c r="C441" s="2"/>
      <c r="D441" s="10"/>
      <c r="E441" s="11"/>
      <c r="F441" s="18" t="str">
        <f>IF('Interpreted Data'!P441="","",CONCATENATE(";",'Interpreted Data'!P441))</f>
        <v/>
      </c>
    </row>
    <row r="442" spans="1:6" x14ac:dyDescent="0.25">
      <c r="C442" s="2"/>
      <c r="D442" s="10"/>
      <c r="E442" s="11"/>
      <c r="F442" s="18" t="str">
        <f>IF('Interpreted Data'!P442="","",CONCATENATE(";",'Interpreted Data'!P442))</f>
        <v/>
      </c>
    </row>
    <row r="443" spans="1:6" x14ac:dyDescent="0.25">
      <c r="A443" s="18" t="str">
        <f>CONCATENATE(";",'Interpreted Data'!A443)</f>
        <v>;p. 75-78</v>
      </c>
      <c r="B443" t="str">
        <f>'Interpreted Data'!B443</f>
        <v>(=PDF p.77-80)</v>
      </c>
      <c r="C443" s="2"/>
      <c r="D443" s="10"/>
      <c r="E443" s="11"/>
      <c r="F443" s="18"/>
    </row>
    <row r="444" spans="1:6" x14ac:dyDescent="0.25">
      <c r="A444" s="18" t="str">
        <f>CONCATENATE(";",'Interpreted Data'!A444)</f>
        <v>;May 22 1960</v>
      </c>
      <c r="B444" t="str">
        <f>'Interpreted Data'!B444</f>
        <v>Howard, Chris Hawkes, Derek Ford</v>
      </c>
      <c r="C444" t="str">
        <f>'Interpreted Data'!C444</f>
        <v>Side Passages in Paradise Regained</v>
      </c>
      <c r="D444" s="10"/>
      <c r="E444" s="11"/>
      <c r="F444" s="18" t="str">
        <f>IF('Interpreted Data'!P444="","",CONCATENATE(";",'Interpreted Data'!P444))</f>
        <v/>
      </c>
    </row>
    <row r="445" spans="1:6" x14ac:dyDescent="0.25">
      <c r="A445">
        <f>'Interpreted Data'!A445</f>
        <v>143</v>
      </c>
      <c r="B445">
        <f>'Interpreted Data'!B445</f>
        <v>201</v>
      </c>
      <c r="C445" s="2">
        <f>'Interpreted Data'!J445/$G$1</f>
        <v>11.707317073170731</v>
      </c>
      <c r="D445" s="10">
        <f>'Interpreted Data'!Y445</f>
        <v>345.5</v>
      </c>
      <c r="E445" s="11">
        <f>IF(D445="-",IF('Interpreted Data'!U445=-90,"-V",IF('Interpreted Data'!U445=90,"+V",'Interpreted Data'!U445)),'Interpreted Data'!U445)</f>
        <v>18.5</v>
      </c>
      <c r="F445" s="18" t="str">
        <f>IF('Interpreted Data'!P445="","",CONCATENATE(";",'Interpreted Data'!P445))</f>
        <v>;143 - see p.73</v>
      </c>
    </row>
    <row r="446" spans="1:6" x14ac:dyDescent="0.25">
      <c r="A446">
        <f>'Interpreted Data'!A446</f>
        <v>201</v>
      </c>
      <c r="B446">
        <f>'Interpreted Data'!B446</f>
        <v>202</v>
      </c>
      <c r="C446" s="2">
        <f>'Interpreted Data'!J446/$G$1</f>
        <v>10.884146341463417</v>
      </c>
      <c r="D446" s="10">
        <f>'Interpreted Data'!Y446</f>
        <v>61.5</v>
      </c>
      <c r="E446" s="11">
        <f>IF(D446="-",IF('Interpreted Data'!U446=-90,"-V",IF('Interpreted Data'!U446=90,"+V",'Interpreted Data'!U446)),'Interpreted Data'!U446)</f>
        <v>23</v>
      </c>
      <c r="F446" s="18" t="str">
        <f>IF('Interpreted Data'!P446="","",CONCATENATE(";",'Interpreted Data'!P446))</f>
        <v/>
      </c>
    </row>
    <row r="447" spans="1:6" x14ac:dyDescent="0.25">
      <c r="A447">
        <f>'Interpreted Data'!A447</f>
        <v>202</v>
      </c>
      <c r="B447">
        <f>'Interpreted Data'!B447</f>
        <v>203</v>
      </c>
      <c r="C447" s="2">
        <f>'Interpreted Data'!J447/$G$1</f>
        <v>5.1219512195121952</v>
      </c>
      <c r="D447" s="10">
        <f>'Interpreted Data'!Y447</f>
        <v>322</v>
      </c>
      <c r="E447" s="11">
        <f>IF(D447="-",IF('Interpreted Data'!U447=-90,"-V",IF('Interpreted Data'!U447=90,"+V",'Interpreted Data'!U447)),'Interpreted Data'!U447)</f>
        <v>-3.5</v>
      </c>
      <c r="F447" s="18" t="str">
        <f>IF('Interpreted Data'!P447="","",CONCATENATE(";",'Interpreted Data'!P447))</f>
        <v/>
      </c>
    </row>
    <row r="448" spans="1:6" x14ac:dyDescent="0.25">
      <c r="A448">
        <f>'Interpreted Data'!A448</f>
        <v>203</v>
      </c>
      <c r="B448">
        <f>'Interpreted Data'!B448</f>
        <v>204</v>
      </c>
      <c r="C448" s="2">
        <f>'Interpreted Data'!J448/$G$1</f>
        <v>3.2926829268292686</v>
      </c>
      <c r="D448" s="10">
        <f>'Interpreted Data'!Y448</f>
        <v>248</v>
      </c>
      <c r="E448" s="11">
        <f>IF(D448="-",IF('Interpreted Data'!U448=-90,"-V",IF('Interpreted Data'!U448=90,"+V",'Interpreted Data'!U448)),'Interpreted Data'!U448)</f>
        <v>-20.5</v>
      </c>
      <c r="F448" s="18" t="str">
        <f>IF('Interpreted Data'!P448="","",CONCATENATE(";",'Interpreted Data'!P448))</f>
        <v/>
      </c>
    </row>
    <row r="449" spans="1:6" x14ac:dyDescent="0.25">
      <c r="A449" s="18" t="str">
        <f>CONCATENATE(";",'Interpreted Data'!A449)</f>
        <v>;204</v>
      </c>
      <c r="B449" t="str">
        <f>'Interpreted Data'!B449</f>
        <v/>
      </c>
      <c r="C449" s="2"/>
      <c r="D449" s="10"/>
      <c r="E449" s="11"/>
      <c r="F449" s="18" t="str">
        <f>IF('Interpreted Data'!P449="","",CONCATENATE(";",'Interpreted Data'!P449))</f>
        <v>;204 is on knob low on wall, circle and dot on wall above</v>
      </c>
    </row>
    <row r="450" spans="1:6" x14ac:dyDescent="0.25">
      <c r="A450">
        <f>'Interpreted Data'!A450</f>
        <v>124</v>
      </c>
      <c r="B450" t="str">
        <f>'Interpreted Data'!B450</f>
        <v>124a</v>
      </c>
      <c r="C450" s="2">
        <f>'Interpreted Data'!J450/$G$1</f>
        <v>0.45731707317073172</v>
      </c>
      <c r="D450" s="10" t="str">
        <f>'Interpreted Data'!Y450</f>
        <v>-</v>
      </c>
      <c r="E450" s="11" t="str">
        <f>IF(D450="-",IF('Interpreted Data'!U450=-90,"-V",IF('Interpreted Data'!U450=90,"+V",'Interpreted Data'!U450)),'Interpreted Data'!U450)</f>
        <v>+V</v>
      </c>
      <c r="F450" s="18" t="str">
        <f>IF('Interpreted Data'!P450="","",CONCATENATE(";",'Interpreted Data'!P450))</f>
        <v/>
      </c>
    </row>
    <row r="451" spans="1:6" x14ac:dyDescent="0.25">
      <c r="A451" t="str">
        <f>'Interpreted Data'!A451</f>
        <v>124a</v>
      </c>
      <c r="B451">
        <f>'Interpreted Data'!B451</f>
        <v>205</v>
      </c>
      <c r="C451" s="2">
        <f>'Interpreted Data'!J451/$G$1</f>
        <v>8.5975609756097562</v>
      </c>
      <c r="D451" s="10">
        <f>'Interpreted Data'!Y451</f>
        <v>234.5</v>
      </c>
      <c r="E451" s="11">
        <f>IF(D451="-",IF('Interpreted Data'!U451=-90,"-V",IF('Interpreted Data'!U451=90,"+V",'Interpreted Data'!U451)),'Interpreted Data'!U451)</f>
        <v>-17.5</v>
      </c>
      <c r="F451" s="18" t="str">
        <f>IF('Interpreted Data'!P451="","",CONCATENATE(";",'Interpreted Data'!P451))</f>
        <v>;124 is 1.5' above 124 of p.71</v>
      </c>
    </row>
    <row r="452" spans="1:6" x14ac:dyDescent="0.25">
      <c r="A452">
        <f>'Interpreted Data'!A452</f>
        <v>205</v>
      </c>
      <c r="B452">
        <f>'Interpreted Data'!B452</f>
        <v>206</v>
      </c>
      <c r="C452" s="2">
        <f>'Interpreted Data'!J452/$G$1</f>
        <v>16.676829268292686</v>
      </c>
      <c r="D452" s="10">
        <f>'Interpreted Data'!Y452</f>
        <v>91</v>
      </c>
      <c r="E452" s="11">
        <f>IF(D452="-",IF('Interpreted Data'!U452=-90,"-V",IF('Interpreted Data'!U452=90,"+V",'Interpreted Data'!U452)),'Interpreted Data'!U452)</f>
        <v>14</v>
      </c>
      <c r="F452" s="18" t="str">
        <f>IF('Interpreted Data'!P452="","",CONCATENATE(";",'Interpreted Data'!P452))</f>
        <v/>
      </c>
    </row>
    <row r="453" spans="1:6" x14ac:dyDescent="0.25">
      <c r="A453">
        <f>'Interpreted Data'!A453</f>
        <v>206</v>
      </c>
      <c r="B453">
        <f>'Interpreted Data'!B453</f>
        <v>207</v>
      </c>
      <c r="C453" s="2">
        <f>'Interpreted Data'!J453/$G$1</f>
        <v>13.29268292682927</v>
      </c>
      <c r="D453" s="10">
        <f>'Interpreted Data'!Y453</f>
        <v>67</v>
      </c>
      <c r="E453" s="11">
        <f>IF(D453="-",IF('Interpreted Data'!U453=-90,"-V",IF('Interpreted Data'!U453=90,"+V",'Interpreted Data'!U453)),'Interpreted Data'!U453)</f>
        <v>0.58333333333333337</v>
      </c>
      <c r="F453" s="18" t="str">
        <f>IF('Interpreted Data'!P453="","",CONCATENATE(";",'Interpreted Data'!P453))</f>
        <v>;207 marked on roof, alt 503.4</v>
      </c>
    </row>
    <row r="454" spans="1:6" x14ac:dyDescent="0.25">
      <c r="A454">
        <f>'Interpreted Data'!A454</f>
        <v>205</v>
      </c>
      <c r="B454">
        <f>'Interpreted Data'!B454</f>
        <v>208</v>
      </c>
      <c r="C454" s="2">
        <f>'Interpreted Data'!J454/$G$1</f>
        <v>12.103658536585368</v>
      </c>
      <c r="D454" s="10">
        <f>'Interpreted Data'!Y454</f>
        <v>263</v>
      </c>
      <c r="E454" s="11">
        <f>IF(D454="-",IF('Interpreted Data'!U454=-90,"-V",IF('Interpreted Data'!U454=90,"+V",'Interpreted Data'!U454)),'Interpreted Data'!U454)</f>
        <v>-16</v>
      </c>
      <c r="F454" s="18" t="str">
        <f>IF('Interpreted Data'!P454="","",CONCATENATE(";",'Interpreted Data'!P454))</f>
        <v/>
      </c>
    </row>
    <row r="455" spans="1:6" x14ac:dyDescent="0.25">
      <c r="A455">
        <f>'Interpreted Data'!A455</f>
        <v>208</v>
      </c>
      <c r="B455">
        <f>'Interpreted Data'!B455</f>
        <v>209</v>
      </c>
      <c r="C455" s="2">
        <f>'Interpreted Data'!J455/$G$1</f>
        <v>5.0914634146341466</v>
      </c>
      <c r="D455" s="10">
        <f>'Interpreted Data'!Y455</f>
        <v>256</v>
      </c>
      <c r="E455" s="11">
        <f>IF(D455="-",IF('Interpreted Data'!U455=-90,"-V",IF('Interpreted Data'!U455=90,"+V",'Interpreted Data'!U455)),'Interpreted Data'!U455)</f>
        <v>-11.5</v>
      </c>
      <c r="F455" s="18" t="str">
        <f>IF('Interpreted Data'!P455="","",CONCATENATE(";",'Interpreted Data'!P455))</f>
        <v/>
      </c>
    </row>
    <row r="456" spans="1:6" x14ac:dyDescent="0.25">
      <c r="A456">
        <f>'Interpreted Data'!A456</f>
        <v>209</v>
      </c>
      <c r="B456">
        <f>'Interpreted Data'!B456</f>
        <v>210</v>
      </c>
      <c r="C456" s="2">
        <f>'Interpreted Data'!J456/$G$1</f>
        <v>0.79268292682926833</v>
      </c>
      <c r="D456" s="10" t="str">
        <f>'Interpreted Data'!Y456</f>
        <v>-</v>
      </c>
      <c r="E456" s="11" t="str">
        <f>IF(D456="-",IF('Interpreted Data'!U456=-90,"-V",IF('Interpreted Data'!U456=90,"+V",'Interpreted Data'!U456)),'Interpreted Data'!U456)</f>
        <v>+V</v>
      </c>
      <c r="F456" s="18" t="str">
        <f>IF('Interpreted Data'!P456="","",CONCATENATE(";",'Interpreted Data'!P456))</f>
        <v/>
      </c>
    </row>
    <row r="457" spans="1:6" x14ac:dyDescent="0.25">
      <c r="A457">
        <f>'Interpreted Data'!A457</f>
        <v>210</v>
      </c>
      <c r="B457">
        <f>'Interpreted Data'!B457</f>
        <v>211</v>
      </c>
      <c r="C457" s="2">
        <f>'Interpreted Data'!J457/$G$1</f>
        <v>11.067073170731707</v>
      </c>
      <c r="D457" s="10">
        <f>'Interpreted Data'!Y457</f>
        <v>221</v>
      </c>
      <c r="E457" s="11">
        <f>IF(D457="-",IF('Interpreted Data'!U457=-90,"-V",IF('Interpreted Data'!U457=90,"+V",'Interpreted Data'!U457)),'Interpreted Data'!U457)</f>
        <v>25</v>
      </c>
      <c r="F457" s="18" t="str">
        <f>IF('Interpreted Data'!P457="","",CONCATENATE(";",'Interpreted Data'!P457))</f>
        <v>;Kenneys Belly!</v>
      </c>
    </row>
    <row r="458" spans="1:6" x14ac:dyDescent="0.25">
      <c r="A458">
        <f>'Interpreted Data'!A458</f>
        <v>211</v>
      </c>
      <c r="B458">
        <f>'Interpreted Data'!B458</f>
        <v>212</v>
      </c>
      <c r="C458" s="2">
        <f>'Interpreted Data'!J458/$G$1</f>
        <v>8.1707317073170742</v>
      </c>
      <c r="D458" s="10">
        <f>'Interpreted Data'!Y458</f>
        <v>175</v>
      </c>
      <c r="E458" s="11">
        <f>IF(D458="-",IF('Interpreted Data'!U458=-90,"-V",IF('Interpreted Data'!U458=90,"+V",'Interpreted Data'!U458)),'Interpreted Data'!U458)</f>
        <v>34.5</v>
      </c>
      <c r="F458" s="18" t="str">
        <f>IF('Interpreted Data'!P458="","",CONCATENATE(";",'Interpreted Data'!P458))</f>
        <v/>
      </c>
    </row>
    <row r="459" spans="1:6" x14ac:dyDescent="0.25">
      <c r="A459">
        <f>'Interpreted Data'!A459</f>
        <v>212</v>
      </c>
      <c r="B459" t="str">
        <f>CONCATENATE(A459,"a")</f>
        <v>212a</v>
      </c>
      <c r="C459" s="2">
        <f>90/$G$1</f>
        <v>27.439024390243905</v>
      </c>
      <c r="D459" s="10">
        <f>'Interpreted Data'!Y459</f>
        <v>20</v>
      </c>
      <c r="E459" s="11">
        <f>IF(D459="-",IF('Interpreted Data'!U459=-90,"-V",IF('Interpreted Data'!U459=90,"+V",'Interpreted Data'!U459)),'Interpreted Data'!U459)</f>
        <v>50</v>
      </c>
      <c r="F459" s="18" t="str">
        <f>IF('Interpreted Data'!P459="","",CONCATENATE(";",'Interpreted Data'!P459," (",'Interpreted Data'!B459,")"))</f>
        <v>;212 marked by arrow on dripstone wall in Fault Ch. (up Olivers 'ole)</v>
      </c>
    </row>
    <row r="460" spans="1:6" x14ac:dyDescent="0.25">
      <c r="C460" s="2"/>
      <c r="D460" s="10"/>
      <c r="E460" s="11"/>
      <c r="F460" s="18"/>
    </row>
    <row r="461" spans="1:6" x14ac:dyDescent="0.25">
      <c r="A461" s="18" t="str">
        <f>CONCATENATE(";",'Interpreted Data'!A461)</f>
        <v>;July 12th 1960</v>
      </c>
      <c r="B461" t="str">
        <f>'Interpreted Data'!B461</f>
        <v>Derek Ford</v>
      </c>
      <c r="C461" t="str">
        <f>'Interpreted Data'!C461</f>
        <v>Side Passages in Paradise Regained - Maypole Series</v>
      </c>
      <c r="D461" s="10"/>
      <c r="E461" s="11"/>
      <c r="F461" s="18"/>
    </row>
    <row r="462" spans="1:6" x14ac:dyDescent="0.25">
      <c r="A462">
        <f>'Interpreted Data'!A462</f>
        <v>113</v>
      </c>
      <c r="B462">
        <f>'Interpreted Data'!B462</f>
        <v>213</v>
      </c>
      <c r="C462" s="2">
        <f>'Interpreted Data'!J462/$G$1</f>
        <v>8.3841463414634152</v>
      </c>
      <c r="D462" s="10">
        <f>'Interpreted Data'!T462</f>
        <v>63</v>
      </c>
      <c r="E462" s="11">
        <f>IF(D462="-",IF('Interpreted Data'!U462=-90,"-V",IF('Interpreted Data'!U462=90,"+V",'Interpreted Data'!U462)),'Interpreted Data'!U462)</f>
        <v>15.5</v>
      </c>
      <c r="F462" s="18" t="str">
        <f>IF('Interpreted Data'!P462="","",CONCATENATE(";",'Interpreted Data'!P462))</f>
        <v/>
      </c>
    </row>
    <row r="463" spans="1:6" x14ac:dyDescent="0.25">
      <c r="A463">
        <f>'Interpreted Data'!A463</f>
        <v>213</v>
      </c>
      <c r="B463">
        <f>'Interpreted Data'!B463</f>
        <v>214</v>
      </c>
      <c r="C463" s="2">
        <f>'Interpreted Data'!J463/$G$1</f>
        <v>5.5792682926829276</v>
      </c>
      <c r="D463" s="10">
        <f>'Interpreted Data'!T463</f>
        <v>79</v>
      </c>
      <c r="E463" s="11">
        <f>IF(D463="-",IF('Interpreted Data'!U463=-90,"-V",IF('Interpreted Data'!U463=90,"+V",'Interpreted Data'!U463)),'Interpreted Data'!U463)</f>
        <v>9</v>
      </c>
      <c r="F463" s="18" t="str">
        <f>IF('Interpreted Data'!P463="","",CONCATENATE(";",'Interpreted Data'!P463))</f>
        <v/>
      </c>
    </row>
    <row r="464" spans="1:6" x14ac:dyDescent="0.25">
      <c r="A464">
        <f>'Interpreted Data'!A464</f>
        <v>214</v>
      </c>
      <c r="B464">
        <f>'Interpreted Data'!B464</f>
        <v>215</v>
      </c>
      <c r="C464" s="2">
        <f>'Interpreted Data'!J464/$G$1</f>
        <v>3.9634146341463419</v>
      </c>
      <c r="D464" s="10">
        <f>'Interpreted Data'!T464</f>
        <v>65.5</v>
      </c>
      <c r="E464" s="11">
        <f>IF(D464="-",IF('Interpreted Data'!U464=-90,"-V",IF('Interpreted Data'!U464=90,"+V",'Interpreted Data'!U464)),'Interpreted Data'!U464)</f>
        <v>-25.5</v>
      </c>
      <c r="F464" s="18" t="str">
        <f>IF('Interpreted Data'!P464="","",CONCATENATE(";",'Interpreted Data'!P464))</f>
        <v/>
      </c>
    </row>
    <row r="465" spans="1:6" x14ac:dyDescent="0.25">
      <c r="A465">
        <f>'Interpreted Data'!A465</f>
        <v>215</v>
      </c>
      <c r="B465">
        <f>'Interpreted Data'!B465</f>
        <v>216</v>
      </c>
      <c r="C465" s="2">
        <f>'Interpreted Data'!J465/$G$1</f>
        <v>18.719512195121951</v>
      </c>
      <c r="D465" s="10">
        <f>'Interpreted Data'!T465</f>
        <v>76.5</v>
      </c>
      <c r="E465" s="11">
        <f>IF(D465="-",IF('Interpreted Data'!U465=-90,"-V",IF('Interpreted Data'!U465=90,"+V",'Interpreted Data'!U465)),'Interpreted Data'!U465)</f>
        <v>29.5</v>
      </c>
      <c r="F465" s="18" t="str">
        <f>IF('Interpreted Data'!P465="","",CONCATENATE(";",'Interpreted Data'!P465))</f>
        <v>;215 marked … in Pitch Chamber. Maypole Series starts about 30' along</v>
      </c>
    </row>
    <row r="466" spans="1:6" x14ac:dyDescent="0.25">
      <c r="A466">
        <f>'Interpreted Data'!A466</f>
        <v>216</v>
      </c>
      <c r="B466">
        <f>'Interpreted Data'!B466</f>
        <v>217</v>
      </c>
      <c r="C466" s="2">
        <f>'Interpreted Data'!J466/$G$1</f>
        <v>4.0548780487804885</v>
      </c>
      <c r="D466" s="10">
        <f>'Interpreted Data'!T466</f>
        <v>71.666666666666671</v>
      </c>
      <c r="E466" s="11">
        <f>IF(D466="-",IF('Interpreted Data'!U466=-90,"-V",IF('Interpreted Data'!U466=90,"+V",'Interpreted Data'!U466)),'Interpreted Data'!U466)</f>
        <v>1.5</v>
      </c>
      <c r="F466" s="18" t="str">
        <f>IF('Interpreted Data'!P466="","",CONCATENATE(";",'Interpreted Data'!P466))</f>
        <v>;between 2 holes in floor</v>
      </c>
    </row>
    <row r="467" spans="1:6" x14ac:dyDescent="0.25">
      <c r="A467">
        <f>'Interpreted Data'!A467</f>
        <v>217</v>
      </c>
      <c r="B467">
        <f>'Interpreted Data'!B467</f>
        <v>218</v>
      </c>
      <c r="C467" s="2">
        <f>'Interpreted Data'!J467/$G$1</f>
        <v>5.5792682926829276</v>
      </c>
      <c r="D467" s="10">
        <f>'Interpreted Data'!T467</f>
        <v>48.5</v>
      </c>
      <c r="E467" s="11">
        <f>IF(D467="-",IF('Interpreted Data'!U467=-90,"-V",IF('Interpreted Data'!U467=90,"+V",'Interpreted Data'!U467)),'Interpreted Data'!U467)</f>
        <v>13.5</v>
      </c>
      <c r="F467" s="18" t="str">
        <f>IF('Interpreted Data'!P467="","",CONCATENATE(";",'Interpreted Data'!P467))</f>
        <v>;Hole in floor 6' on, 4' diam</v>
      </c>
    </row>
    <row r="468" spans="1:6" x14ac:dyDescent="0.25">
      <c r="A468">
        <f>'Interpreted Data'!A468</f>
        <v>218</v>
      </c>
      <c r="B468">
        <f>'Interpreted Data'!B468</f>
        <v>219</v>
      </c>
      <c r="C468" s="2">
        <f>'Interpreted Data'!J468/$G$1</f>
        <v>6.7073170731707323</v>
      </c>
      <c r="D468" s="10">
        <f>'Interpreted Data'!T468</f>
        <v>74</v>
      </c>
      <c r="E468" s="11">
        <f>IF(D468="-",IF('Interpreted Data'!U468=-90,"-V",IF('Interpreted Data'!U468=90,"+V",'Interpreted Data'!U468)),'Interpreted Data'!U468)</f>
        <v>13</v>
      </c>
      <c r="F468" s="18" t="str">
        <f>IF('Interpreted Data'!P468="","",CONCATENATE(";",'Interpreted Data'!P468))</f>
        <v>;Highish rift</v>
      </c>
    </row>
    <row r="469" spans="1:6" x14ac:dyDescent="0.25">
      <c r="A469">
        <f>'Interpreted Data'!A469</f>
        <v>219</v>
      </c>
      <c r="B469">
        <f>'Interpreted Data'!B469</f>
        <v>220</v>
      </c>
      <c r="C469" s="2">
        <f>'Interpreted Data'!J469/$G$1</f>
        <v>9.8475609756097562</v>
      </c>
      <c r="D469" s="10">
        <f>'Interpreted Data'!T469</f>
        <v>104.5</v>
      </c>
      <c r="E469" s="11">
        <f>IF(D469="-",IF('Interpreted Data'!U469=-90,"-V",IF('Interpreted Data'!U469=90,"+V",'Interpreted Data'!U469)),'Interpreted Data'!U469)</f>
        <v>-22.5</v>
      </c>
      <c r="F469" s="18" t="str">
        <f>IF('Interpreted Data'!P469="","",CONCATENATE(";",'Interpreted Data'!P469))</f>
        <v>;Oxbow on left at 12'</v>
      </c>
    </row>
    <row r="470" spans="1:6" x14ac:dyDescent="0.25">
      <c r="A470">
        <f>'Interpreted Data'!A470</f>
        <v>220</v>
      </c>
      <c r="B470">
        <f>'Interpreted Data'!B470</f>
        <v>221</v>
      </c>
      <c r="C470" s="2">
        <f>'Interpreted Data'!J470/$G$1</f>
        <v>6.0060975609756095</v>
      </c>
      <c r="D470" s="10">
        <f>'Interpreted Data'!T470</f>
        <v>114</v>
      </c>
      <c r="E470" s="11">
        <f>IF(D470="-",IF('Interpreted Data'!U470=-90,"-V",IF('Interpreted Data'!U470=90,"+V",'Interpreted Data'!U470)),'Interpreted Data'!U470)</f>
        <v>20</v>
      </c>
      <c r="F470" s="18" t="str">
        <f>IF('Interpreted Data'!P470="","",CONCATENATE(";",'Interpreted Data'!P470))</f>
        <v>;Passage on left</v>
      </c>
    </row>
    <row r="471" spans="1:6" x14ac:dyDescent="0.25">
      <c r="A471">
        <f>'Interpreted Data'!A471</f>
        <v>221</v>
      </c>
      <c r="B471">
        <f>'Interpreted Data'!B471</f>
        <v>222</v>
      </c>
      <c r="C471" s="2">
        <f>'Interpreted Data'!J471/$G$1</f>
        <v>6.1585365853658542</v>
      </c>
      <c r="D471" s="10">
        <f>'Interpreted Data'!T471</f>
        <v>162.5</v>
      </c>
      <c r="E471" s="11">
        <f>IF(D471="-",IF('Interpreted Data'!U471=-90,"-V",IF('Interpreted Data'!U471=90,"+V",'Interpreted Data'!U471)),'Interpreted Data'!U471)</f>
        <v>42</v>
      </c>
      <c r="F471" s="18" t="str">
        <f>IF('Interpreted Data'!P471="","",CONCATENATE(";",'Interpreted Data'!P471))</f>
        <v>;Maypole Junction</v>
      </c>
    </row>
    <row r="472" spans="1:6" x14ac:dyDescent="0.25">
      <c r="A472">
        <f>'Interpreted Data'!A472</f>
        <v>222</v>
      </c>
      <c r="B472">
        <f>'Interpreted Data'!B472</f>
        <v>223</v>
      </c>
      <c r="C472" s="2">
        <f>'Interpreted Data'!J472/$G$1</f>
        <v>9.9695121951219523</v>
      </c>
      <c r="D472" s="10">
        <f>'Interpreted Data'!T472</f>
        <v>94</v>
      </c>
      <c r="E472" s="11">
        <f>IF(D472="-",IF('Interpreted Data'!U472=-90,"-V",IF('Interpreted Data'!U472=90,"+V",'Interpreted Data'!U472)),'Interpreted Data'!U472)</f>
        <v>23.5</v>
      </c>
      <c r="F472" s="18" t="str">
        <f>IF('Interpreted Data'!P472="","",CONCATENATE(";",'Interpreted Data'!P472))</f>
        <v/>
      </c>
    </row>
    <row r="473" spans="1:6" x14ac:dyDescent="0.25">
      <c r="A473">
        <f>'Interpreted Data'!A473</f>
        <v>223</v>
      </c>
      <c r="B473" t="str">
        <f>'Interpreted Data'!B473</f>
        <v>choke</v>
      </c>
      <c r="C473" s="2">
        <f>'Interpreted Data'!J473/$G$1</f>
        <v>3.0487804878048781</v>
      </c>
      <c r="D473" s="10">
        <f>'Interpreted Data'!T473</f>
        <v>47</v>
      </c>
      <c r="E473" s="11">
        <f>IF(D473="-",IF('Interpreted Data'!U473=-90,"-V",IF('Interpreted Data'!U473=90,"+V",'Interpreted Data'!U473)),'Interpreted Data'!U473)</f>
        <v>0</v>
      </c>
      <c r="F473" s="18" t="str">
        <f>IF('Interpreted Data'!P473="","",CONCATENATE(";",'Interpreted Data'!P473))</f>
        <v>;… on roof</v>
      </c>
    </row>
    <row r="474" spans="1:6" x14ac:dyDescent="0.25">
      <c r="C474" s="2"/>
      <c r="D474" s="10"/>
      <c r="E474" s="11"/>
      <c r="F474" s="18"/>
    </row>
    <row r="475" spans="1:6" x14ac:dyDescent="0.25">
      <c r="A475">
        <f>'Interpreted Data'!A475</f>
        <v>221</v>
      </c>
      <c r="B475">
        <f>'Interpreted Data'!B475</f>
        <v>224</v>
      </c>
      <c r="C475" s="2">
        <f>'Interpreted Data'!J475/$G$1</f>
        <v>6.3109756097560981</v>
      </c>
      <c r="D475" s="10">
        <f>'Interpreted Data'!T475</f>
        <v>89</v>
      </c>
      <c r="E475" s="11">
        <f>IF(D475="-",IF('Interpreted Data'!U475=-90,"-V",IF('Interpreted Data'!U475=90,"+V",'Interpreted Data'!U475)),'Interpreted Data'!U475)</f>
        <v>51</v>
      </c>
      <c r="F475" s="18" t="str">
        <f>IF('Interpreted Data'!P475="","",CONCATENATE(";",'Interpreted Data'!P475))</f>
        <v>;Maypole Junction</v>
      </c>
    </row>
    <row r="476" spans="1:6" x14ac:dyDescent="0.25">
      <c r="A476">
        <f>'Interpreted Data'!A476</f>
        <v>224</v>
      </c>
      <c r="B476">
        <f>'Interpreted Data'!B476</f>
        <v>225</v>
      </c>
      <c r="C476" s="2">
        <f>'Interpreted Data'!J476/$G$1</f>
        <v>5.3353658536585371</v>
      </c>
      <c r="D476" s="10">
        <f>'Interpreted Data'!T476</f>
        <v>64.5</v>
      </c>
      <c r="E476" s="11">
        <f>IF(D476="-",IF('Interpreted Data'!U476=-90,"-V",IF('Interpreted Data'!U476=90,"+V",'Interpreted Data'!U476)),'Interpreted Data'!U476)</f>
        <v>37.5</v>
      </c>
      <c r="F476" s="18" t="str">
        <f>IF('Interpreted Data'!P476="","",CONCATENATE(";",'Interpreted Data'!P476))</f>
        <v/>
      </c>
    </row>
    <row r="477" spans="1:6" x14ac:dyDescent="0.25">
      <c r="A477">
        <f>'Interpreted Data'!A477</f>
        <v>225</v>
      </c>
      <c r="B477">
        <f>'Interpreted Data'!B477</f>
        <v>226</v>
      </c>
      <c r="C477" s="2">
        <f>'Interpreted Data'!J477/$G$1</f>
        <v>11.067073170731707</v>
      </c>
      <c r="D477" s="10">
        <f>'Interpreted Data'!T477</f>
        <v>104.66666666666667</v>
      </c>
      <c r="E477" s="11">
        <f>IF(D477="-",IF('Interpreted Data'!U477=-90,"-V",IF('Interpreted Data'!U477=90,"+V",'Interpreted Data'!U477)),'Interpreted Data'!U477)</f>
        <v>13</v>
      </c>
      <c r="F477" s="18" t="str">
        <f>IF('Interpreted Data'!P477="","",CONCATENATE(";",'Interpreted Data'!P477))</f>
        <v>;cross joints at 27' &amp; 34'</v>
      </c>
    </row>
    <row r="478" spans="1:6" x14ac:dyDescent="0.25">
      <c r="A478" s="18" t="str">
        <f>CONCATENATE(";",'Interpreted Data'!A478)</f>
        <v>;226</v>
      </c>
      <c r="B478" t="str">
        <f>'Interpreted Data'!B478</f>
        <v/>
      </c>
      <c r="C478" s="2"/>
      <c r="D478" s="10"/>
      <c r="E478" s="11"/>
      <c r="F478" s="18" t="str">
        <f>IF('Interpreted Data'!P478="","",CONCATENATE(";",'Interpreted Data'!P478))</f>
        <v>;Smoke mark .stal. on roof also candle + mud</v>
      </c>
    </row>
    <row r="479" spans="1:6" x14ac:dyDescent="0.25">
      <c r="A479" t="str">
        <f>'Interpreted Data'!A479</f>
        <v/>
      </c>
      <c r="B479" t="str">
        <f>'Interpreted Data'!B479</f>
        <v/>
      </c>
      <c r="C479" s="2"/>
      <c r="D479" s="10"/>
      <c r="E479" s="11"/>
      <c r="F479" s="18" t="str">
        <f>IF('Interpreted Data'!P479="","",CONCATENATE(";",'Interpreted Data'!P479))</f>
        <v/>
      </c>
    </row>
    <row r="480" spans="1:6" x14ac:dyDescent="0.25">
      <c r="A480" s="18" t="str">
        <f>CONCATENATE(";",'Interpreted Data'!A480)</f>
        <v>;July 14th 1960</v>
      </c>
      <c r="B480" t="str">
        <f>'Interpreted Data'!B480</f>
        <v>Joe Candy</v>
      </c>
      <c r="C480" t="str">
        <f>'Interpreted Data'!C480</f>
        <v>Side Passages in Paradise Regained - Maypole Series, Candys Calamity, Shatter Pot.</v>
      </c>
      <c r="D480" s="10"/>
      <c r="E480" s="11"/>
      <c r="F480" s="18" t="str">
        <f>IF('Interpreted Data'!P480="","",CONCATENATE(";",'Interpreted Data'!P480))</f>
        <v/>
      </c>
    </row>
    <row r="481" spans="1:6" x14ac:dyDescent="0.25">
      <c r="A481">
        <f>'Interpreted Data'!A481</f>
        <v>220</v>
      </c>
      <c r="B481">
        <f>'Interpreted Data'!B481</f>
        <v>227</v>
      </c>
      <c r="C481" s="2">
        <f>'Interpreted Data'!J481/$G$1</f>
        <v>3.7500000000000004</v>
      </c>
      <c r="D481" s="10">
        <f>'Interpreted Data'!T481</f>
        <v>28</v>
      </c>
      <c r="E481" s="11">
        <f>IF(D481="-",IF('Interpreted Data'!U481=-90,"-V",IF('Interpreted Data'!U481=90,"+V",'Interpreted Data'!U481)),'Interpreted Data'!U481)</f>
        <v>-6</v>
      </c>
      <c r="F481" s="18" t="str">
        <f>IF('Interpreted Data'!P481="","",CONCATENATE(";",'Interpreted Data'!P481))</f>
        <v/>
      </c>
    </row>
    <row r="482" spans="1:6" x14ac:dyDescent="0.25">
      <c r="A482">
        <f>'Interpreted Data'!A482</f>
        <v>227</v>
      </c>
      <c r="B482">
        <f>'Interpreted Data'!B482</f>
        <v>228</v>
      </c>
      <c r="C482" s="2">
        <f>'Interpreted Data'!J482/$G$1</f>
        <v>9.5426829268292686</v>
      </c>
      <c r="D482" s="10">
        <f>'Interpreted Data'!T482</f>
        <v>6.5</v>
      </c>
      <c r="E482" s="11">
        <f>IF(D482="-",IF('Interpreted Data'!U482=-90,"-V",IF('Interpreted Data'!U482=90,"+V",'Interpreted Data'!U482)),'Interpreted Data'!U482)</f>
        <v>-42</v>
      </c>
      <c r="F482" s="18" t="str">
        <f>IF('Interpreted Data'!P482="","",CONCATENATE(";",'Interpreted Data'!P482))</f>
        <v>;Lip of 8' drop</v>
      </c>
    </row>
    <row r="483" spans="1:6" x14ac:dyDescent="0.25">
      <c r="A483" s="18" t="str">
        <f>CONCATENATE(";",'Interpreted Data'!A483)</f>
        <v>;228</v>
      </c>
      <c r="B483" t="str">
        <f>'Interpreted Data'!B483</f>
        <v/>
      </c>
      <c r="C483" s="2"/>
      <c r="D483" s="10"/>
      <c r="E483" s="11"/>
      <c r="F483" s="18" t="str">
        <f>IF('Interpreted Data'!P483="","",CONCATENATE(";",'Interpreted Data'!P483))</f>
        <v/>
      </c>
    </row>
    <row r="484" spans="1:6" x14ac:dyDescent="0.25">
      <c r="A484">
        <f>'Interpreted Data'!A484</f>
        <v>113</v>
      </c>
      <c r="B484">
        <f>'Interpreted Data'!B484</f>
        <v>229</v>
      </c>
      <c r="C484" s="2">
        <f>'Interpreted Data'!J484/$G$1</f>
        <v>2.5914634146341466</v>
      </c>
      <c r="D484" s="10">
        <f>'Interpreted Data'!T484</f>
        <v>96.5</v>
      </c>
      <c r="E484" s="11">
        <f>IF(D484="-",IF('Interpreted Data'!U484=-90,"-V",IF('Interpreted Data'!U484=90,"+V",'Interpreted Data'!U484)),'Interpreted Data'!U484)</f>
        <v>38</v>
      </c>
      <c r="F484" s="18" t="str">
        <f>IF('Interpreted Data'!P484="","",CONCATENATE(";",'Interpreted Data'!P484))</f>
        <v/>
      </c>
    </row>
    <row r="485" spans="1:6" x14ac:dyDescent="0.25">
      <c r="A485">
        <f>'Interpreted Data'!A485</f>
        <v>229</v>
      </c>
      <c r="B485">
        <f>'Interpreted Data'!B485</f>
        <v>230</v>
      </c>
      <c r="C485" s="2">
        <f>'Interpreted Data'!J485/$G$1</f>
        <v>10.24390243902439</v>
      </c>
      <c r="D485" s="10">
        <f>'Interpreted Data'!T485</f>
        <v>189.25</v>
      </c>
      <c r="E485" s="11">
        <f>IF(D485="-",IF('Interpreted Data'!U485=-90,"-V",IF('Interpreted Data'!U485=90,"+V",'Interpreted Data'!U485)),'Interpreted Data'!U485)</f>
        <v>46.5</v>
      </c>
      <c r="F485" s="18" t="str">
        <f>IF('Interpreted Data'!P485="","",CONCATENATE(";",'Interpreted Data'!P485))</f>
        <v/>
      </c>
    </row>
    <row r="486" spans="1:6" x14ac:dyDescent="0.25">
      <c r="A486">
        <f>'Interpreted Data'!A486</f>
        <v>230</v>
      </c>
      <c r="B486">
        <f>'Interpreted Data'!B486</f>
        <v>231</v>
      </c>
      <c r="C486" s="2">
        <f>'Interpreted Data'!J486/$G$1</f>
        <v>2.8353658536585371</v>
      </c>
      <c r="D486" s="10">
        <f>'Interpreted Data'!T486</f>
        <v>311.5</v>
      </c>
      <c r="E486" s="11">
        <f>IF(D486="-",IF('Interpreted Data'!U486=-90,"-V",IF('Interpreted Data'!U486=90,"+V",'Interpreted Data'!U486)),'Interpreted Data'!U486)</f>
        <v>14</v>
      </c>
      <c r="F486" s="18" t="str">
        <f>IF('Interpreted Data'!P486="","",CONCATENATE(";",'Interpreted Data'!P486))</f>
        <v/>
      </c>
    </row>
    <row r="487" spans="1:6" x14ac:dyDescent="0.25">
      <c r="A487">
        <f>'Interpreted Data'!A487</f>
        <v>231</v>
      </c>
      <c r="B487">
        <f>'Interpreted Data'!B487</f>
        <v>232</v>
      </c>
      <c r="C487" s="2">
        <f>'Interpreted Data'!J487/$G$1</f>
        <v>5.7317073170731714</v>
      </c>
      <c r="D487" s="10">
        <f>'Interpreted Data'!T487</f>
        <v>267</v>
      </c>
      <c r="E487" s="11">
        <f>IF(D487="-",IF('Interpreted Data'!U487=-90,"-V",IF('Interpreted Data'!U487=90,"+V",'Interpreted Data'!U487)),'Interpreted Data'!U487)</f>
        <v>-15</v>
      </c>
      <c r="F487" s="18" t="str">
        <f>IF('Interpreted Data'!P487="","",CONCATENATE(";",'Interpreted Data'!P487))</f>
        <v/>
      </c>
    </row>
    <row r="488" spans="1:6" x14ac:dyDescent="0.25">
      <c r="A488" s="18" t="str">
        <f>CONCATENATE(";",'Interpreted Data'!A488)</f>
        <v>;232</v>
      </c>
      <c r="B488" t="str">
        <f>'Interpreted Data'!B488</f>
        <v/>
      </c>
      <c r="C488" s="2"/>
      <c r="D488" s="10"/>
      <c r="E488" s="11"/>
      <c r="F488" s="18" t="str">
        <f>IF('Interpreted Data'!P488="","",CONCATENATE(";",'Interpreted Data'!P488))</f>
        <v/>
      </c>
    </row>
    <row r="489" spans="1:6" x14ac:dyDescent="0.25">
      <c r="A489">
        <f>'Interpreted Data'!A489</f>
        <v>230</v>
      </c>
      <c r="B489">
        <f>'Interpreted Data'!B489</f>
        <v>233</v>
      </c>
      <c r="C489" s="2">
        <f>'Interpreted Data'!J489/$G$1</f>
        <v>2.8658536585365857</v>
      </c>
      <c r="D489" s="10">
        <f>'Interpreted Data'!T489</f>
        <v>78</v>
      </c>
      <c r="E489" s="11">
        <f>IF(D489="-",IF('Interpreted Data'!U489=-90,"-V",IF('Interpreted Data'!U489=90,"+V",'Interpreted Data'!U489)),'Interpreted Data'!U489)</f>
        <v>26</v>
      </c>
      <c r="F489" s="18" t="str">
        <f>IF('Interpreted Data'!P489="","",CONCATENATE(";",'Interpreted Data'!P489))</f>
        <v/>
      </c>
    </row>
    <row r="490" spans="1:6" x14ac:dyDescent="0.25">
      <c r="A490">
        <f>'Interpreted Data'!A490</f>
        <v>233</v>
      </c>
      <c r="B490">
        <f>'Interpreted Data'!B490</f>
        <v>234</v>
      </c>
      <c r="C490" s="2">
        <f>'Interpreted Data'!J490/$G$1</f>
        <v>11.432926829268293</v>
      </c>
      <c r="D490" s="10">
        <f>'Interpreted Data'!T490</f>
        <v>98</v>
      </c>
      <c r="E490" s="11">
        <f>IF(D490="-",IF('Interpreted Data'!U490=-90,"-V",IF('Interpreted Data'!U490=90,"+V",'Interpreted Data'!U490)),'Interpreted Data'!U490)</f>
        <v>17.5</v>
      </c>
      <c r="F490" s="18" t="str">
        <f>IF('Interpreted Data'!P490="","",CONCATENATE(";",'Interpreted Data'!P490))</f>
        <v>;6' passage on left at 15'</v>
      </c>
    </row>
    <row r="491" spans="1:6" x14ac:dyDescent="0.25">
      <c r="A491">
        <f>'Interpreted Data'!A491</f>
        <v>234</v>
      </c>
      <c r="B491">
        <f>'Interpreted Data'!B491</f>
        <v>235</v>
      </c>
      <c r="C491" s="2">
        <f>'Interpreted Data'!J491/$G$1</f>
        <v>3.0182926829268295</v>
      </c>
      <c r="D491" s="10">
        <f>'Interpreted Data'!T491</f>
        <v>196</v>
      </c>
      <c r="E491" s="11">
        <f>IF(D491="-",IF('Interpreted Data'!U491=-90,"-V",IF('Interpreted Data'!U491=90,"+V",'Interpreted Data'!U491)),'Interpreted Data'!U491)</f>
        <v>0</v>
      </c>
      <c r="F491" s="18" t="str">
        <f>IF('Interpreted Data'!P491="","",CONCATENATE(";",'Interpreted Data'!P491))</f>
        <v/>
      </c>
    </row>
    <row r="492" spans="1:6" x14ac:dyDescent="0.25">
      <c r="A492">
        <f>'Interpreted Data'!A492</f>
        <v>235</v>
      </c>
      <c r="B492">
        <f>'Interpreted Data'!B492</f>
        <v>236</v>
      </c>
      <c r="C492" s="2">
        <f>'Interpreted Data'!J492/$G$1</f>
        <v>9.4817073170731714</v>
      </c>
      <c r="D492" s="10">
        <f>'Interpreted Data'!T492</f>
        <v>103</v>
      </c>
      <c r="E492" s="11">
        <f>IF(D492="-",IF('Interpreted Data'!U492=-90,"-V",IF('Interpreted Data'!U492=90,"+V",'Interpreted Data'!U492)),'Interpreted Data'!U492)</f>
        <v>15</v>
      </c>
      <c r="F492" s="18" t="str">
        <f>IF('Interpreted Data'!P492="","",CONCATENATE(";",'Interpreted Data'!P492))</f>
        <v>;Wide low passage diverges on right at 8'</v>
      </c>
    </row>
    <row r="493" spans="1:6" x14ac:dyDescent="0.25">
      <c r="A493">
        <f>'Interpreted Data'!A493</f>
        <v>236</v>
      </c>
      <c r="B493">
        <f>'Interpreted Data'!B493</f>
        <v>237</v>
      </c>
      <c r="C493" s="2">
        <f>'Interpreted Data'!J493/$G$1</f>
        <v>4.5731707317073171</v>
      </c>
      <c r="D493" s="10">
        <f>'Interpreted Data'!T493</f>
        <v>200</v>
      </c>
      <c r="E493" s="11">
        <f>IF(D493="-",IF('Interpreted Data'!U493=-90,"-V",IF('Interpreted Data'!U493=90,"+V",'Interpreted Data'!U493)),'Interpreted Data'!U493)</f>
        <v>-3</v>
      </c>
      <c r="F493" s="18" t="str">
        <f>IF('Interpreted Data'!P493="","",CONCATENATE(";",'Interpreted Data'!P493))</f>
        <v>;Approx. bearing for this and following legs</v>
      </c>
    </row>
    <row r="494" spans="1:6" x14ac:dyDescent="0.25">
      <c r="A494">
        <f>'Interpreted Data'!A494</f>
        <v>237</v>
      </c>
      <c r="B494">
        <f>'Interpreted Data'!B494</f>
        <v>238</v>
      </c>
      <c r="C494" s="2">
        <f>'Interpreted Data'!J494/$G$1</f>
        <v>13.109756097560977</v>
      </c>
      <c r="D494" s="10">
        <f>'Interpreted Data'!T494</f>
        <v>100</v>
      </c>
      <c r="E494" s="11">
        <f>IF(D494="-",IF('Interpreted Data'!U494=-90,"-V",IF('Interpreted Data'!U494=90,"+V",'Interpreted Data'!U494)),'Interpreted Data'!U494)</f>
        <v>15</v>
      </c>
      <c r="F494" s="18" t="str">
        <f>IF('Interpreted Data'!P494="","",CONCATENATE(";",'Interpreted Data'!P494))</f>
        <v>;Candys Calamity</v>
      </c>
    </row>
    <row r="495" spans="1:6" x14ac:dyDescent="0.25">
      <c r="A495">
        <f>'Interpreted Data'!A495</f>
        <v>215</v>
      </c>
      <c r="B495">
        <f>'Interpreted Data'!B495</f>
        <v>239</v>
      </c>
      <c r="C495" s="2">
        <f>'Interpreted Data'!J495/$G$1</f>
        <v>4.2682926829268295</v>
      </c>
      <c r="D495" s="10">
        <f>'Interpreted Data'!T495</f>
        <v>123.5</v>
      </c>
      <c r="E495" s="11">
        <f>IF(D495="-",IF('Interpreted Data'!U495=-90,"-V",IF('Interpreted Data'!U495=90,"+V",'Interpreted Data'!U495)),'Interpreted Data'!U495)</f>
        <v>8</v>
      </c>
      <c r="F495" s="18" t="str">
        <f>IF('Interpreted Data'!P495="","",CONCATENATE(";",'Interpreted Data'!P495))</f>
        <v>;In pitch chamber</v>
      </c>
    </row>
    <row r="496" spans="1:6" x14ac:dyDescent="0.25">
      <c r="A496">
        <f>'Interpreted Data'!A496</f>
        <v>239</v>
      </c>
      <c r="B496">
        <f>'Interpreted Data'!B496</f>
        <v>240</v>
      </c>
      <c r="C496" s="2">
        <f>'Interpreted Data'!J496/$G$1</f>
        <v>19.603658536585368</v>
      </c>
      <c r="D496" s="10">
        <f>'Interpreted Data'!T496</f>
        <v>139.5</v>
      </c>
      <c r="E496" s="11">
        <f>IF(D496="-",IF('Interpreted Data'!U496=-90,"-V",IF('Interpreted Data'!U496=90,"+V",'Interpreted Data'!U496)),'Interpreted Data'!U496)</f>
        <v>-43.25</v>
      </c>
      <c r="F496" s="18" t="str">
        <f>IF('Interpreted Data'!P496="","",CONCATENATE(";",'Interpreted Data'!P496))</f>
        <v>;Lip of pitch 8' on</v>
      </c>
    </row>
    <row r="497" spans="1:6" x14ac:dyDescent="0.25">
      <c r="A497">
        <f>'Interpreted Data'!A497</f>
        <v>240</v>
      </c>
      <c r="B497">
        <f>'Interpreted Data'!B497</f>
        <v>241</v>
      </c>
      <c r="C497" s="2">
        <f>'Interpreted Data'!J497/$G$1</f>
        <v>7.8048780487804885</v>
      </c>
      <c r="D497" s="10">
        <f>'Interpreted Data'!T497</f>
        <v>235</v>
      </c>
      <c r="E497" s="11">
        <f>IF(D497="-",IF('Interpreted Data'!U497=-90,"-V",IF('Interpreted Data'!U497=90,"+V",'Interpreted Data'!U497)),'Interpreted Data'!U497)</f>
        <v>-18.75</v>
      </c>
      <c r="F497" s="18" t="str">
        <f>IF('Interpreted Data'!P497="","",CONCATENATE(";",'Interpreted Data'!P497))</f>
        <v/>
      </c>
    </row>
    <row r="498" spans="1:6" x14ac:dyDescent="0.25">
      <c r="A498">
        <f>'Interpreted Data'!A498</f>
        <v>240</v>
      </c>
      <c r="B498">
        <f>'Interpreted Data'!B498</f>
        <v>242</v>
      </c>
      <c r="C498" s="2">
        <f>'Interpreted Data'!J498/$G$1</f>
        <v>6.0975609756097562</v>
      </c>
      <c r="D498" s="10">
        <f>'Interpreted Data'!T498</f>
        <v>8</v>
      </c>
      <c r="E498" s="11">
        <f>IF(D498="-",IF('Interpreted Data'!U498=-90,"-V",IF('Interpreted Data'!U498=90,"+V",'Interpreted Data'!U498)),'Interpreted Data'!U498)</f>
        <v>16</v>
      </c>
      <c r="F498" s="18" t="str">
        <f>IF('Interpreted Data'!P498="","",CONCATENATE(";",'Interpreted Data'!P498))</f>
        <v/>
      </c>
    </row>
    <row r="499" spans="1:6" x14ac:dyDescent="0.25">
      <c r="A499">
        <f>'Interpreted Data'!A499</f>
        <v>242</v>
      </c>
      <c r="B499">
        <f>'Interpreted Data'!B499</f>
        <v>243</v>
      </c>
      <c r="C499" s="2">
        <f>'Interpreted Data'!J499/$G$1</f>
        <v>6.0975609756097562</v>
      </c>
      <c r="D499" s="10">
        <f>'Interpreted Data'!T499</f>
        <v>69</v>
      </c>
      <c r="E499" s="11">
        <f>IF(D499="-",IF('Interpreted Data'!U499=-90,"-V",IF('Interpreted Data'!U499=90,"+V",'Interpreted Data'!U499)),'Interpreted Data'!U499)</f>
        <v>20</v>
      </c>
      <c r="F499" s="18" t="str">
        <f>IF('Interpreted Data'!P499="","",CONCATENATE(";",'Interpreted Data'!P499))</f>
        <v/>
      </c>
    </row>
    <row r="500" spans="1:6" x14ac:dyDescent="0.25">
      <c r="A500" s="18" t="str">
        <f>CONCATENATE(";",'Interpreted Data'!A500)</f>
        <v>;243</v>
      </c>
      <c r="B500" t="str">
        <f>'Interpreted Data'!B500</f>
        <v/>
      </c>
      <c r="C500" s="2"/>
      <c r="D500" s="10"/>
      <c r="E500" s="11"/>
      <c r="F500" s="18" t="str">
        <f>IF('Interpreted Data'!P500="","",CONCATENATE(";",'Interpreted Data'!P500))</f>
        <v/>
      </c>
    </row>
    <row r="501" spans="1:6" x14ac:dyDescent="0.25">
      <c r="A501" t="str">
        <f>'Interpreted Data'!A501</f>
        <v/>
      </c>
      <c r="B501" t="str">
        <f>'Interpreted Data'!B501</f>
        <v/>
      </c>
      <c r="C501" s="2" t="e">
        <f>'Interpreted Data'!J501/$G$1</f>
        <v>#VALUE!</v>
      </c>
      <c r="D501" s="10" t="str">
        <f>'Interpreted Data'!T501</f>
        <v>-</v>
      </c>
      <c r="E501" s="11" t="e">
        <f>IF(D501="-",IF('Interpreted Data'!U501=-90,"-V",IF('Interpreted Data'!U501=90,"+V",'Interpreted Data'!U501)),'Interpreted Data'!U501)</f>
        <v>#VALUE!</v>
      </c>
      <c r="F501" s="18" t="str">
        <f>IF('Interpreted Data'!P501="","",CONCATENATE(";",'Interpreted Data'!P501))</f>
        <v/>
      </c>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02"/>
  <sheetViews>
    <sheetView workbookViewId="0">
      <pane xSplit="2" ySplit="3" topLeftCell="C471" activePane="bottomRight" state="frozen"/>
      <selection pane="topRight" activeCell="C1" sqref="C1"/>
      <selection pane="bottomLeft" activeCell="A4" sqref="A4"/>
      <selection pane="bottomRight" activeCell="J446" sqref="J446:Q497"/>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IF(AND(D57="-",E57="-"),IF(1*F57=-90,"DOWN",IF(1*F57=90,"UP","no compass")),F57)</f>
        <v>15</v>
      </c>
      <c r="P57" t="str">
        <f t="shared" ref="P57:P76" si="21">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IF(AND(D58="-",E58="-"),IF(1*F58=-90,"DOWN",IF(1*F58=90,"UP","no compass")),F58)</f>
        <v>8</v>
      </c>
      <c r="P58" t="str">
        <f t="shared" si="21"/>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IF(AND(D59="-",E59="-"),IF(1*F59=-90,"DOWN",IF(1*F59=90,"UP","no compass")),F59)</f>
        <v>10</v>
      </c>
      <c r="P59" t="str">
        <f t="shared" si="21"/>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G60</f>
        <v>0</v>
      </c>
      <c r="P60" t="str">
        <f t="shared" si="21"/>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IF(AND(D61="-",E61="-"),IF(1*F61=-90,"DOWN",IF(1*F61=90,"UP","no compass")),F61)</f>
        <v>60</v>
      </c>
      <c r="P61" t="str">
        <f t="shared" si="21"/>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G62</f>
        <v>0</v>
      </c>
      <c r="P62" t="str">
        <f t="shared" si="21"/>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IF(AND(D63="-",E63="-"),IF(1*F63=-90,"DOWN",IF(1*F63=90,"UP","no compass")),F63)</f>
        <v>65</v>
      </c>
      <c r="P63" t="str">
        <f t="shared" si="21"/>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G64</f>
        <v>0</v>
      </c>
      <c r="P64" t="str">
        <f t="shared" si="21"/>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2">A65</f>
        <v>M</v>
      </c>
      <c r="K65">
        <f t="shared" ref="K65:K76" si="23">B65</f>
        <v>1</v>
      </c>
      <c r="L65">
        <f t="shared" si="18"/>
        <v>11.7</v>
      </c>
      <c r="M65" t="str">
        <f t="shared" si="19"/>
        <v>-</v>
      </c>
      <c r="N65" t="str">
        <f t="shared" si="20"/>
        <v>145</v>
      </c>
      <c r="O65" t="str">
        <f t="shared" ref="O65:O76" si="24">IF(AND(D65="-",E65="-"),IF(1*F65=-90,"DOWN",IF(1*F65=90,"UP","no compass")),F65)</f>
        <v>-20</v>
      </c>
      <c r="P65" t="str">
        <f t="shared" si="21"/>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2"/>
        <v>1</v>
      </c>
      <c r="K66">
        <f t="shared" si="23"/>
        <v>2</v>
      </c>
      <c r="L66">
        <f t="shared" si="18"/>
        <v>28.5</v>
      </c>
      <c r="M66" t="str">
        <f t="shared" si="19"/>
        <v>35</v>
      </c>
      <c r="N66" t="str">
        <f t="shared" si="20"/>
        <v>-</v>
      </c>
      <c r="O66" t="str">
        <f t="shared" si="24"/>
        <v>85</v>
      </c>
      <c r="P66" t="str">
        <f t="shared" si="21"/>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2"/>
        <v>2</v>
      </c>
      <c r="K67">
        <f t="shared" si="23"/>
        <v>3</v>
      </c>
      <c r="L67">
        <f t="shared" si="18"/>
        <v>19.899999999999999</v>
      </c>
      <c r="M67" t="str">
        <f t="shared" si="19"/>
        <v>-</v>
      </c>
      <c r="N67" t="str">
        <f t="shared" si="20"/>
        <v>230</v>
      </c>
      <c r="O67" t="str">
        <f t="shared" si="24"/>
        <v>16</v>
      </c>
      <c r="P67" t="str">
        <f t="shared" si="21"/>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2"/>
        <v>3</v>
      </c>
      <c r="K68">
        <f t="shared" si="23"/>
        <v>4</v>
      </c>
      <c r="L68">
        <f t="shared" si="18"/>
        <v>16</v>
      </c>
      <c r="M68" t="str">
        <f t="shared" si="19"/>
        <v>122</v>
      </c>
      <c r="N68" t="str">
        <f t="shared" si="20"/>
        <v>-</v>
      </c>
      <c r="O68" t="str">
        <f t="shared" si="24"/>
        <v>7</v>
      </c>
      <c r="P68" t="str">
        <f t="shared" si="21"/>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2"/>
        <v>4</v>
      </c>
      <c r="K69">
        <f t="shared" si="23"/>
        <v>5</v>
      </c>
      <c r="L69">
        <f t="shared" si="18"/>
        <v>18</v>
      </c>
      <c r="M69" t="str">
        <f t="shared" si="19"/>
        <v>59</v>
      </c>
      <c r="N69" t="str">
        <f t="shared" si="20"/>
        <v>-</v>
      </c>
      <c r="O69" t="str">
        <f t="shared" si="24"/>
        <v>15</v>
      </c>
      <c r="P69" t="str">
        <f t="shared" si="21"/>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2"/>
        <v>5</v>
      </c>
      <c r="K70">
        <f t="shared" si="23"/>
        <v>6</v>
      </c>
      <c r="L70">
        <f t="shared" si="18"/>
        <v>9.5</v>
      </c>
      <c r="M70" t="str">
        <f t="shared" si="19"/>
        <v>17</v>
      </c>
      <c r="N70" t="str">
        <f t="shared" si="20"/>
        <v>-</v>
      </c>
      <c r="O70" t="str">
        <f t="shared" si="24"/>
        <v>10</v>
      </c>
      <c r="P70" t="str">
        <f t="shared" si="21"/>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2"/>
        <v>6</v>
      </c>
      <c r="K71">
        <f t="shared" si="23"/>
        <v>7</v>
      </c>
      <c r="L71">
        <f t="shared" si="18"/>
        <v>13.5</v>
      </c>
      <c r="M71" t="str">
        <f t="shared" si="19"/>
        <v>46</v>
      </c>
      <c r="N71" t="str">
        <f t="shared" si="20"/>
        <v>-</v>
      </c>
      <c r="O71" t="str">
        <f t="shared" si="24"/>
        <v>17</v>
      </c>
      <c r="P71" t="str">
        <f t="shared" si="21"/>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2"/>
        <v>7</v>
      </c>
      <c r="K72">
        <f t="shared" si="23"/>
        <v>8</v>
      </c>
      <c r="L72">
        <f t="shared" si="18"/>
        <v>24.2</v>
      </c>
      <c r="M72" t="str">
        <f t="shared" si="19"/>
        <v>74</v>
      </c>
      <c r="N72" t="str">
        <f t="shared" si="20"/>
        <v>-</v>
      </c>
      <c r="O72" t="str">
        <f t="shared" si="24"/>
        <v>13</v>
      </c>
      <c r="P72" t="str">
        <f t="shared" si="21"/>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2"/>
        <v>8</v>
      </c>
      <c r="K73">
        <f t="shared" si="23"/>
        <v>9</v>
      </c>
      <c r="L73">
        <f t="shared" si="18"/>
        <v>8.8000000000000007</v>
      </c>
      <c r="M73" t="str">
        <f t="shared" si="19"/>
        <v>137</v>
      </c>
      <c r="N73" t="str">
        <f t="shared" si="20"/>
        <v>-</v>
      </c>
      <c r="O73" t="str">
        <f t="shared" si="24"/>
        <v>10</v>
      </c>
      <c r="P73" t="str">
        <f t="shared" si="21"/>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2"/>
        <v>9</v>
      </c>
      <c r="K74">
        <f t="shared" si="23"/>
        <v>10</v>
      </c>
      <c r="L74">
        <f t="shared" si="18"/>
        <v>19.8</v>
      </c>
      <c r="M74" t="str">
        <f t="shared" si="19"/>
        <v>89</v>
      </c>
      <c r="N74" t="str">
        <f t="shared" si="20"/>
        <v>-</v>
      </c>
      <c r="O74" t="str">
        <f t="shared" si="24"/>
        <v>15</v>
      </c>
      <c r="P74" t="str">
        <f t="shared" si="21"/>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2"/>
        <v>10</v>
      </c>
      <c r="K75">
        <f t="shared" si="23"/>
        <v>11</v>
      </c>
      <c r="L75">
        <f t="shared" si="18"/>
        <v>9</v>
      </c>
      <c r="M75" t="str">
        <f t="shared" si="19"/>
        <v>26</v>
      </c>
      <c r="N75" t="str">
        <f t="shared" si="20"/>
        <v>-</v>
      </c>
      <c r="O75" t="str">
        <f t="shared" si="24"/>
        <v>12</v>
      </c>
      <c r="P75" t="str">
        <f t="shared" si="21"/>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2"/>
        <v>11</v>
      </c>
      <c r="K76">
        <f t="shared" si="23"/>
        <v>12</v>
      </c>
      <c r="L76">
        <f t="shared" si="18"/>
        <v>10.7</v>
      </c>
      <c r="M76" t="str">
        <f t="shared" si="19"/>
        <v>78</v>
      </c>
      <c r="N76" t="str">
        <f t="shared" si="20"/>
        <v>-</v>
      </c>
      <c r="O76" t="str">
        <f t="shared" si="24"/>
        <v>10</v>
      </c>
      <c r="P76" t="str">
        <f t="shared" si="21"/>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B89" t="str">
        <f>'Raw Data'!B69</f>
        <v>(=PDF p.55-56)</v>
      </c>
      <c r="I89" t="str">
        <f t="shared" si="25"/>
        <v xml:space="preserve"> </v>
      </c>
      <c r="J89" t="str">
        <f>CONCATENATE("# ",A89)</f>
        <v># p. 51-52</v>
      </c>
      <c r="K89" t="str">
        <f>B89</f>
        <v>(=PDF p.55-56)</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L219" t="str">
        <f t="shared" ref="L219:L292" si="84">C219</f>
        <v>Barnes' Loop to Forty</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5">A221</f>
        <v>AY</v>
      </c>
      <c r="K221" t="str">
        <f t="shared" si="83"/>
        <v>AZ</v>
      </c>
      <c r="L221">
        <f t="shared" si="84"/>
        <v>17.600000000000001</v>
      </c>
      <c r="M221" t="str">
        <f t="shared" ref="M221:M292" si="86">D221</f>
        <v>-</v>
      </c>
      <c r="N221" t="str">
        <f t="shared" ref="N221:N292" si="87">E221</f>
        <v>259:20</v>
      </c>
      <c r="O221" t="str">
        <f t="shared" ref="O221:O292" si="88">IF(AND(D221="-",E221="-"),IF(1*SUBSTITUTE(F221,":",".")=-90,"DOWN",IF(1*SUBSTITUTE(F221,":",".")=90,"UP","no compass")),F221)</f>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5"/>
        <v>AZ</v>
      </c>
      <c r="K222" t="str">
        <f t="shared" si="83"/>
        <v>BA</v>
      </c>
      <c r="L222">
        <f t="shared" si="84"/>
        <v>36.6</v>
      </c>
      <c r="M222" t="str">
        <f t="shared" si="86"/>
        <v>113:30</v>
      </c>
      <c r="N222" t="str">
        <f t="shared" si="87"/>
        <v>-</v>
      </c>
      <c r="O222" t="str">
        <f t="shared" si="88"/>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5"/>
        <v>BA</v>
      </c>
      <c r="K223" t="str">
        <f t="shared" si="83"/>
        <v>BB</v>
      </c>
      <c r="L223">
        <f t="shared" si="84"/>
        <v>10.8</v>
      </c>
      <c r="M223" t="str">
        <f t="shared" si="86"/>
        <v>-</v>
      </c>
      <c r="N223" t="str">
        <f t="shared" si="87"/>
        <v>179:30</v>
      </c>
      <c r="O223" t="str">
        <f t="shared" si="88"/>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5"/>
        <v>BB</v>
      </c>
      <c r="K224" t="str">
        <f t="shared" si="83"/>
        <v>BC</v>
      </c>
      <c r="L224">
        <f t="shared" si="84"/>
        <v>20.399999999999999</v>
      </c>
      <c r="M224" t="str">
        <f t="shared" si="86"/>
        <v>011:50</v>
      </c>
      <c r="N224" t="str">
        <f t="shared" si="87"/>
        <v>-</v>
      </c>
      <c r="O224" t="str">
        <f t="shared" si="88"/>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5"/>
        <v>BC</v>
      </c>
      <c r="K225" t="str">
        <f t="shared" si="83"/>
        <v>BD</v>
      </c>
      <c r="L225">
        <f t="shared" si="84"/>
        <v>49.6</v>
      </c>
      <c r="M225" t="str">
        <f t="shared" si="86"/>
        <v>-</v>
      </c>
      <c r="N225" t="str">
        <f t="shared" si="87"/>
        <v>160:00</v>
      </c>
      <c r="O225" t="str">
        <f t="shared" si="88"/>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5"/>
        <v>BD</v>
      </c>
      <c r="K226" t="str">
        <f t="shared" si="83"/>
        <v>BE</v>
      </c>
      <c r="L226">
        <f t="shared" si="84"/>
        <v>24.7</v>
      </c>
      <c r="M226" t="str">
        <f t="shared" si="86"/>
        <v>333:00</v>
      </c>
      <c r="N226" t="str">
        <f t="shared" si="87"/>
        <v>-</v>
      </c>
      <c r="O226" t="str">
        <f t="shared" si="88"/>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5"/>
        <v>BE</v>
      </c>
      <c r="K227" t="str">
        <f t="shared" si="83"/>
        <v>BF</v>
      </c>
      <c r="L227">
        <f t="shared" si="84"/>
        <v>13.3</v>
      </c>
      <c r="M227" t="str">
        <f t="shared" si="86"/>
        <v>-</v>
      </c>
      <c r="N227" t="str">
        <f t="shared" si="87"/>
        <v>203:30</v>
      </c>
      <c r="O227" t="str">
        <f t="shared" si="88"/>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5"/>
        <v>BF</v>
      </c>
      <c r="K228" t="str">
        <f t="shared" si="83"/>
        <v>BG</v>
      </c>
      <c r="L228">
        <f t="shared" si="84"/>
        <v>15.7</v>
      </c>
      <c r="M228" t="str">
        <f t="shared" si="86"/>
        <v>091:50</v>
      </c>
      <c r="N228" t="str">
        <f t="shared" si="87"/>
        <v>-</v>
      </c>
      <c r="O228" t="str">
        <f t="shared" si="88"/>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5"/>
        <v>BG</v>
      </c>
      <c r="K229" t="str">
        <f t="shared" si="83"/>
        <v>BH</v>
      </c>
      <c r="L229">
        <f t="shared" si="84"/>
        <v>36.9</v>
      </c>
      <c r="M229" t="str">
        <f t="shared" si="86"/>
        <v>-</v>
      </c>
      <c r="N229" t="str">
        <f t="shared" si="87"/>
        <v>324:20</v>
      </c>
      <c r="O229" t="str">
        <f t="shared" si="88"/>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5"/>
        <v>BH</v>
      </c>
      <c r="K230" t="str">
        <f t="shared" si="83"/>
        <v>BI</v>
      </c>
      <c r="L230">
        <f t="shared" si="84"/>
        <v>24.2</v>
      </c>
      <c r="M230" t="str">
        <f t="shared" si="86"/>
        <v>104:10</v>
      </c>
      <c r="N230" t="str">
        <f t="shared" si="87"/>
        <v>-</v>
      </c>
      <c r="O230" t="str">
        <f t="shared" si="88"/>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5"/>
        <v>BI</v>
      </c>
      <c r="K231" t="str">
        <f t="shared" si="83"/>
        <v>BJ</v>
      </c>
      <c r="L231">
        <f t="shared" si="84"/>
        <v>17.5</v>
      </c>
      <c r="M231" t="str">
        <f t="shared" si="86"/>
        <v>-</v>
      </c>
      <c r="N231" t="str">
        <f t="shared" si="87"/>
        <v>212:20</v>
      </c>
      <c r="O231" t="str">
        <f t="shared" si="88"/>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5"/>
        <v>BJ</v>
      </c>
      <c r="K232" t="str">
        <f t="shared" si="83"/>
        <v>BK</v>
      </c>
      <c r="L232">
        <f t="shared" si="84"/>
        <v>24.8</v>
      </c>
      <c r="M232" t="str">
        <f t="shared" si="86"/>
        <v>121:00</v>
      </c>
      <c r="N232" t="str">
        <f t="shared" si="87"/>
        <v>-</v>
      </c>
      <c r="O232" t="str">
        <f t="shared" si="88"/>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5"/>
        <v>BK</v>
      </c>
      <c r="K233" t="str">
        <f t="shared" si="83"/>
        <v>BL</v>
      </c>
      <c r="L233">
        <f t="shared" si="84"/>
        <v>22.1</v>
      </c>
      <c r="M233" t="str">
        <f t="shared" si="86"/>
        <v>-</v>
      </c>
      <c r="N233" t="str">
        <f t="shared" si="87"/>
        <v>277:30</v>
      </c>
      <c r="O233" t="str">
        <f t="shared" si="88"/>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5"/>
        <v>BL</v>
      </c>
      <c r="K234" t="str">
        <f t="shared" si="83"/>
        <v>BM</v>
      </c>
      <c r="L234">
        <f t="shared" si="84"/>
        <v>35.700000000000003</v>
      </c>
      <c r="M234" t="str">
        <f t="shared" si="86"/>
        <v>133:00</v>
      </c>
      <c r="N234" t="str">
        <f t="shared" si="87"/>
        <v>-</v>
      </c>
      <c r="O234" t="str">
        <f t="shared" si="88"/>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5"/>
        <v>BM</v>
      </c>
      <c r="K235" t="str">
        <f t="shared" si="83"/>
        <v>BN</v>
      </c>
      <c r="L235">
        <f t="shared" si="84"/>
        <v>9.9</v>
      </c>
      <c r="M235" t="str">
        <f t="shared" si="86"/>
        <v>-</v>
      </c>
      <c r="N235" t="str">
        <f t="shared" si="87"/>
        <v>351:20</v>
      </c>
      <c r="O235" t="str">
        <f t="shared" si="88"/>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5"/>
        <v>BN</v>
      </c>
      <c r="K236" t="str">
        <f t="shared" si="83"/>
        <v>BO</v>
      </c>
      <c r="L236">
        <f t="shared" si="84"/>
        <v>7.7</v>
      </c>
      <c r="M236" t="str">
        <f t="shared" si="86"/>
        <v>102:20</v>
      </c>
      <c r="N236" t="str">
        <f t="shared" si="87"/>
        <v>-</v>
      </c>
      <c r="O236" t="str">
        <f t="shared" si="88"/>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5"/>
        <v>BO</v>
      </c>
      <c r="K237" t="str">
        <f t="shared" si="83"/>
        <v>BP</v>
      </c>
      <c r="L237">
        <f t="shared" si="84"/>
        <v>21.2</v>
      </c>
      <c r="M237" t="str">
        <f t="shared" si="86"/>
        <v>-</v>
      </c>
      <c r="N237" t="str">
        <f t="shared" si="87"/>
        <v>317:00</v>
      </c>
      <c r="O237" t="str">
        <f t="shared" si="88"/>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5"/>
        <v>BP</v>
      </c>
      <c r="K238" t="str">
        <f t="shared" si="83"/>
        <v>BQ</v>
      </c>
      <c r="L238">
        <f t="shared" si="84"/>
        <v>28.5</v>
      </c>
      <c r="M238" t="str">
        <f t="shared" si="86"/>
        <v>152:30</v>
      </c>
      <c r="N238" t="str">
        <f t="shared" si="87"/>
        <v>-</v>
      </c>
      <c r="O238" t="str">
        <f t="shared" si="88"/>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5"/>
        <v>BQ</v>
      </c>
      <c r="K239" t="str">
        <f t="shared" si="83"/>
        <v>BR</v>
      </c>
      <c r="L239">
        <f t="shared" si="84"/>
        <v>29.6</v>
      </c>
      <c r="M239" t="str">
        <f t="shared" si="86"/>
        <v>-</v>
      </c>
      <c r="N239" t="str">
        <f t="shared" si="87"/>
        <v>313:10</v>
      </c>
      <c r="O239" t="str">
        <f t="shared" si="88"/>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5"/>
        <v>BR</v>
      </c>
      <c r="K240" t="str">
        <f t="shared" si="83"/>
        <v>BS</v>
      </c>
      <c r="L240">
        <f t="shared" si="84"/>
        <v>20.399999999999999</v>
      </c>
      <c r="M240" t="str">
        <f t="shared" si="86"/>
        <v>137:30</v>
      </c>
      <c r="N240" t="str">
        <f t="shared" si="87"/>
        <v>-</v>
      </c>
      <c r="O240" t="str">
        <f t="shared" si="88"/>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5"/>
        <v>BS</v>
      </c>
      <c r="K242" t="str">
        <f t="shared" si="83"/>
        <v>BT</v>
      </c>
      <c r="L242">
        <f t="shared" si="84"/>
        <v>1.5</v>
      </c>
      <c r="M242" t="str">
        <f t="shared" si="86"/>
        <v>149:00</v>
      </c>
      <c r="N242" t="str">
        <f t="shared" si="87"/>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5"/>
        <v>BT</v>
      </c>
      <c r="K244" t="str">
        <f t="shared" si="83"/>
        <v>BU</v>
      </c>
      <c r="L244">
        <f t="shared" si="84"/>
        <v>21.6</v>
      </c>
      <c r="M244" t="str">
        <f t="shared" si="86"/>
        <v>-</v>
      </c>
      <c r="N244" t="str">
        <f t="shared" si="87"/>
        <v>265:50</v>
      </c>
      <c r="O244" t="str">
        <f t="shared" si="88"/>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5"/>
        <v>BU</v>
      </c>
      <c r="K245" t="str">
        <f t="shared" si="83"/>
        <v>BV</v>
      </c>
      <c r="L245">
        <f t="shared" si="84"/>
        <v>8.5</v>
      </c>
      <c r="M245" t="str">
        <f t="shared" si="86"/>
        <v>116:00</v>
      </c>
      <c r="N245" t="str">
        <f t="shared" si="87"/>
        <v>-</v>
      </c>
      <c r="O245" t="str">
        <f t="shared" si="88"/>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5"/>
        <v>BV</v>
      </c>
      <c r="K246" t="str">
        <f t="shared" si="83"/>
        <v>BW</v>
      </c>
      <c r="L246">
        <f t="shared" si="84"/>
        <v>15.7</v>
      </c>
      <c r="M246" t="str">
        <f t="shared" si="86"/>
        <v>-</v>
      </c>
      <c r="N246" t="str">
        <f t="shared" si="87"/>
        <v>266:20</v>
      </c>
      <c r="O246" t="str">
        <f t="shared" si="88"/>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5"/>
        <v>BW</v>
      </c>
      <c r="K247" t="str">
        <f t="shared" si="83"/>
        <v>BX</v>
      </c>
      <c r="L247">
        <f t="shared" si="84"/>
        <v>28.5</v>
      </c>
      <c r="M247" t="str">
        <f t="shared" si="86"/>
        <v>117:00</v>
      </c>
      <c r="N247" t="str">
        <f t="shared" si="87"/>
        <v>-</v>
      </c>
      <c r="O247" t="str">
        <f t="shared" si="88"/>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5"/>
        <v>BX</v>
      </c>
      <c r="K248" t="str">
        <f t="shared" si="83"/>
        <v>BY</v>
      </c>
      <c r="L248">
        <f t="shared" si="84"/>
        <v>6.9</v>
      </c>
      <c r="M248" t="str">
        <f t="shared" si="86"/>
        <v>-</v>
      </c>
      <c r="N248" t="str">
        <f t="shared" si="87"/>
        <v>326:00</v>
      </c>
      <c r="O248" t="str">
        <f t="shared" si="88"/>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5"/>
        <v>BY</v>
      </c>
      <c r="K249" t="str">
        <f t="shared" si="83"/>
        <v>BZ</v>
      </c>
      <c r="L249">
        <f t="shared" si="84"/>
        <v>13.8</v>
      </c>
      <c r="M249" t="str">
        <f t="shared" si="86"/>
        <v>125:20</v>
      </c>
      <c r="N249" t="str">
        <f t="shared" si="87"/>
        <v>-</v>
      </c>
      <c r="O249" t="str">
        <f t="shared" si="88"/>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5"/>
        <v>BZ</v>
      </c>
      <c r="K250" t="str">
        <f t="shared" si="83"/>
        <v>CA</v>
      </c>
      <c r="L250">
        <f t="shared" si="84"/>
        <v>18.5</v>
      </c>
      <c r="M250" t="str">
        <f t="shared" si="86"/>
        <v>-</v>
      </c>
      <c r="N250" t="str">
        <f t="shared" si="87"/>
        <v>352:00</v>
      </c>
      <c r="O250" t="str">
        <f t="shared" si="88"/>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5"/>
        <v>CA</v>
      </c>
      <c r="K251" t="str">
        <f t="shared" si="83"/>
        <v>CB</v>
      </c>
      <c r="L251">
        <f t="shared" si="84"/>
        <v>8</v>
      </c>
      <c r="M251" t="str">
        <f t="shared" si="86"/>
        <v>125:00</v>
      </c>
      <c r="N251" t="str">
        <f t="shared" si="87"/>
        <v>-</v>
      </c>
      <c r="O251" t="str">
        <f t="shared" si="88"/>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5"/>
        <v>CB</v>
      </c>
      <c r="K252" t="str">
        <f t="shared" si="83"/>
        <v>CC</v>
      </c>
      <c r="L252">
        <f t="shared" si="84"/>
        <v>17.399999999999999</v>
      </c>
      <c r="M252" t="str">
        <f t="shared" si="86"/>
        <v>-</v>
      </c>
      <c r="N252" t="str">
        <f t="shared" si="87"/>
        <v>284:10</v>
      </c>
      <c r="O252" t="str">
        <f t="shared" si="88"/>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5"/>
        <v>CC</v>
      </c>
      <c r="K253" t="str">
        <f t="shared" si="83"/>
        <v>CD</v>
      </c>
      <c r="L253">
        <f t="shared" si="84"/>
        <v>74.599999999999994</v>
      </c>
      <c r="M253" t="str">
        <f t="shared" si="86"/>
        <v>137:10</v>
      </c>
      <c r="N253" t="str">
        <f t="shared" si="87"/>
        <v>-</v>
      </c>
      <c r="O253" t="str">
        <f t="shared" si="88"/>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5"/>
        <v>CD</v>
      </c>
      <c r="K254" t="str">
        <f t="shared" si="83"/>
        <v>CE</v>
      </c>
      <c r="L254">
        <f t="shared" si="84"/>
        <v>35</v>
      </c>
      <c r="M254" t="str">
        <f t="shared" si="86"/>
        <v>-</v>
      </c>
      <c r="N254" t="str">
        <f t="shared" si="87"/>
        <v>304:00</v>
      </c>
      <c r="O254" t="str">
        <f t="shared" si="88"/>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5"/>
        <v>CE</v>
      </c>
      <c r="K255" t="str">
        <f t="shared" si="83"/>
        <v>CF</v>
      </c>
      <c r="L255">
        <f t="shared" si="84"/>
        <v>28.3</v>
      </c>
      <c r="M255" t="str">
        <f t="shared" si="86"/>
        <v>091:40</v>
      </c>
      <c r="N255" t="str">
        <f t="shared" si="87"/>
        <v>-</v>
      </c>
      <c r="O255" t="str">
        <f t="shared" si="88"/>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5"/>
        <v>CF</v>
      </c>
      <c r="K256" t="str">
        <f t="shared" si="83"/>
        <v>CG</v>
      </c>
      <c r="L256">
        <f t="shared" si="84"/>
        <v>10.6</v>
      </c>
      <c r="M256" t="str">
        <f t="shared" si="86"/>
        <v>-</v>
      </c>
      <c r="N256" t="str">
        <f t="shared" si="87"/>
        <v>294:30</v>
      </c>
      <c r="O256" t="str">
        <f t="shared" si="88"/>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5"/>
        <v>CG</v>
      </c>
      <c r="K257" t="str">
        <f t="shared" si="83"/>
        <v>CH</v>
      </c>
      <c r="L257">
        <f t="shared" si="84"/>
        <v>31.4</v>
      </c>
      <c r="M257" t="str">
        <f t="shared" si="86"/>
        <v>014:20</v>
      </c>
      <c r="N257" t="str">
        <f t="shared" si="87"/>
        <v>-</v>
      </c>
      <c r="O257" t="str">
        <f t="shared" si="88"/>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5"/>
        <v>CH</v>
      </c>
      <c r="K258" t="str">
        <f t="shared" si="83"/>
        <v>CI</v>
      </c>
      <c r="L258">
        <f t="shared" si="84"/>
        <v>15.9</v>
      </c>
      <c r="M258" t="str">
        <f t="shared" si="86"/>
        <v>-</v>
      </c>
      <c r="N258" t="str">
        <f t="shared" si="87"/>
        <v>169:00</v>
      </c>
      <c r="O258" t="str">
        <f t="shared" si="88"/>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5"/>
        <v>CI</v>
      </c>
      <c r="K259" t="str">
        <f t="shared" si="83"/>
        <v>CJ</v>
      </c>
      <c r="L259">
        <f t="shared" si="84"/>
        <v>35.200000000000003</v>
      </c>
      <c r="M259" t="str">
        <f t="shared" si="86"/>
        <v>023:00</v>
      </c>
      <c r="N259" t="str">
        <f t="shared" si="87"/>
        <v>-</v>
      </c>
      <c r="O259" t="str">
        <f t="shared" si="88"/>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5"/>
        <v>CJ</v>
      </c>
      <c r="K261" t="str">
        <f t="shared" si="83"/>
        <v>CK</v>
      </c>
      <c r="L261">
        <f t="shared" si="84"/>
        <v>12.3</v>
      </c>
      <c r="M261" t="str">
        <f t="shared" si="86"/>
        <v>328:00</v>
      </c>
      <c r="N261" t="str">
        <f t="shared" si="87"/>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5"/>
        <v>CK</v>
      </c>
      <c r="K263" t="str">
        <f t="shared" si="83"/>
        <v>CL</v>
      </c>
      <c r="L263">
        <f t="shared" si="84"/>
        <v>35.700000000000003</v>
      </c>
      <c r="M263" t="str">
        <f t="shared" si="86"/>
        <v>-</v>
      </c>
      <c r="N263" t="str">
        <f t="shared" si="87"/>
        <v>272:00</v>
      </c>
      <c r="O263" t="str">
        <f t="shared" si="88"/>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5"/>
        <v>CL</v>
      </c>
      <c r="K265" t="str">
        <f t="shared" si="83"/>
        <v>CN</v>
      </c>
      <c r="L265">
        <f t="shared" si="84"/>
        <v>3</v>
      </c>
      <c r="M265" t="str">
        <f t="shared" si="86"/>
        <v>100:00</v>
      </c>
      <c r="N265" t="str">
        <f t="shared" si="87"/>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5"/>
        <v>AL</v>
      </c>
      <c r="K270" t="str">
        <f t="shared" si="83"/>
        <v>a</v>
      </c>
      <c r="L270">
        <f t="shared" si="84"/>
        <v>3.4</v>
      </c>
      <c r="M270" t="str">
        <f t="shared" si="86"/>
        <v>-</v>
      </c>
      <c r="N270" t="str">
        <f t="shared" si="87"/>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5"/>
        <v>a</v>
      </c>
      <c r="K272" t="str">
        <f t="shared" si="83"/>
        <v>b</v>
      </c>
      <c r="L272">
        <f t="shared" si="84"/>
        <v>19.399999999999999</v>
      </c>
      <c r="M272" t="str">
        <f t="shared" si="86"/>
        <v>184:00</v>
      </c>
      <c r="N272" t="str">
        <f t="shared" si="87"/>
        <v>-</v>
      </c>
      <c r="O272" t="str">
        <f t="shared" si="88"/>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5"/>
        <v>b</v>
      </c>
      <c r="K273" t="str">
        <f t="shared" si="83"/>
        <v>c</v>
      </c>
      <c r="L273">
        <f t="shared" si="84"/>
        <v>10.8</v>
      </c>
      <c r="M273" t="str">
        <f t="shared" si="86"/>
        <v>-</v>
      </c>
      <c r="N273" t="str">
        <f t="shared" si="87"/>
        <v>229:40</v>
      </c>
      <c r="O273" t="str">
        <f t="shared" si="88"/>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5"/>
        <v>c</v>
      </c>
      <c r="K274" t="str">
        <f t="shared" si="83"/>
        <v>d</v>
      </c>
      <c r="L274">
        <f t="shared" si="84"/>
        <v>23.8</v>
      </c>
      <c r="M274" t="str">
        <f t="shared" si="86"/>
        <v>203:40</v>
      </c>
      <c r="N274" t="str">
        <f t="shared" si="87"/>
        <v>-</v>
      </c>
      <c r="O274" t="str">
        <f t="shared" si="88"/>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5"/>
        <v>d</v>
      </c>
      <c r="K275" t="str">
        <f t="shared" si="83"/>
        <v>e</v>
      </c>
      <c r="L275">
        <f t="shared" si="84"/>
        <v>52</v>
      </c>
      <c r="M275" t="str">
        <f t="shared" si="86"/>
        <v>-</v>
      </c>
      <c r="N275" t="str">
        <f t="shared" si="87"/>
        <v>305:10</v>
      </c>
      <c r="O275" t="str">
        <f t="shared" si="88"/>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5"/>
        <v>e</v>
      </c>
      <c r="K276" t="str">
        <f t="shared" si="83"/>
        <v>f</v>
      </c>
      <c r="L276">
        <f t="shared" si="84"/>
        <v>23.5</v>
      </c>
      <c r="M276" t="str">
        <f t="shared" si="86"/>
        <v>125:00</v>
      </c>
      <c r="N276" t="str">
        <f t="shared" si="87"/>
        <v>-</v>
      </c>
      <c r="O276" t="str">
        <f t="shared" si="88"/>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5"/>
        <v>f</v>
      </c>
      <c r="K277" t="str">
        <f t="shared" si="83"/>
        <v>g</v>
      </c>
      <c r="L277">
        <f t="shared" si="84"/>
        <v>16.899999999999999</v>
      </c>
      <c r="M277" t="str">
        <f t="shared" si="86"/>
        <v>-</v>
      </c>
      <c r="N277" t="str">
        <f t="shared" si="87"/>
        <v>342:00</v>
      </c>
      <c r="O277" t="str">
        <f t="shared" si="88"/>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5"/>
        <v>g</v>
      </c>
      <c r="K279" t="str">
        <f t="shared" si="83"/>
        <v>h</v>
      </c>
      <c r="L279">
        <f t="shared" si="84"/>
        <v>7.6</v>
      </c>
      <c r="M279" t="str">
        <f t="shared" si="86"/>
        <v>-</v>
      </c>
      <c r="N279" t="str">
        <f t="shared" si="87"/>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5"/>
        <v>h</v>
      </c>
      <c r="K281" t="str">
        <f t="shared" si="83"/>
        <v>i</v>
      </c>
      <c r="L281">
        <f t="shared" si="84"/>
        <v>18.2</v>
      </c>
      <c r="M281" t="str">
        <f t="shared" si="86"/>
        <v>-</v>
      </c>
      <c r="N281" t="str">
        <f t="shared" si="87"/>
        <v>002:00</v>
      </c>
      <c r="O281" t="str">
        <f t="shared" si="88"/>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5"/>
        <v>i</v>
      </c>
      <c r="K282" t="str">
        <f t="shared" si="83"/>
        <v>j</v>
      </c>
      <c r="L282">
        <f t="shared" si="84"/>
        <v>7.8</v>
      </c>
      <c r="M282" t="str">
        <f t="shared" si="86"/>
        <v>-</v>
      </c>
      <c r="N282" t="str">
        <f t="shared" si="87"/>
        <v>007:00</v>
      </c>
      <c r="O282" t="str">
        <f t="shared" si="88"/>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5"/>
        <v>j</v>
      </c>
      <c r="K283" t="str">
        <f t="shared" si="83"/>
        <v>k</v>
      </c>
      <c r="L283">
        <f t="shared" si="84"/>
        <v>28.9</v>
      </c>
      <c r="M283" t="str">
        <f t="shared" si="86"/>
        <v>194:00</v>
      </c>
      <c r="N283" t="str">
        <f t="shared" si="87"/>
        <v>-</v>
      </c>
      <c r="O283" t="str">
        <f t="shared" si="88"/>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5"/>
        <v>k</v>
      </c>
      <c r="K284" t="str">
        <f t="shared" si="83"/>
        <v>l</v>
      </c>
      <c r="L284">
        <f t="shared" si="84"/>
        <v>22.3</v>
      </c>
      <c r="M284" t="str">
        <f t="shared" si="86"/>
        <v>-</v>
      </c>
      <c r="N284" t="str">
        <f t="shared" si="87"/>
        <v>027:30</v>
      </c>
      <c r="O284" t="str">
        <f t="shared" si="88"/>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5"/>
        <v>l</v>
      </c>
      <c r="K285" t="str">
        <f t="shared" si="83"/>
        <v>m</v>
      </c>
      <c r="L285">
        <f t="shared" si="84"/>
        <v>22.9</v>
      </c>
      <c r="M285" t="str">
        <f t="shared" si="86"/>
        <v>187:00</v>
      </c>
      <c r="N285" t="str">
        <f t="shared" si="87"/>
        <v>-</v>
      </c>
      <c r="O285" t="str">
        <f t="shared" si="88"/>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5"/>
        <v>m</v>
      </c>
      <c r="K286" t="str">
        <f t="shared" si="83"/>
        <v>n</v>
      </c>
      <c r="L286">
        <f t="shared" si="84"/>
        <v>18.8</v>
      </c>
      <c r="M286" t="str">
        <f t="shared" si="86"/>
        <v>-</v>
      </c>
      <c r="N286" t="str">
        <f t="shared" si="87"/>
        <v>044:00</v>
      </c>
      <c r="O286" t="str">
        <f t="shared" si="88"/>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5"/>
        <v>n</v>
      </c>
      <c r="K287" t="str">
        <f t="shared" si="83"/>
        <v>o</v>
      </c>
      <c r="L287">
        <f t="shared" si="84"/>
        <v>47.1</v>
      </c>
      <c r="M287" t="str">
        <f t="shared" si="86"/>
        <v>251:00</v>
      </c>
      <c r="N287" t="str">
        <f t="shared" si="87"/>
        <v>-</v>
      </c>
      <c r="O287" t="str">
        <f t="shared" si="88"/>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5"/>
        <v>o</v>
      </c>
      <c r="K292" t="str">
        <f t="shared" si="83"/>
        <v>p</v>
      </c>
      <c r="L292">
        <f t="shared" si="84"/>
        <v>24</v>
      </c>
      <c r="M292" t="str">
        <f t="shared" si="86"/>
        <v>-</v>
      </c>
      <c r="N292" t="str">
        <f t="shared" si="87"/>
        <v>102:00</v>
      </c>
      <c r="O292" t="str">
        <f t="shared" si="88"/>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25"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si="95"/>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5"/>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5"/>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5"/>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G326</f>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G327</f>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t="str">
        <f>'Raw Data'!C284</f>
        <v>Pretty Way</v>
      </c>
      <c r="D333">
        <f>'Raw Data'!D284</f>
        <v>0</v>
      </c>
      <c r="E333">
        <f>'Raw Data'!E284</f>
        <v>0</v>
      </c>
      <c r="F333" t="str">
        <f>SUBSTITUTE('Raw Data'!K284," ",":",1)</f>
        <v/>
      </c>
      <c r="G333" t="str">
        <f>'Interpreted Data'!N284</f>
        <v/>
      </c>
      <c r="H333" t="str">
        <f>'Interpreted Data'!P284</f>
        <v/>
      </c>
      <c r="J333" t="str">
        <f>CONCATENATE("# ",A333)</f>
        <v># 2nd May 1953</v>
      </c>
      <c r="K333" t="str">
        <f t="shared" ref="K333:L333" si="97">B333</f>
        <v>Oliver</v>
      </c>
      <c r="L333" t="str">
        <f t="shared" si="97"/>
        <v>Pretty Way</v>
      </c>
      <c r="P333" t="str">
        <f t="shared" ref="P333" si="98">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99">A335</f>
        <v>DO</v>
      </c>
      <c r="K335" t="str">
        <f t="shared" ref="K335" si="100">B335</f>
        <v>FA</v>
      </c>
      <c r="L335">
        <f t="shared" ref="L335" si="101">C335</f>
        <v>17.5</v>
      </c>
      <c r="M335" t="str">
        <f t="shared" ref="M335" si="102">D335</f>
        <v>-</v>
      </c>
      <c r="N335" t="str">
        <f t="shared" ref="N335" si="103">E335</f>
        <v>171:30</v>
      </c>
      <c r="O335" t="str">
        <f t="shared" ref="O335" si="104">IF(AND(D335="-",E335="-"),IF(1*SUBSTITUTE(F335,":",".")=-90,"DOWN",IF(1*SUBSTITUTE(F335,":",".")=90,"UP","no compass")),F335)</f>
        <v>-0:30</v>
      </c>
      <c r="P335" t="str">
        <f t="shared" ref="P335" si="105">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6">A336</f>
        <v>FA</v>
      </c>
      <c r="K336" t="str">
        <f t="shared" ref="K336:K355" si="107">B336</f>
        <v>FB</v>
      </c>
      <c r="L336">
        <f t="shared" ref="L336:L355" si="108">C336</f>
        <v>4.8</v>
      </c>
      <c r="M336" t="str">
        <f t="shared" ref="M336:M355" si="109">D336</f>
        <v>358:10</v>
      </c>
      <c r="N336" t="str">
        <f t="shared" ref="N336:N355" si="110">E336</f>
        <v>-</v>
      </c>
      <c r="O336" t="str">
        <f t="shared" ref="O336:O355" si="111">IF(AND(D336="-",E336="-"),IF(1*SUBSTITUTE(F336,":",".")=-90,"DOWN",IF(1*SUBSTITUTE(F336,":",".")=90,"UP","no compass")),F336)</f>
        <v>-18:30</v>
      </c>
      <c r="P336" t="str">
        <f t="shared" ref="P336:P355" si="112">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6"/>
        <v>FB</v>
      </c>
      <c r="K337" t="str">
        <f t="shared" si="107"/>
        <v>FC</v>
      </c>
      <c r="L337">
        <f t="shared" si="108"/>
        <v>9.8000000000000007</v>
      </c>
      <c r="M337" t="str">
        <f t="shared" si="109"/>
        <v>-</v>
      </c>
      <c r="N337" t="str">
        <f t="shared" si="110"/>
        <v>144:10</v>
      </c>
      <c r="O337" t="str">
        <f t="shared" si="111"/>
        <v>29:30</v>
      </c>
      <c r="P337" t="str">
        <f t="shared" si="112"/>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6"/>
        <v>FC</v>
      </c>
      <c r="K338" t="str">
        <f t="shared" si="107"/>
        <v>FD</v>
      </c>
      <c r="L338">
        <f t="shared" si="108"/>
        <v>13.3</v>
      </c>
      <c r="M338" t="str">
        <f t="shared" si="109"/>
        <v>358:00</v>
      </c>
      <c r="N338" t="str">
        <f t="shared" si="110"/>
        <v>-</v>
      </c>
      <c r="O338" t="str">
        <f t="shared" si="111"/>
        <v>1:30</v>
      </c>
      <c r="P338" t="str">
        <f t="shared" si="112"/>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6"/>
        <v>FD</v>
      </c>
      <c r="K339" t="str">
        <f t="shared" si="107"/>
        <v>FE</v>
      </c>
      <c r="L339">
        <f t="shared" si="108"/>
        <v>8.9</v>
      </c>
      <c r="M339" t="str">
        <f t="shared" si="109"/>
        <v>-</v>
      </c>
      <c r="N339" t="str">
        <f t="shared" si="110"/>
        <v>188:00</v>
      </c>
      <c r="O339" t="str">
        <f t="shared" si="111"/>
        <v>13:30</v>
      </c>
      <c r="P339" t="str">
        <f t="shared" si="112"/>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6"/>
        <v>FE</v>
      </c>
      <c r="K340" t="str">
        <f t="shared" si="107"/>
        <v>FF</v>
      </c>
      <c r="L340">
        <f t="shared" si="108"/>
        <v>13.4</v>
      </c>
      <c r="M340" t="str">
        <f t="shared" si="109"/>
        <v>-</v>
      </c>
      <c r="N340" t="str">
        <f t="shared" si="110"/>
        <v>232:10</v>
      </c>
      <c r="O340" t="str">
        <f t="shared" si="111"/>
        <v>13:30</v>
      </c>
      <c r="P340" t="str">
        <f t="shared" si="112"/>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6"/>
        <v>FF</v>
      </c>
      <c r="K341" t="str">
        <f t="shared" si="107"/>
        <v>FG</v>
      </c>
      <c r="L341">
        <f t="shared" si="108"/>
        <v>8.6999999999999993</v>
      </c>
      <c r="M341" t="str">
        <f t="shared" si="109"/>
        <v>026:00</v>
      </c>
      <c r="N341" t="str">
        <f t="shared" si="110"/>
        <v>-</v>
      </c>
      <c r="O341" t="str">
        <f t="shared" si="111"/>
        <v>-22:30</v>
      </c>
      <c r="P341" t="str">
        <f t="shared" si="112"/>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6"/>
        <v>FG</v>
      </c>
      <c r="K342" t="str">
        <f t="shared" si="107"/>
        <v>FH</v>
      </c>
      <c r="L342">
        <f t="shared" si="108"/>
        <v>21.3</v>
      </c>
      <c r="M342" t="str">
        <f t="shared" si="109"/>
        <v>-</v>
      </c>
      <c r="N342" t="str">
        <f t="shared" si="110"/>
        <v>310:00</v>
      </c>
      <c r="O342" t="str">
        <f t="shared" si="111"/>
        <v>13:00</v>
      </c>
      <c r="P342" t="str">
        <f t="shared" si="112"/>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6"/>
        <v>FH</v>
      </c>
      <c r="K343" t="str">
        <f t="shared" si="107"/>
        <v>FI</v>
      </c>
      <c r="L343">
        <f t="shared" si="108"/>
        <v>12.8</v>
      </c>
      <c r="M343" t="str">
        <f t="shared" si="109"/>
        <v>155:30</v>
      </c>
      <c r="N343" t="str">
        <f t="shared" si="110"/>
        <v>-</v>
      </c>
      <c r="O343" t="str">
        <f t="shared" si="111"/>
        <v>10:30</v>
      </c>
      <c r="P343" t="str">
        <f t="shared" si="112"/>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6"/>
        <v>FI</v>
      </c>
      <c r="K344" t="str">
        <f t="shared" si="107"/>
        <v>FJ</v>
      </c>
      <c r="L344">
        <f t="shared" si="108"/>
        <v>14.1</v>
      </c>
      <c r="M344" t="str">
        <f t="shared" si="109"/>
        <v>-</v>
      </c>
      <c r="N344" t="str">
        <f t="shared" si="110"/>
        <v>240:00</v>
      </c>
      <c r="O344" t="str">
        <f t="shared" si="111"/>
        <v>-44:00</v>
      </c>
      <c r="P344" t="str">
        <f t="shared" si="112"/>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6"/>
        <v>FJ</v>
      </c>
      <c r="K345" t="str">
        <f t="shared" si="107"/>
        <v>FK</v>
      </c>
      <c r="L345">
        <f t="shared" si="108"/>
        <v>35.799999999999997</v>
      </c>
      <c r="M345" t="str">
        <f t="shared" si="109"/>
        <v>324:00</v>
      </c>
      <c r="N345" t="str">
        <f t="shared" si="110"/>
        <v>-</v>
      </c>
      <c r="O345" t="str">
        <f t="shared" si="111"/>
        <v>-18:30</v>
      </c>
      <c r="P345" t="str">
        <f t="shared" si="112"/>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6"/>
        <v>FK</v>
      </c>
      <c r="K346" t="str">
        <f t="shared" si="107"/>
        <v>FL</v>
      </c>
      <c r="L346">
        <f t="shared" si="108"/>
        <v>11.2</v>
      </c>
      <c r="M346" t="str">
        <f t="shared" si="109"/>
        <v>-</v>
      </c>
      <c r="N346" t="str">
        <f t="shared" si="110"/>
        <v>238:00</v>
      </c>
      <c r="O346" t="str">
        <f t="shared" si="111"/>
        <v>-15:00</v>
      </c>
      <c r="P346" t="str">
        <f t="shared" si="112"/>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6"/>
        <v>FL</v>
      </c>
      <c r="K347" t="str">
        <f t="shared" si="107"/>
        <v>FM</v>
      </c>
      <c r="L347">
        <f t="shared" si="108"/>
        <v>44.5</v>
      </c>
      <c r="M347" t="str">
        <f t="shared" si="109"/>
        <v>287:10</v>
      </c>
      <c r="N347" t="str">
        <f t="shared" si="110"/>
        <v>-</v>
      </c>
      <c r="O347" t="str">
        <f t="shared" si="111"/>
        <v>-11:00</v>
      </c>
      <c r="P347" t="str">
        <f t="shared" si="112"/>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6"/>
        <v>FM</v>
      </c>
      <c r="K348" t="str">
        <f t="shared" si="107"/>
        <v>FN</v>
      </c>
      <c r="L348">
        <f t="shared" si="108"/>
        <v>14.3</v>
      </c>
      <c r="M348" t="str">
        <f t="shared" si="109"/>
        <v>-</v>
      </c>
      <c r="N348" t="str">
        <f t="shared" si="110"/>
        <v>112:15</v>
      </c>
      <c r="O348" t="str">
        <f t="shared" si="111"/>
        <v>18:30</v>
      </c>
      <c r="P348" t="str">
        <f t="shared" si="112"/>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6"/>
        <v>FN</v>
      </c>
      <c r="K349" t="str">
        <f t="shared" si="107"/>
        <v>FO</v>
      </c>
      <c r="L349">
        <f t="shared" si="108"/>
        <v>16</v>
      </c>
      <c r="M349" t="str">
        <f t="shared" si="109"/>
        <v>340:30</v>
      </c>
      <c r="N349" t="str">
        <f t="shared" si="110"/>
        <v>-</v>
      </c>
      <c r="O349" t="str">
        <f t="shared" si="111"/>
        <v>4:00</v>
      </c>
      <c r="P349" t="str">
        <f t="shared" si="112"/>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6"/>
        <v>FO</v>
      </c>
      <c r="K350" t="str">
        <f t="shared" si="107"/>
        <v>FP</v>
      </c>
      <c r="L350">
        <f t="shared" si="108"/>
        <v>15.4</v>
      </c>
      <c r="M350" t="str">
        <f t="shared" si="109"/>
        <v>-</v>
      </c>
      <c r="N350" t="str">
        <f t="shared" si="110"/>
        <v>068:00</v>
      </c>
      <c r="O350" t="str">
        <f t="shared" si="111"/>
        <v>-58:00</v>
      </c>
      <c r="P350" t="str">
        <f t="shared" si="112"/>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6"/>
        <v>FP</v>
      </c>
      <c r="K351" t="str">
        <f t="shared" si="107"/>
        <v>FQ</v>
      </c>
      <c r="L351">
        <f t="shared" si="108"/>
        <v>12</v>
      </c>
      <c r="M351" t="str">
        <f t="shared" si="109"/>
        <v>319:00</v>
      </c>
      <c r="N351" t="str">
        <f t="shared" si="110"/>
        <v>-</v>
      </c>
      <c r="O351" t="str">
        <f t="shared" si="111"/>
        <v>-11:00</v>
      </c>
      <c r="P351" t="str">
        <f t="shared" si="112"/>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6"/>
        <v>FQ</v>
      </c>
      <c r="K352" t="str">
        <f t="shared" si="107"/>
        <v>FR</v>
      </c>
      <c r="L352">
        <f t="shared" si="108"/>
        <v>39</v>
      </c>
      <c r="M352" t="str">
        <f t="shared" si="109"/>
        <v>-</v>
      </c>
      <c r="N352" t="str">
        <f t="shared" si="110"/>
        <v>088:00</v>
      </c>
      <c r="O352" t="str">
        <f t="shared" si="111"/>
        <v>-6:30</v>
      </c>
      <c r="P352" t="str">
        <f t="shared" si="112"/>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6"/>
        <v>FR</v>
      </c>
      <c r="K353" t="str">
        <f t="shared" si="107"/>
        <v>DA</v>
      </c>
      <c r="L353">
        <f t="shared" si="108"/>
        <v>29.2</v>
      </c>
      <c r="M353" t="str">
        <f t="shared" si="109"/>
        <v>252:30</v>
      </c>
      <c r="N353" t="str">
        <f t="shared" si="110"/>
        <v>-</v>
      </c>
      <c r="O353" t="str">
        <f t="shared" si="111"/>
        <v>-24:30</v>
      </c>
      <c r="P353" t="str">
        <f t="shared" si="112"/>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2"/>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6"/>
        <v>FK</v>
      </c>
      <c r="K355" t="str">
        <f t="shared" si="107"/>
        <v>FS</v>
      </c>
      <c r="L355">
        <f t="shared" si="108"/>
        <v>31.3</v>
      </c>
      <c r="M355" t="str">
        <f t="shared" si="109"/>
        <v>-</v>
      </c>
      <c r="N355" t="str">
        <f t="shared" si="110"/>
        <v>271:40</v>
      </c>
      <c r="O355" t="str">
        <f t="shared" si="111"/>
        <v>11:00</v>
      </c>
      <c r="P355" t="str">
        <f t="shared" si="112"/>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3">A356</f>
        <v>FS</v>
      </c>
      <c r="K356" t="str">
        <f t="shared" ref="K356:L424" si="114">B356</f>
        <v>FT</v>
      </c>
      <c r="L356">
        <f t="shared" ref="L356:L424" si="115">C356</f>
        <v>38.1</v>
      </c>
      <c r="M356" t="str">
        <f t="shared" ref="M356:M424" si="116">D356</f>
        <v>162:00</v>
      </c>
      <c r="N356" t="str">
        <f t="shared" ref="N356:N424" si="117">E356</f>
        <v>-</v>
      </c>
      <c r="O356" t="str">
        <f t="shared" ref="O356:O424" si="118">IF(AND(D356="-",E356="-"),IF(1*SUBSTITUTE(F356,":",".")=-90,"DOWN",IF(1*SUBSTITUTE(F356,":",".")=90,"UP","no compass")),F356)</f>
        <v>17:00</v>
      </c>
      <c r="P356" t="str">
        <f t="shared" ref="P356:P424" si="119">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0">A358</f>
        <v>FT</v>
      </c>
      <c r="K358" t="str">
        <f t="shared" ref="K358:K360" si="121">B358</f>
        <v>FU</v>
      </c>
      <c r="L358">
        <f t="shared" ref="L358:L360" si="122">C358</f>
        <v>18.399999999999999</v>
      </c>
      <c r="M358" t="str">
        <f t="shared" ref="M358:M360" si="123">D358</f>
        <v>008:00</v>
      </c>
      <c r="N358" t="str">
        <f t="shared" ref="N358:N360" si="124">E358</f>
        <v>-</v>
      </c>
      <c r="O358">
        <f t="shared" ref="O358:O360" si="125">G358</f>
        <v>7</v>
      </c>
      <c r="P358" t="str">
        <f t="shared" si="119"/>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  New Grottoes</v>
      </c>
      <c r="J359" t="str">
        <f t="shared" si="120"/>
        <v>FU</v>
      </c>
      <c r="K359" t="str">
        <f t="shared" si="121"/>
        <v>FV</v>
      </c>
      <c r="L359">
        <f t="shared" si="122"/>
        <v>13.3</v>
      </c>
      <c r="M359" t="str">
        <f t="shared" si="123"/>
        <v>46</v>
      </c>
      <c r="N359" t="str">
        <f t="shared" si="124"/>
        <v>-</v>
      </c>
      <c r="O359">
        <f t="shared" si="125"/>
        <v>5</v>
      </c>
      <c r="P359" t="str">
        <f t="shared" si="119"/>
        <v>(sketch T-U-V-W)  New Grottoes</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0"/>
        <v>FV</v>
      </c>
      <c r="K360" t="str">
        <f t="shared" si="121"/>
        <v>FW</v>
      </c>
      <c r="L360">
        <f t="shared" si="122"/>
        <v>20.2</v>
      </c>
      <c r="M360" t="str">
        <f t="shared" si="123"/>
        <v>75</v>
      </c>
      <c r="N360" t="str">
        <f t="shared" si="124"/>
        <v>-</v>
      </c>
      <c r="O360">
        <f t="shared" si="125"/>
        <v>3</v>
      </c>
      <c r="P360" t="str">
        <f t="shared" si="119"/>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19"/>
        <v>Total = 6,448'</v>
      </c>
    </row>
    <row r="363" spans="1:16" x14ac:dyDescent="0.25">
      <c r="A363" t="str">
        <f>'Raw Data'!A312</f>
        <v>16th May '53</v>
      </c>
      <c r="B363" t="str">
        <f>'Raw Data'!B312</f>
        <v xml:space="preserve">Luke </v>
      </c>
      <c r="C363" t="str">
        <f>'Raw Data'!C312</f>
        <v>(a little surface tie up)</v>
      </c>
      <c r="D363">
        <f>'Raw Data'!D312</f>
        <v>0</v>
      </c>
      <c r="E363">
        <f>'Raw Data'!E312</f>
        <v>0</v>
      </c>
      <c r="F363" t="str">
        <f>SUBSTITUTE('Raw Data'!K312," ",":",1)</f>
        <v/>
      </c>
      <c r="G363" t="str">
        <f>'Interpreted Data'!N312</f>
        <v/>
      </c>
      <c r="H363" t="str">
        <f>'Interpreted Data'!P312</f>
        <v/>
      </c>
      <c r="J363" t="str">
        <f>CONCATENATE("# ",A363)</f>
        <v># 16th May '53</v>
      </c>
      <c r="K363" t="str">
        <f t="shared" si="114"/>
        <v xml:space="preserve">Luke </v>
      </c>
      <c r="L363" t="str">
        <f t="shared" si="114"/>
        <v>(a little surface tie up)</v>
      </c>
      <c r="P363" t="str">
        <f t="shared" si="119"/>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3"/>
        <v>EC</v>
      </c>
      <c r="K365" t="str">
        <f t="shared" si="114"/>
        <v>ED</v>
      </c>
      <c r="L365">
        <f t="shared" si="115"/>
        <v>9.8000000000000007</v>
      </c>
      <c r="M365" t="str">
        <f t="shared" si="116"/>
        <v>-</v>
      </c>
      <c r="N365" t="str">
        <f t="shared" si="117"/>
        <v>346:00</v>
      </c>
      <c r="O365" t="str">
        <f t="shared" si="118"/>
        <v>45:15</v>
      </c>
      <c r="P365" t="str">
        <f t="shared" si="119"/>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3"/>
        <v>ED</v>
      </c>
      <c r="K366" t="str">
        <f t="shared" si="114"/>
        <v>EE</v>
      </c>
      <c r="L366">
        <f t="shared" si="115"/>
        <v>38.1</v>
      </c>
      <c r="M366" t="str">
        <f t="shared" si="116"/>
        <v>-</v>
      </c>
      <c r="N366" t="str">
        <f t="shared" si="117"/>
        <v>042:00</v>
      </c>
      <c r="O366" t="str">
        <f t="shared" si="118"/>
        <v>19:00</v>
      </c>
      <c r="P366" t="str">
        <f t="shared" si="119"/>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3"/>
        <v>EE</v>
      </c>
      <c r="K367" t="str">
        <f t="shared" si="114"/>
        <v>EF</v>
      </c>
      <c r="L367">
        <f t="shared" si="115"/>
        <v>63.3</v>
      </c>
      <c r="M367" t="str">
        <f t="shared" si="116"/>
        <v>190:30</v>
      </c>
      <c r="N367" t="str">
        <f t="shared" si="117"/>
        <v>-</v>
      </c>
      <c r="O367" t="str">
        <f t="shared" si="118"/>
        <v>12:40</v>
      </c>
      <c r="P367" t="str">
        <f t="shared" si="119"/>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3"/>
        <v>EE</v>
      </c>
      <c r="K368" t="str">
        <f t="shared" si="114"/>
        <v>EG</v>
      </c>
      <c r="L368">
        <f t="shared" si="115"/>
        <v>57.3</v>
      </c>
      <c r="M368" t="str">
        <f t="shared" si="116"/>
        <v>229:40</v>
      </c>
      <c r="N368" t="str">
        <f t="shared" si="117"/>
        <v>-</v>
      </c>
      <c r="O368" t="str">
        <f t="shared" si="118"/>
        <v>10:00</v>
      </c>
      <c r="P368" t="str">
        <f t="shared" si="119"/>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3"/>
        <v>EE</v>
      </c>
      <c r="K369" t="str">
        <f t="shared" si="114"/>
        <v>EH</v>
      </c>
      <c r="L369">
        <f t="shared" si="115"/>
        <v>190.3</v>
      </c>
      <c r="M369" t="str">
        <f t="shared" si="116"/>
        <v>328:00</v>
      </c>
      <c r="N369" t="str">
        <f t="shared" si="117"/>
        <v>-</v>
      </c>
      <c r="O369" t="str">
        <f t="shared" si="118"/>
        <v>8:00</v>
      </c>
      <c r="P369" t="str">
        <f t="shared" si="119"/>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19"/>
        <v/>
      </c>
    </row>
    <row r="372" spans="1:16" x14ac:dyDescent="0.25">
      <c r="A372" t="str">
        <f>'Raw Data'!A320</f>
        <v>24th May '53</v>
      </c>
      <c r="B372" t="str">
        <f>'Raw Data'!B320</f>
        <v>Oliver (+ Richard)</v>
      </c>
      <c r="C372" t="str">
        <f>'Raw Data'!C320</f>
        <v>Wet Way</v>
      </c>
      <c r="G372" t="str">
        <f>'Interpreted Data'!N320</f>
        <v/>
      </c>
      <c r="H372" t="str">
        <f>'Interpreted Data'!P320</f>
        <v/>
      </c>
      <c r="J372" t="str">
        <f>CONCATENATE("# ",A372)</f>
        <v># 24th May '53</v>
      </c>
      <c r="K372" t="str">
        <f t="shared" si="114"/>
        <v>Oliver (+ Richard)</v>
      </c>
      <c r="L372" t="str">
        <f t="shared" si="114"/>
        <v>Wet Way</v>
      </c>
      <c r="P372" t="str">
        <f t="shared" si="119"/>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3"/>
        <v>FB</v>
      </c>
      <c r="K374" t="str">
        <f t="shared" si="114"/>
        <v>FX</v>
      </c>
      <c r="L374">
        <f t="shared" si="115"/>
        <v>15.6</v>
      </c>
      <c r="M374" t="str">
        <f t="shared" si="116"/>
        <v>-</v>
      </c>
      <c r="N374" t="str">
        <f t="shared" si="117"/>
        <v>035:00</v>
      </c>
      <c r="O374" t="str">
        <f t="shared" si="118"/>
        <v>22:00</v>
      </c>
      <c r="P374" t="str">
        <f t="shared" si="119"/>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3"/>
        <v>FX</v>
      </c>
      <c r="K375" t="str">
        <f t="shared" si="114"/>
        <v>FY</v>
      </c>
      <c r="L375">
        <f t="shared" si="115"/>
        <v>15.1</v>
      </c>
      <c r="M375" t="str">
        <f t="shared" si="116"/>
        <v>173:00</v>
      </c>
      <c r="N375" t="str">
        <f t="shared" si="117"/>
        <v>-</v>
      </c>
      <c r="O375" t="str">
        <f t="shared" si="118"/>
        <v>-33:30</v>
      </c>
      <c r="P375" t="str">
        <f t="shared" si="119"/>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3"/>
        <v>FY</v>
      </c>
      <c r="K376" t="str">
        <f t="shared" si="114"/>
        <v>FZ</v>
      </c>
      <c r="L376">
        <f t="shared" si="115"/>
        <v>16.399999999999999</v>
      </c>
      <c r="M376" t="str">
        <f t="shared" si="116"/>
        <v>-</v>
      </c>
      <c r="N376" t="str">
        <f t="shared" si="117"/>
        <v>079:00</v>
      </c>
      <c r="O376" t="str">
        <f t="shared" si="118"/>
        <v>-25:00</v>
      </c>
      <c r="P376" t="str">
        <f t="shared" si="119"/>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3"/>
        <v>FZ</v>
      </c>
      <c r="K377" t="str">
        <f t="shared" si="114"/>
        <v>GA</v>
      </c>
      <c r="L377">
        <f t="shared" si="115"/>
        <v>10</v>
      </c>
      <c r="M377" t="str">
        <f t="shared" si="116"/>
        <v>-</v>
      </c>
      <c r="N377" t="str">
        <f t="shared" si="117"/>
        <v>024:30</v>
      </c>
      <c r="O377" t="str">
        <f t="shared" si="118"/>
        <v>-3:00</v>
      </c>
      <c r="P377" t="str">
        <f t="shared" si="119"/>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3"/>
        <v>GA</v>
      </c>
      <c r="K378" t="str">
        <f t="shared" si="114"/>
        <v>GR</v>
      </c>
      <c r="L378">
        <f t="shared" si="115"/>
        <v>11.5</v>
      </c>
      <c r="M378" t="str">
        <f t="shared" si="116"/>
        <v>229:10</v>
      </c>
      <c r="N378" t="str">
        <f t="shared" si="117"/>
        <v>-</v>
      </c>
      <c r="O378" t="str">
        <f t="shared" si="118"/>
        <v>-12:15</v>
      </c>
      <c r="P378" t="str">
        <f t="shared" si="119"/>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19"/>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3"/>
        <v>GA</v>
      </c>
      <c r="K380" t="str">
        <f t="shared" si="114"/>
        <v>GB</v>
      </c>
      <c r="L380">
        <f t="shared" si="115"/>
        <v>21.6</v>
      </c>
      <c r="M380" t="str">
        <f t="shared" si="116"/>
        <v>162:00</v>
      </c>
      <c r="N380" t="str">
        <f t="shared" si="117"/>
        <v>-</v>
      </c>
      <c r="O380" t="str">
        <f t="shared" si="118"/>
        <v>7:40</v>
      </c>
      <c r="P380" t="str">
        <f t="shared" si="119"/>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3"/>
        <v>GB</v>
      </c>
      <c r="K381" t="str">
        <f t="shared" si="114"/>
        <v>GC</v>
      </c>
      <c r="L381">
        <f t="shared" si="115"/>
        <v>17.8</v>
      </c>
      <c r="M381" t="str">
        <f t="shared" si="116"/>
        <v>-</v>
      </c>
      <c r="N381" t="str">
        <f t="shared" si="117"/>
        <v>267:00</v>
      </c>
      <c r="O381" t="str">
        <f t="shared" si="118"/>
        <v>19:00</v>
      </c>
      <c r="P381" t="str">
        <f t="shared" si="119"/>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3"/>
        <v>GC</v>
      </c>
      <c r="K382" t="str">
        <f t="shared" si="114"/>
        <v>GD</v>
      </c>
      <c r="L382">
        <f t="shared" si="115"/>
        <v>16.100000000000001</v>
      </c>
      <c r="M382" t="str">
        <f t="shared" si="116"/>
        <v>113:00</v>
      </c>
      <c r="N382" t="str">
        <f t="shared" si="117"/>
        <v>-</v>
      </c>
      <c r="O382" t="str">
        <f t="shared" si="118"/>
        <v>18:30</v>
      </c>
      <c r="P382" t="str">
        <f t="shared" si="119"/>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3"/>
        <v>GD</v>
      </c>
      <c r="K383" t="str">
        <f t="shared" si="114"/>
        <v>GE</v>
      </c>
      <c r="L383">
        <f t="shared" si="115"/>
        <v>15.5</v>
      </c>
      <c r="M383" t="str">
        <f t="shared" si="116"/>
        <v>-</v>
      </c>
      <c r="N383" t="str">
        <f t="shared" si="117"/>
        <v>324:30</v>
      </c>
      <c r="O383" t="str">
        <f t="shared" si="118"/>
        <v>15:30</v>
      </c>
      <c r="P383" t="str">
        <f t="shared" si="119"/>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3"/>
        <v>GE</v>
      </c>
      <c r="K384" t="str">
        <f t="shared" si="114"/>
        <v>GF</v>
      </c>
      <c r="L384">
        <f t="shared" si="115"/>
        <v>9.3000000000000007</v>
      </c>
      <c r="M384" t="str">
        <f t="shared" si="116"/>
        <v>193:00</v>
      </c>
      <c r="N384" t="str">
        <f t="shared" si="117"/>
        <v>-</v>
      </c>
      <c r="O384" t="str">
        <f t="shared" si="118"/>
        <v>29:30</v>
      </c>
      <c r="P384" t="str">
        <f t="shared" si="119"/>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3"/>
        <v>GF</v>
      </c>
      <c r="K385" t="str">
        <f t="shared" si="114"/>
        <v>GG</v>
      </c>
      <c r="L385">
        <f t="shared" si="115"/>
        <v>26.5</v>
      </c>
      <c r="M385" t="str">
        <f t="shared" si="116"/>
        <v>-</v>
      </c>
      <c r="N385" t="str">
        <f t="shared" si="117"/>
        <v>156:30</v>
      </c>
      <c r="O385" t="str">
        <f t="shared" si="118"/>
        <v>18:00</v>
      </c>
      <c r="P385" t="str">
        <f t="shared" si="119"/>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19"/>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4"/>
        <v>(=PDF p.71-72)</v>
      </c>
      <c r="P387" t="str">
        <f t="shared" si="119"/>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3"/>
        <v>GG</v>
      </c>
      <c r="K388" t="str">
        <f t="shared" si="114"/>
        <v>EA</v>
      </c>
      <c r="L388">
        <f t="shared" si="115"/>
        <v>16.2</v>
      </c>
      <c r="M388" t="str">
        <f t="shared" si="116"/>
        <v>093:30</v>
      </c>
      <c r="N388" t="str">
        <f t="shared" si="117"/>
        <v>-</v>
      </c>
      <c r="O388" t="str">
        <f t="shared" si="118"/>
        <v>25:30</v>
      </c>
      <c r="P388" t="str">
        <f t="shared" si="119"/>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19"/>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3"/>
        <v>CS</v>
      </c>
      <c r="K390" t="str">
        <f t="shared" si="114"/>
        <v>GH</v>
      </c>
      <c r="L390">
        <f t="shared" si="115"/>
        <v>26.5</v>
      </c>
      <c r="M390" t="str">
        <f t="shared" si="116"/>
        <v>111:00</v>
      </c>
      <c r="N390" t="str">
        <f t="shared" si="117"/>
        <v>-</v>
      </c>
      <c r="O390" t="str">
        <f t="shared" si="118"/>
        <v>24:00</v>
      </c>
      <c r="P390" t="str">
        <f t="shared" si="119"/>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3"/>
        <v>GH</v>
      </c>
      <c r="K391" t="str">
        <f t="shared" si="114"/>
        <v>GI</v>
      </c>
      <c r="L391">
        <f t="shared" si="115"/>
        <v>20</v>
      </c>
      <c r="M391" t="str">
        <f t="shared" si="116"/>
        <v>-</v>
      </c>
      <c r="N391" t="str">
        <f t="shared" si="117"/>
        <v>316:30</v>
      </c>
      <c r="O391" t="str">
        <f t="shared" si="118"/>
        <v>3:30</v>
      </c>
      <c r="P391" t="str">
        <f t="shared" si="119"/>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3"/>
        <v>GI</v>
      </c>
      <c r="K392" t="str">
        <f t="shared" si="114"/>
        <v>GJ</v>
      </c>
      <c r="L392">
        <f t="shared" si="115"/>
        <v>52.9</v>
      </c>
      <c r="M392" t="str">
        <f t="shared" si="116"/>
        <v>088:30</v>
      </c>
      <c r="N392" t="str">
        <f t="shared" si="117"/>
        <v>-</v>
      </c>
      <c r="O392" t="str">
        <f t="shared" si="118"/>
        <v>9:30</v>
      </c>
      <c r="P392" t="str">
        <f t="shared" si="119"/>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3"/>
        <v>GJ</v>
      </c>
      <c r="K393" t="str">
        <f t="shared" si="114"/>
        <v>GK</v>
      </c>
      <c r="L393">
        <f t="shared" si="115"/>
        <v>4</v>
      </c>
      <c r="M393" t="str">
        <f t="shared" si="116"/>
        <v>108:00</v>
      </c>
      <c r="N393" t="str">
        <f t="shared" si="117"/>
        <v>-</v>
      </c>
      <c r="O393" t="str">
        <f t="shared" si="118"/>
        <v>-53:30</v>
      </c>
      <c r="P393" t="str">
        <f t="shared" si="119"/>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3"/>
        <v>GK</v>
      </c>
      <c r="K394" t="str">
        <f t="shared" si="114"/>
        <v>GL</v>
      </c>
      <c r="L394">
        <f t="shared" si="115"/>
        <v>11.7</v>
      </c>
      <c r="M394" t="str">
        <f t="shared" si="116"/>
        <v>-</v>
      </c>
      <c r="N394" t="str">
        <f t="shared" si="117"/>
        <v>246:00</v>
      </c>
      <c r="O394" t="str">
        <f t="shared" si="118"/>
        <v>26:00</v>
      </c>
      <c r="P394" t="str">
        <f t="shared" si="119"/>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3"/>
        <v>GL</v>
      </c>
      <c r="K395" t="str">
        <f t="shared" si="114"/>
        <v>GM</v>
      </c>
      <c r="L395">
        <f t="shared" si="115"/>
        <v>15.8</v>
      </c>
      <c r="M395" t="str">
        <f t="shared" si="116"/>
        <v>079:00</v>
      </c>
      <c r="N395" t="str">
        <f t="shared" si="117"/>
        <v>-</v>
      </c>
      <c r="O395" t="str">
        <f t="shared" si="118"/>
        <v>26:00</v>
      </c>
      <c r="P395" t="str">
        <f t="shared" si="119"/>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3"/>
        <v>GM</v>
      </c>
      <c r="K396" t="str">
        <f t="shared" si="114"/>
        <v>GN</v>
      </c>
      <c r="L396">
        <f t="shared" si="115"/>
        <v>12.8</v>
      </c>
      <c r="M396" t="str">
        <f t="shared" si="116"/>
        <v>-</v>
      </c>
      <c r="N396" t="str">
        <f t="shared" si="117"/>
        <v>355:30</v>
      </c>
      <c r="O396" t="str">
        <f t="shared" si="118"/>
        <v>26:00</v>
      </c>
      <c r="P396" t="str">
        <f t="shared" si="119"/>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3"/>
        <v>GN</v>
      </c>
      <c r="K397" t="str">
        <f t="shared" si="114"/>
        <v>GO</v>
      </c>
      <c r="L397">
        <f t="shared" si="115"/>
        <v>39.9</v>
      </c>
      <c r="M397" t="str">
        <f t="shared" si="116"/>
        <v>148:00</v>
      </c>
      <c r="N397" t="str">
        <f t="shared" si="117"/>
        <v>-</v>
      </c>
      <c r="O397" t="str">
        <f t="shared" si="118"/>
        <v>24:30</v>
      </c>
      <c r="P397" t="str">
        <f t="shared" si="119"/>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3"/>
        <v>GO</v>
      </c>
      <c r="K398" t="str">
        <f t="shared" si="114"/>
        <v>GP</v>
      </c>
      <c r="L398">
        <f t="shared" si="115"/>
        <v>8.9</v>
      </c>
      <c r="M398" t="str">
        <f t="shared" si="116"/>
        <v>-</v>
      </c>
      <c r="N398" t="str">
        <f t="shared" si="117"/>
        <v>273:00</v>
      </c>
      <c r="O398" t="str">
        <f t="shared" si="118"/>
        <v>20:00</v>
      </c>
      <c r="P398" t="str">
        <f t="shared" si="119"/>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3"/>
        <v>GP</v>
      </c>
      <c r="K399" t="str">
        <f t="shared" si="114"/>
        <v>GQ</v>
      </c>
      <c r="L399">
        <f t="shared" si="115"/>
        <v>27.7</v>
      </c>
      <c r="M399" t="str">
        <f t="shared" si="116"/>
        <v>121:10</v>
      </c>
      <c r="N399" t="str">
        <f t="shared" si="117"/>
        <v>-</v>
      </c>
      <c r="O399" t="str">
        <f t="shared" si="118"/>
        <v>15:00</v>
      </c>
      <c r="P399" t="str">
        <f t="shared" si="119"/>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3"/>
        <v>GQ</v>
      </c>
      <c r="K400" t="str">
        <f t="shared" si="114"/>
        <v>GR</v>
      </c>
      <c r="L400">
        <f t="shared" si="115"/>
        <v>9.8000000000000007</v>
      </c>
      <c r="M400" t="str">
        <f t="shared" si="116"/>
        <v>092:30</v>
      </c>
      <c r="N400" t="str">
        <f t="shared" si="117"/>
        <v>-</v>
      </c>
      <c r="O400" t="str">
        <f t="shared" si="118"/>
        <v>19:30</v>
      </c>
      <c r="P400" t="str">
        <f t="shared" si="119"/>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19"/>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19"/>
        <v>Totals (unclear in scan)(7,005'?) then (7445'?)</v>
      </c>
    </row>
    <row r="404" spans="1:16" x14ac:dyDescent="0.25">
      <c r="A404" t="str">
        <f>'Raw Data'!A350</f>
        <v>August 30th 1953</v>
      </c>
      <c r="B404">
        <f>'Raw Data'!B350</f>
        <v>0</v>
      </c>
      <c r="C404" t="str">
        <f>'Raw Data'!C350</f>
        <v>Name Too faint to read. 'Black?' hole to 'Paradise?'. Sketch contains 'Calcutta' at  start and 'Sore Knees Creep' near the end.</v>
      </c>
      <c r="D404">
        <f>'Raw Data'!D350</f>
        <v>0</v>
      </c>
      <c r="E404">
        <f>'Raw Data'!E350</f>
        <v>0</v>
      </c>
      <c r="F404" t="str">
        <f>SUBSTITUTE('Raw Data'!K350," ",":",1)</f>
        <v/>
      </c>
      <c r="G404" t="str">
        <f>'Interpreted Data'!N350</f>
        <v/>
      </c>
      <c r="H404" t="str">
        <f>'Interpreted Data'!P350</f>
        <v/>
      </c>
      <c r="J404" t="str">
        <f>CONCATENATE("# ",A404)</f>
        <v># August 30th 1953</v>
      </c>
      <c r="L404" t="str">
        <f t="shared" si="114"/>
        <v>Name Too faint to read. 'Black?' hole to 'Paradise?'. Sketch contains 'Calcutta' at  start and 'Sore Knees Creep' near the end.</v>
      </c>
      <c r="P404" t="str">
        <f t="shared" si="119"/>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3"/>
        <v>46</v>
      </c>
      <c r="K406">
        <f t="shared" si="114"/>
        <v>60</v>
      </c>
      <c r="L406">
        <f t="shared" si="115"/>
        <v>34.299999999999997</v>
      </c>
      <c r="M406" t="str">
        <f t="shared" si="116"/>
        <v>-</v>
      </c>
      <c r="N406" t="str">
        <f t="shared" si="117"/>
        <v>195:00</v>
      </c>
      <c r="O406" t="str">
        <f t="shared" si="118"/>
        <v>13:00</v>
      </c>
      <c r="P406" t="str">
        <f t="shared" si="119"/>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3"/>
        <v>60</v>
      </c>
      <c r="K407">
        <f t="shared" si="114"/>
        <v>61</v>
      </c>
      <c r="L407">
        <f t="shared" si="115"/>
        <v>41.8</v>
      </c>
      <c r="M407" t="str">
        <f t="shared" si="116"/>
        <v>133:30</v>
      </c>
      <c r="N407" t="str">
        <f t="shared" si="117"/>
        <v>-</v>
      </c>
      <c r="O407" t="str">
        <f t="shared" si="118"/>
        <v>3:30</v>
      </c>
      <c r="P407" t="str">
        <f t="shared" si="119"/>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3"/>
        <v>61</v>
      </c>
      <c r="K408">
        <f t="shared" si="114"/>
        <v>62</v>
      </c>
      <c r="L408">
        <f t="shared" si="115"/>
        <v>22.9</v>
      </c>
      <c r="M408" t="str">
        <f t="shared" si="116"/>
        <v>-</v>
      </c>
      <c r="N408" t="str">
        <f t="shared" si="117"/>
        <v>192:30</v>
      </c>
      <c r="O408" t="str">
        <f t="shared" si="118"/>
        <v>6:00</v>
      </c>
      <c r="P408" t="str">
        <f t="shared" si="119"/>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3"/>
        <v>62</v>
      </c>
      <c r="K409">
        <f t="shared" si="114"/>
        <v>63</v>
      </c>
      <c r="L409">
        <f t="shared" si="115"/>
        <v>30.3</v>
      </c>
      <c r="M409" t="str">
        <f t="shared" si="116"/>
        <v>357:00</v>
      </c>
      <c r="N409" t="str">
        <f t="shared" si="117"/>
        <v>-</v>
      </c>
      <c r="O409" t="str">
        <f t="shared" si="118"/>
        <v>-5:00</v>
      </c>
      <c r="P409" t="str">
        <f t="shared" si="119"/>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3"/>
        <v>63</v>
      </c>
      <c r="K410">
        <f t="shared" si="114"/>
        <v>64</v>
      </c>
      <c r="L410">
        <f t="shared" si="115"/>
        <v>12.5</v>
      </c>
      <c r="M410" t="str">
        <f t="shared" si="116"/>
        <v>-</v>
      </c>
      <c r="N410" t="str">
        <f t="shared" si="117"/>
        <v>203:00</v>
      </c>
      <c r="O410" t="str">
        <f t="shared" si="118"/>
        <v>12:30</v>
      </c>
      <c r="P410" t="str">
        <f t="shared" si="119"/>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3"/>
        <v>64</v>
      </c>
      <c r="K411">
        <f t="shared" si="114"/>
        <v>65</v>
      </c>
      <c r="L411">
        <f t="shared" si="115"/>
        <v>15.7</v>
      </c>
      <c r="M411" t="str">
        <f t="shared" si="116"/>
        <v>-</v>
      </c>
      <c r="N411" t="str">
        <f t="shared" si="117"/>
        <v>165:00</v>
      </c>
      <c r="O411" t="str">
        <f t="shared" si="118"/>
        <v>3:30</v>
      </c>
      <c r="P411" t="str">
        <f t="shared" si="119"/>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3"/>
        <v>65</v>
      </c>
      <c r="K412">
        <f t="shared" si="114"/>
        <v>66</v>
      </c>
      <c r="L412">
        <f t="shared" si="115"/>
        <v>19.3</v>
      </c>
      <c r="M412" t="str">
        <f t="shared" si="116"/>
        <v>006:30</v>
      </c>
      <c r="N412" t="str">
        <f t="shared" si="117"/>
        <v>-</v>
      </c>
      <c r="O412" t="str">
        <f t="shared" si="118"/>
        <v>13:30</v>
      </c>
      <c r="P412" t="str">
        <f t="shared" si="119"/>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3"/>
        <v>66</v>
      </c>
      <c r="K413">
        <f t="shared" si="114"/>
        <v>67</v>
      </c>
      <c r="L413">
        <f t="shared" si="115"/>
        <v>30.2</v>
      </c>
      <c r="M413" t="str">
        <f t="shared" si="116"/>
        <v>-</v>
      </c>
      <c r="N413" t="str">
        <f t="shared" si="117"/>
        <v>180:00</v>
      </c>
      <c r="O413" t="str">
        <f t="shared" si="118"/>
        <v>-1:00</v>
      </c>
      <c r="P413" t="str">
        <f t="shared" si="119"/>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3"/>
        <v>67</v>
      </c>
      <c r="K414">
        <f t="shared" si="114"/>
        <v>68</v>
      </c>
      <c r="L414">
        <f t="shared" si="115"/>
        <v>48.9</v>
      </c>
      <c r="M414" t="str">
        <f t="shared" si="116"/>
        <v>348:00</v>
      </c>
      <c r="N414" t="str">
        <f t="shared" si="117"/>
        <v>-</v>
      </c>
      <c r="O414" t="str">
        <f t="shared" si="118"/>
        <v>-4:00</v>
      </c>
      <c r="P414" t="str">
        <f t="shared" si="119"/>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3"/>
        <v>68</v>
      </c>
      <c r="K415">
        <f t="shared" si="114"/>
        <v>69</v>
      </c>
      <c r="L415">
        <f t="shared" si="115"/>
        <v>14.8</v>
      </c>
      <c r="M415" t="str">
        <f t="shared" si="116"/>
        <v>-</v>
      </c>
      <c r="N415" t="str">
        <f t="shared" si="117"/>
        <v>221:30</v>
      </c>
      <c r="O415" t="str">
        <f t="shared" si="118"/>
        <v>5:30</v>
      </c>
      <c r="P415" t="str">
        <f t="shared" si="119"/>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3"/>
        <v>69</v>
      </c>
      <c r="K416">
        <f t="shared" si="114"/>
        <v>70</v>
      </c>
      <c r="L416">
        <f t="shared" si="115"/>
        <v>21</v>
      </c>
      <c r="M416" t="str">
        <f t="shared" si="116"/>
        <v>005:00</v>
      </c>
      <c r="N416" t="str">
        <f t="shared" si="117"/>
        <v>-</v>
      </c>
      <c r="O416" t="str">
        <f t="shared" si="118"/>
        <v>-6:30</v>
      </c>
      <c r="P416" t="str">
        <f t="shared" si="119"/>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3"/>
        <v>70</v>
      </c>
      <c r="K417">
        <f t="shared" si="114"/>
        <v>71</v>
      </c>
      <c r="L417">
        <f t="shared" si="115"/>
        <v>36.799999999999997</v>
      </c>
      <c r="M417" t="str">
        <f t="shared" si="116"/>
        <v>-</v>
      </c>
      <c r="N417" t="str">
        <f t="shared" si="117"/>
        <v>283:00</v>
      </c>
      <c r="O417" t="str">
        <f t="shared" si="118"/>
        <v>4:30</v>
      </c>
      <c r="P417" t="str">
        <f t="shared" si="119"/>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3"/>
        <v>71</v>
      </c>
      <c r="K418">
        <f t="shared" si="114"/>
        <v>72</v>
      </c>
      <c r="L418">
        <f t="shared" si="115"/>
        <v>38.200000000000003</v>
      </c>
      <c r="M418" t="str">
        <f t="shared" si="116"/>
        <v>019:00</v>
      </c>
      <c r="N418" t="str">
        <f t="shared" si="117"/>
        <v>-</v>
      </c>
      <c r="O418" t="str">
        <f t="shared" si="118"/>
        <v>5:00</v>
      </c>
      <c r="P418" t="str">
        <f t="shared" si="119"/>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3"/>
        <v>72</v>
      </c>
      <c r="K419">
        <f t="shared" si="114"/>
        <v>73</v>
      </c>
      <c r="L419">
        <f t="shared" si="115"/>
        <v>11.9</v>
      </c>
      <c r="M419" t="str">
        <f t="shared" si="116"/>
        <v>-</v>
      </c>
      <c r="N419" t="str">
        <f t="shared" si="117"/>
        <v>172:00</v>
      </c>
      <c r="O419" t="str">
        <f t="shared" si="118"/>
        <v>-10:00</v>
      </c>
      <c r="P419" t="str">
        <f t="shared" si="119"/>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3"/>
        <v>73</v>
      </c>
      <c r="K420">
        <f t="shared" si="114"/>
        <v>74</v>
      </c>
      <c r="L420">
        <f t="shared" si="115"/>
        <v>34.200000000000003</v>
      </c>
      <c r="M420" t="str">
        <f t="shared" si="116"/>
        <v>007:00</v>
      </c>
      <c r="N420" t="str">
        <f t="shared" si="117"/>
        <v>-</v>
      </c>
      <c r="O420" t="str">
        <f t="shared" si="118"/>
        <v>-1:30</v>
      </c>
      <c r="P420" t="str">
        <f t="shared" si="119"/>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3"/>
        <v>74</v>
      </c>
      <c r="K421">
        <f t="shared" si="114"/>
        <v>75</v>
      </c>
      <c r="L421">
        <f t="shared" si="115"/>
        <v>9.1</v>
      </c>
      <c r="M421" t="str">
        <f t="shared" si="116"/>
        <v>-</v>
      </c>
      <c r="N421" t="str">
        <f t="shared" si="117"/>
        <v>280:00</v>
      </c>
      <c r="O421">
        <f>G421</f>
        <v>0</v>
      </c>
      <c r="P421" t="str">
        <f t="shared" si="119"/>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3"/>
        <v>75</v>
      </c>
      <c r="K422">
        <f t="shared" si="114"/>
        <v>76</v>
      </c>
      <c r="L422">
        <f t="shared" si="115"/>
        <v>40.700000000000003</v>
      </c>
      <c r="M422" t="str">
        <f t="shared" si="116"/>
        <v>-</v>
      </c>
      <c r="N422" t="str">
        <f t="shared" si="117"/>
        <v>310:00</v>
      </c>
      <c r="O422" t="str">
        <f t="shared" si="118"/>
        <v>6:30</v>
      </c>
      <c r="P422" t="str">
        <f t="shared" si="119"/>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3"/>
        <v>76</v>
      </c>
      <c r="K423">
        <f t="shared" si="114"/>
        <v>77</v>
      </c>
      <c r="L423">
        <f t="shared" si="115"/>
        <v>17.5</v>
      </c>
      <c r="M423" t="str">
        <f t="shared" si="116"/>
        <v>161:00</v>
      </c>
      <c r="N423" t="str">
        <f t="shared" si="117"/>
        <v>-</v>
      </c>
      <c r="O423" t="str">
        <f t="shared" si="118"/>
        <v>-1:30</v>
      </c>
      <c r="P423" t="str">
        <f t="shared" si="119"/>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3"/>
        <v>77</v>
      </c>
      <c r="K424">
        <f t="shared" si="114"/>
        <v>78</v>
      </c>
      <c r="L424">
        <f t="shared" si="115"/>
        <v>7.6</v>
      </c>
      <c r="M424" t="str">
        <f t="shared" si="116"/>
        <v>-</v>
      </c>
      <c r="N424" t="str">
        <f t="shared" si="117"/>
        <v>338:00</v>
      </c>
      <c r="O424" t="str">
        <f t="shared" si="118"/>
        <v>25:30</v>
      </c>
      <c r="P424" t="str">
        <f t="shared" si="119"/>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2" si="126">A425</f>
        <v>78</v>
      </c>
      <c r="K425">
        <f t="shared" ref="K425:K442" si="127">B425</f>
        <v>79</v>
      </c>
      <c r="L425">
        <f t="shared" ref="L425:L442" si="128">C425</f>
        <v>35</v>
      </c>
      <c r="M425" t="str">
        <f t="shared" ref="M425:M442" si="129">D425</f>
        <v>176:00</v>
      </c>
      <c r="N425" t="str">
        <f t="shared" ref="N425:N442" si="130">E425</f>
        <v>-</v>
      </c>
      <c r="O425" t="str">
        <f t="shared" ref="O425:O442" si="131">IF(AND(D425="-",E425="-"),IF(1*SUBSTITUTE(F425,":",".")=-90,"DOWN",IF(1*SUBSTITUTE(F425,":",".")=90,"UP","no compass")),F425)</f>
        <v>4:00</v>
      </c>
      <c r="P425" t="str">
        <f t="shared" ref="P425:P443" si="132">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26"/>
        <v>79</v>
      </c>
      <c r="K426">
        <f t="shared" si="127"/>
        <v>80</v>
      </c>
      <c r="L426">
        <f t="shared" si="128"/>
        <v>45.7</v>
      </c>
      <c r="M426" t="str">
        <f t="shared" si="129"/>
        <v>-</v>
      </c>
      <c r="N426" t="str">
        <f t="shared" si="130"/>
        <v>325:00</v>
      </c>
      <c r="O426" t="str">
        <f t="shared" si="131"/>
        <v>0:30</v>
      </c>
      <c r="P426" t="str">
        <f t="shared" si="132"/>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26"/>
        <v>80</v>
      </c>
      <c r="K427">
        <f t="shared" si="127"/>
        <v>81</v>
      </c>
      <c r="L427">
        <f t="shared" si="128"/>
        <v>27.2</v>
      </c>
      <c r="M427" t="str">
        <f t="shared" si="129"/>
        <v>157:30</v>
      </c>
      <c r="N427" t="str">
        <f t="shared" si="130"/>
        <v>-</v>
      </c>
      <c r="O427" t="str">
        <f t="shared" si="131"/>
        <v>0:30</v>
      </c>
      <c r="P427" t="str">
        <f t="shared" si="132"/>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26"/>
        <v>81</v>
      </c>
      <c r="K428">
        <f t="shared" si="127"/>
        <v>82</v>
      </c>
      <c r="L428">
        <f t="shared" si="128"/>
        <v>19.100000000000001</v>
      </c>
      <c r="M428" t="str">
        <f t="shared" si="129"/>
        <v>-</v>
      </c>
      <c r="N428" t="str">
        <f t="shared" si="130"/>
        <v>283:30</v>
      </c>
      <c r="O428" t="str">
        <f t="shared" si="131"/>
        <v>7:00</v>
      </c>
      <c r="P428" t="str">
        <f t="shared" si="132"/>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26"/>
        <v>82</v>
      </c>
      <c r="K429">
        <f t="shared" si="127"/>
        <v>83</v>
      </c>
      <c r="L429">
        <f t="shared" si="128"/>
        <v>39.700000000000003</v>
      </c>
      <c r="M429" t="str">
        <f t="shared" si="129"/>
        <v>140:00</v>
      </c>
      <c r="N429" t="str">
        <f t="shared" si="130"/>
        <v>-</v>
      </c>
      <c r="O429" t="str">
        <f t="shared" si="131"/>
        <v>3:00</v>
      </c>
      <c r="P429" t="str">
        <f t="shared" si="132"/>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26"/>
        <v>83</v>
      </c>
      <c r="K430">
        <f t="shared" si="127"/>
        <v>84</v>
      </c>
      <c r="L430">
        <f t="shared" si="128"/>
        <v>35.5</v>
      </c>
      <c r="M430" t="str">
        <f t="shared" si="129"/>
        <v>-</v>
      </c>
      <c r="N430" t="str">
        <f t="shared" si="130"/>
        <v>319:00</v>
      </c>
      <c r="O430" t="str">
        <f t="shared" si="131"/>
        <v>5:30</v>
      </c>
      <c r="P430" t="str">
        <f t="shared" si="132"/>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26"/>
        <v>84</v>
      </c>
      <c r="K431">
        <f t="shared" si="127"/>
        <v>85</v>
      </c>
      <c r="L431">
        <f t="shared" si="128"/>
        <v>29.1</v>
      </c>
      <c r="M431" t="str">
        <f t="shared" si="129"/>
        <v>074:00</v>
      </c>
      <c r="N431" t="str">
        <f t="shared" si="130"/>
        <v>-</v>
      </c>
      <c r="O431" t="str">
        <f t="shared" si="131"/>
        <v>16:00</v>
      </c>
      <c r="P431" t="str">
        <f t="shared" si="132"/>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26"/>
        <v>85</v>
      </c>
      <c r="K432">
        <f t="shared" si="127"/>
        <v>86</v>
      </c>
      <c r="L432">
        <f t="shared" si="128"/>
        <v>25.3</v>
      </c>
      <c r="M432" t="str">
        <f t="shared" si="129"/>
        <v>-</v>
      </c>
      <c r="N432" t="str">
        <f t="shared" si="130"/>
        <v>193:00</v>
      </c>
      <c r="O432" t="str">
        <f t="shared" si="131"/>
        <v>21:00</v>
      </c>
      <c r="P432" t="str">
        <f t="shared" si="132"/>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26"/>
        <v>86</v>
      </c>
      <c r="K433">
        <f t="shared" si="127"/>
        <v>87</v>
      </c>
      <c r="L433">
        <f t="shared" si="128"/>
        <v>23.1</v>
      </c>
      <c r="M433" t="str">
        <f t="shared" si="129"/>
        <v>353:00</v>
      </c>
      <c r="N433" t="str">
        <f t="shared" si="130"/>
        <v>-</v>
      </c>
      <c r="O433" t="str">
        <f t="shared" si="131"/>
        <v>18:30</v>
      </c>
      <c r="P433" t="str">
        <f t="shared" si="132"/>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26"/>
        <v>87</v>
      </c>
      <c r="K434">
        <f t="shared" si="127"/>
        <v>88</v>
      </c>
      <c r="L434">
        <f t="shared" si="128"/>
        <v>51.3</v>
      </c>
      <c r="M434" t="str">
        <f t="shared" si="129"/>
        <v>-</v>
      </c>
      <c r="N434" t="str">
        <f t="shared" si="130"/>
        <v>268:00</v>
      </c>
      <c r="O434" t="str">
        <f t="shared" si="131"/>
        <v>12:30</v>
      </c>
      <c r="P434" t="str">
        <f t="shared" si="132"/>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26"/>
        <v>88</v>
      </c>
      <c r="K435">
        <f t="shared" si="127"/>
        <v>89</v>
      </c>
      <c r="L435">
        <f t="shared" si="128"/>
        <v>16.5</v>
      </c>
      <c r="M435" t="str">
        <f t="shared" si="129"/>
        <v>061:00</v>
      </c>
      <c r="N435" t="str">
        <f t="shared" si="130"/>
        <v>-</v>
      </c>
      <c r="O435" t="str">
        <f t="shared" si="131"/>
        <v>22:30</v>
      </c>
      <c r="P435" t="str">
        <f t="shared" si="132"/>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26"/>
        <v>89</v>
      </c>
      <c r="K436">
        <f t="shared" si="127"/>
        <v>90</v>
      </c>
      <c r="L436">
        <f t="shared" si="128"/>
        <v>26.4</v>
      </c>
      <c r="M436" t="str">
        <f t="shared" si="129"/>
        <v>-</v>
      </c>
      <c r="N436" t="str">
        <f t="shared" si="130"/>
        <v>211:00</v>
      </c>
      <c r="O436" t="str">
        <f t="shared" si="131"/>
        <v>14:30</v>
      </c>
      <c r="P436" t="str">
        <f t="shared" si="132"/>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27"/>
        <v>(=PDF p.73-74)</v>
      </c>
      <c r="P437" t="str">
        <f t="shared" si="132"/>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26"/>
        <v>90</v>
      </c>
      <c r="K438">
        <f t="shared" si="127"/>
        <v>91</v>
      </c>
      <c r="L438">
        <f t="shared" si="128"/>
        <v>49</v>
      </c>
      <c r="M438" t="str">
        <f t="shared" si="129"/>
        <v>351:00</v>
      </c>
      <c r="N438" t="str">
        <f t="shared" si="130"/>
        <v>-</v>
      </c>
      <c r="O438" t="str">
        <f t="shared" si="131"/>
        <v>3:30</v>
      </c>
      <c r="P438" t="str">
        <f t="shared" si="132"/>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26"/>
        <v>91</v>
      </c>
      <c r="K439">
        <f t="shared" si="127"/>
        <v>92</v>
      </c>
      <c r="L439">
        <f t="shared" si="128"/>
        <v>35.799999999999997</v>
      </c>
      <c r="M439" t="str">
        <f t="shared" si="129"/>
        <v>-</v>
      </c>
      <c r="N439" t="str">
        <f t="shared" si="130"/>
        <v>215:00</v>
      </c>
      <c r="O439" t="str">
        <f t="shared" si="131"/>
        <v>26:30</v>
      </c>
      <c r="P439" t="str">
        <f t="shared" si="132"/>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26"/>
        <v>92</v>
      </c>
      <c r="K440">
        <f t="shared" si="127"/>
        <v>93</v>
      </c>
      <c r="L440">
        <f t="shared" si="128"/>
        <v>48.2</v>
      </c>
      <c r="M440" t="str">
        <f t="shared" si="129"/>
        <v>018:00</v>
      </c>
      <c r="N440" t="str">
        <f t="shared" si="130"/>
        <v>-</v>
      </c>
      <c r="O440" t="str">
        <f t="shared" si="131"/>
        <v>8:30</v>
      </c>
      <c r="P440" t="str">
        <f t="shared" si="132"/>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26"/>
        <v>93</v>
      </c>
      <c r="K441">
        <f t="shared" si="127"/>
        <v>94</v>
      </c>
      <c r="L441">
        <f t="shared" si="128"/>
        <v>18.5</v>
      </c>
      <c r="M441" t="str">
        <f t="shared" si="129"/>
        <v>-</v>
      </c>
      <c r="N441" t="str">
        <f t="shared" si="130"/>
        <v>211:00</v>
      </c>
      <c r="O441" t="str">
        <f t="shared" si="131"/>
        <v>-9:00</v>
      </c>
      <c r="P441" t="str">
        <f t="shared" si="132"/>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26"/>
        <v>94</v>
      </c>
      <c r="K442">
        <f t="shared" si="127"/>
        <v>95</v>
      </c>
      <c r="L442">
        <f t="shared" si="128"/>
        <v>26</v>
      </c>
      <c r="M442" t="str">
        <f t="shared" si="129"/>
        <v>003:00</v>
      </c>
      <c r="N442" t="str">
        <f t="shared" si="130"/>
        <v>-</v>
      </c>
      <c r="O442" t="str">
        <f t="shared" si="131"/>
        <v>-4:30</v>
      </c>
      <c r="P442" t="str">
        <f t="shared" si="132"/>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2"/>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t="str">
        <f>'Raw Data'!A390</f>
        <v>21-22nd April 1957</v>
      </c>
      <c r="B445" t="str">
        <f>'Raw Data'!B390</f>
        <v>Chris Hawkes</v>
      </c>
      <c r="C445" t="str">
        <f>'Raw Data'!C390</f>
        <v>Paradise Regained, Mud Sump to Blue Pencil Passage</v>
      </c>
      <c r="H445" t="str">
        <f>'Interpreted Data'!P390</f>
        <v/>
      </c>
      <c r="J445" t="str">
        <f>CONCATENATE("# ",A445)</f>
        <v># 21-22nd April 1957</v>
      </c>
      <c r="K445" t="str">
        <f t="shared" ref="K445" si="133">B445</f>
        <v>Chris Hawkes</v>
      </c>
      <c r="L445" t="str">
        <f t="shared" ref="L445" si="134">C445</f>
        <v>Paradise Regained, Mud Sump to Blue Pencil Passage</v>
      </c>
      <c r="P445" t="str">
        <f t="shared" ref="P445" si="135">H445</f>
        <v/>
      </c>
    </row>
    <row r="446" spans="1:16" x14ac:dyDescent="0.25">
      <c r="J446" t="str">
        <f>$J$1</f>
        <v>data normal from to tape compass backcompass clino ignoreall</v>
      </c>
    </row>
    <row r="447" spans="1:16" x14ac:dyDescent="0.25">
      <c r="A447" t="str">
        <f>'Raw Data'!A391</f>
        <v>ag</v>
      </c>
      <c r="B447">
        <f>'Raw Data'!B391</f>
        <v>98</v>
      </c>
      <c r="C447">
        <f>'Raw Data'!J391</f>
        <v>3.3</v>
      </c>
      <c r="D447" t="str">
        <f>'Interpreted Data'!G391</f>
        <v>-</v>
      </c>
      <c r="E447" t="str">
        <f>'Interpreted Data'!H391</f>
        <v>324:00</v>
      </c>
      <c r="F447" t="str">
        <f>SUBSTITUTE('Raw Data'!K391," ",":",1)</f>
        <v>23:00</v>
      </c>
      <c r="G447">
        <f>'Interpreted Data'!N391</f>
        <v>1.3</v>
      </c>
      <c r="H447" t="str">
        <f>'Interpreted Data'!P391</f>
        <v>ag on page 65</v>
      </c>
      <c r="J447" t="str">
        <f t="shared" ref="J447:J502" si="136">A447</f>
        <v>ag</v>
      </c>
      <c r="K447">
        <f t="shared" ref="K447:K502" si="137">B447</f>
        <v>98</v>
      </c>
      <c r="L447">
        <f t="shared" ref="L447:L502" si="138">C447</f>
        <v>3.3</v>
      </c>
      <c r="M447" t="str">
        <f t="shared" ref="M447:M502" si="139">D447</f>
        <v>-</v>
      </c>
      <c r="N447" t="str">
        <f t="shared" ref="N447:N502" si="140">E447</f>
        <v>324:00</v>
      </c>
      <c r="O447" t="str">
        <f t="shared" ref="O447:O502" si="141">IF(AND(D447="-",E447="-"),IF(1*SUBSTITUTE(F447,":",".")=-90,"DOWN",IF(1*SUBSTITUTE(F447,":",".")=90,"UP","no compass")),F447)</f>
        <v>23:00</v>
      </c>
      <c r="P447" t="str">
        <f t="shared" ref="P447:P502" si="142">H447</f>
        <v>ag on page 65</v>
      </c>
    </row>
    <row r="448" spans="1:16" x14ac:dyDescent="0.25">
      <c r="A448">
        <f>'Raw Data'!A392</f>
        <v>98</v>
      </c>
      <c r="B448">
        <f>'Raw Data'!B392</f>
        <v>99</v>
      </c>
      <c r="C448">
        <f>'Raw Data'!J392</f>
        <v>19.5</v>
      </c>
      <c r="D448" t="str">
        <f>'Interpreted Data'!G392</f>
        <v>262:45</v>
      </c>
      <c r="E448" t="str">
        <f>'Interpreted Data'!H392</f>
        <v>-</v>
      </c>
      <c r="F448" t="str">
        <f>SUBSTITUTE('Raw Data'!K392," ",":",1)</f>
        <v>-19:30</v>
      </c>
      <c r="G448">
        <f>'Interpreted Data'!N392</f>
        <v>-6.5</v>
      </c>
      <c r="H448" t="str">
        <f>'Interpreted Data'!P392</f>
        <v/>
      </c>
      <c r="J448">
        <f t="shared" si="136"/>
        <v>98</v>
      </c>
      <c r="K448">
        <f t="shared" si="137"/>
        <v>99</v>
      </c>
      <c r="L448">
        <f t="shared" si="138"/>
        <v>19.5</v>
      </c>
      <c r="M448" t="str">
        <f t="shared" si="139"/>
        <v>262:45</v>
      </c>
      <c r="N448" t="str">
        <f t="shared" si="140"/>
        <v>-</v>
      </c>
      <c r="O448" t="str">
        <f t="shared" si="141"/>
        <v>-19:30</v>
      </c>
      <c r="P448" t="str">
        <f t="shared" si="142"/>
        <v/>
      </c>
    </row>
    <row r="449" spans="1:16" x14ac:dyDescent="0.25">
      <c r="J449" t="str">
        <f>$J$2</f>
        <v>data diving from to tape compass backcompass depthchange ignoreall</v>
      </c>
    </row>
    <row r="450" spans="1:16" x14ac:dyDescent="0.25">
      <c r="A450">
        <f>'Raw Data'!A393</f>
        <v>99</v>
      </c>
      <c r="B450">
        <f>'Raw Data'!B393</f>
        <v>100</v>
      </c>
      <c r="C450">
        <f>'Raw Data'!J393</f>
        <v>7.3</v>
      </c>
      <c r="D450" t="str">
        <f>'Interpreted Data'!G393</f>
        <v>262:00</v>
      </c>
      <c r="E450" t="str">
        <f>'Interpreted Data'!H393</f>
        <v>-</v>
      </c>
      <c r="F450" t="str">
        <f>SUBSTITUTE('Raw Data'!K393," ",":",1)</f>
        <v>+0.2:feet</v>
      </c>
      <c r="G450">
        <f>'Interpreted Data'!N393</f>
        <v>0.2</v>
      </c>
      <c r="H450" t="str">
        <f>'Interpreted Data'!P393</f>
        <v>Near side of pool in Mud sump</v>
      </c>
      <c r="J450">
        <f t="shared" ref="J450" si="143">A450</f>
        <v>99</v>
      </c>
      <c r="K450">
        <f t="shared" ref="K450" si="144">B450</f>
        <v>100</v>
      </c>
      <c r="L450">
        <f t="shared" ref="L450" si="145">C450</f>
        <v>7.3</v>
      </c>
      <c r="M450" t="str">
        <f t="shared" ref="M450" si="146">D450</f>
        <v>262:00</v>
      </c>
      <c r="N450" t="str">
        <f t="shared" ref="N450" si="147">E450</f>
        <v>-</v>
      </c>
      <c r="O450">
        <f t="shared" ref="O450" si="148">G450</f>
        <v>0.2</v>
      </c>
      <c r="P450" t="str">
        <f t="shared" si="142"/>
        <v>Near side of pool in Mud sump</v>
      </c>
    </row>
    <row r="451" spans="1:16" x14ac:dyDescent="0.25">
      <c r="J451" t="str">
        <f>$J$1</f>
        <v>data normal from to tape compass backcompass clino ignoreall</v>
      </c>
    </row>
    <row r="452" spans="1:16" x14ac:dyDescent="0.25">
      <c r="A452">
        <f>'Raw Data'!A394</f>
        <v>100</v>
      </c>
      <c r="B452">
        <f>'Raw Data'!B394</f>
        <v>101</v>
      </c>
      <c r="C452">
        <f>'Raw Data'!J394</f>
        <v>10.5</v>
      </c>
      <c r="D452" t="str">
        <f>'Interpreted Data'!G394</f>
        <v>-</v>
      </c>
      <c r="E452" t="str">
        <f>'Interpreted Data'!H394</f>
        <v>033:20</v>
      </c>
      <c r="F452" t="str">
        <f>SUBSTITUTE('Raw Data'!K394," ",":",1)</f>
        <v>38:20</v>
      </c>
      <c r="G452">
        <f>'Interpreted Data'!N394</f>
        <v>6.5</v>
      </c>
      <c r="H452" t="str">
        <f>'Interpreted Data'!P394</f>
        <v>Far side of pool in Mud sump</v>
      </c>
      <c r="J452">
        <f t="shared" si="136"/>
        <v>100</v>
      </c>
      <c r="K452">
        <f t="shared" si="137"/>
        <v>101</v>
      </c>
      <c r="L452">
        <f t="shared" si="138"/>
        <v>10.5</v>
      </c>
      <c r="M452" t="str">
        <f t="shared" si="139"/>
        <v>-</v>
      </c>
      <c r="N452" t="str">
        <f t="shared" si="140"/>
        <v>033:20</v>
      </c>
      <c r="O452" t="str">
        <f t="shared" si="141"/>
        <v>38:20</v>
      </c>
      <c r="P452" t="str">
        <f t="shared" si="142"/>
        <v>Far side of pool in Mud sump</v>
      </c>
    </row>
    <row r="453" spans="1:16" x14ac:dyDescent="0.25">
      <c r="A453">
        <f>'Raw Data'!A395</f>
        <v>101</v>
      </c>
      <c r="B453">
        <f>'Raw Data'!B395</f>
        <v>102</v>
      </c>
      <c r="C453">
        <f>'Raw Data'!J395</f>
        <v>15.5</v>
      </c>
      <c r="D453" t="str">
        <f>'Interpreted Data'!G395</f>
        <v>185:10</v>
      </c>
      <c r="E453" t="str">
        <f>'Interpreted Data'!H395</f>
        <v>-</v>
      </c>
      <c r="F453" t="str">
        <f>SUBSTITUTE('Raw Data'!K395," ",":",1)</f>
        <v>-7:00</v>
      </c>
      <c r="G453">
        <f>'Interpreted Data'!N395</f>
        <v>-1.9</v>
      </c>
      <c r="H453" t="str">
        <f>'Interpreted Data'!P395</f>
        <v/>
      </c>
      <c r="J453">
        <f t="shared" si="136"/>
        <v>101</v>
      </c>
      <c r="K453">
        <f t="shared" si="137"/>
        <v>102</v>
      </c>
      <c r="L453">
        <f t="shared" si="138"/>
        <v>15.5</v>
      </c>
      <c r="M453" t="str">
        <f t="shared" si="139"/>
        <v>185:10</v>
      </c>
      <c r="N453" t="str">
        <f t="shared" si="140"/>
        <v>-</v>
      </c>
      <c r="O453" t="str">
        <f t="shared" si="141"/>
        <v>-7:00</v>
      </c>
      <c r="P453" t="str">
        <f t="shared" si="142"/>
        <v/>
      </c>
    </row>
    <row r="454" spans="1:16" x14ac:dyDescent="0.25">
      <c r="A454">
        <f>'Raw Data'!A396</f>
        <v>102</v>
      </c>
      <c r="B454">
        <f>'Raw Data'!B396</f>
        <v>103</v>
      </c>
      <c r="C454">
        <f>'Raw Data'!J396</f>
        <v>28.9</v>
      </c>
      <c r="D454" t="str">
        <f>'Interpreted Data'!G396</f>
        <v>-</v>
      </c>
      <c r="E454" t="str">
        <f>'Interpreted Data'!H396</f>
        <v>323:20</v>
      </c>
      <c r="F454" t="str">
        <f>SUBSTITUTE('Raw Data'!K396," ",":",1)</f>
        <v>20:30</v>
      </c>
      <c r="G454">
        <f>'Interpreted Data'!N396</f>
        <v>10.1</v>
      </c>
      <c r="H454" t="str">
        <f>'Interpreted Data'!P396</f>
        <v/>
      </c>
      <c r="J454">
        <f t="shared" si="136"/>
        <v>102</v>
      </c>
      <c r="K454">
        <f t="shared" si="137"/>
        <v>103</v>
      </c>
      <c r="L454">
        <f t="shared" si="138"/>
        <v>28.9</v>
      </c>
      <c r="M454" t="str">
        <f t="shared" si="139"/>
        <v>-</v>
      </c>
      <c r="N454" t="str">
        <f t="shared" si="140"/>
        <v>323:20</v>
      </c>
      <c r="O454" t="str">
        <f t="shared" si="141"/>
        <v>20:30</v>
      </c>
      <c r="P454" t="str">
        <f t="shared" si="142"/>
        <v/>
      </c>
    </row>
    <row r="455" spans="1:16" x14ac:dyDescent="0.25">
      <c r="A455">
        <f>'Raw Data'!A397</f>
        <v>103</v>
      </c>
      <c r="B455">
        <f>'Raw Data'!B397</f>
        <v>104</v>
      </c>
      <c r="C455">
        <f>'Raw Data'!J397</f>
        <v>7.5</v>
      </c>
      <c r="D455" t="str">
        <f>'Interpreted Data'!G397</f>
        <v>161:30</v>
      </c>
      <c r="E455" t="str">
        <f>'Interpreted Data'!H397</f>
        <v>-</v>
      </c>
      <c r="F455" t="str">
        <f>SUBSTITUTE('Raw Data'!K397," ",":",1)</f>
        <v>-12:30</v>
      </c>
      <c r="G455">
        <f>'Interpreted Data'!N397</f>
        <v>-1.6</v>
      </c>
      <c r="H455" t="str">
        <f>'Interpreted Data'!P397</f>
        <v/>
      </c>
      <c r="J455">
        <f t="shared" si="136"/>
        <v>103</v>
      </c>
      <c r="K455">
        <f t="shared" si="137"/>
        <v>104</v>
      </c>
      <c r="L455">
        <f t="shared" si="138"/>
        <v>7.5</v>
      </c>
      <c r="M455" t="str">
        <f t="shared" si="139"/>
        <v>161:30</v>
      </c>
      <c r="N455" t="str">
        <f t="shared" si="140"/>
        <v>-</v>
      </c>
      <c r="O455" t="str">
        <f t="shared" si="141"/>
        <v>-12:30</v>
      </c>
      <c r="P455" t="str">
        <f t="shared" si="142"/>
        <v/>
      </c>
    </row>
    <row r="456" spans="1:16" x14ac:dyDescent="0.25">
      <c r="A456">
        <f>'Raw Data'!A398</f>
        <v>104</v>
      </c>
      <c r="B456">
        <f>'Raw Data'!B398</f>
        <v>105</v>
      </c>
      <c r="C456">
        <f>'Raw Data'!J398</f>
        <v>6.7</v>
      </c>
      <c r="D456" t="str">
        <f>'Interpreted Data'!G398</f>
        <v>-</v>
      </c>
      <c r="E456" t="str">
        <f>'Interpreted Data'!H398</f>
        <v>296:40</v>
      </c>
      <c r="F456" t="str">
        <f>SUBSTITUTE('Raw Data'!K398," ",":",1)</f>
        <v>10:30</v>
      </c>
      <c r="G456">
        <f>'Interpreted Data'!N398</f>
        <v>1.2</v>
      </c>
      <c r="H456" t="str">
        <f>'Interpreted Data'!P398</f>
        <v/>
      </c>
      <c r="J456">
        <f t="shared" si="136"/>
        <v>104</v>
      </c>
      <c r="K456">
        <f t="shared" si="137"/>
        <v>105</v>
      </c>
      <c r="L456">
        <f t="shared" si="138"/>
        <v>6.7</v>
      </c>
      <c r="M456" t="str">
        <f t="shared" si="139"/>
        <v>-</v>
      </c>
      <c r="N456" t="str">
        <f t="shared" si="140"/>
        <v>296:40</v>
      </c>
      <c r="O456" t="str">
        <f t="shared" si="141"/>
        <v>10:30</v>
      </c>
      <c r="P456" t="str">
        <f t="shared" si="142"/>
        <v/>
      </c>
    </row>
    <row r="457" spans="1:16" x14ac:dyDescent="0.25">
      <c r="A457">
        <f>'Raw Data'!A399</f>
        <v>105</v>
      </c>
      <c r="B457">
        <f>'Raw Data'!B399</f>
        <v>106</v>
      </c>
      <c r="C457">
        <f>'Raw Data'!J399</f>
        <v>20.2</v>
      </c>
      <c r="D457" t="str">
        <f>'Interpreted Data'!G399</f>
        <v>139:40</v>
      </c>
      <c r="E457" t="str">
        <f>'Interpreted Data'!H399</f>
        <v>-</v>
      </c>
      <c r="F457" t="str">
        <f>SUBSTITUTE('Raw Data'!K399," ",":",1)</f>
        <v>8:30</v>
      </c>
      <c r="G457">
        <f>'Interpreted Data'!N399</f>
        <v>3</v>
      </c>
      <c r="H457" t="str">
        <f>'Interpreted Data'!P399</f>
        <v/>
      </c>
      <c r="J457">
        <f t="shared" si="136"/>
        <v>105</v>
      </c>
      <c r="K457">
        <f t="shared" si="137"/>
        <v>106</v>
      </c>
      <c r="L457">
        <f t="shared" si="138"/>
        <v>20.2</v>
      </c>
      <c r="M457" t="str">
        <f t="shared" si="139"/>
        <v>139:40</v>
      </c>
      <c r="N457" t="str">
        <f t="shared" si="140"/>
        <v>-</v>
      </c>
      <c r="O457" t="str">
        <f t="shared" si="141"/>
        <v>8:30</v>
      </c>
      <c r="P457" t="str">
        <f t="shared" si="142"/>
        <v/>
      </c>
    </row>
    <row r="458" spans="1:16" x14ac:dyDescent="0.25">
      <c r="A458">
        <f>'Raw Data'!A400</f>
        <v>106</v>
      </c>
      <c r="B458">
        <f>'Raw Data'!B400</f>
        <v>107</v>
      </c>
      <c r="C458">
        <f>'Raw Data'!J400</f>
        <v>3.3</v>
      </c>
      <c r="D458" t="str">
        <f>'Interpreted Data'!G400</f>
        <v>-</v>
      </c>
      <c r="E458" t="str">
        <f>'Interpreted Data'!H400</f>
        <v>115:00</v>
      </c>
      <c r="F458" t="str">
        <f>SUBSTITUTE('Raw Data'!K400," ",":",1)</f>
        <v>6:00</v>
      </c>
      <c r="G458">
        <f>'Interpreted Data'!N400</f>
        <v>0.3</v>
      </c>
      <c r="H458" t="str">
        <f>'Interpreted Data'!P400</f>
        <v/>
      </c>
      <c r="J458">
        <f t="shared" si="136"/>
        <v>106</v>
      </c>
      <c r="K458">
        <f t="shared" si="137"/>
        <v>107</v>
      </c>
      <c r="L458">
        <f t="shared" si="138"/>
        <v>3.3</v>
      </c>
      <c r="M458" t="str">
        <f t="shared" si="139"/>
        <v>-</v>
      </c>
      <c r="N458" t="str">
        <f t="shared" si="140"/>
        <v>115:00</v>
      </c>
      <c r="O458" t="str">
        <f t="shared" si="141"/>
        <v>6:00</v>
      </c>
      <c r="P458" t="str">
        <f t="shared" si="142"/>
        <v/>
      </c>
    </row>
    <row r="459" spans="1:16" x14ac:dyDescent="0.25">
      <c r="A459">
        <f>'Raw Data'!A401</f>
        <v>107</v>
      </c>
      <c r="B459">
        <f>'Raw Data'!B401</f>
        <v>108</v>
      </c>
      <c r="C459">
        <f>'Raw Data'!J401</f>
        <v>15</v>
      </c>
      <c r="D459" t="str">
        <f>'Interpreted Data'!G401</f>
        <v>155:00</v>
      </c>
      <c r="E459" t="str">
        <f>'Interpreted Data'!H401</f>
        <v>-</v>
      </c>
      <c r="F459" t="str">
        <f>SUBSTITUTE('Raw Data'!K401," ",":",1)</f>
        <v>-8:50</v>
      </c>
      <c r="G459">
        <f>'Interpreted Data'!N401</f>
        <v>-2.2999999999999998</v>
      </c>
      <c r="H459" t="str">
        <f>'Interpreted Data'!P401</f>
        <v/>
      </c>
      <c r="J459">
        <f t="shared" si="136"/>
        <v>107</v>
      </c>
      <c r="K459">
        <f t="shared" si="137"/>
        <v>108</v>
      </c>
      <c r="L459">
        <f t="shared" si="138"/>
        <v>15</v>
      </c>
      <c r="M459" t="str">
        <f t="shared" si="139"/>
        <v>155:00</v>
      </c>
      <c r="N459" t="str">
        <f t="shared" si="140"/>
        <v>-</v>
      </c>
      <c r="O459" t="str">
        <f t="shared" si="141"/>
        <v>-8:50</v>
      </c>
      <c r="P459" t="str">
        <f t="shared" si="142"/>
        <v/>
      </c>
    </row>
    <row r="460" spans="1:16" x14ac:dyDescent="0.25">
      <c r="A460">
        <f>'Raw Data'!A402</f>
        <v>108</v>
      </c>
      <c r="B460">
        <f>'Raw Data'!B402</f>
        <v>109</v>
      </c>
      <c r="C460">
        <f>'Raw Data'!J402</f>
        <v>40.200000000000003</v>
      </c>
      <c r="D460" t="str">
        <f>'Interpreted Data'!G402</f>
        <v>-</v>
      </c>
      <c r="E460" t="str">
        <f>'Interpreted Data'!H402</f>
        <v>056:40</v>
      </c>
      <c r="F460" t="str">
        <f>SUBSTITUTE('Raw Data'!K402," ",":",1)</f>
        <v>7:30</v>
      </c>
      <c r="G460">
        <f>'Interpreted Data'!N402</f>
        <v>5.3</v>
      </c>
      <c r="H460" t="str">
        <f>'Interpreted Data'!P402</f>
        <v/>
      </c>
      <c r="J460">
        <f t="shared" si="136"/>
        <v>108</v>
      </c>
      <c r="K460">
        <f t="shared" si="137"/>
        <v>109</v>
      </c>
      <c r="L460">
        <f t="shared" si="138"/>
        <v>40.200000000000003</v>
      </c>
      <c r="M460" t="str">
        <f t="shared" si="139"/>
        <v>-</v>
      </c>
      <c r="N460" t="str">
        <f t="shared" si="140"/>
        <v>056:40</v>
      </c>
      <c r="O460" t="str">
        <f t="shared" si="141"/>
        <v>7:30</v>
      </c>
      <c r="P460" t="str">
        <f t="shared" si="142"/>
        <v/>
      </c>
    </row>
    <row r="461" spans="1:16" x14ac:dyDescent="0.25">
      <c r="A461">
        <f>'Raw Data'!A403</f>
        <v>109</v>
      </c>
      <c r="B461">
        <f>'Raw Data'!B403</f>
        <v>110</v>
      </c>
      <c r="C461">
        <f>'Raw Data'!J403</f>
        <v>20.399999999999999</v>
      </c>
      <c r="D461" t="str">
        <f>'Interpreted Data'!G403</f>
        <v>247:00</v>
      </c>
      <c r="E461" t="str">
        <f>'Interpreted Data'!H403</f>
        <v>-</v>
      </c>
      <c r="F461" t="str">
        <f>SUBSTITUTE('Raw Data'!K403," ",":",1)</f>
        <v>-24:30</v>
      </c>
      <c r="G461">
        <f>'Interpreted Data'!N403</f>
        <v>-8.5</v>
      </c>
      <c r="H461" t="str">
        <f>'Interpreted Data'!P403</f>
        <v/>
      </c>
      <c r="J461">
        <f t="shared" si="136"/>
        <v>109</v>
      </c>
      <c r="K461">
        <f t="shared" si="137"/>
        <v>110</v>
      </c>
      <c r="L461">
        <f t="shared" si="138"/>
        <v>20.399999999999999</v>
      </c>
      <c r="M461" t="str">
        <f t="shared" si="139"/>
        <v>247:00</v>
      </c>
      <c r="N461" t="str">
        <f t="shared" si="140"/>
        <v>-</v>
      </c>
      <c r="O461" t="str">
        <f t="shared" si="141"/>
        <v>-24:30</v>
      </c>
      <c r="P461" t="str">
        <f t="shared" si="142"/>
        <v/>
      </c>
    </row>
    <row r="462" spans="1:16" x14ac:dyDescent="0.25">
      <c r="A462">
        <f>'Raw Data'!A404</f>
        <v>110</v>
      </c>
      <c r="B462">
        <f>'Raw Data'!B404</f>
        <v>111</v>
      </c>
      <c r="C462">
        <f>'Raw Data'!J404</f>
        <v>26</v>
      </c>
      <c r="D462" t="str">
        <f>'Interpreted Data'!G404</f>
        <v>-</v>
      </c>
      <c r="E462" t="str">
        <f>'Interpreted Data'!H404</f>
        <v>068:30</v>
      </c>
      <c r="F462" t="str">
        <f>SUBSTITUTE('Raw Data'!K404," ",":",1)</f>
        <v>20:30</v>
      </c>
      <c r="G462">
        <f>'Interpreted Data'!N404</f>
        <v>9.1</v>
      </c>
      <c r="H462" t="str">
        <f>'Interpreted Data'!P404</f>
        <v/>
      </c>
      <c r="J462">
        <f t="shared" si="136"/>
        <v>110</v>
      </c>
      <c r="K462">
        <f t="shared" si="137"/>
        <v>111</v>
      </c>
      <c r="L462">
        <f t="shared" si="138"/>
        <v>26</v>
      </c>
      <c r="M462" t="str">
        <f t="shared" si="139"/>
        <v>-</v>
      </c>
      <c r="N462" t="str">
        <f t="shared" si="140"/>
        <v>068:30</v>
      </c>
      <c r="O462" t="str">
        <f t="shared" si="141"/>
        <v>20:30</v>
      </c>
      <c r="P462" t="str">
        <f t="shared" si="142"/>
        <v/>
      </c>
    </row>
    <row r="463" spans="1:16" x14ac:dyDescent="0.25">
      <c r="A463">
        <f>'Raw Data'!A405</f>
        <v>111</v>
      </c>
      <c r="B463">
        <f>'Raw Data'!B405</f>
        <v>112</v>
      </c>
      <c r="C463">
        <f>'Raw Data'!J405</f>
        <v>31.5</v>
      </c>
      <c r="D463" t="str">
        <f>'Interpreted Data'!G405</f>
        <v>259:30</v>
      </c>
      <c r="E463" t="str">
        <f>'Interpreted Data'!H405</f>
        <v>-</v>
      </c>
      <c r="F463" t="str">
        <f>SUBSTITUTE('Raw Data'!K405," ",":",1)</f>
        <v>-14:40</v>
      </c>
      <c r="G463">
        <f>'Interpreted Data'!N405</f>
        <v>-8</v>
      </c>
      <c r="H463" t="str">
        <f>'Interpreted Data'!P405</f>
        <v/>
      </c>
      <c r="J463">
        <f t="shared" si="136"/>
        <v>111</v>
      </c>
      <c r="K463">
        <f t="shared" si="137"/>
        <v>112</v>
      </c>
      <c r="L463">
        <f t="shared" si="138"/>
        <v>31.5</v>
      </c>
      <c r="M463" t="str">
        <f t="shared" si="139"/>
        <v>259:30</v>
      </c>
      <c r="N463" t="str">
        <f t="shared" si="140"/>
        <v>-</v>
      </c>
      <c r="O463" t="str">
        <f t="shared" si="141"/>
        <v>-14:40</v>
      </c>
      <c r="P463" t="str">
        <f t="shared" si="142"/>
        <v/>
      </c>
    </row>
    <row r="464" spans="1:16" x14ac:dyDescent="0.25">
      <c r="A464">
        <f>'Raw Data'!A406</f>
        <v>112</v>
      </c>
      <c r="B464">
        <f>'Raw Data'!B406</f>
        <v>113</v>
      </c>
      <c r="C464">
        <f>'Raw Data'!J406</f>
        <v>13.9</v>
      </c>
      <c r="D464" t="str">
        <f>'Interpreted Data'!G406</f>
        <v>231:00</v>
      </c>
      <c r="E464" t="str">
        <f>'Interpreted Data'!H406</f>
        <v>-</v>
      </c>
      <c r="F464" t="str">
        <f>SUBSTITUTE('Raw Data'!K406," ",":",1)</f>
        <v>-12:30</v>
      </c>
      <c r="G464">
        <f>'Interpreted Data'!N406</f>
        <v>-3</v>
      </c>
      <c r="H464" t="str">
        <f>'Interpreted Data'!P406</f>
        <v/>
      </c>
      <c r="J464">
        <f t="shared" si="136"/>
        <v>112</v>
      </c>
      <c r="K464">
        <f t="shared" si="137"/>
        <v>113</v>
      </c>
      <c r="L464">
        <f t="shared" si="138"/>
        <v>13.9</v>
      </c>
      <c r="M464" t="str">
        <f t="shared" si="139"/>
        <v>231:00</v>
      </c>
      <c r="N464" t="str">
        <f t="shared" si="140"/>
        <v>-</v>
      </c>
      <c r="O464" t="str">
        <f t="shared" si="141"/>
        <v>-12:30</v>
      </c>
      <c r="P464" t="str">
        <f t="shared" si="142"/>
        <v/>
      </c>
    </row>
    <row r="465" spans="1:16" x14ac:dyDescent="0.25">
      <c r="A465">
        <f>'Raw Data'!A407</f>
        <v>113</v>
      </c>
      <c r="B465">
        <f>'Raw Data'!B407</f>
        <v>114</v>
      </c>
      <c r="C465">
        <f>'Raw Data'!J407</f>
        <v>17.7</v>
      </c>
      <c r="D465" t="str">
        <f>'Interpreted Data'!G407</f>
        <v>-</v>
      </c>
      <c r="E465" t="str">
        <f>'Interpreted Data'!H407</f>
        <v>110:00</v>
      </c>
      <c r="F465" t="str">
        <f>SUBSTITUTE('Raw Data'!K407," ",":",1)</f>
        <v>49:00</v>
      </c>
      <c r="G465">
        <f>'Interpreted Data'!N407</f>
        <v>13.4</v>
      </c>
      <c r="H465" t="str">
        <f>'Interpreted Data'!P407</f>
        <v>Foot of Mud Shute</v>
      </c>
      <c r="J465">
        <f t="shared" si="136"/>
        <v>113</v>
      </c>
      <c r="K465">
        <f t="shared" si="137"/>
        <v>114</v>
      </c>
      <c r="L465">
        <f t="shared" si="138"/>
        <v>17.7</v>
      </c>
      <c r="M465" t="str">
        <f t="shared" si="139"/>
        <v>-</v>
      </c>
      <c r="N465" t="str">
        <f t="shared" si="140"/>
        <v>110:00</v>
      </c>
      <c r="O465" t="str">
        <f t="shared" si="141"/>
        <v>49:00</v>
      </c>
      <c r="P465" t="str">
        <f t="shared" si="142"/>
        <v>Foot of Mud Shute</v>
      </c>
    </row>
    <row r="466" spans="1:16" x14ac:dyDescent="0.25">
      <c r="A466">
        <f>'Raw Data'!A408</f>
        <v>114</v>
      </c>
      <c r="B466">
        <f>'Raw Data'!B408</f>
        <v>115</v>
      </c>
      <c r="C466">
        <f>'Raw Data'!J408</f>
        <v>7.6</v>
      </c>
      <c r="D466" t="str">
        <f>'Interpreted Data'!G408</f>
        <v>312:00</v>
      </c>
      <c r="E466" t="str">
        <f>'Interpreted Data'!H408</f>
        <v>-</v>
      </c>
      <c r="F466" t="str">
        <f>SUBSTITUTE('Raw Data'!K408," ",":",1)</f>
        <v>1:00</v>
      </c>
      <c r="G466">
        <f>'Interpreted Data'!N408</f>
        <v>0.1</v>
      </c>
      <c r="H466" t="str">
        <f>'Interpreted Data'!P408</f>
        <v/>
      </c>
      <c r="J466">
        <f t="shared" si="136"/>
        <v>114</v>
      </c>
      <c r="K466">
        <f t="shared" si="137"/>
        <v>115</v>
      </c>
      <c r="L466">
        <f t="shared" si="138"/>
        <v>7.6</v>
      </c>
      <c r="M466" t="str">
        <f t="shared" si="139"/>
        <v>312:00</v>
      </c>
      <c r="N466" t="str">
        <f t="shared" si="140"/>
        <v>-</v>
      </c>
      <c r="O466" t="str">
        <f t="shared" si="141"/>
        <v>1:00</v>
      </c>
      <c r="P466" t="str">
        <f t="shared" si="142"/>
        <v/>
      </c>
    </row>
    <row r="467" spans="1:16" x14ac:dyDescent="0.25">
      <c r="A467">
        <f>'Raw Data'!A409</f>
        <v>115</v>
      </c>
      <c r="B467">
        <f>'Raw Data'!B409</f>
        <v>116</v>
      </c>
      <c r="C467">
        <f>'Raw Data'!J409</f>
        <v>9.9</v>
      </c>
      <c r="D467" t="str">
        <f>'Interpreted Data'!G409</f>
        <v>-</v>
      </c>
      <c r="E467" t="str">
        <f>'Interpreted Data'!H409</f>
        <v>076:00</v>
      </c>
      <c r="F467" t="str">
        <f>SUBSTITUTE('Raw Data'!K409," ",":",1)</f>
        <v>-14:30</v>
      </c>
      <c r="G467">
        <f>'Interpreted Data'!N409</f>
        <v>-2.5</v>
      </c>
      <c r="H467" t="str">
        <f>'Interpreted Data'!P409</f>
        <v/>
      </c>
      <c r="J467">
        <f t="shared" si="136"/>
        <v>115</v>
      </c>
      <c r="K467">
        <f t="shared" si="137"/>
        <v>116</v>
      </c>
      <c r="L467">
        <f t="shared" si="138"/>
        <v>9.9</v>
      </c>
      <c r="M467" t="str">
        <f t="shared" si="139"/>
        <v>-</v>
      </c>
      <c r="N467" t="str">
        <f t="shared" si="140"/>
        <v>076:00</v>
      </c>
      <c r="O467" t="str">
        <f t="shared" si="141"/>
        <v>-14:30</v>
      </c>
      <c r="P467" t="str">
        <f t="shared" si="142"/>
        <v/>
      </c>
    </row>
    <row r="468" spans="1:16" x14ac:dyDescent="0.25">
      <c r="A468">
        <f>'Raw Data'!A410</f>
        <v>116</v>
      </c>
      <c r="B468">
        <f>'Raw Data'!B410</f>
        <v>117</v>
      </c>
      <c r="C468">
        <f>'Raw Data'!J410</f>
        <v>19.8</v>
      </c>
      <c r="D468" t="str">
        <f>'Interpreted Data'!G410</f>
        <v>-</v>
      </c>
      <c r="E468" t="str">
        <f>'Interpreted Data'!H410</f>
        <v>124:40</v>
      </c>
      <c r="F468" s="9">
        <f>'Interpreted Data'!U410</f>
        <v>-6.0882760441169816</v>
      </c>
      <c r="G468">
        <f>'Interpreted Data'!N410</f>
        <v>-2.1</v>
      </c>
      <c r="H468" t="str">
        <f>CONCATENATE('Interpreted Data'!P410," (Using calculated clino value for adjusted vertical drop of 2.1 feet. Original clino reading was -3:00. Calculated reading is steeper as true station was higher than candle postion.)")</f>
        <v>Over 12' Drop. Candle put 1.1' lower for clino (Using calculated clino value for adjusted vertical drop of 2.1 feet. Original clino reading was -3:00. Calculated reading is steeper as true station was higher than candle postion.)</v>
      </c>
      <c r="J468">
        <f t="shared" si="136"/>
        <v>116</v>
      </c>
      <c r="K468">
        <f t="shared" si="137"/>
        <v>117</v>
      </c>
      <c r="L468">
        <f t="shared" si="138"/>
        <v>19.8</v>
      </c>
      <c r="M468" t="str">
        <f t="shared" si="139"/>
        <v>-</v>
      </c>
      <c r="N468" t="str">
        <f t="shared" si="140"/>
        <v>124:40</v>
      </c>
      <c r="O468">
        <f t="shared" si="141"/>
        <v>-6.0882760441169816</v>
      </c>
      <c r="P468" t="str">
        <f t="shared" si="142"/>
        <v>Over 12' Drop. Candle put 1.1' lower for clino (Using calculated clino value for adjusted vertical drop of 2.1 feet. Original clino reading was -3:00. Calculated reading is steeper as true station was higher than candle postion.)</v>
      </c>
    </row>
    <row r="469" spans="1:16" x14ac:dyDescent="0.25">
      <c r="A469">
        <f>'Raw Data'!A411</f>
        <v>117</v>
      </c>
      <c r="B469">
        <f>'Raw Data'!B411</f>
        <v>118</v>
      </c>
      <c r="C469">
        <f>'Raw Data'!J411</f>
        <v>18.100000000000001</v>
      </c>
      <c r="D469" t="str">
        <f>'Interpreted Data'!G411</f>
        <v>294:30</v>
      </c>
      <c r="E469" t="str">
        <f>'Interpreted Data'!H411</f>
        <v>-</v>
      </c>
      <c r="F469" t="str">
        <f>SUBSTITUTE('Raw Data'!K411," ",":",1)</f>
        <v>-11:10</v>
      </c>
      <c r="G469">
        <f>'Interpreted Data'!N411</f>
        <v>-3.5</v>
      </c>
      <c r="H469" t="str">
        <f>'Interpreted Data'!P411</f>
        <v>Double passage 2' on</v>
      </c>
      <c r="J469">
        <f t="shared" si="136"/>
        <v>117</v>
      </c>
      <c r="K469">
        <f t="shared" si="137"/>
        <v>118</v>
      </c>
      <c r="L469">
        <f t="shared" si="138"/>
        <v>18.100000000000001</v>
      </c>
      <c r="M469" t="str">
        <f t="shared" si="139"/>
        <v>294:30</v>
      </c>
      <c r="N469" t="str">
        <f t="shared" si="140"/>
        <v>-</v>
      </c>
      <c r="O469" t="str">
        <f t="shared" si="141"/>
        <v>-11:10</v>
      </c>
      <c r="P469" t="str">
        <f t="shared" si="142"/>
        <v>Double passage 2' on</v>
      </c>
    </row>
    <row r="470" spans="1:16" x14ac:dyDescent="0.25">
      <c r="A470">
        <f>'Raw Data'!A412</f>
        <v>118</v>
      </c>
      <c r="B470">
        <f>'Raw Data'!B412</f>
        <v>119</v>
      </c>
      <c r="C470">
        <f>'Raw Data'!J412</f>
        <v>4.3</v>
      </c>
      <c r="D470" t="str">
        <f>'Interpreted Data'!G412</f>
        <v>-</v>
      </c>
      <c r="E470" t="str">
        <f>'Interpreted Data'!H412</f>
        <v>134:00</v>
      </c>
      <c r="F470" t="str">
        <f>SUBSTITUTE('Raw Data'!K412," ",":",1)</f>
        <v>41:00</v>
      </c>
      <c r="G470">
        <f>'Interpreted Data'!N412</f>
        <v>2.8</v>
      </c>
      <c r="H470" t="str">
        <f>'Interpreted Data'!P412</f>
        <v/>
      </c>
      <c r="J470">
        <f t="shared" si="136"/>
        <v>118</v>
      </c>
      <c r="K470">
        <f t="shared" si="137"/>
        <v>119</v>
      </c>
      <c r="L470">
        <f t="shared" si="138"/>
        <v>4.3</v>
      </c>
      <c r="M470" t="str">
        <f t="shared" si="139"/>
        <v>-</v>
      </c>
      <c r="N470" t="str">
        <f t="shared" si="140"/>
        <v>134:00</v>
      </c>
      <c r="O470" t="str">
        <f t="shared" si="141"/>
        <v>41:00</v>
      </c>
      <c r="P470" t="str">
        <f t="shared" si="142"/>
        <v/>
      </c>
    </row>
    <row r="471" spans="1:16" x14ac:dyDescent="0.25">
      <c r="A471">
        <f>'Raw Data'!A413</f>
        <v>119</v>
      </c>
      <c r="B471">
        <f>'Raw Data'!B413</f>
        <v>120</v>
      </c>
      <c r="C471">
        <f>'Raw Data'!J413</f>
        <v>6.2</v>
      </c>
      <c r="D471" t="str">
        <f>'Interpreted Data'!G413</f>
        <v>254:00</v>
      </c>
      <c r="E471" t="str">
        <f>'Interpreted Data'!H413</f>
        <v>-</v>
      </c>
      <c r="F471" t="str">
        <f>SUBSTITUTE('Raw Data'!K413," ",":",1)</f>
        <v>-23:30</v>
      </c>
      <c r="G471">
        <f>'Interpreted Data'!N413</f>
        <v>-2.5</v>
      </c>
      <c r="H471" t="str">
        <f>'Interpreted Data'!P413</f>
        <v>On rock rib</v>
      </c>
      <c r="J471">
        <f t="shared" si="136"/>
        <v>119</v>
      </c>
      <c r="K471">
        <f t="shared" si="137"/>
        <v>120</v>
      </c>
      <c r="L471">
        <f t="shared" si="138"/>
        <v>6.2</v>
      </c>
      <c r="M471" t="str">
        <f t="shared" si="139"/>
        <v>254:00</v>
      </c>
      <c r="N471" t="str">
        <f t="shared" si="140"/>
        <v>-</v>
      </c>
      <c r="O471" t="str">
        <f t="shared" si="141"/>
        <v>-23:30</v>
      </c>
      <c r="P471" t="str">
        <f t="shared" si="142"/>
        <v>On rock rib</v>
      </c>
    </row>
    <row r="472" spans="1:16" x14ac:dyDescent="0.25">
      <c r="A472">
        <f>'Raw Data'!A414</f>
        <v>120</v>
      </c>
      <c r="B472">
        <f>'Raw Data'!B414</f>
        <v>121</v>
      </c>
      <c r="C472">
        <f>'Raw Data'!J414</f>
        <v>9.1999999999999993</v>
      </c>
      <c r="D472" t="str">
        <f>'Interpreted Data'!G414</f>
        <v>222:00</v>
      </c>
      <c r="E472" t="str">
        <f>'Interpreted Data'!H414</f>
        <v>-</v>
      </c>
      <c r="F472" s="9">
        <f>'Interpreted Data'!U414</f>
        <v>0</v>
      </c>
      <c r="G472" t="str">
        <f>'Interpreted Data'!N414</f>
        <v>/</v>
      </c>
      <c r="H472" t="str">
        <f>'Interpreted Data'!P414</f>
        <v/>
      </c>
      <c r="J472">
        <f t="shared" si="136"/>
        <v>120</v>
      </c>
      <c r="K472">
        <f t="shared" si="137"/>
        <v>121</v>
      </c>
      <c r="L472">
        <f t="shared" si="138"/>
        <v>9.1999999999999993</v>
      </c>
      <c r="M472" t="str">
        <f t="shared" si="139"/>
        <v>222:00</v>
      </c>
      <c r="N472" t="str">
        <f t="shared" si="140"/>
        <v>-</v>
      </c>
      <c r="O472">
        <f t="shared" si="141"/>
        <v>0</v>
      </c>
      <c r="P472" t="str">
        <f t="shared" si="142"/>
        <v/>
      </c>
    </row>
    <row r="473" spans="1:16" x14ac:dyDescent="0.25">
      <c r="A473">
        <f>'Raw Data'!A415</f>
        <v>121</v>
      </c>
      <c r="B473">
        <f>'Raw Data'!B415</f>
        <v>122</v>
      </c>
      <c r="C473">
        <f>'Raw Data'!J415</f>
        <v>10</v>
      </c>
      <c r="D473" t="str">
        <f>'Interpreted Data'!G415</f>
        <v>-</v>
      </c>
      <c r="E473" t="str">
        <f>'Interpreted Data'!H415</f>
        <v>011:50</v>
      </c>
      <c r="F473" t="str">
        <f>SUBSTITUTE('Raw Data'!K415," ",":",1)</f>
        <v>24:00</v>
      </c>
      <c r="G473">
        <f>'Interpreted Data'!N415</f>
        <v>4.0999999999999996</v>
      </c>
      <c r="H473" t="str">
        <f>'Interpreted Data'!P415</f>
        <v/>
      </c>
      <c r="J473">
        <f t="shared" si="136"/>
        <v>121</v>
      </c>
      <c r="K473">
        <f t="shared" si="137"/>
        <v>122</v>
      </c>
      <c r="L473">
        <f t="shared" si="138"/>
        <v>10</v>
      </c>
      <c r="M473" t="str">
        <f t="shared" si="139"/>
        <v>-</v>
      </c>
      <c r="N473" t="str">
        <f t="shared" si="140"/>
        <v>011:50</v>
      </c>
      <c r="O473" t="str">
        <f t="shared" si="141"/>
        <v>24:00</v>
      </c>
      <c r="P473" t="str">
        <f t="shared" si="142"/>
        <v/>
      </c>
    </row>
    <row r="474" spans="1:16" x14ac:dyDescent="0.25">
      <c r="A474">
        <f>'Raw Data'!A416</f>
        <v>122</v>
      </c>
      <c r="B474">
        <f>'Raw Data'!B416</f>
        <v>123</v>
      </c>
      <c r="C474">
        <f>'Raw Data'!J416</f>
        <v>22</v>
      </c>
      <c r="D474" t="str">
        <f>'Interpreted Data'!G416</f>
        <v>252:30</v>
      </c>
      <c r="E474" t="str">
        <f>'Interpreted Data'!H416</f>
        <v>-</v>
      </c>
      <c r="F474" t="str">
        <f>SUBSTITUTE('Raw Data'!K416," ",":",1)</f>
        <v>-10:00</v>
      </c>
      <c r="G474">
        <f>'Interpreted Data'!N416</f>
        <v>-3.8</v>
      </c>
      <c r="H474" t="str">
        <f>'Interpreted Data'!P416</f>
        <v>Passage (small) on left at 6'</v>
      </c>
      <c r="J474">
        <f t="shared" si="136"/>
        <v>122</v>
      </c>
      <c r="K474">
        <f t="shared" si="137"/>
        <v>123</v>
      </c>
      <c r="L474">
        <f t="shared" si="138"/>
        <v>22</v>
      </c>
      <c r="M474" t="str">
        <f t="shared" si="139"/>
        <v>252:30</v>
      </c>
      <c r="N474" t="str">
        <f t="shared" si="140"/>
        <v>-</v>
      </c>
      <c r="O474" t="str">
        <f t="shared" si="141"/>
        <v>-10:00</v>
      </c>
      <c r="P474" t="str">
        <f t="shared" si="142"/>
        <v>Passage (small) on left at 6'</v>
      </c>
    </row>
    <row r="475" spans="1:16" x14ac:dyDescent="0.25">
      <c r="A475">
        <f>'Raw Data'!A417</f>
        <v>123</v>
      </c>
      <c r="B475">
        <f>'Raw Data'!B417</f>
        <v>124</v>
      </c>
      <c r="C475">
        <f>'Raw Data'!J417</f>
        <v>18.7</v>
      </c>
      <c r="D475" t="str">
        <f>'Interpreted Data'!G417</f>
        <v>-</v>
      </c>
      <c r="E475" t="str">
        <f>'Interpreted Data'!H417</f>
        <v>031:00</v>
      </c>
      <c r="F475" t="str">
        <f>SUBSTITUTE('Raw Data'!K417," ",":",1)</f>
        <v>16:00</v>
      </c>
      <c r="G475">
        <f>'Interpreted Data'!N417</f>
        <v>5.3</v>
      </c>
      <c r="H475" t="str">
        <f>'Interpreted Data'!P417</f>
        <v/>
      </c>
      <c r="J475">
        <f t="shared" si="136"/>
        <v>123</v>
      </c>
      <c r="K475">
        <f t="shared" si="137"/>
        <v>124</v>
      </c>
      <c r="L475">
        <f t="shared" si="138"/>
        <v>18.7</v>
      </c>
      <c r="M475" t="str">
        <f t="shared" si="139"/>
        <v>-</v>
      </c>
      <c r="N475" t="str">
        <f t="shared" si="140"/>
        <v>031:00</v>
      </c>
      <c r="O475" t="str">
        <f t="shared" si="141"/>
        <v>16:00</v>
      </c>
      <c r="P475" t="str">
        <f t="shared" si="142"/>
        <v/>
      </c>
    </row>
    <row r="476" spans="1:16" x14ac:dyDescent="0.25">
      <c r="A476">
        <f>'Raw Data'!A418</f>
        <v>124</v>
      </c>
      <c r="B476">
        <f>'Raw Data'!B418</f>
        <v>125</v>
      </c>
      <c r="C476">
        <f>'Raw Data'!J418</f>
        <v>40.700000000000003</v>
      </c>
      <c r="D476" t="str">
        <f>'Interpreted Data'!G418</f>
        <v>281:00</v>
      </c>
      <c r="E476" t="str">
        <f>'Interpreted Data'!H418</f>
        <v>-</v>
      </c>
      <c r="F476" t="str">
        <f>SUBSTITUTE('Raw Data'!K418," ",":",1)</f>
        <v>-14:15</v>
      </c>
      <c r="G476">
        <f>'Interpreted Data'!N418</f>
        <v>-10</v>
      </c>
      <c r="H476" t="str">
        <f>'Interpreted Data'!P418</f>
        <v>Stn 124 marked by double ring on roof</v>
      </c>
      <c r="J476">
        <f t="shared" si="136"/>
        <v>124</v>
      </c>
      <c r="K476">
        <f t="shared" si="137"/>
        <v>125</v>
      </c>
      <c r="L476">
        <f t="shared" si="138"/>
        <v>40.700000000000003</v>
      </c>
      <c r="M476" t="str">
        <f t="shared" si="139"/>
        <v>281:00</v>
      </c>
      <c r="N476" t="str">
        <f t="shared" si="140"/>
        <v>-</v>
      </c>
      <c r="O476" t="str">
        <f t="shared" si="141"/>
        <v>-14:15</v>
      </c>
      <c r="P476" t="str">
        <f t="shared" si="142"/>
        <v>Stn 124 marked by double ring on roof</v>
      </c>
    </row>
    <row r="477" spans="1:16" x14ac:dyDescent="0.25">
      <c r="A477">
        <f>'Raw Data'!A419</f>
        <v>125</v>
      </c>
      <c r="B477">
        <f>'Raw Data'!B419</f>
        <v>126</v>
      </c>
      <c r="C477">
        <f>'Raw Data'!J419</f>
        <v>13.8</v>
      </c>
      <c r="D477" t="str">
        <f>'Interpreted Data'!G419</f>
        <v>-</v>
      </c>
      <c r="E477" t="str">
        <f>'Interpreted Data'!H419</f>
        <v>147:15</v>
      </c>
      <c r="F477" t="str">
        <f>SUBSTITUTE('Raw Data'!K419," ",":",1)</f>
        <v>5:30</v>
      </c>
      <c r="G477">
        <f>'Interpreted Data'!N419</f>
        <v>1.3</v>
      </c>
      <c r="H477" t="str">
        <f>'Interpreted Data'!P419</f>
        <v/>
      </c>
      <c r="J477">
        <f t="shared" si="136"/>
        <v>125</v>
      </c>
      <c r="K477">
        <f t="shared" si="137"/>
        <v>126</v>
      </c>
      <c r="L477">
        <f t="shared" si="138"/>
        <v>13.8</v>
      </c>
      <c r="M477" t="str">
        <f t="shared" si="139"/>
        <v>-</v>
      </c>
      <c r="N477" t="str">
        <f t="shared" si="140"/>
        <v>147:15</v>
      </c>
      <c r="O477" t="str">
        <f t="shared" si="141"/>
        <v>5:30</v>
      </c>
      <c r="P477" t="str">
        <f t="shared" si="142"/>
        <v/>
      </c>
    </row>
    <row r="478" spans="1:16" x14ac:dyDescent="0.25">
      <c r="A478">
        <f>'Raw Data'!A420</f>
        <v>126</v>
      </c>
      <c r="B478">
        <f>'Raw Data'!B420</f>
        <v>127</v>
      </c>
      <c r="C478">
        <f>'Raw Data'!J420</f>
        <v>20.5</v>
      </c>
      <c r="D478" t="str">
        <f>'Interpreted Data'!G420</f>
        <v>266:20</v>
      </c>
      <c r="E478" t="str">
        <f>'Interpreted Data'!H420</f>
        <v>-</v>
      </c>
      <c r="F478" t="str">
        <f>SUBSTITUTE('Raw Data'!K420," ",":",1)</f>
        <v>-9:15</v>
      </c>
      <c r="G478">
        <f>'Interpreted Data'!N420</f>
        <v>-3.3</v>
      </c>
      <c r="H478" t="str">
        <f>'Interpreted Data'!P420</f>
        <v/>
      </c>
      <c r="J478">
        <f t="shared" si="136"/>
        <v>126</v>
      </c>
      <c r="K478">
        <f t="shared" si="137"/>
        <v>127</v>
      </c>
      <c r="L478">
        <f t="shared" si="138"/>
        <v>20.5</v>
      </c>
      <c r="M478" t="str">
        <f t="shared" si="139"/>
        <v>266:20</v>
      </c>
      <c r="N478" t="str">
        <f t="shared" si="140"/>
        <v>-</v>
      </c>
      <c r="O478" t="str">
        <f t="shared" si="141"/>
        <v>-9:15</v>
      </c>
      <c r="P478" t="str">
        <f t="shared" si="142"/>
        <v/>
      </c>
    </row>
    <row r="479" spans="1:16" x14ac:dyDescent="0.25">
      <c r="A479">
        <f>'Raw Data'!A421</f>
        <v>127</v>
      </c>
      <c r="B479">
        <f>'Raw Data'!B421</f>
        <v>128</v>
      </c>
      <c r="C479">
        <f>'Raw Data'!J421</f>
        <v>4.3</v>
      </c>
      <c r="D479" t="str">
        <f>'Interpreted Data'!G421</f>
        <v>-</v>
      </c>
      <c r="E479" t="str">
        <f>'Interpreted Data'!H421</f>
        <v>146:00</v>
      </c>
      <c r="F479" t="str">
        <f>SUBSTITUTE('Raw Data'!K421," ",":",1)</f>
        <v>17:00</v>
      </c>
      <c r="G479">
        <f>'Interpreted Data'!N421</f>
        <v>1.3</v>
      </c>
      <c r="H479" t="str">
        <f>'Interpreted Data'!P421</f>
        <v/>
      </c>
      <c r="J479">
        <f t="shared" si="136"/>
        <v>127</v>
      </c>
      <c r="K479">
        <f t="shared" si="137"/>
        <v>128</v>
      </c>
      <c r="L479">
        <f t="shared" si="138"/>
        <v>4.3</v>
      </c>
      <c r="M479" t="str">
        <f t="shared" si="139"/>
        <v>-</v>
      </c>
      <c r="N479" t="str">
        <f t="shared" si="140"/>
        <v>146:00</v>
      </c>
      <c r="O479" t="str">
        <f t="shared" si="141"/>
        <v>17:00</v>
      </c>
      <c r="P479" t="str">
        <f t="shared" si="142"/>
        <v/>
      </c>
    </row>
    <row r="480" spans="1:16" x14ac:dyDescent="0.25">
      <c r="A480">
        <f>'Raw Data'!A422</f>
        <v>128</v>
      </c>
      <c r="B480">
        <f>'Raw Data'!B422</f>
        <v>129</v>
      </c>
      <c r="C480">
        <f>'Raw Data'!J422</f>
        <v>10.3</v>
      </c>
      <c r="D480" t="str">
        <f>'Interpreted Data'!G422</f>
        <v>021:30</v>
      </c>
      <c r="E480" t="str">
        <f>'Interpreted Data'!H422</f>
        <v>-</v>
      </c>
      <c r="F480" t="str">
        <f>SUBSTITUTE('Raw Data'!K422," ",":",1)</f>
        <v>8:20</v>
      </c>
      <c r="G480">
        <f>'Interpreted Data'!N422</f>
        <v>1.5</v>
      </c>
      <c r="H480" t="str">
        <f>'Interpreted Data'!P422</f>
        <v/>
      </c>
      <c r="J480">
        <f t="shared" si="136"/>
        <v>128</v>
      </c>
      <c r="K480">
        <f t="shared" si="137"/>
        <v>129</v>
      </c>
      <c r="L480">
        <f t="shared" si="138"/>
        <v>10.3</v>
      </c>
      <c r="M480" t="str">
        <f t="shared" si="139"/>
        <v>021:30</v>
      </c>
      <c r="N480" t="str">
        <f t="shared" si="140"/>
        <v>-</v>
      </c>
      <c r="O480" t="str">
        <f t="shared" si="141"/>
        <v>8:20</v>
      </c>
      <c r="P480" t="str">
        <f t="shared" si="142"/>
        <v/>
      </c>
    </row>
    <row r="481" spans="1:16" x14ac:dyDescent="0.25">
      <c r="A481">
        <f>'Raw Data'!A423</f>
        <v>129</v>
      </c>
      <c r="B481">
        <f>'Raw Data'!B423</f>
        <v>130</v>
      </c>
      <c r="C481">
        <f>'Raw Data'!J423</f>
        <v>43.2</v>
      </c>
      <c r="D481" t="str">
        <f>'Interpreted Data'!G423</f>
        <v>-</v>
      </c>
      <c r="E481" t="str">
        <f>'Interpreted Data'!H423</f>
        <v>113:10</v>
      </c>
      <c r="F481" t="str">
        <f>SUBSTITUTE('Raw Data'!K423," ",":",1)</f>
        <v>-10:20</v>
      </c>
      <c r="G481">
        <f>'Interpreted Data'!N423</f>
        <v>-7.7</v>
      </c>
      <c r="H481" t="str">
        <f>'Interpreted Data'!P423</f>
        <v/>
      </c>
      <c r="J481">
        <f t="shared" si="136"/>
        <v>129</v>
      </c>
      <c r="K481">
        <f t="shared" si="137"/>
        <v>130</v>
      </c>
      <c r="L481">
        <f t="shared" si="138"/>
        <v>43.2</v>
      </c>
      <c r="M481" t="str">
        <f t="shared" si="139"/>
        <v>-</v>
      </c>
      <c r="N481" t="str">
        <f t="shared" si="140"/>
        <v>113:10</v>
      </c>
      <c r="O481" t="str">
        <f t="shared" si="141"/>
        <v>-10:20</v>
      </c>
      <c r="P481" t="str">
        <f t="shared" si="142"/>
        <v/>
      </c>
    </row>
    <row r="482" spans="1:16" x14ac:dyDescent="0.25">
      <c r="A482">
        <f>'Raw Data'!A424</f>
        <v>130</v>
      </c>
      <c r="B482">
        <f>'Raw Data'!B424</f>
        <v>131</v>
      </c>
      <c r="C482">
        <f>'Raw Data'!J424</f>
        <v>37.799999999999997</v>
      </c>
      <c r="D482" t="str">
        <f>'Interpreted Data'!G424</f>
        <v>293:40</v>
      </c>
      <c r="E482" t="str">
        <f>'Interpreted Data'!H424</f>
        <v>-</v>
      </c>
      <c r="F482" t="str">
        <f>SUBSTITUTE('Raw Data'!K424," ",":",1)</f>
        <v>-3:00</v>
      </c>
      <c r="G482">
        <f>'Interpreted Data'!N424</f>
        <v>-2</v>
      </c>
      <c r="H482" t="str">
        <f>'Interpreted Data'!P424</f>
        <v/>
      </c>
      <c r="J482">
        <f t="shared" si="136"/>
        <v>130</v>
      </c>
      <c r="K482">
        <f t="shared" si="137"/>
        <v>131</v>
      </c>
      <c r="L482">
        <f t="shared" si="138"/>
        <v>37.799999999999997</v>
      </c>
      <c r="M482" t="str">
        <f t="shared" si="139"/>
        <v>293:40</v>
      </c>
      <c r="N482" t="str">
        <f t="shared" si="140"/>
        <v>-</v>
      </c>
      <c r="O482" t="str">
        <f t="shared" si="141"/>
        <v>-3:00</v>
      </c>
      <c r="P482" t="str">
        <f t="shared" si="142"/>
        <v/>
      </c>
    </row>
    <row r="483" spans="1:16" x14ac:dyDescent="0.25">
      <c r="A483">
        <f>'Raw Data'!A425</f>
        <v>131</v>
      </c>
      <c r="B483">
        <f>'Raw Data'!B425</f>
        <v>132</v>
      </c>
      <c r="C483">
        <f>'Raw Data'!J425</f>
        <v>9.3000000000000007</v>
      </c>
      <c r="D483" t="str">
        <f>'Interpreted Data'!G425</f>
        <v>-</v>
      </c>
      <c r="E483" t="str">
        <f>'Interpreted Data'!H425</f>
        <v>167:00</v>
      </c>
      <c r="F483" t="str">
        <f>SUBSTITUTE('Raw Data'!K425," ",":",1)</f>
        <v>20:30</v>
      </c>
      <c r="G483">
        <f>'Interpreted Data'!N425</f>
        <v>3.3</v>
      </c>
      <c r="H483" t="str">
        <f>'Interpreted Data'!P425</f>
        <v/>
      </c>
      <c r="J483">
        <f t="shared" si="136"/>
        <v>131</v>
      </c>
      <c r="K483">
        <f t="shared" si="137"/>
        <v>132</v>
      </c>
      <c r="L483">
        <f t="shared" si="138"/>
        <v>9.3000000000000007</v>
      </c>
      <c r="M483" t="str">
        <f t="shared" si="139"/>
        <v>-</v>
      </c>
      <c r="N483" t="str">
        <f t="shared" si="140"/>
        <v>167:00</v>
      </c>
      <c r="O483" t="str">
        <f t="shared" si="141"/>
        <v>20:30</v>
      </c>
      <c r="P483" t="str">
        <f t="shared" si="142"/>
        <v/>
      </c>
    </row>
    <row r="484" spans="1:16" x14ac:dyDescent="0.25">
      <c r="A484">
        <f>'Raw Data'!A426</f>
        <v>132</v>
      </c>
      <c r="B484">
        <f>'Raw Data'!B426</f>
        <v>133</v>
      </c>
      <c r="C484">
        <f>'Raw Data'!J426</f>
        <v>14.6</v>
      </c>
      <c r="D484" t="str">
        <f>'Interpreted Data'!G426</f>
        <v>271:30</v>
      </c>
      <c r="E484" t="str">
        <f>'Interpreted Data'!H426</f>
        <v>-</v>
      </c>
      <c r="F484" t="str">
        <f>SUBSTITUTE('Raw Data'!K426," ",":",1)</f>
        <v>-11:30</v>
      </c>
      <c r="G484">
        <f>'Interpreted Data'!N426</f>
        <v>-2.9</v>
      </c>
      <c r="H484" t="str">
        <f>'Interpreted Data'!P426</f>
        <v/>
      </c>
      <c r="J484">
        <f t="shared" si="136"/>
        <v>132</v>
      </c>
      <c r="K484">
        <f t="shared" si="137"/>
        <v>133</v>
      </c>
      <c r="L484">
        <f t="shared" si="138"/>
        <v>14.6</v>
      </c>
      <c r="M484" t="str">
        <f t="shared" si="139"/>
        <v>271:30</v>
      </c>
      <c r="N484" t="str">
        <f t="shared" si="140"/>
        <v>-</v>
      </c>
      <c r="O484" t="str">
        <f t="shared" si="141"/>
        <v>-11:30</v>
      </c>
      <c r="P484" t="str">
        <f t="shared" si="142"/>
        <v/>
      </c>
    </row>
    <row r="485" spans="1:16" x14ac:dyDescent="0.25">
      <c r="A485">
        <f>'Raw Data'!A427</f>
        <v>133</v>
      </c>
      <c r="B485">
        <f>'Raw Data'!B427</f>
        <v>134</v>
      </c>
      <c r="C485">
        <f>'Raw Data'!J427</f>
        <v>14.7</v>
      </c>
      <c r="D485" t="str">
        <f>'Interpreted Data'!G427</f>
        <v>-</v>
      </c>
      <c r="E485" t="str">
        <f>'Interpreted Data'!H427</f>
        <v>161:00</v>
      </c>
      <c r="F485" t="str">
        <f>SUBSTITUTE('Raw Data'!K427," ",":",1)</f>
        <v>20:40</v>
      </c>
      <c r="G485">
        <f>'Interpreted Data'!N427</f>
        <v>5.2</v>
      </c>
      <c r="H485" t="str">
        <f>'Interpreted Data'!P427</f>
        <v/>
      </c>
      <c r="J485">
        <f t="shared" si="136"/>
        <v>133</v>
      </c>
      <c r="K485">
        <f t="shared" si="137"/>
        <v>134</v>
      </c>
      <c r="L485">
        <f t="shared" si="138"/>
        <v>14.7</v>
      </c>
      <c r="M485" t="str">
        <f t="shared" si="139"/>
        <v>-</v>
      </c>
      <c r="N485" t="str">
        <f t="shared" si="140"/>
        <v>161:00</v>
      </c>
      <c r="O485" t="str">
        <f t="shared" si="141"/>
        <v>20:40</v>
      </c>
      <c r="P485" t="str">
        <f t="shared" si="142"/>
        <v/>
      </c>
    </row>
    <row r="486" spans="1:16" x14ac:dyDescent="0.25">
      <c r="A486">
        <f>'Raw Data'!A428</f>
        <v>134</v>
      </c>
      <c r="B486">
        <f>'Raw Data'!B428</f>
        <v>135</v>
      </c>
      <c r="C486">
        <f>'Raw Data'!J428</f>
        <v>21.5</v>
      </c>
      <c r="D486" t="str">
        <f>'Interpreted Data'!G428</f>
        <v>009:30</v>
      </c>
      <c r="E486" t="str">
        <f>'Interpreted Data'!H428</f>
        <v>-</v>
      </c>
      <c r="F486" t="str">
        <f>SUBSTITUTE('Raw Data'!K428," ",":",1)</f>
        <v>-6:20</v>
      </c>
      <c r="G486">
        <f>'Interpreted Data'!N428</f>
        <v>-2.4</v>
      </c>
      <c r="H486" t="str">
        <f>'Interpreted Data'!P428</f>
        <v/>
      </c>
      <c r="J486">
        <f t="shared" si="136"/>
        <v>134</v>
      </c>
      <c r="K486">
        <f t="shared" si="137"/>
        <v>135</v>
      </c>
      <c r="L486">
        <f t="shared" si="138"/>
        <v>21.5</v>
      </c>
      <c r="M486" t="str">
        <f t="shared" si="139"/>
        <v>009:30</v>
      </c>
      <c r="N486" t="str">
        <f t="shared" si="140"/>
        <v>-</v>
      </c>
      <c r="O486" t="str">
        <f t="shared" si="141"/>
        <v>-6:20</v>
      </c>
      <c r="P486" t="str">
        <f t="shared" si="142"/>
        <v/>
      </c>
    </row>
    <row r="487" spans="1:16" x14ac:dyDescent="0.25">
      <c r="A487">
        <f>'Raw Data'!A429</f>
        <v>0</v>
      </c>
      <c r="B487">
        <f>'Raw Data'!B429</f>
        <v>0</v>
      </c>
      <c r="C487">
        <f>'Raw Data'!J429</f>
        <v>0</v>
      </c>
      <c r="D487" t="str">
        <f>'Interpreted Data'!G429</f>
        <v>-</v>
      </c>
      <c r="E487" t="str">
        <f>'Interpreted Data'!H429</f>
        <v>-</v>
      </c>
      <c r="F487" t="str">
        <f>SUBSTITUTE('Raw Data'!K429," ",":",1)</f>
        <v/>
      </c>
      <c r="G487" t="str">
        <f>'Interpreted Data'!N429</f>
        <v/>
      </c>
      <c r="H487" t="str">
        <f>'Interpreted Data'!P429</f>
        <v/>
      </c>
      <c r="P487" t="str">
        <f t="shared" si="142"/>
        <v/>
      </c>
    </row>
    <row r="488" spans="1:16" x14ac:dyDescent="0.25">
      <c r="A488" t="str">
        <f>'Raw Data'!A430</f>
        <v>p. 73-74</v>
      </c>
      <c r="B488" t="str">
        <f>'Raw Data'!B430</f>
        <v>(=PDF p.75-76)</v>
      </c>
      <c r="C488">
        <f>'Raw Data'!J430</f>
        <v>0</v>
      </c>
      <c r="D488" t="str">
        <f>'Interpreted Data'!G430</f>
        <v>-</v>
      </c>
      <c r="E488" t="str">
        <f>'Interpreted Data'!H430</f>
        <v>-</v>
      </c>
      <c r="F488" t="str">
        <f>SUBSTITUTE('Raw Data'!K430," ",":",1)</f>
        <v/>
      </c>
      <c r="G488" t="str">
        <f>'Interpreted Data'!N430</f>
        <v/>
      </c>
      <c r="H488" t="str">
        <f>'Interpreted Data'!P430</f>
        <v/>
      </c>
      <c r="J488" t="str">
        <f>CONCATENATE("# ",A488)</f>
        <v># p. 73-74</v>
      </c>
      <c r="K488" t="str">
        <f t="shared" si="137"/>
        <v>(=PDF p.75-76)</v>
      </c>
      <c r="P488" t="str">
        <f t="shared" si="142"/>
        <v/>
      </c>
    </row>
    <row r="489" spans="1:16" x14ac:dyDescent="0.25">
      <c r="A489">
        <f>'Raw Data'!A431</f>
        <v>135</v>
      </c>
      <c r="B489">
        <f>'Raw Data'!B431</f>
        <v>136</v>
      </c>
      <c r="C489">
        <f>'Raw Data'!J431</f>
        <v>57.2</v>
      </c>
      <c r="D489" t="str">
        <f>'Interpreted Data'!G431</f>
        <v>-</v>
      </c>
      <c r="E489" t="str">
        <f>'Interpreted Data'!H431</f>
        <v>084:20</v>
      </c>
      <c r="F489" t="str">
        <f>SUBSTITUTE('Raw Data'!K431," ",":",1)</f>
        <v>-13:40</v>
      </c>
      <c r="G489">
        <f>'Interpreted Data'!N431</f>
        <v>-13.5</v>
      </c>
      <c r="H489" t="str">
        <f>'Interpreted Data'!P431</f>
        <v/>
      </c>
      <c r="J489">
        <f t="shared" si="136"/>
        <v>135</v>
      </c>
      <c r="K489">
        <f t="shared" si="137"/>
        <v>136</v>
      </c>
      <c r="L489">
        <f t="shared" si="138"/>
        <v>57.2</v>
      </c>
      <c r="M489" t="str">
        <f t="shared" si="139"/>
        <v>-</v>
      </c>
      <c r="N489" t="str">
        <f t="shared" si="140"/>
        <v>084:20</v>
      </c>
      <c r="O489" t="str">
        <f t="shared" si="141"/>
        <v>-13:40</v>
      </c>
      <c r="P489" t="str">
        <f t="shared" si="142"/>
        <v/>
      </c>
    </row>
    <row r="490" spans="1:16" x14ac:dyDescent="0.25">
      <c r="A490">
        <f>'Raw Data'!A432</f>
        <v>136</v>
      </c>
      <c r="B490">
        <f>'Raw Data'!B432</f>
        <v>137</v>
      </c>
      <c r="C490">
        <f>'Raw Data'!J432</f>
        <v>18.399999999999999</v>
      </c>
      <c r="D490" t="str">
        <f>'Interpreted Data'!G432</f>
        <v>007:30</v>
      </c>
      <c r="E490" t="str">
        <f>'Interpreted Data'!H432</f>
        <v>-</v>
      </c>
      <c r="F490" t="str">
        <f>SUBSTITUTE('Raw Data'!K432," ",":",1)</f>
        <v>-6:00</v>
      </c>
      <c r="G490">
        <f>'Interpreted Data'!N432</f>
        <v>-1.9</v>
      </c>
      <c r="H490" t="str">
        <f>'Interpreted Data'!P432</f>
        <v/>
      </c>
      <c r="J490">
        <f t="shared" si="136"/>
        <v>136</v>
      </c>
      <c r="K490">
        <f t="shared" si="137"/>
        <v>137</v>
      </c>
      <c r="L490">
        <f t="shared" si="138"/>
        <v>18.399999999999999</v>
      </c>
      <c r="M490" t="str">
        <f t="shared" si="139"/>
        <v>007:30</v>
      </c>
      <c r="N490" t="str">
        <f t="shared" si="140"/>
        <v>-</v>
      </c>
      <c r="O490" t="str">
        <f t="shared" si="141"/>
        <v>-6:00</v>
      </c>
      <c r="P490" t="str">
        <f t="shared" si="142"/>
        <v/>
      </c>
    </row>
    <row r="491" spans="1:16" x14ac:dyDescent="0.25">
      <c r="A491">
        <f>'Raw Data'!A433</f>
        <v>137</v>
      </c>
      <c r="B491">
        <f>'Raw Data'!B433</f>
        <v>138</v>
      </c>
      <c r="C491">
        <f>'Raw Data'!J433</f>
        <v>24.8</v>
      </c>
      <c r="D491" t="str">
        <f>'Interpreted Data'!G433</f>
        <v>-</v>
      </c>
      <c r="E491" t="str">
        <f>'Interpreted Data'!H433</f>
        <v>252:15</v>
      </c>
      <c r="F491" t="str">
        <f>SUBSTITUTE('Raw Data'!K433," ",":",1)</f>
        <v>33:20</v>
      </c>
      <c r="G491">
        <f>'Interpreted Data'!N433</f>
        <v>13.6</v>
      </c>
      <c r="H491" t="str">
        <f>'Interpreted Data'!P433</f>
        <v/>
      </c>
      <c r="J491">
        <f t="shared" si="136"/>
        <v>137</v>
      </c>
      <c r="K491">
        <f t="shared" si="137"/>
        <v>138</v>
      </c>
      <c r="L491">
        <f t="shared" si="138"/>
        <v>24.8</v>
      </c>
      <c r="M491" t="str">
        <f t="shared" si="139"/>
        <v>-</v>
      </c>
      <c r="N491" t="str">
        <f t="shared" si="140"/>
        <v>252:15</v>
      </c>
      <c r="O491" t="str">
        <f t="shared" si="141"/>
        <v>33:20</v>
      </c>
      <c r="P491" t="str">
        <f t="shared" si="142"/>
        <v/>
      </c>
    </row>
    <row r="492" spans="1:16" x14ac:dyDescent="0.25">
      <c r="A492">
        <f>'Raw Data'!A434</f>
        <v>138</v>
      </c>
      <c r="B492">
        <f>'Raw Data'!B434</f>
        <v>139</v>
      </c>
      <c r="C492">
        <f>'Raw Data'!J434</f>
        <v>19</v>
      </c>
      <c r="D492" t="str">
        <f>'Interpreted Data'!G434</f>
        <v>052:00</v>
      </c>
      <c r="E492" t="str">
        <f>'Interpreted Data'!H434</f>
        <v>-</v>
      </c>
      <c r="F492" t="str">
        <f>SUBSTITUTE('Raw Data'!K434," ",":",1)</f>
        <v>16:30</v>
      </c>
      <c r="G492">
        <f>'Interpreted Data'!N434</f>
        <v>5.4</v>
      </c>
      <c r="H492" t="str">
        <f>'Interpreted Data'!P434</f>
        <v/>
      </c>
      <c r="J492">
        <f t="shared" si="136"/>
        <v>138</v>
      </c>
      <c r="K492">
        <f t="shared" si="137"/>
        <v>139</v>
      </c>
      <c r="L492">
        <f t="shared" si="138"/>
        <v>19</v>
      </c>
      <c r="M492" t="str">
        <f t="shared" si="139"/>
        <v>052:00</v>
      </c>
      <c r="N492" t="str">
        <f t="shared" si="140"/>
        <v>-</v>
      </c>
      <c r="O492" t="str">
        <f t="shared" si="141"/>
        <v>16:30</v>
      </c>
      <c r="P492" t="str">
        <f t="shared" si="142"/>
        <v/>
      </c>
    </row>
    <row r="493" spans="1:16" x14ac:dyDescent="0.25">
      <c r="A493">
        <f>'Raw Data'!A435</f>
        <v>139</v>
      </c>
      <c r="B493">
        <f>'Raw Data'!B435</f>
        <v>140</v>
      </c>
      <c r="C493">
        <f>'Raw Data'!J435</f>
        <v>35</v>
      </c>
      <c r="D493" t="str">
        <f>'Interpreted Data'!G435</f>
        <v>-</v>
      </c>
      <c r="E493" t="str">
        <f>'Interpreted Data'!H435</f>
        <v>094:10</v>
      </c>
      <c r="F493" t="str">
        <f>SUBSTITUTE('Raw Data'!K435," ",":",1)</f>
        <v>-19:20</v>
      </c>
      <c r="G493">
        <f>'Interpreted Data'!N435</f>
        <v>-11.6</v>
      </c>
      <c r="H493" t="str">
        <f>'Interpreted Data'!P435</f>
        <v/>
      </c>
      <c r="J493">
        <f t="shared" si="136"/>
        <v>139</v>
      </c>
      <c r="K493">
        <f t="shared" si="137"/>
        <v>140</v>
      </c>
      <c r="L493">
        <f t="shared" si="138"/>
        <v>35</v>
      </c>
      <c r="M493" t="str">
        <f t="shared" si="139"/>
        <v>-</v>
      </c>
      <c r="N493" t="str">
        <f t="shared" si="140"/>
        <v>094:10</v>
      </c>
      <c r="O493" t="str">
        <f t="shared" si="141"/>
        <v>-19:20</v>
      </c>
      <c r="P493" t="str">
        <f t="shared" si="142"/>
        <v/>
      </c>
    </row>
    <row r="494" spans="1:16" x14ac:dyDescent="0.25">
      <c r="A494">
        <f>'Raw Data'!A436</f>
        <v>140</v>
      </c>
      <c r="B494">
        <f>'Raw Data'!B436</f>
        <v>141</v>
      </c>
      <c r="C494">
        <f>'Raw Data'!J436</f>
        <v>51.6</v>
      </c>
      <c r="D494" t="str">
        <f>'Interpreted Data'!G436</f>
        <v>265:50</v>
      </c>
      <c r="E494" t="str">
        <f>'Interpreted Data'!H436</f>
        <v>-</v>
      </c>
      <c r="F494" t="str">
        <f>SUBSTITUTE('Raw Data'!K436," ",":",1)</f>
        <v>-19:00</v>
      </c>
      <c r="G494">
        <f>'Interpreted Data'!N436</f>
        <v>-16.8</v>
      </c>
      <c r="H494" t="str">
        <f>'Interpreted Data'!P436</f>
        <v/>
      </c>
      <c r="J494">
        <f t="shared" si="136"/>
        <v>140</v>
      </c>
      <c r="K494">
        <f t="shared" si="137"/>
        <v>141</v>
      </c>
      <c r="L494">
        <f t="shared" si="138"/>
        <v>51.6</v>
      </c>
      <c r="M494" t="str">
        <f t="shared" si="139"/>
        <v>265:50</v>
      </c>
      <c r="N494" t="str">
        <f t="shared" si="140"/>
        <v>-</v>
      </c>
      <c r="O494" t="str">
        <f t="shared" si="141"/>
        <v>-19:00</v>
      </c>
      <c r="P494" t="str">
        <f t="shared" si="142"/>
        <v/>
      </c>
    </row>
    <row r="495" spans="1:16" x14ac:dyDescent="0.25">
      <c r="A495">
        <f>'Raw Data'!A437</f>
        <v>141</v>
      </c>
      <c r="B495">
        <f>'Raw Data'!B437</f>
        <v>142</v>
      </c>
      <c r="C495">
        <f>'Raw Data'!J437</f>
        <v>21.6</v>
      </c>
      <c r="D495" t="str">
        <f>'Interpreted Data'!G437</f>
        <v>-</v>
      </c>
      <c r="E495" t="str">
        <f>'Interpreted Data'!H437</f>
        <v>149:15</v>
      </c>
      <c r="F495" t="str">
        <f>SUBSTITUTE('Raw Data'!K437," ",":",1)</f>
        <v>11:00</v>
      </c>
      <c r="G495">
        <f>'Interpreted Data'!N437</f>
        <v>4.0999999999999996</v>
      </c>
      <c r="H495" t="str">
        <f>'Interpreted Data'!P437</f>
        <v/>
      </c>
      <c r="J495">
        <f t="shared" si="136"/>
        <v>141</v>
      </c>
      <c r="K495">
        <f t="shared" si="137"/>
        <v>142</v>
      </c>
      <c r="L495">
        <f t="shared" si="138"/>
        <v>21.6</v>
      </c>
      <c r="M495" t="str">
        <f t="shared" si="139"/>
        <v>-</v>
      </c>
      <c r="N495" t="str">
        <f t="shared" si="140"/>
        <v>149:15</v>
      </c>
      <c r="O495" t="str">
        <f t="shared" si="141"/>
        <v>11:00</v>
      </c>
      <c r="P495" t="str">
        <f t="shared" si="142"/>
        <v/>
      </c>
    </row>
    <row r="496" spans="1:16" x14ac:dyDescent="0.25">
      <c r="A496">
        <f>'Raw Data'!A438</f>
        <v>142</v>
      </c>
      <c r="B496">
        <f>'Raw Data'!B438</f>
        <v>143</v>
      </c>
      <c r="C496">
        <f>'Raw Data'!J438</f>
        <v>22.4</v>
      </c>
      <c r="D496" t="str">
        <f>'Interpreted Data'!G438</f>
        <v>042:20</v>
      </c>
      <c r="E496" t="str">
        <f>'Interpreted Data'!H438</f>
        <v>-</v>
      </c>
      <c r="F496" t="str">
        <f>SUBSTITUTE('Raw Data'!K438," ",":",1)</f>
        <v>28:30</v>
      </c>
      <c r="G496">
        <f>'Interpreted Data'!N438</f>
        <v>10.7</v>
      </c>
      <c r="H496" t="str">
        <f>'Interpreted Data'!P438</f>
        <v/>
      </c>
      <c r="J496">
        <f t="shared" si="136"/>
        <v>142</v>
      </c>
      <c r="K496">
        <f t="shared" si="137"/>
        <v>143</v>
      </c>
      <c r="L496">
        <f t="shared" si="138"/>
        <v>22.4</v>
      </c>
      <c r="M496" t="str">
        <f t="shared" si="139"/>
        <v>042:20</v>
      </c>
      <c r="N496" t="str">
        <f t="shared" si="140"/>
        <v>-</v>
      </c>
      <c r="O496" t="str">
        <f t="shared" si="141"/>
        <v>28:30</v>
      </c>
      <c r="P496" t="str">
        <f t="shared" si="142"/>
        <v/>
      </c>
    </row>
    <row r="497" spans="1:16" x14ac:dyDescent="0.25">
      <c r="A497">
        <f>'Raw Data'!A439</f>
        <v>143</v>
      </c>
      <c r="B497">
        <f>'Raw Data'!B439</f>
        <v>0</v>
      </c>
      <c r="C497">
        <f>'Raw Data'!J439</f>
        <v>0</v>
      </c>
      <c r="D497" t="str">
        <f>'Interpreted Data'!G439</f>
        <v>-</v>
      </c>
      <c r="E497" t="str">
        <f>'Interpreted Data'!H439</f>
        <v>-</v>
      </c>
      <c r="F497" t="str">
        <f>SUBSTITUTE('Raw Data'!K439," ",":",1)</f>
        <v/>
      </c>
      <c r="G497" t="str">
        <f>'Interpreted Data'!N439</f>
        <v/>
      </c>
      <c r="H497" t="str">
        <f>'Interpreted Data'!P439</f>
        <v>knob on roof 4 feet from entrance pit of Blue Pencil Passage</v>
      </c>
      <c r="J497" t="str">
        <f>CONCATENATE("# ",A497)</f>
        <v># 143</v>
      </c>
      <c r="P497" t="str">
        <f t="shared" si="142"/>
        <v>knob on roof 4 feet from entrance pit of Blue Pencil Passage</v>
      </c>
    </row>
    <row r="499" spans="1:16" x14ac:dyDescent="0.25">
      <c r="A499" t="str">
        <f>'Raw Data'!A441</f>
        <v>(skipped surface survey to Priddy Green dig and back)</v>
      </c>
      <c r="B499">
        <f>'Raw Data'!B441</f>
        <v>0</v>
      </c>
      <c r="C499">
        <f>'Raw Data'!J441</f>
        <v>0</v>
      </c>
      <c r="D499" t="str">
        <f>'Interpreted Data'!G441</f>
        <v>-</v>
      </c>
      <c r="E499" t="str">
        <f>'Interpreted Data'!H441</f>
        <v>-</v>
      </c>
      <c r="F499" t="str">
        <f>SUBSTITUTE('Raw Data'!K441," ",":",1)</f>
        <v/>
      </c>
      <c r="G499" t="str">
        <f>'Interpreted Data'!N441</f>
        <v/>
      </c>
      <c r="H499" t="str">
        <f>'Interpreted Data'!P441</f>
        <v/>
      </c>
      <c r="J499" t="str">
        <f t="shared" si="136"/>
        <v>(skipped surface survey to Priddy Green dig and back)</v>
      </c>
      <c r="K499">
        <f t="shared" si="137"/>
        <v>0</v>
      </c>
      <c r="L499">
        <f t="shared" si="138"/>
        <v>0</v>
      </c>
      <c r="M499" t="str">
        <f t="shared" si="139"/>
        <v>-</v>
      </c>
      <c r="N499" t="str">
        <f t="shared" si="140"/>
        <v>-</v>
      </c>
      <c r="O499" t="e">
        <f t="shared" si="141"/>
        <v>#VALUE!</v>
      </c>
      <c r="P499" t="str">
        <f t="shared" si="142"/>
        <v/>
      </c>
    </row>
    <row r="500" spans="1:16" x14ac:dyDescent="0.25">
      <c r="A500">
        <f>'Raw Data'!A442</f>
        <v>0</v>
      </c>
      <c r="B500">
        <f>'Raw Data'!B442</f>
        <v>0</v>
      </c>
      <c r="C500">
        <f>'Raw Data'!J442</f>
        <v>0</v>
      </c>
      <c r="D500" t="str">
        <f>'Interpreted Data'!G442</f>
        <v>-</v>
      </c>
      <c r="E500" t="str">
        <f>'Interpreted Data'!H442</f>
        <v>-</v>
      </c>
      <c r="F500" t="str">
        <f>SUBSTITUTE('Raw Data'!K442," ",":",1)</f>
        <v/>
      </c>
      <c r="G500" t="str">
        <f>'Interpreted Data'!N442</f>
        <v/>
      </c>
      <c r="H500" t="str">
        <f>'Interpreted Data'!P442</f>
        <v/>
      </c>
      <c r="J500">
        <f t="shared" si="136"/>
        <v>0</v>
      </c>
      <c r="K500">
        <f t="shared" si="137"/>
        <v>0</v>
      </c>
      <c r="L500">
        <f t="shared" si="138"/>
        <v>0</v>
      </c>
      <c r="M500" t="str">
        <f t="shared" si="139"/>
        <v>-</v>
      </c>
      <c r="N500" t="str">
        <f t="shared" si="140"/>
        <v>-</v>
      </c>
      <c r="O500" t="e">
        <f t="shared" si="141"/>
        <v>#VALUE!</v>
      </c>
      <c r="P500" t="str">
        <f t="shared" si="142"/>
        <v/>
      </c>
    </row>
    <row r="501" spans="1:16" x14ac:dyDescent="0.25">
      <c r="J501">
        <f t="shared" si="136"/>
        <v>0</v>
      </c>
      <c r="K501">
        <f t="shared" si="137"/>
        <v>0</v>
      </c>
      <c r="L501">
        <f t="shared" si="138"/>
        <v>0</v>
      </c>
      <c r="M501">
        <f t="shared" si="139"/>
        <v>0</v>
      </c>
      <c r="N501">
        <f t="shared" si="140"/>
        <v>0</v>
      </c>
      <c r="O501">
        <f t="shared" si="141"/>
        <v>0</v>
      </c>
      <c r="P501">
        <f t="shared" si="142"/>
        <v>0</v>
      </c>
    </row>
    <row r="502" spans="1:16" x14ac:dyDescent="0.25">
      <c r="J502">
        <f t="shared" si="136"/>
        <v>0</v>
      </c>
      <c r="K502">
        <f t="shared" si="137"/>
        <v>0</v>
      </c>
      <c r="L502">
        <f t="shared" si="138"/>
        <v>0</v>
      </c>
      <c r="M502">
        <f t="shared" si="139"/>
        <v>0</v>
      </c>
      <c r="N502">
        <f t="shared" si="140"/>
        <v>0</v>
      </c>
      <c r="O502">
        <f t="shared" si="141"/>
        <v>0</v>
      </c>
      <c r="P502">
        <f t="shared" si="142"/>
        <v>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
  <sheetViews>
    <sheetView workbookViewId="0">
      <pane ySplit="12" topLeftCell="A13" activePane="bottomLeft" state="frozen"/>
      <selection pane="bottomLeft" activeCell="A22" sqref="A22"/>
    </sheetView>
  </sheetViews>
  <sheetFormatPr defaultRowHeight="15" x14ac:dyDescent="0.25"/>
  <cols>
    <col min="1" max="1" width="33.7109375" customWidth="1"/>
    <col min="2" max="2" width="11.7109375" customWidth="1"/>
    <col min="3" max="3" width="14.140625" bestFit="1" customWidth="1"/>
    <col min="4" max="4" width="12.7109375" bestFit="1" customWidth="1"/>
    <col min="5" max="5" width="14.42578125" bestFit="1" customWidth="1"/>
    <col min="6" max="6" width="36.7109375" bestFit="1" customWidth="1"/>
  </cols>
  <sheetData>
    <row r="1" spans="1:7" x14ac:dyDescent="0.25">
      <c r="A1" s="1" t="s">
        <v>991</v>
      </c>
      <c r="B1" s="1" t="s">
        <v>992</v>
      </c>
      <c r="C1" s="1" t="s">
        <v>993</v>
      </c>
      <c r="D1" s="1" t="s">
        <v>994</v>
      </c>
      <c r="E1" s="1" t="s">
        <v>995</v>
      </c>
      <c r="F1" s="1" t="s">
        <v>996</v>
      </c>
    </row>
    <row r="2" spans="1:7" x14ac:dyDescent="0.25">
      <c r="A2" t="s">
        <v>997</v>
      </c>
      <c r="B2">
        <v>51.262505654023002</v>
      </c>
      <c r="C2">
        <v>-2.6771879196167001</v>
      </c>
    </row>
    <row r="3" spans="1:7" x14ac:dyDescent="0.25">
      <c r="A3" t="s">
        <v>998</v>
      </c>
      <c r="B3">
        <v>51.255939280454299</v>
      </c>
      <c r="C3">
        <v>-2.6749563217163099</v>
      </c>
    </row>
    <row r="4" spans="1:7" x14ac:dyDescent="0.25">
      <c r="A4" t="s">
        <v>999</v>
      </c>
      <c r="B4">
        <v>51.252165541217998</v>
      </c>
      <c r="C4">
        <v>-2.67615795135498</v>
      </c>
    </row>
    <row r="5" spans="1:7" x14ac:dyDescent="0.25">
      <c r="F5" s="1" t="s">
        <v>1000</v>
      </c>
    </row>
    <row r="6" spans="1:7" x14ac:dyDescent="0.25">
      <c r="A6" t="s">
        <v>1001</v>
      </c>
      <c r="B6">
        <v>51.3</v>
      </c>
      <c r="C6">
        <v>-2.6760000000000002</v>
      </c>
      <c r="D6">
        <v>52970</v>
      </c>
      <c r="E6">
        <v>55876</v>
      </c>
      <c r="F6">
        <v>0.530644416481031</v>
      </c>
    </row>
    <row r="7" spans="1:7" x14ac:dyDescent="0.25">
      <c r="A7" t="s">
        <v>1002</v>
      </c>
      <c r="B7">
        <v>51.2</v>
      </c>
      <c r="C7">
        <v>-2.6760000000000002</v>
      </c>
      <c r="D7">
        <v>52867</v>
      </c>
      <c r="E7">
        <v>44755</v>
      </c>
    </row>
    <row r="8" spans="1:7" x14ac:dyDescent="0.25">
      <c r="F8">
        <v>0.52500000000000002</v>
      </c>
      <c r="G8" t="s">
        <v>1008</v>
      </c>
    </row>
    <row r="9" spans="1:7" x14ac:dyDescent="0.25">
      <c r="A9" t="s">
        <v>1003</v>
      </c>
      <c r="E9" t="s">
        <v>1004</v>
      </c>
    </row>
    <row r="10" spans="1:7" x14ac:dyDescent="0.25">
      <c r="A10" t="s">
        <v>1007</v>
      </c>
    </row>
    <row r="12" spans="1:7" ht="59.25" customHeight="1" x14ac:dyDescent="0.25">
      <c r="A12" s="1" t="s">
        <v>1005</v>
      </c>
      <c r="B12" s="14" t="s">
        <v>1006</v>
      </c>
      <c r="C12" s="14" t="s">
        <v>1009</v>
      </c>
    </row>
    <row r="13" spans="1:7" x14ac:dyDescent="0.25">
      <c r="A13" s="21">
        <v>18810</v>
      </c>
      <c r="B13">
        <v>-10.18</v>
      </c>
      <c r="C13" s="2">
        <f t="shared" ref="C13:C21" si="0">-B13-$F$8</f>
        <v>9.6549999999999994</v>
      </c>
    </row>
    <row r="14" spans="1:7" x14ac:dyDescent="0.25">
      <c r="A14" s="21">
        <v>18841</v>
      </c>
      <c r="B14">
        <v>-10.17</v>
      </c>
      <c r="C14" s="2">
        <f t="shared" si="0"/>
        <v>9.6449999999999996</v>
      </c>
    </row>
    <row r="15" spans="1:7" x14ac:dyDescent="0.25">
      <c r="A15" s="21">
        <v>19085</v>
      </c>
      <c r="B15">
        <v>-10.09</v>
      </c>
      <c r="C15" s="2">
        <f t="shared" si="0"/>
        <v>9.5649999999999995</v>
      </c>
    </row>
    <row r="16" spans="1:7" x14ac:dyDescent="0.25">
      <c r="A16" s="21">
        <v>19207</v>
      </c>
      <c r="B16">
        <v>-10.039999999999999</v>
      </c>
      <c r="C16" s="2">
        <f t="shared" si="0"/>
        <v>9.5149999999999988</v>
      </c>
    </row>
    <row r="17" spans="1:3" x14ac:dyDescent="0.25">
      <c r="A17" s="21">
        <v>19329</v>
      </c>
      <c r="B17" s="2">
        <v>-10</v>
      </c>
      <c r="C17" s="2">
        <f t="shared" si="0"/>
        <v>9.4749999999999996</v>
      </c>
    </row>
    <row r="18" spans="1:3" x14ac:dyDescent="0.25">
      <c r="A18" s="21">
        <v>19391</v>
      </c>
      <c r="B18" s="2">
        <v>-9.98</v>
      </c>
      <c r="C18" s="2">
        <f t="shared" si="0"/>
        <v>9.4550000000000001</v>
      </c>
    </row>
    <row r="19" spans="1:3" x14ac:dyDescent="0.25">
      <c r="A19" s="21">
        <v>19480</v>
      </c>
      <c r="B19" s="2">
        <v>-9.9499999999999993</v>
      </c>
      <c r="C19" s="2">
        <f t="shared" si="0"/>
        <v>9.4249999999999989</v>
      </c>
    </row>
    <row r="20" spans="1:3" x14ac:dyDescent="0.25">
      <c r="A20" s="21">
        <v>19603</v>
      </c>
      <c r="B20" s="2">
        <v>-9.9</v>
      </c>
      <c r="C20" s="2">
        <f t="shared" si="0"/>
        <v>9.375</v>
      </c>
    </row>
    <row r="21" spans="1:3" x14ac:dyDescent="0.25">
      <c r="A21" s="21">
        <v>20941</v>
      </c>
      <c r="B21" s="2">
        <v>-9.49</v>
      </c>
      <c r="C21" s="2">
        <f t="shared" si="0"/>
        <v>8.9649999999999999</v>
      </c>
    </row>
    <row r="40" spans="1:3" x14ac:dyDescent="0.25">
      <c r="A40" s="21">
        <v>41334</v>
      </c>
      <c r="B40" s="2">
        <v>-2.15</v>
      </c>
      <c r="C40" s="2">
        <f>-B40-$F$8</f>
        <v>1.625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Raw Data</vt:lpstr>
      <vt:lpstr>Interpreted Data</vt:lpstr>
      <vt:lpstr>Survex Formatted</vt:lpstr>
      <vt:lpstr>Therion Formatted</vt:lpstr>
      <vt:lpstr>Mag to Grid Conversion</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Footleg</cp:lastModifiedBy>
  <dcterms:created xsi:type="dcterms:W3CDTF">2012-06-12T12:05:34Z</dcterms:created>
  <dcterms:modified xsi:type="dcterms:W3CDTF">2013-11-02T21:22:33Z</dcterms:modified>
</cp:coreProperties>
</file>